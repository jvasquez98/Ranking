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queryTables/queryTable1.xml" ContentType="application/vnd.openxmlformats-officedocument.spreadsheetml.queryTable+xml"/>
  <Override PartName="/xl/tables/table59.xml" ContentType="application/vnd.openxmlformats-officedocument.spreadsheetml.table+xml"/>
  <Override PartName="/xl/queryTables/queryTable2.xml" ContentType="application/vnd.openxmlformats-officedocument.spreadsheetml.queryTable+xml"/>
  <Override PartName="/xl/tables/table6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rge Vasquez\Ranking\"/>
    </mc:Choice>
  </mc:AlternateContent>
  <xr:revisionPtr revIDLastSave="0" documentId="13_ncr:1_{2048B797-46E6-4667-96EE-78EBA6F0CD2D}" xr6:coauthVersionLast="47" xr6:coauthVersionMax="47" xr10:uidLastSave="{00000000-0000-0000-0000-000000000000}"/>
  <bookViews>
    <workbookView xWindow="-120" yWindow="-120" windowWidth="20730" windowHeight="11040" firstSheet="14" activeTab="18" xr2:uid="{FB309F9D-9D94-4EEA-B5AF-3266FE344876}"/>
  </bookViews>
  <sheets>
    <sheet name="NOVIEMBRE_2024" sheetId="32" r:id="rId1"/>
    <sheet name="DICIEMBRE_2024" sheetId="31" r:id="rId2"/>
    <sheet name="ENERO_2025" sheetId="16" r:id="rId3"/>
    <sheet name="FEBRERO_2025" sheetId="12" r:id="rId4"/>
    <sheet name="MARZO_2025" sheetId="13" r:id="rId5"/>
    <sheet name="ABRIL_2025" sheetId="15" r:id="rId6"/>
    <sheet name="MAYO_2025" sheetId="14" r:id="rId7"/>
    <sheet name="JUNIO_2025" sheetId="11" r:id="rId8"/>
    <sheet name="JULIO_2025" sheetId="3" r:id="rId9"/>
    <sheet name="AGOSTO_2025" sheetId="10" r:id="rId10"/>
    <sheet name="ING" sheetId="8" state="hidden" r:id="rId11"/>
    <sheet name="OCTUBRE_2025" sheetId="18" r:id="rId12"/>
    <sheet name="NOVIEMBRE_2025" sheetId="21" r:id="rId13"/>
    <sheet name="DICIEMBRE_2025" sheetId="23" r:id="rId14"/>
    <sheet name="ENERO_2026" sheetId="30" r:id="rId15"/>
    <sheet name="FEBRERO_2026" sheetId="33" r:id="rId16"/>
    <sheet name="MARZO_2026" sheetId="35" r:id="rId17"/>
    <sheet name="ABRIL_2026" sheetId="36" r:id="rId18"/>
    <sheet name="MAYO_2026" sheetId="17" r:id="rId19"/>
    <sheet name="INF" sheetId="28" r:id="rId20"/>
    <sheet name="DIM" sheetId="34" r:id="rId21"/>
    <sheet name="METAS" sheetId="22" r:id="rId22"/>
  </sheets>
  <definedNames>
    <definedName name="_xlnm._FilterDatabase" localSheetId="8" hidden="1">JULIO_2025!#REF!</definedName>
    <definedName name="DatosExternos_1" localSheetId="20" hidden="1">DIM!$A$1:$J$528</definedName>
    <definedName name="DatosExternos_1" localSheetId="19" hidden="1">INF!$A$1:$E$107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0" i="30" l="1" a="1"/>
  <c r="AX10" i="30"/>
  <c r="AX11" i="30" a="1"/>
  <c r="AX11" i="30" s="1"/>
  <c r="AX12" i="30" a="1"/>
  <c r="AX12" i="30" s="1"/>
  <c r="AX13" i="30" a="1"/>
  <c r="AX13" i="30"/>
  <c r="AX14" i="30" a="1"/>
  <c r="AX14" i="30" s="1"/>
  <c r="AX15" i="30" a="1"/>
  <c r="AX15" i="30" s="1"/>
  <c r="AX16" i="30" a="1"/>
  <c r="AX16" i="30"/>
  <c r="AX17" i="30" a="1"/>
  <c r="AX17" i="30" s="1"/>
  <c r="AX18" i="30" a="1"/>
  <c r="AX18" i="30" s="1"/>
  <c r="AX19" i="30" a="1"/>
  <c r="AX19" i="30"/>
  <c r="AX20" i="30" a="1"/>
  <c r="AX20" i="30" s="1"/>
  <c r="AX21" i="30" a="1"/>
  <c r="AX21" i="30" s="1"/>
  <c r="AX22" i="30" a="1"/>
  <c r="AX22" i="30"/>
  <c r="AX23" i="30" a="1"/>
  <c r="AX23" i="30" s="1"/>
  <c r="AX24" i="30" a="1"/>
  <c r="AX24" i="30" s="1"/>
  <c r="AX25" i="30" a="1"/>
  <c r="AX25" i="30"/>
  <c r="AX26" i="30" a="1"/>
  <c r="AX26" i="30" s="1"/>
  <c r="AX27" i="30" a="1"/>
  <c r="AX27" i="30" s="1"/>
  <c r="AX28" i="30" a="1"/>
  <c r="AX28" i="30"/>
  <c r="AX29" i="30" a="1"/>
  <c r="AX29" i="30" s="1"/>
  <c r="AX30" i="30" a="1"/>
  <c r="AX30" i="30" s="1"/>
  <c r="AX31" i="30" a="1"/>
  <c r="AX31" i="30"/>
  <c r="AX32" i="30" a="1"/>
  <c r="AX32" i="30" s="1"/>
  <c r="AX33" i="30" a="1"/>
  <c r="AX33" i="30" s="1"/>
  <c r="AX34" i="30" a="1"/>
  <c r="AX34" i="30"/>
  <c r="AX35" i="30" a="1"/>
  <c r="AX35" i="30" s="1"/>
  <c r="AX36" i="30" a="1"/>
  <c r="AX36" i="30" s="1"/>
  <c r="AX37" i="30" a="1"/>
  <c r="AX37" i="30" s="1"/>
  <c r="AX38" i="30" a="1"/>
  <c r="AX38" i="30" s="1"/>
  <c r="AX39" i="30" a="1"/>
  <c r="AX39" i="30"/>
  <c r="AX40" i="30" a="1"/>
  <c r="AX40" i="30" s="1"/>
  <c r="AX41" i="30" a="1"/>
  <c r="AX41" i="30" s="1"/>
  <c r="AX42" i="30" a="1"/>
  <c r="AX42" i="30"/>
  <c r="AX43" i="30" a="1"/>
  <c r="AX43" i="30" s="1"/>
  <c r="AX44" i="30" a="1"/>
  <c r="AX44" i="30" s="1"/>
  <c r="AX45" i="30" a="1"/>
  <c r="AX45" i="30"/>
  <c r="AX46" i="30" a="1"/>
  <c r="AX46" i="30" s="1"/>
  <c r="AX47" i="30" a="1"/>
  <c r="AX47" i="30" s="1"/>
  <c r="AX48" i="30" a="1"/>
  <c r="AX48" i="30"/>
  <c r="AX49" i="30" a="1"/>
  <c r="AX49" i="30" s="1"/>
  <c r="AX50" i="30" a="1"/>
  <c r="AX50" i="30" s="1"/>
  <c r="AX51" i="30" a="1"/>
  <c r="AX51" i="30"/>
  <c r="AX52" i="30" a="1"/>
  <c r="AX52" i="30" s="1"/>
  <c r="AX53" i="30" a="1"/>
  <c r="AX53" i="30" s="1"/>
  <c r="AX54" i="30" a="1"/>
  <c r="AX54" i="30"/>
  <c r="AX55" i="30" a="1"/>
  <c r="AX55" i="30" s="1"/>
  <c r="AX56" i="30" a="1"/>
  <c r="AX56" i="30" s="1"/>
  <c r="AX57" i="30" a="1"/>
  <c r="AX57" i="30"/>
  <c r="AX58" i="30" a="1"/>
  <c r="AX58" i="30" s="1"/>
  <c r="AX59" i="30" a="1"/>
  <c r="AX59" i="30" s="1"/>
  <c r="AX9" i="30" a="1"/>
  <c r="AX9" i="30" s="1"/>
  <c r="AX9" i="33" a="1"/>
  <c r="AX9" i="33" s="1"/>
  <c r="AX10" i="33" a="1"/>
  <c r="AX10" i="33" s="1"/>
  <c r="AX11" i="33" a="1"/>
  <c r="AX11" i="33" s="1"/>
  <c r="AX12" i="33" a="1"/>
  <c r="AX12" i="33" s="1"/>
  <c r="AX13" i="33" a="1"/>
  <c r="AX13" i="33" s="1"/>
  <c r="AX14" i="33" a="1"/>
  <c r="AX14" i="33" s="1"/>
  <c r="AX15" i="33" a="1"/>
  <c r="AX15" i="33" s="1"/>
  <c r="AX16" i="33" a="1"/>
  <c r="AX16" i="33"/>
  <c r="AX17" i="33" a="1"/>
  <c r="AX17" i="33" s="1"/>
  <c r="AX18" i="33" a="1"/>
  <c r="AX18" i="33" s="1"/>
  <c r="AX19" i="33" a="1"/>
  <c r="AX19" i="33" s="1"/>
  <c r="AX20" i="33" a="1"/>
  <c r="AX20" i="33" s="1"/>
  <c r="AX21" i="33" a="1"/>
  <c r="AX21" i="33"/>
  <c r="AX22" i="33" a="1"/>
  <c r="AX22" i="33" s="1"/>
  <c r="AX23" i="33" a="1"/>
  <c r="AX23" i="33" s="1"/>
  <c r="AX24" i="33" a="1"/>
  <c r="AX24" i="33" s="1"/>
  <c r="AX25" i="33" a="1"/>
  <c r="AX25" i="33" s="1"/>
  <c r="AX26" i="33" a="1"/>
  <c r="AX26" i="33" s="1"/>
  <c r="AX27" i="33" a="1"/>
  <c r="AX27" i="33" s="1"/>
  <c r="AX28" i="33" a="1"/>
  <c r="AX28" i="33" s="1"/>
  <c r="AX29" i="33" a="1"/>
  <c r="AX29" i="33" s="1"/>
  <c r="AX30" i="33" a="1"/>
  <c r="AX30" i="33" s="1"/>
  <c r="AX31" i="33" a="1"/>
  <c r="AX31" i="33" s="1"/>
  <c r="AX32" i="33" a="1"/>
  <c r="AX32" i="33" s="1"/>
  <c r="AX33" i="33" a="1"/>
  <c r="AX33" i="33" s="1"/>
  <c r="AX34" i="33" a="1"/>
  <c r="AX34" i="33" s="1"/>
  <c r="AX35" i="33" a="1"/>
  <c r="AX35" i="33" s="1"/>
  <c r="AX36" i="33" a="1"/>
  <c r="AX36" i="33" s="1"/>
  <c r="AX37" i="33" a="1"/>
  <c r="AX37" i="33" s="1"/>
  <c r="AX38" i="33" a="1"/>
  <c r="AX38" i="33" s="1"/>
  <c r="AX39" i="33" a="1"/>
  <c r="AX39" i="33" s="1"/>
  <c r="AX40" i="33" a="1"/>
  <c r="AX40" i="33" s="1"/>
  <c r="AX41" i="33" a="1"/>
  <c r="AX41" i="33" s="1"/>
  <c r="AX42" i="33" a="1"/>
  <c r="AX42" i="33" s="1"/>
  <c r="AX43" i="33" a="1"/>
  <c r="AX43" i="33" s="1"/>
  <c r="AX44" i="33" a="1"/>
  <c r="AX44" i="33" s="1"/>
  <c r="AX45" i="33" a="1"/>
  <c r="AX45" i="33" s="1"/>
  <c r="AX46" i="33" a="1"/>
  <c r="AX46" i="33" s="1"/>
  <c r="AX47" i="33" a="1"/>
  <c r="AX47" i="33" s="1"/>
  <c r="AX48" i="33" a="1"/>
  <c r="AX48" i="33" s="1"/>
  <c r="AX49" i="33" a="1"/>
  <c r="AX49" i="33" s="1"/>
  <c r="AX50" i="33" a="1"/>
  <c r="AX50" i="33" s="1"/>
  <c r="AX51" i="33" a="1"/>
  <c r="AX51" i="33" s="1"/>
  <c r="AX52" i="33" a="1"/>
  <c r="AX52" i="33" s="1"/>
  <c r="AX53" i="33" a="1"/>
  <c r="AX53" i="33" s="1"/>
  <c r="AX54" i="33" a="1"/>
  <c r="AX54" i="33" s="1"/>
  <c r="AX55" i="33" a="1"/>
  <c r="AX55" i="33"/>
  <c r="AX56" i="33" a="1"/>
  <c r="AX56" i="33" s="1"/>
  <c r="AX57" i="33" a="1"/>
  <c r="AX57" i="33" s="1"/>
  <c r="AX58" i="33" a="1"/>
  <c r="AX58" i="33" s="1"/>
  <c r="AX59" i="33" a="1"/>
  <c r="AX59" i="33"/>
  <c r="AO9" i="35" a="1"/>
  <c r="AO9" i="35" s="1"/>
  <c r="AO10" i="35" a="1"/>
  <c r="AO10" i="35" s="1"/>
  <c r="AO11" i="35" a="1"/>
  <c r="AO11" i="35" s="1"/>
  <c r="AO12" i="35" a="1"/>
  <c r="AO12" i="35" s="1"/>
  <c r="AO13" i="35" a="1"/>
  <c r="AO13" i="35" s="1"/>
  <c r="AO14" i="35" a="1"/>
  <c r="AO14" i="35" s="1"/>
  <c r="AO15" i="35" a="1"/>
  <c r="AO15" i="35" s="1"/>
  <c r="AO16" i="35" a="1"/>
  <c r="AO16" i="35" s="1"/>
  <c r="AO17" i="35" a="1"/>
  <c r="AO17" i="35" s="1"/>
  <c r="AO18" i="35" a="1"/>
  <c r="AO18" i="35" s="1"/>
  <c r="AO19" i="35" a="1"/>
  <c r="AO19" i="35" s="1"/>
  <c r="AO20" i="35" a="1"/>
  <c r="AO20" i="35" s="1"/>
  <c r="AO21" i="35" a="1"/>
  <c r="AO21" i="35" s="1"/>
  <c r="AO22" i="35" a="1"/>
  <c r="AO22" i="35" s="1"/>
  <c r="AO23" i="35" a="1"/>
  <c r="AO23" i="35" s="1"/>
  <c r="AO24" i="35" a="1"/>
  <c r="AO24" i="35" s="1"/>
  <c r="AO25" i="35" a="1"/>
  <c r="AO25" i="35" s="1"/>
  <c r="AO26" i="35" a="1"/>
  <c r="AO26" i="35" s="1"/>
  <c r="AO27" i="35" a="1"/>
  <c r="AO27" i="35" s="1"/>
  <c r="AO28" i="35" a="1"/>
  <c r="AO28" i="35" s="1"/>
  <c r="AO29" i="35" a="1"/>
  <c r="AO29" i="35" s="1"/>
  <c r="AO30" i="35" a="1"/>
  <c r="AO30" i="35" s="1"/>
  <c r="AO31" i="35" a="1"/>
  <c r="AO31" i="35" s="1"/>
  <c r="AO32" i="35" a="1"/>
  <c r="AO32" i="35" s="1"/>
  <c r="AO33" i="35" a="1"/>
  <c r="AO33" i="35" s="1"/>
  <c r="AO34" i="35" a="1"/>
  <c r="AO34" i="35" s="1"/>
  <c r="AO35" i="35" a="1"/>
  <c r="AO35" i="35" s="1"/>
  <c r="AO36" i="35" a="1"/>
  <c r="AO36" i="35" s="1"/>
  <c r="AO37" i="35" a="1"/>
  <c r="AO37" i="35" s="1"/>
  <c r="AO38" i="35" a="1"/>
  <c r="AO38" i="35" s="1"/>
  <c r="AO39" i="35" a="1"/>
  <c r="AO39" i="35" s="1"/>
  <c r="AO40" i="35" a="1"/>
  <c r="AO40" i="35" s="1"/>
  <c r="AO41" i="35" a="1"/>
  <c r="AO41" i="35" s="1"/>
  <c r="AO42" i="35" a="1"/>
  <c r="AO42" i="35" s="1"/>
  <c r="AO43" i="35" a="1"/>
  <c r="AO43" i="35" s="1"/>
  <c r="AO44" i="35" a="1"/>
  <c r="AO44" i="35" s="1"/>
  <c r="AO45" i="35" a="1"/>
  <c r="AO45" i="35" s="1"/>
  <c r="AO46" i="35" a="1"/>
  <c r="AO46" i="35" s="1"/>
  <c r="AO47" i="35" a="1"/>
  <c r="AO47" i="35" s="1"/>
  <c r="AO48" i="35" a="1"/>
  <c r="AO48" i="35" s="1"/>
  <c r="AO49" i="35" a="1"/>
  <c r="AO49" i="35" s="1"/>
  <c r="AO50" i="35" a="1"/>
  <c r="AO50" i="35" s="1"/>
  <c r="AO51" i="35" a="1"/>
  <c r="AO51" i="35" s="1"/>
  <c r="AO52" i="35" a="1"/>
  <c r="AO52" i="35" s="1"/>
  <c r="AO53" i="35" a="1"/>
  <c r="AO53" i="35" s="1"/>
  <c r="AO54" i="35" a="1"/>
  <c r="AO54" i="35" s="1"/>
  <c r="AO55" i="35" a="1"/>
  <c r="AO55" i="35"/>
  <c r="AO56" i="35" a="1"/>
  <c r="AO56" i="35"/>
  <c r="AO57" i="35" a="1"/>
  <c r="AO57" i="35"/>
  <c r="AO58" i="35" a="1"/>
  <c r="AO58" i="35"/>
  <c r="AO59" i="35" a="1"/>
  <c r="AO59" i="35"/>
  <c r="AO60" i="35" a="1"/>
  <c r="AO60" i="35"/>
  <c r="AO61" i="35" a="1"/>
  <c r="AO61" i="35"/>
  <c r="AM9" i="36" a="1"/>
  <c r="AM9" i="36" s="1"/>
  <c r="AM10" i="36" a="1"/>
  <c r="AM10" i="36" s="1"/>
  <c r="AM11" i="36" a="1"/>
  <c r="AM11" i="36" s="1"/>
  <c r="AM12" i="36" a="1"/>
  <c r="AM12" i="36"/>
  <c r="AM13" i="36" a="1"/>
  <c r="AM13" i="36" s="1"/>
  <c r="AM14" i="36" a="1"/>
  <c r="AM14" i="36" s="1"/>
  <c r="AM15" i="36" a="1"/>
  <c r="AM15" i="36" s="1"/>
  <c r="AM16" i="36" a="1"/>
  <c r="AM16" i="36"/>
  <c r="AM17" i="36" a="1"/>
  <c r="AM17" i="36" s="1"/>
  <c r="AM18" i="36" a="1"/>
  <c r="AM18" i="36" s="1"/>
  <c r="AM19" i="36" a="1"/>
  <c r="AM19" i="36" s="1"/>
  <c r="AM20" i="36" a="1"/>
  <c r="AM20" i="36"/>
  <c r="AM21" i="36" a="1"/>
  <c r="AM21" i="36" s="1"/>
  <c r="AM22" i="36" a="1"/>
  <c r="AM22" i="36" s="1"/>
  <c r="AM23" i="36" a="1"/>
  <c r="AM23" i="36" s="1"/>
  <c r="AM24" i="36" a="1"/>
  <c r="AM24" i="36"/>
  <c r="AM25" i="36" a="1"/>
  <c r="AM25" i="36" s="1"/>
  <c r="AM26" i="36" a="1"/>
  <c r="AM26" i="36" s="1"/>
  <c r="AM27" i="36" a="1"/>
  <c r="AM27" i="36" s="1"/>
  <c r="AM28" i="36" a="1"/>
  <c r="AM28" i="36"/>
  <c r="AM29" i="36" a="1"/>
  <c r="AM29" i="36" s="1"/>
  <c r="AM30" i="36" a="1"/>
  <c r="AM30" i="36" s="1"/>
  <c r="AM31" i="36" a="1"/>
  <c r="AM31" i="36" s="1"/>
  <c r="AM32" i="36" a="1"/>
  <c r="AM32" i="36"/>
  <c r="AM33" i="36" a="1"/>
  <c r="AM33" i="36" s="1"/>
  <c r="AM34" i="36" a="1"/>
  <c r="AM34" i="36" s="1"/>
  <c r="AM35" i="36" a="1"/>
  <c r="AM35" i="36" s="1"/>
  <c r="AM36" i="36" a="1"/>
  <c r="AM36" i="36" s="1"/>
  <c r="AM37" i="36" a="1"/>
  <c r="AM37" i="36" s="1"/>
  <c r="AM38" i="36" a="1"/>
  <c r="AM38" i="36" s="1"/>
  <c r="AM39" i="36" a="1"/>
  <c r="AM39" i="36"/>
  <c r="AM40" i="36" a="1"/>
  <c r="AM40" i="36" s="1"/>
  <c r="AM41" i="36" a="1"/>
  <c r="AM41" i="36" s="1"/>
  <c r="AM42" i="36" a="1"/>
  <c r="AM42" i="36" s="1"/>
  <c r="AM43" i="36" a="1"/>
  <c r="AM43" i="36"/>
  <c r="AM44" i="36" a="1"/>
  <c r="AM44" i="36" s="1"/>
  <c r="AM45" i="36" a="1"/>
  <c r="AM45" i="36" s="1"/>
  <c r="AM46" i="36" a="1"/>
  <c r="AM46" i="36" s="1"/>
  <c r="AM47" i="36" a="1"/>
  <c r="AM47" i="36" s="1"/>
  <c r="AM48" i="36" a="1"/>
  <c r="AM48" i="36" s="1"/>
  <c r="AM49" i="36" a="1"/>
  <c r="AM49" i="36" s="1"/>
  <c r="AM50" i="36" a="1"/>
  <c r="AM50" i="36" s="1"/>
  <c r="AM51" i="36" a="1"/>
  <c r="AM51" i="36"/>
  <c r="AM52" i="36" a="1"/>
  <c r="AM52" i="36"/>
  <c r="AM53" i="36" a="1"/>
  <c r="AM53" i="36"/>
  <c r="AM54" i="36" a="1"/>
  <c r="AM54" i="36"/>
  <c r="AM55" i="36" a="1"/>
  <c r="AM55" i="36"/>
  <c r="AM56" i="36" a="1"/>
  <c r="AM56" i="36"/>
  <c r="AM57" i="36" a="1"/>
  <c r="AM57" i="36"/>
  <c r="AM58" i="36" a="1"/>
  <c r="AM58" i="36"/>
  <c r="AM59" i="36" a="1"/>
  <c r="AM59" i="36"/>
  <c r="AN9" i="17" a="1"/>
  <c r="AN9" i="17" s="1"/>
  <c r="AN10" i="17" a="1"/>
  <c r="AN10" i="17" s="1"/>
  <c r="AN11" i="17" a="1"/>
  <c r="AN11" i="17" s="1"/>
  <c r="AN12" i="17" a="1"/>
  <c r="AN12" i="17" s="1"/>
  <c r="AN13" i="17" a="1"/>
  <c r="AN13" i="17"/>
  <c r="AN14" i="17" a="1"/>
  <c r="AN14" i="17" s="1"/>
  <c r="AN15" i="17" a="1"/>
  <c r="AN15" i="17" s="1"/>
  <c r="AN16" i="17" a="1"/>
  <c r="AN16" i="17" s="1"/>
  <c r="AN17" i="17" a="1"/>
  <c r="AN17" i="17" s="1"/>
  <c r="AN18" i="17" a="1"/>
  <c r="AN18" i="17"/>
  <c r="AN19" i="17" a="1"/>
  <c r="AN19" i="17" s="1"/>
  <c r="AN20" i="17" a="1"/>
  <c r="AN20" i="17" s="1"/>
  <c r="AN21" i="17" a="1"/>
  <c r="AN21" i="17" s="1"/>
  <c r="AN22" i="17" a="1"/>
  <c r="AN22" i="17" s="1"/>
  <c r="AN23" i="17" a="1"/>
  <c r="AN23" i="17" s="1"/>
  <c r="AN24" i="17" a="1"/>
  <c r="AN24" i="17" s="1"/>
  <c r="AN25" i="17" a="1"/>
  <c r="AN25" i="17" s="1"/>
  <c r="AN26" i="17" a="1"/>
  <c r="AN26" i="17" s="1"/>
  <c r="AN27" i="17" a="1"/>
  <c r="AN27" i="17"/>
  <c r="AN28" i="17" a="1"/>
  <c r="AN28" i="17" s="1"/>
  <c r="AN29" i="17" a="1"/>
  <c r="AN29" i="17" s="1"/>
  <c r="AN30" i="17" a="1"/>
  <c r="AN30" i="17" s="1"/>
  <c r="AN31" i="17" a="1"/>
  <c r="AN31" i="17" s="1"/>
  <c r="AN32" i="17" a="1"/>
  <c r="AN32" i="17"/>
  <c r="AN33" i="17" a="1"/>
  <c r="AN33" i="17" s="1"/>
  <c r="AN34" i="17" a="1"/>
  <c r="AN34" i="17" s="1"/>
  <c r="AN35" i="17" a="1"/>
  <c r="AN35" i="17" s="1"/>
  <c r="AN36" i="17" a="1"/>
  <c r="AN36" i="17" s="1"/>
  <c r="AN37" i="17" a="1"/>
  <c r="AN37" i="17"/>
  <c r="AN38" i="17" a="1"/>
  <c r="AN38" i="17" s="1"/>
  <c r="AN39" i="17" a="1"/>
  <c r="AN39" i="17" s="1"/>
  <c r="AN40" i="17" a="1"/>
  <c r="AN40" i="17" s="1"/>
  <c r="AN41" i="17" a="1"/>
  <c r="AN41" i="17" s="1"/>
  <c r="AN42" i="17" a="1"/>
  <c r="AN42" i="17"/>
  <c r="AN43" i="17" a="1"/>
  <c r="AN43" i="17" s="1"/>
  <c r="AN44" i="17" a="1"/>
  <c r="AN44" i="17" s="1"/>
  <c r="AN45" i="17" a="1"/>
  <c r="AN45" i="17" s="1"/>
  <c r="AN46" i="17" a="1"/>
  <c r="AN46" i="17"/>
  <c r="AN47" i="17" a="1"/>
  <c r="AN47" i="17"/>
  <c r="AN48" i="17" a="1"/>
  <c r="AN48" i="17"/>
  <c r="AN49" i="17" a="1"/>
  <c r="AN49" i="17"/>
  <c r="AN50" i="17" a="1"/>
  <c r="AN50" i="17"/>
  <c r="AN51" i="17" a="1"/>
  <c r="AN51" i="17"/>
  <c r="AN52" i="17" a="1"/>
  <c r="AN52" i="17"/>
  <c r="AN53" i="17" a="1"/>
  <c r="AN53" i="17" s="1"/>
  <c r="AN54" i="17" a="1"/>
  <c r="AN54" i="17" s="1"/>
  <c r="AN55" i="17" a="1"/>
  <c r="AN55" i="17"/>
  <c r="AN56" i="17" a="1"/>
  <c r="AN56" i="17" s="1"/>
  <c r="AN57" i="17" a="1"/>
  <c r="AN57" i="17" s="1"/>
  <c r="AN58" i="17" a="1"/>
  <c r="AN58" i="17" s="1"/>
  <c r="B57" i="17" a="1"/>
  <c r="B57" i="17" s="1"/>
  <c r="F46" i="28"/>
  <c r="F74" i="28"/>
  <c r="F65" i="28"/>
  <c r="F52" i="28"/>
  <c r="F35" i="28"/>
  <c r="F8" i="28"/>
  <c r="F32" i="28"/>
  <c r="F22" i="28"/>
  <c r="F83" i="28"/>
  <c r="F17" i="28"/>
  <c r="F82" i="28"/>
  <c r="F10" i="28"/>
  <c r="F98" i="28"/>
  <c r="F53" i="28"/>
  <c r="F48" i="28"/>
  <c r="F31" i="28"/>
  <c r="F27" i="28"/>
  <c r="F66" i="28"/>
  <c r="F5" i="28"/>
  <c r="F69" i="28"/>
  <c r="F34" i="28"/>
  <c r="F47" i="28"/>
  <c r="F81" i="28"/>
  <c r="F23" i="28"/>
  <c r="F45" i="28"/>
  <c r="F9" i="28"/>
  <c r="F58" i="28"/>
  <c r="F43" i="28"/>
  <c r="F4" i="28"/>
  <c r="F19" i="28"/>
  <c r="F70" i="28"/>
  <c r="F90" i="28"/>
  <c r="F76" i="28"/>
  <c r="F86" i="28"/>
  <c r="F13" i="28"/>
  <c r="F85" i="28"/>
  <c r="F30" i="28"/>
  <c r="F73" i="28"/>
  <c r="F21" i="28"/>
  <c r="F2" i="28"/>
  <c r="F42" i="28"/>
  <c r="F57" i="28"/>
  <c r="F44" i="28"/>
  <c r="F72" i="28"/>
  <c r="F6" i="28"/>
  <c r="F77" i="28"/>
  <c r="F89" i="28"/>
  <c r="F7" i="28"/>
  <c r="F29" i="28"/>
  <c r="F54" i="28"/>
  <c r="F49" i="28"/>
  <c r="F93" i="28"/>
  <c r="F99" i="28"/>
  <c r="F79" i="28"/>
  <c r="F20" i="28"/>
  <c r="F104" i="28"/>
  <c r="F68" i="28"/>
  <c r="F28" i="28"/>
  <c r="F101" i="28"/>
  <c r="F107" i="28"/>
  <c r="F97" i="28"/>
  <c r="F62" i="28"/>
  <c r="F39" i="28"/>
  <c r="F56" i="28"/>
  <c r="F41" i="28"/>
  <c r="F60" i="28"/>
  <c r="F36" i="28"/>
  <c r="F14" i="28"/>
  <c r="F59" i="28"/>
  <c r="F25" i="28"/>
  <c r="F38" i="28"/>
  <c r="F78" i="28"/>
  <c r="F92" i="28"/>
  <c r="F11" i="28"/>
  <c r="F63" i="28"/>
  <c r="F40" i="28"/>
  <c r="F26" i="28"/>
  <c r="F94" i="28"/>
  <c r="F106" i="28"/>
  <c r="F64" i="28"/>
  <c r="F18" i="28"/>
  <c r="F50" i="28"/>
  <c r="F51" i="28"/>
  <c r="F105" i="28"/>
  <c r="F61" i="28"/>
  <c r="F37" i="28"/>
  <c r="F96" i="28"/>
  <c r="F100" i="28"/>
  <c r="F67" i="28"/>
  <c r="F33" i="28"/>
  <c r="F71" i="28"/>
  <c r="F24" i="28"/>
  <c r="F91" i="28"/>
  <c r="F95" i="28"/>
  <c r="F102" i="28"/>
  <c r="F55" i="28"/>
  <c r="F3" i="28"/>
  <c r="F12" i="28"/>
  <c r="F103" i="28"/>
  <c r="F16" i="28"/>
  <c r="F15" i="28"/>
  <c r="F87" i="28"/>
  <c r="F80" i="28"/>
  <c r="F88" i="28"/>
  <c r="F84" i="28"/>
  <c r="F75" i="28"/>
  <c r="G46" i="28"/>
  <c r="G74" i="28"/>
  <c r="G65" i="28"/>
  <c r="G52" i="28"/>
  <c r="G35" i="28"/>
  <c r="G8" i="28"/>
  <c r="G32" i="28"/>
  <c r="G22" i="28"/>
  <c r="G83" i="28"/>
  <c r="G17" i="28"/>
  <c r="G82" i="28"/>
  <c r="G10" i="28"/>
  <c r="G98" i="28"/>
  <c r="G53" i="28"/>
  <c r="G48" i="28"/>
  <c r="G31" i="28"/>
  <c r="G27" i="28"/>
  <c r="G66" i="28"/>
  <c r="G5" i="28"/>
  <c r="G69" i="28"/>
  <c r="G34" i="28"/>
  <c r="G47" i="28"/>
  <c r="G81" i="28"/>
  <c r="G23" i="28"/>
  <c r="G45" i="28"/>
  <c r="G9" i="28"/>
  <c r="G58" i="28"/>
  <c r="G43" i="28"/>
  <c r="G4" i="28"/>
  <c r="G19" i="28"/>
  <c r="G70" i="28"/>
  <c r="G90" i="28"/>
  <c r="G76" i="28"/>
  <c r="G86" i="28"/>
  <c r="G13" i="28"/>
  <c r="G85" i="28"/>
  <c r="G30" i="28"/>
  <c r="G73" i="28"/>
  <c r="G21" i="28"/>
  <c r="G2" i="28"/>
  <c r="G42" i="28"/>
  <c r="G57" i="28"/>
  <c r="G44" i="28"/>
  <c r="G72" i="28"/>
  <c r="G6" i="28"/>
  <c r="G77" i="28"/>
  <c r="G89" i="28"/>
  <c r="G7" i="28"/>
  <c r="G29" i="28"/>
  <c r="G54" i="28"/>
  <c r="G49" i="28"/>
  <c r="G93" i="28"/>
  <c r="G99" i="28"/>
  <c r="G79" i="28"/>
  <c r="G20" i="28"/>
  <c r="G104" i="28"/>
  <c r="G68" i="28"/>
  <c r="G28" i="28"/>
  <c r="G101" i="28"/>
  <c r="G107" i="28"/>
  <c r="G97" i="28"/>
  <c r="G62" i="28"/>
  <c r="G39" i="28"/>
  <c r="G56" i="28"/>
  <c r="G41" i="28"/>
  <c r="G60" i="28"/>
  <c r="G36" i="28"/>
  <c r="G14" i="28"/>
  <c r="G59" i="28"/>
  <c r="G25" i="28"/>
  <c r="G38" i="28"/>
  <c r="G78" i="28"/>
  <c r="G92" i="28"/>
  <c r="G11" i="28"/>
  <c r="G63" i="28"/>
  <c r="G40" i="28"/>
  <c r="G26" i="28"/>
  <c r="G94" i="28"/>
  <c r="G106" i="28"/>
  <c r="G64" i="28"/>
  <c r="G18" i="28"/>
  <c r="G50" i="28"/>
  <c r="G51" i="28"/>
  <c r="G105" i="28"/>
  <c r="G61" i="28"/>
  <c r="G37" i="28"/>
  <c r="G96" i="28"/>
  <c r="G100" i="28"/>
  <c r="G67" i="28"/>
  <c r="G33" i="28"/>
  <c r="G71" i="28"/>
  <c r="G24" i="28"/>
  <c r="G91" i="28"/>
  <c r="G95" i="28"/>
  <c r="G102" i="28"/>
  <c r="G55" i="28"/>
  <c r="G3" i="28"/>
  <c r="G12" i="28"/>
  <c r="G103" i="28"/>
  <c r="G16" i="28"/>
  <c r="G15" i="28"/>
  <c r="G87" i="28"/>
  <c r="G80" i="28"/>
  <c r="G88" i="28"/>
  <c r="G84" i="28"/>
  <c r="G75" i="28"/>
  <c r="B31" i="17" a="1"/>
  <c r="B31" i="17" s="1"/>
  <c r="B3" i="17" a="1"/>
  <c r="B3" i="17" s="1"/>
  <c r="B4" i="17" a="1"/>
  <c r="B4" i="17" s="1"/>
  <c r="B5" i="17" a="1"/>
  <c r="B5" i="17" s="1"/>
  <c r="B6" i="17" a="1"/>
  <c r="B6" i="17" s="1"/>
  <c r="B7" i="17" a="1"/>
  <c r="B7" i="17" s="1"/>
  <c r="B8" i="17" a="1"/>
  <c r="B8" i="17" s="1"/>
  <c r="B9" i="17" a="1"/>
  <c r="B9" i="17" s="1"/>
  <c r="B10" i="17" a="1"/>
  <c r="B10" i="17" s="1"/>
  <c r="B11" i="17" a="1"/>
  <c r="B11" i="17" s="1"/>
  <c r="B12" i="17" a="1"/>
  <c r="B12" i="17" s="1"/>
  <c r="B13" i="17" a="1"/>
  <c r="B13" i="17" s="1"/>
  <c r="B14" i="17" a="1"/>
  <c r="B14" i="17" s="1"/>
  <c r="B15" i="17" a="1"/>
  <c r="B15" i="17" s="1"/>
  <c r="B16" i="17" a="1"/>
  <c r="B16" i="17" s="1"/>
  <c r="B17" i="17" a="1"/>
  <c r="B17" i="17" s="1"/>
  <c r="B18" i="17" a="1"/>
  <c r="B18" i="17" s="1"/>
  <c r="B19" i="17" a="1"/>
  <c r="B19" i="17" s="1"/>
  <c r="B20" i="17" a="1"/>
  <c r="B20" i="17" s="1"/>
  <c r="B21" i="17" a="1"/>
  <c r="B21" i="17" s="1"/>
  <c r="B22" i="17" a="1"/>
  <c r="B22" i="17" s="1"/>
  <c r="B23" i="17" a="1"/>
  <c r="B23" i="17" s="1"/>
  <c r="B24" i="17" a="1"/>
  <c r="B24" i="17" s="1"/>
  <c r="B25" i="17" a="1"/>
  <c r="B25" i="17" s="1"/>
  <c r="B26" i="17" a="1"/>
  <c r="B26" i="17" s="1"/>
  <c r="B27" i="17" a="1"/>
  <c r="B27" i="17" s="1"/>
  <c r="B28" i="17" a="1"/>
  <c r="B28" i="17" s="1"/>
  <c r="B29" i="17" a="1"/>
  <c r="B29" i="17" s="1"/>
  <c r="B30" i="17" a="1"/>
  <c r="B30" i="17" s="1"/>
  <c r="B32" i="17" a="1"/>
  <c r="B32" i="17" s="1"/>
  <c r="B33" i="17" a="1"/>
  <c r="B33" i="17" s="1"/>
  <c r="B34" i="17" a="1"/>
  <c r="B34" i="17" s="1"/>
  <c r="B35" i="17" a="1"/>
  <c r="B35" i="17" s="1"/>
  <c r="B36" i="17" a="1"/>
  <c r="B36" i="17" s="1"/>
  <c r="B37" i="17" a="1"/>
  <c r="B37" i="17" s="1"/>
  <c r="B38" i="17" a="1"/>
  <c r="B38" i="17" s="1"/>
  <c r="B39" i="17" a="1"/>
  <c r="B39" i="17" s="1"/>
  <c r="B40" i="17" a="1"/>
  <c r="B40" i="17" s="1"/>
  <c r="B41" i="17" a="1"/>
  <c r="B41" i="17" s="1"/>
  <c r="B42" i="17" a="1"/>
  <c r="B42" i="17" s="1"/>
  <c r="B43" i="17" a="1"/>
  <c r="B43" i="17" s="1"/>
  <c r="B44" i="17" a="1"/>
  <c r="B44" i="17" s="1"/>
  <c r="B45" i="17" a="1"/>
  <c r="B45" i="17" s="1"/>
  <c r="B46" i="17" a="1"/>
  <c r="B46" i="17" s="1"/>
  <c r="B47" i="17" a="1"/>
  <c r="B47" i="17" s="1"/>
  <c r="B48" i="17" a="1"/>
  <c r="B48" i="17" s="1"/>
  <c r="B49" i="17" a="1"/>
  <c r="B49" i="17" s="1"/>
  <c r="B50" i="17" a="1"/>
  <c r="B50" i="17" s="1"/>
  <c r="B51" i="17" a="1"/>
  <c r="B51" i="17" s="1"/>
  <c r="B52" i="17" a="1"/>
  <c r="B52" i="17" s="1"/>
  <c r="B53" i="17" a="1"/>
  <c r="B53" i="17" s="1"/>
  <c r="K53" i="17" s="1" a="1"/>
  <c r="K53" i="17" s="1"/>
  <c r="B54" i="17" a="1"/>
  <c r="B54" i="17" s="1"/>
  <c r="B55" i="17" a="1"/>
  <c r="B55" i="17" s="1"/>
  <c r="B56" i="17" a="1"/>
  <c r="B56" i="17" s="1"/>
  <c r="A205" i="22"/>
  <c r="A203" i="22"/>
  <c r="A204" i="22"/>
  <c r="A206" i="22"/>
  <c r="A207" i="22"/>
  <c r="A208" i="22"/>
  <c r="B52" i="36" a="1"/>
  <c r="B52" i="36" s="1"/>
  <c r="B53" i="36" a="1"/>
  <c r="B53" i="36" s="1"/>
  <c r="B54" i="36" a="1"/>
  <c r="B54" i="36" s="1"/>
  <c r="B55" i="36" a="1"/>
  <c r="B55" i="36" s="1"/>
  <c r="B56" i="36" a="1"/>
  <c r="B56" i="36" s="1"/>
  <c r="B57" i="36" a="1"/>
  <c r="B57" i="36"/>
  <c r="B27" i="36" a="1"/>
  <c r="B27" i="36" s="1"/>
  <c r="B6" i="36" a="1"/>
  <c r="B6" i="36" s="1"/>
  <c r="B5" i="36" a="1"/>
  <c r="B5" i="36" s="1"/>
  <c r="B4" i="36" a="1"/>
  <c r="B4" i="36" s="1"/>
  <c r="B3" i="36" a="1"/>
  <c r="B3" i="36" s="1"/>
  <c r="A197" i="22"/>
  <c r="A198" i="22"/>
  <c r="A199" i="22"/>
  <c r="A200" i="22"/>
  <c r="A201" i="22"/>
  <c r="A202" i="22"/>
  <c r="B51" i="36" a="1"/>
  <c r="B51" i="36" s="1"/>
  <c r="B50" i="36" a="1"/>
  <c r="B50" i="36" s="1"/>
  <c r="B49" i="36" a="1"/>
  <c r="B49" i="36" s="1"/>
  <c r="B48" i="36" a="1"/>
  <c r="B48" i="36" s="1"/>
  <c r="B47" i="36" a="1"/>
  <c r="B47" i="36" s="1"/>
  <c r="B46" i="36" a="1"/>
  <c r="B46" i="36" s="1"/>
  <c r="B45" i="36" a="1"/>
  <c r="B45" i="36" s="1"/>
  <c r="B44" i="36" a="1"/>
  <c r="B44" i="36" s="1"/>
  <c r="B43" i="36" a="1"/>
  <c r="B43" i="36" s="1"/>
  <c r="B42" i="36" a="1"/>
  <c r="B42" i="36" s="1"/>
  <c r="B41" i="36" a="1"/>
  <c r="B41" i="36" s="1"/>
  <c r="B40" i="36" a="1"/>
  <c r="B40" i="36" s="1"/>
  <c r="B39" i="36" a="1"/>
  <c r="B39" i="36" s="1"/>
  <c r="B38" i="36" a="1"/>
  <c r="B38" i="36" s="1"/>
  <c r="B37" i="36" a="1"/>
  <c r="B37" i="36" s="1"/>
  <c r="B36" i="36" a="1"/>
  <c r="B36" i="36" s="1"/>
  <c r="B35" i="36" a="1"/>
  <c r="B35" i="36" s="1"/>
  <c r="B34" i="36" a="1"/>
  <c r="B34" i="36" s="1"/>
  <c r="B33" i="36" a="1"/>
  <c r="B33" i="36" s="1"/>
  <c r="B32" i="36" a="1"/>
  <c r="B32" i="36" s="1"/>
  <c r="B31" i="36" a="1"/>
  <c r="B31" i="36" s="1"/>
  <c r="B30" i="36" a="1"/>
  <c r="B30" i="36" s="1"/>
  <c r="B29" i="36" a="1"/>
  <c r="B29" i="36" s="1"/>
  <c r="B28" i="36" a="1"/>
  <c r="B28" i="36" s="1"/>
  <c r="B26" i="36" a="1"/>
  <c r="B26" i="36" s="1"/>
  <c r="B25" i="36" a="1"/>
  <c r="B25" i="36" s="1"/>
  <c r="B24" i="36" a="1"/>
  <c r="B24" i="36" s="1"/>
  <c r="B23" i="36" a="1"/>
  <c r="B23" i="36" s="1"/>
  <c r="B22" i="36" a="1"/>
  <c r="B22" i="36" s="1"/>
  <c r="B21" i="36" a="1"/>
  <c r="B21" i="36" s="1"/>
  <c r="B20" i="36" a="1"/>
  <c r="B20" i="36" s="1"/>
  <c r="B19" i="36" a="1"/>
  <c r="B19" i="36" s="1"/>
  <c r="B18" i="36" a="1"/>
  <c r="B18" i="36" s="1"/>
  <c r="B17" i="36" a="1"/>
  <c r="B17" i="36" s="1"/>
  <c r="B16" i="36" a="1"/>
  <c r="B16" i="36" s="1"/>
  <c r="B15" i="36" a="1"/>
  <c r="B15" i="36" s="1"/>
  <c r="B14" i="36" a="1"/>
  <c r="B14" i="36" s="1"/>
  <c r="BM13" i="36" a="1"/>
  <c r="BM13" i="36" s="1"/>
  <c r="AP13" i="36" s="1"/>
  <c r="B13" i="36" a="1"/>
  <c r="B13" i="36" s="1"/>
  <c r="BM12" i="36" a="1"/>
  <c r="BM12" i="36" s="1"/>
  <c r="AP12" i="36" s="1"/>
  <c r="B12" i="36" a="1"/>
  <c r="B12" i="36" s="1"/>
  <c r="BM11" i="36" a="1"/>
  <c r="BM11" i="36" s="1"/>
  <c r="AP11" i="36" s="1"/>
  <c r="B11" i="36" a="1"/>
  <c r="B11" i="36" s="1"/>
  <c r="BM10" i="36" a="1"/>
  <c r="BM10" i="36" s="1"/>
  <c r="AP10" i="36" s="1"/>
  <c r="B10" i="36" a="1"/>
  <c r="B10" i="36" s="1"/>
  <c r="BM9" i="36" a="1"/>
  <c r="BM9" i="36" s="1"/>
  <c r="AP9" i="36" s="1"/>
  <c r="B9" i="36" a="1"/>
  <c r="B9" i="36" s="1"/>
  <c r="B8" i="36" a="1"/>
  <c r="B8" i="36" s="1"/>
  <c r="B7" i="36" a="1"/>
  <c r="B7" i="36" s="1"/>
  <c r="B59" i="35" a="1"/>
  <c r="B59" i="35" s="1"/>
  <c r="B58" i="35" a="1"/>
  <c r="B58" i="35" s="1"/>
  <c r="B57" i="35" a="1"/>
  <c r="B57" i="35" s="1"/>
  <c r="B56" i="35" a="1"/>
  <c r="B56" i="35" s="1"/>
  <c r="B55" i="35" a="1"/>
  <c r="B55" i="35" s="1"/>
  <c r="B54" i="35" a="1"/>
  <c r="B54" i="35" s="1"/>
  <c r="B53" i="35" a="1"/>
  <c r="B53" i="35" s="1"/>
  <c r="B52" i="35" a="1"/>
  <c r="B52" i="35" s="1"/>
  <c r="B51" i="35" a="1"/>
  <c r="B51" i="35" s="1"/>
  <c r="B50" i="35" a="1"/>
  <c r="B50" i="35" s="1"/>
  <c r="B49" i="35" a="1"/>
  <c r="B49" i="35" s="1"/>
  <c r="B48" i="35" a="1"/>
  <c r="B48" i="35" s="1"/>
  <c r="B47" i="35" a="1"/>
  <c r="B47" i="35" s="1"/>
  <c r="B46" i="35" a="1"/>
  <c r="B46" i="35" s="1"/>
  <c r="B45" i="35" a="1"/>
  <c r="B45" i="35" s="1"/>
  <c r="B44" i="35" a="1"/>
  <c r="B44" i="35" s="1"/>
  <c r="B43" i="35" a="1"/>
  <c r="B43" i="35" s="1"/>
  <c r="B42" i="35" a="1"/>
  <c r="B42" i="35" s="1"/>
  <c r="B41" i="35" a="1"/>
  <c r="B41" i="35" s="1"/>
  <c r="B40" i="35" a="1"/>
  <c r="B40" i="35" s="1"/>
  <c r="B39" i="35" a="1"/>
  <c r="B39" i="35" s="1"/>
  <c r="B38" i="35" a="1"/>
  <c r="B38" i="35" s="1"/>
  <c r="B37" i="35" a="1"/>
  <c r="B37" i="35" s="1"/>
  <c r="B36" i="35" a="1"/>
  <c r="B36" i="35" s="1"/>
  <c r="B35" i="35" a="1"/>
  <c r="B35" i="35" s="1"/>
  <c r="B34" i="35" a="1"/>
  <c r="B34" i="35" s="1"/>
  <c r="B33" i="35" a="1"/>
  <c r="B33" i="35" s="1"/>
  <c r="B32" i="35" a="1"/>
  <c r="B32" i="35" s="1"/>
  <c r="B31" i="35" a="1"/>
  <c r="B31" i="35" s="1"/>
  <c r="B30" i="35" a="1"/>
  <c r="B30" i="35" s="1"/>
  <c r="B29" i="35" a="1"/>
  <c r="B29" i="35" s="1"/>
  <c r="B28" i="35" a="1"/>
  <c r="B28" i="35" s="1"/>
  <c r="B27" i="35" a="1"/>
  <c r="B27" i="35" s="1"/>
  <c r="B26" i="35" a="1"/>
  <c r="B26" i="35" s="1"/>
  <c r="B25" i="35" a="1"/>
  <c r="B25" i="35" s="1"/>
  <c r="B24" i="35" a="1"/>
  <c r="B24" i="35" s="1"/>
  <c r="B23" i="35" a="1"/>
  <c r="B23" i="35" s="1"/>
  <c r="B22" i="35" a="1"/>
  <c r="B22" i="35" s="1"/>
  <c r="B21" i="35" a="1"/>
  <c r="B21" i="35" s="1"/>
  <c r="B20" i="35" a="1"/>
  <c r="B20" i="35" s="1"/>
  <c r="B19" i="35" a="1"/>
  <c r="B19" i="35" s="1"/>
  <c r="B18" i="35" a="1"/>
  <c r="B18" i="35" s="1"/>
  <c r="B17" i="35" a="1"/>
  <c r="B17" i="35" s="1"/>
  <c r="B16" i="35" a="1"/>
  <c r="B16" i="35" s="1"/>
  <c r="B15" i="35" a="1"/>
  <c r="B15" i="35" s="1"/>
  <c r="B14" i="35" a="1"/>
  <c r="B14" i="35" s="1"/>
  <c r="BQ13" i="35" a="1"/>
  <c r="BQ13" i="35" s="1"/>
  <c r="AR13" i="35" s="1"/>
  <c r="B13" i="35" a="1"/>
  <c r="B13" i="35" s="1"/>
  <c r="BQ12" i="35" a="1"/>
  <c r="BQ12" i="35" s="1"/>
  <c r="AR12" i="35" s="1"/>
  <c r="B12" i="35" a="1"/>
  <c r="B12" i="35" s="1"/>
  <c r="BQ11" i="35" a="1"/>
  <c r="BQ11" i="35" s="1"/>
  <c r="AR11" i="35" s="1"/>
  <c r="B11" i="35" a="1"/>
  <c r="B11" i="35" s="1"/>
  <c r="BQ10" i="35" a="1"/>
  <c r="BQ10" i="35" s="1"/>
  <c r="AR10" i="35" s="1"/>
  <c r="B10" i="35" a="1"/>
  <c r="B10" i="35" s="1"/>
  <c r="BQ9" i="35" a="1"/>
  <c r="BQ9" i="35" s="1"/>
  <c r="AR9" i="35" s="1"/>
  <c r="B9" i="35" a="1"/>
  <c r="B9" i="35" s="1"/>
  <c r="B8" i="35" a="1"/>
  <c r="B8" i="35" s="1"/>
  <c r="B7" i="35" a="1"/>
  <c r="B7" i="35" s="1"/>
  <c r="B6" i="35" a="1"/>
  <c r="B6" i="35" s="1"/>
  <c r="B5" i="35" a="1"/>
  <c r="B5" i="35" s="1"/>
  <c r="B4" i="35" a="1"/>
  <c r="B4" i="35" s="1"/>
  <c r="B3" i="35" a="1"/>
  <c r="B3" i="35" s="1"/>
  <c r="K57" i="17" l="1" a="1"/>
  <c r="K57" i="17" s="1"/>
  <c r="J57" i="17" a="1"/>
  <c r="J57" i="17" s="1"/>
  <c r="I57" i="17" a="1"/>
  <c r="I57" i="17" s="1"/>
  <c r="H57" i="17" a="1"/>
  <c r="H57" i="17" s="1"/>
  <c r="A57" i="17" a="1"/>
  <c r="A57" i="17" s="1"/>
  <c r="E57" i="17" s="1"/>
  <c r="P58" i="17"/>
  <c r="P48" i="36"/>
  <c r="H57" i="36" a="1"/>
  <c r="H57" i="36" s="1"/>
  <c r="H56" i="36" a="1"/>
  <c r="H56" i="36" s="1"/>
  <c r="H55" i="36" a="1"/>
  <c r="H55" i="36" s="1"/>
  <c r="A52" i="36" a="1"/>
  <c r="A52" i="36" s="1"/>
  <c r="I52" i="36" a="1"/>
  <c r="I52" i="36" s="1"/>
  <c r="J52" i="36" a="1"/>
  <c r="J52" i="36" s="1"/>
  <c r="K52" i="36" a="1"/>
  <c r="K52" i="36" s="1"/>
  <c r="A53" i="36" a="1"/>
  <c r="A53" i="36" s="1"/>
  <c r="I53" i="36" a="1"/>
  <c r="I53" i="36" s="1"/>
  <c r="J53" i="36" a="1"/>
  <c r="J53" i="36" s="1"/>
  <c r="K53" i="36" a="1"/>
  <c r="K53" i="36" s="1"/>
  <c r="H54" i="36" a="1"/>
  <c r="H54" i="36" s="1"/>
  <c r="K54" i="36" a="1"/>
  <c r="K54" i="36" s="1"/>
  <c r="J54" i="36" a="1"/>
  <c r="J54" i="36" s="1"/>
  <c r="I54" i="36" a="1"/>
  <c r="I54" i="36" s="1"/>
  <c r="A54" i="36" a="1"/>
  <c r="A54" i="36" s="1"/>
  <c r="K55" i="36" a="1"/>
  <c r="K55" i="36" s="1"/>
  <c r="J55" i="36" a="1"/>
  <c r="J55" i="36" s="1"/>
  <c r="I55" i="36" a="1"/>
  <c r="I55" i="36" s="1"/>
  <c r="A55" i="36" a="1"/>
  <c r="A55" i="36" s="1"/>
  <c r="A56" i="36" a="1"/>
  <c r="A56" i="36" s="1"/>
  <c r="I56" i="36" a="1"/>
  <c r="I56" i="36" s="1"/>
  <c r="J56" i="36" a="1"/>
  <c r="J56" i="36" s="1"/>
  <c r="K56" i="36" a="1"/>
  <c r="K56" i="36" s="1"/>
  <c r="A57" i="36" a="1"/>
  <c r="A57" i="36" s="1"/>
  <c r="E57" i="36" s="1"/>
  <c r="I57" i="36" a="1"/>
  <c r="I57" i="36" s="1"/>
  <c r="J57" i="36" a="1"/>
  <c r="J57" i="36" s="1"/>
  <c r="K57" i="36" a="1"/>
  <c r="K57" i="36" s="1"/>
  <c r="E53" i="36"/>
  <c r="E54" i="36"/>
  <c r="E55" i="36"/>
  <c r="E56" i="36"/>
  <c r="H52" i="36" a="1"/>
  <c r="H52" i="36" s="1"/>
  <c r="H53" i="36" a="1"/>
  <c r="H53" i="36" s="1"/>
  <c r="H51" i="36" a="1"/>
  <c r="H51" i="36" s="1"/>
  <c r="I51" i="36" a="1"/>
  <c r="I51" i="36" s="1"/>
  <c r="J51" i="36" a="1"/>
  <c r="J51" i="36" s="1"/>
  <c r="K51" i="36" a="1"/>
  <c r="K51" i="36" s="1"/>
  <c r="A51" i="36" a="1"/>
  <c r="A51" i="36" s="1"/>
  <c r="H50" i="36" a="1"/>
  <c r="H50" i="36" s="1"/>
  <c r="I50" i="36" a="1"/>
  <c r="I50" i="36" s="1"/>
  <c r="J50" i="36" a="1"/>
  <c r="J50" i="36" s="1"/>
  <c r="K50" i="36" a="1"/>
  <c r="K50" i="36" s="1"/>
  <c r="A50" i="36" a="1"/>
  <c r="A50" i="36" s="1"/>
  <c r="H49" i="36" a="1"/>
  <c r="H49" i="36" s="1"/>
  <c r="I49" i="36" a="1"/>
  <c r="I49" i="36" s="1"/>
  <c r="J49" i="36" a="1"/>
  <c r="J49" i="36" s="1"/>
  <c r="K49" i="36" a="1"/>
  <c r="K49" i="36" s="1"/>
  <c r="A49" i="36" a="1"/>
  <c r="A49" i="36" s="1"/>
  <c r="H48" i="36" a="1"/>
  <c r="H48" i="36" s="1"/>
  <c r="I48" i="36" a="1"/>
  <c r="I48" i="36" s="1"/>
  <c r="J48" i="36" a="1"/>
  <c r="J48" i="36" s="1"/>
  <c r="K48" i="36" a="1"/>
  <c r="K48" i="36" s="1"/>
  <c r="A48" i="36" a="1"/>
  <c r="A48" i="36" s="1"/>
  <c r="H47" i="36" a="1"/>
  <c r="H47" i="36" s="1"/>
  <c r="I47" i="36" a="1"/>
  <c r="I47" i="36" s="1"/>
  <c r="J47" i="36" a="1"/>
  <c r="J47" i="36" s="1"/>
  <c r="K47" i="36" a="1"/>
  <c r="K47" i="36" s="1"/>
  <c r="A47" i="36" a="1"/>
  <c r="A47" i="36" s="1"/>
  <c r="H46" i="36" a="1"/>
  <c r="H46" i="36" s="1"/>
  <c r="I46" i="36" a="1"/>
  <c r="I46" i="36" s="1"/>
  <c r="J46" i="36" a="1"/>
  <c r="J46" i="36" s="1"/>
  <c r="K46" i="36" a="1"/>
  <c r="K46" i="36" s="1"/>
  <c r="A46" i="36" a="1"/>
  <c r="A46" i="36" s="1"/>
  <c r="H45" i="36" a="1"/>
  <c r="H45" i="36" s="1"/>
  <c r="I45" i="36" a="1"/>
  <c r="I45" i="36" s="1"/>
  <c r="J45" i="36" a="1"/>
  <c r="J45" i="36" s="1"/>
  <c r="K45" i="36" a="1"/>
  <c r="K45" i="36" s="1"/>
  <c r="A45" i="36" a="1"/>
  <c r="A45" i="36" s="1"/>
  <c r="H44" i="36" a="1"/>
  <c r="H44" i="36" s="1"/>
  <c r="I44" i="36" a="1"/>
  <c r="I44" i="36" s="1"/>
  <c r="J44" i="36" a="1"/>
  <c r="J44" i="36" s="1"/>
  <c r="K44" i="36" a="1"/>
  <c r="K44" i="36" s="1"/>
  <c r="A44" i="36" a="1"/>
  <c r="A44" i="36" s="1"/>
  <c r="H43" i="36" a="1"/>
  <c r="H43" i="36" s="1"/>
  <c r="I43" i="36" a="1"/>
  <c r="I43" i="36" s="1"/>
  <c r="J43" i="36" a="1"/>
  <c r="J43" i="36" s="1"/>
  <c r="K43" i="36" a="1"/>
  <c r="K43" i="36" s="1"/>
  <c r="A43" i="36" a="1"/>
  <c r="A43" i="36" s="1"/>
  <c r="H42" i="36" a="1"/>
  <c r="H42" i="36" s="1"/>
  <c r="I42" i="36" a="1"/>
  <c r="I42" i="36" s="1"/>
  <c r="J42" i="36" a="1"/>
  <c r="J42" i="36" s="1"/>
  <c r="K42" i="36" a="1"/>
  <c r="K42" i="36" s="1"/>
  <c r="A42" i="36" a="1"/>
  <c r="A42" i="36" s="1"/>
  <c r="I41" i="36" a="1"/>
  <c r="I41" i="36" s="1"/>
  <c r="A41" i="36" a="1"/>
  <c r="A41" i="36" s="1"/>
  <c r="H41" i="36" a="1"/>
  <c r="H41" i="36" s="1"/>
  <c r="J41" i="36" a="1"/>
  <c r="J41" i="36" s="1"/>
  <c r="K41" i="36" a="1"/>
  <c r="K41" i="36" s="1"/>
  <c r="J40" i="36" a="1"/>
  <c r="J40" i="36" s="1"/>
  <c r="A40" i="36" a="1"/>
  <c r="A40" i="36" s="1"/>
  <c r="H40" i="36" a="1"/>
  <c r="H40" i="36" s="1"/>
  <c r="I40" i="36" a="1"/>
  <c r="I40" i="36" s="1"/>
  <c r="K40" i="36" a="1"/>
  <c r="K40" i="36" s="1"/>
  <c r="J39" i="36" a="1"/>
  <c r="J39" i="36" s="1"/>
  <c r="A39" i="36" a="1"/>
  <c r="A39" i="36" s="1"/>
  <c r="H39" i="36" a="1"/>
  <c r="H39" i="36" s="1"/>
  <c r="I39" i="36" a="1"/>
  <c r="I39" i="36" s="1"/>
  <c r="K39" i="36" a="1"/>
  <c r="K39" i="36" s="1"/>
  <c r="H38" i="36" a="1"/>
  <c r="H38" i="36" s="1"/>
  <c r="I38" i="36" a="1"/>
  <c r="I38" i="36" s="1"/>
  <c r="K38" i="36" a="1"/>
  <c r="K38" i="36" s="1"/>
  <c r="J38" i="36" a="1"/>
  <c r="J38" i="36" s="1"/>
  <c r="A38" i="36" a="1"/>
  <c r="A38" i="36" s="1"/>
  <c r="H37" i="36" a="1"/>
  <c r="H37" i="36" s="1"/>
  <c r="J37" i="36" a="1"/>
  <c r="J37" i="36" s="1"/>
  <c r="A37" i="36" a="1"/>
  <c r="A37" i="36" s="1"/>
  <c r="I37" i="36" a="1"/>
  <c r="I37" i="36" s="1"/>
  <c r="K37" i="36" a="1"/>
  <c r="K37" i="36" s="1"/>
  <c r="H36" i="36" a="1"/>
  <c r="H36" i="36" s="1"/>
  <c r="I36" i="36" a="1"/>
  <c r="I36" i="36" s="1"/>
  <c r="K36" i="36" a="1"/>
  <c r="K36" i="36" s="1"/>
  <c r="J36" i="36" a="1"/>
  <c r="J36" i="36" s="1"/>
  <c r="A36" i="36" a="1"/>
  <c r="A36" i="36" s="1"/>
  <c r="I35" i="36" a="1"/>
  <c r="I35" i="36" s="1"/>
  <c r="H35" i="36" a="1"/>
  <c r="H35" i="36" s="1"/>
  <c r="J35" i="36" a="1"/>
  <c r="J35" i="36" s="1"/>
  <c r="K35" i="36" a="1"/>
  <c r="K35" i="36" s="1"/>
  <c r="A35" i="36" a="1"/>
  <c r="A35" i="36" s="1"/>
  <c r="I34" i="36" a="1"/>
  <c r="I34" i="36" s="1"/>
  <c r="A34" i="36" a="1"/>
  <c r="A34" i="36" s="1"/>
  <c r="H34" i="36" a="1"/>
  <c r="H34" i="36" s="1"/>
  <c r="J34" i="36" a="1"/>
  <c r="J34" i="36" s="1"/>
  <c r="K34" i="36" a="1"/>
  <c r="K34" i="36" s="1"/>
  <c r="A33" i="36" a="1"/>
  <c r="A33" i="36" s="1"/>
  <c r="H33" i="36" a="1"/>
  <c r="H33" i="36" s="1"/>
  <c r="I33" i="36" a="1"/>
  <c r="I33" i="36" s="1"/>
  <c r="J33" i="36" a="1"/>
  <c r="J33" i="36" s="1"/>
  <c r="K33" i="36" a="1"/>
  <c r="K33" i="36" s="1"/>
  <c r="H32" i="36" a="1"/>
  <c r="H32" i="36" s="1"/>
  <c r="I32" i="36" a="1"/>
  <c r="I32" i="36" s="1"/>
  <c r="K32" i="36" a="1"/>
  <c r="K32" i="36" s="1"/>
  <c r="J32" i="36" a="1"/>
  <c r="J32" i="36" s="1"/>
  <c r="A32" i="36" a="1"/>
  <c r="A32" i="36" s="1"/>
  <c r="A31" i="36" a="1"/>
  <c r="A31" i="36" s="1"/>
  <c r="H31" i="36" a="1"/>
  <c r="H31" i="36" s="1"/>
  <c r="I31" i="36" a="1"/>
  <c r="I31" i="36" s="1"/>
  <c r="J31" i="36" a="1"/>
  <c r="J31" i="36" s="1"/>
  <c r="K31" i="36" a="1"/>
  <c r="K31" i="36" s="1"/>
  <c r="H30" i="36" a="1"/>
  <c r="H30" i="36" s="1"/>
  <c r="A30" i="36" a="1"/>
  <c r="A30" i="36" s="1"/>
  <c r="I30" i="36" a="1"/>
  <c r="I30" i="36" s="1"/>
  <c r="J30" i="36" a="1"/>
  <c r="J30" i="36" s="1"/>
  <c r="K30" i="36" a="1"/>
  <c r="K30" i="36" s="1"/>
  <c r="I29" i="36" a="1"/>
  <c r="I29" i="36" s="1"/>
  <c r="J29" i="36" a="1"/>
  <c r="J29" i="36" s="1"/>
  <c r="H29" i="36" a="1"/>
  <c r="H29" i="36" s="1"/>
  <c r="K29" i="36" a="1"/>
  <c r="K29" i="36" s="1"/>
  <c r="A29" i="36" a="1"/>
  <c r="A29" i="36" s="1"/>
  <c r="A28" i="36" a="1"/>
  <c r="A28" i="36" s="1"/>
  <c r="H28" i="36" a="1"/>
  <c r="H28" i="36" s="1"/>
  <c r="I28" i="36" a="1"/>
  <c r="I28" i="36" s="1"/>
  <c r="J28" i="36" a="1"/>
  <c r="J28" i="36" s="1"/>
  <c r="K28" i="36" a="1"/>
  <c r="K28" i="36" s="1"/>
  <c r="H27" i="36" a="1"/>
  <c r="H27" i="36" s="1"/>
  <c r="A27" i="36" a="1"/>
  <c r="A27" i="36" s="1"/>
  <c r="I27" i="36" a="1"/>
  <c r="I27" i="36" s="1"/>
  <c r="J27" i="36" a="1"/>
  <c r="J27" i="36" s="1"/>
  <c r="K27" i="36" a="1"/>
  <c r="K27" i="36" s="1"/>
  <c r="J26" i="36" a="1"/>
  <c r="J26" i="36" s="1"/>
  <c r="I26" i="36" a="1"/>
  <c r="I26" i="36" s="1"/>
  <c r="A26" i="36" a="1"/>
  <c r="A26" i="36" s="1"/>
  <c r="H26" i="36" a="1"/>
  <c r="H26" i="36" s="1"/>
  <c r="K26" i="36" a="1"/>
  <c r="K26" i="36" s="1"/>
  <c r="H25" i="36" a="1"/>
  <c r="H25" i="36" s="1"/>
  <c r="I25" i="36" a="1"/>
  <c r="I25" i="36" s="1"/>
  <c r="J25" i="36" a="1"/>
  <c r="J25" i="36" s="1"/>
  <c r="K25" i="36" a="1"/>
  <c r="K25" i="36" s="1"/>
  <c r="A25" i="36" a="1"/>
  <c r="A25" i="36" s="1"/>
  <c r="H24" i="36" a="1"/>
  <c r="H24" i="36" s="1"/>
  <c r="J24" i="36" a="1"/>
  <c r="J24" i="36" s="1"/>
  <c r="K24" i="36" a="1"/>
  <c r="K24" i="36" s="1"/>
  <c r="A24" i="36" a="1"/>
  <c r="A24" i="36" s="1"/>
  <c r="I24" i="36" a="1"/>
  <c r="I24" i="36" s="1"/>
  <c r="K23" i="36" a="1"/>
  <c r="K23" i="36" s="1"/>
  <c r="H23" i="36" a="1"/>
  <c r="H23" i="36" s="1"/>
  <c r="A23" i="36" a="1"/>
  <c r="A23" i="36" s="1"/>
  <c r="I23" i="36" a="1"/>
  <c r="I23" i="36" s="1"/>
  <c r="J23" i="36" a="1"/>
  <c r="J23" i="36" s="1"/>
  <c r="H22" i="36" a="1"/>
  <c r="H22" i="36" s="1"/>
  <c r="I22" i="36" a="1"/>
  <c r="I22" i="36" s="1"/>
  <c r="J22" i="36" a="1"/>
  <c r="J22" i="36" s="1"/>
  <c r="K22" i="36" a="1"/>
  <c r="K22" i="36" s="1"/>
  <c r="A22" i="36" a="1"/>
  <c r="A22" i="36" s="1"/>
  <c r="H21" i="36" a="1"/>
  <c r="H21" i="36" s="1"/>
  <c r="J21" i="36" a="1"/>
  <c r="J21" i="36" s="1"/>
  <c r="K21" i="36" a="1"/>
  <c r="K21" i="36" s="1"/>
  <c r="A21" i="36" a="1"/>
  <c r="A21" i="36" s="1"/>
  <c r="I21" i="36" a="1"/>
  <c r="I21" i="36" s="1"/>
  <c r="K20" i="36" a="1"/>
  <c r="K20" i="36" s="1"/>
  <c r="A20" i="36" a="1"/>
  <c r="A20" i="36" s="1"/>
  <c r="I20" i="36" a="1"/>
  <c r="I20" i="36" s="1"/>
  <c r="H20" i="36" a="1"/>
  <c r="H20" i="36" s="1"/>
  <c r="J20" i="36" a="1"/>
  <c r="J20" i="36" s="1"/>
  <c r="H19" i="36" a="1"/>
  <c r="H19" i="36" s="1"/>
  <c r="I19" i="36" a="1"/>
  <c r="I19" i="36" s="1"/>
  <c r="J19" i="36" a="1"/>
  <c r="J19" i="36" s="1"/>
  <c r="K19" i="36" a="1"/>
  <c r="K19" i="36" s="1"/>
  <c r="A19" i="36" a="1"/>
  <c r="A19" i="36" s="1"/>
  <c r="I18" i="36" a="1"/>
  <c r="I18" i="36" s="1"/>
  <c r="K18" i="36" a="1"/>
  <c r="K18" i="36" s="1"/>
  <c r="A18" i="36" a="1"/>
  <c r="A18" i="36" s="1"/>
  <c r="H18" i="36" a="1"/>
  <c r="H18" i="36" s="1"/>
  <c r="J18" i="36" a="1"/>
  <c r="J18" i="36" s="1"/>
  <c r="I17" i="36" a="1"/>
  <c r="I17" i="36" s="1"/>
  <c r="H17" i="36" a="1"/>
  <c r="H17" i="36" s="1"/>
  <c r="J17" i="36" a="1"/>
  <c r="J17" i="36" s="1"/>
  <c r="K17" i="36" a="1"/>
  <c r="K17" i="36" s="1"/>
  <c r="A17" i="36" a="1"/>
  <c r="A17" i="36" s="1"/>
  <c r="H16" i="36" a="1"/>
  <c r="H16" i="36" s="1"/>
  <c r="I16" i="36" a="1"/>
  <c r="I16" i="36" s="1"/>
  <c r="K16" i="36" a="1"/>
  <c r="K16" i="36" s="1"/>
  <c r="J16" i="36" a="1"/>
  <c r="J16" i="36" s="1"/>
  <c r="A16" i="36" a="1"/>
  <c r="A16" i="36" s="1"/>
  <c r="H15" i="36" a="1"/>
  <c r="H15" i="36" s="1"/>
  <c r="J15" i="36" a="1"/>
  <c r="J15" i="36" s="1"/>
  <c r="I15" i="36" a="1"/>
  <c r="I15" i="36" s="1"/>
  <c r="K15" i="36" a="1"/>
  <c r="K15" i="36" s="1"/>
  <c r="A15" i="36" a="1"/>
  <c r="A15" i="36" s="1"/>
  <c r="I14" i="36" a="1"/>
  <c r="I14" i="36" s="1"/>
  <c r="J14" i="36" a="1"/>
  <c r="J14" i="36" s="1"/>
  <c r="K14" i="36" a="1"/>
  <c r="K14" i="36" s="1"/>
  <c r="A14" i="36" a="1"/>
  <c r="A14" i="36" s="1"/>
  <c r="H14" i="36" a="1"/>
  <c r="H14" i="36" s="1"/>
  <c r="H13" i="36" a="1"/>
  <c r="H13" i="36" s="1"/>
  <c r="I13" i="36" a="1"/>
  <c r="I13" i="36" s="1"/>
  <c r="J13" i="36" a="1"/>
  <c r="J13" i="36" s="1"/>
  <c r="K13" i="36" a="1"/>
  <c r="K13" i="36" s="1"/>
  <c r="A13" i="36" a="1"/>
  <c r="A13" i="36" s="1"/>
  <c r="H12" i="36" a="1"/>
  <c r="H12" i="36" s="1"/>
  <c r="I12" i="36" a="1"/>
  <c r="I12" i="36" s="1"/>
  <c r="J12" i="36" a="1"/>
  <c r="J12" i="36" s="1"/>
  <c r="K12" i="36" a="1"/>
  <c r="K12" i="36" s="1"/>
  <c r="A12" i="36" a="1"/>
  <c r="A12" i="36" s="1"/>
  <c r="H11" i="36" a="1"/>
  <c r="H11" i="36" s="1"/>
  <c r="I11" i="36" a="1"/>
  <c r="I11" i="36" s="1"/>
  <c r="J11" i="36" a="1"/>
  <c r="J11" i="36" s="1"/>
  <c r="K11" i="36" a="1"/>
  <c r="K11" i="36" s="1"/>
  <c r="A11" i="36" a="1"/>
  <c r="A11" i="36" s="1"/>
  <c r="H10" i="36" a="1"/>
  <c r="H10" i="36" s="1"/>
  <c r="I10" i="36" a="1"/>
  <c r="I10" i="36" s="1"/>
  <c r="J10" i="36" a="1"/>
  <c r="J10" i="36" s="1"/>
  <c r="K10" i="36" a="1"/>
  <c r="K10" i="36" s="1"/>
  <c r="A10" i="36" a="1"/>
  <c r="A10" i="36" s="1"/>
  <c r="H9" i="36" a="1"/>
  <c r="H9" i="36" s="1"/>
  <c r="I9" i="36" a="1"/>
  <c r="I9" i="36" s="1"/>
  <c r="J9" i="36" a="1"/>
  <c r="J9" i="36" s="1"/>
  <c r="K9" i="36" a="1"/>
  <c r="K9" i="36" s="1"/>
  <c r="A9" i="36" a="1"/>
  <c r="A9" i="36" s="1"/>
  <c r="H8" i="36" a="1"/>
  <c r="H8" i="36" s="1"/>
  <c r="I8" i="36" a="1"/>
  <c r="I8" i="36" s="1"/>
  <c r="K8" i="36" a="1"/>
  <c r="K8" i="36" s="1"/>
  <c r="J8" i="36" a="1"/>
  <c r="J8" i="36" s="1"/>
  <c r="A8" i="36" a="1"/>
  <c r="A8" i="36" s="1"/>
  <c r="H7" i="36" a="1"/>
  <c r="H7" i="36" s="1"/>
  <c r="J7" i="36" a="1"/>
  <c r="J7" i="36" s="1"/>
  <c r="K7" i="36" a="1"/>
  <c r="K7" i="36" s="1"/>
  <c r="I7" i="36" a="1"/>
  <c r="I7" i="36" s="1"/>
  <c r="A7" i="36" a="1"/>
  <c r="A7" i="36" s="1"/>
  <c r="H6" i="36" a="1"/>
  <c r="H6" i="36" s="1"/>
  <c r="I6" i="36" a="1"/>
  <c r="I6" i="36" s="1"/>
  <c r="J6" i="36" a="1"/>
  <c r="J6" i="36" s="1"/>
  <c r="K6" i="36" a="1"/>
  <c r="K6" i="36" s="1"/>
  <c r="A6" i="36" a="1"/>
  <c r="A6" i="36" s="1"/>
  <c r="I5" i="36" a="1"/>
  <c r="I5" i="36" s="1"/>
  <c r="K5" i="36" a="1"/>
  <c r="K5" i="36" s="1"/>
  <c r="H5" i="36" a="1"/>
  <c r="H5" i="36" s="1"/>
  <c r="J5" i="36" a="1"/>
  <c r="J5" i="36" s="1"/>
  <c r="A5" i="36" a="1"/>
  <c r="A5" i="36" s="1"/>
  <c r="I4" i="36" a="1"/>
  <c r="I4" i="36" s="1"/>
  <c r="J4" i="36" a="1"/>
  <c r="J4" i="36" s="1"/>
  <c r="K4" i="36" a="1"/>
  <c r="K4" i="36" s="1"/>
  <c r="H4" i="36" a="1"/>
  <c r="H4" i="36" s="1"/>
  <c r="A4" i="36" a="1"/>
  <c r="A4" i="36" s="1"/>
  <c r="I3" i="36" a="1"/>
  <c r="I3" i="36" s="1"/>
  <c r="K3" i="36" a="1"/>
  <c r="K3" i="36" s="1"/>
  <c r="P10" i="36"/>
  <c r="P21" i="36"/>
  <c r="P27" i="36"/>
  <c r="P38" i="36"/>
  <c r="P53" i="36"/>
  <c r="P54" i="36"/>
  <c r="P55" i="36"/>
  <c r="P56" i="36"/>
  <c r="P57" i="36"/>
  <c r="P58" i="36"/>
  <c r="P59" i="36"/>
  <c r="H3" i="36" a="1"/>
  <c r="H3" i="36" s="1"/>
  <c r="J3" i="36" a="1"/>
  <c r="J3" i="36" s="1"/>
  <c r="P9" i="36"/>
  <c r="P12" i="36"/>
  <c r="P19" i="36"/>
  <c r="P29" i="36"/>
  <c r="P11" i="36"/>
  <c r="P13" i="36"/>
  <c r="P14" i="36"/>
  <c r="P15" i="36"/>
  <c r="P16" i="36"/>
  <c r="P17" i="36"/>
  <c r="P18" i="36"/>
  <c r="P20" i="36"/>
  <c r="P22" i="36"/>
  <c r="P23" i="36"/>
  <c r="P24" i="36"/>
  <c r="P25" i="36"/>
  <c r="P26" i="36"/>
  <c r="P28" i="36"/>
  <c r="P30" i="36"/>
  <c r="P31" i="36"/>
  <c r="P32" i="36"/>
  <c r="P33" i="36"/>
  <c r="P34" i="36"/>
  <c r="P35" i="36"/>
  <c r="P36" i="36"/>
  <c r="P37" i="36"/>
  <c r="P39" i="36"/>
  <c r="P40" i="36"/>
  <c r="P41" i="36"/>
  <c r="P42" i="36"/>
  <c r="P43" i="36"/>
  <c r="P44" i="36"/>
  <c r="P45" i="36"/>
  <c r="P46" i="36"/>
  <c r="P47" i="36"/>
  <c r="P49" i="36"/>
  <c r="P50" i="36"/>
  <c r="P51" i="36"/>
  <c r="P52" i="36"/>
  <c r="A3" i="36" a="1"/>
  <c r="A3" i="36" s="1"/>
  <c r="H59" i="35" a="1"/>
  <c r="H59" i="35" s="1"/>
  <c r="I59" i="35" a="1"/>
  <c r="I59" i="35" s="1"/>
  <c r="J59" i="35" a="1"/>
  <c r="J59" i="35" s="1"/>
  <c r="K59" i="35" a="1"/>
  <c r="K59" i="35" s="1"/>
  <c r="A59" i="35" a="1"/>
  <c r="A59" i="35" s="1"/>
  <c r="H58" i="35" a="1"/>
  <c r="H58" i="35" s="1"/>
  <c r="I58" i="35" a="1"/>
  <c r="I58" i="35" s="1"/>
  <c r="J58" i="35" a="1"/>
  <c r="J58" i="35" s="1"/>
  <c r="K58" i="35" a="1"/>
  <c r="K58" i="35" s="1"/>
  <c r="A58" i="35" a="1"/>
  <c r="A58" i="35" s="1"/>
  <c r="H57" i="35" a="1"/>
  <c r="H57" i="35" s="1"/>
  <c r="I57" i="35" a="1"/>
  <c r="I57" i="35" s="1"/>
  <c r="J57" i="35" a="1"/>
  <c r="J57" i="35" s="1"/>
  <c r="K57" i="35" a="1"/>
  <c r="K57" i="35" s="1"/>
  <c r="A57" i="35" a="1"/>
  <c r="A57" i="35" s="1"/>
  <c r="H56" i="35" a="1"/>
  <c r="H56" i="35" s="1"/>
  <c r="I56" i="35" a="1"/>
  <c r="I56" i="35" s="1"/>
  <c r="J56" i="35" a="1"/>
  <c r="J56" i="35" s="1"/>
  <c r="K56" i="35" a="1"/>
  <c r="K56" i="35" s="1"/>
  <c r="A56" i="35" a="1"/>
  <c r="A56" i="35" s="1"/>
  <c r="H55" i="35" a="1"/>
  <c r="H55" i="35" s="1"/>
  <c r="I55" i="35" a="1"/>
  <c r="I55" i="35" s="1"/>
  <c r="J55" i="35" a="1"/>
  <c r="J55" i="35" s="1"/>
  <c r="K55" i="35" a="1"/>
  <c r="K55" i="35" s="1"/>
  <c r="A55" i="35" a="1"/>
  <c r="A55" i="35" s="1"/>
  <c r="H54" i="35" a="1"/>
  <c r="H54" i="35" s="1"/>
  <c r="I54" i="35" a="1"/>
  <c r="I54" i="35" s="1"/>
  <c r="J54" i="35" a="1"/>
  <c r="J54" i="35" s="1"/>
  <c r="K54" i="35" a="1"/>
  <c r="K54" i="35" s="1"/>
  <c r="A54" i="35" a="1"/>
  <c r="A54" i="35" s="1"/>
  <c r="H53" i="35" a="1"/>
  <c r="H53" i="35" s="1"/>
  <c r="I53" i="35" a="1"/>
  <c r="I53" i="35" s="1"/>
  <c r="J53" i="35" a="1"/>
  <c r="J53" i="35" s="1"/>
  <c r="K53" i="35" a="1"/>
  <c r="K53" i="35" s="1"/>
  <c r="A53" i="35" a="1"/>
  <c r="A53" i="35" s="1"/>
  <c r="H52" i="35" a="1"/>
  <c r="H52" i="35" s="1"/>
  <c r="I52" i="35" a="1"/>
  <c r="I52" i="35" s="1"/>
  <c r="J52" i="35" a="1"/>
  <c r="J52" i="35" s="1"/>
  <c r="K52" i="35" a="1"/>
  <c r="K52" i="35" s="1"/>
  <c r="A52" i="35" a="1"/>
  <c r="A52" i="35" s="1"/>
  <c r="H51" i="35" a="1"/>
  <c r="H51" i="35" s="1"/>
  <c r="I51" i="35" a="1"/>
  <c r="I51" i="35" s="1"/>
  <c r="J51" i="35" a="1"/>
  <c r="J51" i="35" s="1"/>
  <c r="K51" i="35" a="1"/>
  <c r="K51" i="35" s="1"/>
  <c r="A51" i="35" a="1"/>
  <c r="A51" i="35" s="1"/>
  <c r="H50" i="35" a="1"/>
  <c r="H50" i="35" s="1"/>
  <c r="I50" i="35" a="1"/>
  <c r="I50" i="35" s="1"/>
  <c r="J50" i="35" a="1"/>
  <c r="J50" i="35" s="1"/>
  <c r="K50" i="35" a="1"/>
  <c r="K50" i="35" s="1"/>
  <c r="A50" i="35" a="1"/>
  <c r="A50" i="35" s="1"/>
  <c r="H49" i="35" a="1"/>
  <c r="H49" i="35" s="1"/>
  <c r="I49" i="35" a="1"/>
  <c r="I49" i="35" s="1"/>
  <c r="J49" i="35" a="1"/>
  <c r="J49" i="35" s="1"/>
  <c r="K49" i="35" a="1"/>
  <c r="K49" i="35" s="1"/>
  <c r="A49" i="35" a="1"/>
  <c r="A49" i="35" s="1"/>
  <c r="H48" i="35" a="1"/>
  <c r="H48" i="35" s="1"/>
  <c r="I48" i="35" a="1"/>
  <c r="I48" i="35" s="1"/>
  <c r="J48" i="35" a="1"/>
  <c r="J48" i="35" s="1"/>
  <c r="K48" i="35" a="1"/>
  <c r="K48" i="35" s="1"/>
  <c r="A48" i="35" a="1"/>
  <c r="A48" i="35" s="1"/>
  <c r="H47" i="35" a="1"/>
  <c r="H47" i="35" s="1"/>
  <c r="I47" i="35" a="1"/>
  <c r="I47" i="35" s="1"/>
  <c r="J47" i="35" a="1"/>
  <c r="J47" i="35" s="1"/>
  <c r="K47" i="35" a="1"/>
  <c r="K47" i="35" s="1"/>
  <c r="A47" i="35" a="1"/>
  <c r="A47" i="35" s="1"/>
  <c r="H46" i="35" a="1"/>
  <c r="H46" i="35" s="1"/>
  <c r="I46" i="35" a="1"/>
  <c r="I46" i="35" s="1"/>
  <c r="J46" i="35" a="1"/>
  <c r="J46" i="35" s="1"/>
  <c r="K46" i="35" a="1"/>
  <c r="K46" i="35" s="1"/>
  <c r="A46" i="35" a="1"/>
  <c r="A46" i="35" s="1"/>
  <c r="H45" i="35" a="1"/>
  <c r="H45" i="35" s="1"/>
  <c r="I45" i="35" a="1"/>
  <c r="I45" i="35" s="1"/>
  <c r="J45" i="35" a="1"/>
  <c r="J45" i="35" s="1"/>
  <c r="K45" i="35" a="1"/>
  <c r="K45" i="35" s="1"/>
  <c r="A45" i="35" a="1"/>
  <c r="A45" i="35" s="1"/>
  <c r="H44" i="35" a="1"/>
  <c r="H44" i="35" s="1"/>
  <c r="I44" i="35" a="1"/>
  <c r="I44" i="35" s="1"/>
  <c r="J44" i="35" a="1"/>
  <c r="J44" i="35" s="1"/>
  <c r="K44" i="35" a="1"/>
  <c r="K44" i="35" s="1"/>
  <c r="A44" i="35" a="1"/>
  <c r="A44" i="35" s="1"/>
  <c r="H43" i="35" a="1"/>
  <c r="H43" i="35" s="1"/>
  <c r="I43" i="35" a="1"/>
  <c r="I43" i="35" s="1"/>
  <c r="J43" i="35" a="1"/>
  <c r="J43" i="35" s="1"/>
  <c r="K43" i="35" a="1"/>
  <c r="K43" i="35" s="1"/>
  <c r="A43" i="35" a="1"/>
  <c r="A43" i="35" s="1"/>
  <c r="H42" i="35" a="1"/>
  <c r="H42" i="35" s="1"/>
  <c r="I42" i="35" a="1"/>
  <c r="I42" i="35" s="1"/>
  <c r="J42" i="35" a="1"/>
  <c r="J42" i="35" s="1"/>
  <c r="K42" i="35" a="1"/>
  <c r="K42" i="35" s="1"/>
  <c r="A42" i="35" a="1"/>
  <c r="A42" i="35" s="1"/>
  <c r="H41" i="35" a="1"/>
  <c r="H41" i="35" s="1"/>
  <c r="I41" i="35" a="1"/>
  <c r="I41" i="35" s="1"/>
  <c r="J41" i="35" a="1"/>
  <c r="J41" i="35" s="1"/>
  <c r="K41" i="35" a="1"/>
  <c r="K41" i="35" s="1"/>
  <c r="A41" i="35" a="1"/>
  <c r="A41" i="35" s="1"/>
  <c r="H40" i="35" a="1"/>
  <c r="H40" i="35" s="1"/>
  <c r="I40" i="35" a="1"/>
  <c r="I40" i="35" s="1"/>
  <c r="J40" i="35" a="1"/>
  <c r="J40" i="35" s="1"/>
  <c r="K40" i="35" a="1"/>
  <c r="K40" i="35" s="1"/>
  <c r="A40" i="35" a="1"/>
  <c r="A40" i="35" s="1"/>
  <c r="H39" i="35" a="1"/>
  <c r="H39" i="35" s="1"/>
  <c r="I39" i="35" a="1"/>
  <c r="I39" i="35" s="1"/>
  <c r="J39" i="35" a="1"/>
  <c r="J39" i="35" s="1"/>
  <c r="K39" i="35" a="1"/>
  <c r="K39" i="35" s="1"/>
  <c r="A39" i="35" a="1"/>
  <c r="A39" i="35" s="1"/>
  <c r="H38" i="35" a="1"/>
  <c r="H38" i="35" s="1"/>
  <c r="I38" i="35" a="1"/>
  <c r="I38" i="35" s="1"/>
  <c r="J38" i="35" a="1"/>
  <c r="J38" i="35" s="1"/>
  <c r="K38" i="35" a="1"/>
  <c r="K38" i="35" s="1"/>
  <c r="A38" i="35" a="1"/>
  <c r="A38" i="35" s="1"/>
  <c r="H37" i="35" a="1"/>
  <c r="H37" i="35" s="1"/>
  <c r="I37" i="35" a="1"/>
  <c r="I37" i="35" s="1"/>
  <c r="J37" i="35" a="1"/>
  <c r="J37" i="35" s="1"/>
  <c r="K37" i="35" a="1"/>
  <c r="K37" i="35" s="1"/>
  <c r="A37" i="35" a="1"/>
  <c r="A37" i="35" s="1"/>
  <c r="H36" i="35" a="1"/>
  <c r="H36" i="35" s="1"/>
  <c r="I36" i="35" a="1"/>
  <c r="I36" i="35" s="1"/>
  <c r="J36" i="35" a="1"/>
  <c r="J36" i="35" s="1"/>
  <c r="K36" i="35" a="1"/>
  <c r="K36" i="35" s="1"/>
  <c r="A36" i="35" a="1"/>
  <c r="A36" i="35" s="1"/>
  <c r="H35" i="35" a="1"/>
  <c r="H35" i="35" s="1"/>
  <c r="I35" i="35" a="1"/>
  <c r="I35" i="35" s="1"/>
  <c r="J35" i="35" a="1"/>
  <c r="J35" i="35" s="1"/>
  <c r="K35" i="35" a="1"/>
  <c r="K35" i="35" s="1"/>
  <c r="A35" i="35" a="1"/>
  <c r="A35" i="35" s="1"/>
  <c r="H34" i="35" a="1"/>
  <c r="H34" i="35" s="1"/>
  <c r="I34" i="35" a="1"/>
  <c r="I34" i="35" s="1"/>
  <c r="J34" i="35" a="1"/>
  <c r="J34" i="35" s="1"/>
  <c r="K34" i="35" a="1"/>
  <c r="K34" i="35" s="1"/>
  <c r="A34" i="35" a="1"/>
  <c r="A34" i="35" s="1"/>
  <c r="I33" i="35" a="1"/>
  <c r="I33" i="35" s="1"/>
  <c r="J33" i="35" a="1"/>
  <c r="J33" i="35" s="1"/>
  <c r="K33" i="35" a="1"/>
  <c r="K33" i="35" s="1"/>
  <c r="H33" i="35" a="1"/>
  <c r="H33" i="35" s="1"/>
  <c r="A33" i="35" a="1"/>
  <c r="A33" i="35" s="1"/>
  <c r="H32" i="35" a="1"/>
  <c r="H32" i="35" s="1"/>
  <c r="A32" i="35" a="1"/>
  <c r="A32" i="35" s="1"/>
  <c r="I32" i="35" a="1"/>
  <c r="I32" i="35" s="1"/>
  <c r="J32" i="35" a="1"/>
  <c r="J32" i="35" s="1"/>
  <c r="K32" i="35" a="1"/>
  <c r="K32" i="35" s="1"/>
  <c r="I31" i="35" a="1"/>
  <c r="I31" i="35" s="1"/>
  <c r="A31" i="35" a="1"/>
  <c r="A31" i="35" s="1"/>
  <c r="H31" i="35" a="1"/>
  <c r="H31" i="35" s="1"/>
  <c r="J31" i="35" a="1"/>
  <c r="J31" i="35" s="1"/>
  <c r="K31" i="35" a="1"/>
  <c r="K31" i="35" s="1"/>
  <c r="I30" i="35" a="1"/>
  <c r="I30" i="35" s="1"/>
  <c r="A30" i="35" a="1"/>
  <c r="A30" i="35" s="1"/>
  <c r="H30" i="35" a="1"/>
  <c r="H30" i="35" s="1"/>
  <c r="J30" i="35" a="1"/>
  <c r="J30" i="35" s="1"/>
  <c r="K30" i="35" a="1"/>
  <c r="K30" i="35" s="1"/>
  <c r="I29" i="35" a="1"/>
  <c r="I29" i="35" s="1"/>
  <c r="K29" i="35" a="1"/>
  <c r="K29" i="35" s="1"/>
  <c r="H29" i="35" a="1"/>
  <c r="H29" i="35" s="1"/>
  <c r="J29" i="35" a="1"/>
  <c r="J29" i="35" s="1"/>
  <c r="A29" i="35" a="1"/>
  <c r="A29" i="35" s="1"/>
  <c r="H28" i="35" a="1"/>
  <c r="H28" i="35" s="1"/>
  <c r="J28" i="35" a="1"/>
  <c r="J28" i="35" s="1"/>
  <c r="I28" i="35" a="1"/>
  <c r="I28" i="35" s="1"/>
  <c r="K28" i="35" a="1"/>
  <c r="K28" i="35" s="1"/>
  <c r="A28" i="35" a="1"/>
  <c r="A28" i="35" s="1"/>
  <c r="H27" i="35" a="1"/>
  <c r="H27" i="35" s="1"/>
  <c r="J27" i="35" a="1"/>
  <c r="J27" i="35" s="1"/>
  <c r="K27" i="35" a="1"/>
  <c r="K27" i="35" s="1"/>
  <c r="A27" i="35" a="1"/>
  <c r="A27" i="35" s="1"/>
  <c r="I27" i="35" a="1"/>
  <c r="I27" i="35" s="1"/>
  <c r="K26" i="35" a="1"/>
  <c r="K26" i="35" s="1"/>
  <c r="A26" i="35" a="1"/>
  <c r="A26" i="35" s="1"/>
  <c r="I26" i="35" a="1"/>
  <c r="I26" i="35" s="1"/>
  <c r="H26" i="35" a="1"/>
  <c r="H26" i="35" s="1"/>
  <c r="J26" i="35" a="1"/>
  <c r="J26" i="35" s="1"/>
  <c r="I25" i="35" a="1"/>
  <c r="I25" i="35" s="1"/>
  <c r="J25" i="35" a="1"/>
  <c r="J25" i="35" s="1"/>
  <c r="A25" i="35" a="1"/>
  <c r="A25" i="35" s="1"/>
  <c r="H25" i="35" a="1"/>
  <c r="H25" i="35" s="1"/>
  <c r="K25" i="35" a="1"/>
  <c r="K25" i="35" s="1"/>
  <c r="I24" i="35" a="1"/>
  <c r="I24" i="35" s="1"/>
  <c r="J24" i="35" a="1"/>
  <c r="J24" i="35" s="1"/>
  <c r="A24" i="35" a="1"/>
  <c r="A24" i="35" s="1"/>
  <c r="H24" i="35" a="1"/>
  <c r="H24" i="35" s="1"/>
  <c r="K24" i="35" a="1"/>
  <c r="K24" i="35" s="1"/>
  <c r="J23" i="35" a="1"/>
  <c r="J23" i="35" s="1"/>
  <c r="A23" i="35" a="1"/>
  <c r="A23" i="35" s="1"/>
  <c r="H23" i="35" a="1"/>
  <c r="H23" i="35" s="1"/>
  <c r="K23" i="35" a="1"/>
  <c r="K23" i="35" s="1"/>
  <c r="I23" i="35" a="1"/>
  <c r="I23" i="35" s="1"/>
  <c r="H22" i="35" a="1"/>
  <c r="H22" i="35" s="1"/>
  <c r="A22" i="35" a="1"/>
  <c r="A22" i="35" s="1"/>
  <c r="J22" i="35" a="1"/>
  <c r="J22" i="35" s="1"/>
  <c r="I22" i="35" a="1"/>
  <c r="I22" i="35" s="1"/>
  <c r="K22" i="35" a="1"/>
  <c r="K22" i="35" s="1"/>
  <c r="I21" i="35" a="1"/>
  <c r="I21" i="35" s="1"/>
  <c r="J21" i="35" a="1"/>
  <c r="J21" i="35" s="1"/>
  <c r="H21" i="35" a="1"/>
  <c r="H21" i="35" s="1"/>
  <c r="K21" i="35" a="1"/>
  <c r="K21" i="35" s="1"/>
  <c r="A21" i="35" a="1"/>
  <c r="A21" i="35" s="1"/>
  <c r="H20" i="35" a="1"/>
  <c r="H20" i="35" s="1"/>
  <c r="I20" i="35" a="1"/>
  <c r="I20" i="35" s="1"/>
  <c r="K20" i="35" a="1"/>
  <c r="K20" i="35" s="1"/>
  <c r="A20" i="35" a="1"/>
  <c r="A20" i="35" s="1"/>
  <c r="J20" i="35" a="1"/>
  <c r="J20" i="35" s="1"/>
  <c r="J19" i="35" a="1"/>
  <c r="J19" i="35" s="1"/>
  <c r="K19" i="35" a="1"/>
  <c r="K19" i="35" s="1"/>
  <c r="H19" i="35" a="1"/>
  <c r="H19" i="35" s="1"/>
  <c r="I19" i="35" a="1"/>
  <c r="I19" i="35" s="1"/>
  <c r="A19" i="35" a="1"/>
  <c r="A19" i="35" s="1"/>
  <c r="I18" i="35" a="1"/>
  <c r="I18" i="35" s="1"/>
  <c r="H18" i="35" a="1"/>
  <c r="H18" i="35" s="1"/>
  <c r="J18" i="35" a="1"/>
  <c r="J18" i="35" s="1"/>
  <c r="K18" i="35" a="1"/>
  <c r="K18" i="35" s="1"/>
  <c r="A18" i="35" a="1"/>
  <c r="A18" i="35" s="1"/>
  <c r="H17" i="35" a="1"/>
  <c r="H17" i="35" s="1"/>
  <c r="I17" i="35" a="1"/>
  <c r="I17" i="35" s="1"/>
  <c r="J17" i="35" a="1"/>
  <c r="J17" i="35" s="1"/>
  <c r="K17" i="35" a="1"/>
  <c r="K17" i="35" s="1"/>
  <c r="A17" i="35" a="1"/>
  <c r="A17" i="35" s="1"/>
  <c r="H16" i="35" a="1"/>
  <c r="H16" i="35" s="1"/>
  <c r="I16" i="35" a="1"/>
  <c r="I16" i="35" s="1"/>
  <c r="J16" i="35" a="1"/>
  <c r="J16" i="35" s="1"/>
  <c r="K16" i="35" a="1"/>
  <c r="K16" i="35" s="1"/>
  <c r="A16" i="35" a="1"/>
  <c r="A16" i="35" s="1"/>
  <c r="K15" i="35" a="1"/>
  <c r="K15" i="35" s="1"/>
  <c r="A15" i="35" a="1"/>
  <c r="A15" i="35" s="1"/>
  <c r="H15" i="35" a="1"/>
  <c r="H15" i="35" s="1"/>
  <c r="J15" i="35" a="1"/>
  <c r="J15" i="35" s="1"/>
  <c r="I15" i="35" a="1"/>
  <c r="I15" i="35" s="1"/>
  <c r="I14" i="35" a="1"/>
  <c r="I14" i="35" s="1"/>
  <c r="A14" i="35" a="1"/>
  <c r="A14" i="35" s="1"/>
  <c r="H14" i="35" a="1"/>
  <c r="H14" i="35" s="1"/>
  <c r="J14" i="35" a="1"/>
  <c r="J14" i="35" s="1"/>
  <c r="K14" i="35" a="1"/>
  <c r="K14" i="35" s="1"/>
  <c r="H13" i="35" a="1"/>
  <c r="H13" i="35" s="1"/>
  <c r="I13" i="35" a="1"/>
  <c r="I13" i="35" s="1"/>
  <c r="K13" i="35" a="1"/>
  <c r="K13" i="35" s="1"/>
  <c r="J13" i="35" a="1"/>
  <c r="J13" i="35" s="1"/>
  <c r="A13" i="35" a="1"/>
  <c r="A13" i="35" s="1"/>
  <c r="H12" i="35" a="1"/>
  <c r="H12" i="35" s="1"/>
  <c r="I12" i="35" a="1"/>
  <c r="I12" i="35" s="1"/>
  <c r="J12" i="35" a="1"/>
  <c r="J12" i="35" s="1"/>
  <c r="K12" i="35" a="1"/>
  <c r="K12" i="35" s="1"/>
  <c r="A12" i="35" a="1"/>
  <c r="A12" i="35" s="1"/>
  <c r="H11" i="35" a="1"/>
  <c r="H11" i="35" s="1"/>
  <c r="I11" i="35" a="1"/>
  <c r="I11" i="35" s="1"/>
  <c r="J11" i="35" a="1"/>
  <c r="J11" i="35" s="1"/>
  <c r="K11" i="35" a="1"/>
  <c r="K11" i="35" s="1"/>
  <c r="A11" i="35" a="1"/>
  <c r="A11" i="35" s="1"/>
  <c r="H10" i="35" a="1"/>
  <c r="H10" i="35" s="1"/>
  <c r="I10" i="35" a="1"/>
  <c r="I10" i="35" s="1"/>
  <c r="J10" i="35" a="1"/>
  <c r="J10" i="35" s="1"/>
  <c r="K10" i="35" a="1"/>
  <c r="K10" i="35" s="1"/>
  <c r="A10" i="35" a="1"/>
  <c r="A10" i="35" s="1"/>
  <c r="A9" i="35" a="1"/>
  <c r="A9" i="35" s="1"/>
  <c r="I9" i="35" a="1"/>
  <c r="I9" i="35" s="1"/>
  <c r="H9" i="35" a="1"/>
  <c r="H9" i="35" s="1"/>
  <c r="J9" i="35" a="1"/>
  <c r="J9" i="35" s="1"/>
  <c r="K9" i="35" a="1"/>
  <c r="K9" i="35" s="1"/>
  <c r="H8" i="35" a="1"/>
  <c r="H8" i="35" s="1"/>
  <c r="I8" i="35" a="1"/>
  <c r="I8" i="35" s="1"/>
  <c r="J8" i="35" a="1"/>
  <c r="J8" i="35" s="1"/>
  <c r="K8" i="35" a="1"/>
  <c r="K8" i="35" s="1"/>
  <c r="A8" i="35" a="1"/>
  <c r="A8" i="35" s="1"/>
  <c r="H7" i="35" a="1"/>
  <c r="H7" i="35" s="1"/>
  <c r="K7" i="35" a="1"/>
  <c r="K7" i="35" s="1"/>
  <c r="A7" i="35" a="1"/>
  <c r="A7" i="35" s="1"/>
  <c r="I7" i="35" a="1"/>
  <c r="I7" i="35" s="1"/>
  <c r="J7" i="35" a="1"/>
  <c r="J7" i="35" s="1"/>
  <c r="I6" i="35" a="1"/>
  <c r="I6" i="35" s="1"/>
  <c r="H6" i="35" a="1"/>
  <c r="H6" i="35" s="1"/>
  <c r="J6" i="35" a="1"/>
  <c r="J6" i="35" s="1"/>
  <c r="K6" i="35" a="1"/>
  <c r="K6" i="35" s="1"/>
  <c r="A6" i="35" a="1"/>
  <c r="A6" i="35" s="1"/>
  <c r="I5" i="35" a="1"/>
  <c r="I5" i="35" s="1"/>
  <c r="K5" i="35" a="1"/>
  <c r="K5" i="35" s="1"/>
  <c r="H5" i="35" a="1"/>
  <c r="H5" i="35" s="1"/>
  <c r="J5" i="35" a="1"/>
  <c r="J5" i="35" s="1"/>
  <c r="A5" i="35" a="1"/>
  <c r="A5" i="35" s="1"/>
  <c r="A4" i="35" a="1"/>
  <c r="A4" i="35" s="1"/>
  <c r="H4" i="35" a="1"/>
  <c r="H4" i="35" s="1"/>
  <c r="I4" i="35" a="1"/>
  <c r="I4" i="35" s="1"/>
  <c r="J4" i="35" a="1"/>
  <c r="J4" i="35" s="1"/>
  <c r="K4" i="35" a="1"/>
  <c r="K4" i="35" s="1"/>
  <c r="P51" i="35"/>
  <c r="P52" i="35"/>
  <c r="P53" i="35"/>
  <c r="P54" i="35"/>
  <c r="P55" i="35"/>
  <c r="P56" i="35"/>
  <c r="P57" i="35"/>
  <c r="P58" i="35"/>
  <c r="P59" i="35"/>
  <c r="P60" i="35"/>
  <c r="P61" i="35"/>
  <c r="P9" i="35"/>
  <c r="P16" i="35"/>
  <c r="P10" i="35"/>
  <c r="A3" i="35" a="1"/>
  <c r="A3" i="35" s="1"/>
  <c r="H3" i="35" a="1"/>
  <c r="H3" i="35" s="1"/>
  <c r="I3" i="35" a="1"/>
  <c r="I3" i="35" s="1"/>
  <c r="J3" i="35" a="1"/>
  <c r="J3" i="35" s="1"/>
  <c r="K3" i="35" a="1"/>
  <c r="K3" i="35" s="1"/>
  <c r="P11" i="35"/>
  <c r="P18" i="35"/>
  <c r="P34" i="35"/>
  <c r="P35" i="35"/>
  <c r="P12" i="35"/>
  <c r="P13" i="35"/>
  <c r="P14" i="35"/>
  <c r="P17" i="35"/>
  <c r="P24" i="35"/>
  <c r="P31" i="35"/>
  <c r="P32" i="35"/>
  <c r="P33" i="35"/>
  <c r="P36" i="35"/>
  <c r="P37" i="35"/>
  <c r="P38" i="35"/>
  <c r="P39" i="35"/>
  <c r="P40" i="35"/>
  <c r="P15" i="35"/>
  <c r="P19" i="35"/>
  <c r="P20" i="35"/>
  <c r="P21" i="35"/>
  <c r="P22" i="35"/>
  <c r="P23" i="35"/>
  <c r="P25" i="35"/>
  <c r="P26" i="35"/>
  <c r="P27" i="35"/>
  <c r="P28" i="35"/>
  <c r="P29" i="35"/>
  <c r="P30" i="35"/>
  <c r="P41" i="35"/>
  <c r="P42" i="35"/>
  <c r="P43" i="35"/>
  <c r="P44" i="35"/>
  <c r="P45" i="35"/>
  <c r="P46" i="35"/>
  <c r="P47" i="35"/>
  <c r="P48" i="35"/>
  <c r="P49" i="35"/>
  <c r="P50" i="35"/>
  <c r="A56" i="17" a="1"/>
  <c r="A56" i="17" s="1"/>
  <c r="J56" i="17" a="1"/>
  <c r="J56" i="17" s="1"/>
  <c r="K56" i="17" a="1"/>
  <c r="K56" i="17" s="1"/>
  <c r="H56" i="17" a="1"/>
  <c r="H56" i="17" s="1"/>
  <c r="I56" i="17" a="1"/>
  <c r="I56" i="17" s="1"/>
  <c r="A55" i="17" a="1"/>
  <c r="A55" i="17" s="1"/>
  <c r="J55" i="17" a="1"/>
  <c r="J55" i="17" s="1"/>
  <c r="K55" i="17" a="1"/>
  <c r="K55" i="17" s="1"/>
  <c r="H55" i="17" a="1"/>
  <c r="H55" i="17" s="1"/>
  <c r="I55" i="17" a="1"/>
  <c r="I55" i="17" s="1"/>
  <c r="K54" i="17" a="1"/>
  <c r="K54" i="17" s="1"/>
  <c r="H54" i="17" a="1"/>
  <c r="H54" i="17" s="1"/>
  <c r="J54" i="17" a="1"/>
  <c r="J54" i="17" s="1"/>
  <c r="I54" i="17" a="1"/>
  <c r="I54" i="17" s="1"/>
  <c r="A54" i="17" a="1"/>
  <c r="A54" i="17" s="1"/>
  <c r="A53" i="17" a="1"/>
  <c r="A53" i="17" s="1"/>
  <c r="J53" i="17" a="1"/>
  <c r="J53" i="17" s="1"/>
  <c r="I53" i="17" a="1"/>
  <c r="I53" i="17" s="1"/>
  <c r="H53" i="17" a="1"/>
  <c r="H53" i="17" s="1"/>
  <c r="K52" i="17" a="1"/>
  <c r="K52" i="17" s="1"/>
  <c r="A52" i="17" a="1"/>
  <c r="A52" i="17" s="1"/>
  <c r="H52" i="17" a="1"/>
  <c r="H52" i="17" s="1"/>
  <c r="I52" i="17" a="1"/>
  <c r="I52" i="17" s="1"/>
  <c r="J52" i="17" a="1"/>
  <c r="J52" i="17" s="1"/>
  <c r="E52" i="36" l="1"/>
  <c r="E51" i="36"/>
  <c r="E50" i="36"/>
  <c r="E49" i="36"/>
  <c r="E48" i="36"/>
  <c r="E47" i="36"/>
  <c r="E46" i="36"/>
  <c r="E45" i="36"/>
  <c r="E44" i="36"/>
  <c r="E43" i="36"/>
  <c r="E42" i="36"/>
  <c r="E41" i="36"/>
  <c r="E40" i="36"/>
  <c r="O48" i="36" s="1"/>
  <c r="E39" i="36"/>
  <c r="E38" i="36"/>
  <c r="E37" i="36"/>
  <c r="E36" i="36"/>
  <c r="E35" i="36"/>
  <c r="E34" i="36"/>
  <c r="O31" i="36" s="1"/>
  <c r="E33" i="36"/>
  <c r="E32" i="36"/>
  <c r="O38" i="36" s="1"/>
  <c r="E31" i="36"/>
  <c r="O39" i="36" s="1"/>
  <c r="E30" i="36"/>
  <c r="E29" i="36"/>
  <c r="O40" i="36" s="1"/>
  <c r="E28" i="36"/>
  <c r="E27" i="36"/>
  <c r="E26" i="36"/>
  <c r="O23" i="36" s="1"/>
  <c r="E25" i="36"/>
  <c r="E24" i="36"/>
  <c r="E23" i="36"/>
  <c r="E22" i="36"/>
  <c r="E21" i="36"/>
  <c r="O41" i="36" s="1"/>
  <c r="E20" i="36"/>
  <c r="E19" i="36"/>
  <c r="E18" i="36"/>
  <c r="E17" i="36"/>
  <c r="E16" i="36"/>
  <c r="E15" i="36"/>
  <c r="E14" i="36"/>
  <c r="E13" i="36"/>
  <c r="E12" i="36"/>
  <c r="E11" i="36"/>
  <c r="O9" i="36" s="1"/>
  <c r="E10" i="36"/>
  <c r="E9" i="36"/>
  <c r="E8" i="36"/>
  <c r="E7" i="36"/>
  <c r="E6" i="36"/>
  <c r="E5" i="36"/>
  <c r="E4" i="36"/>
  <c r="E3" i="36"/>
  <c r="E59" i="35"/>
  <c r="O14" i="35" s="1"/>
  <c r="E58" i="35"/>
  <c r="O9" i="35" s="1"/>
  <c r="E57" i="35"/>
  <c r="O19" i="35" s="1"/>
  <c r="E56" i="35"/>
  <c r="O10" i="35" s="1"/>
  <c r="E55" i="35"/>
  <c r="O12" i="35" s="1"/>
  <c r="E54" i="35"/>
  <c r="O15" i="35" s="1"/>
  <c r="E53" i="35"/>
  <c r="O17" i="35" s="1"/>
  <c r="E52" i="35"/>
  <c r="O13" i="35" s="1"/>
  <c r="E51" i="35"/>
  <c r="O16" i="35" s="1"/>
  <c r="E50" i="35"/>
  <c r="O18" i="35" s="1"/>
  <c r="E49" i="35"/>
  <c r="O11" i="35" s="1"/>
  <c r="E48" i="35"/>
  <c r="O28" i="35" s="1"/>
  <c r="E47" i="35"/>
  <c r="O30" i="35" s="1"/>
  <c r="E46" i="35"/>
  <c r="O27" i="35" s="1"/>
  <c r="E45" i="35"/>
  <c r="O26" i="35" s="1"/>
  <c r="E44" i="35"/>
  <c r="O24" i="35" s="1"/>
  <c r="E43" i="35"/>
  <c r="O25" i="35" s="1"/>
  <c r="E42" i="35"/>
  <c r="O23" i="35" s="1"/>
  <c r="E41" i="35"/>
  <c r="O22" i="35" s="1"/>
  <c r="E40" i="35"/>
  <c r="O21" i="35" s="1"/>
  <c r="E39" i="35"/>
  <c r="O29" i="35" s="1"/>
  <c r="E38" i="35"/>
  <c r="O20" i="35" s="1"/>
  <c r="E37" i="35"/>
  <c r="O32" i="35" s="1"/>
  <c r="E36" i="35"/>
  <c r="O35" i="35" s="1"/>
  <c r="E35" i="35"/>
  <c r="O33" i="35" s="1"/>
  <c r="E34" i="35"/>
  <c r="O31" i="35" s="1"/>
  <c r="E33" i="35"/>
  <c r="O34" i="35" s="1"/>
  <c r="E32" i="35"/>
  <c r="O39" i="35" s="1"/>
  <c r="E31" i="35"/>
  <c r="O40" i="35" s="1"/>
  <c r="E30" i="35"/>
  <c r="O37" i="35" s="1"/>
  <c r="E29" i="35"/>
  <c r="O41" i="35" s="1"/>
  <c r="E28" i="35"/>
  <c r="O38" i="35" s="1"/>
  <c r="E27" i="35"/>
  <c r="O36" i="35" s="1"/>
  <c r="E26" i="35"/>
  <c r="O51" i="35" s="1"/>
  <c r="E25" i="35"/>
  <c r="O50" i="35" s="1"/>
  <c r="E24" i="35"/>
  <c r="O49" i="35" s="1"/>
  <c r="E23" i="35"/>
  <c r="O48" i="35" s="1"/>
  <c r="E22" i="35"/>
  <c r="O46" i="35" s="1"/>
  <c r="E21" i="35"/>
  <c r="O42" i="35" s="1"/>
  <c r="E20" i="35"/>
  <c r="O45" i="35" s="1"/>
  <c r="E19" i="35"/>
  <c r="O44" i="35" s="1"/>
  <c r="E18" i="35"/>
  <c r="O47" i="35" s="1"/>
  <c r="E17" i="35"/>
  <c r="O43" i="35" s="1"/>
  <c r="E16" i="35"/>
  <c r="O60" i="35" s="1"/>
  <c r="E15" i="35"/>
  <c r="O56" i="35" s="1"/>
  <c r="E14" i="35"/>
  <c r="O55" i="35" s="1"/>
  <c r="E13" i="35"/>
  <c r="O59" i="35" s="1"/>
  <c r="E12" i="35"/>
  <c r="O58" i="35" s="1"/>
  <c r="E11" i="35"/>
  <c r="O57" i="35" s="1"/>
  <c r="E10" i="35"/>
  <c r="O61" i="35" s="1"/>
  <c r="E9" i="35"/>
  <c r="O52" i="35" s="1"/>
  <c r="E8" i="35"/>
  <c r="O53" i="35" s="1"/>
  <c r="E7" i="35"/>
  <c r="O54" i="35" s="1"/>
  <c r="E6" i="35"/>
  <c r="E5" i="35"/>
  <c r="E4" i="35"/>
  <c r="E3" i="35"/>
  <c r="E56" i="17"/>
  <c r="E55" i="17"/>
  <c r="E54" i="17"/>
  <c r="E53" i="17"/>
  <c r="E52" i="17"/>
  <c r="O37" i="36" l="1"/>
  <c r="O58" i="36"/>
  <c r="O53" i="36"/>
  <c r="O57" i="36"/>
  <c r="O59" i="36"/>
  <c r="O50" i="36"/>
  <c r="O52" i="36"/>
  <c r="O47" i="36"/>
  <c r="O45" i="36"/>
  <c r="O44" i="36"/>
  <c r="O43" i="36"/>
  <c r="O36" i="36"/>
  <c r="O16" i="36"/>
  <c r="O32" i="36"/>
  <c r="O33" i="36"/>
  <c r="O11" i="36"/>
  <c r="O30" i="36"/>
  <c r="O35" i="36"/>
  <c r="O51" i="36"/>
  <c r="O15" i="36"/>
  <c r="O29" i="36"/>
  <c r="O17" i="36"/>
  <c r="O13" i="36"/>
  <c r="O18" i="36"/>
  <c r="O28" i="36"/>
  <c r="O27" i="36"/>
  <c r="O26" i="36"/>
  <c r="O24" i="36"/>
  <c r="O25" i="36"/>
  <c r="O22" i="36"/>
  <c r="O21" i="36"/>
  <c r="O46" i="36"/>
  <c r="O20" i="36"/>
  <c r="O42" i="36"/>
  <c r="O19" i="36"/>
  <c r="O54" i="36"/>
  <c r="O10" i="36"/>
  <c r="O56" i="36"/>
  <c r="O12" i="36"/>
  <c r="O49" i="36"/>
  <c r="O34" i="36"/>
  <c r="O55" i="36"/>
  <c r="O14" i="36"/>
  <c r="A51" i="17" l="1" a="1"/>
  <c r="A51" i="17" s="1"/>
  <c r="E51" i="17" s="1"/>
  <c r="H51" i="17" a="1"/>
  <c r="H51" i="17" s="1"/>
  <c r="I51" i="17" a="1"/>
  <c r="I51" i="17" s="1"/>
  <c r="J51" i="17" a="1"/>
  <c r="J51" i="17" s="1"/>
  <c r="K51" i="17" a="1"/>
  <c r="K51" i="17" s="1"/>
  <c r="BO9" i="17" a="1"/>
  <c r="BO9" i="17" s="1"/>
  <c r="BO10" i="17" a="1"/>
  <c r="BO10" i="17" s="1"/>
  <c r="BO11" i="17" a="1"/>
  <c r="BO11" i="17" s="1"/>
  <c r="BO12" i="17" a="1"/>
  <c r="BO12" i="17" s="1"/>
  <c r="BO13" i="17" a="1"/>
  <c r="BO13" i="17" s="1"/>
  <c r="A194" i="22"/>
  <c r="A195" i="22"/>
  <c r="A196" i="22"/>
  <c r="P57" i="17" l="1"/>
  <c r="K44" i="17" a="1"/>
  <c r="K44" i="17" s="1"/>
  <c r="J44" i="17" a="1"/>
  <c r="J44" i="17" s="1"/>
  <c r="H44" i="17" a="1"/>
  <c r="H44" i="17" s="1"/>
  <c r="I44" i="17" a="1"/>
  <c r="I44" i="17" s="1"/>
  <c r="K43" i="17" a="1"/>
  <c r="K43" i="17" s="1"/>
  <c r="H43" i="17" a="1"/>
  <c r="H43" i="17" s="1"/>
  <c r="I43" i="17" a="1"/>
  <c r="I43" i="17" s="1"/>
  <c r="J43" i="17" a="1"/>
  <c r="J43" i="17" s="1"/>
  <c r="I40" i="17" a="1"/>
  <c r="I40" i="17" s="1"/>
  <c r="H40" i="17" a="1"/>
  <c r="H40" i="17" s="1"/>
  <c r="J40" i="17" a="1"/>
  <c r="J40" i="17" s="1"/>
  <c r="K40" i="17" a="1"/>
  <c r="K40" i="17" s="1"/>
  <c r="J39" i="17" a="1"/>
  <c r="J39" i="17" s="1"/>
  <c r="I39" i="17" a="1"/>
  <c r="I39" i="17" s="1"/>
  <c r="K39" i="17" a="1"/>
  <c r="K39" i="17" s="1"/>
  <c r="H39" i="17" a="1"/>
  <c r="H39" i="17" s="1"/>
  <c r="K38" i="17" a="1"/>
  <c r="K38" i="17" s="1"/>
  <c r="J38" i="17" a="1"/>
  <c r="J38" i="17" s="1"/>
  <c r="H38" i="17" a="1"/>
  <c r="H38" i="17" s="1"/>
  <c r="I38" i="17" a="1"/>
  <c r="I38" i="17" s="1"/>
  <c r="H37" i="17" a="1"/>
  <c r="H37" i="17" s="1"/>
  <c r="I37" i="17" a="1"/>
  <c r="I37" i="17" s="1"/>
  <c r="J37" i="17" a="1"/>
  <c r="J37" i="17" s="1"/>
  <c r="K37" i="17" a="1"/>
  <c r="K37" i="17" s="1"/>
  <c r="H36" i="17" a="1"/>
  <c r="H36" i="17" s="1"/>
  <c r="I36" i="17" a="1"/>
  <c r="I36" i="17" s="1"/>
  <c r="J36" i="17" a="1"/>
  <c r="J36" i="17" s="1"/>
  <c r="K36" i="17" a="1"/>
  <c r="K36" i="17" s="1"/>
  <c r="P36" i="17"/>
  <c r="P42" i="17"/>
  <c r="P41" i="17"/>
  <c r="P37" i="17"/>
  <c r="P43" i="17"/>
  <c r="P38" i="17"/>
  <c r="P44" i="17"/>
  <c r="P39" i="17"/>
  <c r="P45" i="17"/>
  <c r="P40" i="17"/>
  <c r="H42" i="17" a="1"/>
  <c r="H42" i="17" s="1"/>
  <c r="I42" i="17" a="1"/>
  <c r="I42" i="17" s="1"/>
  <c r="J42" i="17" a="1"/>
  <c r="J42" i="17" s="1"/>
  <c r="K42" i="17" a="1"/>
  <c r="K42" i="17" s="1"/>
  <c r="H41" i="17" a="1"/>
  <c r="H41" i="17" s="1"/>
  <c r="I41" i="17" a="1"/>
  <c r="I41" i="17" s="1"/>
  <c r="J41" i="17" a="1"/>
  <c r="J41" i="17" s="1"/>
  <c r="K41" i="17" a="1"/>
  <c r="K41" i="17" s="1"/>
  <c r="P56" i="17"/>
  <c r="P55" i="17"/>
  <c r="P54" i="17"/>
  <c r="P53" i="17"/>
  <c r="A50" i="17" a="1"/>
  <c r="A50" i="17" s="1"/>
  <c r="J50" i="17" a="1"/>
  <c r="J50" i="17" s="1"/>
  <c r="H50" i="17" a="1"/>
  <c r="H50" i="17" s="1"/>
  <c r="I50" i="17" a="1"/>
  <c r="I50" i="17" s="1"/>
  <c r="K50" i="17" a="1"/>
  <c r="K50" i="17" s="1"/>
  <c r="H49" i="17" a="1"/>
  <c r="H49" i="17" s="1"/>
  <c r="P52" i="17"/>
  <c r="K49" i="17" a="1"/>
  <c r="K49" i="17" s="1"/>
  <c r="J49" i="17" a="1"/>
  <c r="J49" i="17" s="1"/>
  <c r="A49" i="17" a="1"/>
  <c r="A49" i="17" s="1"/>
  <c r="I49" i="17" a="1"/>
  <c r="I49" i="17" s="1"/>
  <c r="A48" i="17" a="1"/>
  <c r="A48" i="17" s="1"/>
  <c r="E48" i="17" s="1"/>
  <c r="H48" i="17" a="1"/>
  <c r="H48" i="17" s="1"/>
  <c r="I48" i="17" a="1"/>
  <c r="I48" i="17" s="1"/>
  <c r="K48" i="17" a="1"/>
  <c r="K48" i="17" s="1"/>
  <c r="J48" i="17" a="1"/>
  <c r="J48" i="17" s="1"/>
  <c r="P51" i="17"/>
  <c r="A47" i="17" a="1"/>
  <c r="A47" i="17" s="1"/>
  <c r="J47" i="17" a="1"/>
  <c r="J47" i="17" s="1"/>
  <c r="H47" i="17" a="1"/>
  <c r="H47" i="17" s="1"/>
  <c r="I47" i="17" a="1"/>
  <c r="I47" i="17" s="1"/>
  <c r="K47" i="17" a="1"/>
  <c r="K47" i="17" s="1"/>
  <c r="P50" i="17"/>
  <c r="P49" i="17"/>
  <c r="A46" i="17" a="1"/>
  <c r="A46" i="17" s="1"/>
  <c r="E46" i="17" s="1"/>
  <c r="H46" i="17" a="1"/>
  <c r="H46" i="17" s="1"/>
  <c r="I46" i="17" a="1"/>
  <c r="I46" i="17" s="1"/>
  <c r="K46" i="17" a="1"/>
  <c r="K46" i="17" s="1"/>
  <c r="J46" i="17" a="1"/>
  <c r="J46" i="17" s="1"/>
  <c r="A45" i="17" a="1"/>
  <c r="A45" i="17" s="1"/>
  <c r="E45" i="17" s="1"/>
  <c r="H45" i="17" a="1"/>
  <c r="H45" i="17" s="1"/>
  <c r="I45" i="17" a="1"/>
  <c r="I45" i="17" s="1"/>
  <c r="P48" i="17"/>
  <c r="K45" i="17" a="1"/>
  <c r="K45" i="17" s="1"/>
  <c r="J45" i="17" a="1"/>
  <c r="J45" i="17" s="1"/>
  <c r="P47" i="17"/>
  <c r="A44" i="17" a="1"/>
  <c r="A44" i="17" s="1"/>
  <c r="H8" i="17" a="1"/>
  <c r="H8" i="17" s="1"/>
  <c r="J8" i="17" a="1"/>
  <c r="J8" i="17" s="1"/>
  <c r="K8" i="17" a="1"/>
  <c r="K8" i="17" s="1"/>
  <c r="I8" i="17" a="1"/>
  <c r="I8" i="17" s="1"/>
  <c r="A8" i="17" a="1"/>
  <c r="A8" i="17" s="1"/>
  <c r="H7" i="17" a="1"/>
  <c r="H7" i="17" s="1"/>
  <c r="J7" i="17" a="1"/>
  <c r="J7" i="17" s="1"/>
  <c r="K7" i="17" a="1"/>
  <c r="K7" i="17" s="1"/>
  <c r="I7" i="17" a="1"/>
  <c r="I7" i="17" s="1"/>
  <c r="A7" i="17" a="1"/>
  <c r="A7" i="17" s="1"/>
  <c r="I6" i="17" a="1"/>
  <c r="I6" i="17" s="1"/>
  <c r="J6" i="17" a="1"/>
  <c r="J6" i="17" s="1"/>
  <c r="K6" i="17" a="1"/>
  <c r="K6" i="17" s="1"/>
  <c r="A6" i="17" a="1"/>
  <c r="A6" i="17" s="1"/>
  <c r="H6" i="17" a="1"/>
  <c r="H6" i="17" s="1"/>
  <c r="K5" i="17" a="1"/>
  <c r="K5" i="17" s="1"/>
  <c r="I5" i="17" a="1"/>
  <c r="I5" i="17" s="1"/>
  <c r="A5" i="17" a="1"/>
  <c r="A5" i="17" s="1"/>
  <c r="J5" i="17" a="1"/>
  <c r="J5" i="17" s="1"/>
  <c r="H5" i="17" a="1"/>
  <c r="H5" i="17" s="1"/>
  <c r="K4" i="17" a="1"/>
  <c r="K4" i="17" s="1"/>
  <c r="I4" i="17" a="1"/>
  <c r="I4" i="17" s="1"/>
  <c r="A4" i="17" a="1"/>
  <c r="A4" i="17" s="1"/>
  <c r="J4" i="17" a="1"/>
  <c r="J4" i="17" s="1"/>
  <c r="H4" i="17" a="1"/>
  <c r="H4" i="17" s="1"/>
  <c r="K3" i="17" a="1"/>
  <c r="K3" i="17" s="1"/>
  <c r="I3" i="17" a="1"/>
  <c r="I3" i="17" s="1"/>
  <c r="A3" i="17" a="1"/>
  <c r="A3" i="17" s="1"/>
  <c r="H3" i="17" a="1"/>
  <c r="H3" i="17" s="1"/>
  <c r="J3" i="17" a="1"/>
  <c r="J3" i="17" s="1"/>
  <c r="K10" i="17" a="1"/>
  <c r="K10" i="17" s="1"/>
  <c r="I10" i="17" a="1"/>
  <c r="I10" i="17" s="1"/>
  <c r="H10" i="17" a="1"/>
  <c r="H10" i="17" s="1"/>
  <c r="J10" i="17" a="1"/>
  <c r="J10" i="17" s="1"/>
  <c r="A10" i="17" a="1"/>
  <c r="A10" i="17" s="1"/>
  <c r="A41" i="17" a="1"/>
  <c r="A41" i="17" s="1"/>
  <c r="H32" i="17" a="1"/>
  <c r="H32" i="17" s="1"/>
  <c r="K32" i="17" a="1"/>
  <c r="K32" i="17" s="1"/>
  <c r="A32" i="17" a="1"/>
  <c r="A32" i="17" s="1"/>
  <c r="I32" i="17" a="1"/>
  <c r="I32" i="17" s="1"/>
  <c r="J32" i="17" a="1"/>
  <c r="J32" i="17" s="1"/>
  <c r="I14" i="17" a="1"/>
  <c r="I14" i="17" s="1"/>
  <c r="H14" i="17" a="1"/>
  <c r="H14" i="17" s="1"/>
  <c r="K14" i="17" a="1"/>
  <c r="K14" i="17" s="1"/>
  <c r="J14" i="17" a="1"/>
  <c r="J14" i="17" s="1"/>
  <c r="A14" i="17" a="1"/>
  <c r="A14" i="17" s="1"/>
  <c r="A40" i="17" a="1"/>
  <c r="A40" i="17" s="1"/>
  <c r="I23" i="17" a="1"/>
  <c r="I23" i="17" s="1"/>
  <c r="A23" i="17" a="1"/>
  <c r="A23" i="17" s="1"/>
  <c r="K23" i="17" a="1"/>
  <c r="K23" i="17" s="1"/>
  <c r="H23" i="17" a="1"/>
  <c r="H23" i="17" s="1"/>
  <c r="J23" i="17" a="1"/>
  <c r="J23" i="17" s="1"/>
  <c r="A13" i="17" a="1"/>
  <c r="A13" i="17" s="1"/>
  <c r="J13" i="17" a="1"/>
  <c r="J13" i="17" s="1"/>
  <c r="H13" i="17" a="1"/>
  <c r="H13" i="17" s="1"/>
  <c r="K13" i="17" a="1"/>
  <c r="K13" i="17" s="1"/>
  <c r="I13" i="17" a="1"/>
  <c r="I13" i="17" s="1"/>
  <c r="A39" i="17" a="1"/>
  <c r="A39" i="17" s="1"/>
  <c r="I22" i="17" a="1"/>
  <c r="I22" i="17" s="1"/>
  <c r="A22" i="17" a="1"/>
  <c r="A22" i="17" s="1"/>
  <c r="K22" i="17" a="1"/>
  <c r="K22" i="17" s="1"/>
  <c r="H22" i="17" a="1"/>
  <c r="H22" i="17" s="1"/>
  <c r="J22" i="17" a="1"/>
  <c r="J22" i="17" s="1"/>
  <c r="A12" i="17" a="1"/>
  <c r="A12" i="17" s="1"/>
  <c r="J12" i="17" a="1"/>
  <c r="J12" i="17" s="1"/>
  <c r="H12" i="17" a="1"/>
  <c r="H12" i="17" s="1"/>
  <c r="K12" i="17" a="1"/>
  <c r="K12" i="17" s="1"/>
  <c r="I12" i="17" a="1"/>
  <c r="I12" i="17" s="1"/>
  <c r="A38" i="17" a="1"/>
  <c r="A38" i="17" s="1"/>
  <c r="I21" i="17" a="1"/>
  <c r="I21" i="17" s="1"/>
  <c r="A21" i="17" a="1"/>
  <c r="A21" i="17" s="1"/>
  <c r="K21" i="17" a="1"/>
  <c r="K21" i="17" s="1"/>
  <c r="H21" i="17" a="1"/>
  <c r="H21" i="17" s="1"/>
  <c r="J21" i="17" a="1"/>
  <c r="J21" i="17" s="1"/>
  <c r="J11" i="17" a="1"/>
  <c r="J11" i="17" s="1"/>
  <c r="A11" i="17" a="1"/>
  <c r="A11" i="17" s="1"/>
  <c r="H11" i="17" a="1"/>
  <c r="H11" i="17" s="1"/>
  <c r="K11" i="17" a="1"/>
  <c r="K11" i="17" s="1"/>
  <c r="I11" i="17" a="1"/>
  <c r="I11" i="17" s="1"/>
  <c r="K31" i="17" a="1"/>
  <c r="K31" i="17" s="1"/>
  <c r="J31" i="17" a="1"/>
  <c r="J31" i="17" s="1"/>
  <c r="H31" i="17" a="1"/>
  <c r="H31" i="17" s="1"/>
  <c r="A31" i="17" a="1"/>
  <c r="A31" i="17" s="1"/>
  <c r="I31" i="17" a="1"/>
  <c r="I31" i="17" s="1"/>
  <c r="K20" i="17" a="1"/>
  <c r="K20" i="17" s="1"/>
  <c r="J20" i="17" a="1"/>
  <c r="J20" i="17" s="1"/>
  <c r="I20" i="17" a="1"/>
  <c r="I20" i="17" s="1"/>
  <c r="H20" i="17" a="1"/>
  <c r="H20" i="17" s="1"/>
  <c r="A20" i="17" a="1"/>
  <c r="A20" i="17" s="1"/>
  <c r="A37" i="17" a="1"/>
  <c r="A37" i="17" s="1"/>
  <c r="K30" i="17" a="1"/>
  <c r="K30" i="17" s="1"/>
  <c r="H30" i="17" a="1"/>
  <c r="H30" i="17" s="1"/>
  <c r="J30" i="17" a="1"/>
  <c r="J30" i="17" s="1"/>
  <c r="A30" i="17" a="1"/>
  <c r="A30" i="17" s="1"/>
  <c r="I30" i="17" a="1"/>
  <c r="I30" i="17" s="1"/>
  <c r="A36" i="17" a="1"/>
  <c r="A36" i="17" s="1"/>
  <c r="H29" i="17" a="1"/>
  <c r="H29" i="17" s="1"/>
  <c r="I29" i="17" a="1"/>
  <c r="I29" i="17" s="1"/>
  <c r="K29" i="17" a="1"/>
  <c r="K29" i="17" s="1"/>
  <c r="J29" i="17" a="1"/>
  <c r="J29" i="17" s="1"/>
  <c r="A29" i="17" a="1"/>
  <c r="A29" i="17" s="1"/>
  <c r="H19" i="17" a="1"/>
  <c r="H19" i="17" s="1"/>
  <c r="J19" i="17" a="1"/>
  <c r="J19" i="17" s="1"/>
  <c r="I19" i="17" a="1"/>
  <c r="I19" i="17" s="1"/>
  <c r="K19" i="17" a="1"/>
  <c r="K19" i="17" s="1"/>
  <c r="A19" i="17" a="1"/>
  <c r="A19" i="17" s="1"/>
  <c r="K28" i="17" a="1"/>
  <c r="K28" i="17" s="1"/>
  <c r="J28" i="17" a="1"/>
  <c r="J28" i="17" s="1"/>
  <c r="H28" i="17" a="1"/>
  <c r="H28" i="17" s="1"/>
  <c r="I28" i="17" a="1"/>
  <c r="I28" i="17" s="1"/>
  <c r="A28" i="17" a="1"/>
  <c r="A28" i="17" s="1"/>
  <c r="J18" i="17" a="1"/>
  <c r="J18" i="17" s="1"/>
  <c r="I18" i="17" a="1"/>
  <c r="I18" i="17" s="1"/>
  <c r="H18" i="17" a="1"/>
  <c r="H18" i="17" s="1"/>
  <c r="K18" i="17" a="1"/>
  <c r="K18" i="17" s="1"/>
  <c r="A18" i="17" a="1"/>
  <c r="A18" i="17" s="1"/>
  <c r="K27" i="17" a="1"/>
  <c r="K27" i="17" s="1"/>
  <c r="J27" i="17" a="1"/>
  <c r="J27" i="17" s="1"/>
  <c r="H27" i="17" a="1"/>
  <c r="H27" i="17" s="1"/>
  <c r="I27" i="17" a="1"/>
  <c r="I27" i="17" s="1"/>
  <c r="A27" i="17" a="1"/>
  <c r="A27" i="17" s="1"/>
  <c r="J17" i="17" a="1"/>
  <c r="J17" i="17" s="1"/>
  <c r="I17" i="17" a="1"/>
  <c r="I17" i="17" s="1"/>
  <c r="H17" i="17" a="1"/>
  <c r="H17" i="17" s="1"/>
  <c r="K17" i="17" a="1"/>
  <c r="K17" i="17" s="1"/>
  <c r="A17" i="17" a="1"/>
  <c r="A17" i="17" s="1"/>
  <c r="A43" i="17" a="1"/>
  <c r="A43" i="17" s="1"/>
  <c r="A35" i="17" a="1"/>
  <c r="A35" i="17" s="1"/>
  <c r="J35" i="17" a="1"/>
  <c r="J35" i="17" s="1"/>
  <c r="K35" i="17" a="1"/>
  <c r="K35" i="17" s="1"/>
  <c r="I35" i="17" a="1"/>
  <c r="I35" i="17" s="1"/>
  <c r="H35" i="17" a="1"/>
  <c r="H35" i="17" s="1"/>
  <c r="A26" i="17" a="1"/>
  <c r="A26" i="17" s="1"/>
  <c r="J26" i="17" a="1"/>
  <c r="J26" i="17" s="1"/>
  <c r="I26" i="17" a="1"/>
  <c r="I26" i="17" s="1"/>
  <c r="K26" i="17" a="1"/>
  <c r="K26" i="17" s="1"/>
  <c r="H26" i="17" a="1"/>
  <c r="H26" i="17" s="1"/>
  <c r="A42" i="17" a="1"/>
  <c r="A42" i="17" s="1"/>
  <c r="A34" i="17" a="1"/>
  <c r="A34" i="17" s="1"/>
  <c r="K34" i="17" a="1"/>
  <c r="K34" i="17" s="1"/>
  <c r="J34" i="17" a="1"/>
  <c r="J34" i="17" s="1"/>
  <c r="I34" i="17" a="1"/>
  <c r="I34" i="17" s="1"/>
  <c r="H34" i="17" a="1"/>
  <c r="H34" i="17" s="1"/>
  <c r="A25" i="17" a="1"/>
  <c r="A25" i="17" s="1"/>
  <c r="K25" i="17" a="1"/>
  <c r="K25" i="17" s="1"/>
  <c r="I25" i="17" a="1"/>
  <c r="I25" i="17" s="1"/>
  <c r="H25" i="17" a="1"/>
  <c r="H25" i="17" s="1"/>
  <c r="J25" i="17" a="1"/>
  <c r="J25" i="17" s="1"/>
  <c r="A16" i="17" a="1"/>
  <c r="A16" i="17" s="1"/>
  <c r="K16" i="17" a="1"/>
  <c r="K16" i="17" s="1"/>
  <c r="H16" i="17" a="1"/>
  <c r="H16" i="17" s="1"/>
  <c r="I16" i="17" a="1"/>
  <c r="I16" i="17" s="1"/>
  <c r="J16" i="17" a="1"/>
  <c r="J16" i="17" s="1"/>
  <c r="K33" i="17" a="1"/>
  <c r="K33" i="17" s="1"/>
  <c r="A33" i="17" a="1"/>
  <c r="A33" i="17" s="1"/>
  <c r="H33" i="17" a="1"/>
  <c r="H33" i="17" s="1"/>
  <c r="I33" i="17" a="1"/>
  <c r="I33" i="17" s="1"/>
  <c r="J33" i="17" a="1"/>
  <c r="J33" i="17" s="1"/>
  <c r="K24" i="17" a="1"/>
  <c r="K24" i="17" s="1"/>
  <c r="J24" i="17" a="1"/>
  <c r="J24" i="17" s="1"/>
  <c r="I24" i="17" a="1"/>
  <c r="I24" i="17" s="1"/>
  <c r="A24" i="17" a="1"/>
  <c r="A24" i="17" s="1"/>
  <c r="H24" i="17" a="1"/>
  <c r="H24" i="17" s="1"/>
  <c r="K15" i="17" a="1"/>
  <c r="K15" i="17" s="1"/>
  <c r="I15" i="17" a="1"/>
  <c r="I15" i="17" s="1"/>
  <c r="A15" i="17" a="1"/>
  <c r="A15" i="17" s="1"/>
  <c r="J15" i="17" a="1"/>
  <c r="J15" i="17" s="1"/>
  <c r="H15" i="17" a="1"/>
  <c r="H15" i="17" s="1"/>
  <c r="K9" i="17" a="1"/>
  <c r="K9" i="17" s="1"/>
  <c r="J9" i="17" a="1"/>
  <c r="J9" i="17" s="1"/>
  <c r="H9" i="17" a="1"/>
  <c r="H9" i="17" s="1"/>
  <c r="I9" i="17" a="1"/>
  <c r="I9" i="17" s="1"/>
  <c r="A9" i="17" a="1"/>
  <c r="A9" i="17" s="1"/>
  <c r="P46" i="17"/>
  <c r="P26" i="17"/>
  <c r="P25" i="17"/>
  <c r="P24" i="17"/>
  <c r="P17" i="17"/>
  <c r="P32" i="17"/>
  <c r="P31" i="17"/>
  <c r="P16" i="17"/>
  <c r="P15" i="17"/>
  <c r="P30" i="17"/>
  <c r="P21" i="17"/>
  <c r="P12" i="17"/>
  <c r="P20" i="17"/>
  <c r="P10" i="17"/>
  <c r="P28" i="17"/>
  <c r="P19" i="17"/>
  <c r="P9" i="17"/>
  <c r="P35" i="17"/>
  <c r="P18" i="17"/>
  <c r="P34" i="17"/>
  <c r="P27" i="17"/>
  <c r="P23" i="17"/>
  <c r="P14" i="17"/>
  <c r="P22" i="17"/>
  <c r="P13" i="17"/>
  <c r="P11" i="17"/>
  <c r="P29" i="17"/>
  <c r="P33" i="17"/>
  <c r="A189" i="22"/>
  <c r="A190" i="22"/>
  <c r="A191" i="22"/>
  <c r="A192" i="22"/>
  <c r="A193" i="22"/>
  <c r="A13" i="33"/>
  <c r="A14" i="33"/>
  <c r="A15" i="33"/>
  <c r="A16" i="33"/>
  <c r="A17" i="33"/>
  <c r="A18" i="33"/>
  <c r="A19" i="33"/>
  <c r="A25" i="33"/>
  <c r="A26" i="33"/>
  <c r="A27" i="33"/>
  <c r="A28" i="33"/>
  <c r="A29" i="33"/>
  <c r="A30" i="33"/>
  <c r="A31" i="33"/>
  <c r="A37" i="33"/>
  <c r="A38" i="33"/>
  <c r="A39" i="33"/>
  <c r="A40" i="33"/>
  <c r="A41" i="33"/>
  <c r="A42" i="33"/>
  <c r="A43" i="33"/>
  <c r="A49" i="33"/>
  <c r="A50" i="33"/>
  <c r="A51" i="33"/>
  <c r="A52" i="33"/>
  <c r="A53" i="33"/>
  <c r="A54" i="33"/>
  <c r="A55" i="33"/>
  <c r="A8" i="33"/>
  <c r="A9" i="33"/>
  <c r="A10" i="33"/>
  <c r="A11" i="33"/>
  <c r="A12" i="33"/>
  <c r="A20" i="33"/>
  <c r="A21" i="33"/>
  <c r="A22" i="33"/>
  <c r="A23" i="33"/>
  <c r="A24" i="33"/>
  <c r="A32" i="33"/>
  <c r="A33" i="33"/>
  <c r="A34" i="33"/>
  <c r="A35" i="33"/>
  <c r="A36" i="33"/>
  <c r="A44" i="33"/>
  <c r="A45" i="33"/>
  <c r="A46" i="33"/>
  <c r="A47" i="33"/>
  <c r="A48" i="33"/>
  <c r="A56" i="33"/>
  <c r="A57" i="33"/>
  <c r="A58" i="33"/>
  <c r="P59" i="33"/>
  <c r="P58" i="33"/>
  <c r="B58" i="33" a="1"/>
  <c r="B58" i="33" s="1"/>
  <c r="P57" i="33"/>
  <c r="B57" i="33" a="1"/>
  <c r="B57" i="33" s="1"/>
  <c r="P56" i="33"/>
  <c r="B56" i="33" a="1"/>
  <c r="B56" i="33" s="1"/>
  <c r="P55" i="33"/>
  <c r="B55" i="33" a="1"/>
  <c r="B55" i="33" s="1"/>
  <c r="P54" i="33"/>
  <c r="B54" i="33" a="1"/>
  <c r="B54" i="33" s="1"/>
  <c r="P53" i="33"/>
  <c r="B53" i="33" a="1"/>
  <c r="B53" i="33" s="1"/>
  <c r="P52" i="33"/>
  <c r="B52" i="33" a="1"/>
  <c r="B52" i="33" s="1"/>
  <c r="P51" i="33"/>
  <c r="B51" i="33" a="1"/>
  <c r="B51" i="33" s="1"/>
  <c r="P50" i="33"/>
  <c r="B50" i="33" a="1"/>
  <c r="B50" i="33" s="1"/>
  <c r="P49" i="33"/>
  <c r="B49" i="33" a="1"/>
  <c r="B49" i="33" s="1"/>
  <c r="P48" i="33"/>
  <c r="B48" i="33" a="1"/>
  <c r="B48" i="33" s="1"/>
  <c r="P47" i="33"/>
  <c r="B47" i="33" a="1"/>
  <c r="B47" i="33" s="1"/>
  <c r="P46" i="33"/>
  <c r="B46" i="33" a="1"/>
  <c r="B46" i="33" s="1"/>
  <c r="P45" i="33"/>
  <c r="B45" i="33" a="1"/>
  <c r="B45" i="33" s="1"/>
  <c r="P44" i="33"/>
  <c r="B44" i="33" a="1"/>
  <c r="B44" i="33" s="1"/>
  <c r="P43" i="33"/>
  <c r="B43" i="33" a="1"/>
  <c r="B43" i="33" s="1"/>
  <c r="P42" i="33"/>
  <c r="B42" i="33"/>
  <c r="B42" i="33" a="1"/>
  <c r="P41" i="33"/>
  <c r="B41" i="33" a="1"/>
  <c r="B41" i="33" s="1"/>
  <c r="P40" i="33"/>
  <c r="B40" i="33" a="1"/>
  <c r="B40" i="33" s="1"/>
  <c r="P39" i="33"/>
  <c r="B39" i="33" a="1"/>
  <c r="B39" i="33" s="1"/>
  <c r="P38" i="33"/>
  <c r="B38" i="33" a="1"/>
  <c r="B38" i="33" s="1"/>
  <c r="P37" i="33"/>
  <c r="B37" i="33" a="1"/>
  <c r="B37" i="33" s="1"/>
  <c r="P36" i="33"/>
  <c r="B36" i="33" a="1"/>
  <c r="B36" i="33" s="1"/>
  <c r="P35" i="33"/>
  <c r="B35" i="33" a="1"/>
  <c r="B35" i="33" s="1"/>
  <c r="P34" i="33"/>
  <c r="B34" i="33" a="1"/>
  <c r="B34" i="33" s="1"/>
  <c r="P33" i="33"/>
  <c r="B33" i="33" a="1"/>
  <c r="B33" i="33" s="1"/>
  <c r="P32" i="33"/>
  <c r="B32" i="33" a="1"/>
  <c r="B32" i="33" s="1"/>
  <c r="P31" i="33"/>
  <c r="B31" i="33" a="1"/>
  <c r="B31" i="33" s="1"/>
  <c r="P30" i="33"/>
  <c r="B30" i="33" a="1"/>
  <c r="B30" i="33" s="1"/>
  <c r="P29" i="33"/>
  <c r="B29" i="33" a="1"/>
  <c r="B29" i="33" s="1"/>
  <c r="P28" i="33"/>
  <c r="B28" i="33" a="1"/>
  <c r="B28" i="33" s="1"/>
  <c r="P27" i="33"/>
  <c r="B27" i="33" a="1"/>
  <c r="B27" i="33" s="1"/>
  <c r="P26" i="33"/>
  <c r="B26" i="33"/>
  <c r="B26" i="33" a="1"/>
  <c r="P25" i="33"/>
  <c r="B25" i="33" a="1"/>
  <c r="B25" i="33" s="1"/>
  <c r="P24" i="33"/>
  <c r="B24" i="33" a="1"/>
  <c r="B24" i="33" s="1"/>
  <c r="P23" i="33"/>
  <c r="B23" i="33" a="1"/>
  <c r="B23" i="33" s="1"/>
  <c r="P22" i="33"/>
  <c r="B22" i="33" a="1"/>
  <c r="B22" i="33" s="1"/>
  <c r="P21" i="33"/>
  <c r="B21" i="33" a="1"/>
  <c r="B21" i="33" s="1"/>
  <c r="P20" i="33"/>
  <c r="B20" i="33" a="1"/>
  <c r="B20" i="33" s="1"/>
  <c r="P19" i="33"/>
  <c r="B19" i="33" a="1"/>
  <c r="B19" i="33" s="1"/>
  <c r="P18" i="33"/>
  <c r="B18" i="33" a="1"/>
  <c r="B18" i="33" s="1"/>
  <c r="P17" i="33"/>
  <c r="B17" i="33" a="1"/>
  <c r="B17" i="33" s="1"/>
  <c r="P16" i="33"/>
  <c r="B16" i="33" a="1"/>
  <c r="B16" i="33" s="1"/>
  <c r="P15" i="33"/>
  <c r="B15" i="33" a="1"/>
  <c r="B15" i="33" s="1"/>
  <c r="P14" i="33"/>
  <c r="B14" i="33" a="1"/>
  <c r="B14" i="33" s="1"/>
  <c r="P13" i="33"/>
  <c r="B13" i="33" a="1"/>
  <c r="B13" i="33" s="1"/>
  <c r="P12" i="33"/>
  <c r="B12" i="33" a="1"/>
  <c r="B12" i="33" s="1"/>
  <c r="P11" i="33"/>
  <c r="B11" i="33" a="1"/>
  <c r="B11" i="33" s="1"/>
  <c r="P10" i="33"/>
  <c r="B10" i="33" a="1"/>
  <c r="B10" i="33" s="1"/>
  <c r="P9" i="33"/>
  <c r="B9" i="33" a="1"/>
  <c r="B9" i="33" s="1"/>
  <c r="B8" i="33" a="1"/>
  <c r="B8" i="33" s="1"/>
  <c r="B7" i="33" a="1"/>
  <c r="B7" i="33" s="1"/>
  <c r="B6" i="33" a="1"/>
  <c r="B6" i="33" s="1"/>
  <c r="A6" i="33" s="1"/>
  <c r="B5" i="33" a="1"/>
  <c r="B5" i="33" s="1"/>
  <c r="B4" i="33" a="1"/>
  <c r="B4" i="33" s="1"/>
  <c r="B3" i="33" a="1"/>
  <c r="B3" i="33" s="1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C54" i="32"/>
  <c r="D54" i="32" s="1"/>
  <c r="C55" i="32"/>
  <c r="D55" i="32" s="1"/>
  <c r="C56" i="32"/>
  <c r="D56" i="32" s="1"/>
  <c r="C57" i="32"/>
  <c r="D57" i="32" s="1"/>
  <c r="C58" i="32"/>
  <c r="D58" i="32" s="1"/>
  <c r="C59" i="32"/>
  <c r="C60" i="32"/>
  <c r="C61" i="32"/>
  <c r="C62" i="32"/>
  <c r="C63" i="32"/>
  <c r="C64" i="32"/>
  <c r="D64" i="32" s="1"/>
  <c r="C65" i="32"/>
  <c r="D65" i="32" s="1"/>
  <c r="C66" i="32"/>
  <c r="D66" i="32" s="1"/>
  <c r="C67" i="32"/>
  <c r="D67" i="32" s="1"/>
  <c r="C68" i="32"/>
  <c r="D68" i="32" s="1"/>
  <c r="C69" i="32"/>
  <c r="D69" i="32" s="1"/>
  <c r="C70" i="32"/>
  <c r="D70" i="32" s="1"/>
  <c r="C71" i="32"/>
  <c r="C72" i="32"/>
  <c r="D59" i="32"/>
  <c r="D60" i="32"/>
  <c r="D61" i="32"/>
  <c r="D62" i="32"/>
  <c r="D63" i="32"/>
  <c r="D71" i="32"/>
  <c r="D72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P59" i="32"/>
  <c r="M59" i="32" s="1"/>
  <c r="N59" i="32" s="1" a="1"/>
  <c r="N59" i="32" s="1"/>
  <c r="P60" i="32"/>
  <c r="M60" i="32" s="1"/>
  <c r="N60" i="32" s="1" a="1"/>
  <c r="N60" i="32" s="1"/>
  <c r="P61" i="32"/>
  <c r="M61" i="32" s="1"/>
  <c r="N61" i="32" s="1" a="1"/>
  <c r="N61" i="32" s="1"/>
  <c r="P62" i="32"/>
  <c r="P63" i="32"/>
  <c r="P64" i="32"/>
  <c r="P65" i="32"/>
  <c r="P66" i="32"/>
  <c r="P67" i="32"/>
  <c r="P68" i="32"/>
  <c r="P69" i="32"/>
  <c r="M69" i="32" s="1"/>
  <c r="N69" i="32" s="1" a="1"/>
  <c r="N69" i="32" s="1"/>
  <c r="P70" i="32"/>
  <c r="M70" i="32" s="1"/>
  <c r="N70" i="32" s="1" a="1"/>
  <c r="N70" i="32" s="1"/>
  <c r="P71" i="32"/>
  <c r="M71" i="32" s="1"/>
  <c r="N71" i="32" s="1" a="1"/>
  <c r="N71" i="32" s="1"/>
  <c r="P72" i="32"/>
  <c r="M72" i="32" s="1"/>
  <c r="N72" i="32" s="1" a="1"/>
  <c r="N72" i="32" s="1"/>
  <c r="P73" i="32"/>
  <c r="M73" i="32" s="1"/>
  <c r="N73" i="32" s="1" a="1"/>
  <c r="N73" i="32" s="1"/>
  <c r="P74" i="32"/>
  <c r="P75" i="32"/>
  <c r="P76" i="32"/>
  <c r="P77" i="32"/>
  <c r="P78" i="32"/>
  <c r="BA14" i="32"/>
  <c r="BA15" i="32"/>
  <c r="BB14" i="32"/>
  <c r="BB15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3" i="32"/>
  <c r="C56" i="31"/>
  <c r="D56" i="31" s="1"/>
  <c r="C57" i="31"/>
  <c r="D57" i="31" s="1"/>
  <c r="C60" i="31"/>
  <c r="D60" i="31" s="1"/>
  <c r="C61" i="31"/>
  <c r="D61" i="31" s="1"/>
  <c r="E62" i="31"/>
  <c r="E63" i="31"/>
  <c r="C64" i="31"/>
  <c r="D64" i="31" s="1"/>
  <c r="C65" i="31"/>
  <c r="D65" i="31" s="1"/>
  <c r="C68" i="31"/>
  <c r="D68" i="31" s="1"/>
  <c r="C69" i="31"/>
  <c r="D69" i="31" s="1"/>
  <c r="E71" i="31"/>
  <c r="C72" i="31"/>
  <c r="D72" i="31" s="1"/>
  <c r="C73" i="31"/>
  <c r="D73" i="31" s="1"/>
  <c r="E74" i="31"/>
  <c r="E75" i="31"/>
  <c r="C76" i="31"/>
  <c r="D76" i="31" s="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C55" i="31"/>
  <c r="D55" i="31" s="1"/>
  <c r="C59" i="31"/>
  <c r="D59" i="31" s="1"/>
  <c r="C67" i="31"/>
  <c r="D67" i="31" s="1"/>
  <c r="C71" i="31"/>
  <c r="D71" i="31" s="1"/>
  <c r="E55" i="31"/>
  <c r="E56" i="31"/>
  <c r="E57" i="31"/>
  <c r="E59" i="31"/>
  <c r="E60" i="31"/>
  <c r="E61" i="31"/>
  <c r="E67" i="31"/>
  <c r="E68" i="31"/>
  <c r="E69" i="31"/>
  <c r="E72" i="31"/>
  <c r="E73" i="31"/>
  <c r="E4" i="31"/>
  <c r="E5" i="31"/>
  <c r="E11" i="31"/>
  <c r="E15" i="31"/>
  <c r="E17" i="31"/>
  <c r="E23" i="31"/>
  <c r="E27" i="31"/>
  <c r="E28" i="31"/>
  <c r="E29" i="31"/>
  <c r="E33" i="31"/>
  <c r="E35" i="31"/>
  <c r="E39" i="31"/>
  <c r="E47" i="31"/>
  <c r="E50" i="31"/>
  <c r="E51" i="31"/>
  <c r="E52" i="31"/>
  <c r="P59" i="31"/>
  <c r="P60" i="31"/>
  <c r="M60" i="31" s="1"/>
  <c r="N60" i="31" s="1" a="1"/>
  <c r="N60" i="31" s="1"/>
  <c r="P61" i="31"/>
  <c r="M61" i="31" s="1"/>
  <c r="N61" i="31" s="1" a="1"/>
  <c r="N61" i="31" s="1"/>
  <c r="P62" i="31"/>
  <c r="P63" i="31"/>
  <c r="P64" i="31"/>
  <c r="M64" i="31" s="1"/>
  <c r="N64" i="31" s="1" a="1"/>
  <c r="N64" i="31" s="1"/>
  <c r="P65" i="31"/>
  <c r="M65" i="31" s="1"/>
  <c r="N65" i="31" s="1" a="1"/>
  <c r="N65" i="31" s="1"/>
  <c r="P66" i="31"/>
  <c r="M66" i="31" s="1"/>
  <c r="N66" i="31" s="1" a="1"/>
  <c r="N66" i="31" s="1"/>
  <c r="P67" i="31"/>
  <c r="P68" i="31"/>
  <c r="P69" i="31"/>
  <c r="M69" i="31" s="1"/>
  <c r="N69" i="31" s="1" a="1"/>
  <c r="N69" i="31" s="1"/>
  <c r="P70" i="31"/>
  <c r="P71" i="31"/>
  <c r="P72" i="31"/>
  <c r="M72" i="31" s="1"/>
  <c r="N72" i="31" s="1" a="1"/>
  <c r="N72" i="31" s="1"/>
  <c r="P73" i="31"/>
  <c r="M73" i="31" s="1"/>
  <c r="N73" i="31" s="1" a="1"/>
  <c r="N73" i="31" s="1"/>
  <c r="P74" i="31"/>
  <c r="P75" i="31"/>
  <c r="P76" i="31"/>
  <c r="M76" i="31" s="1"/>
  <c r="N76" i="31" s="1" a="1"/>
  <c r="N76" i="31" s="1"/>
  <c r="P77" i="31"/>
  <c r="M77" i="31" s="1"/>
  <c r="N77" i="31" s="1" a="1"/>
  <c r="N77" i="31" s="1"/>
  <c r="P78" i="31"/>
  <c r="M78" i="31" s="1"/>
  <c r="N78" i="31" s="1" a="1"/>
  <c r="N78" i="31" s="1"/>
  <c r="P79" i="31"/>
  <c r="P80" i="31"/>
  <c r="P81" i="31"/>
  <c r="M81" i="31" s="1"/>
  <c r="N81" i="31" s="1" a="1"/>
  <c r="N81" i="31" s="1"/>
  <c r="P82" i="31"/>
  <c r="BA11" i="31"/>
  <c r="BB11" i="31" s="1"/>
  <c r="BA12" i="31"/>
  <c r="BB12" i="31" s="1"/>
  <c r="B4" i="31"/>
  <c r="B5" i="31"/>
  <c r="B6" i="31"/>
  <c r="E6" i="31" s="1"/>
  <c r="B7" i="31"/>
  <c r="E7" i="31" s="1"/>
  <c r="B8" i="31"/>
  <c r="E8" i="31" s="1"/>
  <c r="B9" i="31"/>
  <c r="E9" i="31" s="1"/>
  <c r="B10" i="31"/>
  <c r="E10" i="31" s="1"/>
  <c r="B11" i="31"/>
  <c r="B12" i="31"/>
  <c r="B13" i="31"/>
  <c r="E13" i="31" s="1"/>
  <c r="B14" i="31"/>
  <c r="E14" i="31" s="1"/>
  <c r="B15" i="31"/>
  <c r="B16" i="31"/>
  <c r="B17" i="31"/>
  <c r="B18" i="31"/>
  <c r="E18" i="31" s="1"/>
  <c r="B19" i="31"/>
  <c r="E19" i="31" s="1"/>
  <c r="B20" i="31"/>
  <c r="E20" i="31" s="1"/>
  <c r="B21" i="31"/>
  <c r="E21" i="31" s="1"/>
  <c r="B22" i="31"/>
  <c r="E22" i="31" s="1"/>
  <c r="B23" i="31"/>
  <c r="B24" i="31"/>
  <c r="C24" i="31" s="1"/>
  <c r="D24" i="31" s="1"/>
  <c r="B25" i="31"/>
  <c r="E25" i="31" s="1"/>
  <c r="B26" i="31"/>
  <c r="E26" i="31" s="1"/>
  <c r="B27" i="31"/>
  <c r="B28" i="31"/>
  <c r="B29" i="31"/>
  <c r="B30" i="31"/>
  <c r="E30" i="31" s="1"/>
  <c r="B31" i="31"/>
  <c r="B32" i="31"/>
  <c r="E32" i="31" s="1"/>
  <c r="B33" i="31"/>
  <c r="B34" i="31"/>
  <c r="E34" i="31" s="1"/>
  <c r="B35" i="31"/>
  <c r="B36" i="31"/>
  <c r="E36" i="31" s="1"/>
  <c r="B37" i="31"/>
  <c r="E37" i="31" s="1"/>
  <c r="B38" i="31"/>
  <c r="E38" i="31" s="1"/>
  <c r="B39" i="31"/>
  <c r="B40" i="31"/>
  <c r="E40" i="31" s="1"/>
  <c r="B41" i="31"/>
  <c r="E41" i="31" s="1"/>
  <c r="B42" i="31"/>
  <c r="E42" i="31" s="1"/>
  <c r="B43" i="31"/>
  <c r="E43" i="31" s="1"/>
  <c r="B44" i="31"/>
  <c r="E44" i="31" s="1"/>
  <c r="B45" i="31"/>
  <c r="E45" i="31" s="1"/>
  <c r="B46" i="31"/>
  <c r="E46" i="31" s="1"/>
  <c r="B47" i="31"/>
  <c r="B48" i="31"/>
  <c r="E48" i="31" s="1"/>
  <c r="B49" i="31"/>
  <c r="E49" i="31" s="1"/>
  <c r="B50" i="31"/>
  <c r="B51" i="31"/>
  <c r="B52" i="31"/>
  <c r="B53" i="31"/>
  <c r="E53" i="31" s="1"/>
  <c r="E16" i="31"/>
  <c r="B3" i="31"/>
  <c r="E3" i="31" s="1"/>
  <c r="P58" i="32"/>
  <c r="P57" i="32"/>
  <c r="M57" i="32" s="1"/>
  <c r="N57" i="32" s="1" a="1"/>
  <c r="N57" i="32" s="1"/>
  <c r="P56" i="32"/>
  <c r="P55" i="32"/>
  <c r="P54" i="32"/>
  <c r="P53" i="32"/>
  <c r="P52" i="32"/>
  <c r="P51" i="32"/>
  <c r="M51" i="32" s="1"/>
  <c r="N51" i="32" s="1" a="1"/>
  <c r="N51" i="32" s="1"/>
  <c r="P50" i="32"/>
  <c r="M50" i="32" s="1"/>
  <c r="N50" i="32" s="1" a="1"/>
  <c r="N50" i="32" s="1"/>
  <c r="P49" i="32"/>
  <c r="M49" i="32" s="1"/>
  <c r="N49" i="32" s="1" a="1"/>
  <c r="N49" i="32" s="1"/>
  <c r="P48" i="32"/>
  <c r="M48" i="32" s="1"/>
  <c r="N48" i="32" s="1" a="1"/>
  <c r="N48" i="32" s="1"/>
  <c r="P47" i="32"/>
  <c r="M47" i="32" s="1"/>
  <c r="N47" i="32" s="1" a="1"/>
  <c r="N47" i="32" s="1"/>
  <c r="P46" i="32"/>
  <c r="P45" i="32"/>
  <c r="M45" i="32" s="1"/>
  <c r="N45" i="32" s="1" a="1"/>
  <c r="N45" i="32" s="1"/>
  <c r="P44" i="32"/>
  <c r="P43" i="32"/>
  <c r="P42" i="32"/>
  <c r="P41" i="32"/>
  <c r="P40" i="32"/>
  <c r="P39" i="32"/>
  <c r="M39" i="32" s="1"/>
  <c r="N39" i="32" s="1" a="1"/>
  <c r="N39" i="32" s="1"/>
  <c r="P38" i="32"/>
  <c r="M38" i="32" s="1"/>
  <c r="N38" i="32" s="1" a="1"/>
  <c r="N38" i="32" s="1"/>
  <c r="P37" i="32"/>
  <c r="M37" i="32" s="1"/>
  <c r="N37" i="32" s="1" a="1"/>
  <c r="N37" i="32" s="1"/>
  <c r="P36" i="32"/>
  <c r="M36" i="32" s="1"/>
  <c r="N36" i="32" s="1" a="1"/>
  <c r="N36" i="32" s="1"/>
  <c r="P35" i="32"/>
  <c r="M35" i="32" s="1"/>
  <c r="N35" i="32" s="1" a="1"/>
  <c r="N35" i="32" s="1"/>
  <c r="P34" i="32"/>
  <c r="P33" i="32"/>
  <c r="M33" i="32" s="1"/>
  <c r="N33" i="32" s="1" a="1"/>
  <c r="N33" i="32" s="1"/>
  <c r="P32" i="32"/>
  <c r="P31" i="32"/>
  <c r="P30" i="32"/>
  <c r="P29" i="32"/>
  <c r="P28" i="32"/>
  <c r="P27" i="32"/>
  <c r="M27" i="32" s="1"/>
  <c r="N27" i="32" s="1" a="1"/>
  <c r="N27" i="32" s="1"/>
  <c r="P26" i="32"/>
  <c r="M26" i="32" s="1"/>
  <c r="N26" i="32" s="1" a="1"/>
  <c r="N26" i="32" s="1"/>
  <c r="P25" i="32"/>
  <c r="M25" i="32" s="1"/>
  <c r="N25" i="32" s="1" a="1"/>
  <c r="N25" i="32" s="1"/>
  <c r="P24" i="32"/>
  <c r="M24" i="32" s="1"/>
  <c r="N24" i="32" s="1" a="1"/>
  <c r="N24" i="32" s="1"/>
  <c r="P23" i="32"/>
  <c r="M23" i="32" s="1"/>
  <c r="N23" i="32" s="1" a="1"/>
  <c r="N23" i="32" s="1"/>
  <c r="P22" i="32"/>
  <c r="M22" i="32"/>
  <c r="N22" i="32" s="1" a="1"/>
  <c r="N22" i="32" s="1"/>
  <c r="P21" i="32"/>
  <c r="M21" i="32" s="1"/>
  <c r="N21" i="32" s="1" a="1"/>
  <c r="N21" i="32" s="1"/>
  <c r="P20" i="32"/>
  <c r="P19" i="32"/>
  <c r="P18" i="32"/>
  <c r="P17" i="32"/>
  <c r="P16" i="32"/>
  <c r="M16" i="32" s="1"/>
  <c r="N16" i="32" s="1" a="1"/>
  <c r="N16" i="32" s="1"/>
  <c r="P15" i="32"/>
  <c r="M15" i="32" s="1"/>
  <c r="N15" i="32" s="1" a="1"/>
  <c r="N15" i="32" s="1"/>
  <c r="P14" i="32"/>
  <c r="M14" i="32" s="1"/>
  <c r="N14" i="32" s="1" a="1"/>
  <c r="N14" i="32" s="1"/>
  <c r="BA13" i="32"/>
  <c r="BB13" i="32" s="1"/>
  <c r="P13" i="32"/>
  <c r="M13" i="32" s="1"/>
  <c r="N13" i="32" s="1" a="1"/>
  <c r="N13" i="32" s="1"/>
  <c r="BA12" i="32"/>
  <c r="BB12" i="32" s="1"/>
  <c r="P12" i="32"/>
  <c r="BA11" i="32"/>
  <c r="BB11" i="32" s="1"/>
  <c r="P11" i="32"/>
  <c r="M11" i="32" s="1"/>
  <c r="N11" i="32" s="1" a="1"/>
  <c r="N11" i="32" s="1"/>
  <c r="BA10" i="32"/>
  <c r="BB10" i="32" s="1"/>
  <c r="P10" i="32"/>
  <c r="M10" i="32" s="1"/>
  <c r="N10" i="32" s="1" a="1"/>
  <c r="N10" i="32" s="1"/>
  <c r="BA9" i="32"/>
  <c r="BB9" i="32" s="1"/>
  <c r="P9" i="32"/>
  <c r="M9" i="32" s="1"/>
  <c r="N9" i="32" s="1" a="1"/>
  <c r="N9" i="32" s="1"/>
  <c r="P58" i="31"/>
  <c r="M58" i="31" s="1"/>
  <c r="N58" i="31" s="1" a="1"/>
  <c r="N58" i="31" s="1"/>
  <c r="P57" i="31"/>
  <c r="M57" i="31" s="1"/>
  <c r="N57" i="31" s="1" a="1"/>
  <c r="N57" i="31" s="1"/>
  <c r="P56" i="31"/>
  <c r="P55" i="31"/>
  <c r="P54" i="31"/>
  <c r="P53" i="31"/>
  <c r="M53" i="31" s="1"/>
  <c r="N53" i="31" s="1" a="1"/>
  <c r="N53" i="31" s="1"/>
  <c r="P52" i="31"/>
  <c r="M52" i="31" s="1"/>
  <c r="N52" i="31" s="1" a="1"/>
  <c r="N52" i="31" s="1"/>
  <c r="P51" i="31"/>
  <c r="M51" i="31" s="1"/>
  <c r="N51" i="31" s="1" a="1"/>
  <c r="N51" i="31" s="1"/>
  <c r="P50" i="31"/>
  <c r="M50" i="31" s="1"/>
  <c r="N50" i="31" s="1" a="1"/>
  <c r="N50" i="31" s="1"/>
  <c r="P49" i="31"/>
  <c r="M49" i="31" s="1"/>
  <c r="N49" i="31" s="1" a="1"/>
  <c r="N49" i="31" s="1"/>
  <c r="P48" i="31"/>
  <c r="M48" i="31" s="1"/>
  <c r="N48" i="31" s="1" a="1"/>
  <c r="N48" i="31" s="1"/>
  <c r="P47" i="31"/>
  <c r="M47" i="31" s="1"/>
  <c r="N47" i="31" s="1" a="1"/>
  <c r="N47" i="31" s="1"/>
  <c r="P46" i="31"/>
  <c r="M46" i="31" s="1"/>
  <c r="N46" i="31" s="1" a="1"/>
  <c r="N46" i="31" s="1"/>
  <c r="P45" i="31"/>
  <c r="M45" i="31" s="1"/>
  <c r="N45" i="31" s="1" a="1"/>
  <c r="N45" i="31" s="1"/>
  <c r="P44" i="31"/>
  <c r="P43" i="31"/>
  <c r="P42" i="31"/>
  <c r="P41" i="31"/>
  <c r="M41" i="31" s="1"/>
  <c r="N41" i="31" s="1" a="1"/>
  <c r="N41" i="31" s="1"/>
  <c r="P40" i="31"/>
  <c r="M40" i="31" s="1"/>
  <c r="N40" i="31" s="1" a="1"/>
  <c r="N40" i="31" s="1"/>
  <c r="P39" i="31"/>
  <c r="M39" i="31" s="1"/>
  <c r="N39" i="31" s="1" a="1"/>
  <c r="N39" i="31" s="1"/>
  <c r="P38" i="31"/>
  <c r="M38" i="31" s="1"/>
  <c r="N38" i="31" s="1" a="1"/>
  <c r="N38" i="31" s="1"/>
  <c r="P37" i="31"/>
  <c r="M37" i="31" s="1"/>
  <c r="N37" i="31" s="1" a="1"/>
  <c r="N37" i="31" s="1"/>
  <c r="P36" i="31"/>
  <c r="M36" i="31" s="1"/>
  <c r="N36" i="31" s="1" a="1"/>
  <c r="N36" i="31" s="1"/>
  <c r="P35" i="31"/>
  <c r="M35" i="31" s="1"/>
  <c r="N35" i="31" s="1" a="1"/>
  <c r="N35" i="31" s="1"/>
  <c r="P34" i="31"/>
  <c r="M34" i="31" s="1"/>
  <c r="N34" i="31" s="1" a="1"/>
  <c r="N34" i="31" s="1"/>
  <c r="P33" i="31"/>
  <c r="M33" i="31" s="1"/>
  <c r="N33" i="31" s="1" a="1"/>
  <c r="N33" i="31" s="1"/>
  <c r="P32" i="31"/>
  <c r="P31" i="31"/>
  <c r="P30" i="31"/>
  <c r="P29" i="31"/>
  <c r="M29" i="31" s="1"/>
  <c r="N29" i="31" s="1" a="1"/>
  <c r="N29" i="31" s="1"/>
  <c r="P28" i="31"/>
  <c r="M28" i="31" s="1"/>
  <c r="N28" i="31" s="1" a="1"/>
  <c r="N28" i="31" s="1"/>
  <c r="P27" i="31"/>
  <c r="P26" i="31"/>
  <c r="P25" i="31"/>
  <c r="M25" i="31" s="1"/>
  <c r="N25" i="31" s="1" a="1"/>
  <c r="N25" i="31" s="1"/>
  <c r="P24" i="31"/>
  <c r="M24" i="31" s="1"/>
  <c r="N24" i="31" s="1" a="1"/>
  <c r="N24" i="31" s="1"/>
  <c r="P23" i="31"/>
  <c r="M23" i="31" s="1"/>
  <c r="N23" i="31" s="1" a="1"/>
  <c r="N23" i="31" s="1"/>
  <c r="P22" i="31"/>
  <c r="M22" i="31" s="1"/>
  <c r="N22" i="31" s="1" a="1"/>
  <c r="N22" i="31" s="1"/>
  <c r="P21" i="31"/>
  <c r="M21" i="31" s="1"/>
  <c r="N21" i="31" s="1" a="1"/>
  <c r="N21" i="31" s="1"/>
  <c r="P20" i="31"/>
  <c r="P19" i="31"/>
  <c r="M19" i="31" s="1"/>
  <c r="N19" i="31" s="1" a="1"/>
  <c r="N19" i="31" s="1"/>
  <c r="P18" i="31"/>
  <c r="M18" i="31" s="1"/>
  <c r="N18" i="31" s="1" a="1"/>
  <c r="N18" i="31" s="1"/>
  <c r="P17" i="31"/>
  <c r="M17" i="31" s="1"/>
  <c r="N17" i="31" s="1" a="1"/>
  <c r="N17" i="31" s="1"/>
  <c r="P16" i="31"/>
  <c r="M16" i="31" s="1"/>
  <c r="N16" i="31" s="1" a="1"/>
  <c r="N16" i="31" s="1"/>
  <c r="P15" i="31"/>
  <c r="P14" i="31"/>
  <c r="BA14" i="31"/>
  <c r="BB14" i="31" s="1"/>
  <c r="P13" i="31"/>
  <c r="M13" i="31" s="1"/>
  <c r="N13" i="31" s="1" a="1"/>
  <c r="N13" i="31" s="1"/>
  <c r="BA10" i="31"/>
  <c r="BB10" i="31" s="1"/>
  <c r="P12" i="31"/>
  <c r="M12" i="31" s="1"/>
  <c r="N12" i="31" s="1" a="1"/>
  <c r="N12" i="31" s="1"/>
  <c r="BA9" i="31"/>
  <c r="BB9" i="31" s="1"/>
  <c r="P11" i="31"/>
  <c r="M11" i="31" s="1"/>
  <c r="N11" i="31" s="1" a="1"/>
  <c r="N11" i="31" s="1"/>
  <c r="BA13" i="31"/>
  <c r="BB13" i="31" s="1"/>
  <c r="P10" i="31"/>
  <c r="M10" i="31" s="1"/>
  <c r="N10" i="31" s="1" a="1"/>
  <c r="N10" i="31" s="1"/>
  <c r="BA15" i="31"/>
  <c r="BB15" i="31" s="1"/>
  <c r="P9" i="31"/>
  <c r="M9" i="31" s="1"/>
  <c r="N9" i="31" s="1" a="1"/>
  <c r="N9" i="31" s="1"/>
  <c r="C7" i="30"/>
  <c r="D7" i="30" s="1"/>
  <c r="C8" i="30"/>
  <c r="D8" i="30" s="1"/>
  <c r="C13" i="30"/>
  <c r="C15" i="30"/>
  <c r="C16" i="30"/>
  <c r="C17" i="30"/>
  <c r="D17" i="30" s="1"/>
  <c r="C18" i="30"/>
  <c r="D18" i="30" s="1"/>
  <c r="C19" i="30"/>
  <c r="D19" i="30" s="1"/>
  <c r="C20" i="30"/>
  <c r="D20" i="30" s="1"/>
  <c r="C25" i="30"/>
  <c r="C27" i="30"/>
  <c r="C28" i="30"/>
  <c r="D28" i="30" s="1"/>
  <c r="C29" i="30"/>
  <c r="C30" i="30"/>
  <c r="C31" i="30"/>
  <c r="D31" i="30" s="1"/>
  <c r="C32" i="30"/>
  <c r="D32" i="30" s="1"/>
  <c r="C37" i="30"/>
  <c r="C39" i="30"/>
  <c r="C40" i="30"/>
  <c r="D40" i="30" s="1"/>
  <c r="C41" i="30"/>
  <c r="C42" i="30"/>
  <c r="C43" i="30"/>
  <c r="D43" i="30" s="1"/>
  <c r="C44" i="30"/>
  <c r="D44" i="30" s="1"/>
  <c r="C49" i="30"/>
  <c r="C51" i="30"/>
  <c r="C52" i="30"/>
  <c r="D52" i="30" s="1"/>
  <c r="C53" i="30"/>
  <c r="D53" i="30" s="1"/>
  <c r="C54" i="30"/>
  <c r="D54" i="30" s="1"/>
  <c r="C55" i="30"/>
  <c r="D55" i="30" s="1"/>
  <c r="C56" i="30"/>
  <c r="D56" i="30" s="1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7" i="30"/>
  <c r="B6" i="30"/>
  <c r="B5" i="30"/>
  <c r="B4" i="30"/>
  <c r="B3" i="30"/>
  <c r="A8" i="30"/>
  <c r="A9" i="30"/>
  <c r="C9" i="30" s="1"/>
  <c r="D9" i="30" s="1"/>
  <c r="A10" i="30"/>
  <c r="C10" i="30" s="1"/>
  <c r="D10" i="30" s="1"/>
  <c r="A11" i="30"/>
  <c r="C11" i="30" s="1"/>
  <c r="D11" i="30" s="1"/>
  <c r="A12" i="30"/>
  <c r="C12" i="30" s="1"/>
  <c r="D12" i="30" s="1"/>
  <c r="A13" i="30"/>
  <c r="A14" i="30"/>
  <c r="C14" i="30" s="1"/>
  <c r="A15" i="30"/>
  <c r="A16" i="30"/>
  <c r="A17" i="30"/>
  <c r="A18" i="30"/>
  <c r="A19" i="30"/>
  <c r="A20" i="30"/>
  <c r="A21" i="30"/>
  <c r="C21" i="30" s="1"/>
  <c r="A22" i="30"/>
  <c r="C22" i="30" s="1"/>
  <c r="D22" i="30" s="1"/>
  <c r="A23" i="30"/>
  <c r="C23" i="30" s="1"/>
  <c r="D23" i="30" s="1"/>
  <c r="A24" i="30"/>
  <c r="C24" i="30" s="1"/>
  <c r="D24" i="30" s="1"/>
  <c r="A25" i="30"/>
  <c r="A26" i="30"/>
  <c r="C26" i="30" s="1"/>
  <c r="A27" i="30"/>
  <c r="A28" i="30"/>
  <c r="A29" i="30"/>
  <c r="A30" i="30"/>
  <c r="A31" i="30"/>
  <c r="A32" i="30"/>
  <c r="A33" i="30"/>
  <c r="C33" i="30" s="1"/>
  <c r="D33" i="30" s="1"/>
  <c r="A34" i="30"/>
  <c r="C34" i="30" s="1"/>
  <c r="D34" i="30" s="1"/>
  <c r="A35" i="30"/>
  <c r="C35" i="30" s="1"/>
  <c r="D35" i="30" s="1"/>
  <c r="A36" i="30"/>
  <c r="C36" i="30" s="1"/>
  <c r="D36" i="30" s="1"/>
  <c r="A37" i="30"/>
  <c r="A38" i="30"/>
  <c r="C38" i="30" s="1"/>
  <c r="A39" i="30"/>
  <c r="A40" i="30"/>
  <c r="A41" i="30"/>
  <c r="A42" i="30"/>
  <c r="A43" i="30"/>
  <c r="A44" i="30"/>
  <c r="A45" i="30"/>
  <c r="C45" i="30" s="1"/>
  <c r="D45" i="30" s="1"/>
  <c r="A46" i="30"/>
  <c r="C46" i="30" s="1"/>
  <c r="D46" i="30" s="1"/>
  <c r="A47" i="30"/>
  <c r="C47" i="30" s="1"/>
  <c r="D47" i="30" s="1"/>
  <c r="A48" i="30"/>
  <c r="C48" i="30" s="1"/>
  <c r="D48" i="30" s="1"/>
  <c r="A49" i="30"/>
  <c r="A50" i="30"/>
  <c r="C50" i="30" s="1"/>
  <c r="A51" i="30"/>
  <c r="A52" i="30"/>
  <c r="A53" i="30"/>
  <c r="A54" i="30"/>
  <c r="A55" i="30"/>
  <c r="A56" i="30"/>
  <c r="A7" i="30"/>
  <c r="A6" i="30"/>
  <c r="C6" i="30" s="1"/>
  <c r="D6" i="30" s="1"/>
  <c r="A5" i="30"/>
  <c r="A4" i="30"/>
  <c r="A3" i="30"/>
  <c r="P57" i="30"/>
  <c r="M57" i="30" s="1"/>
  <c r="N57" i="30" s="1" a="1"/>
  <c r="N57" i="30" s="1"/>
  <c r="P58" i="30"/>
  <c r="M58" i="30" s="1"/>
  <c r="N58" i="30" s="1" a="1"/>
  <c r="N58" i="30" s="1"/>
  <c r="P59" i="30"/>
  <c r="M59" i="30" s="1"/>
  <c r="N59" i="30" s="1" a="1"/>
  <c r="N59" i="30" s="1"/>
  <c r="P54" i="30"/>
  <c r="M54" i="30" s="1"/>
  <c r="N54" i="30" s="1" a="1"/>
  <c r="N54" i="30" s="1"/>
  <c r="P55" i="30"/>
  <c r="M55" i="30" s="1"/>
  <c r="N55" i="30" s="1" a="1"/>
  <c r="N55" i="30" s="1"/>
  <c r="P56" i="30"/>
  <c r="M56" i="30" s="1"/>
  <c r="N56" i="30" s="1" a="1"/>
  <c r="N56" i="30" s="1"/>
  <c r="P51" i="30"/>
  <c r="M51" i="30" s="1"/>
  <c r="N51" i="30" s="1" a="1"/>
  <c r="N51" i="30" s="1"/>
  <c r="P52" i="30"/>
  <c r="M52" i="30" s="1"/>
  <c r="N52" i="30" s="1" a="1"/>
  <c r="N52" i="30" s="1"/>
  <c r="P53" i="30"/>
  <c r="M53" i="30" s="1"/>
  <c r="N53" i="30" s="1" a="1"/>
  <c r="N53" i="30" s="1"/>
  <c r="P49" i="30"/>
  <c r="M49" i="30" s="1"/>
  <c r="N49" i="30" s="1" a="1"/>
  <c r="N49" i="30" s="1"/>
  <c r="P50" i="30"/>
  <c r="M50" i="30" s="1"/>
  <c r="N50" i="30" s="1" a="1"/>
  <c r="N50" i="30" s="1"/>
  <c r="P47" i="30"/>
  <c r="M47" i="30" s="1"/>
  <c r="N47" i="30" s="1" a="1"/>
  <c r="N47" i="30" s="1"/>
  <c r="P48" i="30"/>
  <c r="M48" i="30" s="1"/>
  <c r="N48" i="30" s="1" a="1"/>
  <c r="N48" i="30" s="1"/>
  <c r="P45" i="30"/>
  <c r="M45" i="30" s="1"/>
  <c r="N45" i="30" s="1" a="1"/>
  <c r="N45" i="30" s="1"/>
  <c r="P46" i="30"/>
  <c r="M46" i="30" s="1"/>
  <c r="N46" i="30" s="1" a="1"/>
  <c r="N46" i="30" s="1"/>
  <c r="P43" i="30"/>
  <c r="M43" i="30" s="1"/>
  <c r="N43" i="30" s="1" a="1"/>
  <c r="N43" i="30" s="1"/>
  <c r="P44" i="30"/>
  <c r="M44" i="30" s="1"/>
  <c r="N44" i="30" s="1" a="1"/>
  <c r="N44" i="30" s="1"/>
  <c r="P41" i="30"/>
  <c r="M41" i="30" s="1"/>
  <c r="N41" i="30" s="1" a="1"/>
  <c r="N41" i="30" s="1"/>
  <c r="P42" i="30"/>
  <c r="M42" i="30" s="1"/>
  <c r="N42" i="30" s="1" a="1"/>
  <c r="N42" i="30" s="1"/>
  <c r="P39" i="30"/>
  <c r="M39" i="30" s="1"/>
  <c r="N39" i="30" s="1" a="1"/>
  <c r="N39" i="30" s="1"/>
  <c r="P40" i="30"/>
  <c r="M40" i="30" s="1"/>
  <c r="N40" i="30" s="1" a="1"/>
  <c r="N40" i="30" s="1"/>
  <c r="P37" i="30"/>
  <c r="M37" i="30" s="1"/>
  <c r="N37" i="30" s="1" a="1"/>
  <c r="N37" i="30" s="1"/>
  <c r="P38" i="30"/>
  <c r="M38" i="30" s="1"/>
  <c r="N38" i="30" s="1" a="1"/>
  <c r="N38" i="30" s="1"/>
  <c r="P34" i="30"/>
  <c r="M34" i="30" s="1"/>
  <c r="N34" i="30" s="1" a="1"/>
  <c r="N34" i="30" s="1"/>
  <c r="P35" i="30"/>
  <c r="M35" i="30" s="1"/>
  <c r="N35" i="30" s="1" a="1"/>
  <c r="N35" i="30" s="1"/>
  <c r="P36" i="30"/>
  <c r="M36" i="30" s="1"/>
  <c r="N36" i="30" s="1" a="1"/>
  <c r="N36" i="30" s="1"/>
  <c r="P31" i="30"/>
  <c r="M31" i="30" s="1"/>
  <c r="N31" i="30" s="1" a="1"/>
  <c r="N31" i="30" s="1"/>
  <c r="P32" i="30"/>
  <c r="M32" i="30" s="1"/>
  <c r="N32" i="30" s="1" a="1"/>
  <c r="N32" i="30" s="1"/>
  <c r="P33" i="30"/>
  <c r="M33" i="30" s="1"/>
  <c r="N33" i="30" s="1" a="1"/>
  <c r="N33" i="30" s="1"/>
  <c r="P28" i="30"/>
  <c r="M28" i="30" s="1"/>
  <c r="N28" i="30" s="1" a="1"/>
  <c r="N28" i="30" s="1"/>
  <c r="P29" i="30"/>
  <c r="M29" i="30" s="1"/>
  <c r="N29" i="30" s="1" a="1"/>
  <c r="N29" i="30" s="1"/>
  <c r="P30" i="30"/>
  <c r="M30" i="30" s="1"/>
  <c r="N30" i="30" s="1" a="1"/>
  <c r="N30" i="30" s="1"/>
  <c r="P23" i="30"/>
  <c r="M23" i="30" s="1"/>
  <c r="N23" i="30" s="1" a="1"/>
  <c r="N23" i="30" s="1"/>
  <c r="P24" i="30"/>
  <c r="M24" i="30" s="1"/>
  <c r="N24" i="30" s="1" a="1"/>
  <c r="N24" i="30" s="1"/>
  <c r="P25" i="30"/>
  <c r="M25" i="30" s="1"/>
  <c r="N25" i="30" s="1" a="1"/>
  <c r="N25" i="30" s="1"/>
  <c r="P26" i="30"/>
  <c r="M26" i="30" s="1"/>
  <c r="N26" i="30" s="1" a="1"/>
  <c r="N26" i="30" s="1"/>
  <c r="P27" i="30"/>
  <c r="M27" i="30" s="1"/>
  <c r="N27" i="30" s="1" a="1"/>
  <c r="N27" i="30" s="1"/>
  <c r="P15" i="30"/>
  <c r="M15" i="30" s="1"/>
  <c r="N15" i="30" s="1" a="1"/>
  <c r="N15" i="30" s="1"/>
  <c r="P16" i="30"/>
  <c r="M16" i="30" s="1"/>
  <c r="N16" i="30" s="1" a="1"/>
  <c r="N16" i="30" s="1"/>
  <c r="P17" i="30"/>
  <c r="M17" i="30" s="1"/>
  <c r="N17" i="30" s="1" a="1"/>
  <c r="N17" i="30" s="1"/>
  <c r="P18" i="30"/>
  <c r="M18" i="30" s="1"/>
  <c r="N18" i="30" s="1" a="1"/>
  <c r="N18" i="30" s="1"/>
  <c r="P19" i="30"/>
  <c r="M19" i="30" s="1"/>
  <c r="N19" i="30" s="1" a="1"/>
  <c r="N19" i="30" s="1"/>
  <c r="P20" i="30"/>
  <c r="M20" i="30" s="1"/>
  <c r="N20" i="30" s="1" a="1"/>
  <c r="N20" i="30" s="1"/>
  <c r="P21" i="30"/>
  <c r="M21" i="30" s="1"/>
  <c r="N21" i="30" s="1" a="1"/>
  <c r="N21" i="30" s="1"/>
  <c r="P22" i="30"/>
  <c r="M22" i="30" s="1"/>
  <c r="N22" i="30" s="1" a="1"/>
  <c r="N22" i="30" s="1"/>
  <c r="P10" i="30"/>
  <c r="M10" i="30" s="1"/>
  <c r="N10" i="30" s="1" a="1"/>
  <c r="N10" i="30" s="1"/>
  <c r="P11" i="30"/>
  <c r="M11" i="30" s="1"/>
  <c r="N11" i="30" s="1" a="1"/>
  <c r="N11" i="30" s="1"/>
  <c r="P12" i="30"/>
  <c r="M12" i="30" s="1"/>
  <c r="N12" i="30" s="1" a="1"/>
  <c r="N12" i="30" s="1"/>
  <c r="P13" i="30"/>
  <c r="M13" i="30" s="1"/>
  <c r="N13" i="30" s="1" a="1"/>
  <c r="N13" i="30" s="1"/>
  <c r="P14" i="30"/>
  <c r="M14" i="30" s="1"/>
  <c r="N14" i="30" s="1" a="1"/>
  <c r="N14" i="30" s="1"/>
  <c r="P9" i="30"/>
  <c r="M9" i="30" s="1"/>
  <c r="N9" i="30" s="1" a="1"/>
  <c r="N9" i="30" s="1"/>
  <c r="BA10" i="30"/>
  <c r="BB10" i="30" s="1"/>
  <c r="BA11" i="30"/>
  <c r="BB11" i="30" s="1"/>
  <c r="BA12" i="30"/>
  <c r="BB12" i="30" s="1"/>
  <c r="BA13" i="30"/>
  <c r="BB13" i="30" s="1"/>
  <c r="BA9" i="30"/>
  <c r="BB9" i="30" s="1"/>
  <c r="A185" i="22"/>
  <c r="A186" i="22"/>
  <c r="A187" i="22"/>
  <c r="A188" i="22"/>
  <c r="A184" i="22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11" i="10"/>
  <c r="A4" i="10"/>
  <c r="A5" i="10"/>
  <c r="A6" i="10"/>
  <c r="A7" i="10"/>
  <c r="A8" i="10"/>
  <c r="A9" i="10"/>
  <c r="A10" i="10"/>
  <c r="A3" i="10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C74" i="16" s="1"/>
  <c r="A75" i="16"/>
  <c r="C75" i="16" s="1"/>
  <c r="D75" i="16" s="1"/>
  <c r="A76" i="16"/>
  <c r="A3" i="16"/>
  <c r="P15" i="16"/>
  <c r="M15" i="16" s="1"/>
  <c r="N15" i="16" s="1" a="1"/>
  <c r="N15" i="16" s="1"/>
  <c r="P16" i="16"/>
  <c r="M16" i="16" s="1"/>
  <c r="N16" i="16" s="1" a="1"/>
  <c r="N16" i="16" s="1"/>
  <c r="P17" i="16"/>
  <c r="M17" i="16" s="1"/>
  <c r="N17" i="16" s="1" a="1"/>
  <c r="N17" i="16" s="1"/>
  <c r="P18" i="16"/>
  <c r="M18" i="16" s="1"/>
  <c r="N18" i="16" s="1" a="1"/>
  <c r="N18" i="16" s="1"/>
  <c r="P19" i="16"/>
  <c r="M19" i="16" s="1"/>
  <c r="N19" i="16" s="1" a="1"/>
  <c r="N19" i="16" s="1"/>
  <c r="P20" i="16"/>
  <c r="M20" i="16" s="1"/>
  <c r="N20" i="16" s="1" a="1"/>
  <c r="N20" i="16" s="1"/>
  <c r="P25" i="16"/>
  <c r="M25" i="16" s="1"/>
  <c r="N25" i="16" s="1" a="1"/>
  <c r="N25" i="16" s="1"/>
  <c r="P26" i="16"/>
  <c r="M26" i="16" s="1"/>
  <c r="N26" i="16" s="1" a="1"/>
  <c r="N26" i="16" s="1"/>
  <c r="P27" i="16"/>
  <c r="M27" i="16" s="1"/>
  <c r="N27" i="16" s="1" a="1"/>
  <c r="N27" i="16" s="1"/>
  <c r="P28" i="16"/>
  <c r="M28" i="16" s="1"/>
  <c r="N28" i="16" s="1" a="1"/>
  <c r="N28" i="16" s="1"/>
  <c r="P29" i="16"/>
  <c r="M29" i="16" s="1"/>
  <c r="N29" i="16" s="1" a="1"/>
  <c r="N29" i="16" s="1"/>
  <c r="P30" i="16"/>
  <c r="M30" i="16" s="1"/>
  <c r="N30" i="16" s="1" a="1"/>
  <c r="N30" i="16" s="1"/>
  <c r="P31" i="16"/>
  <c r="M31" i="16" s="1"/>
  <c r="N31" i="16" s="1" a="1"/>
  <c r="N31" i="16" s="1"/>
  <c r="P32" i="16"/>
  <c r="M32" i="16" s="1"/>
  <c r="N32" i="16" s="1" a="1"/>
  <c r="N32" i="16" s="1"/>
  <c r="P35" i="16"/>
  <c r="M35" i="16" s="1"/>
  <c r="N35" i="16" s="1" a="1"/>
  <c r="N35" i="16" s="1"/>
  <c r="P40" i="16"/>
  <c r="M40" i="16" s="1"/>
  <c r="N40" i="16" s="1" a="1"/>
  <c r="N40" i="16" s="1"/>
  <c r="P41" i="16"/>
  <c r="M41" i="16" s="1"/>
  <c r="N41" i="16" s="1" a="1"/>
  <c r="N41" i="16" s="1"/>
  <c r="P42" i="16"/>
  <c r="M42" i="16" s="1"/>
  <c r="N42" i="16" s="1" a="1"/>
  <c r="N42" i="16" s="1"/>
  <c r="P43" i="16"/>
  <c r="M43" i="16" s="1"/>
  <c r="N43" i="16" s="1" a="1"/>
  <c r="N43" i="16" s="1"/>
  <c r="P44" i="16"/>
  <c r="M44" i="16" s="1"/>
  <c r="N44" i="16" s="1" a="1"/>
  <c r="N44" i="16" s="1"/>
  <c r="P47" i="16"/>
  <c r="M47" i="16" s="1"/>
  <c r="N47" i="16" s="1" a="1"/>
  <c r="N47" i="16" s="1"/>
  <c r="P65" i="16"/>
  <c r="M65" i="16" s="1"/>
  <c r="N65" i="16" s="1" a="1"/>
  <c r="N65" i="16" s="1"/>
  <c r="P66" i="16"/>
  <c r="M66" i="16" s="1"/>
  <c r="N66" i="16" s="1" a="1"/>
  <c r="N66" i="16" s="1"/>
  <c r="P67" i="16"/>
  <c r="M67" i="16" s="1"/>
  <c r="N67" i="16" s="1" a="1"/>
  <c r="N67" i="16" s="1"/>
  <c r="P68" i="16"/>
  <c r="M68" i="16" s="1"/>
  <c r="N68" i="16" s="1" a="1"/>
  <c r="N68" i="16" s="1"/>
  <c r="P70" i="16"/>
  <c r="M70" i="16" s="1"/>
  <c r="N70" i="16" s="1" a="1"/>
  <c r="N70" i="16" s="1"/>
  <c r="P71" i="16"/>
  <c r="M71" i="16" s="1"/>
  <c r="N71" i="16" s="1" a="1"/>
  <c r="N71" i="16" s="1"/>
  <c r="P74" i="16"/>
  <c r="M74" i="16" s="1"/>
  <c r="N74" i="16" s="1" a="1"/>
  <c r="N74" i="16" s="1"/>
  <c r="P75" i="16"/>
  <c r="M75" i="16" s="1"/>
  <c r="N75" i="16" s="1" a="1"/>
  <c r="N75" i="16" s="1"/>
  <c r="P76" i="16"/>
  <c r="M76" i="16" s="1"/>
  <c r="N76" i="16" s="1" a="1"/>
  <c r="N76" i="16" s="1"/>
  <c r="P77" i="16"/>
  <c r="M77" i="16" s="1"/>
  <c r="N77" i="16" s="1" a="1"/>
  <c r="N77" i="16" s="1"/>
  <c r="P78" i="16"/>
  <c r="M78" i="16" s="1"/>
  <c r="N78" i="16" s="1" a="1"/>
  <c r="N78" i="16" s="1"/>
  <c r="P79" i="16"/>
  <c r="M79" i="16" s="1"/>
  <c r="N79" i="16" s="1" a="1"/>
  <c r="N79" i="16" s="1"/>
  <c r="P80" i="16"/>
  <c r="M80" i="16" s="1"/>
  <c r="N80" i="16" s="1" a="1"/>
  <c r="N80" i="16" s="1"/>
  <c r="P14" i="16"/>
  <c r="M14" i="16" s="1"/>
  <c r="N14" i="16" s="1" a="1"/>
  <c r="N14" i="16" s="1"/>
  <c r="P22" i="16"/>
  <c r="M22" i="16" s="1"/>
  <c r="N22" i="16" s="1" a="1"/>
  <c r="N22" i="16" s="1"/>
  <c r="P23" i="16"/>
  <c r="M23" i="16" s="1"/>
  <c r="N23" i="16" s="1" a="1"/>
  <c r="N23" i="16" s="1"/>
  <c r="P24" i="16"/>
  <c r="M24" i="16" s="1"/>
  <c r="N24" i="16" s="1" a="1"/>
  <c r="N24" i="16" s="1"/>
  <c r="P36" i="16"/>
  <c r="M36" i="16" s="1"/>
  <c r="N36" i="16" s="1" a="1"/>
  <c r="N36" i="16" s="1"/>
  <c r="P37" i="16"/>
  <c r="M37" i="16" s="1"/>
  <c r="N37" i="16" s="1" a="1"/>
  <c r="N37" i="16" s="1"/>
  <c r="P38" i="16"/>
  <c r="M38" i="16" s="1"/>
  <c r="N38" i="16" s="1" a="1"/>
  <c r="N38" i="16" s="1"/>
  <c r="P39" i="16"/>
  <c r="M39" i="16" s="1"/>
  <c r="N39" i="16" s="1" a="1"/>
  <c r="N39" i="16" s="1"/>
  <c r="P49" i="16"/>
  <c r="M49" i="16" s="1"/>
  <c r="N49" i="16" s="1" a="1"/>
  <c r="N49" i="16" s="1"/>
  <c r="P50" i="16"/>
  <c r="M50" i="16" s="1"/>
  <c r="N50" i="16" s="1" a="1"/>
  <c r="N50" i="16" s="1"/>
  <c r="P51" i="16"/>
  <c r="M51" i="16" s="1"/>
  <c r="N51" i="16" s="1" a="1"/>
  <c r="N51" i="16" s="1"/>
  <c r="P52" i="16"/>
  <c r="M52" i="16" s="1"/>
  <c r="N52" i="16" s="1" a="1"/>
  <c r="N52" i="16" s="1"/>
  <c r="P53" i="16"/>
  <c r="M53" i="16" s="1"/>
  <c r="N53" i="16" s="1" a="1"/>
  <c r="N53" i="16" s="1"/>
  <c r="P55" i="16"/>
  <c r="M55" i="16" s="1"/>
  <c r="N55" i="16" s="1" a="1"/>
  <c r="N55" i="16" s="1"/>
  <c r="P56" i="16"/>
  <c r="M56" i="16" s="1"/>
  <c r="N56" i="16" s="1" a="1"/>
  <c r="N56" i="16" s="1"/>
  <c r="P57" i="16"/>
  <c r="M57" i="16" s="1"/>
  <c r="N57" i="16" s="1" a="1"/>
  <c r="N57" i="16" s="1"/>
  <c r="P58" i="16"/>
  <c r="M58" i="16" s="1"/>
  <c r="N58" i="16" s="1" a="1"/>
  <c r="N58" i="16" s="1"/>
  <c r="P59" i="16"/>
  <c r="M59" i="16" s="1"/>
  <c r="N59" i="16" s="1" a="1"/>
  <c r="N59" i="16" s="1"/>
  <c r="P60" i="16"/>
  <c r="M60" i="16" s="1"/>
  <c r="N60" i="16" s="1" a="1"/>
  <c r="N60" i="16" s="1"/>
  <c r="P61" i="16"/>
  <c r="M61" i="16" s="1"/>
  <c r="N61" i="16" s="1" a="1"/>
  <c r="N61" i="16" s="1"/>
  <c r="P62" i="16"/>
  <c r="M62" i="16" s="1"/>
  <c r="N62" i="16" s="1" a="1"/>
  <c r="N62" i="16" s="1"/>
  <c r="P63" i="16"/>
  <c r="M63" i="16" s="1"/>
  <c r="N63" i="16" s="1" a="1"/>
  <c r="N63" i="16" s="1"/>
  <c r="P69" i="16"/>
  <c r="M69" i="16" s="1"/>
  <c r="N69" i="16" s="1" a="1"/>
  <c r="N69" i="16" s="1"/>
  <c r="P81" i="16"/>
  <c r="M81" i="16" s="1"/>
  <c r="N81" i="16" s="1" a="1"/>
  <c r="N81" i="16" s="1"/>
  <c r="P82" i="16"/>
  <c r="P64" i="16"/>
  <c r="P54" i="16"/>
  <c r="M54" i="16" s="1"/>
  <c r="N54" i="16" s="1" a="1"/>
  <c r="N54" i="16" s="1"/>
  <c r="C76" i="16"/>
  <c r="D76" i="16" s="1"/>
  <c r="P9" i="16"/>
  <c r="P10" i="16"/>
  <c r="M10" i="16" s="1"/>
  <c r="N10" i="16" s="1" a="1"/>
  <c r="N10" i="16" s="1"/>
  <c r="P12" i="16"/>
  <c r="M12" i="16" s="1"/>
  <c r="N12" i="16" s="1" a="1"/>
  <c r="N12" i="16" s="1"/>
  <c r="P13" i="16"/>
  <c r="M13" i="16" s="1"/>
  <c r="N13" i="16" s="1" a="1"/>
  <c r="N13" i="16" s="1"/>
  <c r="P21" i="16"/>
  <c r="M21" i="16" s="1"/>
  <c r="N21" i="16" s="1" a="1"/>
  <c r="N21" i="16" s="1"/>
  <c r="P33" i="16"/>
  <c r="M33" i="16" s="1"/>
  <c r="N33" i="16" s="1" a="1"/>
  <c r="N33" i="16" s="1"/>
  <c r="P34" i="16"/>
  <c r="M34" i="16" s="1"/>
  <c r="N34" i="16" s="1" a="1"/>
  <c r="N34" i="16" s="1"/>
  <c r="P45" i="16"/>
  <c r="M45" i="16" s="1"/>
  <c r="N45" i="16" s="1" a="1"/>
  <c r="N45" i="16" s="1"/>
  <c r="P46" i="16"/>
  <c r="M46" i="16" s="1"/>
  <c r="N46" i="16" s="1" a="1"/>
  <c r="N46" i="16" s="1"/>
  <c r="P48" i="16"/>
  <c r="M48" i="16" s="1"/>
  <c r="N48" i="16" s="1" a="1"/>
  <c r="N48" i="16" s="1"/>
  <c r="P73" i="16"/>
  <c r="M73" i="16" s="1"/>
  <c r="N73" i="16" s="1" a="1"/>
  <c r="N73" i="16" s="1"/>
  <c r="BA13" i="16"/>
  <c r="BB13" i="16" s="1"/>
  <c r="BA9" i="16"/>
  <c r="BB9" i="16" s="1"/>
  <c r="BA10" i="16"/>
  <c r="BB10" i="16" s="1"/>
  <c r="BA14" i="16"/>
  <c r="BB14" i="16" s="1"/>
  <c r="BA11" i="16"/>
  <c r="BB11" i="16" s="1"/>
  <c r="BA12" i="16"/>
  <c r="BB12" i="16" s="1"/>
  <c r="BA15" i="16"/>
  <c r="BB15" i="16" s="1"/>
  <c r="P11" i="16"/>
  <c r="M11" i="16" s="1"/>
  <c r="N11" i="16" s="1" a="1"/>
  <c r="N11" i="16" s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3" i="12"/>
  <c r="BA9" i="12"/>
  <c r="BB9" i="12" s="1"/>
  <c r="BA10" i="12"/>
  <c r="BB10" i="12" s="1"/>
  <c r="BA11" i="12"/>
  <c r="BB11" i="12" s="1"/>
  <c r="BA12" i="12"/>
  <c r="BB12" i="12" s="1"/>
  <c r="BA13" i="12"/>
  <c r="BB13" i="12" s="1"/>
  <c r="BA15" i="12"/>
  <c r="BB15" i="12" s="1"/>
  <c r="BA14" i="12"/>
  <c r="BB14" i="12" s="1"/>
  <c r="P10" i="12"/>
  <c r="M10" i="12" s="1"/>
  <c r="N10" i="12" s="1" a="1"/>
  <c r="N10" i="12" s="1"/>
  <c r="P11" i="12"/>
  <c r="M11" i="12" s="1"/>
  <c r="N11" i="12" s="1" a="1"/>
  <c r="N11" i="12" s="1"/>
  <c r="P12" i="12"/>
  <c r="M12" i="12" s="1"/>
  <c r="N12" i="12" s="1" a="1"/>
  <c r="N12" i="12" s="1"/>
  <c r="P13" i="12"/>
  <c r="M13" i="12" s="1"/>
  <c r="N13" i="12" s="1" a="1"/>
  <c r="N13" i="12" s="1"/>
  <c r="P14" i="12"/>
  <c r="M14" i="12" s="1"/>
  <c r="N14" i="12" s="1" a="1"/>
  <c r="N14" i="12" s="1"/>
  <c r="P15" i="12"/>
  <c r="M15" i="12" s="1"/>
  <c r="N15" i="12" s="1" a="1"/>
  <c r="N15" i="12" s="1"/>
  <c r="P16" i="12"/>
  <c r="M16" i="12" s="1"/>
  <c r="N16" i="12" s="1" a="1"/>
  <c r="N16" i="12" s="1"/>
  <c r="P17" i="12"/>
  <c r="M17" i="12" s="1"/>
  <c r="N17" i="12" s="1" a="1"/>
  <c r="N17" i="12" s="1"/>
  <c r="P18" i="12"/>
  <c r="M18" i="12" s="1"/>
  <c r="N18" i="12" s="1" a="1"/>
  <c r="N18" i="12" s="1"/>
  <c r="P19" i="12"/>
  <c r="M19" i="12" s="1"/>
  <c r="N19" i="12" s="1" a="1"/>
  <c r="N19" i="12" s="1"/>
  <c r="P20" i="12"/>
  <c r="M20" i="12" s="1"/>
  <c r="N20" i="12" s="1" a="1"/>
  <c r="N20" i="12" s="1"/>
  <c r="P21" i="12"/>
  <c r="M21" i="12" s="1"/>
  <c r="N21" i="12" s="1" a="1"/>
  <c r="N21" i="12" s="1"/>
  <c r="P22" i="12"/>
  <c r="M22" i="12" s="1"/>
  <c r="N22" i="12" s="1" a="1"/>
  <c r="N22" i="12" s="1"/>
  <c r="P23" i="12"/>
  <c r="M23" i="12" s="1"/>
  <c r="N23" i="12" s="1" a="1"/>
  <c r="N23" i="12" s="1"/>
  <c r="P24" i="12"/>
  <c r="M24" i="12" s="1"/>
  <c r="N24" i="12" s="1" a="1"/>
  <c r="N24" i="12" s="1"/>
  <c r="P25" i="12"/>
  <c r="M25" i="12" s="1"/>
  <c r="N25" i="12" s="1" a="1"/>
  <c r="N25" i="12" s="1"/>
  <c r="P26" i="12"/>
  <c r="M26" i="12" s="1"/>
  <c r="N26" i="12" s="1" a="1"/>
  <c r="N26" i="12" s="1"/>
  <c r="P27" i="12"/>
  <c r="M27" i="12" s="1"/>
  <c r="N27" i="12" s="1" a="1"/>
  <c r="N27" i="12" s="1"/>
  <c r="P28" i="12"/>
  <c r="M28" i="12" s="1"/>
  <c r="N28" i="12" s="1" a="1"/>
  <c r="N28" i="12" s="1"/>
  <c r="P29" i="12"/>
  <c r="M29" i="12" s="1"/>
  <c r="N29" i="12" s="1" a="1"/>
  <c r="N29" i="12" s="1"/>
  <c r="P30" i="12"/>
  <c r="M30" i="12" s="1"/>
  <c r="N30" i="12" s="1" a="1"/>
  <c r="N30" i="12" s="1"/>
  <c r="P31" i="12"/>
  <c r="M31" i="12" s="1"/>
  <c r="N31" i="12" s="1" a="1"/>
  <c r="N31" i="12" s="1"/>
  <c r="P32" i="12"/>
  <c r="M32" i="12" s="1"/>
  <c r="N32" i="12" s="1" a="1"/>
  <c r="N32" i="12" s="1"/>
  <c r="P33" i="12"/>
  <c r="M33" i="12" s="1"/>
  <c r="N33" i="12" s="1" a="1"/>
  <c r="N33" i="12" s="1"/>
  <c r="P34" i="12"/>
  <c r="M34" i="12" s="1"/>
  <c r="N34" i="12" s="1" a="1"/>
  <c r="N34" i="12" s="1"/>
  <c r="P35" i="12"/>
  <c r="M35" i="12" s="1"/>
  <c r="N35" i="12" s="1" a="1"/>
  <c r="N35" i="12" s="1"/>
  <c r="P36" i="12"/>
  <c r="M36" i="12" s="1"/>
  <c r="N36" i="12" s="1" a="1"/>
  <c r="N36" i="12" s="1"/>
  <c r="P37" i="12"/>
  <c r="M37" i="12" s="1"/>
  <c r="N37" i="12" s="1" a="1"/>
  <c r="N37" i="12" s="1"/>
  <c r="P38" i="12"/>
  <c r="M38" i="12" s="1"/>
  <c r="N38" i="12" s="1" a="1"/>
  <c r="N38" i="12" s="1"/>
  <c r="P39" i="12"/>
  <c r="M39" i="12" s="1"/>
  <c r="N39" i="12" s="1" a="1"/>
  <c r="N39" i="12" s="1"/>
  <c r="P40" i="12"/>
  <c r="M40" i="12" s="1"/>
  <c r="N40" i="12" s="1" a="1"/>
  <c r="N40" i="12" s="1"/>
  <c r="P41" i="12"/>
  <c r="M41" i="12" s="1"/>
  <c r="N41" i="12" s="1" a="1"/>
  <c r="N41" i="12" s="1"/>
  <c r="P42" i="12"/>
  <c r="M42" i="12" s="1"/>
  <c r="N42" i="12" s="1" a="1"/>
  <c r="N42" i="12" s="1"/>
  <c r="P43" i="12"/>
  <c r="M43" i="12" s="1"/>
  <c r="N43" i="12" s="1" a="1"/>
  <c r="N43" i="12" s="1"/>
  <c r="P44" i="12"/>
  <c r="M44" i="12" s="1"/>
  <c r="N44" i="12" s="1" a="1"/>
  <c r="N44" i="12" s="1"/>
  <c r="P45" i="12"/>
  <c r="M45" i="12" s="1"/>
  <c r="N45" i="12" s="1" a="1"/>
  <c r="N45" i="12" s="1"/>
  <c r="P46" i="12"/>
  <c r="M46" i="12" s="1"/>
  <c r="N46" i="12" s="1" a="1"/>
  <c r="N46" i="12" s="1"/>
  <c r="P47" i="12"/>
  <c r="M47" i="12" s="1"/>
  <c r="N47" i="12" s="1" a="1"/>
  <c r="N47" i="12" s="1"/>
  <c r="P48" i="12"/>
  <c r="M48" i="12" s="1"/>
  <c r="N48" i="12" s="1" a="1"/>
  <c r="N48" i="12" s="1"/>
  <c r="P49" i="12"/>
  <c r="M49" i="12" s="1"/>
  <c r="N49" i="12" s="1" a="1"/>
  <c r="N49" i="12" s="1"/>
  <c r="P50" i="12"/>
  <c r="M50" i="12" s="1"/>
  <c r="N50" i="12" s="1" a="1"/>
  <c r="N50" i="12" s="1"/>
  <c r="P51" i="12"/>
  <c r="M51" i="12" s="1"/>
  <c r="N51" i="12" s="1" a="1"/>
  <c r="N51" i="12" s="1"/>
  <c r="P52" i="12"/>
  <c r="M52" i="12" s="1"/>
  <c r="N52" i="12" s="1" a="1"/>
  <c r="N52" i="12" s="1"/>
  <c r="P53" i="12"/>
  <c r="M53" i="12" s="1"/>
  <c r="N53" i="12" s="1" a="1"/>
  <c r="N53" i="12" s="1"/>
  <c r="P54" i="12"/>
  <c r="M54" i="12" s="1"/>
  <c r="N54" i="12" s="1" a="1"/>
  <c r="N54" i="12" s="1"/>
  <c r="P55" i="12"/>
  <c r="M55" i="12" s="1"/>
  <c r="N55" i="12" s="1" a="1"/>
  <c r="N55" i="12" s="1"/>
  <c r="P56" i="12"/>
  <c r="M56" i="12" s="1"/>
  <c r="N56" i="12" s="1" a="1"/>
  <c r="N56" i="12" s="1"/>
  <c r="P57" i="12"/>
  <c r="M57" i="12" s="1"/>
  <c r="N57" i="12" s="1" a="1"/>
  <c r="N57" i="12" s="1"/>
  <c r="P58" i="12"/>
  <c r="M58" i="12" s="1"/>
  <c r="N58" i="12" s="1" a="1"/>
  <c r="N58" i="12" s="1"/>
  <c r="P59" i="12"/>
  <c r="M59" i="12" s="1"/>
  <c r="N59" i="12" s="1" a="1"/>
  <c r="N59" i="12" s="1"/>
  <c r="P60" i="12"/>
  <c r="M60" i="12" s="1"/>
  <c r="N60" i="12" s="1" a="1"/>
  <c r="N60" i="12" s="1"/>
  <c r="P61" i="12"/>
  <c r="M61" i="12" s="1"/>
  <c r="N61" i="12" s="1" a="1"/>
  <c r="N61" i="12" s="1"/>
  <c r="P62" i="12"/>
  <c r="M62" i="12" s="1"/>
  <c r="N62" i="12" s="1" a="1"/>
  <c r="N62" i="12" s="1"/>
  <c r="P63" i="12"/>
  <c r="M63" i="12" s="1"/>
  <c r="N63" i="12" s="1" a="1"/>
  <c r="N63" i="12" s="1"/>
  <c r="P64" i="12"/>
  <c r="M64" i="12" s="1"/>
  <c r="N64" i="12" s="1" a="1"/>
  <c r="N64" i="12" s="1"/>
  <c r="P65" i="12"/>
  <c r="M65" i="12" s="1"/>
  <c r="N65" i="12" s="1" a="1"/>
  <c r="N65" i="12" s="1"/>
  <c r="P66" i="12"/>
  <c r="M66" i="12" s="1"/>
  <c r="N66" i="12" s="1" a="1"/>
  <c r="N66" i="12" s="1"/>
  <c r="P67" i="12"/>
  <c r="M67" i="12" s="1"/>
  <c r="N67" i="12" s="1" a="1"/>
  <c r="N67" i="12" s="1"/>
  <c r="P68" i="12"/>
  <c r="M68" i="12" s="1"/>
  <c r="N68" i="12" s="1" a="1"/>
  <c r="N68" i="12" s="1"/>
  <c r="P69" i="12"/>
  <c r="M69" i="12" s="1"/>
  <c r="N69" i="12" s="1" a="1"/>
  <c r="N69" i="12" s="1"/>
  <c r="P70" i="12"/>
  <c r="M70" i="12" s="1"/>
  <c r="N70" i="12" s="1" a="1"/>
  <c r="N70" i="12" s="1"/>
  <c r="P71" i="12"/>
  <c r="M71" i="12" s="1"/>
  <c r="N71" i="12" s="1" a="1"/>
  <c r="N71" i="12" s="1"/>
  <c r="P72" i="12"/>
  <c r="M72" i="12" s="1"/>
  <c r="N72" i="12" s="1" a="1"/>
  <c r="N72" i="12" s="1"/>
  <c r="P73" i="12"/>
  <c r="M73" i="12" s="1"/>
  <c r="N73" i="12" s="1" a="1"/>
  <c r="N73" i="12" s="1"/>
  <c r="P74" i="12"/>
  <c r="M74" i="12" s="1"/>
  <c r="N74" i="12" s="1" a="1"/>
  <c r="N74" i="12" s="1"/>
  <c r="P75" i="12"/>
  <c r="M75" i="12" s="1"/>
  <c r="N75" i="12" s="1" a="1"/>
  <c r="N75" i="12" s="1"/>
  <c r="P76" i="12"/>
  <c r="M76" i="12" s="1"/>
  <c r="N76" i="12" s="1" a="1"/>
  <c r="N76" i="12" s="1"/>
  <c r="P77" i="12"/>
  <c r="M77" i="12" s="1"/>
  <c r="N77" i="12" s="1" a="1"/>
  <c r="N77" i="12" s="1"/>
  <c r="P78" i="12"/>
  <c r="M78" i="12" s="1"/>
  <c r="N78" i="12" s="1" a="1"/>
  <c r="N78" i="12" s="1"/>
  <c r="P9" i="12"/>
  <c r="M9" i="12" s="1"/>
  <c r="N9" i="12" s="1" a="1"/>
  <c r="N9" i="12" s="1"/>
  <c r="BA10" i="13"/>
  <c r="BB10" i="13" s="1"/>
  <c r="BA11" i="13"/>
  <c r="BB11" i="13" s="1"/>
  <c r="BA12" i="13"/>
  <c r="BB12" i="13" s="1"/>
  <c r="BA13" i="13"/>
  <c r="BB13" i="13" s="1"/>
  <c r="BA14" i="13"/>
  <c r="BB14" i="13" s="1"/>
  <c r="BA15" i="13"/>
  <c r="BB15" i="13" s="1"/>
  <c r="BA9" i="13"/>
  <c r="BB9" i="13" s="1"/>
  <c r="P10" i="13"/>
  <c r="M10" i="13" s="1"/>
  <c r="N10" i="13" s="1" a="1"/>
  <c r="N10" i="13" s="1"/>
  <c r="P11" i="13"/>
  <c r="M11" i="13" s="1"/>
  <c r="N11" i="13" s="1" a="1"/>
  <c r="N11" i="13" s="1"/>
  <c r="P12" i="13"/>
  <c r="M12" i="13" s="1"/>
  <c r="N12" i="13" s="1" a="1"/>
  <c r="N12" i="13" s="1"/>
  <c r="P13" i="13"/>
  <c r="M13" i="13" s="1"/>
  <c r="N13" i="13" s="1" a="1"/>
  <c r="N13" i="13" s="1"/>
  <c r="P14" i="13"/>
  <c r="M14" i="13" s="1"/>
  <c r="N14" i="13" s="1" a="1"/>
  <c r="N14" i="13" s="1"/>
  <c r="P15" i="13"/>
  <c r="P16" i="13"/>
  <c r="M16" i="13" s="1"/>
  <c r="N16" i="13" s="1" a="1"/>
  <c r="N16" i="13" s="1"/>
  <c r="P17" i="13"/>
  <c r="P18" i="13"/>
  <c r="M18" i="13" s="1"/>
  <c r="N18" i="13" s="1" a="1"/>
  <c r="N18" i="13" s="1"/>
  <c r="P19" i="13"/>
  <c r="M19" i="13" s="1"/>
  <c r="N19" i="13" s="1" a="1"/>
  <c r="N19" i="13" s="1"/>
  <c r="P20" i="13"/>
  <c r="M20" i="13" s="1"/>
  <c r="N20" i="13" s="1" a="1"/>
  <c r="N20" i="13" s="1"/>
  <c r="P21" i="13"/>
  <c r="M21" i="13" s="1"/>
  <c r="N21" i="13" s="1" a="1"/>
  <c r="N21" i="13" s="1"/>
  <c r="P22" i="13"/>
  <c r="M22" i="13" s="1"/>
  <c r="N22" i="13" s="1" a="1"/>
  <c r="N22" i="13" s="1"/>
  <c r="P23" i="13"/>
  <c r="M23" i="13" s="1"/>
  <c r="N23" i="13" s="1" a="1"/>
  <c r="N23" i="13" s="1"/>
  <c r="P24" i="13"/>
  <c r="M24" i="13" s="1"/>
  <c r="N24" i="13" s="1" a="1"/>
  <c r="N24" i="13" s="1"/>
  <c r="P25" i="13"/>
  <c r="M25" i="13" s="1"/>
  <c r="N25" i="13" s="1" a="1"/>
  <c r="N25" i="13" s="1"/>
  <c r="P26" i="13"/>
  <c r="M26" i="13" s="1"/>
  <c r="N26" i="13" s="1" a="1"/>
  <c r="N26" i="13" s="1"/>
  <c r="P27" i="13"/>
  <c r="M27" i="13" s="1"/>
  <c r="N27" i="13" s="1" a="1"/>
  <c r="N27" i="13" s="1"/>
  <c r="P28" i="13"/>
  <c r="M28" i="13" s="1"/>
  <c r="N28" i="13" s="1" a="1"/>
  <c r="N28" i="13" s="1"/>
  <c r="P29" i="13"/>
  <c r="M29" i="13" s="1"/>
  <c r="N29" i="13" s="1" a="1"/>
  <c r="N29" i="13" s="1"/>
  <c r="P30" i="13"/>
  <c r="M30" i="13" s="1"/>
  <c r="N30" i="13" s="1" a="1"/>
  <c r="N30" i="13" s="1"/>
  <c r="P31" i="13"/>
  <c r="M31" i="13" s="1"/>
  <c r="N31" i="13" s="1" a="1"/>
  <c r="N31" i="13" s="1"/>
  <c r="P32" i="13"/>
  <c r="M32" i="13" s="1"/>
  <c r="N32" i="13" s="1" a="1"/>
  <c r="N32" i="13" s="1"/>
  <c r="P33" i="13"/>
  <c r="M33" i="13" s="1"/>
  <c r="N33" i="13" s="1" a="1"/>
  <c r="N33" i="13" s="1"/>
  <c r="P34" i="13"/>
  <c r="M34" i="13" s="1"/>
  <c r="N34" i="13" s="1" a="1"/>
  <c r="N34" i="13" s="1"/>
  <c r="P35" i="13"/>
  <c r="M35" i="13" s="1"/>
  <c r="N35" i="13" s="1" a="1"/>
  <c r="N35" i="13" s="1"/>
  <c r="P36" i="13"/>
  <c r="M36" i="13" s="1"/>
  <c r="N36" i="13" s="1" a="1"/>
  <c r="N36" i="13" s="1"/>
  <c r="P37" i="13"/>
  <c r="M37" i="13" s="1"/>
  <c r="N37" i="13" s="1" a="1"/>
  <c r="N37" i="13" s="1"/>
  <c r="P38" i="13"/>
  <c r="M38" i="13" s="1"/>
  <c r="N38" i="13" s="1" a="1"/>
  <c r="N38" i="13" s="1"/>
  <c r="P39" i="13"/>
  <c r="M39" i="13" s="1"/>
  <c r="N39" i="13" s="1" a="1"/>
  <c r="N39" i="13" s="1"/>
  <c r="P40" i="13"/>
  <c r="M40" i="13" s="1"/>
  <c r="N40" i="13" s="1" a="1"/>
  <c r="N40" i="13" s="1"/>
  <c r="P41" i="13"/>
  <c r="M41" i="13" s="1"/>
  <c r="N41" i="13" s="1" a="1"/>
  <c r="N41" i="13" s="1"/>
  <c r="P42" i="13"/>
  <c r="M42" i="13" s="1"/>
  <c r="N42" i="13" s="1" a="1"/>
  <c r="N42" i="13" s="1"/>
  <c r="P43" i="13"/>
  <c r="M43" i="13" s="1"/>
  <c r="N43" i="13" s="1" a="1"/>
  <c r="N43" i="13" s="1"/>
  <c r="P44" i="13"/>
  <c r="M44" i="13" s="1"/>
  <c r="N44" i="13" s="1" a="1"/>
  <c r="N44" i="13" s="1"/>
  <c r="P45" i="13"/>
  <c r="M45" i="13" s="1"/>
  <c r="N45" i="13" s="1" a="1"/>
  <c r="N45" i="13" s="1"/>
  <c r="P46" i="13"/>
  <c r="M46" i="13" s="1"/>
  <c r="N46" i="13" s="1" a="1"/>
  <c r="N46" i="13" s="1"/>
  <c r="P47" i="13"/>
  <c r="P48" i="13"/>
  <c r="M48" i="13" s="1"/>
  <c r="N48" i="13" s="1" a="1"/>
  <c r="N48" i="13" s="1"/>
  <c r="P49" i="13"/>
  <c r="P50" i="13"/>
  <c r="M50" i="13" s="1"/>
  <c r="N50" i="13" s="1" a="1"/>
  <c r="N50" i="13" s="1"/>
  <c r="P51" i="13"/>
  <c r="M51" i="13" s="1"/>
  <c r="N51" i="13" s="1" a="1"/>
  <c r="N51" i="13" s="1"/>
  <c r="P52" i="13"/>
  <c r="M52" i="13" s="1"/>
  <c r="N52" i="13" s="1" a="1"/>
  <c r="N52" i="13" s="1"/>
  <c r="P53" i="13"/>
  <c r="M53" i="13" s="1"/>
  <c r="N53" i="13" s="1" a="1"/>
  <c r="N53" i="13" s="1"/>
  <c r="P54" i="13"/>
  <c r="M54" i="13" s="1"/>
  <c r="N54" i="13" s="1" a="1"/>
  <c r="N54" i="13" s="1"/>
  <c r="P55" i="13"/>
  <c r="M55" i="13" s="1"/>
  <c r="N55" i="13" s="1" a="1"/>
  <c r="N55" i="13" s="1"/>
  <c r="P56" i="13"/>
  <c r="M56" i="13" s="1"/>
  <c r="N56" i="13" s="1" a="1"/>
  <c r="N56" i="13" s="1"/>
  <c r="P57" i="13"/>
  <c r="M57" i="13" s="1"/>
  <c r="N57" i="13" s="1" a="1"/>
  <c r="N57" i="13" s="1"/>
  <c r="P58" i="13"/>
  <c r="M58" i="13" s="1"/>
  <c r="N58" i="13" s="1" a="1"/>
  <c r="N58" i="13" s="1"/>
  <c r="P59" i="13"/>
  <c r="M59" i="13" s="1"/>
  <c r="N59" i="13" s="1" a="1"/>
  <c r="N59" i="13" s="1"/>
  <c r="P60" i="13"/>
  <c r="M60" i="13" s="1"/>
  <c r="N60" i="13" s="1" a="1"/>
  <c r="N60" i="13" s="1"/>
  <c r="P61" i="13"/>
  <c r="M61" i="13" s="1"/>
  <c r="N61" i="13" s="1" a="1"/>
  <c r="N61" i="13" s="1"/>
  <c r="P62" i="13"/>
  <c r="M62" i="13" s="1"/>
  <c r="N62" i="13" s="1" a="1"/>
  <c r="N62" i="13" s="1"/>
  <c r="P63" i="13"/>
  <c r="M63" i="13" s="1"/>
  <c r="N63" i="13" s="1" a="1"/>
  <c r="N63" i="13" s="1"/>
  <c r="P64" i="13"/>
  <c r="M64" i="13" s="1"/>
  <c r="N64" i="13" s="1" a="1"/>
  <c r="N64" i="13" s="1"/>
  <c r="P65" i="13"/>
  <c r="M65" i="13" s="1"/>
  <c r="N65" i="13" s="1" a="1"/>
  <c r="N65" i="13" s="1"/>
  <c r="P66" i="13"/>
  <c r="M66" i="13" s="1"/>
  <c r="N66" i="13" s="1" a="1"/>
  <c r="N66" i="13" s="1"/>
  <c r="P67" i="13"/>
  <c r="M67" i="13" s="1"/>
  <c r="N67" i="13" s="1" a="1"/>
  <c r="N67" i="13" s="1"/>
  <c r="P68" i="13"/>
  <c r="M68" i="13" s="1"/>
  <c r="N68" i="13" s="1" a="1"/>
  <c r="N68" i="13" s="1"/>
  <c r="P69" i="13"/>
  <c r="M69" i="13" s="1"/>
  <c r="N69" i="13" s="1" a="1"/>
  <c r="N69" i="13" s="1"/>
  <c r="P70" i="13"/>
  <c r="M70" i="13" s="1"/>
  <c r="N70" i="13" s="1" a="1"/>
  <c r="N70" i="13" s="1"/>
  <c r="P71" i="13"/>
  <c r="M71" i="13" s="1"/>
  <c r="N71" i="13" s="1" a="1"/>
  <c r="N71" i="13" s="1"/>
  <c r="P72" i="13"/>
  <c r="M72" i="13" s="1"/>
  <c r="N72" i="13" s="1" a="1"/>
  <c r="N72" i="13" s="1"/>
  <c r="P73" i="13"/>
  <c r="M73" i="13" s="1"/>
  <c r="N73" i="13" s="1" a="1"/>
  <c r="N73" i="13" s="1"/>
  <c r="P74" i="13"/>
  <c r="M74" i="13" s="1"/>
  <c r="N74" i="13" s="1" a="1"/>
  <c r="N74" i="13" s="1"/>
  <c r="P75" i="13"/>
  <c r="M75" i="13" s="1"/>
  <c r="N75" i="13" s="1" a="1"/>
  <c r="N75" i="13" s="1"/>
  <c r="P76" i="13"/>
  <c r="M76" i="13" s="1"/>
  <c r="N76" i="13" s="1" a="1"/>
  <c r="N76" i="13" s="1"/>
  <c r="P77" i="13"/>
  <c r="M77" i="13" s="1"/>
  <c r="N77" i="13" s="1" a="1"/>
  <c r="N77" i="13" s="1"/>
  <c r="P78" i="13"/>
  <c r="M78" i="13" s="1"/>
  <c r="N78" i="13" s="1" a="1"/>
  <c r="N78" i="13" s="1"/>
  <c r="P79" i="13"/>
  <c r="M79" i="13" s="1"/>
  <c r="N79" i="13" s="1" a="1"/>
  <c r="N79" i="13" s="1"/>
  <c r="P80" i="13"/>
  <c r="M80" i="13" s="1"/>
  <c r="N80" i="13" s="1" a="1"/>
  <c r="N80" i="13" s="1"/>
  <c r="P81" i="13"/>
  <c r="M81" i="13" s="1"/>
  <c r="N81" i="13" s="1" a="1"/>
  <c r="N81" i="13" s="1"/>
  <c r="P82" i="13"/>
  <c r="M82" i="13" s="1"/>
  <c r="N82" i="13" s="1" a="1"/>
  <c r="N82" i="13" s="1"/>
  <c r="P83" i="13"/>
  <c r="M83" i="13" s="1"/>
  <c r="N83" i="13" s="1" a="1"/>
  <c r="N83" i="13" s="1"/>
  <c r="P84" i="13"/>
  <c r="M84" i="13" s="1"/>
  <c r="N84" i="13" s="1" a="1"/>
  <c r="N84" i="13" s="1"/>
  <c r="P85" i="13"/>
  <c r="M85" i="13" s="1"/>
  <c r="N85" i="13" s="1" a="1"/>
  <c r="N85" i="13" s="1"/>
  <c r="P9" i="13"/>
  <c r="M9" i="13" s="1"/>
  <c r="N9" i="13" s="1" a="1"/>
  <c r="N9" i="13" s="1"/>
  <c r="M15" i="13"/>
  <c r="N15" i="13" s="1" a="1"/>
  <c r="N15" i="13" s="1"/>
  <c r="M17" i="13"/>
  <c r="N17" i="13" s="1" a="1"/>
  <c r="N17" i="13" s="1"/>
  <c r="B78" i="13"/>
  <c r="B79" i="13"/>
  <c r="A78" i="13"/>
  <c r="C78" i="13" s="1"/>
  <c r="D78" i="13" s="1"/>
  <c r="A79" i="13"/>
  <c r="C79" i="13" s="1"/>
  <c r="D79" i="13" s="1"/>
  <c r="B76" i="13"/>
  <c r="B77" i="13"/>
  <c r="A77" i="13"/>
  <c r="C77" i="13" s="1"/>
  <c r="A76" i="13"/>
  <c r="C76" i="13" s="1"/>
  <c r="D76" i="13" s="1"/>
  <c r="M47" i="13"/>
  <c r="N47" i="13" s="1" a="1"/>
  <c r="N47" i="13" s="1"/>
  <c r="B75" i="13"/>
  <c r="C75" i="13"/>
  <c r="D75" i="13" s="1"/>
  <c r="M49" i="13"/>
  <c r="N49" i="13" s="1" a="1"/>
  <c r="N49" i="13" s="1"/>
  <c r="M14" i="15"/>
  <c r="N14" i="15" s="1" a="1"/>
  <c r="N14" i="15" s="1"/>
  <c r="M15" i="15"/>
  <c r="N15" i="15" s="1" a="1"/>
  <c r="N15" i="15" s="1"/>
  <c r="M16" i="15"/>
  <c r="N16" i="15" s="1" a="1"/>
  <c r="N16" i="15" s="1"/>
  <c r="M17" i="15"/>
  <c r="N17" i="15" s="1" a="1"/>
  <c r="M18" i="15"/>
  <c r="N18" i="15" s="1" a="1"/>
  <c r="N18" i="15" s="1"/>
  <c r="M38" i="15"/>
  <c r="N38" i="15" s="1" a="1"/>
  <c r="N38" i="15" s="1"/>
  <c r="M39" i="15"/>
  <c r="N39" i="15" s="1" a="1"/>
  <c r="N39" i="15" s="1"/>
  <c r="M40" i="15"/>
  <c r="N40" i="15" s="1" a="1"/>
  <c r="N40" i="15" s="1"/>
  <c r="M41" i="15"/>
  <c r="N41" i="15" s="1" a="1"/>
  <c r="N41" i="15" s="1"/>
  <c r="M62" i="15"/>
  <c r="N62" i="15" s="1" a="1"/>
  <c r="N62" i="15" s="1"/>
  <c r="M63" i="15"/>
  <c r="N63" i="15" s="1" a="1"/>
  <c r="N63" i="15" s="1"/>
  <c r="M64" i="15"/>
  <c r="N64" i="15" s="1" a="1"/>
  <c r="N64" i="15" s="1"/>
  <c r="M65" i="15"/>
  <c r="N65" i="15" s="1" a="1"/>
  <c r="N65" i="15" s="1"/>
  <c r="N11" i="15" a="1"/>
  <c r="N11" i="15"/>
  <c r="N12" i="15" a="1"/>
  <c r="N12" i="15"/>
  <c r="N13" i="15" a="1"/>
  <c r="N13" i="15" s="1"/>
  <c r="N17" i="15"/>
  <c r="N71" i="15" a="1"/>
  <c r="N71" i="15"/>
  <c r="N72" i="15" a="1"/>
  <c r="N72" i="15" s="1"/>
  <c r="N75" i="15" a="1"/>
  <c r="N75" i="15"/>
  <c r="P9" i="15"/>
  <c r="M9" i="15" s="1"/>
  <c r="N9" i="15" s="1" a="1"/>
  <c r="N9" i="15" s="1"/>
  <c r="P10" i="15"/>
  <c r="M10" i="15" s="1"/>
  <c r="N10" i="15" s="1" a="1"/>
  <c r="N10" i="15" s="1"/>
  <c r="P11" i="15"/>
  <c r="M11" i="15" s="1"/>
  <c r="P12" i="15"/>
  <c r="M12" i="15" s="1"/>
  <c r="P13" i="15"/>
  <c r="M13" i="15" s="1"/>
  <c r="P14" i="15"/>
  <c r="P15" i="15"/>
  <c r="P16" i="15"/>
  <c r="P17" i="15"/>
  <c r="P18" i="15"/>
  <c r="P19" i="15"/>
  <c r="M19" i="15" s="1"/>
  <c r="N19" i="15" s="1" a="1"/>
  <c r="N19" i="15" s="1"/>
  <c r="P20" i="15"/>
  <c r="M20" i="15" s="1"/>
  <c r="N20" i="15" s="1" a="1"/>
  <c r="N20" i="15" s="1"/>
  <c r="P21" i="15"/>
  <c r="M21" i="15" s="1"/>
  <c r="N21" i="15" s="1" a="1"/>
  <c r="N21" i="15" s="1"/>
  <c r="P22" i="15"/>
  <c r="M22" i="15" s="1"/>
  <c r="N22" i="15" s="1" a="1"/>
  <c r="N22" i="15" s="1"/>
  <c r="P23" i="15"/>
  <c r="M23" i="15" s="1"/>
  <c r="N23" i="15" s="1" a="1"/>
  <c r="N23" i="15" s="1"/>
  <c r="P24" i="15"/>
  <c r="M24" i="15" s="1"/>
  <c r="N24" i="15" s="1" a="1"/>
  <c r="N24" i="15" s="1"/>
  <c r="P25" i="15"/>
  <c r="M25" i="15" s="1"/>
  <c r="N25" i="15" s="1" a="1"/>
  <c r="N25" i="15" s="1"/>
  <c r="P26" i="15"/>
  <c r="M26" i="15" s="1"/>
  <c r="N26" i="15" s="1" a="1"/>
  <c r="N26" i="15" s="1"/>
  <c r="P27" i="15"/>
  <c r="M27" i="15" s="1"/>
  <c r="N27" i="15" s="1" a="1"/>
  <c r="N27" i="15" s="1"/>
  <c r="P28" i="15"/>
  <c r="M28" i="15" s="1"/>
  <c r="N28" i="15" s="1" a="1"/>
  <c r="N28" i="15" s="1"/>
  <c r="P29" i="15"/>
  <c r="M29" i="15" s="1"/>
  <c r="N29" i="15" s="1" a="1"/>
  <c r="N29" i="15" s="1"/>
  <c r="P30" i="15"/>
  <c r="M30" i="15" s="1"/>
  <c r="N30" i="15" s="1" a="1"/>
  <c r="N30" i="15" s="1"/>
  <c r="P31" i="15"/>
  <c r="M31" i="15" s="1"/>
  <c r="N31" i="15" s="1" a="1"/>
  <c r="N31" i="15" s="1"/>
  <c r="P32" i="15"/>
  <c r="M32" i="15" s="1"/>
  <c r="N32" i="15" s="1" a="1"/>
  <c r="N32" i="15" s="1"/>
  <c r="P33" i="15"/>
  <c r="M33" i="15" s="1"/>
  <c r="N33" i="15" s="1" a="1"/>
  <c r="N33" i="15" s="1"/>
  <c r="P34" i="15"/>
  <c r="M34" i="15" s="1"/>
  <c r="N34" i="15" s="1" a="1"/>
  <c r="N34" i="15" s="1"/>
  <c r="P35" i="15"/>
  <c r="M35" i="15" s="1"/>
  <c r="N35" i="15" s="1" a="1"/>
  <c r="N35" i="15" s="1"/>
  <c r="P36" i="15"/>
  <c r="M36" i="15" s="1"/>
  <c r="N36" i="15" s="1" a="1"/>
  <c r="N36" i="15" s="1"/>
  <c r="P37" i="15"/>
  <c r="M37" i="15" s="1"/>
  <c r="N37" i="15" s="1" a="1"/>
  <c r="N37" i="15" s="1"/>
  <c r="P38" i="15"/>
  <c r="P39" i="15"/>
  <c r="P40" i="15"/>
  <c r="P41" i="15"/>
  <c r="P42" i="15"/>
  <c r="M42" i="15" s="1"/>
  <c r="N42" i="15" s="1" a="1"/>
  <c r="N42" i="15" s="1"/>
  <c r="P43" i="15"/>
  <c r="M43" i="15" s="1"/>
  <c r="N43" i="15" s="1" a="1"/>
  <c r="N43" i="15" s="1"/>
  <c r="P44" i="15"/>
  <c r="M44" i="15" s="1"/>
  <c r="N44" i="15" s="1" a="1"/>
  <c r="N44" i="15" s="1"/>
  <c r="P45" i="15"/>
  <c r="M45" i="15" s="1"/>
  <c r="N45" i="15" s="1" a="1"/>
  <c r="N45" i="15" s="1"/>
  <c r="P46" i="15"/>
  <c r="M46" i="15" s="1"/>
  <c r="N46" i="15" s="1" a="1"/>
  <c r="N46" i="15" s="1"/>
  <c r="P47" i="15"/>
  <c r="M47" i="15" s="1"/>
  <c r="N47" i="15" s="1" a="1"/>
  <c r="N47" i="15" s="1"/>
  <c r="P48" i="15"/>
  <c r="M48" i="15" s="1"/>
  <c r="N48" i="15" s="1" a="1"/>
  <c r="N48" i="15" s="1"/>
  <c r="P49" i="15"/>
  <c r="M49" i="15" s="1"/>
  <c r="N49" i="15" s="1" a="1"/>
  <c r="N49" i="15" s="1"/>
  <c r="P50" i="15"/>
  <c r="M50" i="15" s="1"/>
  <c r="N50" i="15" s="1" a="1"/>
  <c r="N50" i="15" s="1"/>
  <c r="P51" i="15"/>
  <c r="M51" i="15" s="1"/>
  <c r="N51" i="15" s="1" a="1"/>
  <c r="N51" i="15" s="1"/>
  <c r="P52" i="15"/>
  <c r="M52" i="15" s="1"/>
  <c r="N52" i="15" s="1" a="1"/>
  <c r="N52" i="15" s="1"/>
  <c r="P53" i="15"/>
  <c r="M53" i="15" s="1"/>
  <c r="N53" i="15" s="1" a="1"/>
  <c r="N53" i="15" s="1"/>
  <c r="P54" i="15"/>
  <c r="M54" i="15" s="1"/>
  <c r="N54" i="15" s="1" a="1"/>
  <c r="N54" i="15" s="1"/>
  <c r="P55" i="15"/>
  <c r="M55" i="15" s="1"/>
  <c r="N55" i="15" s="1" a="1"/>
  <c r="N55" i="15" s="1"/>
  <c r="P56" i="15"/>
  <c r="M56" i="15" s="1"/>
  <c r="N56" i="15" s="1" a="1"/>
  <c r="N56" i="15" s="1"/>
  <c r="P57" i="15"/>
  <c r="M57" i="15" s="1"/>
  <c r="N57" i="15" s="1" a="1"/>
  <c r="N57" i="15" s="1"/>
  <c r="P58" i="15"/>
  <c r="M58" i="15" s="1"/>
  <c r="N58" i="15" s="1" a="1"/>
  <c r="N58" i="15" s="1"/>
  <c r="P59" i="15"/>
  <c r="M59" i="15" s="1"/>
  <c r="N59" i="15" s="1" a="1"/>
  <c r="N59" i="15" s="1"/>
  <c r="P60" i="15"/>
  <c r="M60" i="15" s="1"/>
  <c r="N60" i="15" s="1" a="1"/>
  <c r="N60" i="15" s="1"/>
  <c r="P61" i="15"/>
  <c r="M61" i="15" s="1"/>
  <c r="N61" i="15" s="1" a="1"/>
  <c r="N61" i="15" s="1"/>
  <c r="P62" i="15"/>
  <c r="P63" i="15"/>
  <c r="P64" i="15"/>
  <c r="P65" i="15"/>
  <c r="P66" i="15"/>
  <c r="M66" i="15" s="1"/>
  <c r="N66" i="15" s="1" a="1"/>
  <c r="N66" i="15" s="1"/>
  <c r="P67" i="15"/>
  <c r="M67" i="15" s="1"/>
  <c r="N67" i="15" s="1" a="1"/>
  <c r="N67" i="15" s="1"/>
  <c r="P68" i="15"/>
  <c r="M68" i="15" s="1"/>
  <c r="N68" i="15" s="1" a="1"/>
  <c r="N68" i="15" s="1"/>
  <c r="P69" i="15"/>
  <c r="M69" i="15" s="1"/>
  <c r="N69" i="15" s="1" a="1"/>
  <c r="N69" i="15" s="1"/>
  <c r="P70" i="15"/>
  <c r="M70" i="15" s="1"/>
  <c r="N70" i="15" s="1" a="1"/>
  <c r="N70" i="15" s="1"/>
  <c r="P71" i="15"/>
  <c r="M71" i="15" s="1"/>
  <c r="P72" i="15"/>
  <c r="M72" i="15" s="1"/>
  <c r="P73" i="15"/>
  <c r="M73" i="15" s="1"/>
  <c r="N73" i="15" s="1" a="1"/>
  <c r="N73" i="15" s="1"/>
  <c r="P74" i="15"/>
  <c r="M74" i="15" s="1"/>
  <c r="N74" i="15" s="1" a="1"/>
  <c r="N74" i="15" s="1"/>
  <c r="P75" i="15"/>
  <c r="M75" i="15" s="1"/>
  <c r="BA10" i="15"/>
  <c r="BB10" i="15" s="1"/>
  <c r="BA11" i="15"/>
  <c r="BB11" i="15" s="1"/>
  <c r="BA12" i="15"/>
  <c r="BB12" i="15" s="1"/>
  <c r="BA13" i="15"/>
  <c r="BB13" i="15" s="1"/>
  <c r="BA14" i="15"/>
  <c r="BB14" i="15" s="1"/>
  <c r="BA15" i="15"/>
  <c r="BB15" i="15" s="1"/>
  <c r="BA16" i="15"/>
  <c r="BB16" i="15" s="1"/>
  <c r="BA9" i="15"/>
  <c r="BB9" i="15" s="1"/>
  <c r="E50" i="17" l="1"/>
  <c r="E49" i="17"/>
  <c r="E47" i="17"/>
  <c r="E18" i="17"/>
  <c r="E44" i="17"/>
  <c r="E17" i="17"/>
  <c r="E19" i="17"/>
  <c r="E39" i="17"/>
  <c r="E41" i="17"/>
  <c r="E43" i="17"/>
  <c r="E42" i="17"/>
  <c r="E40" i="17"/>
  <c r="O14" i="33"/>
  <c r="O36" i="33"/>
  <c r="O18" i="33"/>
  <c r="O15" i="33"/>
  <c r="C37" i="33"/>
  <c r="D37" i="33" s="1"/>
  <c r="O38" i="33"/>
  <c r="O47" i="33"/>
  <c r="O20" i="33"/>
  <c r="O39" i="33"/>
  <c r="O51" i="33"/>
  <c r="O54" i="33"/>
  <c r="O34" i="33"/>
  <c r="O48" i="33"/>
  <c r="O29" i="33"/>
  <c r="O21" i="33"/>
  <c r="O13" i="33"/>
  <c r="O10" i="33"/>
  <c r="O59" i="33"/>
  <c r="O53" i="33"/>
  <c r="O41" i="33"/>
  <c r="O23" i="33"/>
  <c r="O11" i="33"/>
  <c r="O43" i="33"/>
  <c r="O40" i="33"/>
  <c r="A3" i="33"/>
  <c r="O9" i="33"/>
  <c r="O30" i="33"/>
  <c r="O27" i="33"/>
  <c r="O57" i="33"/>
  <c r="O25" i="33"/>
  <c r="O42" i="33"/>
  <c r="A4" i="33"/>
  <c r="A7" i="33"/>
  <c r="O31" i="33"/>
  <c r="O44" i="33"/>
  <c r="O33" i="33"/>
  <c r="C34" i="33"/>
  <c r="D34" i="33" s="1"/>
  <c r="O46" i="33"/>
  <c r="O22" i="33"/>
  <c r="O35" i="33"/>
  <c r="O50" i="33"/>
  <c r="O24" i="33"/>
  <c r="O37" i="33"/>
  <c r="O55" i="33"/>
  <c r="O58" i="33"/>
  <c r="A5" i="33"/>
  <c r="O26" i="33"/>
  <c r="O17" i="33"/>
  <c r="O28" i="33"/>
  <c r="O16" i="33"/>
  <c r="O12" i="33"/>
  <c r="O32" i="33"/>
  <c r="O49" i="33"/>
  <c r="C55" i="33"/>
  <c r="D55" i="33" s="1"/>
  <c r="O56" i="33"/>
  <c r="C51" i="33"/>
  <c r="D51" i="33" s="1"/>
  <c r="O52" i="33"/>
  <c r="O45" i="33"/>
  <c r="O19" i="33"/>
  <c r="D21" i="30"/>
  <c r="D42" i="30"/>
  <c r="D30" i="30"/>
  <c r="D41" i="30"/>
  <c r="D29" i="30"/>
  <c r="D16" i="30"/>
  <c r="D39" i="30"/>
  <c r="D50" i="30"/>
  <c r="D38" i="30"/>
  <c r="D26" i="30"/>
  <c r="D14" i="30"/>
  <c r="D51" i="30"/>
  <c r="D27" i="30"/>
  <c r="D15" i="30"/>
  <c r="D49" i="30"/>
  <c r="D37" i="30"/>
  <c r="D25" i="30"/>
  <c r="D13" i="30"/>
  <c r="M17" i="32"/>
  <c r="N17" i="32" s="1" a="1"/>
  <c r="N17" i="32" s="1"/>
  <c r="M28" i="32"/>
  <c r="N28" i="32" s="1" a="1"/>
  <c r="N28" i="32" s="1"/>
  <c r="M40" i="32"/>
  <c r="N40" i="32" s="1" a="1"/>
  <c r="N40" i="32" s="1"/>
  <c r="M52" i="32"/>
  <c r="N52" i="32" s="1" a="1"/>
  <c r="N52" i="32" s="1"/>
  <c r="M68" i="32"/>
  <c r="N68" i="32" s="1" a="1"/>
  <c r="N68" i="32" s="1"/>
  <c r="M18" i="32"/>
  <c r="N18" i="32" s="1" a="1"/>
  <c r="N18" i="32" s="1"/>
  <c r="M29" i="32"/>
  <c r="N29" i="32" s="1" a="1"/>
  <c r="N29" i="32" s="1"/>
  <c r="M41" i="32"/>
  <c r="N41" i="32" s="1" a="1"/>
  <c r="N41" i="32" s="1"/>
  <c r="M53" i="32"/>
  <c r="N53" i="32" s="1" a="1"/>
  <c r="N53" i="32" s="1"/>
  <c r="M67" i="32"/>
  <c r="N67" i="32" s="1" a="1"/>
  <c r="N67" i="32" s="1"/>
  <c r="M19" i="32"/>
  <c r="N19" i="32" s="1" a="1"/>
  <c r="N19" i="32" s="1"/>
  <c r="M30" i="32"/>
  <c r="N30" i="32" s="1" a="1"/>
  <c r="N30" i="32" s="1"/>
  <c r="M42" i="32"/>
  <c r="N42" i="32" s="1" a="1"/>
  <c r="N42" i="32" s="1"/>
  <c r="M54" i="32"/>
  <c r="N54" i="32" s="1" a="1"/>
  <c r="N54" i="32" s="1"/>
  <c r="M78" i="32"/>
  <c r="N78" i="32" s="1" a="1"/>
  <c r="N78" i="32" s="1"/>
  <c r="M66" i="32"/>
  <c r="N66" i="32" s="1" a="1"/>
  <c r="N66" i="32" s="1"/>
  <c r="M20" i="32"/>
  <c r="N20" i="32" s="1" a="1"/>
  <c r="N20" i="32" s="1"/>
  <c r="M31" i="32"/>
  <c r="N31" i="32" s="1" a="1"/>
  <c r="N31" i="32" s="1"/>
  <c r="M43" i="32"/>
  <c r="N43" i="32" s="1" a="1"/>
  <c r="N43" i="32" s="1"/>
  <c r="M55" i="32"/>
  <c r="N55" i="32" s="1" a="1"/>
  <c r="N55" i="32" s="1"/>
  <c r="M77" i="32"/>
  <c r="N77" i="32" s="1" a="1"/>
  <c r="N77" i="32" s="1"/>
  <c r="M65" i="32"/>
  <c r="N65" i="32" s="1" a="1"/>
  <c r="N65" i="32" s="1"/>
  <c r="M32" i="32"/>
  <c r="N32" i="32" s="1" a="1"/>
  <c r="N32" i="32" s="1"/>
  <c r="M44" i="32"/>
  <c r="N44" i="32" s="1" a="1"/>
  <c r="N44" i="32" s="1"/>
  <c r="M56" i="32"/>
  <c r="N56" i="32" s="1" a="1"/>
  <c r="N56" i="32" s="1"/>
  <c r="M76" i="32"/>
  <c r="N76" i="32" s="1" a="1"/>
  <c r="N76" i="32" s="1"/>
  <c r="M64" i="32"/>
  <c r="N64" i="32" s="1" a="1"/>
  <c r="N64" i="32" s="1"/>
  <c r="M12" i="32"/>
  <c r="N12" i="32" s="1" a="1"/>
  <c r="N12" i="32" s="1"/>
  <c r="M75" i="32"/>
  <c r="N75" i="32" s="1" a="1"/>
  <c r="N75" i="32" s="1"/>
  <c r="M63" i="32"/>
  <c r="N63" i="32" s="1" a="1"/>
  <c r="N63" i="32" s="1"/>
  <c r="M34" i="32"/>
  <c r="N34" i="32" s="1" a="1"/>
  <c r="N34" i="32" s="1"/>
  <c r="M46" i="32"/>
  <c r="N46" i="32" s="1" a="1"/>
  <c r="N46" i="32" s="1"/>
  <c r="M58" i="32"/>
  <c r="N58" i="32" s="1" a="1"/>
  <c r="N58" i="32" s="1"/>
  <c r="M74" i="32"/>
  <c r="N74" i="32" s="1" a="1"/>
  <c r="N74" i="32" s="1"/>
  <c r="M62" i="32"/>
  <c r="N62" i="32" s="1" a="1"/>
  <c r="N62" i="32" s="1"/>
  <c r="C53" i="32"/>
  <c r="D53" i="32" s="1"/>
  <c r="C24" i="32"/>
  <c r="D24" i="32" s="1"/>
  <c r="C25" i="32"/>
  <c r="D25" i="32" s="1"/>
  <c r="C48" i="32"/>
  <c r="D48" i="32" s="1"/>
  <c r="C26" i="32"/>
  <c r="D26" i="32" s="1"/>
  <c r="C21" i="32"/>
  <c r="D21" i="32" s="1"/>
  <c r="C28" i="32"/>
  <c r="D28" i="32" s="1"/>
  <c r="C52" i="32"/>
  <c r="D52" i="32" s="1"/>
  <c r="C19" i="32"/>
  <c r="D19" i="32" s="1"/>
  <c r="C30" i="32"/>
  <c r="D30" i="32" s="1"/>
  <c r="C36" i="32"/>
  <c r="D36" i="32" s="1"/>
  <c r="C41" i="32"/>
  <c r="D41" i="32" s="1"/>
  <c r="C47" i="32"/>
  <c r="D47" i="32" s="1"/>
  <c r="C10" i="32"/>
  <c r="D10" i="32" s="1"/>
  <c r="C14" i="32"/>
  <c r="D14" i="32" s="1"/>
  <c r="C20" i="32"/>
  <c r="D20" i="32" s="1"/>
  <c r="C31" i="32"/>
  <c r="D31" i="32" s="1"/>
  <c r="C37" i="32"/>
  <c r="D37" i="32" s="1"/>
  <c r="C42" i="32"/>
  <c r="D42" i="32" s="1"/>
  <c r="C15" i="32"/>
  <c r="D15" i="32" s="1"/>
  <c r="C3" i="32"/>
  <c r="D3" i="32" s="1"/>
  <c r="C11" i="32"/>
  <c r="D11" i="32" s="1"/>
  <c r="C32" i="32"/>
  <c r="D32" i="32" s="1"/>
  <c r="C43" i="32"/>
  <c r="D43" i="32" s="1"/>
  <c r="C49" i="32"/>
  <c r="D49" i="32" s="1"/>
  <c r="C4" i="32"/>
  <c r="D4" i="32" s="1"/>
  <c r="C16" i="32"/>
  <c r="D16" i="32" s="1"/>
  <c r="C27" i="32"/>
  <c r="D27" i="32" s="1"/>
  <c r="C38" i="32"/>
  <c r="D38" i="32" s="1"/>
  <c r="C5" i="32"/>
  <c r="D5" i="32" s="1"/>
  <c r="C22" i="32"/>
  <c r="D22" i="32" s="1"/>
  <c r="C33" i="32"/>
  <c r="D33" i="32" s="1"/>
  <c r="C44" i="32"/>
  <c r="D44" i="32" s="1"/>
  <c r="C50" i="32"/>
  <c r="D50" i="32" s="1"/>
  <c r="C12" i="32"/>
  <c r="D12" i="32" s="1"/>
  <c r="C6" i="32"/>
  <c r="D6" i="32" s="1"/>
  <c r="C17" i="32"/>
  <c r="D17" i="32" s="1"/>
  <c r="C34" i="32"/>
  <c r="D34" i="32" s="1"/>
  <c r="C39" i="32"/>
  <c r="D39" i="32" s="1"/>
  <c r="C45" i="32"/>
  <c r="D45" i="32" s="1"/>
  <c r="C51" i="32"/>
  <c r="D51" i="32" s="1"/>
  <c r="C8" i="32"/>
  <c r="D8" i="32" s="1"/>
  <c r="C23" i="32"/>
  <c r="D23" i="32" s="1"/>
  <c r="C7" i="32"/>
  <c r="D7" i="32" s="1"/>
  <c r="C9" i="32"/>
  <c r="D9" i="32" s="1"/>
  <c r="C13" i="32"/>
  <c r="D13" i="32" s="1"/>
  <c r="C18" i="32"/>
  <c r="D18" i="32" s="1"/>
  <c r="C29" i="32"/>
  <c r="D29" i="32" s="1"/>
  <c r="C35" i="32"/>
  <c r="D35" i="32" s="1"/>
  <c r="C40" i="32"/>
  <c r="D40" i="32" s="1"/>
  <c r="C46" i="32"/>
  <c r="D46" i="32" s="1"/>
  <c r="E58" i="31"/>
  <c r="C58" i="31"/>
  <c r="D58" i="31" s="1"/>
  <c r="E66" i="31"/>
  <c r="C66" i="31"/>
  <c r="D66" i="31" s="1"/>
  <c r="E54" i="31"/>
  <c r="C54" i="31"/>
  <c r="D54" i="31" s="1"/>
  <c r="E70" i="31"/>
  <c r="C70" i="31"/>
  <c r="D70" i="31" s="1"/>
  <c r="E65" i="31"/>
  <c r="C75" i="31"/>
  <c r="D75" i="31" s="1"/>
  <c r="C63" i="31"/>
  <c r="D63" i="31" s="1"/>
  <c r="E76" i="31"/>
  <c r="E64" i="31"/>
  <c r="C74" i="31"/>
  <c r="D74" i="31" s="1"/>
  <c r="C62" i="31"/>
  <c r="D62" i="31" s="1"/>
  <c r="E12" i="31"/>
  <c r="C12" i="31"/>
  <c r="D12" i="31" s="1"/>
  <c r="E31" i="31"/>
  <c r="C31" i="31"/>
  <c r="D31" i="31" s="1"/>
  <c r="C29" i="31"/>
  <c r="D29" i="31" s="1"/>
  <c r="C17" i="31"/>
  <c r="D17" i="31" s="1"/>
  <c r="C25" i="31"/>
  <c r="D25" i="31" s="1"/>
  <c r="E24" i="31"/>
  <c r="M30" i="31"/>
  <c r="N30" i="31" s="1" a="1"/>
  <c r="N30" i="31" s="1"/>
  <c r="M75" i="31"/>
  <c r="N75" i="31" s="1" a="1"/>
  <c r="N75" i="31" s="1"/>
  <c r="M63" i="31"/>
  <c r="N63" i="31" s="1" a="1"/>
  <c r="N63" i="31" s="1"/>
  <c r="M20" i="31"/>
  <c r="N20" i="31" s="1" a="1"/>
  <c r="N20" i="31" s="1"/>
  <c r="M42" i="31"/>
  <c r="N42" i="31" s="1" a="1"/>
  <c r="N42" i="31" s="1"/>
  <c r="M54" i="31"/>
  <c r="N54" i="31" s="1" a="1"/>
  <c r="N54" i="31" s="1"/>
  <c r="M74" i="31"/>
  <c r="N74" i="31" s="1" a="1"/>
  <c r="N74" i="31" s="1"/>
  <c r="M62" i="31"/>
  <c r="N62" i="31" s="1" a="1"/>
  <c r="N62" i="31" s="1"/>
  <c r="M71" i="31"/>
  <c r="N71" i="31" s="1" a="1"/>
  <c r="N71" i="31" s="1"/>
  <c r="M59" i="31"/>
  <c r="N59" i="31" s="1" a="1"/>
  <c r="N59" i="31" s="1"/>
  <c r="M31" i="31"/>
  <c r="N31" i="31" s="1" a="1"/>
  <c r="N31" i="31" s="1"/>
  <c r="M43" i="31"/>
  <c r="N43" i="31" s="1" a="1"/>
  <c r="N43" i="31" s="1"/>
  <c r="M55" i="31"/>
  <c r="N55" i="31" s="1" a="1"/>
  <c r="N55" i="31" s="1"/>
  <c r="M32" i="31"/>
  <c r="N32" i="31" s="1" a="1"/>
  <c r="N32" i="31" s="1"/>
  <c r="M44" i="31"/>
  <c r="N44" i="31" s="1" a="1"/>
  <c r="N44" i="31" s="1"/>
  <c r="M56" i="31"/>
  <c r="N56" i="31" s="1" a="1"/>
  <c r="N56" i="31" s="1"/>
  <c r="M14" i="31"/>
  <c r="N14" i="31" s="1" a="1"/>
  <c r="N14" i="31" s="1"/>
  <c r="M82" i="31"/>
  <c r="N82" i="31" s="1" a="1"/>
  <c r="N82" i="31" s="1"/>
  <c r="M70" i="31"/>
  <c r="N70" i="31" s="1" a="1"/>
  <c r="N70" i="31" s="1"/>
  <c r="C27" i="31"/>
  <c r="D27" i="31" s="1"/>
  <c r="M26" i="31"/>
  <c r="N26" i="31" s="1" a="1"/>
  <c r="N26" i="31" s="1"/>
  <c r="M80" i="31"/>
  <c r="N80" i="31" s="1" a="1"/>
  <c r="N80" i="31" s="1"/>
  <c r="M68" i="31"/>
  <c r="N68" i="31" s="1" a="1"/>
  <c r="N68" i="31" s="1"/>
  <c r="M15" i="31"/>
  <c r="N15" i="31" s="1" a="1"/>
  <c r="N15" i="31" s="1"/>
  <c r="M27" i="31"/>
  <c r="N27" i="31" s="1" a="1"/>
  <c r="N27" i="31" s="1"/>
  <c r="M79" i="31"/>
  <c r="N79" i="31" s="1" a="1"/>
  <c r="N79" i="31" s="1"/>
  <c r="M67" i="31"/>
  <c r="N67" i="31" s="1" a="1"/>
  <c r="N67" i="31" s="1"/>
  <c r="C13" i="31"/>
  <c r="D13" i="31" s="1"/>
  <c r="C18" i="31"/>
  <c r="D18" i="31" s="1"/>
  <c r="C36" i="31"/>
  <c r="D36" i="31" s="1"/>
  <c r="C37" i="31"/>
  <c r="D37" i="31" s="1"/>
  <c r="C19" i="31"/>
  <c r="D19" i="31" s="1"/>
  <c r="C30" i="31"/>
  <c r="D30" i="31" s="1"/>
  <c r="C35" i="31"/>
  <c r="D35" i="31" s="1"/>
  <c r="C9" i="31"/>
  <c r="D9" i="31" s="1"/>
  <c r="C23" i="31"/>
  <c r="D23" i="31" s="1"/>
  <c r="C53" i="31"/>
  <c r="D53" i="31" s="1"/>
  <c r="C48" i="31"/>
  <c r="D48" i="31" s="1"/>
  <c r="C49" i="31"/>
  <c r="D49" i="31" s="1"/>
  <c r="C51" i="31"/>
  <c r="D51" i="31" s="1"/>
  <c r="C52" i="31"/>
  <c r="D52" i="31" s="1"/>
  <c r="C7" i="31"/>
  <c r="D7" i="31" s="1"/>
  <c r="C8" i="31"/>
  <c r="D8" i="31" s="1"/>
  <c r="C42" i="31"/>
  <c r="D42" i="31" s="1"/>
  <c r="C10" i="31"/>
  <c r="D10" i="31" s="1"/>
  <c r="C14" i="31"/>
  <c r="D14" i="31" s="1"/>
  <c r="C20" i="31"/>
  <c r="D20" i="31" s="1"/>
  <c r="C26" i="31"/>
  <c r="D26" i="31" s="1"/>
  <c r="C32" i="31"/>
  <c r="D32" i="31" s="1"/>
  <c r="C38" i="31"/>
  <c r="D38" i="31" s="1"/>
  <c r="C44" i="31"/>
  <c r="D44" i="31" s="1"/>
  <c r="C50" i="31"/>
  <c r="D50" i="31" s="1"/>
  <c r="C5" i="31"/>
  <c r="D5" i="31" s="1"/>
  <c r="C6" i="31"/>
  <c r="D6" i="31" s="1"/>
  <c r="C41" i="31"/>
  <c r="D41" i="31" s="1"/>
  <c r="C47" i="31"/>
  <c r="D47" i="31" s="1"/>
  <c r="C33" i="31"/>
  <c r="D33" i="31" s="1"/>
  <c r="C39" i="31"/>
  <c r="D39" i="31" s="1"/>
  <c r="C45" i="31"/>
  <c r="D45" i="31" s="1"/>
  <c r="C11" i="31"/>
  <c r="D11" i="31" s="1"/>
  <c r="C43" i="31"/>
  <c r="D43" i="31" s="1"/>
  <c r="C15" i="31"/>
  <c r="D15" i="31" s="1"/>
  <c r="C21" i="31"/>
  <c r="D21" i="31" s="1"/>
  <c r="C3" i="31"/>
  <c r="D3" i="31" s="1"/>
  <c r="C4" i="31"/>
  <c r="D4" i="31" s="1"/>
  <c r="C16" i="31"/>
  <c r="D16" i="31" s="1"/>
  <c r="C22" i="31"/>
  <c r="D22" i="31" s="1"/>
  <c r="C28" i="31"/>
  <c r="D28" i="31" s="1"/>
  <c r="C34" i="31"/>
  <c r="D34" i="31" s="1"/>
  <c r="C40" i="31"/>
  <c r="D40" i="31" s="1"/>
  <c r="C46" i="31"/>
  <c r="D46" i="31" s="1"/>
  <c r="D74" i="16"/>
  <c r="P72" i="16"/>
  <c r="M72" i="16" s="1"/>
  <c r="N72" i="16" s="1" a="1"/>
  <c r="N72" i="16" s="1"/>
  <c r="M64" i="16"/>
  <c r="N64" i="16" s="1" a="1"/>
  <c r="N64" i="16" s="1"/>
  <c r="M82" i="16"/>
  <c r="N82" i="16" s="1" a="1"/>
  <c r="N82" i="16" s="1"/>
  <c r="D77" i="13"/>
  <c r="BA15" i="14"/>
  <c r="BB15" i="14" s="1"/>
  <c r="BA11" i="14"/>
  <c r="BB11" i="14" s="1"/>
  <c r="BA12" i="14"/>
  <c r="BB12" i="14" s="1"/>
  <c r="BA13" i="14"/>
  <c r="BB13" i="14" s="1"/>
  <c r="BA14" i="14"/>
  <c r="BB14" i="14" s="1"/>
  <c r="BA10" i="14"/>
  <c r="BB10" i="14" s="1"/>
  <c r="BA9" i="14"/>
  <c r="BB9" i="14" s="1"/>
  <c r="BA16" i="14"/>
  <c r="BB16" i="14" s="1"/>
  <c r="M18" i="14"/>
  <c r="N18" i="14" s="1" a="1"/>
  <c r="N18" i="14" s="1"/>
  <c r="M40" i="14"/>
  <c r="N40" i="14" s="1" a="1"/>
  <c r="N40" i="14" s="1"/>
  <c r="M44" i="14"/>
  <c r="N44" i="14" s="1" a="1"/>
  <c r="N44" i="14" s="1"/>
  <c r="M45" i="14"/>
  <c r="N45" i="14" s="1" a="1"/>
  <c r="N45" i="14" s="1"/>
  <c r="M55" i="14"/>
  <c r="N55" i="14" s="1" a="1"/>
  <c r="N55" i="14" s="1"/>
  <c r="P9" i="14"/>
  <c r="M9" i="14" s="1"/>
  <c r="N9" i="14" s="1" a="1"/>
  <c r="N9" i="14" s="1"/>
  <c r="P10" i="14"/>
  <c r="M10" i="14" s="1"/>
  <c r="N10" i="14" s="1" a="1"/>
  <c r="N10" i="14" s="1"/>
  <c r="P11" i="14"/>
  <c r="M11" i="14" s="1"/>
  <c r="N11" i="14" s="1" a="1"/>
  <c r="N11" i="14" s="1"/>
  <c r="P12" i="14"/>
  <c r="M12" i="14" s="1"/>
  <c r="N12" i="14" s="1" a="1"/>
  <c r="N12" i="14" s="1"/>
  <c r="P13" i="14"/>
  <c r="M13" i="14" s="1"/>
  <c r="N13" i="14" s="1" a="1"/>
  <c r="N13" i="14" s="1"/>
  <c r="P14" i="14"/>
  <c r="M14" i="14" s="1"/>
  <c r="N14" i="14" s="1" a="1"/>
  <c r="N14" i="14" s="1"/>
  <c r="P15" i="14"/>
  <c r="M15" i="14" s="1"/>
  <c r="N15" i="14" s="1" a="1"/>
  <c r="N15" i="14" s="1"/>
  <c r="P16" i="14"/>
  <c r="M16" i="14" s="1"/>
  <c r="N16" i="14" s="1" a="1"/>
  <c r="N16" i="14" s="1"/>
  <c r="P17" i="14"/>
  <c r="M17" i="14" s="1"/>
  <c r="N17" i="14" s="1" a="1"/>
  <c r="N17" i="14" s="1"/>
  <c r="P18" i="14"/>
  <c r="P19" i="14"/>
  <c r="M19" i="14" s="1"/>
  <c r="N19" i="14" s="1" a="1"/>
  <c r="N19" i="14" s="1"/>
  <c r="P20" i="14"/>
  <c r="M20" i="14" s="1"/>
  <c r="N20" i="14" s="1" a="1"/>
  <c r="N20" i="14" s="1"/>
  <c r="P21" i="14"/>
  <c r="M21" i="14" s="1"/>
  <c r="N21" i="14" s="1" a="1"/>
  <c r="N21" i="14" s="1"/>
  <c r="P22" i="14"/>
  <c r="M22" i="14" s="1"/>
  <c r="N22" i="14" s="1" a="1"/>
  <c r="N22" i="14" s="1"/>
  <c r="P23" i="14"/>
  <c r="M23" i="14" s="1"/>
  <c r="N23" i="14" s="1" a="1"/>
  <c r="N23" i="14" s="1"/>
  <c r="P24" i="14"/>
  <c r="M24" i="14" s="1"/>
  <c r="N24" i="14" s="1" a="1"/>
  <c r="N24" i="14" s="1"/>
  <c r="P25" i="14"/>
  <c r="M25" i="14" s="1"/>
  <c r="N25" i="14" s="1" a="1"/>
  <c r="N25" i="14" s="1"/>
  <c r="P26" i="14"/>
  <c r="M26" i="14" s="1"/>
  <c r="N26" i="14" s="1" a="1"/>
  <c r="N26" i="14" s="1"/>
  <c r="P27" i="14"/>
  <c r="M27" i="14" s="1"/>
  <c r="N27" i="14" s="1" a="1"/>
  <c r="N27" i="14" s="1"/>
  <c r="P28" i="14"/>
  <c r="M28" i="14" s="1"/>
  <c r="N28" i="14" s="1" a="1"/>
  <c r="N28" i="14" s="1"/>
  <c r="P29" i="14"/>
  <c r="M29" i="14" s="1"/>
  <c r="N29" i="14" s="1" a="1"/>
  <c r="N29" i="14" s="1"/>
  <c r="P30" i="14"/>
  <c r="M30" i="14" s="1"/>
  <c r="N30" i="14" s="1" a="1"/>
  <c r="N30" i="14" s="1"/>
  <c r="P31" i="14"/>
  <c r="M31" i="14" s="1"/>
  <c r="N31" i="14" s="1" a="1"/>
  <c r="N31" i="14" s="1"/>
  <c r="P32" i="14"/>
  <c r="M32" i="14" s="1"/>
  <c r="N32" i="14" s="1" a="1"/>
  <c r="N32" i="14" s="1"/>
  <c r="P33" i="14"/>
  <c r="M33" i="14" s="1"/>
  <c r="N33" i="14" s="1" a="1"/>
  <c r="N33" i="14" s="1"/>
  <c r="P34" i="14"/>
  <c r="M34" i="14" s="1"/>
  <c r="N34" i="14" s="1" a="1"/>
  <c r="N34" i="14" s="1"/>
  <c r="P35" i="14"/>
  <c r="M35" i="14" s="1"/>
  <c r="N35" i="14" s="1" a="1"/>
  <c r="N35" i="14" s="1"/>
  <c r="P36" i="14"/>
  <c r="M36" i="14" s="1"/>
  <c r="N36" i="14" s="1" a="1"/>
  <c r="N36" i="14" s="1"/>
  <c r="P37" i="14"/>
  <c r="M37" i="14" s="1"/>
  <c r="N37" i="14" s="1" a="1"/>
  <c r="N37" i="14" s="1"/>
  <c r="P38" i="14"/>
  <c r="M38" i="14" s="1"/>
  <c r="N38" i="14" s="1" a="1"/>
  <c r="N38" i="14" s="1"/>
  <c r="P39" i="14"/>
  <c r="M39" i="14" s="1"/>
  <c r="N39" i="14" s="1" a="1"/>
  <c r="N39" i="14" s="1"/>
  <c r="P40" i="14"/>
  <c r="P41" i="14"/>
  <c r="M41" i="14" s="1"/>
  <c r="N41" i="14" s="1" a="1"/>
  <c r="N41" i="14" s="1"/>
  <c r="P42" i="14"/>
  <c r="M42" i="14" s="1"/>
  <c r="N42" i="14" s="1" a="1"/>
  <c r="N42" i="14" s="1"/>
  <c r="P43" i="14"/>
  <c r="M43" i="14" s="1"/>
  <c r="N43" i="14" s="1" a="1"/>
  <c r="N43" i="14" s="1"/>
  <c r="P44" i="14"/>
  <c r="P45" i="14"/>
  <c r="P46" i="14"/>
  <c r="M46" i="14" s="1"/>
  <c r="N46" i="14" s="1" a="1"/>
  <c r="N46" i="14" s="1"/>
  <c r="P47" i="14"/>
  <c r="M47" i="14" s="1"/>
  <c r="N47" i="14" s="1" a="1"/>
  <c r="N47" i="14" s="1"/>
  <c r="P48" i="14"/>
  <c r="M48" i="14" s="1"/>
  <c r="N48" i="14" s="1" a="1"/>
  <c r="N48" i="14" s="1"/>
  <c r="P49" i="14"/>
  <c r="M49" i="14" s="1"/>
  <c r="N49" i="14" s="1" a="1"/>
  <c r="N49" i="14" s="1"/>
  <c r="P50" i="14"/>
  <c r="M50" i="14" s="1"/>
  <c r="N50" i="14" s="1" a="1"/>
  <c r="N50" i="14" s="1"/>
  <c r="P51" i="14"/>
  <c r="M51" i="14" s="1"/>
  <c r="N51" i="14" s="1" a="1"/>
  <c r="N51" i="14" s="1"/>
  <c r="P52" i="14"/>
  <c r="M52" i="14" s="1"/>
  <c r="N52" i="14" s="1" a="1"/>
  <c r="N52" i="14" s="1"/>
  <c r="P53" i="14"/>
  <c r="M53" i="14" s="1"/>
  <c r="N53" i="14" s="1" a="1"/>
  <c r="N53" i="14" s="1"/>
  <c r="P54" i="14"/>
  <c r="M54" i="14" s="1"/>
  <c r="N54" i="14" s="1" a="1"/>
  <c r="N54" i="14" s="1"/>
  <c r="P55" i="14"/>
  <c r="P56" i="14"/>
  <c r="M56" i="14" s="1"/>
  <c r="N56" i="14" s="1" a="1"/>
  <c r="N56" i="14" s="1"/>
  <c r="P57" i="14"/>
  <c r="M57" i="14" s="1"/>
  <c r="N57" i="14" s="1" a="1"/>
  <c r="N57" i="14" s="1"/>
  <c r="P58" i="14"/>
  <c r="M58" i="14" s="1"/>
  <c r="N58" i="14" s="1" a="1"/>
  <c r="N58" i="14" s="1"/>
  <c r="P59" i="14"/>
  <c r="M59" i="14" s="1"/>
  <c r="N59" i="14" s="1" a="1"/>
  <c r="N59" i="14" s="1"/>
  <c r="P60" i="14"/>
  <c r="M60" i="14" s="1"/>
  <c r="N60" i="14" s="1" a="1"/>
  <c r="N60" i="14" s="1"/>
  <c r="P61" i="14"/>
  <c r="M61" i="14" s="1"/>
  <c r="N61" i="14" s="1" a="1"/>
  <c r="N61" i="14" s="1"/>
  <c r="P62" i="14"/>
  <c r="M62" i="14" s="1"/>
  <c r="N62" i="14" s="1" a="1"/>
  <c r="N62" i="14" s="1"/>
  <c r="P63" i="14"/>
  <c r="M63" i="14" s="1"/>
  <c r="N63" i="14" s="1" a="1"/>
  <c r="N63" i="14" s="1"/>
  <c r="P64" i="14"/>
  <c r="M64" i="14" s="1"/>
  <c r="N64" i="14" s="1" a="1"/>
  <c r="N64" i="14" s="1"/>
  <c r="P65" i="14"/>
  <c r="M65" i="14" s="1"/>
  <c r="N65" i="14" s="1" a="1"/>
  <c r="N65" i="14" s="1"/>
  <c r="P66" i="14"/>
  <c r="M66" i="14" s="1"/>
  <c r="N66" i="14" s="1" a="1"/>
  <c r="N66" i="14" s="1"/>
  <c r="P67" i="14"/>
  <c r="M67" i="14" s="1"/>
  <c r="N67" i="14" s="1" a="1"/>
  <c r="N67" i="14" s="1"/>
  <c r="P68" i="14"/>
  <c r="M68" i="14" s="1"/>
  <c r="N68" i="14" s="1" a="1"/>
  <c r="N68" i="14" s="1"/>
  <c r="P69" i="14"/>
  <c r="M69" i="14" s="1"/>
  <c r="N69" i="14" s="1" a="1"/>
  <c r="N69" i="14" s="1"/>
  <c r="P70" i="14"/>
  <c r="M70" i="14" s="1"/>
  <c r="N70" i="14" s="1" a="1"/>
  <c r="N70" i="14" s="1"/>
  <c r="P71" i="14"/>
  <c r="M71" i="14" s="1"/>
  <c r="N71" i="14" s="1" a="1"/>
  <c r="N71" i="14" s="1"/>
  <c r="P72" i="14"/>
  <c r="M72" i="14" s="1"/>
  <c r="N72" i="14" s="1" a="1"/>
  <c r="N72" i="14" s="1"/>
  <c r="P73" i="14"/>
  <c r="M73" i="14" s="1"/>
  <c r="N73" i="14" s="1" a="1"/>
  <c r="N73" i="14" s="1"/>
  <c r="P74" i="14"/>
  <c r="M74" i="14" s="1"/>
  <c r="N74" i="14" s="1" a="1"/>
  <c r="N74" i="14" s="1"/>
  <c r="P75" i="14"/>
  <c r="M75" i="14" s="1"/>
  <c r="N75" i="14" s="1" a="1"/>
  <c r="N75" i="14" s="1"/>
  <c r="P76" i="14"/>
  <c r="M76" i="14" s="1"/>
  <c r="N76" i="14" s="1" a="1"/>
  <c r="N76" i="14" s="1"/>
  <c r="P77" i="14"/>
  <c r="M77" i="14" s="1"/>
  <c r="N77" i="14" s="1" a="1"/>
  <c r="N77" i="14" s="1"/>
  <c r="P78" i="14"/>
  <c r="M78" i="14" s="1"/>
  <c r="N78" i="14" s="1" a="1"/>
  <c r="N78" i="14" s="1"/>
  <c r="P79" i="14"/>
  <c r="M79" i="14" s="1"/>
  <c r="N79" i="14" s="1" a="1"/>
  <c r="N79" i="14" s="1"/>
  <c r="P80" i="14"/>
  <c r="M80" i="14" s="1"/>
  <c r="N80" i="14" s="1" a="1"/>
  <c r="N80" i="14" s="1"/>
  <c r="P81" i="14"/>
  <c r="M81" i="14" s="1"/>
  <c r="N81" i="14" s="1" a="1"/>
  <c r="N81" i="14" s="1"/>
  <c r="P82" i="14"/>
  <c r="M82" i="14" s="1"/>
  <c r="N82" i="14" s="1" a="1"/>
  <c r="N82" i="14" s="1"/>
  <c r="P83" i="14"/>
  <c r="M83" i="14" s="1"/>
  <c r="N83" i="14" s="1" a="1"/>
  <c r="N83" i="14" s="1"/>
  <c r="P84" i="14"/>
  <c r="M84" i="14" s="1"/>
  <c r="N84" i="14" s="1" a="1"/>
  <c r="N84" i="14" s="1"/>
  <c r="BA12" i="23"/>
  <c r="BB12" i="23" s="1"/>
  <c r="BA9" i="23"/>
  <c r="BB9" i="23" s="1"/>
  <c r="BA10" i="23"/>
  <c r="BB10" i="23" s="1"/>
  <c r="BA11" i="23"/>
  <c r="BB11" i="23" s="1"/>
  <c r="BA13" i="23"/>
  <c r="BB13" i="23" s="1"/>
  <c r="P12" i="23"/>
  <c r="M12" i="23" s="1"/>
  <c r="N12" i="23" s="1" a="1"/>
  <c r="N12" i="23" s="1"/>
  <c r="P16" i="23"/>
  <c r="M16" i="23" s="1"/>
  <c r="N16" i="23" s="1" a="1"/>
  <c r="N16" i="23" s="1"/>
  <c r="P17" i="23"/>
  <c r="M17" i="23" s="1"/>
  <c r="N17" i="23" s="1" a="1"/>
  <c r="N17" i="23" s="1"/>
  <c r="P18" i="23"/>
  <c r="M18" i="23" s="1"/>
  <c r="N18" i="23" s="1" a="1"/>
  <c r="N18" i="23" s="1"/>
  <c r="P19" i="23"/>
  <c r="M19" i="23" s="1"/>
  <c r="N19" i="23" s="1" a="1"/>
  <c r="N19" i="23" s="1"/>
  <c r="P20" i="23"/>
  <c r="M20" i="23" s="1"/>
  <c r="N20" i="23" s="1" a="1"/>
  <c r="N20" i="23" s="1"/>
  <c r="P28" i="23"/>
  <c r="M28" i="23" s="1"/>
  <c r="N28" i="23" s="1" a="1"/>
  <c r="N28" i="23" s="1"/>
  <c r="P30" i="23"/>
  <c r="M30" i="23" s="1"/>
  <c r="N30" i="23" s="1" a="1"/>
  <c r="N30" i="23" s="1"/>
  <c r="P31" i="23"/>
  <c r="M31" i="23" s="1"/>
  <c r="N31" i="23" s="1" a="1"/>
  <c r="N31" i="23" s="1"/>
  <c r="P32" i="23"/>
  <c r="M32" i="23" s="1"/>
  <c r="N32" i="23" s="1" a="1"/>
  <c r="N32" i="23" s="1"/>
  <c r="P36" i="23"/>
  <c r="M36" i="23" s="1"/>
  <c r="N36" i="23" s="1" a="1"/>
  <c r="N36" i="23" s="1"/>
  <c r="P39" i="23"/>
  <c r="M39" i="23" s="1"/>
  <c r="N39" i="23" s="1" a="1"/>
  <c r="N39" i="23" s="1"/>
  <c r="P40" i="23"/>
  <c r="M40" i="23" s="1"/>
  <c r="N40" i="23" s="1" a="1"/>
  <c r="N40" i="23" s="1"/>
  <c r="P41" i="23"/>
  <c r="M41" i="23" s="1"/>
  <c r="N41" i="23" s="1" a="1"/>
  <c r="N41" i="23" s="1"/>
  <c r="P42" i="23"/>
  <c r="M42" i="23" s="1"/>
  <c r="N42" i="23" s="1" a="1"/>
  <c r="N42" i="23" s="1"/>
  <c r="P43" i="23"/>
  <c r="M43" i="23" s="1"/>
  <c r="N43" i="23" s="1" a="1"/>
  <c r="N43" i="23" s="1"/>
  <c r="P44" i="23"/>
  <c r="M44" i="23" s="1"/>
  <c r="N44" i="23" s="1" a="1"/>
  <c r="N44" i="23" s="1"/>
  <c r="P55" i="23"/>
  <c r="M55" i="23" s="1"/>
  <c r="N55" i="23" s="1" a="1"/>
  <c r="N55" i="23" s="1"/>
  <c r="P56" i="23"/>
  <c r="M56" i="23" s="1"/>
  <c r="N56" i="23" s="1" a="1"/>
  <c r="N56" i="23" s="1"/>
  <c r="P24" i="23"/>
  <c r="M24" i="23" s="1"/>
  <c r="N24" i="23" s="1" a="1"/>
  <c r="N24" i="23" s="1"/>
  <c r="P25" i="23"/>
  <c r="M25" i="23" s="1"/>
  <c r="N25" i="23" s="1" a="1"/>
  <c r="N25" i="23" s="1"/>
  <c r="P26" i="23"/>
  <c r="M26" i="23" s="1"/>
  <c r="N26" i="23" s="1" a="1"/>
  <c r="N26" i="23" s="1"/>
  <c r="P27" i="23"/>
  <c r="M27" i="23" s="1"/>
  <c r="N27" i="23" s="1" a="1"/>
  <c r="N27" i="23" s="1"/>
  <c r="P49" i="23"/>
  <c r="M49" i="23" s="1"/>
  <c r="N49" i="23" s="1" a="1"/>
  <c r="N49" i="23" s="1"/>
  <c r="P50" i="23"/>
  <c r="M50" i="23" s="1"/>
  <c r="N50" i="23" s="1" a="1"/>
  <c r="N50" i="23" s="1"/>
  <c r="P52" i="23"/>
  <c r="M52" i="23" s="1"/>
  <c r="N52" i="23" s="1" a="1"/>
  <c r="N52" i="23" s="1"/>
  <c r="P54" i="23"/>
  <c r="M54" i="23" s="1"/>
  <c r="N54" i="23" s="1" a="1"/>
  <c r="N54" i="23" s="1"/>
  <c r="P38" i="23"/>
  <c r="M38" i="23" s="1"/>
  <c r="N38" i="23" s="1" a="1"/>
  <c r="N38" i="23" s="1"/>
  <c r="P15" i="23"/>
  <c r="M15" i="23" s="1"/>
  <c r="N15" i="23" s="1" a="1"/>
  <c r="N15" i="23" s="1"/>
  <c r="P33" i="23"/>
  <c r="M33" i="23" s="1"/>
  <c r="N33" i="23" s="1" a="1"/>
  <c r="N33" i="23" s="1"/>
  <c r="P53" i="23"/>
  <c r="M53" i="23" s="1"/>
  <c r="N53" i="23" s="1" a="1"/>
  <c r="N53" i="23" s="1"/>
  <c r="P48" i="23"/>
  <c r="M48" i="23" s="1"/>
  <c r="N48" i="23" s="1" a="1"/>
  <c r="N48" i="23" s="1"/>
  <c r="P9" i="23"/>
  <c r="M9" i="23" s="1"/>
  <c r="N9" i="23" s="1" a="1"/>
  <c r="N9" i="23" s="1"/>
  <c r="P21" i="23"/>
  <c r="M21" i="23" s="1"/>
  <c r="N21" i="23" s="1" a="1"/>
  <c r="N21" i="23" s="1"/>
  <c r="P58" i="23"/>
  <c r="M58" i="23" s="1"/>
  <c r="N58" i="23" s="1" a="1"/>
  <c r="N58" i="23" s="1"/>
  <c r="P34" i="23"/>
  <c r="M34" i="23" s="1"/>
  <c r="N34" i="23" s="1" a="1"/>
  <c r="N34" i="23" s="1"/>
  <c r="P23" i="23"/>
  <c r="M23" i="23" s="1"/>
  <c r="N23" i="23" s="1" a="1"/>
  <c r="N23" i="23" s="1"/>
  <c r="P35" i="23"/>
  <c r="M35" i="23" s="1"/>
  <c r="N35" i="23" s="1" a="1"/>
  <c r="N35" i="23" s="1"/>
  <c r="P46" i="23"/>
  <c r="M46" i="23" s="1"/>
  <c r="N46" i="23" s="1" a="1"/>
  <c r="N46" i="23" s="1"/>
  <c r="P22" i="23"/>
  <c r="M22" i="23" s="1"/>
  <c r="N22" i="23" s="1" a="1"/>
  <c r="N22" i="23" s="1"/>
  <c r="P47" i="23"/>
  <c r="M47" i="23" s="1"/>
  <c r="N47" i="23" s="1" a="1"/>
  <c r="N47" i="23" s="1"/>
  <c r="P13" i="23"/>
  <c r="M13" i="23" s="1"/>
  <c r="N13" i="23" s="1" a="1"/>
  <c r="N13" i="23" s="1"/>
  <c r="P45" i="23"/>
  <c r="M45" i="23" s="1"/>
  <c r="N45" i="23" s="1" a="1"/>
  <c r="N45" i="23" s="1"/>
  <c r="P59" i="23"/>
  <c r="M59" i="23" s="1"/>
  <c r="N59" i="23" s="1" a="1"/>
  <c r="N59" i="23" s="1"/>
  <c r="P51" i="23"/>
  <c r="M51" i="23" s="1"/>
  <c r="N51" i="23" s="1" a="1"/>
  <c r="N51" i="23" s="1"/>
  <c r="P37" i="23"/>
  <c r="M37" i="23" s="1"/>
  <c r="N37" i="23" s="1" a="1"/>
  <c r="N37" i="23" s="1"/>
  <c r="P57" i="23"/>
  <c r="M57" i="23" s="1"/>
  <c r="N57" i="23" s="1" a="1"/>
  <c r="N57" i="23" s="1"/>
  <c r="P11" i="23"/>
  <c r="M11" i="23" s="1"/>
  <c r="N11" i="23" s="1" a="1"/>
  <c r="N11" i="23" s="1"/>
  <c r="P10" i="23"/>
  <c r="M10" i="23" s="1"/>
  <c r="N10" i="23" s="1" a="1"/>
  <c r="N10" i="23" s="1"/>
  <c r="P29" i="23"/>
  <c r="M29" i="23" s="1"/>
  <c r="N29" i="23" s="1" a="1"/>
  <c r="N29" i="23" s="1"/>
  <c r="P14" i="23"/>
  <c r="M14" i="23" s="1"/>
  <c r="N14" i="23" s="1" a="1"/>
  <c r="N14" i="23" s="1"/>
  <c r="P14" i="21"/>
  <c r="M14" i="21" s="1"/>
  <c r="N14" i="21" s="1" a="1"/>
  <c r="N14" i="21" s="1"/>
  <c r="P15" i="21"/>
  <c r="M15" i="21" s="1"/>
  <c r="N15" i="21" s="1" a="1"/>
  <c r="N15" i="21" s="1"/>
  <c r="P16" i="21"/>
  <c r="M16" i="21" s="1"/>
  <c r="N16" i="21" s="1" a="1"/>
  <c r="N16" i="21" s="1"/>
  <c r="P17" i="21"/>
  <c r="M17" i="21" s="1"/>
  <c r="N17" i="21" s="1" a="1"/>
  <c r="N17" i="21" s="1"/>
  <c r="P18" i="21"/>
  <c r="M18" i="21" s="1"/>
  <c r="N18" i="21" s="1" a="1"/>
  <c r="N18" i="21" s="1"/>
  <c r="P19" i="21"/>
  <c r="M19" i="21" s="1"/>
  <c r="N19" i="21" s="1" a="1"/>
  <c r="N19" i="21" s="1"/>
  <c r="P20" i="21"/>
  <c r="M20" i="21" s="1"/>
  <c r="N20" i="21" s="1" a="1"/>
  <c r="N20" i="21" s="1"/>
  <c r="P30" i="21"/>
  <c r="M30" i="21" s="1"/>
  <c r="N30" i="21" s="1" a="1"/>
  <c r="N30" i="21" s="1"/>
  <c r="P32" i="21"/>
  <c r="M32" i="21" s="1"/>
  <c r="N32" i="21" s="1" a="1"/>
  <c r="N32" i="21" s="1"/>
  <c r="P38" i="21"/>
  <c r="M38" i="21" s="1"/>
  <c r="N38" i="21" s="1" a="1"/>
  <c r="N38" i="21" s="1"/>
  <c r="P39" i="21"/>
  <c r="M39" i="21" s="1"/>
  <c r="N39" i="21" s="1" a="1"/>
  <c r="N39" i="21" s="1"/>
  <c r="P40" i="21"/>
  <c r="M40" i="21" s="1"/>
  <c r="N40" i="21" s="1" a="1"/>
  <c r="N40" i="21" s="1"/>
  <c r="P41" i="21"/>
  <c r="M41" i="21" s="1"/>
  <c r="N41" i="21" s="1" a="1"/>
  <c r="N41" i="21" s="1"/>
  <c r="P42" i="21"/>
  <c r="M42" i="21" s="1"/>
  <c r="N42" i="21" s="1" a="1"/>
  <c r="N42" i="21" s="1"/>
  <c r="P43" i="21"/>
  <c r="M43" i="21" s="1"/>
  <c r="N43" i="21" s="1" a="1"/>
  <c r="N43" i="21" s="1"/>
  <c r="P44" i="21"/>
  <c r="M44" i="21" s="1"/>
  <c r="N44" i="21" s="1" a="1"/>
  <c r="N44" i="21" s="1"/>
  <c r="P48" i="21"/>
  <c r="M48" i="21" s="1"/>
  <c r="N48" i="21" s="1" a="1"/>
  <c r="N48" i="21" s="1"/>
  <c r="P49" i="21"/>
  <c r="M49" i="21" s="1"/>
  <c r="N49" i="21" s="1" a="1"/>
  <c r="N49" i="21" s="1"/>
  <c r="P50" i="21"/>
  <c r="M50" i="21" s="1"/>
  <c r="N50" i="21" s="1" a="1"/>
  <c r="N50" i="21" s="1"/>
  <c r="P51" i="21"/>
  <c r="M51" i="21" s="1"/>
  <c r="N51" i="21" s="1" a="1"/>
  <c r="N51" i="21" s="1"/>
  <c r="P53" i="21"/>
  <c r="M53" i="21" s="1"/>
  <c r="N53" i="21" s="1" a="1"/>
  <c r="N53" i="21" s="1"/>
  <c r="P54" i="21"/>
  <c r="M54" i="21" s="1"/>
  <c r="N54" i="21" s="1" a="1"/>
  <c r="N54" i="21" s="1"/>
  <c r="P55" i="21"/>
  <c r="M55" i="21" s="1"/>
  <c r="N55" i="21" s="1" a="1"/>
  <c r="N55" i="21" s="1"/>
  <c r="P56" i="21"/>
  <c r="M56" i="21" s="1"/>
  <c r="N56" i="21" s="1" a="1"/>
  <c r="N56" i="21" s="1"/>
  <c r="P64" i="21"/>
  <c r="M64" i="21" s="1"/>
  <c r="N64" i="21" s="1" a="1"/>
  <c r="N64" i="21" s="1"/>
  <c r="P66" i="21"/>
  <c r="M66" i="21" s="1"/>
  <c r="N66" i="21" s="1" a="1"/>
  <c r="N66" i="21" s="1"/>
  <c r="P25" i="21"/>
  <c r="M25" i="21" s="1"/>
  <c r="N25" i="21" s="1" a="1"/>
  <c r="N25" i="21" s="1"/>
  <c r="P26" i="21"/>
  <c r="M26" i="21" s="1"/>
  <c r="N26" i="21" s="1" a="1"/>
  <c r="N26" i="21" s="1"/>
  <c r="P28" i="21"/>
  <c r="M28" i="21" s="1"/>
  <c r="N28" i="21" s="1" a="1"/>
  <c r="N28" i="21" s="1"/>
  <c r="P29" i="21"/>
  <c r="M29" i="21" s="1"/>
  <c r="N29" i="21" s="1" a="1"/>
  <c r="N29" i="21" s="1"/>
  <c r="P31" i="21"/>
  <c r="M31" i="21" s="1"/>
  <c r="N31" i="21" s="1" a="1"/>
  <c r="N31" i="21" s="1"/>
  <c r="P67" i="21"/>
  <c r="M67" i="21" s="1"/>
  <c r="N67" i="21" s="1" a="1"/>
  <c r="N67" i="21" s="1"/>
  <c r="P68" i="21"/>
  <c r="M68" i="21" s="1"/>
  <c r="N68" i="21" s="1" a="1"/>
  <c r="N68" i="21" s="1"/>
  <c r="BA13" i="21"/>
  <c r="BB13" i="21" s="1"/>
  <c r="BA9" i="21"/>
  <c r="BB9" i="21" s="1"/>
  <c r="BA10" i="21"/>
  <c r="BB10" i="21" s="1"/>
  <c r="BA11" i="21"/>
  <c r="BB11" i="21" s="1"/>
  <c r="BA12" i="21"/>
  <c r="BB12" i="21" s="1"/>
  <c r="BA14" i="21"/>
  <c r="BB14" i="21" s="1"/>
  <c r="P61" i="21"/>
  <c r="M61" i="21" s="1"/>
  <c r="N61" i="21" s="1" a="1"/>
  <c r="N61" i="21" s="1"/>
  <c r="P47" i="21"/>
  <c r="M47" i="21" s="1"/>
  <c r="N47" i="21" s="1" a="1"/>
  <c r="N47" i="21" s="1"/>
  <c r="P57" i="21"/>
  <c r="M57" i="21" s="1"/>
  <c r="N57" i="21" s="1" a="1"/>
  <c r="N57" i="21" s="1"/>
  <c r="P12" i="21"/>
  <c r="M12" i="21" s="1"/>
  <c r="N12" i="21" s="1" a="1"/>
  <c r="N12" i="21" s="1"/>
  <c r="P58" i="21"/>
  <c r="M58" i="21" s="1"/>
  <c r="N58" i="21" s="1" a="1"/>
  <c r="N58" i="21" s="1"/>
  <c r="P36" i="21"/>
  <c r="M36" i="21" s="1"/>
  <c r="N36" i="21" s="1" a="1"/>
  <c r="N36" i="21" s="1"/>
  <c r="P10" i="21"/>
  <c r="M10" i="21" s="1"/>
  <c r="N10" i="21" s="1" a="1"/>
  <c r="N10" i="21" s="1"/>
  <c r="P60" i="21"/>
  <c r="M60" i="21" s="1"/>
  <c r="N60" i="21" s="1" a="1"/>
  <c r="N60" i="21" s="1"/>
  <c r="P45" i="21"/>
  <c r="M45" i="21" s="1"/>
  <c r="N45" i="21" s="1" a="1"/>
  <c r="N45" i="21" s="1"/>
  <c r="P37" i="21"/>
  <c r="M37" i="21" s="1"/>
  <c r="N37" i="21" s="1" a="1"/>
  <c r="N37" i="21" s="1"/>
  <c r="P9" i="21"/>
  <c r="M9" i="21" s="1"/>
  <c r="N9" i="21" s="1" a="1"/>
  <c r="N9" i="21" s="1"/>
  <c r="P27" i="21"/>
  <c r="M27" i="21" s="1"/>
  <c r="N27" i="21" s="1" a="1"/>
  <c r="N27" i="21" s="1"/>
  <c r="P21" i="21"/>
  <c r="M21" i="21" s="1"/>
  <c r="N21" i="21" s="1" a="1"/>
  <c r="N21" i="21" s="1"/>
  <c r="P65" i="21"/>
  <c r="M65" i="21" s="1"/>
  <c r="N65" i="21" s="1" a="1"/>
  <c r="N65" i="21" s="1"/>
  <c r="P59" i="21"/>
  <c r="M59" i="21" s="1"/>
  <c r="N59" i="21" s="1" a="1"/>
  <c r="N59" i="21" s="1"/>
  <c r="P24" i="21"/>
  <c r="M24" i="21" s="1"/>
  <c r="N24" i="21" s="1" a="1"/>
  <c r="N24" i="21" s="1"/>
  <c r="P13" i="21"/>
  <c r="M13" i="21" s="1"/>
  <c r="N13" i="21" s="1" a="1"/>
  <c r="N13" i="21" s="1"/>
  <c r="P63" i="21"/>
  <c r="M63" i="21" s="1"/>
  <c r="N63" i="21" s="1" a="1"/>
  <c r="N63" i="21" s="1"/>
  <c r="P22" i="21"/>
  <c r="M22" i="21" s="1"/>
  <c r="N22" i="21" s="1" a="1"/>
  <c r="N22" i="21" s="1"/>
  <c r="P11" i="21"/>
  <c r="M11" i="21" s="1"/>
  <c r="N11" i="21" s="1" a="1"/>
  <c r="N11" i="21" s="1"/>
  <c r="P23" i="21"/>
  <c r="M23" i="21" s="1"/>
  <c r="N23" i="21" s="1" a="1"/>
  <c r="N23" i="21" s="1"/>
  <c r="P46" i="21"/>
  <c r="M46" i="21" s="1"/>
  <c r="N46" i="21" s="1" a="1"/>
  <c r="N46" i="21" s="1"/>
  <c r="P52" i="21"/>
  <c r="M52" i="21" s="1"/>
  <c r="N52" i="21" s="1" a="1"/>
  <c r="N52" i="21" s="1"/>
  <c r="P34" i="21"/>
  <c r="M34" i="21" s="1"/>
  <c r="N34" i="21" s="1" a="1"/>
  <c r="N34" i="21" s="1"/>
  <c r="P33" i="21"/>
  <c r="M33" i="21" s="1"/>
  <c r="N33" i="21" s="1" a="1"/>
  <c r="N33" i="21" s="1"/>
  <c r="P35" i="21"/>
  <c r="M35" i="21" s="1"/>
  <c r="N35" i="21" s="1" a="1"/>
  <c r="N35" i="21" s="1"/>
  <c r="P62" i="21"/>
  <c r="M62" i="21" s="1"/>
  <c r="N62" i="21" s="1" a="1"/>
  <c r="N62" i="21" s="1"/>
  <c r="P51" i="18"/>
  <c r="C79" i="18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C23" i="23"/>
  <c r="D23" i="23" s="1"/>
  <c r="C48" i="23"/>
  <c r="D48" i="23" s="1"/>
  <c r="C8" i="23"/>
  <c r="D8" i="23" s="1"/>
  <c r="C51" i="23"/>
  <c r="C19" i="23"/>
  <c r="C13" i="23"/>
  <c r="C18" i="23"/>
  <c r="D18" i="23" s="1"/>
  <c r="C10" i="23"/>
  <c r="C4" i="23"/>
  <c r="D4" i="23" s="1"/>
  <c r="C31" i="23"/>
  <c r="D31" i="23" s="1"/>
  <c r="C46" i="23"/>
  <c r="C25" i="23"/>
  <c r="D25" i="23" s="1"/>
  <c r="C5" i="23"/>
  <c r="D5" i="23" s="1"/>
  <c r="C45" i="23"/>
  <c r="D45" i="23" s="1"/>
  <c r="C38" i="23"/>
  <c r="D38" i="23" s="1"/>
  <c r="C7" i="23"/>
  <c r="C39" i="23"/>
  <c r="C50" i="23"/>
  <c r="C22" i="23"/>
  <c r="D22" i="23" s="1"/>
  <c r="C36" i="23"/>
  <c r="C41" i="23"/>
  <c r="D41" i="23" s="1"/>
  <c r="C53" i="23"/>
  <c r="D53" i="23" s="1"/>
  <c r="C29" i="23"/>
  <c r="C34" i="23"/>
  <c r="D34" i="23" s="1"/>
  <c r="C40" i="23"/>
  <c r="D40" i="23" s="1"/>
  <c r="C28" i="23"/>
  <c r="D28" i="23" s="1"/>
  <c r="C16" i="23"/>
  <c r="D16" i="23" s="1"/>
  <c r="C21" i="23"/>
  <c r="C37" i="23"/>
  <c r="C20" i="23"/>
  <c r="C17" i="23"/>
  <c r="D17" i="23" s="1"/>
  <c r="C35" i="23"/>
  <c r="C24" i="23"/>
  <c r="D24" i="23" s="1"/>
  <c r="C43" i="23"/>
  <c r="D43" i="23" s="1"/>
  <c r="C15" i="23"/>
  <c r="C27" i="23"/>
  <c r="D27" i="23" s="1"/>
  <c r="C52" i="23"/>
  <c r="D52" i="23" s="1"/>
  <c r="C3" i="23"/>
  <c r="D3" i="23" s="1"/>
  <c r="C11" i="23"/>
  <c r="D11" i="23" s="1"/>
  <c r="C6" i="23"/>
  <c r="C47" i="23"/>
  <c r="C42" i="23"/>
  <c r="C14" i="23"/>
  <c r="D14" i="23" s="1"/>
  <c r="C32" i="23"/>
  <c r="C30" i="23"/>
  <c r="D30" i="23" s="1"/>
  <c r="C12" i="23"/>
  <c r="D12" i="23" s="1"/>
  <c r="C49" i="23"/>
  <c r="C33" i="23"/>
  <c r="D33" i="23" s="1"/>
  <c r="C44" i="23"/>
  <c r="D44" i="23" s="1"/>
  <c r="C26" i="23"/>
  <c r="D26" i="23" s="1"/>
  <c r="C9" i="23"/>
  <c r="D9" i="23" s="1"/>
  <c r="C66" i="21"/>
  <c r="D66" i="21" s="1"/>
  <c r="C65" i="21"/>
  <c r="D65" i="21" s="1"/>
  <c r="C64" i="21"/>
  <c r="D64" i="21" s="1"/>
  <c r="C63" i="21"/>
  <c r="D63" i="21" s="1"/>
  <c r="C62" i="21"/>
  <c r="C61" i="21"/>
  <c r="C60" i="21"/>
  <c r="C59" i="21"/>
  <c r="C58" i="21"/>
  <c r="C57" i="21"/>
  <c r="D57" i="21" s="1"/>
  <c r="C56" i="21"/>
  <c r="D56" i="21" s="1"/>
  <c r="C55" i="21"/>
  <c r="D55" i="21" s="1"/>
  <c r="C54" i="21"/>
  <c r="D54" i="21" s="1"/>
  <c r="C53" i="21"/>
  <c r="D53" i="21" s="1"/>
  <c r="C52" i="21"/>
  <c r="D52" i="21" s="1"/>
  <c r="C51" i="21"/>
  <c r="D51" i="21" s="1"/>
  <c r="C50" i="21"/>
  <c r="C49" i="21"/>
  <c r="C48" i="21"/>
  <c r="C47" i="21"/>
  <c r="C46" i="21"/>
  <c r="C45" i="21"/>
  <c r="D45" i="21" s="1"/>
  <c r="C44" i="21"/>
  <c r="D44" i="21" s="1"/>
  <c r="C43" i="21"/>
  <c r="D43" i="21" s="1"/>
  <c r="C42" i="21"/>
  <c r="D42" i="21" s="1"/>
  <c r="C41" i="21"/>
  <c r="D41" i="21" s="1"/>
  <c r="C40" i="21"/>
  <c r="D40" i="21" s="1"/>
  <c r="C39" i="21"/>
  <c r="D39" i="21" s="1"/>
  <c r="C38" i="21"/>
  <c r="C37" i="21"/>
  <c r="C36" i="21"/>
  <c r="C35" i="21"/>
  <c r="C34" i="21"/>
  <c r="C33" i="21"/>
  <c r="D33" i="21" s="1"/>
  <c r="C32" i="21"/>
  <c r="D32" i="21" s="1"/>
  <c r="C31" i="21"/>
  <c r="D31" i="21" s="1"/>
  <c r="C30" i="21"/>
  <c r="D30" i="21" s="1"/>
  <c r="C29" i="21"/>
  <c r="D29" i="21" s="1"/>
  <c r="C28" i="21"/>
  <c r="D28" i="21" s="1"/>
  <c r="C27" i="21"/>
  <c r="D27" i="21" s="1"/>
  <c r="C26" i="21"/>
  <c r="C25" i="21"/>
  <c r="C24" i="21"/>
  <c r="C23" i="21"/>
  <c r="C22" i="21"/>
  <c r="C21" i="21"/>
  <c r="D21" i="21" s="1"/>
  <c r="C20" i="21"/>
  <c r="D20" i="21" s="1"/>
  <c r="C19" i="21"/>
  <c r="D19" i="21" s="1"/>
  <c r="C18" i="21"/>
  <c r="D18" i="21" s="1"/>
  <c r="C17" i="21"/>
  <c r="D17" i="21" s="1"/>
  <c r="C16" i="21"/>
  <c r="D16" i="21" s="1"/>
  <c r="C15" i="21"/>
  <c r="D15" i="21" s="1"/>
  <c r="C14" i="21"/>
  <c r="C13" i="21"/>
  <c r="C12" i="21"/>
  <c r="C11" i="21"/>
  <c r="C10" i="21"/>
  <c r="C9" i="21"/>
  <c r="D9" i="21" s="1"/>
  <c r="C8" i="21"/>
  <c r="D8" i="21" s="1"/>
  <c r="C7" i="21"/>
  <c r="D7" i="21" s="1"/>
  <c r="P52" i="18"/>
  <c r="C78" i="18"/>
  <c r="P41" i="18"/>
  <c r="C77" i="18"/>
  <c r="P12" i="18"/>
  <c r="C76" i="18"/>
  <c r="P49" i="18"/>
  <c r="C75" i="18"/>
  <c r="D75" i="18" s="1"/>
  <c r="P34" i="18"/>
  <c r="M34" i="18" s="1"/>
  <c r="N34" i="18" s="1" a="1"/>
  <c r="N34" i="18" s="1"/>
  <c r="C74" i="18"/>
  <c r="P29" i="18"/>
  <c r="C73" i="18"/>
  <c r="P36" i="18"/>
  <c r="C72" i="18"/>
  <c r="P75" i="18"/>
  <c r="C71" i="18"/>
  <c r="D71" i="18" s="1"/>
  <c r="P19" i="18"/>
  <c r="C70" i="18"/>
  <c r="D70" i="18" s="1"/>
  <c r="P23" i="18"/>
  <c r="C69" i="18"/>
  <c r="P42" i="18"/>
  <c r="C68" i="18"/>
  <c r="P61" i="18"/>
  <c r="C67" i="18"/>
  <c r="D67" i="18" s="1"/>
  <c r="P39" i="18"/>
  <c r="C66" i="18"/>
  <c r="P32" i="18"/>
  <c r="C65" i="18"/>
  <c r="P78" i="18"/>
  <c r="C64" i="18"/>
  <c r="P79" i="18"/>
  <c r="C63" i="18"/>
  <c r="D63" i="18" s="1"/>
  <c r="P25" i="18"/>
  <c r="C62" i="18"/>
  <c r="P22" i="18"/>
  <c r="C61" i="18"/>
  <c r="P47" i="18"/>
  <c r="C60" i="18"/>
  <c r="P9" i="18"/>
  <c r="C59" i="18"/>
  <c r="D59" i="18" s="1"/>
  <c r="P30" i="18"/>
  <c r="C58" i="18"/>
  <c r="D58" i="18" s="1"/>
  <c r="P11" i="18"/>
  <c r="C57" i="18"/>
  <c r="P67" i="18"/>
  <c r="C56" i="18"/>
  <c r="P10" i="18"/>
  <c r="C55" i="18"/>
  <c r="P13" i="18"/>
  <c r="C54" i="18"/>
  <c r="P16" i="18"/>
  <c r="C53" i="18"/>
  <c r="P56" i="18"/>
  <c r="C52" i="18"/>
  <c r="P58" i="18"/>
  <c r="C51" i="18"/>
  <c r="D51" i="18" s="1"/>
  <c r="P65" i="18"/>
  <c r="C50" i="18"/>
  <c r="P59" i="18"/>
  <c r="C49" i="18"/>
  <c r="P17" i="18"/>
  <c r="C48" i="18"/>
  <c r="P76" i="18"/>
  <c r="C47" i="18"/>
  <c r="D47" i="18" s="1"/>
  <c r="P28" i="18"/>
  <c r="C46" i="18"/>
  <c r="D46" i="18" s="1"/>
  <c r="P63" i="18"/>
  <c r="C45" i="18"/>
  <c r="P66" i="18"/>
  <c r="C44" i="18"/>
  <c r="P26" i="18"/>
  <c r="C43" i="18"/>
  <c r="P73" i="18"/>
  <c r="C42" i="18"/>
  <c r="P44" i="18"/>
  <c r="C41" i="18"/>
  <c r="P45" i="18"/>
  <c r="C40" i="18"/>
  <c r="D40" i="18" s="1"/>
  <c r="P70" i="18"/>
  <c r="C39" i="18"/>
  <c r="D39" i="18" s="1"/>
  <c r="P55" i="18"/>
  <c r="C38" i="18"/>
  <c r="P27" i="18"/>
  <c r="C37" i="18"/>
  <c r="P21" i="18"/>
  <c r="C36" i="18"/>
  <c r="P74" i="18"/>
  <c r="C35" i="18"/>
  <c r="D35" i="18" s="1"/>
  <c r="P33" i="18"/>
  <c r="C34" i="18"/>
  <c r="P62" i="18"/>
  <c r="C33" i="18"/>
  <c r="P14" i="18"/>
  <c r="C32" i="18"/>
  <c r="D32" i="18" s="1"/>
  <c r="P31" i="18"/>
  <c r="C31" i="18"/>
  <c r="P68" i="18"/>
  <c r="C30" i="18"/>
  <c r="P46" i="18"/>
  <c r="C29" i="18"/>
  <c r="P18" i="18"/>
  <c r="C28" i="18"/>
  <c r="D28" i="18" s="1"/>
  <c r="P43" i="18"/>
  <c r="C27" i="18"/>
  <c r="D27" i="18" s="1"/>
  <c r="P40" i="18"/>
  <c r="C26" i="18"/>
  <c r="P15" i="18"/>
  <c r="C25" i="18"/>
  <c r="P69" i="18"/>
  <c r="C24" i="18"/>
  <c r="P38" i="18"/>
  <c r="C23" i="18"/>
  <c r="D23" i="18" s="1"/>
  <c r="P64" i="18"/>
  <c r="C22" i="18"/>
  <c r="P50" i="18"/>
  <c r="C21" i="18"/>
  <c r="P35" i="18"/>
  <c r="C20" i="18"/>
  <c r="D20" i="18" s="1"/>
  <c r="P24" i="18"/>
  <c r="C19" i="18"/>
  <c r="P57" i="18"/>
  <c r="M57" i="18"/>
  <c r="N57" i="18" s="1" a="1"/>
  <c r="N57" i="18" s="1"/>
  <c r="C18" i="18"/>
  <c r="P20" i="18"/>
  <c r="C17" i="18"/>
  <c r="BA16" i="18"/>
  <c r="P48" i="18"/>
  <c r="C16" i="18"/>
  <c r="D16" i="18" s="1"/>
  <c r="BA15" i="18"/>
  <c r="P53" i="18"/>
  <c r="C15" i="18"/>
  <c r="BA14" i="18"/>
  <c r="P71" i="18"/>
  <c r="C14" i="18"/>
  <c r="BA13" i="18"/>
  <c r="P72" i="18"/>
  <c r="C13" i="18"/>
  <c r="BA12" i="18"/>
  <c r="P60" i="18"/>
  <c r="C12" i="18"/>
  <c r="BA11" i="18"/>
  <c r="P77" i="18"/>
  <c r="C11" i="18"/>
  <c r="BA10" i="18"/>
  <c r="P37" i="18"/>
  <c r="C10" i="18"/>
  <c r="D10" i="18" s="1"/>
  <c r="BA9" i="18"/>
  <c r="P54" i="18"/>
  <c r="C9" i="18"/>
  <c r="D9" i="18" s="1"/>
  <c r="C91" i="10"/>
  <c r="D91" i="10" s="1"/>
  <c r="B91" i="10"/>
  <c r="C90" i="10"/>
  <c r="D90" i="10" s="1"/>
  <c r="P89" i="10"/>
  <c r="M89" i="10" s="1"/>
  <c r="N89" i="10" s="1" a="1"/>
  <c r="N89" i="10" s="1"/>
  <c r="C89" i="10"/>
  <c r="D89" i="10" s="1"/>
  <c r="P88" i="10"/>
  <c r="M88" i="10" s="1"/>
  <c r="N88" i="10" s="1" a="1"/>
  <c r="N88" i="10" s="1"/>
  <c r="C88" i="10"/>
  <c r="D88" i="10" s="1"/>
  <c r="P87" i="10"/>
  <c r="M87" i="10" s="1"/>
  <c r="N87" i="10" s="1" a="1"/>
  <c r="N87" i="10" s="1"/>
  <c r="C87" i="10"/>
  <c r="D87" i="10" s="1"/>
  <c r="P86" i="10"/>
  <c r="M86" i="10" s="1"/>
  <c r="N86" i="10" s="1" a="1"/>
  <c r="N86" i="10" s="1"/>
  <c r="C86" i="10"/>
  <c r="D86" i="10" s="1"/>
  <c r="P85" i="10"/>
  <c r="M85" i="10" s="1"/>
  <c r="N85" i="10" s="1" a="1"/>
  <c r="N85" i="10" s="1"/>
  <c r="C85" i="10"/>
  <c r="D85" i="10" s="1"/>
  <c r="P84" i="10"/>
  <c r="M84" i="10" s="1"/>
  <c r="N84" i="10" s="1" a="1"/>
  <c r="N84" i="10" s="1"/>
  <c r="C84" i="10"/>
  <c r="D84" i="10" s="1"/>
  <c r="P83" i="10"/>
  <c r="M83" i="10"/>
  <c r="N83" i="10" s="1" a="1"/>
  <c r="N83" i="10" s="1"/>
  <c r="C83" i="10"/>
  <c r="D83" i="10" s="1"/>
  <c r="P82" i="10"/>
  <c r="M82" i="10" s="1"/>
  <c r="N82" i="10" s="1" a="1"/>
  <c r="N82" i="10" s="1"/>
  <c r="C82" i="10"/>
  <c r="D82" i="10" s="1"/>
  <c r="P81" i="10"/>
  <c r="M81" i="10" s="1"/>
  <c r="N81" i="10" s="1" a="1"/>
  <c r="N81" i="10" s="1"/>
  <c r="C81" i="10"/>
  <c r="D81" i="10" s="1"/>
  <c r="P80" i="10"/>
  <c r="M80" i="10" s="1"/>
  <c r="N80" i="10" s="1" a="1"/>
  <c r="N80" i="10" s="1"/>
  <c r="C80" i="10"/>
  <c r="D80" i="10" s="1"/>
  <c r="P79" i="10"/>
  <c r="M79" i="10" s="1"/>
  <c r="N79" i="10" s="1" a="1"/>
  <c r="N79" i="10" s="1"/>
  <c r="C79" i="10"/>
  <c r="D79" i="10" s="1"/>
  <c r="P78" i="10"/>
  <c r="M78" i="10" s="1"/>
  <c r="N78" i="10" s="1" a="1"/>
  <c r="N78" i="10" s="1"/>
  <c r="C78" i="10"/>
  <c r="D78" i="10" s="1"/>
  <c r="P77" i="10"/>
  <c r="M77" i="10" s="1"/>
  <c r="N77" i="10" s="1" a="1"/>
  <c r="N77" i="10" s="1"/>
  <c r="C77" i="10"/>
  <c r="D77" i="10" s="1"/>
  <c r="P76" i="10"/>
  <c r="M76" i="10" s="1"/>
  <c r="N76" i="10" s="1" a="1"/>
  <c r="N76" i="10" s="1"/>
  <c r="C76" i="10"/>
  <c r="D76" i="10" s="1"/>
  <c r="P75" i="10"/>
  <c r="M75" i="10" s="1"/>
  <c r="N75" i="10" s="1" a="1"/>
  <c r="N75" i="10" s="1"/>
  <c r="C75" i="10"/>
  <c r="D75" i="10" s="1"/>
  <c r="P74" i="10"/>
  <c r="M74" i="10" s="1"/>
  <c r="N74" i="10" s="1" a="1"/>
  <c r="N74" i="10" s="1"/>
  <c r="C74" i="10"/>
  <c r="D74" i="10" s="1"/>
  <c r="P73" i="10"/>
  <c r="M73" i="10" s="1"/>
  <c r="N73" i="10" s="1" a="1"/>
  <c r="N73" i="10" s="1"/>
  <c r="C73" i="10"/>
  <c r="D73" i="10" s="1"/>
  <c r="P72" i="10"/>
  <c r="M72" i="10" s="1"/>
  <c r="N72" i="10" s="1" a="1"/>
  <c r="N72" i="10" s="1"/>
  <c r="C72" i="10"/>
  <c r="D72" i="10" s="1"/>
  <c r="P71" i="10"/>
  <c r="M71" i="10" s="1"/>
  <c r="N71" i="10" s="1" a="1"/>
  <c r="N71" i="10" s="1"/>
  <c r="C71" i="10"/>
  <c r="D71" i="10" s="1"/>
  <c r="P70" i="10"/>
  <c r="M70" i="10" s="1"/>
  <c r="N70" i="10" s="1" a="1"/>
  <c r="N70" i="10" s="1"/>
  <c r="C70" i="10"/>
  <c r="D70" i="10" s="1"/>
  <c r="P69" i="10"/>
  <c r="M69" i="10" s="1"/>
  <c r="N69" i="10" s="1" a="1"/>
  <c r="N69" i="10" s="1"/>
  <c r="C69" i="10"/>
  <c r="D69" i="10" s="1"/>
  <c r="P68" i="10"/>
  <c r="M68" i="10" s="1"/>
  <c r="N68" i="10" s="1" a="1"/>
  <c r="N68" i="10" s="1"/>
  <c r="C68" i="10"/>
  <c r="D68" i="10" s="1"/>
  <c r="P67" i="10"/>
  <c r="M67" i="10" s="1"/>
  <c r="N67" i="10" s="1" a="1"/>
  <c r="N67" i="10" s="1"/>
  <c r="C67" i="10"/>
  <c r="D67" i="10" s="1"/>
  <c r="P66" i="10"/>
  <c r="M66" i="10" s="1"/>
  <c r="N66" i="10" s="1" a="1"/>
  <c r="N66" i="10" s="1"/>
  <c r="C66" i="10"/>
  <c r="D66" i="10" s="1"/>
  <c r="P65" i="10"/>
  <c r="M65" i="10" s="1"/>
  <c r="N65" i="10" s="1" a="1"/>
  <c r="N65" i="10" s="1"/>
  <c r="C65" i="10"/>
  <c r="D65" i="10" s="1"/>
  <c r="P64" i="10"/>
  <c r="M64" i="10" s="1"/>
  <c r="N64" i="10" s="1" a="1"/>
  <c r="N64" i="10" s="1"/>
  <c r="C64" i="10"/>
  <c r="D64" i="10" s="1"/>
  <c r="P63" i="10"/>
  <c r="M63" i="10" s="1"/>
  <c r="N63" i="10" s="1" a="1"/>
  <c r="N63" i="10" s="1"/>
  <c r="C63" i="10"/>
  <c r="D63" i="10" s="1"/>
  <c r="P62" i="10"/>
  <c r="M62" i="10" s="1"/>
  <c r="N62" i="10" s="1" a="1"/>
  <c r="N62" i="10" s="1"/>
  <c r="C62" i="10"/>
  <c r="D62" i="10" s="1"/>
  <c r="P61" i="10"/>
  <c r="M61" i="10" s="1"/>
  <c r="N61" i="10" s="1" a="1"/>
  <c r="N61" i="10" s="1"/>
  <c r="C61" i="10"/>
  <c r="D61" i="10" s="1"/>
  <c r="P60" i="10"/>
  <c r="M60" i="10" s="1"/>
  <c r="N60" i="10" s="1" a="1"/>
  <c r="N60" i="10" s="1"/>
  <c r="C60" i="10"/>
  <c r="D60" i="10" s="1"/>
  <c r="P59" i="10"/>
  <c r="M59" i="10" s="1"/>
  <c r="N59" i="10" s="1" a="1"/>
  <c r="N59" i="10" s="1"/>
  <c r="C59" i="10"/>
  <c r="D59" i="10" s="1"/>
  <c r="P58" i="10"/>
  <c r="M58" i="10" s="1"/>
  <c r="N58" i="10" s="1" a="1"/>
  <c r="N58" i="10" s="1"/>
  <c r="C58" i="10"/>
  <c r="D58" i="10" s="1"/>
  <c r="P57" i="10"/>
  <c r="M57" i="10" s="1"/>
  <c r="N57" i="10" s="1" a="1"/>
  <c r="N57" i="10" s="1"/>
  <c r="C57" i="10"/>
  <c r="D57" i="10" s="1"/>
  <c r="P56" i="10"/>
  <c r="M56" i="10" s="1"/>
  <c r="N56" i="10" s="1" a="1"/>
  <c r="N56" i="10" s="1"/>
  <c r="C56" i="10"/>
  <c r="D56" i="10" s="1"/>
  <c r="P55" i="10"/>
  <c r="M55" i="10" s="1"/>
  <c r="N55" i="10" s="1" a="1"/>
  <c r="N55" i="10" s="1"/>
  <c r="C55" i="10"/>
  <c r="D55" i="10" s="1"/>
  <c r="P54" i="10"/>
  <c r="M54" i="10" s="1"/>
  <c r="N54" i="10" s="1" a="1"/>
  <c r="N54" i="10" s="1"/>
  <c r="C54" i="10"/>
  <c r="D54" i="10" s="1"/>
  <c r="P53" i="10"/>
  <c r="M53" i="10" s="1"/>
  <c r="N53" i="10" s="1" a="1"/>
  <c r="N53" i="10" s="1"/>
  <c r="C53" i="10"/>
  <c r="D53" i="10" s="1"/>
  <c r="P52" i="10"/>
  <c r="M52" i="10" s="1"/>
  <c r="N52" i="10" s="1" a="1"/>
  <c r="N52" i="10" s="1"/>
  <c r="C52" i="10"/>
  <c r="D52" i="10" s="1"/>
  <c r="P51" i="10"/>
  <c r="M51" i="10"/>
  <c r="N51" i="10" s="1" a="1"/>
  <c r="N51" i="10" s="1"/>
  <c r="C51" i="10"/>
  <c r="D51" i="10" s="1"/>
  <c r="P50" i="10"/>
  <c r="M50" i="10" s="1"/>
  <c r="N50" i="10" s="1" a="1"/>
  <c r="N50" i="10" s="1"/>
  <c r="C50" i="10"/>
  <c r="D50" i="10" s="1"/>
  <c r="P49" i="10"/>
  <c r="M49" i="10" s="1"/>
  <c r="N49" i="10" s="1" a="1"/>
  <c r="N49" i="10" s="1"/>
  <c r="C49" i="10"/>
  <c r="D49" i="10" s="1"/>
  <c r="P48" i="10"/>
  <c r="M48" i="10" s="1"/>
  <c r="N48" i="10" s="1" a="1"/>
  <c r="N48" i="10" s="1"/>
  <c r="C48" i="10"/>
  <c r="D48" i="10" s="1"/>
  <c r="P47" i="10"/>
  <c r="M47" i="10" s="1"/>
  <c r="N47" i="10" s="1" a="1"/>
  <c r="N47" i="10" s="1"/>
  <c r="C47" i="10"/>
  <c r="D47" i="10" s="1"/>
  <c r="P46" i="10"/>
  <c r="M46" i="10" s="1"/>
  <c r="N46" i="10" s="1" a="1"/>
  <c r="N46" i="10" s="1"/>
  <c r="C46" i="10"/>
  <c r="D46" i="10" s="1"/>
  <c r="P45" i="10"/>
  <c r="M45" i="10" s="1"/>
  <c r="N45" i="10" s="1" a="1"/>
  <c r="N45" i="10" s="1"/>
  <c r="C45" i="10"/>
  <c r="D45" i="10" s="1"/>
  <c r="P44" i="10"/>
  <c r="M44" i="10" s="1"/>
  <c r="N44" i="10" s="1" a="1"/>
  <c r="N44" i="10" s="1"/>
  <c r="C44" i="10"/>
  <c r="D44" i="10" s="1"/>
  <c r="P43" i="10"/>
  <c r="M43" i="10" s="1"/>
  <c r="N43" i="10" s="1" a="1"/>
  <c r="N43" i="10" s="1"/>
  <c r="C43" i="10"/>
  <c r="D43" i="10" s="1"/>
  <c r="P42" i="10"/>
  <c r="M42" i="10" s="1"/>
  <c r="N42" i="10" s="1" a="1"/>
  <c r="N42" i="10" s="1"/>
  <c r="C42" i="10"/>
  <c r="D42" i="10" s="1"/>
  <c r="P41" i="10"/>
  <c r="M41" i="10" s="1"/>
  <c r="N41" i="10" s="1" a="1"/>
  <c r="N41" i="10" s="1"/>
  <c r="C41" i="10"/>
  <c r="D41" i="10" s="1"/>
  <c r="P40" i="10"/>
  <c r="M40" i="10" s="1"/>
  <c r="N40" i="10" s="1" a="1"/>
  <c r="N40" i="10" s="1"/>
  <c r="C40" i="10"/>
  <c r="D40" i="10" s="1"/>
  <c r="P39" i="10"/>
  <c r="M39" i="10" s="1"/>
  <c r="N39" i="10" s="1" a="1"/>
  <c r="N39" i="10" s="1"/>
  <c r="C39" i="10"/>
  <c r="D39" i="10" s="1"/>
  <c r="P38" i="10"/>
  <c r="M38" i="10" s="1"/>
  <c r="N38" i="10" s="1" a="1"/>
  <c r="N38" i="10" s="1"/>
  <c r="C38" i="10"/>
  <c r="D38" i="10" s="1"/>
  <c r="P37" i="10"/>
  <c r="M37" i="10" s="1"/>
  <c r="N37" i="10" s="1" a="1"/>
  <c r="N37" i="10" s="1"/>
  <c r="C37" i="10"/>
  <c r="D37" i="10" s="1"/>
  <c r="P36" i="10"/>
  <c r="M36" i="10" s="1"/>
  <c r="N36" i="10" s="1" a="1"/>
  <c r="N36" i="10" s="1"/>
  <c r="C36" i="10"/>
  <c r="D36" i="10" s="1"/>
  <c r="P35" i="10"/>
  <c r="M35" i="10" s="1"/>
  <c r="N35" i="10" s="1" a="1"/>
  <c r="N35" i="10" s="1"/>
  <c r="C35" i="10"/>
  <c r="D35" i="10" s="1"/>
  <c r="P34" i="10"/>
  <c r="M34" i="10" s="1"/>
  <c r="N34" i="10" s="1" a="1"/>
  <c r="N34" i="10" s="1"/>
  <c r="C34" i="10"/>
  <c r="D34" i="10" s="1"/>
  <c r="P33" i="10"/>
  <c r="M33" i="10" s="1"/>
  <c r="N33" i="10" s="1" a="1"/>
  <c r="N33" i="10" s="1"/>
  <c r="C33" i="10"/>
  <c r="D33" i="10" s="1"/>
  <c r="P32" i="10"/>
  <c r="M32" i="10" s="1"/>
  <c r="N32" i="10" s="1" a="1"/>
  <c r="N32" i="10" s="1"/>
  <c r="C32" i="10"/>
  <c r="D32" i="10" s="1"/>
  <c r="P31" i="10"/>
  <c r="M31" i="10" s="1"/>
  <c r="N31" i="10" s="1" a="1"/>
  <c r="N31" i="10" s="1"/>
  <c r="C31" i="10"/>
  <c r="D31" i="10" s="1"/>
  <c r="P30" i="10"/>
  <c r="M30" i="10" s="1"/>
  <c r="N30" i="10" s="1" a="1"/>
  <c r="N30" i="10" s="1"/>
  <c r="C30" i="10"/>
  <c r="D30" i="10" s="1"/>
  <c r="P29" i="10"/>
  <c r="M29" i="10" s="1"/>
  <c r="N29" i="10" s="1" a="1"/>
  <c r="N29" i="10" s="1"/>
  <c r="C29" i="10"/>
  <c r="D29" i="10" s="1"/>
  <c r="P28" i="10"/>
  <c r="M28" i="10" s="1"/>
  <c r="N28" i="10" s="1" a="1"/>
  <c r="N28" i="10" s="1"/>
  <c r="C28" i="10"/>
  <c r="D28" i="10" s="1"/>
  <c r="P27" i="10"/>
  <c r="M27" i="10" s="1"/>
  <c r="N27" i="10" s="1" a="1"/>
  <c r="N27" i="10" s="1"/>
  <c r="C27" i="10"/>
  <c r="D27" i="10" s="1"/>
  <c r="P26" i="10"/>
  <c r="M26" i="10" s="1"/>
  <c r="N26" i="10" s="1" a="1"/>
  <c r="N26" i="10" s="1"/>
  <c r="C26" i="10"/>
  <c r="D26" i="10" s="1"/>
  <c r="P25" i="10"/>
  <c r="M25" i="10" s="1"/>
  <c r="N25" i="10" s="1" a="1"/>
  <c r="N25" i="10" s="1"/>
  <c r="C25" i="10"/>
  <c r="D25" i="10" s="1"/>
  <c r="P24" i="10"/>
  <c r="M24" i="10" s="1"/>
  <c r="N24" i="10" s="1" a="1"/>
  <c r="N24" i="10" s="1"/>
  <c r="C24" i="10"/>
  <c r="D24" i="10" s="1"/>
  <c r="P23" i="10"/>
  <c r="M23" i="10" s="1"/>
  <c r="N23" i="10" s="1" a="1"/>
  <c r="N23" i="10" s="1"/>
  <c r="C23" i="10"/>
  <c r="D23" i="10" s="1"/>
  <c r="P22" i="10"/>
  <c r="M22" i="10" s="1"/>
  <c r="N22" i="10" s="1" a="1"/>
  <c r="N22" i="10" s="1"/>
  <c r="C22" i="10"/>
  <c r="D22" i="10" s="1"/>
  <c r="P21" i="10"/>
  <c r="M21" i="10" s="1"/>
  <c r="N21" i="10" s="1" a="1"/>
  <c r="N21" i="10" s="1"/>
  <c r="C21" i="10"/>
  <c r="D21" i="10" s="1"/>
  <c r="P20" i="10"/>
  <c r="M20" i="10" s="1"/>
  <c r="N20" i="10" s="1" a="1"/>
  <c r="N20" i="10" s="1"/>
  <c r="C20" i="10"/>
  <c r="D20" i="10" s="1"/>
  <c r="P19" i="10"/>
  <c r="M19" i="10" s="1"/>
  <c r="N19" i="10" s="1" a="1"/>
  <c r="N19" i="10" s="1"/>
  <c r="C19" i="10"/>
  <c r="D19" i="10" s="1"/>
  <c r="P18" i="10"/>
  <c r="M18" i="10" s="1"/>
  <c r="N18" i="10" s="1" a="1"/>
  <c r="N18" i="10" s="1"/>
  <c r="C18" i="10"/>
  <c r="D18" i="10" s="1"/>
  <c r="P17" i="10"/>
  <c r="M17" i="10" s="1"/>
  <c r="N17" i="10" s="1" a="1"/>
  <c r="N17" i="10" s="1"/>
  <c r="C17" i="10"/>
  <c r="D17" i="10" s="1"/>
  <c r="BA16" i="10"/>
  <c r="BB16" i="10" s="1"/>
  <c r="P16" i="10"/>
  <c r="M16" i="10" s="1"/>
  <c r="N16" i="10" s="1" a="1"/>
  <c r="N16" i="10" s="1"/>
  <c r="C16" i="10"/>
  <c r="D16" i="10" s="1"/>
  <c r="BA15" i="10"/>
  <c r="BB15" i="10" s="1"/>
  <c r="P15" i="10"/>
  <c r="M15" i="10" s="1"/>
  <c r="N15" i="10" s="1" a="1"/>
  <c r="N15" i="10" s="1"/>
  <c r="C15" i="10"/>
  <c r="D15" i="10" s="1"/>
  <c r="BA14" i="10"/>
  <c r="BB14" i="10" s="1"/>
  <c r="P14" i="10"/>
  <c r="M14" i="10" s="1"/>
  <c r="N14" i="10" s="1" a="1"/>
  <c r="N14" i="10" s="1"/>
  <c r="C14" i="10"/>
  <c r="D14" i="10" s="1"/>
  <c r="BA13" i="10"/>
  <c r="BB13" i="10" s="1"/>
  <c r="P13" i="10"/>
  <c r="M13" i="10" s="1"/>
  <c r="N13" i="10" s="1" a="1"/>
  <c r="N13" i="10" s="1"/>
  <c r="C13" i="10"/>
  <c r="D13" i="10" s="1"/>
  <c r="BA12" i="10"/>
  <c r="BB12" i="10" s="1"/>
  <c r="P12" i="10"/>
  <c r="M12" i="10" s="1"/>
  <c r="N12" i="10" s="1" a="1"/>
  <c r="N12" i="10" s="1"/>
  <c r="C12" i="10"/>
  <c r="D12" i="10" s="1"/>
  <c r="BA11" i="10"/>
  <c r="BB11" i="10" s="1"/>
  <c r="P11" i="10"/>
  <c r="M11" i="10"/>
  <c r="N11" i="10" s="1" a="1"/>
  <c r="N11" i="10" s="1"/>
  <c r="C11" i="10"/>
  <c r="D11" i="10" s="1"/>
  <c r="BA10" i="10"/>
  <c r="BB10" i="10" s="1"/>
  <c r="P10" i="10"/>
  <c r="M10" i="10" s="1"/>
  <c r="N10" i="10" s="1" a="1"/>
  <c r="N10" i="10" s="1"/>
  <c r="BA9" i="10"/>
  <c r="BB9" i="10" s="1"/>
  <c r="P9" i="10"/>
  <c r="M9" i="10" s="1"/>
  <c r="N9" i="10" s="1" a="1"/>
  <c r="N9" i="10" s="1"/>
  <c r="P89" i="3"/>
  <c r="M89" i="3" s="1"/>
  <c r="N89" i="3" s="1" a="1"/>
  <c r="N89" i="3" s="1"/>
  <c r="P88" i="3"/>
  <c r="M88" i="3" s="1"/>
  <c r="N88" i="3" s="1" a="1"/>
  <c r="N88" i="3" s="1"/>
  <c r="P87" i="3"/>
  <c r="M87" i="3"/>
  <c r="N87" i="3" s="1" a="1"/>
  <c r="N87" i="3" s="1"/>
  <c r="P86" i="3"/>
  <c r="M86" i="3"/>
  <c r="N86" i="3" s="1" a="1"/>
  <c r="N86" i="3" s="1"/>
  <c r="P85" i="3"/>
  <c r="M85" i="3"/>
  <c r="N85" i="3" s="1" a="1"/>
  <c r="N85" i="3" s="1"/>
  <c r="A85" i="3"/>
  <c r="C85" i="3" s="1"/>
  <c r="D85" i="3" s="1"/>
  <c r="P84" i="3"/>
  <c r="M84" i="3" s="1"/>
  <c r="N84" i="3" s="1" a="1"/>
  <c r="N84" i="3" s="1"/>
  <c r="C84" i="3"/>
  <c r="D84" i="3" s="1"/>
  <c r="A84" i="3"/>
  <c r="P83" i="3"/>
  <c r="M83" i="3"/>
  <c r="N83" i="3" s="1" a="1"/>
  <c r="N83" i="3" s="1"/>
  <c r="A83" i="3"/>
  <c r="C83" i="3" s="1"/>
  <c r="D83" i="3" s="1"/>
  <c r="P82" i="3"/>
  <c r="M82" i="3" s="1"/>
  <c r="N82" i="3" s="1" a="1"/>
  <c r="N82" i="3" s="1"/>
  <c r="A82" i="3"/>
  <c r="C82" i="3" s="1"/>
  <c r="D82" i="3" s="1"/>
  <c r="P81" i="3"/>
  <c r="M81" i="3" s="1"/>
  <c r="N81" i="3" s="1" a="1"/>
  <c r="N81" i="3" s="1"/>
  <c r="A81" i="3"/>
  <c r="C81" i="3" s="1"/>
  <c r="D81" i="3" s="1"/>
  <c r="P80" i="3"/>
  <c r="M80" i="3" s="1"/>
  <c r="N80" i="3" s="1" a="1"/>
  <c r="N80" i="3" s="1"/>
  <c r="A80" i="3"/>
  <c r="C80" i="3" s="1"/>
  <c r="D80" i="3" s="1"/>
  <c r="P79" i="3"/>
  <c r="M79" i="3"/>
  <c r="N79" i="3" s="1" a="1"/>
  <c r="N79" i="3" s="1"/>
  <c r="A79" i="3"/>
  <c r="C79" i="3" s="1"/>
  <c r="D79" i="3" s="1"/>
  <c r="P78" i="3"/>
  <c r="M78" i="3" s="1"/>
  <c r="N78" i="3" s="1" a="1"/>
  <c r="N78" i="3" s="1"/>
  <c r="C78" i="3"/>
  <c r="D78" i="3" s="1"/>
  <c r="A78" i="3"/>
  <c r="P77" i="3"/>
  <c r="M77" i="3"/>
  <c r="N77" i="3" s="1" a="1"/>
  <c r="N77" i="3" s="1"/>
  <c r="A77" i="3"/>
  <c r="C77" i="3" s="1"/>
  <c r="D77" i="3" s="1"/>
  <c r="P76" i="3"/>
  <c r="M76" i="3" s="1"/>
  <c r="N76" i="3" s="1" a="1"/>
  <c r="N76" i="3" s="1"/>
  <c r="A76" i="3"/>
  <c r="C76" i="3" s="1"/>
  <c r="D76" i="3" s="1"/>
  <c r="P75" i="3"/>
  <c r="M75" i="3" s="1"/>
  <c r="N75" i="3" s="1" a="1"/>
  <c r="N75" i="3" s="1"/>
  <c r="A75" i="3"/>
  <c r="C75" i="3" s="1"/>
  <c r="D75" i="3" s="1"/>
  <c r="P74" i="3"/>
  <c r="M74" i="3" s="1"/>
  <c r="N74" i="3" s="1" a="1"/>
  <c r="N74" i="3" s="1"/>
  <c r="A74" i="3"/>
  <c r="C74" i="3" s="1"/>
  <c r="D74" i="3" s="1"/>
  <c r="P73" i="3"/>
  <c r="M73" i="3"/>
  <c r="N73" i="3" s="1" a="1"/>
  <c r="N73" i="3" s="1"/>
  <c r="A73" i="3"/>
  <c r="C73" i="3" s="1"/>
  <c r="D73" i="3" s="1"/>
  <c r="P72" i="3"/>
  <c r="M72" i="3" s="1"/>
  <c r="N72" i="3" s="1" a="1"/>
  <c r="N72" i="3" s="1"/>
  <c r="C72" i="3"/>
  <c r="D72" i="3" s="1"/>
  <c r="A72" i="3"/>
  <c r="P71" i="3"/>
  <c r="M71" i="3"/>
  <c r="N71" i="3" s="1" a="1"/>
  <c r="N71" i="3" s="1"/>
  <c r="A71" i="3"/>
  <c r="C71" i="3" s="1"/>
  <c r="D71" i="3" s="1"/>
  <c r="P70" i="3"/>
  <c r="M70" i="3" s="1"/>
  <c r="N70" i="3" s="1" a="1"/>
  <c r="N70" i="3" s="1"/>
  <c r="A70" i="3"/>
  <c r="C70" i="3" s="1"/>
  <c r="D70" i="3" s="1"/>
  <c r="P69" i="3"/>
  <c r="M69" i="3" s="1"/>
  <c r="N69" i="3" s="1" a="1"/>
  <c r="N69" i="3" s="1"/>
  <c r="A69" i="3"/>
  <c r="C69" i="3" s="1"/>
  <c r="D69" i="3" s="1"/>
  <c r="P68" i="3"/>
  <c r="M68" i="3" s="1"/>
  <c r="N68" i="3" s="1" a="1"/>
  <c r="N68" i="3" s="1"/>
  <c r="A68" i="3"/>
  <c r="C68" i="3" s="1"/>
  <c r="D68" i="3" s="1"/>
  <c r="P67" i="3"/>
  <c r="M67" i="3"/>
  <c r="N67" i="3" s="1" a="1"/>
  <c r="N67" i="3" s="1"/>
  <c r="A67" i="3"/>
  <c r="C67" i="3" s="1"/>
  <c r="D67" i="3" s="1"/>
  <c r="P66" i="3"/>
  <c r="M66" i="3" s="1"/>
  <c r="N66" i="3" s="1" a="1"/>
  <c r="N66" i="3" s="1"/>
  <c r="C66" i="3"/>
  <c r="D66" i="3" s="1"/>
  <c r="A66" i="3"/>
  <c r="P65" i="3"/>
  <c r="M65" i="3"/>
  <c r="N65" i="3" s="1" a="1"/>
  <c r="N65" i="3" s="1"/>
  <c r="A65" i="3"/>
  <c r="C65" i="3" s="1"/>
  <c r="D65" i="3" s="1"/>
  <c r="P64" i="3"/>
  <c r="M64" i="3" s="1"/>
  <c r="N64" i="3" s="1" a="1"/>
  <c r="N64" i="3" s="1"/>
  <c r="A64" i="3"/>
  <c r="C64" i="3" s="1"/>
  <c r="D64" i="3" s="1"/>
  <c r="P63" i="3"/>
  <c r="M63" i="3" s="1"/>
  <c r="N63" i="3" s="1" a="1"/>
  <c r="N63" i="3" s="1"/>
  <c r="A63" i="3"/>
  <c r="C63" i="3" s="1"/>
  <c r="D63" i="3" s="1"/>
  <c r="P62" i="3"/>
  <c r="M62" i="3" s="1"/>
  <c r="N62" i="3" s="1" a="1"/>
  <c r="N62" i="3" s="1"/>
  <c r="A62" i="3"/>
  <c r="C62" i="3" s="1"/>
  <c r="D62" i="3" s="1"/>
  <c r="P61" i="3"/>
  <c r="M61" i="3"/>
  <c r="N61" i="3" s="1" a="1"/>
  <c r="N61" i="3" s="1"/>
  <c r="A61" i="3"/>
  <c r="C61" i="3" s="1"/>
  <c r="D61" i="3" s="1"/>
  <c r="P60" i="3"/>
  <c r="M60" i="3" s="1"/>
  <c r="N60" i="3" s="1" a="1"/>
  <c r="N60" i="3" s="1"/>
  <c r="C60" i="3"/>
  <c r="D60" i="3" s="1"/>
  <c r="A60" i="3"/>
  <c r="P59" i="3"/>
  <c r="M59" i="3"/>
  <c r="N59" i="3" s="1" a="1"/>
  <c r="N59" i="3" s="1"/>
  <c r="A59" i="3"/>
  <c r="C59" i="3" s="1"/>
  <c r="D59" i="3" s="1"/>
  <c r="P58" i="3"/>
  <c r="M58" i="3" s="1"/>
  <c r="N58" i="3" s="1" a="1"/>
  <c r="N58" i="3" s="1"/>
  <c r="A58" i="3"/>
  <c r="C58" i="3" s="1"/>
  <c r="D58" i="3" s="1"/>
  <c r="P57" i="3"/>
  <c r="M57" i="3" s="1"/>
  <c r="N57" i="3" s="1" a="1"/>
  <c r="N57" i="3" s="1"/>
  <c r="A57" i="3"/>
  <c r="C57" i="3" s="1"/>
  <c r="D57" i="3" s="1"/>
  <c r="P56" i="3"/>
  <c r="M56" i="3" s="1"/>
  <c r="N56" i="3" s="1" a="1"/>
  <c r="N56" i="3" s="1"/>
  <c r="A56" i="3"/>
  <c r="C56" i="3" s="1"/>
  <c r="D56" i="3" s="1"/>
  <c r="P55" i="3"/>
  <c r="M55" i="3"/>
  <c r="N55" i="3" s="1" a="1"/>
  <c r="N55" i="3" s="1"/>
  <c r="A55" i="3"/>
  <c r="C55" i="3" s="1"/>
  <c r="D55" i="3" s="1"/>
  <c r="P54" i="3"/>
  <c r="M54" i="3" s="1"/>
  <c r="N54" i="3" s="1" a="1"/>
  <c r="N54" i="3" s="1"/>
  <c r="C54" i="3"/>
  <c r="D54" i="3" s="1"/>
  <c r="A54" i="3"/>
  <c r="P53" i="3"/>
  <c r="M53" i="3"/>
  <c r="N53" i="3" s="1" a="1"/>
  <c r="N53" i="3" s="1"/>
  <c r="A53" i="3"/>
  <c r="C53" i="3" s="1"/>
  <c r="D53" i="3" s="1"/>
  <c r="P52" i="3"/>
  <c r="M52" i="3" s="1"/>
  <c r="N52" i="3" s="1" a="1"/>
  <c r="N52" i="3" s="1"/>
  <c r="A52" i="3"/>
  <c r="C52" i="3" s="1"/>
  <c r="D52" i="3" s="1"/>
  <c r="P51" i="3"/>
  <c r="M51" i="3" s="1"/>
  <c r="N51" i="3" s="1" a="1"/>
  <c r="N51" i="3" s="1"/>
  <c r="A51" i="3"/>
  <c r="C51" i="3" s="1"/>
  <c r="D51" i="3" s="1"/>
  <c r="P50" i="3"/>
  <c r="M50" i="3" s="1"/>
  <c r="N50" i="3" s="1" a="1"/>
  <c r="N50" i="3" s="1"/>
  <c r="A50" i="3"/>
  <c r="C50" i="3" s="1"/>
  <c r="D50" i="3" s="1"/>
  <c r="P49" i="3"/>
  <c r="M49" i="3"/>
  <c r="N49" i="3" s="1" a="1"/>
  <c r="N49" i="3" s="1"/>
  <c r="A49" i="3"/>
  <c r="C49" i="3" s="1"/>
  <c r="D49" i="3" s="1"/>
  <c r="P48" i="3"/>
  <c r="M48" i="3" s="1"/>
  <c r="N48" i="3" s="1" a="1"/>
  <c r="N48" i="3" s="1"/>
  <c r="C48" i="3"/>
  <c r="D48" i="3" s="1"/>
  <c r="A48" i="3"/>
  <c r="P47" i="3"/>
  <c r="M47" i="3"/>
  <c r="N47" i="3" s="1" a="1"/>
  <c r="N47" i="3" s="1"/>
  <c r="A47" i="3"/>
  <c r="C47" i="3" s="1"/>
  <c r="D47" i="3" s="1"/>
  <c r="P46" i="3"/>
  <c r="M46" i="3" s="1"/>
  <c r="N46" i="3" s="1" a="1"/>
  <c r="N46" i="3" s="1"/>
  <c r="A46" i="3"/>
  <c r="C46" i="3" s="1"/>
  <c r="D46" i="3" s="1"/>
  <c r="P45" i="3"/>
  <c r="M45" i="3" s="1"/>
  <c r="N45" i="3" s="1" a="1"/>
  <c r="N45" i="3" s="1"/>
  <c r="A45" i="3"/>
  <c r="C45" i="3" s="1"/>
  <c r="D45" i="3" s="1"/>
  <c r="P44" i="3"/>
  <c r="M44" i="3" s="1"/>
  <c r="N44" i="3" s="1" a="1"/>
  <c r="N44" i="3" s="1"/>
  <c r="A44" i="3"/>
  <c r="C44" i="3" s="1"/>
  <c r="D44" i="3" s="1"/>
  <c r="P43" i="3"/>
  <c r="M43" i="3"/>
  <c r="N43" i="3" s="1" a="1"/>
  <c r="N43" i="3" s="1"/>
  <c r="A43" i="3"/>
  <c r="C43" i="3" s="1"/>
  <c r="D43" i="3" s="1"/>
  <c r="P42" i="3"/>
  <c r="M42" i="3" s="1"/>
  <c r="N42" i="3" s="1" a="1"/>
  <c r="N42" i="3" s="1"/>
  <c r="C42" i="3"/>
  <c r="D42" i="3" s="1"/>
  <c r="A42" i="3"/>
  <c r="P41" i="3"/>
  <c r="M41" i="3"/>
  <c r="N41" i="3" s="1" a="1"/>
  <c r="N41" i="3" s="1"/>
  <c r="A41" i="3"/>
  <c r="C41" i="3" s="1"/>
  <c r="D41" i="3" s="1"/>
  <c r="P40" i="3"/>
  <c r="M40" i="3" s="1"/>
  <c r="N40" i="3" s="1" a="1"/>
  <c r="N40" i="3" s="1"/>
  <c r="A40" i="3"/>
  <c r="C40" i="3" s="1"/>
  <c r="D40" i="3" s="1"/>
  <c r="P39" i="3"/>
  <c r="M39" i="3" s="1"/>
  <c r="N39" i="3" s="1" a="1"/>
  <c r="N39" i="3" s="1"/>
  <c r="A39" i="3"/>
  <c r="C39" i="3" s="1"/>
  <c r="D39" i="3" s="1"/>
  <c r="P38" i="3"/>
  <c r="M38" i="3" s="1"/>
  <c r="N38" i="3" s="1" a="1"/>
  <c r="N38" i="3" s="1"/>
  <c r="A38" i="3"/>
  <c r="C38" i="3" s="1"/>
  <c r="D38" i="3" s="1"/>
  <c r="P37" i="3"/>
  <c r="M37" i="3"/>
  <c r="N37" i="3" s="1" a="1"/>
  <c r="N37" i="3" s="1"/>
  <c r="A37" i="3"/>
  <c r="C37" i="3" s="1"/>
  <c r="D37" i="3" s="1"/>
  <c r="P36" i="3"/>
  <c r="M36" i="3" s="1"/>
  <c r="N36" i="3" s="1" a="1"/>
  <c r="N36" i="3" s="1"/>
  <c r="C36" i="3"/>
  <c r="D36" i="3" s="1"/>
  <c r="A36" i="3"/>
  <c r="P35" i="3"/>
  <c r="M35" i="3"/>
  <c r="N35" i="3" s="1" a="1"/>
  <c r="N35" i="3" s="1"/>
  <c r="A35" i="3"/>
  <c r="C35" i="3" s="1"/>
  <c r="D35" i="3" s="1"/>
  <c r="P34" i="3"/>
  <c r="M34" i="3" s="1"/>
  <c r="N34" i="3" s="1" a="1"/>
  <c r="N34" i="3" s="1"/>
  <c r="A34" i="3"/>
  <c r="C34" i="3" s="1"/>
  <c r="D34" i="3" s="1"/>
  <c r="P33" i="3"/>
  <c r="M33" i="3" s="1"/>
  <c r="N33" i="3" s="1" a="1"/>
  <c r="N33" i="3" s="1"/>
  <c r="A33" i="3"/>
  <c r="C33" i="3" s="1"/>
  <c r="D33" i="3" s="1"/>
  <c r="P32" i="3"/>
  <c r="M32" i="3" s="1"/>
  <c r="N32" i="3" s="1" a="1"/>
  <c r="N32" i="3" s="1"/>
  <c r="A32" i="3"/>
  <c r="C32" i="3" s="1"/>
  <c r="D32" i="3" s="1"/>
  <c r="P31" i="3"/>
  <c r="M31" i="3"/>
  <c r="N31" i="3" s="1" a="1"/>
  <c r="N31" i="3" s="1"/>
  <c r="A31" i="3"/>
  <c r="C31" i="3" s="1"/>
  <c r="D31" i="3" s="1"/>
  <c r="P30" i="3"/>
  <c r="M30" i="3" s="1"/>
  <c r="N30" i="3" s="1" a="1"/>
  <c r="N30" i="3" s="1"/>
  <c r="C30" i="3"/>
  <c r="D30" i="3" s="1"/>
  <c r="A30" i="3"/>
  <c r="P29" i="3"/>
  <c r="M29" i="3"/>
  <c r="N29" i="3" s="1" a="1"/>
  <c r="N29" i="3" s="1"/>
  <c r="A29" i="3"/>
  <c r="C29" i="3" s="1"/>
  <c r="D29" i="3" s="1"/>
  <c r="P28" i="3"/>
  <c r="M28" i="3" s="1"/>
  <c r="N28" i="3" s="1" a="1"/>
  <c r="N28" i="3" s="1"/>
  <c r="A28" i="3"/>
  <c r="C28" i="3" s="1"/>
  <c r="D28" i="3" s="1"/>
  <c r="P27" i="3"/>
  <c r="M27" i="3" s="1"/>
  <c r="N27" i="3" s="1" a="1"/>
  <c r="N27" i="3" s="1"/>
  <c r="A27" i="3"/>
  <c r="C27" i="3" s="1"/>
  <c r="D27" i="3" s="1"/>
  <c r="P26" i="3"/>
  <c r="M26" i="3" s="1"/>
  <c r="N26" i="3" s="1" a="1"/>
  <c r="N26" i="3" s="1"/>
  <c r="A26" i="3"/>
  <c r="C26" i="3" s="1"/>
  <c r="D26" i="3" s="1"/>
  <c r="P25" i="3"/>
  <c r="M25" i="3"/>
  <c r="N25" i="3" s="1" a="1"/>
  <c r="N25" i="3" s="1"/>
  <c r="A25" i="3"/>
  <c r="C25" i="3" s="1"/>
  <c r="D25" i="3" s="1"/>
  <c r="P24" i="3"/>
  <c r="M24" i="3" s="1"/>
  <c r="N24" i="3" s="1" a="1"/>
  <c r="N24" i="3" s="1"/>
  <c r="C24" i="3"/>
  <c r="D24" i="3" s="1"/>
  <c r="A24" i="3"/>
  <c r="P23" i="3"/>
  <c r="M23" i="3"/>
  <c r="N23" i="3" s="1" a="1"/>
  <c r="N23" i="3" s="1"/>
  <c r="A23" i="3"/>
  <c r="C23" i="3" s="1"/>
  <c r="D23" i="3" s="1"/>
  <c r="P22" i="3"/>
  <c r="M22" i="3" s="1"/>
  <c r="N22" i="3" s="1" a="1"/>
  <c r="N22" i="3" s="1"/>
  <c r="A22" i="3"/>
  <c r="C22" i="3" s="1"/>
  <c r="D22" i="3" s="1"/>
  <c r="P21" i="3"/>
  <c r="M21" i="3" s="1"/>
  <c r="N21" i="3" s="1" a="1"/>
  <c r="N21" i="3" s="1"/>
  <c r="A21" i="3"/>
  <c r="C21" i="3" s="1"/>
  <c r="D21" i="3" s="1"/>
  <c r="P20" i="3"/>
  <c r="M20" i="3" s="1"/>
  <c r="N20" i="3" s="1" a="1"/>
  <c r="N20" i="3" s="1"/>
  <c r="A20" i="3"/>
  <c r="C20" i="3" s="1"/>
  <c r="D20" i="3" s="1"/>
  <c r="P19" i="3"/>
  <c r="M19" i="3"/>
  <c r="N19" i="3" s="1" a="1"/>
  <c r="N19" i="3" s="1"/>
  <c r="A19" i="3"/>
  <c r="C19" i="3" s="1"/>
  <c r="D19" i="3" s="1"/>
  <c r="P18" i="3"/>
  <c r="M18" i="3" s="1"/>
  <c r="N18" i="3" s="1" a="1"/>
  <c r="N18" i="3" s="1"/>
  <c r="C18" i="3"/>
  <c r="D18" i="3" s="1"/>
  <c r="A18" i="3"/>
  <c r="P17" i="3"/>
  <c r="M17" i="3"/>
  <c r="N17" i="3" s="1" a="1"/>
  <c r="N17" i="3" s="1"/>
  <c r="A17" i="3"/>
  <c r="C17" i="3" s="1"/>
  <c r="D17" i="3" s="1"/>
  <c r="BB16" i="3"/>
  <c r="P16" i="3"/>
  <c r="M16" i="3"/>
  <c r="N16" i="3" s="1" a="1"/>
  <c r="N16" i="3" s="1"/>
  <c r="C16" i="3"/>
  <c r="D16" i="3" s="1"/>
  <c r="A16" i="3"/>
  <c r="BB15" i="3"/>
  <c r="P15" i="3"/>
  <c r="M15" i="3" s="1"/>
  <c r="N15" i="3" s="1" a="1"/>
  <c r="N15" i="3" s="1"/>
  <c r="A15" i="3"/>
  <c r="C15" i="3" s="1"/>
  <c r="D15" i="3" s="1"/>
  <c r="BB14" i="3"/>
  <c r="P14" i="3"/>
  <c r="M14" i="3"/>
  <c r="N14" i="3" s="1" a="1"/>
  <c r="N14" i="3" s="1"/>
  <c r="A14" i="3"/>
  <c r="C14" i="3" s="1"/>
  <c r="D14" i="3" s="1"/>
  <c r="BB13" i="3"/>
  <c r="P13" i="3"/>
  <c r="M13" i="3" s="1"/>
  <c r="N13" i="3" s="1" a="1"/>
  <c r="N13" i="3" s="1"/>
  <c r="A13" i="3"/>
  <c r="C13" i="3" s="1"/>
  <c r="D13" i="3" s="1"/>
  <c r="BB12" i="3"/>
  <c r="P12" i="3"/>
  <c r="M12" i="3"/>
  <c r="N12" i="3" s="1" a="1"/>
  <c r="N12" i="3" s="1"/>
  <c r="A12" i="3"/>
  <c r="C12" i="3" s="1"/>
  <c r="D12" i="3" s="1"/>
  <c r="BB11" i="3"/>
  <c r="P11" i="3"/>
  <c r="M11" i="3" s="1"/>
  <c r="N11" i="3" s="1" a="1"/>
  <c r="N11" i="3" s="1"/>
  <c r="C11" i="3"/>
  <c r="D11" i="3" s="1"/>
  <c r="A11" i="3"/>
  <c r="BB10" i="3"/>
  <c r="P10" i="3"/>
  <c r="M10" i="3"/>
  <c r="N10" i="3" s="1" a="1"/>
  <c r="N10" i="3" s="1"/>
  <c r="A10" i="3"/>
  <c r="C10" i="3" s="1"/>
  <c r="D10" i="3" s="1"/>
  <c r="BB9" i="3"/>
  <c r="P9" i="3"/>
  <c r="M9" i="3"/>
  <c r="N9" i="3" s="1" a="1"/>
  <c r="N9" i="3" s="1"/>
  <c r="A9" i="3"/>
  <c r="C9" i="3" s="1"/>
  <c r="D9" i="3" s="1"/>
  <c r="D8" i="3"/>
  <c r="C8" i="3"/>
  <c r="A8" i="3"/>
  <c r="A7" i="3"/>
  <c r="C7" i="3" s="1"/>
  <c r="D7" i="3" s="1"/>
  <c r="A6" i="3"/>
  <c r="C6" i="3" s="1"/>
  <c r="D6" i="3" s="1"/>
  <c r="A5" i="3"/>
  <c r="C5" i="3" s="1"/>
  <c r="D5" i="3" s="1"/>
  <c r="A4" i="3"/>
  <c r="C4" i="3" s="1"/>
  <c r="D4" i="3" s="1"/>
  <c r="C3" i="3"/>
  <c r="D3" i="3" s="1"/>
  <c r="A3" i="3"/>
  <c r="P83" i="11"/>
  <c r="M83" i="11"/>
  <c r="N83" i="11" s="1" a="1"/>
  <c r="N83" i="11" s="1"/>
  <c r="C83" i="11"/>
  <c r="D83" i="11" s="1"/>
  <c r="P82" i="11"/>
  <c r="M82" i="11"/>
  <c r="N82" i="11" s="1" a="1"/>
  <c r="N82" i="11" s="1"/>
  <c r="C82" i="11"/>
  <c r="D82" i="11" s="1"/>
  <c r="P81" i="11"/>
  <c r="M81" i="11" s="1"/>
  <c r="N81" i="11" s="1" a="1"/>
  <c r="N81" i="11" s="1"/>
  <c r="C81" i="11"/>
  <c r="D81" i="11" s="1"/>
  <c r="P80" i="11"/>
  <c r="M80" i="11"/>
  <c r="N80" i="11" s="1" a="1"/>
  <c r="N80" i="11" s="1"/>
  <c r="C80" i="11"/>
  <c r="D80" i="11" s="1"/>
  <c r="P79" i="11"/>
  <c r="M79" i="11"/>
  <c r="N79" i="11" s="1" a="1"/>
  <c r="N79" i="11" s="1"/>
  <c r="C79" i="11"/>
  <c r="D79" i="11" s="1"/>
  <c r="P78" i="11"/>
  <c r="M78" i="11" s="1"/>
  <c r="N78" i="11" s="1" a="1"/>
  <c r="N78" i="11" s="1"/>
  <c r="C78" i="11"/>
  <c r="D78" i="11" s="1"/>
  <c r="P77" i="11"/>
  <c r="M77" i="11"/>
  <c r="N77" i="11" s="1" a="1"/>
  <c r="N77" i="11" s="1"/>
  <c r="C77" i="11"/>
  <c r="D77" i="11" s="1"/>
  <c r="P76" i="11"/>
  <c r="M76" i="11"/>
  <c r="N76" i="11" s="1" a="1"/>
  <c r="N76" i="11" s="1"/>
  <c r="C76" i="11"/>
  <c r="D76" i="11" s="1"/>
  <c r="P75" i="11"/>
  <c r="M75" i="11" s="1"/>
  <c r="N75" i="11" s="1" a="1"/>
  <c r="N75" i="11" s="1"/>
  <c r="C75" i="11"/>
  <c r="D75" i="11" s="1"/>
  <c r="P74" i="11"/>
  <c r="M74" i="11"/>
  <c r="N74" i="11" s="1" a="1"/>
  <c r="N74" i="11" s="1"/>
  <c r="C74" i="11"/>
  <c r="D74" i="11" s="1"/>
  <c r="P73" i="11"/>
  <c r="M73" i="11"/>
  <c r="N73" i="11" s="1" a="1"/>
  <c r="N73" i="11" s="1"/>
  <c r="C73" i="11"/>
  <c r="D73" i="11" s="1"/>
  <c r="P72" i="11"/>
  <c r="M72" i="11" s="1"/>
  <c r="N72" i="11" s="1" a="1"/>
  <c r="N72" i="11" s="1"/>
  <c r="C72" i="11"/>
  <c r="D72" i="11" s="1"/>
  <c r="P71" i="11"/>
  <c r="M71" i="11"/>
  <c r="N71" i="11" s="1" a="1"/>
  <c r="N71" i="11" s="1"/>
  <c r="C71" i="11"/>
  <c r="D71" i="11" s="1"/>
  <c r="P70" i="11"/>
  <c r="M70" i="11"/>
  <c r="N70" i="11" s="1" a="1"/>
  <c r="N70" i="11" s="1"/>
  <c r="C70" i="11"/>
  <c r="D70" i="11" s="1"/>
  <c r="P69" i="11"/>
  <c r="M69" i="11" s="1"/>
  <c r="N69" i="11" s="1" a="1"/>
  <c r="N69" i="11" s="1"/>
  <c r="C69" i="11"/>
  <c r="D69" i="11" s="1"/>
  <c r="P68" i="11"/>
  <c r="M68" i="11"/>
  <c r="N68" i="11" s="1" a="1"/>
  <c r="N68" i="11" s="1"/>
  <c r="C68" i="11"/>
  <c r="D68" i="11" s="1"/>
  <c r="P67" i="11"/>
  <c r="M67" i="11"/>
  <c r="N67" i="11" s="1" a="1"/>
  <c r="N67" i="11" s="1"/>
  <c r="C67" i="11"/>
  <c r="D67" i="11" s="1"/>
  <c r="P66" i="11"/>
  <c r="M66" i="11" s="1"/>
  <c r="N66" i="11" s="1" a="1"/>
  <c r="N66" i="11" s="1"/>
  <c r="C66" i="11"/>
  <c r="D66" i="11" s="1"/>
  <c r="P65" i="11"/>
  <c r="M65" i="11"/>
  <c r="N65" i="11" s="1" a="1"/>
  <c r="N65" i="11" s="1"/>
  <c r="C65" i="11"/>
  <c r="D65" i="11" s="1"/>
  <c r="P64" i="11"/>
  <c r="M64" i="11"/>
  <c r="N64" i="11" s="1" a="1"/>
  <c r="N64" i="11" s="1"/>
  <c r="C64" i="11"/>
  <c r="D64" i="11" s="1"/>
  <c r="P63" i="11"/>
  <c r="M63" i="11" s="1"/>
  <c r="N63" i="11" s="1" a="1"/>
  <c r="N63" i="11" s="1"/>
  <c r="C63" i="11"/>
  <c r="D63" i="11" s="1"/>
  <c r="P62" i="11"/>
  <c r="M62" i="11"/>
  <c r="N62" i="11" s="1" a="1"/>
  <c r="N62" i="11" s="1"/>
  <c r="C62" i="11"/>
  <c r="D62" i="11" s="1"/>
  <c r="P61" i="11"/>
  <c r="M61" i="11"/>
  <c r="N61" i="11" s="1" a="1"/>
  <c r="N61" i="11" s="1"/>
  <c r="C61" i="11"/>
  <c r="D61" i="11" s="1"/>
  <c r="P60" i="11"/>
  <c r="M60" i="11" s="1"/>
  <c r="N60" i="11" s="1" a="1"/>
  <c r="N60" i="11" s="1"/>
  <c r="C60" i="11"/>
  <c r="D60" i="11" s="1"/>
  <c r="P59" i="11"/>
  <c r="M59" i="11"/>
  <c r="N59" i="11" s="1" a="1"/>
  <c r="N59" i="11" s="1"/>
  <c r="C59" i="11"/>
  <c r="D59" i="11" s="1"/>
  <c r="P58" i="11"/>
  <c r="M58" i="11"/>
  <c r="N58" i="11" s="1" a="1"/>
  <c r="N58" i="11" s="1"/>
  <c r="C58" i="11"/>
  <c r="D58" i="11" s="1"/>
  <c r="P57" i="11"/>
  <c r="M57" i="11" s="1"/>
  <c r="N57" i="11" s="1" a="1"/>
  <c r="N57" i="11" s="1"/>
  <c r="C57" i="11"/>
  <c r="D57" i="11" s="1"/>
  <c r="P56" i="11"/>
  <c r="M56" i="11"/>
  <c r="N56" i="11" s="1" a="1"/>
  <c r="N56" i="11" s="1"/>
  <c r="C56" i="11"/>
  <c r="D56" i="11" s="1"/>
  <c r="P55" i="11"/>
  <c r="M55" i="11"/>
  <c r="N55" i="11" s="1" a="1"/>
  <c r="N55" i="11" s="1"/>
  <c r="C55" i="11"/>
  <c r="D55" i="11" s="1"/>
  <c r="P54" i="11"/>
  <c r="M54" i="11" s="1"/>
  <c r="N54" i="11" s="1" a="1"/>
  <c r="N54" i="11" s="1"/>
  <c r="C54" i="11"/>
  <c r="D54" i="11" s="1"/>
  <c r="P53" i="11"/>
  <c r="M53" i="11"/>
  <c r="N53" i="11" s="1" a="1"/>
  <c r="N53" i="11" s="1"/>
  <c r="C53" i="11"/>
  <c r="D53" i="11" s="1"/>
  <c r="P52" i="11"/>
  <c r="M52" i="11"/>
  <c r="N52" i="11" s="1" a="1"/>
  <c r="N52" i="11" s="1"/>
  <c r="C52" i="11"/>
  <c r="D52" i="11" s="1"/>
  <c r="P51" i="11"/>
  <c r="M51" i="11" s="1"/>
  <c r="N51" i="11" s="1" a="1"/>
  <c r="N51" i="11" s="1"/>
  <c r="C51" i="11"/>
  <c r="D51" i="11" s="1"/>
  <c r="P50" i="11"/>
  <c r="M50" i="11"/>
  <c r="N50" i="11" s="1" a="1"/>
  <c r="N50" i="11" s="1"/>
  <c r="C50" i="11"/>
  <c r="D50" i="11" s="1"/>
  <c r="P49" i="11"/>
  <c r="M49" i="11"/>
  <c r="N49" i="11" s="1" a="1"/>
  <c r="N49" i="11" s="1"/>
  <c r="C49" i="11"/>
  <c r="D49" i="11" s="1"/>
  <c r="P48" i="11"/>
  <c r="M48" i="11" s="1"/>
  <c r="N48" i="11" s="1" a="1"/>
  <c r="N48" i="11" s="1"/>
  <c r="C48" i="11"/>
  <c r="D48" i="11" s="1"/>
  <c r="P47" i="11"/>
  <c r="M47" i="11"/>
  <c r="N47" i="11" s="1" a="1"/>
  <c r="N47" i="11" s="1"/>
  <c r="C47" i="11"/>
  <c r="D47" i="11" s="1"/>
  <c r="P46" i="11"/>
  <c r="M46" i="11"/>
  <c r="N46" i="11" s="1" a="1"/>
  <c r="N46" i="11" s="1"/>
  <c r="C46" i="11"/>
  <c r="D46" i="11" s="1"/>
  <c r="P45" i="11"/>
  <c r="M45" i="11" s="1"/>
  <c r="N45" i="11" s="1" a="1"/>
  <c r="N45" i="11" s="1"/>
  <c r="C45" i="11"/>
  <c r="D45" i="11" s="1"/>
  <c r="P44" i="11"/>
  <c r="M44" i="11"/>
  <c r="N44" i="11" s="1" a="1"/>
  <c r="N44" i="11" s="1"/>
  <c r="C44" i="11"/>
  <c r="D44" i="11" s="1"/>
  <c r="P43" i="11"/>
  <c r="M43" i="11"/>
  <c r="N43" i="11" s="1" a="1"/>
  <c r="N43" i="11" s="1"/>
  <c r="C43" i="11"/>
  <c r="D43" i="11" s="1"/>
  <c r="P42" i="11"/>
  <c r="M42" i="11" s="1"/>
  <c r="N42" i="11" s="1" a="1"/>
  <c r="N42" i="11" s="1"/>
  <c r="C42" i="11"/>
  <c r="D42" i="11" s="1"/>
  <c r="P41" i="11"/>
  <c r="M41" i="11"/>
  <c r="N41" i="11" s="1" a="1"/>
  <c r="N41" i="11" s="1"/>
  <c r="C41" i="11"/>
  <c r="D41" i="11" s="1"/>
  <c r="P40" i="11"/>
  <c r="M40" i="11"/>
  <c r="N40" i="11" s="1" a="1"/>
  <c r="N40" i="11" s="1"/>
  <c r="C40" i="11"/>
  <c r="D40" i="11" s="1"/>
  <c r="P39" i="11"/>
  <c r="M39" i="11" s="1"/>
  <c r="N39" i="11" s="1" a="1"/>
  <c r="N39" i="11" s="1"/>
  <c r="C39" i="11"/>
  <c r="D39" i="11" s="1"/>
  <c r="P38" i="11"/>
  <c r="M38" i="11"/>
  <c r="N38" i="11" s="1" a="1"/>
  <c r="N38" i="11" s="1"/>
  <c r="C38" i="11"/>
  <c r="D38" i="11" s="1"/>
  <c r="P37" i="11"/>
  <c r="M37" i="11"/>
  <c r="N37" i="11" s="1" a="1"/>
  <c r="N37" i="11" s="1"/>
  <c r="C37" i="11"/>
  <c r="D37" i="11" s="1"/>
  <c r="P36" i="11"/>
  <c r="M36" i="11" s="1"/>
  <c r="N36" i="11" s="1" a="1"/>
  <c r="N36" i="11" s="1"/>
  <c r="C36" i="11"/>
  <c r="D36" i="11" s="1"/>
  <c r="P35" i="11"/>
  <c r="M35" i="11"/>
  <c r="N35" i="11" s="1" a="1"/>
  <c r="N35" i="11" s="1"/>
  <c r="C35" i="11"/>
  <c r="D35" i="11" s="1"/>
  <c r="P34" i="11"/>
  <c r="M34" i="11"/>
  <c r="N34" i="11" s="1" a="1"/>
  <c r="N34" i="11" s="1"/>
  <c r="C34" i="11"/>
  <c r="D34" i="11" s="1"/>
  <c r="P33" i="11"/>
  <c r="M33" i="11" s="1"/>
  <c r="N33" i="11" s="1" a="1"/>
  <c r="N33" i="11" s="1"/>
  <c r="C33" i="11"/>
  <c r="D33" i="11" s="1"/>
  <c r="P32" i="11"/>
  <c r="M32" i="11"/>
  <c r="N32" i="11" s="1" a="1"/>
  <c r="N32" i="11" s="1"/>
  <c r="C32" i="11"/>
  <c r="D32" i="11" s="1"/>
  <c r="P31" i="11"/>
  <c r="M31" i="11"/>
  <c r="N31" i="11" s="1" a="1"/>
  <c r="N31" i="11" s="1"/>
  <c r="C31" i="11"/>
  <c r="D31" i="11" s="1"/>
  <c r="P30" i="11"/>
  <c r="M30" i="11" s="1"/>
  <c r="N30" i="11" s="1" a="1"/>
  <c r="N30" i="11" s="1"/>
  <c r="C30" i="11"/>
  <c r="D30" i="11" s="1"/>
  <c r="P29" i="11"/>
  <c r="M29" i="11"/>
  <c r="N29" i="11" s="1" a="1"/>
  <c r="N29" i="11" s="1"/>
  <c r="C29" i="11"/>
  <c r="D29" i="11" s="1"/>
  <c r="P28" i="11"/>
  <c r="M28" i="11"/>
  <c r="N28" i="11" s="1" a="1"/>
  <c r="N28" i="11" s="1"/>
  <c r="C28" i="11"/>
  <c r="D28" i="11" s="1"/>
  <c r="P27" i="11"/>
  <c r="M27" i="11" s="1"/>
  <c r="N27" i="11" s="1" a="1"/>
  <c r="N27" i="11" s="1"/>
  <c r="C27" i="11"/>
  <c r="D27" i="11" s="1"/>
  <c r="P26" i="11"/>
  <c r="M26" i="11"/>
  <c r="N26" i="11" s="1" a="1"/>
  <c r="N26" i="11" s="1"/>
  <c r="C26" i="11"/>
  <c r="D26" i="11" s="1"/>
  <c r="P25" i="11"/>
  <c r="M25" i="11"/>
  <c r="N25" i="11" s="1" a="1"/>
  <c r="N25" i="11" s="1"/>
  <c r="C25" i="11"/>
  <c r="D25" i="11" s="1"/>
  <c r="P24" i="11"/>
  <c r="M24" i="11" s="1"/>
  <c r="N24" i="11" s="1" a="1"/>
  <c r="N24" i="11" s="1"/>
  <c r="C24" i="11"/>
  <c r="D24" i="11" s="1"/>
  <c r="P23" i="11"/>
  <c r="M23" i="11"/>
  <c r="N23" i="11" s="1" a="1"/>
  <c r="N23" i="11" s="1"/>
  <c r="C23" i="11"/>
  <c r="D23" i="11" s="1"/>
  <c r="P22" i="11"/>
  <c r="M22" i="11"/>
  <c r="N22" i="11" s="1" a="1"/>
  <c r="N22" i="11" s="1"/>
  <c r="C22" i="11"/>
  <c r="D22" i="11" s="1"/>
  <c r="P21" i="11"/>
  <c r="M21" i="11" s="1"/>
  <c r="N21" i="11" s="1" a="1"/>
  <c r="N21" i="11" s="1"/>
  <c r="C21" i="11"/>
  <c r="D21" i="11" s="1"/>
  <c r="P20" i="11"/>
  <c r="M20" i="11"/>
  <c r="N20" i="11" s="1" a="1"/>
  <c r="N20" i="11" s="1"/>
  <c r="C20" i="11"/>
  <c r="D20" i="11" s="1"/>
  <c r="P19" i="11"/>
  <c r="M19" i="11"/>
  <c r="N19" i="11" s="1" a="1"/>
  <c r="N19" i="11" s="1"/>
  <c r="C19" i="11"/>
  <c r="D19" i="11" s="1"/>
  <c r="P18" i="11"/>
  <c r="M18" i="11" s="1"/>
  <c r="N18" i="11" s="1" a="1"/>
  <c r="N18" i="11" s="1"/>
  <c r="C18" i="11"/>
  <c r="D18" i="11" s="1"/>
  <c r="P17" i="11"/>
  <c r="M17" i="11"/>
  <c r="N17" i="11" s="1" a="1"/>
  <c r="N17" i="11" s="1"/>
  <c r="C17" i="11"/>
  <c r="D17" i="11" s="1"/>
  <c r="BB16" i="11"/>
  <c r="P16" i="11"/>
  <c r="M16" i="11"/>
  <c r="N16" i="11" s="1" a="1"/>
  <c r="N16" i="11" s="1"/>
  <c r="C16" i="11"/>
  <c r="D16" i="11" s="1"/>
  <c r="BB15" i="11"/>
  <c r="P15" i="11"/>
  <c r="M15" i="11"/>
  <c r="N15" i="11" s="1" a="1"/>
  <c r="N15" i="11" s="1"/>
  <c r="C15" i="11"/>
  <c r="D15" i="11" s="1"/>
  <c r="BB14" i="11"/>
  <c r="P14" i="11"/>
  <c r="M14" i="11"/>
  <c r="N14" i="11" s="1" a="1"/>
  <c r="N14" i="11" s="1"/>
  <c r="C14" i="11"/>
  <c r="D14" i="11" s="1"/>
  <c r="BB13" i="11"/>
  <c r="P13" i="11"/>
  <c r="M13" i="11" s="1"/>
  <c r="N13" i="11" s="1" a="1"/>
  <c r="N13" i="11" s="1"/>
  <c r="C13" i="11"/>
  <c r="D13" i="11" s="1"/>
  <c r="BB12" i="11"/>
  <c r="P12" i="11"/>
  <c r="M12" i="11"/>
  <c r="N12" i="11" s="1" a="1"/>
  <c r="N12" i="11" s="1"/>
  <c r="C12" i="11"/>
  <c r="D12" i="11" s="1"/>
  <c r="BB11" i="11"/>
  <c r="P11" i="11"/>
  <c r="M11" i="11"/>
  <c r="N11" i="11" s="1" a="1"/>
  <c r="N11" i="11" s="1"/>
  <c r="C11" i="11"/>
  <c r="D11" i="11" s="1"/>
  <c r="BB10" i="11"/>
  <c r="P10" i="11"/>
  <c r="M10" i="11"/>
  <c r="N10" i="11" s="1" a="1"/>
  <c r="N10" i="11" s="1"/>
  <c r="C10" i="11"/>
  <c r="D10" i="11" s="1"/>
  <c r="BB9" i="11"/>
  <c r="P9" i="11"/>
  <c r="M9" i="11"/>
  <c r="N9" i="11" s="1" a="1"/>
  <c r="N9" i="11" s="1"/>
  <c r="C9" i="11"/>
  <c r="D9" i="11" s="1"/>
  <c r="C78" i="14"/>
  <c r="D78" i="14" s="1"/>
  <c r="C77" i="14"/>
  <c r="D77" i="14" s="1"/>
  <c r="C76" i="14"/>
  <c r="D76" i="14" s="1"/>
  <c r="C75" i="14"/>
  <c r="D75" i="14" s="1"/>
  <c r="C74" i="14"/>
  <c r="D74" i="14" s="1"/>
  <c r="C73" i="14"/>
  <c r="D73" i="14" s="1"/>
  <c r="C72" i="14"/>
  <c r="D72" i="14" s="1"/>
  <c r="C71" i="14"/>
  <c r="D71" i="14" s="1"/>
  <c r="C70" i="14"/>
  <c r="D70" i="14" s="1"/>
  <c r="C69" i="14"/>
  <c r="D69" i="14" s="1"/>
  <c r="C68" i="14"/>
  <c r="D68" i="14" s="1"/>
  <c r="C67" i="14"/>
  <c r="D67" i="14" s="1"/>
  <c r="C66" i="14"/>
  <c r="D66" i="14" s="1"/>
  <c r="C65" i="14"/>
  <c r="D65" i="14" s="1"/>
  <c r="C64" i="14"/>
  <c r="D64" i="14" s="1"/>
  <c r="C63" i="14"/>
  <c r="D63" i="14" s="1"/>
  <c r="C62" i="14"/>
  <c r="D62" i="14" s="1"/>
  <c r="C61" i="14"/>
  <c r="D61" i="14" s="1"/>
  <c r="C60" i="14"/>
  <c r="D60" i="14" s="1"/>
  <c r="C59" i="14"/>
  <c r="D59" i="14" s="1"/>
  <c r="C58" i="14"/>
  <c r="D58" i="14" s="1"/>
  <c r="C57" i="14"/>
  <c r="D57" i="14" s="1"/>
  <c r="C56" i="14"/>
  <c r="D56" i="14" s="1"/>
  <c r="C55" i="14"/>
  <c r="D55" i="14" s="1"/>
  <c r="C54" i="14"/>
  <c r="D54" i="14" s="1"/>
  <c r="C53" i="14"/>
  <c r="D53" i="14" s="1"/>
  <c r="C52" i="14"/>
  <c r="D52" i="14" s="1"/>
  <c r="C51" i="14"/>
  <c r="D51" i="14" s="1"/>
  <c r="C50" i="14"/>
  <c r="D50" i="14" s="1"/>
  <c r="C49" i="14"/>
  <c r="D49" i="14" s="1"/>
  <c r="C48" i="14"/>
  <c r="D48" i="14" s="1"/>
  <c r="C47" i="14"/>
  <c r="D47" i="14" s="1"/>
  <c r="C46" i="14"/>
  <c r="D46" i="14" s="1"/>
  <c r="C45" i="14"/>
  <c r="D45" i="14" s="1"/>
  <c r="C44" i="14"/>
  <c r="D44" i="14" s="1"/>
  <c r="C43" i="14"/>
  <c r="D43" i="14" s="1"/>
  <c r="C42" i="14"/>
  <c r="D42" i="14" s="1"/>
  <c r="C41" i="14"/>
  <c r="D41" i="14" s="1"/>
  <c r="C40" i="14"/>
  <c r="D40" i="14" s="1"/>
  <c r="C39" i="14"/>
  <c r="D39" i="14" s="1"/>
  <c r="C38" i="14"/>
  <c r="D38" i="14" s="1"/>
  <c r="C37" i="14"/>
  <c r="D37" i="14" s="1"/>
  <c r="C36" i="14"/>
  <c r="D36" i="14" s="1"/>
  <c r="C35" i="14"/>
  <c r="D35" i="14" s="1"/>
  <c r="C34" i="14"/>
  <c r="D34" i="14" s="1"/>
  <c r="C33" i="14"/>
  <c r="D33" i="14" s="1"/>
  <c r="C32" i="14"/>
  <c r="D32" i="14" s="1"/>
  <c r="C31" i="14"/>
  <c r="D31" i="14" s="1"/>
  <c r="C30" i="14"/>
  <c r="D30" i="14" s="1"/>
  <c r="C29" i="14"/>
  <c r="D29" i="14" s="1"/>
  <c r="C28" i="14"/>
  <c r="D28" i="14" s="1"/>
  <c r="C27" i="14"/>
  <c r="D27" i="14" s="1"/>
  <c r="C26" i="14"/>
  <c r="D26" i="14" s="1"/>
  <c r="C25" i="14"/>
  <c r="D25" i="14" s="1"/>
  <c r="C24" i="14"/>
  <c r="D24" i="14" s="1"/>
  <c r="C23" i="14"/>
  <c r="D23" i="14" s="1"/>
  <c r="C22" i="14"/>
  <c r="D22" i="14" s="1"/>
  <c r="C21" i="14"/>
  <c r="D21" i="14" s="1"/>
  <c r="C20" i="14"/>
  <c r="D20" i="14" s="1"/>
  <c r="C19" i="14"/>
  <c r="D19" i="14" s="1"/>
  <c r="C18" i="14"/>
  <c r="D18" i="14" s="1"/>
  <c r="C17" i="14"/>
  <c r="D17" i="14" s="1"/>
  <c r="C16" i="14"/>
  <c r="D16" i="14" s="1"/>
  <c r="C15" i="14"/>
  <c r="D15" i="14" s="1"/>
  <c r="C14" i="14"/>
  <c r="D14" i="14" s="1"/>
  <c r="C13" i="14"/>
  <c r="D13" i="14" s="1"/>
  <c r="C12" i="14"/>
  <c r="D12" i="14" s="1"/>
  <c r="C11" i="14"/>
  <c r="D11" i="14" s="1"/>
  <c r="C10" i="14"/>
  <c r="D10" i="14" s="1"/>
  <c r="C9" i="14"/>
  <c r="D9" i="14" s="1"/>
  <c r="C8" i="14"/>
  <c r="D8" i="14" s="1"/>
  <c r="C7" i="14"/>
  <c r="D7" i="14" s="1"/>
  <c r="C6" i="14"/>
  <c r="D6" i="14" s="1"/>
  <c r="C5" i="14"/>
  <c r="D5" i="14" s="1"/>
  <c r="C4" i="14"/>
  <c r="D4" i="14" s="1"/>
  <c r="C3" i="14"/>
  <c r="D3" i="14" s="1"/>
  <c r="C69" i="15"/>
  <c r="D69" i="15" s="1"/>
  <c r="C68" i="15"/>
  <c r="D68" i="15" s="1"/>
  <c r="C67" i="15"/>
  <c r="D67" i="15" s="1"/>
  <c r="C66" i="15"/>
  <c r="D66" i="15" s="1"/>
  <c r="C65" i="15"/>
  <c r="D65" i="15" s="1"/>
  <c r="C64" i="15"/>
  <c r="D64" i="15" s="1"/>
  <c r="C63" i="15"/>
  <c r="D63" i="15" s="1"/>
  <c r="C62" i="15"/>
  <c r="D62" i="15" s="1"/>
  <c r="C61" i="15"/>
  <c r="D61" i="15" s="1"/>
  <c r="C60" i="15"/>
  <c r="D60" i="15" s="1"/>
  <c r="C59" i="15"/>
  <c r="D59" i="15" s="1"/>
  <c r="C58" i="15"/>
  <c r="D58" i="15" s="1"/>
  <c r="C57" i="15"/>
  <c r="D57" i="15" s="1"/>
  <c r="C56" i="15"/>
  <c r="D56" i="15" s="1"/>
  <c r="C55" i="15"/>
  <c r="D55" i="15" s="1"/>
  <c r="C54" i="15"/>
  <c r="D54" i="15" s="1"/>
  <c r="C53" i="15"/>
  <c r="D53" i="15" s="1"/>
  <c r="C52" i="15"/>
  <c r="D52" i="15" s="1"/>
  <c r="C51" i="15"/>
  <c r="D51" i="15" s="1"/>
  <c r="C50" i="15"/>
  <c r="D50" i="15" s="1"/>
  <c r="C49" i="15"/>
  <c r="D49" i="15" s="1"/>
  <c r="C48" i="15"/>
  <c r="D48" i="15" s="1"/>
  <c r="C47" i="15"/>
  <c r="D47" i="15" s="1"/>
  <c r="C46" i="15"/>
  <c r="D46" i="15" s="1"/>
  <c r="C45" i="15"/>
  <c r="D45" i="15" s="1"/>
  <c r="C44" i="15"/>
  <c r="D44" i="15" s="1"/>
  <c r="C43" i="15"/>
  <c r="D43" i="15" s="1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D21" i="15" s="1"/>
  <c r="C20" i="15"/>
  <c r="D20" i="15" s="1"/>
  <c r="C19" i="15"/>
  <c r="D19" i="15" s="1"/>
  <c r="C18" i="15"/>
  <c r="D18" i="15" s="1"/>
  <c r="C17" i="15"/>
  <c r="D17" i="15" s="1"/>
  <c r="C16" i="15"/>
  <c r="D16" i="15" s="1"/>
  <c r="C15" i="15"/>
  <c r="D15" i="15" s="1"/>
  <c r="C14" i="15"/>
  <c r="D14" i="15" s="1"/>
  <c r="C13" i="15"/>
  <c r="D13" i="15" s="1"/>
  <c r="C12" i="15"/>
  <c r="D12" i="15" s="1"/>
  <c r="C11" i="15"/>
  <c r="D11" i="15" s="1"/>
  <c r="C10" i="15"/>
  <c r="D10" i="15" s="1"/>
  <c r="C9" i="15"/>
  <c r="D9" i="15" s="1"/>
  <c r="C8" i="15"/>
  <c r="D8" i="15" s="1"/>
  <c r="C7" i="15"/>
  <c r="D7" i="15" s="1"/>
  <c r="C6" i="15"/>
  <c r="D6" i="15" s="1"/>
  <c r="C5" i="15"/>
  <c r="D5" i="15" s="1"/>
  <c r="C4" i="15"/>
  <c r="D4" i="15" s="1"/>
  <c r="C3" i="15"/>
  <c r="D3" i="15" s="1"/>
  <c r="C74" i="13"/>
  <c r="D74" i="13" s="1"/>
  <c r="C73" i="13"/>
  <c r="D73" i="13" s="1"/>
  <c r="C72" i="13"/>
  <c r="D72" i="13" s="1"/>
  <c r="C71" i="13"/>
  <c r="D71" i="13" s="1"/>
  <c r="C70" i="13"/>
  <c r="D70" i="13" s="1"/>
  <c r="C69" i="13"/>
  <c r="D69" i="13" s="1"/>
  <c r="C68" i="13"/>
  <c r="D68" i="13" s="1"/>
  <c r="C67" i="13"/>
  <c r="D67" i="13" s="1"/>
  <c r="C66" i="13"/>
  <c r="D66" i="13" s="1"/>
  <c r="C65" i="13"/>
  <c r="D65" i="13" s="1"/>
  <c r="C64" i="13"/>
  <c r="D64" i="13" s="1"/>
  <c r="C63" i="13"/>
  <c r="D63" i="13" s="1"/>
  <c r="C62" i="13"/>
  <c r="D62" i="13" s="1"/>
  <c r="C61" i="13"/>
  <c r="D61" i="13" s="1"/>
  <c r="C60" i="13"/>
  <c r="D60" i="13" s="1"/>
  <c r="C59" i="13"/>
  <c r="D59" i="13" s="1"/>
  <c r="C58" i="13"/>
  <c r="D58" i="13" s="1"/>
  <c r="C57" i="13"/>
  <c r="D57" i="13" s="1"/>
  <c r="C56" i="13"/>
  <c r="D56" i="13" s="1"/>
  <c r="C55" i="13"/>
  <c r="D55" i="13" s="1"/>
  <c r="C54" i="13"/>
  <c r="D54" i="13" s="1"/>
  <c r="C53" i="13"/>
  <c r="D53" i="13" s="1"/>
  <c r="C52" i="13"/>
  <c r="D52" i="13" s="1"/>
  <c r="C51" i="13"/>
  <c r="D51" i="13" s="1"/>
  <c r="C50" i="13"/>
  <c r="D50" i="13" s="1"/>
  <c r="C49" i="13"/>
  <c r="D49" i="13" s="1"/>
  <c r="C48" i="13"/>
  <c r="D48" i="13" s="1"/>
  <c r="C47" i="13"/>
  <c r="D47" i="13" s="1"/>
  <c r="C46" i="13"/>
  <c r="D46" i="13" s="1"/>
  <c r="C45" i="13"/>
  <c r="D45" i="13" s="1"/>
  <c r="C44" i="13"/>
  <c r="D44" i="13" s="1"/>
  <c r="C43" i="13"/>
  <c r="D43" i="13" s="1"/>
  <c r="C42" i="13"/>
  <c r="D42" i="13" s="1"/>
  <c r="C41" i="13"/>
  <c r="D41" i="13" s="1"/>
  <c r="C40" i="13"/>
  <c r="D40" i="13" s="1"/>
  <c r="C39" i="13"/>
  <c r="D39" i="13" s="1"/>
  <c r="C38" i="13"/>
  <c r="D38" i="13" s="1"/>
  <c r="C37" i="13"/>
  <c r="D37" i="13" s="1"/>
  <c r="C36" i="13"/>
  <c r="D36" i="13" s="1"/>
  <c r="C35" i="13"/>
  <c r="D35" i="13" s="1"/>
  <c r="C34" i="13"/>
  <c r="D34" i="13" s="1"/>
  <c r="C33" i="13"/>
  <c r="D33" i="13" s="1"/>
  <c r="C32" i="13"/>
  <c r="D32" i="13" s="1"/>
  <c r="C31" i="13"/>
  <c r="D31" i="13" s="1"/>
  <c r="C30" i="13"/>
  <c r="D30" i="13" s="1"/>
  <c r="C29" i="13"/>
  <c r="D29" i="13" s="1"/>
  <c r="C28" i="13"/>
  <c r="D28" i="13" s="1"/>
  <c r="C27" i="13"/>
  <c r="D27" i="13" s="1"/>
  <c r="C26" i="13"/>
  <c r="D26" i="13" s="1"/>
  <c r="C25" i="13"/>
  <c r="D25" i="13" s="1"/>
  <c r="C24" i="13"/>
  <c r="D24" i="13" s="1"/>
  <c r="C23" i="13"/>
  <c r="D23" i="13" s="1"/>
  <c r="C22" i="13"/>
  <c r="D22" i="13" s="1"/>
  <c r="C21" i="13"/>
  <c r="D21" i="13" s="1"/>
  <c r="C20" i="13"/>
  <c r="D20" i="13" s="1"/>
  <c r="C19" i="13"/>
  <c r="D19" i="13" s="1"/>
  <c r="C18" i="13"/>
  <c r="D18" i="13" s="1"/>
  <c r="C17" i="13"/>
  <c r="D17" i="13" s="1"/>
  <c r="C16" i="13"/>
  <c r="D16" i="13" s="1"/>
  <c r="C15" i="13"/>
  <c r="D15" i="13" s="1"/>
  <c r="C14" i="13"/>
  <c r="D14" i="13" s="1"/>
  <c r="C13" i="13"/>
  <c r="D13" i="13" s="1"/>
  <c r="C12" i="13"/>
  <c r="D12" i="13" s="1"/>
  <c r="C11" i="13"/>
  <c r="D11" i="13" s="1"/>
  <c r="C10" i="13"/>
  <c r="D10" i="13" s="1"/>
  <c r="C9" i="13"/>
  <c r="D9" i="13" s="1"/>
  <c r="C8" i="13"/>
  <c r="D8" i="13" s="1"/>
  <c r="C7" i="13"/>
  <c r="D7" i="13" s="1"/>
  <c r="C6" i="13"/>
  <c r="D6" i="13" s="1"/>
  <c r="C5" i="13"/>
  <c r="D5" i="13" s="1"/>
  <c r="C4" i="13"/>
  <c r="D4" i="13" s="1"/>
  <c r="C3" i="13"/>
  <c r="D3" i="13" s="1"/>
  <c r="C72" i="12"/>
  <c r="D72" i="12" s="1"/>
  <c r="C71" i="12"/>
  <c r="D71" i="12" s="1"/>
  <c r="C70" i="12"/>
  <c r="D70" i="12" s="1"/>
  <c r="C69" i="12"/>
  <c r="D69" i="12" s="1"/>
  <c r="C68" i="12"/>
  <c r="D68" i="12" s="1"/>
  <c r="C67" i="12"/>
  <c r="D67" i="12" s="1"/>
  <c r="C66" i="12"/>
  <c r="D66" i="12" s="1"/>
  <c r="C65" i="12"/>
  <c r="D65" i="12" s="1"/>
  <c r="C64" i="12"/>
  <c r="D64" i="12" s="1"/>
  <c r="C63" i="12"/>
  <c r="D63" i="12" s="1"/>
  <c r="C62" i="12"/>
  <c r="D62" i="12" s="1"/>
  <c r="C61" i="12"/>
  <c r="D61" i="12" s="1"/>
  <c r="C60" i="12"/>
  <c r="D60" i="12" s="1"/>
  <c r="C59" i="12"/>
  <c r="D59" i="12" s="1"/>
  <c r="C58" i="12"/>
  <c r="D58" i="12" s="1"/>
  <c r="C57" i="12"/>
  <c r="D57" i="12" s="1"/>
  <c r="C56" i="12"/>
  <c r="D56" i="12" s="1"/>
  <c r="C55" i="12"/>
  <c r="D55" i="12" s="1"/>
  <c r="C54" i="12"/>
  <c r="D54" i="12" s="1"/>
  <c r="C53" i="12"/>
  <c r="D53" i="12" s="1"/>
  <c r="C52" i="12"/>
  <c r="D52" i="12" s="1"/>
  <c r="C51" i="12"/>
  <c r="D51" i="12" s="1"/>
  <c r="C50" i="12"/>
  <c r="D50" i="12" s="1"/>
  <c r="C49" i="12"/>
  <c r="D49" i="12" s="1"/>
  <c r="C48" i="12"/>
  <c r="D48" i="12" s="1"/>
  <c r="C47" i="12"/>
  <c r="D47" i="12" s="1"/>
  <c r="C46" i="12"/>
  <c r="D46" i="12" s="1"/>
  <c r="C45" i="12"/>
  <c r="D45" i="12" s="1"/>
  <c r="C44" i="12"/>
  <c r="D44" i="12" s="1"/>
  <c r="C43" i="12"/>
  <c r="D43" i="12" s="1"/>
  <c r="C42" i="12"/>
  <c r="D42" i="12" s="1"/>
  <c r="C41" i="12"/>
  <c r="D41" i="12" s="1"/>
  <c r="C40" i="12"/>
  <c r="D40" i="12" s="1"/>
  <c r="C39" i="12"/>
  <c r="D39" i="12" s="1"/>
  <c r="C38" i="12"/>
  <c r="D38" i="12" s="1"/>
  <c r="C37" i="12"/>
  <c r="D37" i="12" s="1"/>
  <c r="C36" i="12"/>
  <c r="D36" i="12" s="1"/>
  <c r="C35" i="12"/>
  <c r="D35" i="12" s="1"/>
  <c r="C34" i="12"/>
  <c r="D34" i="12" s="1"/>
  <c r="C33" i="12"/>
  <c r="D33" i="12" s="1"/>
  <c r="C32" i="12"/>
  <c r="D32" i="12" s="1"/>
  <c r="C31" i="12"/>
  <c r="D31" i="12" s="1"/>
  <c r="C30" i="12"/>
  <c r="D30" i="12" s="1"/>
  <c r="C29" i="12"/>
  <c r="D29" i="12" s="1"/>
  <c r="C28" i="12"/>
  <c r="D28" i="12" s="1"/>
  <c r="C27" i="12"/>
  <c r="D27" i="12" s="1"/>
  <c r="C26" i="12"/>
  <c r="D26" i="12" s="1"/>
  <c r="C25" i="12"/>
  <c r="D25" i="12" s="1"/>
  <c r="C24" i="12"/>
  <c r="D24" i="12" s="1"/>
  <c r="C23" i="12"/>
  <c r="D23" i="12" s="1"/>
  <c r="C22" i="12"/>
  <c r="D22" i="12" s="1"/>
  <c r="C21" i="12"/>
  <c r="D21" i="12" s="1"/>
  <c r="C20" i="12"/>
  <c r="D20" i="12" s="1"/>
  <c r="C19" i="12"/>
  <c r="D19" i="12" s="1"/>
  <c r="C18" i="12"/>
  <c r="D18" i="12" s="1"/>
  <c r="C17" i="12"/>
  <c r="D17" i="12" s="1"/>
  <c r="C16" i="12"/>
  <c r="D16" i="12" s="1"/>
  <c r="C15" i="12"/>
  <c r="D15" i="12" s="1"/>
  <c r="C14" i="12"/>
  <c r="D14" i="12" s="1"/>
  <c r="C13" i="12"/>
  <c r="D13" i="12" s="1"/>
  <c r="C12" i="12"/>
  <c r="D12" i="12" s="1"/>
  <c r="C11" i="12"/>
  <c r="D11" i="12" s="1"/>
  <c r="C10" i="12"/>
  <c r="D10" i="12" s="1"/>
  <c r="C9" i="12"/>
  <c r="D9" i="12" s="1"/>
  <c r="C8" i="12"/>
  <c r="D8" i="12" s="1"/>
  <c r="C7" i="12"/>
  <c r="D7" i="12" s="1"/>
  <c r="C6" i="12"/>
  <c r="D6" i="12" s="1"/>
  <c r="C5" i="12"/>
  <c r="D5" i="12" s="1"/>
  <c r="C4" i="12"/>
  <c r="D4" i="12" s="1"/>
  <c r="C3" i="12"/>
  <c r="D3" i="12" s="1"/>
  <c r="C73" i="16"/>
  <c r="D73" i="16" s="1"/>
  <c r="C72" i="16"/>
  <c r="D72" i="16" s="1"/>
  <c r="C71" i="16"/>
  <c r="D71" i="16" s="1"/>
  <c r="C70" i="16"/>
  <c r="D70" i="16" s="1"/>
  <c r="C69" i="16"/>
  <c r="D69" i="16" s="1"/>
  <c r="C68" i="16"/>
  <c r="D68" i="16" s="1"/>
  <c r="C67" i="16"/>
  <c r="D67" i="16" s="1"/>
  <c r="C66" i="16"/>
  <c r="D66" i="16" s="1"/>
  <c r="C65" i="16"/>
  <c r="D65" i="16" s="1"/>
  <c r="C54" i="16"/>
  <c r="D54" i="16" s="1"/>
  <c r="C53" i="16"/>
  <c r="D53" i="16" s="1"/>
  <c r="C52" i="16"/>
  <c r="D52" i="16" s="1"/>
  <c r="C51" i="16"/>
  <c r="D51" i="16" s="1"/>
  <c r="C50" i="16"/>
  <c r="D50" i="16" s="1"/>
  <c r="C49" i="16"/>
  <c r="D49" i="16" s="1"/>
  <c r="C48" i="16"/>
  <c r="D48" i="16" s="1"/>
  <c r="C47" i="16"/>
  <c r="D47" i="16" s="1"/>
  <c r="C46" i="16"/>
  <c r="D46" i="16" s="1"/>
  <c r="C45" i="16"/>
  <c r="D45" i="16" s="1"/>
  <c r="C44" i="16"/>
  <c r="D44" i="16" s="1"/>
  <c r="C43" i="16"/>
  <c r="D43" i="16" s="1"/>
  <c r="C42" i="16"/>
  <c r="D42" i="16" s="1"/>
  <c r="C41" i="16"/>
  <c r="D41" i="16" s="1"/>
  <c r="C40" i="16"/>
  <c r="D40" i="16" s="1"/>
  <c r="C39" i="16"/>
  <c r="D39" i="16" s="1"/>
  <c r="C38" i="16"/>
  <c r="D38" i="16" s="1"/>
  <c r="C37" i="16"/>
  <c r="D37" i="16" s="1"/>
  <c r="C36" i="16"/>
  <c r="D36" i="16" s="1"/>
  <c r="C35" i="16"/>
  <c r="D35" i="16" s="1"/>
  <c r="C34" i="16"/>
  <c r="D34" i="16" s="1"/>
  <c r="C33" i="16"/>
  <c r="D33" i="16" s="1"/>
  <c r="C32" i="16"/>
  <c r="D32" i="16" s="1"/>
  <c r="C31" i="16"/>
  <c r="D31" i="16" s="1"/>
  <c r="C30" i="16"/>
  <c r="D30" i="16" s="1"/>
  <c r="C29" i="16"/>
  <c r="D29" i="16" s="1"/>
  <c r="C28" i="16"/>
  <c r="D28" i="16" s="1"/>
  <c r="C27" i="16"/>
  <c r="D27" i="16" s="1"/>
  <c r="C26" i="16"/>
  <c r="D26" i="16" s="1"/>
  <c r="C25" i="16"/>
  <c r="D25" i="16" s="1"/>
  <c r="C24" i="16"/>
  <c r="D24" i="16" s="1"/>
  <c r="C23" i="16"/>
  <c r="D23" i="16" s="1"/>
  <c r="C22" i="16"/>
  <c r="D22" i="16" s="1"/>
  <c r="C21" i="16"/>
  <c r="D21" i="16" s="1"/>
  <c r="C20" i="16"/>
  <c r="D20" i="16" s="1"/>
  <c r="C19" i="16"/>
  <c r="D19" i="16" s="1"/>
  <c r="C18" i="16"/>
  <c r="D18" i="16" s="1"/>
  <c r="C17" i="16"/>
  <c r="D17" i="16" s="1"/>
  <c r="C16" i="16"/>
  <c r="D16" i="16" s="1"/>
  <c r="C15" i="16"/>
  <c r="D15" i="16" s="1"/>
  <c r="C14" i="16"/>
  <c r="D14" i="16" s="1"/>
  <c r="C13" i="16"/>
  <c r="D13" i="16" s="1"/>
  <c r="C12" i="16"/>
  <c r="D12" i="16" s="1"/>
  <c r="C11" i="16"/>
  <c r="D11" i="16" s="1"/>
  <c r="C10" i="16"/>
  <c r="D10" i="16" s="1"/>
  <c r="C9" i="16"/>
  <c r="D9" i="16" s="1"/>
  <c r="C8" i="16"/>
  <c r="D8" i="16" s="1"/>
  <c r="C7" i="16"/>
  <c r="D7" i="16" s="1"/>
  <c r="C6" i="16"/>
  <c r="D6" i="16" s="1"/>
  <c r="C5" i="16"/>
  <c r="D5" i="16" s="1"/>
  <c r="C4" i="16"/>
  <c r="D4" i="16" s="1"/>
  <c r="C3" i="16"/>
  <c r="D3" i="16" s="1"/>
  <c r="C57" i="17" l="1" a="1"/>
  <c r="C57" i="17" s="1"/>
  <c r="C57" i="36" a="1"/>
  <c r="C57" i="36" s="1"/>
  <c r="D57" i="36" s="1"/>
  <c r="C53" i="36" a="1"/>
  <c r="C53" i="36" s="1"/>
  <c r="D53" i="36" s="1"/>
  <c r="C54" i="36" a="1"/>
  <c r="C54" i="36" s="1"/>
  <c r="D54" i="36" s="1"/>
  <c r="C56" i="36" a="1"/>
  <c r="C56" i="36" s="1"/>
  <c r="D56" i="36" s="1"/>
  <c r="C55" i="36" a="1"/>
  <c r="C55" i="36" s="1"/>
  <c r="D55" i="36" s="1"/>
  <c r="C52" i="36" a="1"/>
  <c r="C52" i="36" s="1"/>
  <c r="D52" i="36" s="1"/>
  <c r="C44" i="17" a="1"/>
  <c r="C44" i="17" s="1"/>
  <c r="D44" i="17" s="1"/>
  <c r="C47" i="17" a="1"/>
  <c r="C47" i="17" s="1"/>
  <c r="D47" i="17" s="1"/>
  <c r="C49" i="17" a="1"/>
  <c r="C49" i="17" s="1"/>
  <c r="D49" i="17" s="1"/>
  <c r="C48" i="17" a="1"/>
  <c r="C48" i="17" s="1"/>
  <c r="D48" i="17" s="1"/>
  <c r="C24" i="17" a="1"/>
  <c r="C24" i="17" s="1"/>
  <c r="C50" i="17" a="1"/>
  <c r="C50" i="17" s="1"/>
  <c r="D50" i="17" s="1"/>
  <c r="AO13" i="36"/>
  <c r="AQ13" i="36" s="1"/>
  <c r="AO12" i="36"/>
  <c r="AQ12" i="36" s="1"/>
  <c r="AO11" i="36"/>
  <c r="AQ11" i="36" s="1"/>
  <c r="AO10" i="36"/>
  <c r="AQ10" i="36" s="1"/>
  <c r="AO9" i="36"/>
  <c r="AQ9" i="36" s="1"/>
  <c r="AQ13" i="35"/>
  <c r="AS13" i="35" s="1"/>
  <c r="AQ12" i="35"/>
  <c r="AS12" i="35" s="1"/>
  <c r="AQ11" i="35"/>
  <c r="AS11" i="35" s="1"/>
  <c r="AQ10" i="35"/>
  <c r="AS10" i="35" s="1"/>
  <c r="AQ9" i="35"/>
  <c r="AS9" i="35" s="1"/>
  <c r="C53" i="17" a="1"/>
  <c r="C53" i="17" s="1"/>
  <c r="D53" i="17" s="1"/>
  <c r="C47" i="36" a="1"/>
  <c r="C47" i="36" s="1"/>
  <c r="C46" i="36" a="1"/>
  <c r="C46" i="36" s="1"/>
  <c r="C45" i="36" a="1"/>
  <c r="C45" i="36" s="1"/>
  <c r="C44" i="36" a="1"/>
  <c r="C44" i="36" s="1"/>
  <c r="C43" i="36" a="1"/>
  <c r="C43" i="36" s="1"/>
  <c r="C42" i="36" a="1"/>
  <c r="C42" i="36" s="1"/>
  <c r="C41" i="36" a="1"/>
  <c r="C41" i="36" s="1"/>
  <c r="C40" i="36" a="1"/>
  <c r="C40" i="36" s="1"/>
  <c r="Q48" i="36" s="1"/>
  <c r="M48" i="36" s="1"/>
  <c r="N48" i="36" s="1" a="1"/>
  <c r="N48" i="36" s="1"/>
  <c r="C39" i="36" a="1"/>
  <c r="C39" i="36" s="1"/>
  <c r="C38" i="36" a="1"/>
  <c r="C38" i="36" s="1"/>
  <c r="C37" i="36" a="1"/>
  <c r="C37" i="36" s="1"/>
  <c r="C36" i="36" a="1"/>
  <c r="C36" i="36" s="1"/>
  <c r="C35" i="36" a="1"/>
  <c r="C35" i="36" s="1"/>
  <c r="C34" i="36" a="1"/>
  <c r="C34" i="36" s="1"/>
  <c r="C33" i="36" a="1"/>
  <c r="C33" i="36" s="1"/>
  <c r="C32" i="36" a="1"/>
  <c r="C32" i="36" s="1"/>
  <c r="C31" i="36" a="1"/>
  <c r="C31" i="36" s="1"/>
  <c r="C30" i="36" a="1"/>
  <c r="C30" i="36" s="1"/>
  <c r="C29" i="36" a="1"/>
  <c r="C29" i="36" s="1"/>
  <c r="C28" i="36" a="1"/>
  <c r="C28" i="36" s="1"/>
  <c r="C27" i="36" a="1"/>
  <c r="C27" i="36" s="1"/>
  <c r="C26" i="36" a="1"/>
  <c r="C26" i="36" s="1"/>
  <c r="C25" i="36" a="1"/>
  <c r="C25" i="36" s="1"/>
  <c r="C24" i="36" a="1"/>
  <c r="C24" i="36" s="1"/>
  <c r="C23" i="36" a="1"/>
  <c r="C23" i="36" s="1"/>
  <c r="C22" i="36" a="1"/>
  <c r="C22" i="36" s="1"/>
  <c r="C21" i="36" a="1"/>
  <c r="C21" i="36" s="1"/>
  <c r="C20" i="36" a="1"/>
  <c r="C20" i="36" s="1"/>
  <c r="C19" i="36" a="1"/>
  <c r="C19" i="36" s="1"/>
  <c r="C18" i="36" a="1"/>
  <c r="C18" i="36" s="1"/>
  <c r="C17" i="36" a="1"/>
  <c r="C17" i="36" s="1"/>
  <c r="C16" i="36" a="1"/>
  <c r="C16" i="36" s="1"/>
  <c r="C15" i="36" a="1"/>
  <c r="C15" i="36" s="1"/>
  <c r="C14" i="36" a="1"/>
  <c r="C14" i="36" s="1"/>
  <c r="C13" i="36" a="1"/>
  <c r="C13" i="36" s="1"/>
  <c r="C12" i="36" a="1"/>
  <c r="C12" i="36" s="1"/>
  <c r="C11" i="36" a="1"/>
  <c r="C11" i="36" s="1"/>
  <c r="C10" i="36" a="1"/>
  <c r="C10" i="36" s="1"/>
  <c r="C9" i="36" a="1"/>
  <c r="C9" i="36" s="1"/>
  <c r="C8" i="36" a="1"/>
  <c r="C8" i="36" s="1"/>
  <c r="C7" i="36" a="1"/>
  <c r="C7" i="36" s="1"/>
  <c r="C6" i="36" a="1"/>
  <c r="C6" i="36" s="1"/>
  <c r="C5" i="36" a="1"/>
  <c r="C5" i="36" s="1"/>
  <c r="C4" i="36" a="1"/>
  <c r="C4" i="36" s="1"/>
  <c r="C3" i="36" a="1"/>
  <c r="C3" i="36" s="1"/>
  <c r="C59" i="35" a="1"/>
  <c r="C59" i="35" s="1"/>
  <c r="C58" i="35" a="1"/>
  <c r="C58" i="35" s="1"/>
  <c r="C57" i="35" a="1"/>
  <c r="C57" i="35" s="1"/>
  <c r="C56" i="35" a="1"/>
  <c r="C56" i="35" s="1"/>
  <c r="C55" i="35" a="1"/>
  <c r="C55" i="35" s="1"/>
  <c r="C54" i="35" a="1"/>
  <c r="C54" i="35" s="1"/>
  <c r="C53" i="35" a="1"/>
  <c r="C53" i="35" s="1"/>
  <c r="C52" i="35" a="1"/>
  <c r="C52" i="35" s="1"/>
  <c r="C51" i="35" a="1"/>
  <c r="C51" i="35" s="1"/>
  <c r="C50" i="35" a="1"/>
  <c r="C50" i="35" s="1"/>
  <c r="C49" i="35" a="1"/>
  <c r="C49" i="35" s="1"/>
  <c r="C48" i="35" a="1"/>
  <c r="C48" i="35" s="1"/>
  <c r="C47" i="35" a="1"/>
  <c r="C47" i="35" s="1"/>
  <c r="C46" i="35" a="1"/>
  <c r="C46" i="35" s="1"/>
  <c r="C45" i="35" a="1"/>
  <c r="C45" i="35" s="1"/>
  <c r="C44" i="35" a="1"/>
  <c r="C44" i="35" s="1"/>
  <c r="C43" i="35" a="1"/>
  <c r="C43" i="35" s="1"/>
  <c r="C42" i="35" a="1"/>
  <c r="C42" i="35" s="1"/>
  <c r="C41" i="35" a="1"/>
  <c r="C41" i="35" s="1"/>
  <c r="C40" i="35" a="1"/>
  <c r="C40" i="35" s="1"/>
  <c r="C39" i="35" a="1"/>
  <c r="C39" i="35" s="1"/>
  <c r="C38" i="35" a="1"/>
  <c r="C38" i="35" s="1"/>
  <c r="C9" i="35" a="1"/>
  <c r="C9" i="35" s="1"/>
  <c r="C8" i="35" a="1"/>
  <c r="C8" i="35" s="1"/>
  <c r="C6" i="35" a="1"/>
  <c r="C6" i="35" s="1"/>
  <c r="C5" i="35" a="1"/>
  <c r="C5" i="35" s="1"/>
  <c r="C3" i="35" a="1"/>
  <c r="C3" i="35" s="1"/>
  <c r="C56" i="17" a="1"/>
  <c r="C56" i="17" s="1"/>
  <c r="D56" i="17" s="1"/>
  <c r="C55" i="17" a="1"/>
  <c r="C55" i="17" s="1"/>
  <c r="D55" i="17" s="1"/>
  <c r="C52" i="17" a="1"/>
  <c r="C52" i="17" s="1"/>
  <c r="D52" i="17" s="1"/>
  <c r="C50" i="36" a="1"/>
  <c r="C50" i="36" s="1"/>
  <c r="C49" i="36" a="1"/>
  <c r="C49" i="36" s="1"/>
  <c r="C37" i="35" a="1"/>
  <c r="C37" i="35" s="1"/>
  <c r="C36" i="35" a="1"/>
  <c r="C36" i="35" s="1"/>
  <c r="C35" i="35" a="1"/>
  <c r="C35" i="35" s="1"/>
  <c r="C34" i="35" a="1"/>
  <c r="C34" i="35" s="1"/>
  <c r="C33" i="35" a="1"/>
  <c r="C33" i="35" s="1"/>
  <c r="C32" i="35" a="1"/>
  <c r="C32" i="35" s="1"/>
  <c r="C31" i="35" a="1"/>
  <c r="C31" i="35" s="1"/>
  <c r="C30" i="35" a="1"/>
  <c r="C30" i="35" s="1"/>
  <c r="C29" i="35" a="1"/>
  <c r="C29" i="35" s="1"/>
  <c r="C28" i="35" a="1"/>
  <c r="C28" i="35" s="1"/>
  <c r="C27" i="35" a="1"/>
  <c r="C27" i="35" s="1"/>
  <c r="C26" i="35" a="1"/>
  <c r="C26" i="35" s="1"/>
  <c r="C25" i="35" a="1"/>
  <c r="C25" i="35" s="1"/>
  <c r="C24" i="35" a="1"/>
  <c r="C24" i="35" s="1"/>
  <c r="C23" i="35" a="1"/>
  <c r="C23" i="35" s="1"/>
  <c r="C22" i="35" a="1"/>
  <c r="C22" i="35" s="1"/>
  <c r="C21" i="35" a="1"/>
  <c r="C21" i="35" s="1"/>
  <c r="C20" i="35" a="1"/>
  <c r="C20" i="35" s="1"/>
  <c r="C19" i="35" a="1"/>
  <c r="C19" i="35" s="1"/>
  <c r="C18" i="35" a="1"/>
  <c r="C18" i="35" s="1"/>
  <c r="C17" i="35" a="1"/>
  <c r="C17" i="35" s="1"/>
  <c r="C16" i="35" a="1"/>
  <c r="C16" i="35" s="1"/>
  <c r="C15" i="35" a="1"/>
  <c r="C15" i="35" s="1"/>
  <c r="C14" i="35" a="1"/>
  <c r="C14" i="35" s="1"/>
  <c r="C13" i="35" a="1"/>
  <c r="C13" i="35" s="1"/>
  <c r="C12" i="35" a="1"/>
  <c r="C12" i="35" s="1"/>
  <c r="C11" i="35" a="1"/>
  <c r="C11" i="35" s="1"/>
  <c r="C10" i="35" a="1"/>
  <c r="C10" i="35" s="1"/>
  <c r="C7" i="35" a="1"/>
  <c r="C7" i="35" s="1"/>
  <c r="C4" i="35" a="1"/>
  <c r="C4" i="35" s="1"/>
  <c r="C54" i="17" a="1"/>
  <c r="C54" i="17" s="1"/>
  <c r="D54" i="17" s="1"/>
  <c r="C51" i="36" a="1"/>
  <c r="C51" i="36" s="1"/>
  <c r="C48" i="36" a="1"/>
  <c r="C48" i="36" s="1"/>
  <c r="C51" i="17" a="1"/>
  <c r="C51" i="17" s="1"/>
  <c r="D51" i="17" s="1"/>
  <c r="C37" i="17" a="1"/>
  <c r="C37" i="17" s="1"/>
  <c r="C25" i="17" a="1"/>
  <c r="C25" i="17" s="1"/>
  <c r="C26" i="17" a="1"/>
  <c r="C26" i="17" s="1"/>
  <c r="C11" i="17" a="1"/>
  <c r="C11" i="17" s="1"/>
  <c r="C32" i="17" a="1"/>
  <c r="C32" i="17" s="1"/>
  <c r="C5" i="17" a="1"/>
  <c r="C5" i="17" s="1"/>
  <c r="C4" i="17" a="1"/>
  <c r="C4" i="17" s="1"/>
  <c r="C40" i="17" a="1"/>
  <c r="C40" i="17" s="1"/>
  <c r="C23" i="17" a="1"/>
  <c r="C23" i="17" s="1"/>
  <c r="C19" i="17" a="1"/>
  <c r="C19" i="17" s="1"/>
  <c r="C3" i="17" a="1"/>
  <c r="C3" i="17" s="1"/>
  <c r="C9" i="17" a="1"/>
  <c r="C9" i="17" s="1"/>
  <c r="C31" i="17" a="1"/>
  <c r="C31" i="17" s="1"/>
  <c r="C10" i="17" a="1"/>
  <c r="C10" i="17" s="1"/>
  <c r="C39" i="17" a="1"/>
  <c r="C39" i="17" s="1"/>
  <c r="D39" i="17" s="1"/>
  <c r="C45" i="17" a="1"/>
  <c r="C45" i="17" s="1"/>
  <c r="D45" i="17" s="1"/>
  <c r="C7" i="17" a="1"/>
  <c r="C7" i="17" s="1"/>
  <c r="C12" i="17" a="1"/>
  <c r="C12" i="17" s="1"/>
  <c r="C18" i="17" a="1"/>
  <c r="C18" i="17" s="1"/>
  <c r="C35" i="17" a="1"/>
  <c r="C35" i="17" s="1"/>
  <c r="C29" i="17" a="1"/>
  <c r="C29" i="17" s="1"/>
  <c r="C13" i="17" a="1"/>
  <c r="C13" i="17" s="1"/>
  <c r="C27" i="17" a="1"/>
  <c r="C27" i="17" s="1"/>
  <c r="C43" i="17" a="1"/>
  <c r="C43" i="17" s="1"/>
  <c r="D43" i="17" s="1"/>
  <c r="C36" i="17" a="1"/>
  <c r="C36" i="17" s="1"/>
  <c r="D36" i="17" s="1"/>
  <c r="C42" i="17" a="1"/>
  <c r="C42" i="17" s="1"/>
  <c r="C17" i="17" a="1"/>
  <c r="C17" i="17" s="1"/>
  <c r="D17" i="17" s="1"/>
  <c r="C33" i="17" a="1"/>
  <c r="C33" i="17" s="1"/>
  <c r="C20" i="17" a="1"/>
  <c r="C20" i="17" s="1"/>
  <c r="C30" i="17" a="1"/>
  <c r="C30" i="17" s="1"/>
  <c r="C28" i="17" a="1"/>
  <c r="C28" i="17" s="1"/>
  <c r="C38" i="17" a="1"/>
  <c r="C38" i="17" s="1"/>
  <c r="D38" i="17" s="1"/>
  <c r="C21" i="17" a="1"/>
  <c r="C21" i="17" s="1"/>
  <c r="C8" i="17" a="1"/>
  <c r="C8" i="17" s="1"/>
  <c r="C14" i="17" a="1"/>
  <c r="C14" i="17" s="1"/>
  <c r="C15" i="17" a="1"/>
  <c r="C15" i="17" s="1"/>
  <c r="C34" i="17" a="1"/>
  <c r="C34" i="17" s="1"/>
  <c r="C22" i="17" a="1"/>
  <c r="C22" i="17" s="1"/>
  <c r="AP11" i="17"/>
  <c r="AP12" i="17"/>
  <c r="AP13" i="17"/>
  <c r="AP9" i="17"/>
  <c r="AP10" i="17"/>
  <c r="C41" i="17" a="1"/>
  <c r="C41" i="17" s="1"/>
  <c r="C6" i="17" a="1"/>
  <c r="C6" i="17" s="1"/>
  <c r="C16" i="17" a="1"/>
  <c r="C16" i="17" s="1"/>
  <c r="C46" i="17" a="1"/>
  <c r="C46" i="17" s="1"/>
  <c r="D46" i="17" s="1"/>
  <c r="E38" i="17"/>
  <c r="E36" i="17"/>
  <c r="E37" i="17"/>
  <c r="C8" i="33"/>
  <c r="D8" i="33" s="1"/>
  <c r="C52" i="33"/>
  <c r="D52" i="33" s="1"/>
  <c r="C32" i="33"/>
  <c r="Q33" i="33" s="1"/>
  <c r="M33" i="33" s="1"/>
  <c r="N33" i="33" s="1" a="1"/>
  <c r="N33" i="33" s="1"/>
  <c r="C46" i="33"/>
  <c r="D46" i="33" s="1"/>
  <c r="C40" i="33"/>
  <c r="Q41" i="33" s="1"/>
  <c r="M41" i="33" s="1"/>
  <c r="N41" i="33" s="1" a="1"/>
  <c r="N41" i="33" s="1"/>
  <c r="C21" i="33"/>
  <c r="D21" i="33" s="1"/>
  <c r="C39" i="33"/>
  <c r="Q40" i="33" s="1"/>
  <c r="M40" i="33" s="1"/>
  <c r="N40" i="33" s="1" a="1"/>
  <c r="N40" i="33" s="1"/>
  <c r="C23" i="33"/>
  <c r="D23" i="33" s="1"/>
  <c r="C45" i="33"/>
  <c r="D45" i="33" s="1"/>
  <c r="C22" i="33"/>
  <c r="D22" i="33" s="1"/>
  <c r="C57" i="33"/>
  <c r="D57" i="33" s="1"/>
  <c r="C53" i="33"/>
  <c r="D53" i="33" s="1"/>
  <c r="C27" i="33"/>
  <c r="D27" i="33" s="1"/>
  <c r="C24" i="33"/>
  <c r="D24" i="33" s="1"/>
  <c r="C14" i="33"/>
  <c r="D14" i="33" s="1"/>
  <c r="C10" i="33"/>
  <c r="D10" i="33" s="1"/>
  <c r="C36" i="33"/>
  <c r="Q37" i="33" s="1"/>
  <c r="M37" i="33" s="1"/>
  <c r="N37" i="33" s="1" a="1"/>
  <c r="N37" i="33" s="1"/>
  <c r="C50" i="33"/>
  <c r="Q51" i="33" s="1"/>
  <c r="M51" i="33" s="1"/>
  <c r="N51" i="33" s="1" a="1"/>
  <c r="N51" i="33" s="1"/>
  <c r="C17" i="33"/>
  <c r="D17" i="33" s="1"/>
  <c r="C9" i="33"/>
  <c r="D9" i="33" s="1"/>
  <c r="C48" i="33"/>
  <c r="D48" i="33" s="1"/>
  <c r="C16" i="33"/>
  <c r="Q17" i="33" s="1"/>
  <c r="M17" i="33" s="1"/>
  <c r="N17" i="33" s="1" a="1"/>
  <c r="N17" i="33" s="1"/>
  <c r="C29" i="33"/>
  <c r="Q30" i="33" s="1"/>
  <c r="M30" i="33" s="1"/>
  <c r="N30" i="33" s="1" a="1"/>
  <c r="N30" i="33" s="1"/>
  <c r="C38" i="33"/>
  <c r="D38" i="33" s="1"/>
  <c r="C31" i="33"/>
  <c r="D31" i="33" s="1"/>
  <c r="C43" i="33"/>
  <c r="D43" i="33" s="1"/>
  <c r="AQ9" i="17"/>
  <c r="CI12" i="33"/>
  <c r="BA12" i="33" s="1"/>
  <c r="CI10" i="33"/>
  <c r="BA10" i="33" s="1"/>
  <c r="AZ12" i="33"/>
  <c r="AZ10" i="33"/>
  <c r="CI11" i="33"/>
  <c r="BA11" i="33" s="1"/>
  <c r="CI9" i="33"/>
  <c r="BA9" i="33" s="1"/>
  <c r="CI13" i="33"/>
  <c r="BA13" i="33" s="1"/>
  <c r="AQ13" i="17"/>
  <c r="AZ11" i="33"/>
  <c r="AZ9" i="33"/>
  <c r="AQ12" i="17"/>
  <c r="AZ13" i="33"/>
  <c r="AQ11" i="17"/>
  <c r="AQ10" i="17"/>
  <c r="C15" i="33"/>
  <c r="D15" i="33" s="1"/>
  <c r="C25" i="33"/>
  <c r="D25" i="33" s="1"/>
  <c r="C58" i="33"/>
  <c r="D58" i="33" s="1"/>
  <c r="C56" i="33"/>
  <c r="D56" i="33" s="1"/>
  <c r="C33" i="33"/>
  <c r="D33" i="33" s="1"/>
  <c r="C26" i="33"/>
  <c r="D26" i="33" s="1"/>
  <c r="C44" i="33"/>
  <c r="D44" i="33" s="1"/>
  <c r="C18" i="33"/>
  <c r="D18" i="33" s="1"/>
  <c r="C49" i="33"/>
  <c r="D49" i="33" s="1"/>
  <c r="C41" i="33"/>
  <c r="D41" i="33" s="1"/>
  <c r="C35" i="33"/>
  <c r="D35" i="33" s="1"/>
  <c r="C42" i="33"/>
  <c r="D42" i="33" s="1"/>
  <c r="C11" i="33"/>
  <c r="D11" i="33" s="1"/>
  <c r="C28" i="33"/>
  <c r="D28" i="33" s="1"/>
  <c r="C19" i="33"/>
  <c r="D19" i="33" s="1"/>
  <c r="C20" i="33"/>
  <c r="D20" i="33" s="1"/>
  <c r="C54" i="33"/>
  <c r="D54" i="33" s="1"/>
  <c r="C30" i="33"/>
  <c r="D30" i="33" s="1"/>
  <c r="C47" i="33"/>
  <c r="D47" i="33" s="1"/>
  <c r="C12" i="33"/>
  <c r="D12" i="33" s="1"/>
  <c r="C13" i="33"/>
  <c r="D13" i="33" s="1"/>
  <c r="Q52" i="33"/>
  <c r="M52" i="33" s="1"/>
  <c r="N52" i="33" s="1" a="1"/>
  <c r="N52" i="33" s="1"/>
  <c r="Q35" i="33"/>
  <c r="M35" i="33" s="1"/>
  <c r="N35" i="33" s="1" a="1"/>
  <c r="N35" i="33" s="1"/>
  <c r="Q38" i="33"/>
  <c r="M38" i="33" s="1"/>
  <c r="N38" i="33" s="1" a="1"/>
  <c r="N38" i="33" s="1"/>
  <c r="Q56" i="33"/>
  <c r="M56" i="33" s="1"/>
  <c r="N56" i="33" s="1" a="1"/>
  <c r="N56" i="33" s="1"/>
  <c r="E8" i="17"/>
  <c r="AZ15" i="18"/>
  <c r="BB15" i="18" s="1"/>
  <c r="E6" i="17"/>
  <c r="AZ11" i="18"/>
  <c r="BB11" i="18" s="1"/>
  <c r="CI13" i="18"/>
  <c r="AZ16" i="18"/>
  <c r="BB16" i="18" s="1"/>
  <c r="CI11" i="18"/>
  <c r="AZ14" i="18"/>
  <c r="BB14" i="18" s="1"/>
  <c r="CI10" i="18"/>
  <c r="CI15" i="18"/>
  <c r="CI16" i="18"/>
  <c r="CI9" i="18"/>
  <c r="AZ12" i="18"/>
  <c r="BB12" i="18" s="1"/>
  <c r="CI14" i="18"/>
  <c r="AZ13" i="18"/>
  <c r="BB13" i="18" s="1"/>
  <c r="AZ9" i="18"/>
  <c r="BB9" i="18" s="1"/>
  <c r="AZ10" i="18"/>
  <c r="BB10" i="18" s="1"/>
  <c r="CI12" i="18"/>
  <c r="M24" i="18"/>
  <c r="N24" i="18" s="1" a="1"/>
  <c r="N24" i="18" s="1"/>
  <c r="M15" i="18"/>
  <c r="N15" i="18" s="1" a="1"/>
  <c r="N15" i="18" s="1"/>
  <c r="M31" i="18"/>
  <c r="N31" i="18" s="1" a="1"/>
  <c r="N31" i="18" s="1"/>
  <c r="M39" i="18"/>
  <c r="N39" i="18" s="1" a="1"/>
  <c r="N39" i="18" s="1"/>
  <c r="M77" i="18"/>
  <c r="N77" i="18" s="1" a="1"/>
  <c r="N77" i="18" s="1"/>
  <c r="M26" i="18"/>
  <c r="N26" i="18" s="1" a="1"/>
  <c r="N26" i="18" s="1"/>
  <c r="M59" i="18"/>
  <c r="N59" i="18" s="1" a="1"/>
  <c r="N59" i="18" s="1"/>
  <c r="M10" i="18"/>
  <c r="N10" i="18" s="1" a="1"/>
  <c r="N10" i="18" s="1"/>
  <c r="M22" i="18"/>
  <c r="N22" i="18" s="1" a="1"/>
  <c r="N22" i="18" s="1"/>
  <c r="M48" i="18"/>
  <c r="N48" i="18" s="1" a="1"/>
  <c r="N48" i="18" s="1"/>
  <c r="M40" i="18"/>
  <c r="N40" i="18" s="1" a="1"/>
  <c r="N40" i="18" s="1"/>
  <c r="M29" i="18"/>
  <c r="N29" i="18" s="1" a="1"/>
  <c r="N29" i="18" s="1"/>
  <c r="M54" i="18"/>
  <c r="N54" i="18" s="1" a="1"/>
  <c r="N54" i="18" s="1"/>
  <c r="M66" i="18"/>
  <c r="N66" i="18" s="1" a="1"/>
  <c r="N66" i="18" s="1"/>
  <c r="M67" i="18"/>
  <c r="N67" i="18" s="1" a="1"/>
  <c r="N67" i="18" s="1"/>
  <c r="M25" i="18"/>
  <c r="N25" i="18" s="1" a="1"/>
  <c r="N25" i="18" s="1"/>
  <c r="M51" i="18"/>
  <c r="N51" i="18" s="1" a="1"/>
  <c r="N51" i="18" s="1"/>
  <c r="M71" i="18"/>
  <c r="N71" i="18" s="1" a="1"/>
  <c r="N71" i="18" s="1"/>
  <c r="M50" i="18"/>
  <c r="N50" i="18" s="1" a="1"/>
  <c r="N50" i="18" s="1"/>
  <c r="M43" i="18"/>
  <c r="N43" i="18" s="1" a="1"/>
  <c r="N43" i="18" s="1"/>
  <c r="M62" i="18"/>
  <c r="N62" i="18" s="1" a="1"/>
  <c r="N62" i="18" s="1"/>
  <c r="M70" i="18"/>
  <c r="N70" i="18" s="1" a="1"/>
  <c r="N70" i="18" s="1"/>
  <c r="M63" i="18"/>
  <c r="N63" i="18" s="1" a="1"/>
  <c r="N63" i="18" s="1"/>
  <c r="M58" i="18"/>
  <c r="N58" i="18" s="1" a="1"/>
  <c r="N58" i="18" s="1"/>
  <c r="M11" i="18"/>
  <c r="N11" i="18" s="1" a="1"/>
  <c r="N11" i="18" s="1"/>
  <c r="M60" i="18"/>
  <c r="N60" i="18" s="1" a="1"/>
  <c r="N60" i="18" s="1"/>
  <c r="M64" i="18"/>
  <c r="N64" i="18" s="1" a="1"/>
  <c r="N64" i="18" s="1"/>
  <c r="M18" i="18"/>
  <c r="N18" i="18" s="1" a="1"/>
  <c r="N18" i="18" s="1"/>
  <c r="M33" i="18"/>
  <c r="N33" i="18" s="1" a="1"/>
  <c r="N33" i="18" s="1"/>
  <c r="M45" i="18"/>
  <c r="N45" i="18" s="1" a="1"/>
  <c r="N45" i="18" s="1"/>
  <c r="M79" i="18"/>
  <c r="N79" i="18" s="1" a="1"/>
  <c r="N79" i="18" s="1"/>
  <c r="M23" i="18"/>
  <c r="N23" i="18" s="1" a="1"/>
  <c r="N23" i="18" s="1"/>
  <c r="M20" i="18"/>
  <c r="N20" i="18" s="1" a="1"/>
  <c r="N20" i="18" s="1"/>
  <c r="M28" i="18"/>
  <c r="N28" i="18" s="1" a="1"/>
  <c r="N28" i="18" s="1"/>
  <c r="M56" i="18"/>
  <c r="N56" i="18" s="1" a="1"/>
  <c r="N56" i="18" s="1"/>
  <c r="M30" i="18"/>
  <c r="N30" i="18" s="1" a="1"/>
  <c r="N30" i="18" s="1"/>
  <c r="M49" i="18"/>
  <c r="N49" i="18" s="1" a="1"/>
  <c r="N49" i="18" s="1"/>
  <c r="M37" i="18"/>
  <c r="N37" i="18" s="1" a="1"/>
  <c r="N37" i="18" s="1"/>
  <c r="M38" i="18"/>
  <c r="N38" i="18" s="1" a="1"/>
  <c r="N38" i="18" s="1"/>
  <c r="M46" i="18"/>
  <c r="N46" i="18" s="1" a="1"/>
  <c r="N46" i="18" s="1"/>
  <c r="M74" i="18"/>
  <c r="N74" i="18" s="1" a="1"/>
  <c r="N74" i="18" s="1"/>
  <c r="M44" i="18"/>
  <c r="N44" i="18" s="1" a="1"/>
  <c r="N44" i="18" s="1"/>
  <c r="M78" i="18"/>
  <c r="N78" i="18" s="1" a="1"/>
  <c r="N78" i="18" s="1"/>
  <c r="M19" i="18"/>
  <c r="N19" i="18" s="1" a="1"/>
  <c r="N19" i="18" s="1"/>
  <c r="M27" i="18"/>
  <c r="N27" i="18" s="1" a="1"/>
  <c r="N27" i="18" s="1"/>
  <c r="M36" i="18"/>
  <c r="N36" i="18" s="1" a="1"/>
  <c r="N36" i="18" s="1"/>
  <c r="M52" i="18"/>
  <c r="N52" i="18" s="1" a="1"/>
  <c r="N52" i="18" s="1"/>
  <c r="M35" i="18"/>
  <c r="N35" i="18" s="1" a="1"/>
  <c r="N35" i="18" s="1"/>
  <c r="M14" i="18"/>
  <c r="N14" i="18" s="1" a="1"/>
  <c r="N14" i="18" s="1"/>
  <c r="M55" i="18"/>
  <c r="N55" i="18" s="1" a="1"/>
  <c r="N55" i="18" s="1"/>
  <c r="M61" i="18"/>
  <c r="N61" i="18" s="1" a="1"/>
  <c r="N61" i="18" s="1"/>
  <c r="M65" i="18"/>
  <c r="N65" i="18" s="1" a="1"/>
  <c r="N65" i="18" s="1"/>
  <c r="M42" i="18"/>
  <c r="N42" i="18" s="1" a="1"/>
  <c r="N42" i="18" s="1"/>
  <c r="M53" i="18"/>
  <c r="N53" i="18" s="1" a="1"/>
  <c r="N53" i="18" s="1"/>
  <c r="M76" i="18"/>
  <c r="N76" i="18" s="1" a="1"/>
  <c r="N76" i="18" s="1"/>
  <c r="M16" i="18"/>
  <c r="N16" i="18" s="1" a="1"/>
  <c r="N16" i="18" s="1"/>
  <c r="M9" i="18"/>
  <c r="N9" i="18" s="1" a="1"/>
  <c r="N9" i="18" s="1"/>
  <c r="M12" i="18"/>
  <c r="N12" i="18" s="1" a="1"/>
  <c r="N12" i="18" s="1"/>
  <c r="M69" i="18"/>
  <c r="N69" i="18" s="1" a="1"/>
  <c r="N69" i="18" s="1"/>
  <c r="M68" i="18"/>
  <c r="N68" i="18" s="1" a="1"/>
  <c r="N68" i="18" s="1"/>
  <c r="M21" i="18"/>
  <c r="N21" i="18" s="1" a="1"/>
  <c r="N21" i="18" s="1"/>
  <c r="M32" i="18"/>
  <c r="N32" i="18" s="1" a="1"/>
  <c r="N32" i="18" s="1"/>
  <c r="M75" i="18"/>
  <c r="N75" i="18" s="1" a="1"/>
  <c r="N75" i="18" s="1"/>
  <c r="M72" i="18"/>
  <c r="N72" i="18" s="1" a="1"/>
  <c r="N72" i="18" s="1"/>
  <c r="M73" i="18"/>
  <c r="N73" i="18" s="1" a="1"/>
  <c r="N73" i="18" s="1"/>
  <c r="M17" i="18"/>
  <c r="N17" i="18" s="1" a="1"/>
  <c r="N17" i="18" s="1"/>
  <c r="M13" i="18"/>
  <c r="N13" i="18" s="1" a="1"/>
  <c r="N13" i="18" s="1"/>
  <c r="M47" i="18"/>
  <c r="N47" i="18" s="1" a="1"/>
  <c r="N47" i="18" s="1"/>
  <c r="M41" i="18"/>
  <c r="N41" i="18" s="1" a="1"/>
  <c r="N41" i="18" s="1"/>
  <c r="E3" i="17"/>
  <c r="E5" i="17"/>
  <c r="E4" i="17"/>
  <c r="E9" i="17"/>
  <c r="E35" i="17"/>
  <c r="E7" i="17"/>
  <c r="E34" i="17"/>
  <c r="E33" i="17"/>
  <c r="D49" i="23"/>
  <c r="D15" i="23"/>
  <c r="D29" i="23"/>
  <c r="D46" i="23"/>
  <c r="D32" i="23"/>
  <c r="D35" i="23"/>
  <c r="D36" i="23"/>
  <c r="D10" i="23"/>
  <c r="D47" i="23"/>
  <c r="D37" i="23"/>
  <c r="D39" i="23"/>
  <c r="D19" i="23"/>
  <c r="D6" i="23"/>
  <c r="D21" i="23"/>
  <c r="D7" i="23"/>
  <c r="D51" i="23"/>
  <c r="D42" i="23"/>
  <c r="D20" i="23"/>
  <c r="D50" i="23"/>
  <c r="D13" i="23"/>
  <c r="D10" i="21"/>
  <c r="D22" i="21"/>
  <c r="D34" i="21"/>
  <c r="D46" i="21"/>
  <c r="D58" i="21"/>
  <c r="D11" i="21"/>
  <c r="D35" i="21"/>
  <c r="D47" i="21"/>
  <c r="D59" i="21"/>
  <c r="D12" i="21"/>
  <c r="D24" i="21"/>
  <c r="D36" i="21"/>
  <c r="D48" i="21"/>
  <c r="D60" i="21"/>
  <c r="D13" i="21"/>
  <c r="D25" i="21"/>
  <c r="D37" i="21"/>
  <c r="D49" i="21"/>
  <c r="D61" i="21"/>
  <c r="D23" i="21"/>
  <c r="D50" i="21"/>
  <c r="D14" i="21"/>
  <c r="D26" i="21"/>
  <c r="D38" i="21"/>
  <c r="D62" i="21"/>
  <c r="D44" i="18"/>
  <c r="D56" i="18"/>
  <c r="D68" i="18"/>
  <c r="D17" i="18"/>
  <c r="D52" i="18"/>
  <c r="D29" i="18"/>
  <c r="D41" i="18"/>
  <c r="D64" i="18"/>
  <c r="D15" i="18"/>
  <c r="D18" i="18"/>
  <c r="D53" i="18"/>
  <c r="D76" i="18"/>
  <c r="D30" i="18"/>
  <c r="D65" i="18"/>
  <c r="D42" i="18"/>
  <c r="D54" i="18"/>
  <c r="D77" i="18"/>
  <c r="D66" i="18"/>
  <c r="D24" i="18"/>
  <c r="D36" i="18"/>
  <c r="D13" i="18"/>
  <c r="D48" i="18"/>
  <c r="D60" i="18"/>
  <c r="D19" i="18"/>
  <c r="D25" i="18"/>
  <c r="D31" i="18"/>
  <c r="D37" i="18"/>
  <c r="D72" i="18"/>
  <c r="D11" i="18"/>
  <c r="D43" i="18"/>
  <c r="D49" i="18"/>
  <c r="D55" i="18"/>
  <c r="D61" i="18"/>
  <c r="D78" i="18"/>
  <c r="D14" i="18"/>
  <c r="D21" i="18"/>
  <c r="D33" i="18"/>
  <c r="D74" i="18"/>
  <c r="D79" i="18"/>
  <c r="D45" i="18"/>
  <c r="D57" i="18"/>
  <c r="D26" i="18"/>
  <c r="D38" i="18"/>
  <c r="D73" i="18"/>
  <c r="D50" i="18"/>
  <c r="D62" i="18"/>
  <c r="D12" i="18"/>
  <c r="D22" i="18"/>
  <c r="D34" i="18"/>
  <c r="D69" i="18"/>
  <c r="D57" i="17" l="1"/>
  <c r="Q58" i="17"/>
  <c r="M58" i="17" s="1"/>
  <c r="N58" i="17" s="1" a="1"/>
  <c r="N58" i="17" s="1"/>
  <c r="Q56" i="17"/>
  <c r="M56" i="17" s="1"/>
  <c r="N56" i="17" s="1" a="1"/>
  <c r="N56" i="17" s="1"/>
  <c r="Q11" i="36"/>
  <c r="M11" i="36" s="1"/>
  <c r="N11" i="36" s="1" a="1"/>
  <c r="N11" i="36" s="1"/>
  <c r="D47" i="36"/>
  <c r="D46" i="36"/>
  <c r="Q28" i="36"/>
  <c r="M28" i="36" s="1"/>
  <c r="N28" i="36" s="1" a="1"/>
  <c r="N28" i="36" s="1"/>
  <c r="D45" i="36"/>
  <c r="Q30" i="36"/>
  <c r="M30" i="36" s="1"/>
  <c r="N30" i="36" s="1" a="1"/>
  <c r="N30" i="36" s="1"/>
  <c r="D44" i="36"/>
  <c r="Q27" i="36"/>
  <c r="M27" i="36" s="1"/>
  <c r="N27" i="36" s="1" a="1"/>
  <c r="N27" i="36" s="1"/>
  <c r="Q26" i="36"/>
  <c r="M26" i="36" s="1"/>
  <c r="N26" i="36" s="1" a="1"/>
  <c r="N26" i="36" s="1"/>
  <c r="D43" i="36"/>
  <c r="D42" i="36"/>
  <c r="Q24" i="36"/>
  <c r="M24" i="36" s="1"/>
  <c r="N24" i="36" s="1" a="1"/>
  <c r="N24" i="36" s="1"/>
  <c r="Q25" i="36"/>
  <c r="M25" i="36" s="1"/>
  <c r="N25" i="36" s="1" a="1"/>
  <c r="N25" i="36" s="1"/>
  <c r="D41" i="36"/>
  <c r="Q23" i="36"/>
  <c r="M23" i="36" s="1"/>
  <c r="N23" i="36" s="1" a="1"/>
  <c r="N23" i="36" s="1"/>
  <c r="D40" i="36"/>
  <c r="Q22" i="36"/>
  <c r="M22" i="36" s="1"/>
  <c r="N22" i="36" s="1" a="1"/>
  <c r="N22" i="36" s="1"/>
  <c r="Q21" i="36"/>
  <c r="M21" i="36" s="1"/>
  <c r="N21" i="36" s="1" a="1"/>
  <c r="N21" i="36" s="1"/>
  <c r="D39" i="36"/>
  <c r="D38" i="36"/>
  <c r="Q29" i="36"/>
  <c r="M29" i="36" s="1"/>
  <c r="N29" i="36" s="1" a="1"/>
  <c r="N29" i="36" s="1"/>
  <c r="Q20" i="36"/>
  <c r="M20" i="36" s="1"/>
  <c r="N20" i="36" s="1" a="1"/>
  <c r="N20" i="36" s="1"/>
  <c r="D37" i="36"/>
  <c r="Q32" i="36"/>
  <c r="M32" i="36" s="1"/>
  <c r="N32" i="36" s="1" a="1"/>
  <c r="N32" i="36" s="1"/>
  <c r="D36" i="36"/>
  <c r="Q35" i="36"/>
  <c r="M35" i="36" s="1"/>
  <c r="N35" i="36" s="1" a="1"/>
  <c r="N35" i="36" s="1"/>
  <c r="Q33" i="36"/>
  <c r="M33" i="36" s="1"/>
  <c r="N33" i="36" s="1" a="1"/>
  <c r="N33" i="36" s="1"/>
  <c r="D35" i="36"/>
  <c r="D34" i="36"/>
  <c r="Q31" i="36"/>
  <c r="M31" i="36" s="1"/>
  <c r="N31" i="36" s="1" a="1"/>
  <c r="N31" i="36" s="1"/>
  <c r="D33" i="36"/>
  <c r="Q34" i="36"/>
  <c r="M34" i="36" s="1"/>
  <c r="N34" i="36" s="1" a="1"/>
  <c r="N34" i="36" s="1"/>
  <c r="Q38" i="36"/>
  <c r="M38" i="36" s="1"/>
  <c r="N38" i="36" s="1" a="1"/>
  <c r="N38" i="36" s="1"/>
  <c r="D32" i="36"/>
  <c r="D31" i="36"/>
  <c r="Q39" i="36"/>
  <c r="M39" i="36" s="1"/>
  <c r="N39" i="36" s="1" a="1"/>
  <c r="N39" i="36" s="1"/>
  <c r="D30" i="36"/>
  <c r="Q40" i="36"/>
  <c r="M40" i="36" s="1"/>
  <c r="N40" i="36" s="1" a="1"/>
  <c r="N40" i="36" s="1"/>
  <c r="D29" i="36"/>
  <c r="D28" i="36"/>
  <c r="Q37" i="36"/>
  <c r="M37" i="36" s="1"/>
  <c r="N37" i="36" s="1" a="1"/>
  <c r="N37" i="36" s="1"/>
  <c r="D27" i="36"/>
  <c r="Q36" i="36"/>
  <c r="M36" i="36" s="1"/>
  <c r="N36" i="36" s="1" a="1"/>
  <c r="N36" i="36" s="1"/>
  <c r="Q49" i="36"/>
  <c r="M49" i="36" s="1"/>
  <c r="N49" i="36" s="1" a="1"/>
  <c r="N49" i="36" s="1"/>
  <c r="D26" i="36"/>
  <c r="D25" i="36"/>
  <c r="D24" i="36"/>
  <c r="Q47" i="36"/>
  <c r="M47" i="36" s="1"/>
  <c r="N47" i="36" s="1" a="1"/>
  <c r="N47" i="36" s="1"/>
  <c r="D23" i="36"/>
  <c r="D22" i="36"/>
  <c r="Q45" i="36"/>
  <c r="M45" i="36" s="1"/>
  <c r="N45" i="36" s="1" a="1"/>
  <c r="N45" i="36" s="1"/>
  <c r="Q41" i="36"/>
  <c r="M41" i="36" s="1"/>
  <c r="N41" i="36" s="1" a="1"/>
  <c r="N41" i="36" s="1"/>
  <c r="D21" i="36"/>
  <c r="D20" i="36"/>
  <c r="Q44" i="36"/>
  <c r="M44" i="36" s="1"/>
  <c r="N44" i="36" s="1" a="1"/>
  <c r="N44" i="36" s="1"/>
  <c r="D19" i="36"/>
  <c r="Q43" i="36"/>
  <c r="M43" i="36" s="1"/>
  <c r="N43" i="36" s="1" a="1"/>
  <c r="N43" i="36" s="1"/>
  <c r="Q46" i="36"/>
  <c r="M46" i="36" s="1"/>
  <c r="N46" i="36" s="1" a="1"/>
  <c r="N46" i="36" s="1"/>
  <c r="D18" i="36"/>
  <c r="D17" i="36"/>
  <c r="Q42" i="36"/>
  <c r="M42" i="36" s="1"/>
  <c r="N42" i="36" s="1" a="1"/>
  <c r="N42" i="36" s="1"/>
  <c r="D16" i="36"/>
  <c r="Q58" i="36"/>
  <c r="M58" i="36" s="1"/>
  <c r="N58" i="36" s="1" a="1"/>
  <c r="N58" i="36" s="1"/>
  <c r="Q54" i="36"/>
  <c r="M54" i="36" s="1"/>
  <c r="N54" i="36" s="1" a="1"/>
  <c r="N54" i="36" s="1"/>
  <c r="D15" i="36"/>
  <c r="D14" i="36"/>
  <c r="Q53" i="36"/>
  <c r="M53" i="36" s="1"/>
  <c r="N53" i="36" s="1" a="1"/>
  <c r="N53" i="36" s="1"/>
  <c r="Q57" i="36"/>
  <c r="M57" i="36" s="1"/>
  <c r="N57" i="36" s="1" a="1"/>
  <c r="N57" i="36" s="1"/>
  <c r="D13" i="36"/>
  <c r="D12" i="36"/>
  <c r="Q56" i="36"/>
  <c r="M56" i="36" s="1"/>
  <c r="N56" i="36" s="1" a="1"/>
  <c r="N56" i="36" s="1"/>
  <c r="Q55" i="36"/>
  <c r="M55" i="36" s="1"/>
  <c r="N55" i="36" s="1" a="1"/>
  <c r="N55" i="36" s="1"/>
  <c r="D11" i="36"/>
  <c r="D10" i="36"/>
  <c r="Q59" i="36"/>
  <c r="M59" i="36" s="1"/>
  <c r="N59" i="36" s="1" a="1"/>
  <c r="N59" i="36" s="1"/>
  <c r="D9" i="36"/>
  <c r="Q50" i="36"/>
  <c r="M50" i="36" s="1"/>
  <c r="N50" i="36" s="1" a="1"/>
  <c r="N50" i="36" s="1"/>
  <c r="Q51" i="36"/>
  <c r="M51" i="36" s="1"/>
  <c r="N51" i="36" s="1" a="1"/>
  <c r="N51" i="36" s="1"/>
  <c r="D8" i="36"/>
  <c r="D7" i="36"/>
  <c r="Q52" i="36"/>
  <c r="M52" i="36" s="1"/>
  <c r="N52" i="36" s="1" a="1"/>
  <c r="N52" i="36" s="1"/>
  <c r="Q14" i="35"/>
  <c r="M14" i="35" s="1"/>
  <c r="N14" i="35" s="1" a="1"/>
  <c r="N14" i="35" s="1"/>
  <c r="D59" i="35"/>
  <c r="D58" i="35"/>
  <c r="Q9" i="35"/>
  <c r="M9" i="35" s="1"/>
  <c r="N9" i="35" s="1" a="1"/>
  <c r="N9" i="35" s="1"/>
  <c r="D57" i="35"/>
  <c r="Q19" i="35"/>
  <c r="M19" i="35" s="1"/>
  <c r="N19" i="35" s="1" a="1"/>
  <c r="N19" i="35" s="1"/>
  <c r="D56" i="35"/>
  <c r="Q10" i="35"/>
  <c r="M10" i="35" s="1"/>
  <c r="N10" i="35" s="1" a="1"/>
  <c r="N10" i="35" s="1"/>
  <c r="D55" i="35"/>
  <c r="Q12" i="35"/>
  <c r="M12" i="35" s="1"/>
  <c r="N12" i="35" s="1" a="1"/>
  <c r="N12" i="35" s="1"/>
  <c r="D54" i="35"/>
  <c r="Q15" i="35"/>
  <c r="M15" i="35" s="1"/>
  <c r="N15" i="35" s="1" a="1"/>
  <c r="N15" i="35" s="1"/>
  <c r="D53" i="35"/>
  <c r="Q17" i="35"/>
  <c r="M17" i="35" s="1"/>
  <c r="N17" i="35" s="1" a="1"/>
  <c r="N17" i="35" s="1"/>
  <c r="D52" i="35"/>
  <c r="Q13" i="35"/>
  <c r="M13" i="35" s="1"/>
  <c r="N13" i="35" s="1" a="1"/>
  <c r="N13" i="35" s="1"/>
  <c r="D51" i="35"/>
  <c r="Q16" i="35"/>
  <c r="M16" i="35" s="1"/>
  <c r="N16" i="35" s="1" a="1"/>
  <c r="N16" i="35" s="1"/>
  <c r="D50" i="35"/>
  <c r="Q18" i="35"/>
  <c r="M18" i="35" s="1"/>
  <c r="N18" i="35" s="1" a="1"/>
  <c r="N18" i="35" s="1"/>
  <c r="D49" i="35"/>
  <c r="Q11" i="35"/>
  <c r="M11" i="35" s="1"/>
  <c r="N11" i="35" s="1" a="1"/>
  <c r="N11" i="35" s="1"/>
  <c r="D48" i="35"/>
  <c r="Q28" i="35"/>
  <c r="M28" i="35" s="1"/>
  <c r="N28" i="35" s="1" a="1"/>
  <c r="N28" i="35" s="1"/>
  <c r="D47" i="35"/>
  <c r="Q30" i="35"/>
  <c r="M30" i="35" s="1"/>
  <c r="N30" i="35" s="1" a="1"/>
  <c r="N30" i="35" s="1"/>
  <c r="D46" i="35"/>
  <c r="Q27" i="35"/>
  <c r="M27" i="35" s="1"/>
  <c r="N27" i="35" s="1" a="1"/>
  <c r="N27" i="35" s="1"/>
  <c r="D45" i="35"/>
  <c r="Q26" i="35"/>
  <c r="M26" i="35" s="1"/>
  <c r="N26" i="35" s="1" a="1"/>
  <c r="N26" i="35" s="1"/>
  <c r="D44" i="35"/>
  <c r="Q24" i="35"/>
  <c r="M24" i="35" s="1"/>
  <c r="N24" i="35" s="1" a="1"/>
  <c r="N24" i="35" s="1"/>
  <c r="D43" i="35"/>
  <c r="Q25" i="35"/>
  <c r="M25" i="35" s="1"/>
  <c r="N25" i="35" s="1" a="1"/>
  <c r="N25" i="35" s="1"/>
  <c r="D42" i="35"/>
  <c r="Q23" i="35"/>
  <c r="M23" i="35" s="1"/>
  <c r="N23" i="35" s="1" a="1"/>
  <c r="N23" i="35" s="1"/>
  <c r="D41" i="35"/>
  <c r="Q22" i="35"/>
  <c r="M22" i="35" s="1"/>
  <c r="N22" i="35" s="1" a="1"/>
  <c r="N22" i="35" s="1"/>
  <c r="D40" i="35"/>
  <c r="Q21" i="35"/>
  <c r="M21" i="35" s="1"/>
  <c r="N21" i="35" s="1" a="1"/>
  <c r="N21" i="35" s="1"/>
  <c r="D39" i="35"/>
  <c r="Q29" i="35"/>
  <c r="M29" i="35" s="1"/>
  <c r="N29" i="35" s="1" a="1"/>
  <c r="N29" i="35" s="1"/>
  <c r="D38" i="35"/>
  <c r="Q20" i="35"/>
  <c r="M20" i="35" s="1"/>
  <c r="N20" i="35" s="1" a="1"/>
  <c r="N20" i="35" s="1"/>
  <c r="Q52" i="35"/>
  <c r="M52" i="35" s="1"/>
  <c r="N52" i="35" s="1" a="1"/>
  <c r="N52" i="35" s="1"/>
  <c r="D9" i="35"/>
  <c r="D8" i="35"/>
  <c r="Q53" i="35"/>
  <c r="M53" i="35" s="1"/>
  <c r="N53" i="35" s="1" a="1"/>
  <c r="N53" i="35" s="1"/>
  <c r="Q14" i="36"/>
  <c r="M14" i="36" s="1"/>
  <c r="N14" i="36" s="1" a="1"/>
  <c r="N14" i="36" s="1"/>
  <c r="Q9" i="36"/>
  <c r="M9" i="36" s="1"/>
  <c r="N9" i="36" s="1" a="1"/>
  <c r="N9" i="36" s="1"/>
  <c r="Q19" i="36"/>
  <c r="M19" i="36" s="1"/>
  <c r="N19" i="36" s="1" a="1"/>
  <c r="N19" i="36" s="1"/>
  <c r="Q10" i="36"/>
  <c r="M10" i="36" s="1"/>
  <c r="N10" i="36" s="1" a="1"/>
  <c r="N10" i="36" s="1"/>
  <c r="Q12" i="36"/>
  <c r="M12" i="36" s="1"/>
  <c r="N12" i="36" s="1" a="1"/>
  <c r="N12" i="36" s="1"/>
  <c r="Q15" i="36"/>
  <c r="M15" i="36" s="1"/>
  <c r="N15" i="36" s="1" a="1"/>
  <c r="N15" i="36" s="1"/>
  <c r="D50" i="36"/>
  <c r="Q13" i="36"/>
  <c r="M13" i="36" s="1"/>
  <c r="N13" i="36" s="1" a="1"/>
  <c r="N13" i="36" s="1"/>
  <c r="Q16" i="36"/>
  <c r="M16" i="36" s="1"/>
  <c r="N16" i="36" s="1" a="1"/>
  <c r="N16" i="36" s="1"/>
  <c r="D49" i="36"/>
  <c r="D37" i="35"/>
  <c r="Q32" i="35"/>
  <c r="M32" i="35" s="1"/>
  <c r="N32" i="35" s="1" a="1"/>
  <c r="N32" i="35" s="1"/>
  <c r="D36" i="35"/>
  <c r="Q35" i="35"/>
  <c r="M35" i="35" s="1"/>
  <c r="N35" i="35" s="1" a="1"/>
  <c r="N35" i="35" s="1"/>
  <c r="D35" i="35"/>
  <c r="Q33" i="35"/>
  <c r="M33" i="35" s="1"/>
  <c r="N33" i="35" s="1" a="1"/>
  <c r="N33" i="35" s="1"/>
  <c r="D34" i="35"/>
  <c r="Q31" i="35"/>
  <c r="M31" i="35" s="1"/>
  <c r="N31" i="35" s="1" a="1"/>
  <c r="N31" i="35" s="1"/>
  <c r="D33" i="35"/>
  <c r="Q34" i="35"/>
  <c r="M34" i="35" s="1"/>
  <c r="N34" i="35" s="1" a="1"/>
  <c r="N34" i="35" s="1"/>
  <c r="D32" i="35"/>
  <c r="Q39" i="35"/>
  <c r="M39" i="35" s="1"/>
  <c r="N39" i="35" s="1" a="1"/>
  <c r="N39" i="35" s="1"/>
  <c r="D31" i="35"/>
  <c r="Q40" i="35"/>
  <c r="M40" i="35" s="1"/>
  <c r="N40" i="35" s="1" a="1"/>
  <c r="N40" i="35" s="1"/>
  <c r="D30" i="35"/>
  <c r="Q37" i="35"/>
  <c r="M37" i="35" s="1"/>
  <c r="N37" i="35" s="1" a="1"/>
  <c r="N37" i="35" s="1"/>
  <c r="D29" i="35"/>
  <c r="Q41" i="35"/>
  <c r="M41" i="35" s="1"/>
  <c r="N41" i="35" s="1" a="1"/>
  <c r="N41" i="35" s="1"/>
  <c r="Q38" i="35"/>
  <c r="M38" i="35" s="1"/>
  <c r="N38" i="35" s="1" a="1"/>
  <c r="N38" i="35" s="1"/>
  <c r="D28" i="35"/>
  <c r="D27" i="35"/>
  <c r="Q36" i="35"/>
  <c r="M36" i="35" s="1"/>
  <c r="N36" i="35" s="1" a="1"/>
  <c r="N36" i="35" s="1"/>
  <c r="D26" i="35"/>
  <c r="Q51" i="35"/>
  <c r="M51" i="35" s="1"/>
  <c r="N51" i="35" s="1" a="1"/>
  <c r="N51" i="35" s="1"/>
  <c r="Q50" i="35"/>
  <c r="M50" i="35" s="1"/>
  <c r="N50" i="35" s="1" a="1"/>
  <c r="N50" i="35" s="1"/>
  <c r="D25" i="35"/>
  <c r="D24" i="35"/>
  <c r="Q49" i="35"/>
  <c r="M49" i="35" s="1"/>
  <c r="N49" i="35" s="1" a="1"/>
  <c r="N49" i="35" s="1"/>
  <c r="Q48" i="35"/>
  <c r="M48" i="35" s="1"/>
  <c r="N48" i="35" s="1" a="1"/>
  <c r="N48" i="35" s="1"/>
  <c r="D23" i="35"/>
  <c r="D22" i="35"/>
  <c r="Q46" i="35"/>
  <c r="M46" i="35" s="1"/>
  <c r="N46" i="35" s="1" a="1"/>
  <c r="N46" i="35" s="1"/>
  <c r="D21" i="35"/>
  <c r="Q42" i="35"/>
  <c r="M42" i="35" s="1"/>
  <c r="N42" i="35" s="1" a="1"/>
  <c r="N42" i="35" s="1"/>
  <c r="Q45" i="35"/>
  <c r="M45" i="35" s="1"/>
  <c r="N45" i="35" s="1" a="1"/>
  <c r="N45" i="35" s="1"/>
  <c r="D20" i="35"/>
  <c r="D19" i="35"/>
  <c r="Q44" i="35"/>
  <c r="M44" i="35" s="1"/>
  <c r="N44" i="35" s="1" a="1"/>
  <c r="N44" i="35" s="1"/>
  <c r="D18" i="35"/>
  <c r="Q47" i="35"/>
  <c r="M47" i="35" s="1"/>
  <c r="N47" i="35" s="1" a="1"/>
  <c r="N47" i="35" s="1"/>
  <c r="D17" i="35"/>
  <c r="Q43" i="35"/>
  <c r="M43" i="35" s="1"/>
  <c r="N43" i="35" s="1" a="1"/>
  <c r="N43" i="35" s="1"/>
  <c r="Q60" i="35"/>
  <c r="M60" i="35" s="1"/>
  <c r="N60" i="35" s="1" a="1"/>
  <c r="N60" i="35" s="1"/>
  <c r="D16" i="35"/>
  <c r="D15" i="35"/>
  <c r="Q56" i="35"/>
  <c r="M56" i="35" s="1"/>
  <c r="N56" i="35" s="1" a="1"/>
  <c r="N56" i="35" s="1"/>
  <c r="Q55" i="35"/>
  <c r="M55" i="35" s="1"/>
  <c r="N55" i="35" s="1" a="1"/>
  <c r="N55" i="35" s="1"/>
  <c r="D14" i="35"/>
  <c r="D13" i="35"/>
  <c r="Q59" i="35"/>
  <c r="M59" i="35" s="1"/>
  <c r="N59" i="35" s="1" a="1"/>
  <c r="N59" i="35" s="1"/>
  <c r="D12" i="35"/>
  <c r="Q58" i="35"/>
  <c r="M58" i="35" s="1"/>
  <c r="N58" i="35" s="1" a="1"/>
  <c r="N58" i="35" s="1"/>
  <c r="Q57" i="35"/>
  <c r="M57" i="35" s="1"/>
  <c r="N57" i="35" s="1" a="1"/>
  <c r="N57" i="35" s="1"/>
  <c r="D11" i="35"/>
  <c r="D10" i="35"/>
  <c r="Q61" i="35"/>
  <c r="M61" i="35" s="1"/>
  <c r="N61" i="35" s="1" a="1"/>
  <c r="N61" i="35" s="1"/>
  <c r="D7" i="35"/>
  <c r="Q54" i="35"/>
  <c r="M54" i="35" s="1"/>
  <c r="N54" i="35" s="1" a="1"/>
  <c r="N54" i="35" s="1"/>
  <c r="Q17" i="36"/>
  <c r="M17" i="36" s="1"/>
  <c r="N17" i="36" s="1" a="1"/>
  <c r="N17" i="36" s="1"/>
  <c r="D51" i="36"/>
  <c r="D48" i="36"/>
  <c r="Q18" i="36"/>
  <c r="M18" i="36" s="1"/>
  <c r="N18" i="36" s="1" a="1"/>
  <c r="N18" i="36" s="1"/>
  <c r="Q43" i="17"/>
  <c r="M43" i="17" s="1"/>
  <c r="N43" i="17" s="1" a="1"/>
  <c r="N43" i="17" s="1"/>
  <c r="Q40" i="17"/>
  <c r="M40" i="17" s="1"/>
  <c r="N40" i="17" s="1" a="1"/>
  <c r="N40" i="17" s="1"/>
  <c r="Q44" i="17"/>
  <c r="M44" i="17" s="1"/>
  <c r="N44" i="17" s="1" a="1"/>
  <c r="N44" i="17" s="1"/>
  <c r="Q41" i="17"/>
  <c r="M41" i="17" s="1"/>
  <c r="N41" i="17" s="1" a="1"/>
  <c r="N41" i="17" s="1"/>
  <c r="Q39" i="17"/>
  <c r="M39" i="17" s="1"/>
  <c r="N39" i="17" s="1" a="1"/>
  <c r="N39" i="17" s="1"/>
  <c r="Q36" i="17"/>
  <c r="M36" i="17" s="1"/>
  <c r="N36" i="17" s="1" a="1"/>
  <c r="N36" i="17" s="1"/>
  <c r="Q42" i="17"/>
  <c r="M42" i="17" s="1"/>
  <c r="N42" i="17" s="1" a="1"/>
  <c r="N42" i="17" s="1"/>
  <c r="Q37" i="17"/>
  <c r="M37" i="17" s="1"/>
  <c r="N37" i="17" s="1" a="1"/>
  <c r="N37" i="17" s="1"/>
  <c r="D19" i="17"/>
  <c r="Q45" i="17"/>
  <c r="M45" i="17" s="1"/>
  <c r="N45" i="17" s="1" a="1"/>
  <c r="N45" i="17" s="1"/>
  <c r="Q55" i="17"/>
  <c r="M55" i="17" s="1"/>
  <c r="N55" i="17" s="1" a="1"/>
  <c r="N55" i="17" s="1"/>
  <c r="Q57" i="17"/>
  <c r="M57" i="17" s="1"/>
  <c r="N57" i="17" s="1" a="1"/>
  <c r="N57" i="17" s="1"/>
  <c r="D18" i="17"/>
  <c r="Q38" i="17"/>
  <c r="M38" i="17" s="1"/>
  <c r="N38" i="17" s="1" a="1"/>
  <c r="N38" i="17" s="1"/>
  <c r="Q53" i="17"/>
  <c r="M53" i="17" s="1"/>
  <c r="N53" i="17" s="1" a="1"/>
  <c r="N53" i="17" s="1"/>
  <c r="D40" i="17"/>
  <c r="Q54" i="17"/>
  <c r="M54" i="17" s="1"/>
  <c r="N54" i="17" s="1" a="1"/>
  <c r="N54" i="17" s="1"/>
  <c r="Q52" i="17"/>
  <c r="M52" i="17" s="1"/>
  <c r="N52" i="17" s="1" a="1"/>
  <c r="N52" i="17" s="1"/>
  <c r="Q50" i="17"/>
  <c r="M50" i="17" s="1"/>
  <c r="N50" i="17" s="1" a="1"/>
  <c r="N50" i="17" s="1"/>
  <c r="D41" i="17"/>
  <c r="Q51" i="17"/>
  <c r="M51" i="17" s="1"/>
  <c r="N51" i="17" s="1" a="1"/>
  <c r="N51" i="17" s="1"/>
  <c r="Q49" i="17"/>
  <c r="M49" i="17" s="1"/>
  <c r="N49" i="17" s="1" a="1"/>
  <c r="N49" i="17" s="1"/>
  <c r="D42" i="17"/>
  <c r="D37" i="17"/>
  <c r="Q47" i="17"/>
  <c r="M47" i="17" s="1"/>
  <c r="N47" i="17" s="1" a="1"/>
  <c r="N47" i="17" s="1"/>
  <c r="E32" i="17"/>
  <c r="D32" i="17"/>
  <c r="E15" i="17"/>
  <c r="D15" i="17"/>
  <c r="E27" i="17"/>
  <c r="O53" i="17" s="1"/>
  <c r="D27" i="17"/>
  <c r="E16" i="17"/>
  <c r="D16" i="17"/>
  <c r="E21" i="17"/>
  <c r="O42" i="17" s="1"/>
  <c r="D21" i="17"/>
  <c r="E31" i="17"/>
  <c r="D31" i="17"/>
  <c r="E24" i="17"/>
  <c r="D24" i="17"/>
  <c r="E29" i="17"/>
  <c r="D29" i="17"/>
  <c r="E20" i="17"/>
  <c r="D20" i="17"/>
  <c r="E28" i="17"/>
  <c r="D28" i="17"/>
  <c r="E23" i="17"/>
  <c r="E22" i="17"/>
  <c r="D22" i="17"/>
  <c r="E30" i="17"/>
  <c r="D30" i="17"/>
  <c r="E13" i="17"/>
  <c r="D13" i="17"/>
  <c r="E25" i="17"/>
  <c r="D25" i="17"/>
  <c r="E14" i="17"/>
  <c r="D14" i="17"/>
  <c r="E10" i="17"/>
  <c r="D10" i="17"/>
  <c r="E12" i="17"/>
  <c r="D12" i="17"/>
  <c r="E11" i="17"/>
  <c r="D11" i="17"/>
  <c r="E26" i="17"/>
  <c r="O58" i="17" s="1"/>
  <c r="D26" i="17"/>
  <c r="D7" i="17"/>
  <c r="D9" i="17"/>
  <c r="D8" i="17"/>
  <c r="D35" i="17"/>
  <c r="Q9" i="33"/>
  <c r="M9" i="33" s="1"/>
  <c r="N9" i="33" s="1" a="1"/>
  <c r="N9" i="33" s="1"/>
  <c r="D39" i="33"/>
  <c r="D16" i="33"/>
  <c r="BB13" i="33"/>
  <c r="D40" i="33"/>
  <c r="BB9" i="33"/>
  <c r="Q49" i="33"/>
  <c r="M49" i="33" s="1"/>
  <c r="N49" i="33" s="1" a="1"/>
  <c r="N49" i="33" s="1"/>
  <c r="Q14" i="33"/>
  <c r="M14" i="33" s="1"/>
  <c r="N14" i="33" s="1" a="1"/>
  <c r="N14" i="33" s="1"/>
  <c r="Q13" i="33"/>
  <c r="M13" i="33" s="1"/>
  <c r="N13" i="33" s="1" a="1"/>
  <c r="N13" i="33" s="1"/>
  <c r="Q58" i="33"/>
  <c r="M58" i="33" s="1"/>
  <c r="N58" i="33" s="1" a="1"/>
  <c r="N58" i="33" s="1"/>
  <c r="Q24" i="33"/>
  <c r="M24" i="33" s="1"/>
  <c r="N24" i="33" s="1" a="1"/>
  <c r="N24" i="33" s="1"/>
  <c r="Q29" i="33"/>
  <c r="M29" i="33" s="1"/>
  <c r="N29" i="33" s="1" a="1"/>
  <c r="N29" i="33" s="1"/>
  <c r="D29" i="33"/>
  <c r="Q12" i="33"/>
  <c r="M12" i="33" s="1"/>
  <c r="N12" i="33" s="1" a="1"/>
  <c r="N12" i="33" s="1"/>
  <c r="Q45" i="33"/>
  <c r="M45" i="33" s="1"/>
  <c r="N45" i="33" s="1" a="1"/>
  <c r="N45" i="33" s="1"/>
  <c r="D50" i="33"/>
  <c r="Q11" i="33"/>
  <c r="M11" i="33" s="1"/>
  <c r="N11" i="33" s="1" a="1"/>
  <c r="N11" i="33" s="1"/>
  <c r="Q22" i="33"/>
  <c r="M22" i="33" s="1"/>
  <c r="N22" i="33" s="1" a="1"/>
  <c r="N22" i="33" s="1"/>
  <c r="Q34" i="33"/>
  <c r="M34" i="33" s="1"/>
  <c r="N34" i="33" s="1" a="1"/>
  <c r="N34" i="33" s="1"/>
  <c r="Q43" i="33"/>
  <c r="M43" i="33" s="1"/>
  <c r="N43" i="33" s="1" a="1"/>
  <c r="N43" i="33" s="1"/>
  <c r="Q27" i="33"/>
  <c r="M27" i="33" s="1"/>
  <c r="N27" i="33" s="1" a="1"/>
  <c r="N27" i="33" s="1"/>
  <c r="Q55" i="33"/>
  <c r="M55" i="33" s="1"/>
  <c r="N55" i="33" s="1" a="1"/>
  <c r="N55" i="33" s="1"/>
  <c r="Q26" i="33"/>
  <c r="M26" i="33" s="1"/>
  <c r="N26" i="33" s="1" a="1"/>
  <c r="N26" i="33" s="1"/>
  <c r="Q42" i="33"/>
  <c r="M42" i="33" s="1"/>
  <c r="N42" i="33" s="1" a="1"/>
  <c r="N42" i="33" s="1"/>
  <c r="Q20" i="33"/>
  <c r="M20" i="33" s="1"/>
  <c r="N20" i="33" s="1" a="1"/>
  <c r="N20" i="33" s="1"/>
  <c r="D36" i="33"/>
  <c r="Q19" i="33"/>
  <c r="M19" i="33" s="1"/>
  <c r="N19" i="33" s="1" a="1"/>
  <c r="N19" i="33" s="1"/>
  <c r="Q54" i="33"/>
  <c r="M54" i="33" s="1"/>
  <c r="N54" i="33" s="1" a="1"/>
  <c r="N54" i="33" s="1"/>
  <c r="Q50" i="33"/>
  <c r="M50" i="33" s="1"/>
  <c r="N50" i="33" s="1" a="1"/>
  <c r="N50" i="33" s="1"/>
  <c r="D32" i="33"/>
  <c r="Q47" i="33"/>
  <c r="M47" i="33" s="1"/>
  <c r="N47" i="33" s="1" a="1"/>
  <c r="N47" i="33" s="1"/>
  <c r="BB11" i="33"/>
  <c r="Q18" i="33"/>
  <c r="M18" i="33" s="1"/>
  <c r="N18" i="33" s="1" a="1"/>
  <c r="N18" i="33" s="1"/>
  <c r="Q10" i="33"/>
  <c r="M10" i="33" s="1"/>
  <c r="N10" i="33" s="1" a="1"/>
  <c r="N10" i="33" s="1"/>
  <c r="Q15" i="33"/>
  <c r="M15" i="33" s="1"/>
  <c r="N15" i="33" s="1" a="1"/>
  <c r="N15" i="33" s="1"/>
  <c r="Q21" i="33"/>
  <c r="M21" i="33" s="1"/>
  <c r="N21" i="33" s="1" a="1"/>
  <c r="N21" i="33" s="1"/>
  <c r="Q25" i="33"/>
  <c r="M25" i="33" s="1"/>
  <c r="N25" i="33" s="1" a="1"/>
  <c r="N25" i="33" s="1"/>
  <c r="Q31" i="33"/>
  <c r="M31" i="33" s="1"/>
  <c r="N31" i="33" s="1" a="1"/>
  <c r="N31" i="33" s="1"/>
  <c r="Q28" i="33"/>
  <c r="M28" i="33" s="1"/>
  <c r="N28" i="33" s="1" a="1"/>
  <c r="N28" i="33" s="1"/>
  <c r="Q48" i="33"/>
  <c r="M48" i="33" s="1"/>
  <c r="N48" i="33" s="1" a="1"/>
  <c r="N48" i="33" s="1"/>
  <c r="Q32" i="33"/>
  <c r="M32" i="33" s="1"/>
  <c r="N32" i="33" s="1" a="1"/>
  <c r="N32" i="33" s="1"/>
  <c r="Q53" i="33"/>
  <c r="M53" i="33" s="1"/>
  <c r="N53" i="33" s="1" a="1"/>
  <c r="N53" i="33" s="1"/>
  <c r="Q16" i="33"/>
  <c r="M16" i="33" s="1"/>
  <c r="N16" i="33" s="1" a="1"/>
  <c r="N16" i="33" s="1"/>
  <c r="BB10" i="33"/>
  <c r="Q39" i="33"/>
  <c r="M39" i="33" s="1"/>
  <c r="N39" i="33" s="1" a="1"/>
  <c r="N39" i="33" s="1"/>
  <c r="Q36" i="33"/>
  <c r="M36" i="33" s="1"/>
  <c r="N36" i="33" s="1" a="1"/>
  <c r="N36" i="33" s="1"/>
  <c r="BB12" i="33"/>
  <c r="Q23" i="33"/>
  <c r="M23" i="33" s="1"/>
  <c r="N23" i="33" s="1" a="1"/>
  <c r="N23" i="33" s="1"/>
  <c r="Q57" i="33"/>
  <c r="M57" i="33" s="1"/>
  <c r="N57" i="33" s="1" a="1"/>
  <c r="N57" i="33" s="1"/>
  <c r="Q46" i="33"/>
  <c r="M46" i="33" s="1"/>
  <c r="N46" i="33" s="1" a="1"/>
  <c r="N46" i="33" s="1"/>
  <c r="Q44" i="33"/>
  <c r="M44" i="33" s="1"/>
  <c r="N44" i="33" s="1" a="1"/>
  <c r="N44" i="33" s="1"/>
  <c r="Q59" i="33"/>
  <c r="M59" i="33" s="1"/>
  <c r="N59" i="33" s="1" a="1"/>
  <c r="N59" i="33" s="1"/>
  <c r="AR11" i="17"/>
  <c r="AR9" i="17"/>
  <c r="AR10" i="17"/>
  <c r="AR13" i="17"/>
  <c r="AR12" i="17"/>
  <c r="O51" i="17" l="1"/>
  <c r="O57" i="17"/>
  <c r="O41" i="17"/>
  <c r="O44" i="17"/>
  <c r="O54" i="17"/>
  <c r="O40" i="17"/>
  <c r="O37" i="17"/>
  <c r="O36" i="17"/>
  <c r="O46" i="17"/>
  <c r="O56" i="17"/>
  <c r="O52" i="17"/>
  <c r="O43" i="17"/>
  <c r="O38" i="17"/>
  <c r="O49" i="17"/>
  <c r="O39" i="17"/>
  <c r="O45" i="17"/>
  <c r="O50" i="17"/>
  <c r="O55" i="17"/>
  <c r="O18" i="17"/>
  <c r="O10" i="17"/>
  <c r="O34" i="17"/>
  <c r="O33" i="17"/>
  <c r="O35" i="17"/>
  <c r="O16" i="17"/>
  <c r="O47" i="17"/>
  <c r="O14" i="17"/>
  <c r="O11" i="17"/>
  <c r="O30" i="17"/>
  <c r="O48" i="17"/>
  <c r="O31" i="17"/>
  <c r="Q48" i="17"/>
  <c r="M48" i="17" s="1"/>
  <c r="N48" i="17" s="1" a="1"/>
  <c r="N48" i="17" s="1"/>
  <c r="O15" i="17"/>
  <c r="O20" i="17"/>
  <c r="O13" i="17"/>
  <c r="O24" i="17"/>
  <c r="O21" i="17"/>
  <c r="O19" i="17"/>
  <c r="O12" i="17"/>
  <c r="O23" i="17"/>
  <c r="O32" i="17"/>
  <c r="O17" i="17"/>
  <c r="O22" i="17"/>
  <c r="O25" i="17"/>
  <c r="O27" i="17"/>
  <c r="O29" i="17"/>
  <c r="O26" i="17"/>
  <c r="O28" i="17"/>
  <c r="O9" i="17"/>
  <c r="Q46" i="17"/>
  <c r="M46" i="17" s="1"/>
  <c r="N46" i="17" s="1" a="1"/>
  <c r="N46" i="17" s="1"/>
  <c r="Q35" i="17"/>
  <c r="M35" i="17" s="1"/>
  <c r="N35" i="17" s="1" a="1"/>
  <c r="N35" i="17" s="1"/>
  <c r="D23" i="17"/>
  <c r="D33" i="17"/>
  <c r="D34" i="17"/>
  <c r="Q25" i="17"/>
  <c r="M25" i="17" s="1"/>
  <c r="N25" i="17" s="1" a="1"/>
  <c r="N25" i="17" s="1"/>
  <c r="Q20" i="17"/>
  <c r="M20" i="17" s="1"/>
  <c r="N20" i="17" s="1" a="1"/>
  <c r="N20" i="17" s="1"/>
  <c r="Q22" i="17"/>
  <c r="M22" i="17" s="1"/>
  <c r="N22" i="17" s="1" a="1"/>
  <c r="N22" i="17" s="1"/>
  <c r="Q34" i="17"/>
  <c r="M34" i="17" s="1"/>
  <c r="N34" i="17" s="1" a="1"/>
  <c r="N34" i="17" s="1"/>
  <c r="Q10" i="17"/>
  <c r="M10" i="17" s="1"/>
  <c r="N10" i="17" s="1" a="1"/>
  <c r="N10" i="17" s="1"/>
  <c r="Q9" i="17"/>
  <c r="M9" i="17" s="1"/>
  <c r="N9" i="17" s="1" a="1"/>
  <c r="N9" i="17" s="1"/>
  <c r="Q21" i="17"/>
  <c r="M21" i="17" s="1"/>
  <c r="N21" i="17" s="1" a="1"/>
  <c r="N21" i="17" s="1"/>
  <c r="Q29" i="17"/>
  <c r="M29" i="17" s="1"/>
  <c r="N29" i="17" s="1" a="1"/>
  <c r="N29" i="17" s="1"/>
  <c r="Q28" i="17"/>
  <c r="M28" i="17" s="1"/>
  <c r="N28" i="17" s="1" a="1"/>
  <c r="N28" i="17" s="1"/>
  <c r="Q24" i="17"/>
  <c r="M24" i="17" s="1"/>
  <c r="N24" i="17" s="1" a="1"/>
  <c r="N24" i="17" s="1"/>
  <c r="Q14" i="17"/>
  <c r="M14" i="17" s="1"/>
  <c r="N14" i="17" s="1" a="1"/>
  <c r="N14" i="17" s="1"/>
  <c r="Q13" i="17"/>
  <c r="M13" i="17" s="1"/>
  <c r="N13" i="17" s="1" a="1"/>
  <c r="N13" i="17" s="1"/>
  <c r="Q17" i="17"/>
  <c r="M17" i="17" s="1"/>
  <c r="N17" i="17" s="1" a="1"/>
  <c r="N17" i="17" s="1"/>
  <c r="Q16" i="17"/>
  <c r="M16" i="17" s="1"/>
  <c r="N16" i="17" s="1" a="1"/>
  <c r="N16" i="17" s="1"/>
  <c r="Q12" i="17"/>
  <c r="M12" i="17" s="1"/>
  <c r="N12" i="17" s="1" a="1"/>
  <c r="N12" i="17" s="1"/>
  <c r="Q32" i="17"/>
  <c r="M32" i="17" s="1"/>
  <c r="N32" i="17" s="1" a="1"/>
  <c r="N32" i="17" s="1"/>
  <c r="Q15" i="17"/>
  <c r="M15" i="17" s="1"/>
  <c r="N15" i="17" s="1" a="1"/>
  <c r="N15" i="17" s="1"/>
  <c r="Q27" i="17"/>
  <c r="M27" i="17" s="1"/>
  <c r="N27" i="17" s="1" a="1"/>
  <c r="N27" i="17" s="1"/>
  <c r="Q26" i="17"/>
  <c r="M26" i="17" s="1"/>
  <c r="N26" i="17" s="1" a="1"/>
  <c r="N26" i="17" s="1"/>
  <c r="Q23" i="17"/>
  <c r="M23" i="17" s="1"/>
  <c r="N23" i="17" s="1" a="1"/>
  <c r="N23" i="17" s="1"/>
  <c r="Q30" i="17"/>
  <c r="M30" i="17" s="1"/>
  <c r="N30" i="17" s="1" a="1"/>
  <c r="N30" i="17" s="1"/>
  <c r="Q31" i="17"/>
  <c r="M31" i="17" s="1"/>
  <c r="N31" i="17" s="1" a="1"/>
  <c r="N31" i="17" s="1"/>
  <c r="Q33" i="17"/>
  <c r="M33" i="17" s="1"/>
  <c r="N33" i="17" s="1" a="1"/>
  <c r="N33" i="17" s="1"/>
  <c r="Q19" i="17"/>
  <c r="M19" i="17" s="1"/>
  <c r="N19" i="17" s="1" a="1"/>
  <c r="N19" i="17" s="1"/>
  <c r="Q18" i="17"/>
  <c r="M18" i="17" s="1"/>
  <c r="N18" i="17" s="1" a="1"/>
  <c r="N18" i="17" s="1"/>
  <c r="Q11" i="17"/>
  <c r="M11" i="17" s="1"/>
  <c r="N11" i="17" s="1" a="1"/>
  <c r="N11" i="17" s="1"/>
  <c r="C58" i="16"/>
  <c r="D58" i="16" s="1"/>
  <c r="C60" i="16"/>
  <c r="D60" i="16" s="1"/>
  <c r="C62" i="16"/>
  <c r="D62" i="16" s="1"/>
  <c r="C63" i="16"/>
  <c r="D63" i="16" s="1"/>
  <c r="C59" i="16"/>
  <c r="D59" i="16" s="1"/>
  <c r="C57" i="16"/>
  <c r="D57" i="16" s="1"/>
  <c r="C61" i="16"/>
  <c r="D61" i="16" s="1"/>
  <c r="C64" i="16"/>
  <c r="D64" i="16" s="1"/>
  <c r="C55" i="16"/>
  <c r="D55" i="16" s="1"/>
  <c r="C56" i="16"/>
  <c r="D56" i="16" s="1"/>
  <c r="M9" i="16"/>
  <c r="N9" i="16" s="1" a="1"/>
  <c r="N9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DA4B6-E0B8-4582-AAD6-8D3CD288FA8C}" keepAlive="1" name="Consulta - datos Persona" description="Conexión a la consulta 'datos Persona' en el libro." type="5" refreshedVersion="8" background="1" saveData="1">
    <dbPr connection="Provider=Microsoft.Mashup.OleDb.1;Data Source=$Workbook$;Location=&quot;datos Persona&quot;;Extended Properties=&quot;&quot;" command="SELECT * FROM [datos Persona]"/>
  </connection>
  <connection id="2" xr16:uid="{FB6111DB-CB56-4FA1-B08E-59437F3C8962}" keepAlive="1" name="Consulta - pbi ListaEmpleadosExpertis" description="Conexión a la consulta 'pbi ListaEmpleadosExpertis' en el libro." type="5" refreshedVersion="8" background="1" saveData="1">
    <dbPr connection="Provider=Microsoft.Mashup.OleDb.1;Data Source=$Workbook$;Location=&quot;pbi ListaEmpleadosExpertis&quot;;Extended Properties=&quot;&quot;" command="SELECT * FROM [pbi ListaEmpleadosExpertis]"/>
  </connection>
  <connection id="3" xr16:uid="{E2671889-E1D0-40BF-AFC0-1DF1615ECB2E}" keepAlive="1" name="Consulta - PLANTILLA" description="Conexión a la consulta 'PLANTILLA' en el libro." type="5" refreshedVersion="8" background="1" saveData="1">
    <dbPr connection="Provider=Microsoft.Mashup.OleDb.1;Data Source=$Workbook$;Location=PLANTILLA;Extended Properties=&quot;&quot;" command="SELECT * FROM [PLANTILL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<sst xmlns="http://schemas.openxmlformats.org/spreadsheetml/2006/main" count="15431" uniqueCount="634">
  <si>
    <t>ASESOR</t>
  </si>
  <si>
    <t>ALCANCE</t>
  </si>
  <si>
    <t>JORGE</t>
  </si>
  <si>
    <t>SANDY</t>
  </si>
  <si>
    <t>MELINA</t>
  </si>
  <si>
    <t>JORDAN</t>
  </si>
  <si>
    <t>KENNETH</t>
  </si>
  <si>
    <t>LEONOR</t>
  </si>
  <si>
    <t>BRYAN</t>
  </si>
  <si>
    <t>LUIS</t>
  </si>
  <si>
    <t>VERONICA TASAYCO</t>
  </si>
  <si>
    <t>MILAGROS QUIO</t>
  </si>
  <si>
    <t>GENESIS VICUNA</t>
  </si>
  <si>
    <t>GIANFRANCO PINEDO</t>
  </si>
  <si>
    <t>BRINA SOTO</t>
  </si>
  <si>
    <t>ANDERSON RODRIGUEZ</t>
  </si>
  <si>
    <t>FRANS TACSI</t>
  </si>
  <si>
    <t>MARGARITA PIANCHACHI</t>
  </si>
  <si>
    <t>ALEIDITH GUEVARA</t>
  </si>
  <si>
    <t>CARMEN PUMA</t>
  </si>
  <si>
    <t>JHOVANA TORRES</t>
  </si>
  <si>
    <t>ALEJANDRA AVILA</t>
  </si>
  <si>
    <t>EVELY TENORIO</t>
  </si>
  <si>
    <t>LISELY MERA</t>
  </si>
  <si>
    <t>FRANCO HUAMANI</t>
  </si>
  <si>
    <t>MALORY MONTEBLANCO</t>
  </si>
  <si>
    <t>JENY LAZARO</t>
  </si>
  <si>
    <t>GABRIELA APONTE</t>
  </si>
  <si>
    <t>ERICK PORTILLA</t>
  </si>
  <si>
    <t>LUIS VALLADARES</t>
  </si>
  <si>
    <t>TERRY ECHEVARRIA</t>
  </si>
  <si>
    <t>LUIS CENTENO</t>
  </si>
  <si>
    <t>GIANNINA AGUILAR</t>
  </si>
  <si>
    <t>LINDA TUESTA</t>
  </si>
  <si>
    <t>STWUAR MACURI</t>
  </si>
  <si>
    <t>JUAN LOZA</t>
  </si>
  <si>
    <t>MEDALITH NESTARES</t>
  </si>
  <si>
    <t>JIMENA MEDINA</t>
  </si>
  <si>
    <t>MARIA HUARCAYA</t>
  </si>
  <si>
    <t>YENNY INGA</t>
  </si>
  <si>
    <t>DARYL FERREL</t>
  </si>
  <si>
    <t>CHRISTIAN ALVARADO</t>
  </si>
  <si>
    <t>HAROLD FLORES</t>
  </si>
  <si>
    <t>LYNDA PEREZ</t>
  </si>
  <si>
    <t>GINA HUAMANI</t>
  </si>
  <si>
    <t>KATHLEEN FLORES</t>
  </si>
  <si>
    <t>KATYUSCA LEVANO</t>
  </si>
  <si>
    <t>DARY VICHARRA</t>
  </si>
  <si>
    <t>VERONICA HUARCA</t>
  </si>
  <si>
    <t>JANETH PORTOCARRERO</t>
  </si>
  <si>
    <t>KIARA CANEPA</t>
  </si>
  <si>
    <t>GERALDINE ARROYO</t>
  </si>
  <si>
    <t>MARCO QUISPE</t>
  </si>
  <si>
    <t>CHRISTIAN ALBUJAR</t>
  </si>
  <si>
    <t>ANABEL SIHUE</t>
  </si>
  <si>
    <t>MAYRA AVALOS</t>
  </si>
  <si>
    <t>YEYMY HUERTA</t>
  </si>
  <si>
    <t>JAIR MARTINEZ</t>
  </si>
  <si>
    <t>ALEJANDRA QUISPE</t>
  </si>
  <si>
    <t>PIERINA TESEN</t>
  </si>
  <si>
    <t>ANALUCIA PONCE</t>
  </si>
  <si>
    <t>CRISTINA TICONA</t>
  </si>
  <si>
    <t>MELISSA GUERRERO</t>
  </si>
  <si>
    <t>RICHARD RODRIGUEZ</t>
  </si>
  <si>
    <t>MICAELA PEREZ</t>
  </si>
  <si>
    <t>JHONATAN CHAVEZ</t>
  </si>
  <si>
    <t>GILBERTO PURIZACA</t>
  </si>
  <si>
    <t>AURORA FAUSTOR</t>
  </si>
  <si>
    <t>LUCERO JORDAN</t>
  </si>
  <si>
    <t>ANTHONY TORRES</t>
  </si>
  <si>
    <t>MERLY CORONEL</t>
  </si>
  <si>
    <t>GIULIANA QUISPE</t>
  </si>
  <si>
    <t>ERIKA VILLAR</t>
  </si>
  <si>
    <t>SARITA GARAY</t>
  </si>
  <si>
    <t>NARDIA URPIS</t>
  </si>
  <si>
    <t>MARIA TINTAYA</t>
  </si>
  <si>
    <t>VICTOR RAMIREZ</t>
  </si>
  <si>
    <t>JUAN ALANOCCA</t>
  </si>
  <si>
    <t>URSULA CENTENO</t>
  </si>
  <si>
    <t>NATALIA MARIN</t>
  </si>
  <si>
    <t>DANIEL ZAPATA</t>
  </si>
  <si>
    <t>DAVID SANCHEZ</t>
  </si>
  <si>
    <t>CINTHYA PAUCAR</t>
  </si>
  <si>
    <t>ISABEL BEJARANO</t>
  </si>
  <si>
    <t>RAQUEL RICO</t>
  </si>
  <si>
    <t>ANTHONY VICENTE</t>
  </si>
  <si>
    <t>SOLMAIRA BRAVO</t>
  </si>
  <si>
    <t>AL_AC</t>
  </si>
  <si>
    <t>ASER_</t>
  </si>
  <si>
    <t>CLASIFICACIÓN</t>
  </si>
  <si>
    <t>META</t>
  </si>
  <si>
    <t>MISHEL MORALES</t>
  </si>
  <si>
    <t>ANGELO SUAREZ</t>
  </si>
  <si>
    <t>GERSON LAZARO</t>
  </si>
  <si>
    <t>SUPER</t>
  </si>
  <si>
    <t>RECUPERO</t>
  </si>
  <si>
    <t>JESSICA MELGAREJO</t>
  </si>
  <si>
    <t>NOEMI CHUQUILIN</t>
  </si>
  <si>
    <t>JHOHAN CONTRERAS</t>
  </si>
  <si>
    <t>LUPITA HIDALGO</t>
  </si>
  <si>
    <t>JAIME TUMIALAN</t>
  </si>
  <si>
    <t>LUIS RUIZ</t>
  </si>
  <si>
    <t>ROBERTO RODRIGUEZ</t>
  </si>
  <si>
    <t>ROCIO TERRONES</t>
  </si>
  <si>
    <t>CARLOS CALAGUA</t>
  </si>
  <si>
    <t>FRANK PACORA</t>
  </si>
  <si>
    <t>JOANA GIL</t>
  </si>
  <si>
    <t>MICHAEL TAFUR</t>
  </si>
  <si>
    <t>ASESOR_CRR</t>
  </si>
  <si>
    <t>ALEJANDRO GONZALES</t>
  </si>
  <si>
    <t>MARCO SARMIENTO</t>
  </si>
  <si>
    <t>ANDREA ALEJOS</t>
  </si>
  <si>
    <t>JOSUE VILCHEZ</t>
  </si>
  <si>
    <t>ROSA ROJAS</t>
  </si>
  <si>
    <t>JACQUELINE COLLAHUACHO</t>
  </si>
  <si>
    <t>MELITA</t>
  </si>
  <si>
    <t>JERSON RIVERA</t>
  </si>
  <si>
    <t>PAMELA ALBITES</t>
  </si>
  <si>
    <t>BRYAN VELASQUEZ</t>
  </si>
  <si>
    <t>MARIA GONZALES</t>
  </si>
  <si>
    <t>MAURICIO MARTINEZ</t>
  </si>
  <si>
    <t>MARCELIT LOPEZ</t>
  </si>
  <si>
    <t>JEREMIAS ROJAS</t>
  </si>
  <si>
    <t>JOSUE CHOCCE</t>
  </si>
  <si>
    <t>GUSTAVO</t>
  </si>
  <si>
    <t>JOHAN</t>
  </si>
  <si>
    <t>ORIANA ARANA</t>
  </si>
  <si>
    <t>HARLINGTON VIDAL</t>
  </si>
  <si>
    <t>ROGGER RODRIGUEZ</t>
  </si>
  <si>
    <t>EDSON MAMANI</t>
  </si>
  <si>
    <t>ESTRELLA TINTAYA</t>
  </si>
  <si>
    <t>LIZETH RAMIREZ</t>
  </si>
  <si>
    <t>MIRYAM YAPU</t>
  </si>
  <si>
    <t>SUPERVISOR</t>
  </si>
  <si>
    <t>CARTERA</t>
  </si>
  <si>
    <t>META SUPER</t>
  </si>
  <si>
    <t>MES</t>
  </si>
  <si>
    <t>RECUPERO SUPERVISOR</t>
  </si>
  <si>
    <t>ALCANCE SUPERVISOR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</si>
  <si>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</si>
  <si>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</si>
  <si>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</si>
  <si>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</si>
  <si>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</si>
  <si>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</si>
  <si>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</si>
  <si>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</si>
  <si>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</si>
  <si>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</si>
  <si>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</si>
  <si>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BBVA</t>
  </si>
  <si>
    <t>TRU-LAN</t>
  </si>
  <si>
    <t>IBK</t>
  </si>
  <si>
    <t>MIX</t>
  </si>
  <si>
    <t>OH-TRU</t>
  </si>
  <si>
    <t>BBVA - NUEVO</t>
  </si>
  <si>
    <t>IBK - NUEVO</t>
  </si>
  <si>
    <t>S3 - 4</t>
  </si>
  <si>
    <t>S2</t>
  </si>
  <si>
    <t>S1</t>
  </si>
  <si>
    <t>S3-4</t>
  </si>
  <si>
    <t>IBK/BBVA - NUEVO</t>
  </si>
  <si>
    <t>&gt;100%</t>
  </si>
  <si>
    <t>&gt;70%</t>
  </si>
  <si>
    <t>&gt;40%</t>
  </si>
  <si>
    <t>&gt;0%</t>
  </si>
  <si>
    <t>AÑO</t>
  </si>
  <si>
    <t>mes</t>
  </si>
  <si>
    <t>Equipo</t>
  </si>
  <si>
    <t>Meta_Equipo</t>
  </si>
  <si>
    <t>Meta_Asesor</t>
  </si>
  <si>
    <t>2025</t>
  </si>
  <si>
    <t>2023</t>
  </si>
  <si>
    <t>2024</t>
  </si>
  <si>
    <t>CARLA VALENCIA</t>
  </si>
  <si>
    <t>S2-3-4</t>
  </si>
  <si>
    <t>DICIEMBRE</t>
  </si>
  <si>
    <t>CONCAT</t>
  </si>
  <si>
    <t>RECUP</t>
  </si>
  <si>
    <t>SEGG</t>
  </si>
  <si>
    <t>1-Set</t>
  </si>
  <si>
    <t>2-Set</t>
  </si>
  <si>
    <t>3-Set</t>
  </si>
  <si>
    <t>4-Set</t>
  </si>
  <si>
    <t>5-Set</t>
  </si>
  <si>
    <t>8-Set</t>
  </si>
  <si>
    <t>9-Set</t>
  </si>
  <si>
    <t>10-Set</t>
  </si>
  <si>
    <t>11-Set</t>
  </si>
  <si>
    <t>12-Set</t>
  </si>
  <si>
    <t>15-Set</t>
  </si>
  <si>
    <t>16-Set</t>
  </si>
  <si>
    <t>17-Set</t>
  </si>
  <si>
    <t>18-Set</t>
  </si>
  <si>
    <t>19-Set</t>
  </si>
  <si>
    <t>22-Set</t>
  </si>
  <si>
    <t>23-Set</t>
  </si>
  <si>
    <t>24-Set</t>
  </si>
  <si>
    <t>25-Set</t>
  </si>
  <si>
    <t>26-Set</t>
  </si>
  <si>
    <t>29-Set</t>
  </si>
  <si>
    <t>30-Set</t>
  </si>
  <si>
    <t>SUPER2</t>
  </si>
  <si>
    <t>S0 - Set</t>
  </si>
  <si>
    <t>S0 - Nov</t>
  </si>
  <si>
    <t>DÍAS LABORABLES</t>
  </si>
  <si>
    <t>MARTIN VARGAS</t>
  </si>
  <si>
    <t>MARIA BARRIONUEVO</t>
  </si>
  <si>
    <t>2026</t>
  </si>
  <si>
    <t>S0</t>
  </si>
  <si>
    <t>alias</t>
  </si>
  <si>
    <t>LISELY ARIADNA MERA DAVILA</t>
  </si>
  <si>
    <t>JORDAN MAYA</t>
  </si>
  <si>
    <t>JORDAN JAVIER MAYA BALDEON</t>
  </si>
  <si>
    <t>LEONOR NAVARRO</t>
  </si>
  <si>
    <t>LEONOR MODESTA ÑAHUI NAVARRO</t>
  </si>
  <si>
    <t>ALEJANDRA QUISPE MAMANI</t>
  </si>
  <si>
    <t>JANETT MARIA PORTOCARRERO TORRES</t>
  </si>
  <si>
    <t>JIMENA MEDINA MAMANI</t>
  </si>
  <si>
    <t>KENNETH CUBA</t>
  </si>
  <si>
    <t>KENNETH KATZUO CUBA RODRIGUEZ</t>
  </si>
  <si>
    <t>JENY ROBERTA LAZARO FERNANDEZ</t>
  </si>
  <si>
    <t>JOHAN MAYA</t>
  </si>
  <si>
    <t>JOHAN DANIEL MAYA BALDEON</t>
  </si>
  <si>
    <t>MELINA AYRE</t>
  </si>
  <si>
    <t>MELINA NANCY AYRE VIVAS</t>
  </si>
  <si>
    <t>SANDY LOPEZ</t>
  </si>
  <si>
    <t>SANDY BEATRIZ LOPEZ BALVIN</t>
  </si>
  <si>
    <t>JULIO HIGA</t>
  </si>
  <si>
    <t>JULIO KAZUTO HIGA UCHIDA</t>
  </si>
  <si>
    <t>MAYRA LLIMPE</t>
  </si>
  <si>
    <t>MAYRA LLIMPE AUCCAPINA</t>
  </si>
  <si>
    <t>JOSE RAMOS</t>
  </si>
  <si>
    <t>JOSE LUIS RAMOS CARDENAS</t>
  </si>
  <si>
    <t>ALEJANDRO PORTURAS</t>
  </si>
  <si>
    <t>ALEJANDRO ENRIQUE PORTURAS SUSSONI</t>
  </si>
  <si>
    <t>ANGEL MARTINEZ</t>
  </si>
  <si>
    <t>ANGEL JESÚS MARTINEZ POMA</t>
  </si>
  <si>
    <t>CESAR MENACHO</t>
  </si>
  <si>
    <t>CESAR ANIBAL MENACHO PICON</t>
  </si>
  <si>
    <t>CAROLINA PICHILINGUE</t>
  </si>
  <si>
    <t>RITA CAROLINA PICHILINGUE FASÍL</t>
  </si>
  <si>
    <t>YVAN LUCERO</t>
  </si>
  <si>
    <t>YVAN ERICK LUCERO BUSTINZA</t>
  </si>
  <si>
    <t>NATALIA JASMIN MARIN SANCHEZ</t>
  </si>
  <si>
    <t>JESUS CHRISTIAN ANIBAL ALVARADO HUARANGA</t>
  </si>
  <si>
    <t>FRANK ANTONIO PACORA GARCIA</t>
  </si>
  <si>
    <t>CARMEN ROSA PUMA GALLEGOS</t>
  </si>
  <si>
    <t>JORGE PALOMINO</t>
  </si>
  <si>
    <t>JORGE ANTONIO PALOMINO DE LA CRUZ</t>
  </si>
  <si>
    <t>LUIS MIGUEL VALLADARES TAIPE</t>
  </si>
  <si>
    <t>MARIA VERONICA TASAYCO PACHECO DE MEZA</t>
  </si>
  <si>
    <t>FLOR MARIA TINTAYA PUMACAYO</t>
  </si>
  <si>
    <t>ANDERSON RODRIGUEZ MUÑOZ</t>
  </si>
  <si>
    <t>JUAN CARLOS LOZA DIAZ</t>
  </si>
  <si>
    <t>VERONICA ELSA HUARCA TABOADA</t>
  </si>
  <si>
    <t>GIANFRANCO PINEDO FLORES</t>
  </si>
  <si>
    <t>VICTOR ORLANDO RAMIREZ TORRES</t>
  </si>
  <si>
    <t>MALORY CRISTEL MONTEBLANCO CHICOMA</t>
  </si>
  <si>
    <t>JUAN MANUEL ALANOCCA LAUREANO</t>
  </si>
  <si>
    <t>EDWARD ESPINOZA</t>
  </si>
  <si>
    <t>EDWARD ESPINOZA TORRES</t>
  </si>
  <si>
    <t>GENESIS LEONOR  VICUÑA ARCASI</t>
  </si>
  <si>
    <t>MARGARITA PIANCHACHI DIAZ</t>
  </si>
  <si>
    <t>CRISTINA  TICONA LARICO</t>
  </si>
  <si>
    <t>URSULA GRACIELA CENTENO POMALAZA</t>
  </si>
  <si>
    <t>JHONATAN ALEXIS HECTOR CHAVEZ TINEO</t>
  </si>
  <si>
    <t>JEREMIAS HAGEO ROJAS HUAMAN</t>
  </si>
  <si>
    <t>ERIKA ROSSANA VILLAR ARIRUA</t>
  </si>
  <si>
    <t>ALEIDITH GUEVARA CHAVEZ</t>
  </si>
  <si>
    <t>SARITA JAQUELINE GARAY JURADO</t>
  </si>
  <si>
    <t>LUIS STWUAR MACURI SARAVIA</t>
  </si>
  <si>
    <t>SALVADOR CERNA</t>
  </si>
  <si>
    <t>SALVADOR ALEXIS CERNA NOMBERTO</t>
  </si>
  <si>
    <t>DANIEL ENRIQUE ZAPATA MOGOLLON</t>
  </si>
  <si>
    <t>EVELY JENNIFER TENORIO MIDMA</t>
  </si>
  <si>
    <t>JONATAN PACORA</t>
  </si>
  <si>
    <t>JONATÁN ELÍ PACORA VEGA</t>
  </si>
  <si>
    <t>ANALUCIA DEL CIELO PONCE LADINES</t>
  </si>
  <si>
    <t>ALEJANDRO ANDRES GONZALES SAYAN</t>
  </si>
  <si>
    <t>FRANCO JUAN HUAMANI CUCHO</t>
  </si>
  <si>
    <t>PIERINA MICHEL TESEN ESPINOZA</t>
  </si>
  <si>
    <t>LUCERO JAZMIN JORDAN SARAVIA</t>
  </si>
  <si>
    <t>MILAGROS QUIO HERRERA</t>
  </si>
  <si>
    <t>HAROLD ELIAS FLORES FLORES</t>
  </si>
  <si>
    <t>ROBERTO ARAKAKI</t>
  </si>
  <si>
    <t>ROBERTO HIROSHI ARAKAKI RODRIGUEZ</t>
  </si>
  <si>
    <t>DAVID CHRISTIANS SANCHEZ SANCHEZ</t>
  </si>
  <si>
    <t>KIARA ESTEFANIA CANEPA IGLESIAS</t>
  </si>
  <si>
    <t>GIANNINA RAQUEL AGUILAR MEGO</t>
  </si>
  <si>
    <t>ROBERTO INZUA</t>
  </si>
  <si>
    <t>ROBERTO CARLOS INZUA ABANTO</t>
  </si>
  <si>
    <t>JHON PULACHE</t>
  </si>
  <si>
    <t>JHON ALEXANDER PULACHE CHANTA</t>
  </si>
  <si>
    <t>GINA GEORFFINO</t>
  </si>
  <si>
    <t>GINA SOFIA GEORFFINO TOLEDO</t>
  </si>
  <si>
    <t>ALONSO PRADO</t>
  </si>
  <si>
    <t>PRADO CHIRA ALONSO</t>
  </si>
  <si>
    <t>JORGE CAPRISTAN</t>
  </si>
  <si>
    <t>JORGE ESTEBAN CAPRISTAN CACERES</t>
  </si>
  <si>
    <t>LUIS CUSTODIO</t>
  </si>
  <si>
    <t>CUSTODIO GARCIA LUIS ANTONIO</t>
  </si>
  <si>
    <t>JESSICA GABRIELA MELGAREJO CAJAHUANCA</t>
  </si>
  <si>
    <t>GERALDINE ARROYO TENORIO</t>
  </si>
  <si>
    <t>ANDERSON MELGAREJO</t>
  </si>
  <si>
    <t>YAREN ANDERSON MELGAREJO CUENCA</t>
  </si>
  <si>
    <t>KATTERIN HIDALGO</t>
  </si>
  <si>
    <t>KATTERIN HIDALGO MORAN</t>
  </si>
  <si>
    <t>ALEJANDRO ROMERO</t>
  </si>
  <si>
    <t>LUIS ALEJANDRO ROMERO ESPEJO</t>
  </si>
  <si>
    <t>MARIA DEL CARMEN HUARCAYA ZORRILLA</t>
  </si>
  <si>
    <t>MAYRA LEYVIS ELIZABETH AVALOS LAZO</t>
  </si>
  <si>
    <t>JORGE VASQUEZ</t>
  </si>
  <si>
    <t>JORGE LUIS VASQUEZ  PEZO</t>
  </si>
  <si>
    <t>MATIAS SUAREZ</t>
  </si>
  <si>
    <t>MATIAS ALEJANDRO SUAREZ MONROY</t>
  </si>
  <si>
    <t>NOEMI CHUQUILIN MENDOZA</t>
  </si>
  <si>
    <t>NIELS MALLQUI</t>
  </si>
  <si>
    <t>NIELS RANDY MALLQUI PARRA</t>
  </si>
  <si>
    <t>BRYAN MANSILLA</t>
  </si>
  <si>
    <t>BRYAN AXEL MANSILLA CHOCCETOY</t>
  </si>
  <si>
    <t>MADELEINE MACHADO</t>
  </si>
  <si>
    <t>MADELEINE JENNIFER MACHADO LUCAS</t>
  </si>
  <si>
    <t>MAURO ADAUTO</t>
  </si>
  <si>
    <t>MAURO IMANOL OBERMEYER  ADAUTO ANGULO</t>
  </si>
  <si>
    <t>SCOTT ORELLANA</t>
  </si>
  <si>
    <t>SCOTT  ORELLANA ACOSTA</t>
  </si>
  <si>
    <t>ERNESTO PIZARRO</t>
  </si>
  <si>
    <t>ERNESTO  PIZARRO CAMPOS</t>
  </si>
  <si>
    <t>ROBERT MANGUINURI</t>
  </si>
  <si>
    <t>ROBERT BRANDO MANGUINURI SANCHEZ</t>
  </si>
  <si>
    <t>GABRIEL CABANA</t>
  </si>
  <si>
    <t>GABRIEL ALESSANDRO CABANA CAZANI</t>
  </si>
  <si>
    <t>ALISTER VENTO</t>
  </si>
  <si>
    <t>ALISTER VENTO TAPIA</t>
  </si>
  <si>
    <t>CARLA ESTEFANIA VAALENCIA NUÑEZ</t>
  </si>
  <si>
    <t>RODRIGO PAREDES</t>
  </si>
  <si>
    <t>HERNAN RODRIGO PAREDES ROCA</t>
  </si>
  <si>
    <t>JORGE LAURA</t>
  </si>
  <si>
    <t>JORGE ENRIQUE LAURA LEON</t>
  </si>
  <si>
    <t>NOMBRE</t>
  </si>
  <si>
    <t>FEC_NAC</t>
  </si>
  <si>
    <t>STAFF</t>
  </si>
  <si>
    <t>PUESTO</t>
  </si>
  <si>
    <t>DIA</t>
  </si>
  <si>
    <t>PUESTO REAL</t>
  </si>
  <si>
    <t>ASESOR DE COBRANZA</t>
  </si>
  <si>
    <t>ANALISTA DE FINANZAS</t>
  </si>
  <si>
    <t>ANALISTA DE ESTRATEGIA DE PORTAFOLIO</t>
  </si>
  <si>
    <t>ASISTENTE EJECUTIVA</t>
  </si>
  <si>
    <t>GERENTE DE OPERACIONES</t>
  </si>
  <si>
    <t>ANALISTA ESTRATÉGICO DE INFORMACIÓN</t>
  </si>
  <si>
    <t>SUBGERENTE DE ESTRATEGIA DE PORTAFOLIOS</t>
  </si>
  <si>
    <t>ANALISTA DE ESTRATEGIA Y DESEMPEÑO</t>
  </si>
  <si>
    <t>ASISTENTE DE GERENCIA</t>
  </si>
  <si>
    <t>GERENTE DE PROYECTOS Y CONSULTORIA</t>
  </si>
  <si>
    <t>ANALISTA DE SOPORTE Y TI</t>
  </si>
  <si>
    <t>ANALISTA DE OPERACIONES</t>
  </si>
  <si>
    <t>SUPERVISOR SENIOR DE COBRANZAS – BPO</t>
  </si>
  <si>
    <t>SUBGERENTE DE TI Y PROCESOS</t>
  </si>
  <si>
    <t>ANALISTA DE TESORERIA</t>
  </si>
  <si>
    <t>ASISTENTE DE ARCHIVO</t>
  </si>
  <si>
    <t>PRACTICANTE DE ESTRATEGIA Y DESARROLLO</t>
  </si>
  <si>
    <t>TRABAJADORA SOCIAL</t>
  </si>
  <si>
    <t>ANALISTA DE ESTRATEGIA DE COBRANZAS</t>
  </si>
  <si>
    <t>BACK OFFICE</t>
  </si>
  <si>
    <t>PRACTICANTE JUDICIAL Y LEGAL</t>
  </si>
  <si>
    <t>CONTADOR</t>
  </si>
  <si>
    <t>ANALISTA GTR - SENIOR</t>
  </si>
  <si>
    <t>ASISTENTE CONTABLE</t>
  </si>
  <si>
    <t>PRACTICANTE DE DESARROLLO Y MEJORA CONTINUA</t>
  </si>
  <si>
    <t>JEFE DE ESTRATEGIA</t>
  </si>
  <si>
    <t>ANALISTA DE INNOVACION</t>
  </si>
  <si>
    <t>PRACTICANTE DE ESTRATEGIA DE COBRANZAS</t>
  </si>
  <si>
    <t>ANALISTA DE TI</t>
  </si>
  <si>
    <t>ABOGADO</t>
  </si>
  <si>
    <t>DNI</t>
  </si>
  <si>
    <t>ELVIS GUERRERA</t>
  </si>
  <si>
    <t>FECHA DE INGRESO</t>
  </si>
  <si>
    <t>73930771</t>
  </si>
  <si>
    <t>70477743</t>
  </si>
  <si>
    <t>09880053</t>
  </si>
  <si>
    <t>72512391</t>
  </si>
  <si>
    <t>46819930</t>
  </si>
  <si>
    <t>77256395</t>
  </si>
  <si>
    <t>70876605</t>
  </si>
  <si>
    <t>76936674</t>
  </si>
  <si>
    <t>46461021</t>
  </si>
  <si>
    <t>47029782</t>
  </si>
  <si>
    <t>45262585</t>
  </si>
  <si>
    <t>48584670</t>
  </si>
  <si>
    <t>41005089</t>
  </si>
  <si>
    <t>72197469</t>
  </si>
  <si>
    <t>42251780</t>
  </si>
  <si>
    <t>72162930</t>
  </si>
  <si>
    <t>70135127</t>
  </si>
  <si>
    <t>46191595</t>
  </si>
  <si>
    <t>10706451</t>
  </si>
  <si>
    <t>74318905</t>
  </si>
  <si>
    <t>76656128</t>
  </si>
  <si>
    <t>70988976</t>
  </si>
  <si>
    <t>10491198</t>
  </si>
  <si>
    <t>72733809</t>
  </si>
  <si>
    <t>75882265</t>
  </si>
  <si>
    <t>76547598</t>
  </si>
  <si>
    <t>72287957</t>
  </si>
  <si>
    <t>76917479</t>
  </si>
  <si>
    <t>76824571</t>
  </si>
  <si>
    <t>60914051</t>
  </si>
  <si>
    <t>44042880</t>
  </si>
  <si>
    <t>47587400</t>
  </si>
  <si>
    <t>44001162</t>
  </si>
  <si>
    <t>73203775</t>
  </si>
  <si>
    <t>76089925</t>
  </si>
  <si>
    <t>45596891</t>
  </si>
  <si>
    <t>73725129</t>
  </si>
  <si>
    <t>72758956</t>
  </si>
  <si>
    <t>73507270</t>
  </si>
  <si>
    <t>47982910</t>
  </si>
  <si>
    <t>47218693</t>
  </si>
  <si>
    <t>40318129</t>
  </si>
  <si>
    <t>43307898</t>
  </si>
  <si>
    <t>74626735</t>
  </si>
  <si>
    <t>72839865</t>
  </si>
  <si>
    <t>60976055</t>
  </si>
  <si>
    <t>72716299</t>
  </si>
  <si>
    <t>76586998</t>
  </si>
  <si>
    <t>48307357</t>
  </si>
  <si>
    <t>71264767</t>
  </si>
  <si>
    <t>45139159</t>
  </si>
  <si>
    <t>60870839</t>
  </si>
  <si>
    <t>76214436</t>
  </si>
  <si>
    <t>10133668</t>
  </si>
  <si>
    <t>45084594</t>
  </si>
  <si>
    <t>43614775</t>
  </si>
  <si>
    <t>43749189</t>
  </si>
  <si>
    <t>40702064</t>
  </si>
  <si>
    <t>46793103</t>
  </si>
  <si>
    <t>47659267</t>
  </si>
  <si>
    <t>80689573</t>
  </si>
  <si>
    <t>73257316</t>
  </si>
  <si>
    <t>72519113</t>
  </si>
  <si>
    <t>70551168</t>
  </si>
  <si>
    <t>74996029</t>
  </si>
  <si>
    <t>48352539</t>
  </si>
  <si>
    <t>72413556</t>
  </si>
  <si>
    <t>72373931</t>
  </si>
  <si>
    <t>48090652</t>
  </si>
  <si>
    <t>71918087</t>
  </si>
  <si>
    <t>40980108</t>
  </si>
  <si>
    <t>47690367</t>
  </si>
  <si>
    <t>81647899</t>
  </si>
  <si>
    <t>40061791</t>
  </si>
  <si>
    <t>71262377</t>
  </si>
  <si>
    <t>43611146</t>
  </si>
  <si>
    <t>70710152</t>
  </si>
  <si>
    <t>72074706</t>
  </si>
  <si>
    <t>46587976</t>
  </si>
  <si>
    <t>70187203</t>
  </si>
  <si>
    <t>46593072</t>
  </si>
  <si>
    <t>72845450</t>
  </si>
  <si>
    <t>30960782</t>
  </si>
  <si>
    <t>70451474</t>
  </si>
  <si>
    <t>48344037</t>
  </si>
  <si>
    <t>44470294</t>
  </si>
  <si>
    <t>43326332</t>
  </si>
  <si>
    <t>70761943</t>
  </si>
  <si>
    <t>45468175</t>
  </si>
  <si>
    <t>75439643</t>
  </si>
  <si>
    <t>47411966</t>
  </si>
  <si>
    <t>77655074</t>
  </si>
  <si>
    <t>74799185</t>
  </si>
  <si>
    <t>48663317</t>
  </si>
  <si>
    <t>77017205</t>
  </si>
  <si>
    <t>70155949</t>
  </si>
  <si>
    <t>45119892</t>
  </si>
  <si>
    <t>73725149</t>
  </si>
  <si>
    <t>70065038</t>
  </si>
  <si>
    <t>70951123</t>
  </si>
  <si>
    <t>47902379</t>
  </si>
  <si>
    <t>45413266</t>
  </si>
  <si>
    <t>09996175</t>
  </si>
  <si>
    <t>47322258</t>
  </si>
  <si>
    <t>75346810</t>
  </si>
  <si>
    <t>73708621</t>
  </si>
  <si>
    <t>74602206</t>
  </si>
  <si>
    <t>73040632</t>
  </si>
  <si>
    <t>71210210</t>
  </si>
  <si>
    <t>46938414</t>
  </si>
  <si>
    <t>41285428</t>
  </si>
  <si>
    <t>47005973</t>
  </si>
  <si>
    <t>42466102</t>
  </si>
  <si>
    <t>46994661</t>
  </si>
  <si>
    <t>GENESIS PALACIOS</t>
  </si>
  <si>
    <t>GENESIS DUBEISY PALACIOS ALAMA</t>
  </si>
  <si>
    <t>ERIKA PANTA</t>
  </si>
  <si>
    <t>ERIKA YESMIN PANTA MONTALVAN</t>
  </si>
  <si>
    <t>PAOLA SANTOS</t>
  </si>
  <si>
    <t>09668687</t>
  </si>
  <si>
    <t>ESTADO</t>
  </si>
  <si>
    <t>VACACIONES</t>
  </si>
  <si>
    <t>CALL</t>
  </si>
  <si>
    <t>CARTERA ASESOR</t>
  </si>
  <si>
    <t>2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</si>
  <si>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</si>
  <si>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</si>
  <si>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</si>
  <si>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</si>
  <si>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</si>
  <si>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</si>
  <si>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</si>
  <si>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</si>
  <si>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</si>
  <si>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</si>
  <si>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</si>
  <si>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</si>
  <si>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</si>
  <si>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</si>
  <si>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</si>
  <si>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</si>
  <si>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</si>
  <si>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</si>
  <si>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</si>
  <si>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</si>
  <si>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31</t>
  </si>
  <si>
    <t>3</t>
  </si>
  <si>
    <t>10</t>
  </si>
  <si>
    <t>17</t>
  </si>
  <si>
    <t>24</t>
  </si>
  <si>
    <t>4</t>
  </si>
  <si>
    <t>11</t>
  </si>
  <si>
    <t>18</t>
  </si>
  <si>
    <t>25</t>
  </si>
  <si>
    <t>1</t>
  </si>
  <si>
    <t>44883074</t>
  </si>
  <si>
    <t>47497410</t>
  </si>
  <si>
    <t>75069320</t>
  </si>
  <si>
    <t>MARISOL FERNANDEZ</t>
  </si>
  <si>
    <t>PAULO CIUDAD</t>
  </si>
  <si>
    <t>77429428</t>
  </si>
  <si>
    <t>75717060</t>
  </si>
  <si>
    <t>LISBETH RODRIGUEZ</t>
  </si>
  <si>
    <t>47499807</t>
  </si>
  <si>
    <t>ANTHONY DEYVIS VICENTE LUYO</t>
  </si>
  <si>
    <t>ROBERTO HUILLCA</t>
  </si>
  <si>
    <t>75026229</t>
  </si>
  <si>
    <t>62792399</t>
  </si>
  <si>
    <t>75197920</t>
  </si>
  <si>
    <t/>
  </si>
  <si>
    <t>JOSELIN MONTALVO</t>
  </si>
  <si>
    <t>73233992 </t>
  </si>
  <si>
    <t>JESSICA CASTRO</t>
  </si>
  <si>
    <t>LIZ INGA</t>
  </si>
  <si>
    <t>46420334</t>
  </si>
  <si>
    <t>48484524</t>
  </si>
  <si>
    <t>RICHARD TORRES</t>
  </si>
  <si>
    <t>76257288</t>
  </si>
  <si>
    <t>SONIA SULLA</t>
  </si>
  <si>
    <t>FECHA DE INICIO</t>
  </si>
  <si>
    <t>ANALISTA DE PLANILLAS</t>
  </si>
  <si>
    <t>ASESOR DE COBRANZAS</t>
  </si>
  <si>
    <t>JOSELIN MARIVEL MONTALVO GASPAR</t>
  </si>
  <si>
    <t>SONIA ISELA SULLA MARTINEZ</t>
  </si>
  <si>
    <t>JEAN ARTEAGA</t>
  </si>
  <si>
    <t>JENY QUINONES</t>
  </si>
  <si>
    <t>JESSYKA GARCIA</t>
  </si>
  <si>
    <t>NICOLE CAURURO</t>
  </si>
  <si>
    <t>SEGMENTO</t>
  </si>
  <si>
    <t>FECHA</t>
  </si>
  <si>
    <t>EQUIPO</t>
  </si>
  <si>
    <t>CONDICION</t>
  </si>
  <si>
    <t>TIPO</t>
  </si>
  <si>
    <t>MESES ANTIGÜEDAD</t>
  </si>
  <si>
    <t>FECHA DE CESE</t>
  </si>
  <si>
    <t>2025_10</t>
  </si>
  <si>
    <t>FIJO</t>
  </si>
  <si>
    <t>LUIS AGUANAR</t>
  </si>
  <si>
    <t>CESADO</t>
  </si>
  <si>
    <t>2025_11</t>
  </si>
  <si>
    <t>2025_12</t>
  </si>
  <si>
    <t>2026_1</t>
  </si>
  <si>
    <t>2026_2</t>
  </si>
  <si>
    <t>GUSTAVO TORRES</t>
  </si>
  <si>
    <t>S0 - IBK</t>
  </si>
  <si>
    <t>S0 - BBVA</t>
  </si>
  <si>
    <t>2026_3</t>
  </si>
  <si>
    <t>S2-3-4 BANCO</t>
  </si>
  <si>
    <t>S2-3-4 MIX</t>
  </si>
  <si>
    <t>DIGITAL</t>
  </si>
  <si>
    <t>CESAR GONZALES</t>
  </si>
  <si>
    <t>CESAR MANUEL GONZALES ARONES</t>
  </si>
  <si>
    <t>SEBASTIAN GUZMAN</t>
  </si>
  <si>
    <t>PRACTICANTE DE DESARROLLO WEB</t>
  </si>
  <si>
    <t>SEBASTIAN ANDRES GUZMAN SOTO</t>
  </si>
  <si>
    <t>CARLOS QUINTANILLA</t>
  </si>
  <si>
    <t>ANALISTA GTR</t>
  </si>
  <si>
    <t>CARLOS QUINTANILLA CASTRO</t>
  </si>
  <si>
    <t>NICOLE KARINA CAURURO TAMARA</t>
  </si>
  <si>
    <t>2026_4</t>
  </si>
  <si>
    <t>JEREMY RODRIGUEZ</t>
  </si>
  <si>
    <t>FERNANDA APAZA</t>
  </si>
  <si>
    <t>ZAYDA CORTEZ</t>
  </si>
  <si>
    <t>LICENCIA</t>
  </si>
  <si>
    <t xml:space="preserve">FERNANDA APAZA </t>
  </si>
  <si>
    <t>LISELY</t>
  </si>
  <si>
    <t>2026_5</t>
  </si>
  <si>
    <t>MAIZA FERNANDA APAZA QUISPE</t>
  </si>
  <si>
    <t>LUIS MARIO CENTENO LEGUIA</t>
  </si>
  <si>
    <t>JEREMY GIANCARLO RODRIGUEZ LOZADA</t>
  </si>
  <si>
    <t>JOSE ISLA</t>
  </si>
  <si>
    <t>ANALISTA PLANIFICACION FINANCIERA</t>
  </si>
  <si>
    <t>JOSE OCTAVIO ISLA LOPEZ</t>
  </si>
  <si>
    <t>PATRICIA BENITES</t>
  </si>
  <si>
    <t>ANALISTA JUNIOR DE TESORERIA</t>
  </si>
  <si>
    <t>PATRICIA GERALDINE BENITES PURIZACA</t>
  </si>
  <si>
    <t>XIMENA SALDARRIAGA</t>
  </si>
  <si>
    <t>ANALISTA DE PROCESOS</t>
  </si>
  <si>
    <t>XIMENA SALDARRIAGA ZULUAGA</t>
  </si>
  <si>
    <t>DIXOR GAYOSO</t>
  </si>
  <si>
    <t>ANALISTA DE SOPORTE E INFRAESTRUCTURA</t>
  </si>
  <si>
    <t>DIXOR RONALD GAYOSO PEREZ</t>
  </si>
  <si>
    <t>VALERIA VALVERDE</t>
  </si>
  <si>
    <t>VALERIA YALI VALVERDE FLORES</t>
  </si>
  <si>
    <t>ZAYDA ALEXANDRA CORTEZ DIAZ</t>
  </si>
  <si>
    <t xml:space="preserve">DANIEL ZAPATA </t>
  </si>
  <si>
    <t xml:space="preserve">MARIA TINTAYA </t>
  </si>
  <si>
    <t xml:space="preserve">JENY LAZARO </t>
  </si>
  <si>
    <t xml:space="preserve">PIERINA TESEN </t>
  </si>
  <si>
    <t xml:space="preserve">ANALUCIA PONCE </t>
  </si>
  <si>
    <t xml:space="preserve">ERIKA VILLAR </t>
  </si>
  <si>
    <t xml:space="preserve">CRISTINA TICONA </t>
  </si>
  <si>
    <t>ANALISTA BUSINESS INTELLIGENCE</t>
  </si>
  <si>
    <t>ANALISTA DE INVERSIONES</t>
  </si>
  <si>
    <t>GENESIS VICUÑA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</si>
</sst>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S/&quot;\ #,##0.00;[Red]\-&quot;S/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theme="4"/>
      </patternFill>
    </fill>
    <fill>
      <patternFill patternType="solid">
        <fgColor rgb="FF7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D0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7">
    <xf numFmtId="0" fontId="0" fillId="0" borderId="0" xfId="0"/>
    <xf numFmtId="10" fontId="0" fillId="0" borderId="0" xfId="0" applyNumberFormat="1"/>
    <xf numFmtId="0" fontId="0" fillId="0" borderId="3" xfId="0" applyBorder="1"/>
    <xf numFmtId="8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1" applyNumberFormat="1" applyFont="1"/>
    <xf numFmtId="0" fontId="5" fillId="3" borderId="0" xfId="0" applyFont="1" applyFill="1"/>
    <xf numFmtId="3" fontId="0" fillId="0" borderId="4" xfId="0" applyNumberFormat="1" applyBorder="1" applyAlignment="1">
      <alignment horizontal="center"/>
    </xf>
    <xf numFmtId="0" fontId="0" fillId="4" borderId="10" xfId="0" applyFill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1" fillId="7" borderId="1" xfId="0" applyFont="1" applyFill="1" applyBorder="1" applyAlignment="1">
      <alignment horizontal="center"/>
    </xf>
    <xf numFmtId="10" fontId="0" fillId="4" borderId="10" xfId="0" applyNumberFormat="1" applyFill="1" applyBorder="1"/>
    <xf numFmtId="10" fontId="0" fillId="0" borderId="10" xfId="0" applyNumberFormat="1" applyBorder="1"/>
    <xf numFmtId="0" fontId="1" fillId="2" borderId="2" xfId="0" applyFont="1" applyFill="1" applyBorder="1"/>
    <xf numFmtId="0" fontId="1" fillId="8" borderId="2" xfId="0" applyFont="1" applyFill="1" applyBorder="1"/>
    <xf numFmtId="0" fontId="4" fillId="9" borderId="6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0" fontId="5" fillId="3" borderId="0" xfId="0" applyNumberFormat="1" applyFont="1" applyFill="1"/>
    <xf numFmtId="0" fontId="0" fillId="2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/>
    <xf numFmtId="10" fontId="7" fillId="0" borderId="0" xfId="0" applyNumberFormat="1" applyFont="1"/>
    <xf numFmtId="8" fontId="7" fillId="0" borderId="0" xfId="0" applyNumberFormat="1" applyFont="1"/>
    <xf numFmtId="0" fontId="5" fillId="10" borderId="0" xfId="0" applyFont="1" applyFill="1"/>
    <xf numFmtId="10" fontId="1" fillId="7" borderId="6" xfId="0" applyNumberFormat="1" applyFont="1" applyFill="1" applyBorder="1" applyAlignment="1">
      <alignment horizontal="center"/>
    </xf>
    <xf numFmtId="0" fontId="0" fillId="0" borderId="4" xfId="0" applyBorder="1"/>
    <xf numFmtId="0" fontId="1" fillId="11" borderId="2" xfId="0" applyFont="1" applyFill="1" applyBorder="1"/>
    <xf numFmtId="10" fontId="1" fillId="7" borderId="13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12" xfId="0" applyFont="1" applyFill="1" applyBorder="1"/>
    <xf numFmtId="0" fontId="1" fillId="5" borderId="12" xfId="0" applyFont="1" applyFill="1" applyBorder="1"/>
    <xf numFmtId="3" fontId="0" fillId="0" borderId="0" xfId="0" applyNumberFormat="1"/>
    <xf numFmtId="3" fontId="0" fillId="0" borderId="11" xfId="0" applyNumberFormat="1" applyBorder="1"/>
    <xf numFmtId="4" fontId="0" fillId="0" borderId="0" xfId="0" applyNumberFormat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9" xfId="0" applyBorder="1"/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5" fillId="0" borderId="15" xfId="0" applyFont="1" applyBorder="1"/>
    <xf numFmtId="0" fontId="5" fillId="3" borderId="15" xfId="0" applyFont="1" applyFill="1" applyBorder="1"/>
    <xf numFmtId="14" fontId="5" fillId="0" borderId="0" xfId="0" applyNumberFormat="1" applyFont="1"/>
    <xf numFmtId="14" fontId="5" fillId="0" borderId="15" xfId="0" applyNumberFormat="1" applyFont="1" applyBorder="1"/>
    <xf numFmtId="14" fontId="7" fillId="0" borderId="0" xfId="0" applyNumberFormat="1" applyFont="1"/>
    <xf numFmtId="0" fontId="7" fillId="13" borderId="0" xfId="0" applyFont="1" applyFill="1"/>
    <xf numFmtId="10" fontId="7" fillId="13" borderId="0" xfId="0" applyNumberFormat="1" applyFont="1" applyFill="1"/>
    <xf numFmtId="14" fontId="7" fillId="13" borderId="0" xfId="0" applyNumberFormat="1" applyFont="1" applyFill="1"/>
    <xf numFmtId="0" fontId="1" fillId="6" borderId="2" xfId="0" applyFont="1" applyFill="1" applyBorder="1"/>
    <xf numFmtId="0" fontId="7" fillId="14" borderId="0" xfId="0" applyFont="1" applyFill="1"/>
    <xf numFmtId="10" fontId="7" fillId="14" borderId="0" xfId="0" applyNumberFormat="1" applyFont="1" applyFill="1"/>
    <xf numFmtId="14" fontId="7" fillId="14" borderId="0" xfId="0" applyNumberFormat="1" applyFont="1" applyFill="1"/>
    <xf numFmtId="14" fontId="5" fillId="3" borderId="0" xfId="0" applyNumberFormat="1" applyFont="1" applyFill="1"/>
    <xf numFmtId="14" fontId="5" fillId="3" borderId="15" xfId="0" applyNumberFormat="1" applyFont="1" applyFill="1" applyBorder="1"/>
    <xf numFmtId="0" fontId="1" fillId="5" borderId="2" xfId="0" applyFont="1" applyFill="1" applyBorder="1"/>
    <xf numFmtId="0" fontId="0" fillId="0" borderId="16" xfId="0" applyBorder="1"/>
    <xf numFmtId="8" fontId="7" fillId="14" borderId="0" xfId="0" applyNumberFormat="1" applyFont="1" applyFill="1"/>
    <xf numFmtId="0" fontId="5" fillId="0" borderId="0" xfId="0" applyFont="1"/>
    <xf numFmtId="0" fontId="0" fillId="12" borderId="4" xfId="0" applyFill="1" applyBorder="1" applyAlignment="1">
      <alignment horizontal="center"/>
    </xf>
    <xf numFmtId="0" fontId="0" fillId="12" borderId="9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235"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2" formatCode="&quot;S/&quot;\ #,##0.00;[Red]\-&quot;S/&quot;\ 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700000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-0.499984740745262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none">
          <fgColor indexed="64"/>
          <bgColor auto="1"/>
        </patternFill>
      </fill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2" formatCode="&quot;S/&quot;\ #,##0.00;[Red]\-&quot;S/&quot;\ 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1"/>
          <bgColor auto="1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2" formatCode="&quot;S/&quot;\ #,##0.00;[Red]\-&quot;S/&quot;\ 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2" formatCode="&quot;S/&quot;\ #,##0.00;[Red]\-&quot;S/&quot;\ 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right style="thin">
          <color theme="1"/>
        </right>
        <top style="thin">
          <color indexed="64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>
          <bgColor rgb="FFFFFF99"/>
        </patternFill>
      </fill>
    </dxf>
    <dxf>
      <fill>
        <patternFill>
          <bgColor rgb="FFFFE79B"/>
        </patternFill>
      </fill>
    </dxf>
    <dxf>
      <fill>
        <patternFill>
          <bgColor rgb="FFFF7C80"/>
        </patternFill>
      </fill>
    </dxf>
  </dxfs>
  <tableStyles count="3" defaultTableStyle="TableStyleMedium2" defaultPivotStyle="PivotStyleLight16">
    <tableStyle name="Estilo de tabla dinámica 1" table="0" count="1" xr9:uid="{8E76D93B-B630-4851-99ED-6F342445E5BF}">
      <tableStyleElement type="headerRow" dxfId="1234"/>
    </tableStyle>
    <tableStyle name="Estilo de tabla dinámica 2" table="0" count="1" xr9:uid="{9E60CF16-845A-4669-9AA4-E5ACD7B8B1A8}">
      <tableStyleElement type="headerRow" dxfId="1233"/>
    </tableStyle>
    <tableStyle name="Estilo de tabla dinámica 3" table="0" count="1" xr9:uid="{A9F08836-5681-4078-A387-711930301837}">
      <tableStyleElement type="headerRow" dxfId="1232"/>
    </tableStyle>
  </tableStyles>
  <colors>
    <mruColors>
      <color rgb="FFFFFD0F"/>
      <color rgb="FF990000"/>
      <color rgb="FF700000"/>
      <color rgb="FFFCCF10"/>
      <color rgb="FFFEF6D2"/>
      <color rgb="FFFAE912"/>
      <color rgb="FFB71C1C"/>
      <color rgb="FFE65100"/>
      <color rgb="FF1B5E20"/>
      <color rgb="FFFFF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C1CC3E8-9A45-468B-825D-12FB9BC61D7F}" autoFormatId="16" applyNumberFormats="0" applyBorderFormats="0" applyFontFormats="0" applyPatternFormats="0" applyAlignmentFormats="0" applyWidthHeightFormats="0">
  <queryTableRefresh nextId="12" unboundColumnsRight="2">
    <queryTableFields count="7">
      <queryTableField id="1" name="ALIAS" tableColumnId="1"/>
      <queryTableField id="10" name="PUESTO REAL" tableColumnId="2"/>
      <queryTableField id="3" name="FEC_NAC" tableColumnId="3"/>
      <queryTableField id="4" name="NOMBRE" tableColumnId="4"/>
      <queryTableField id="8" name="PUESTO" tableColumnId="8"/>
      <queryTableField id="7" dataBound="0" tableColumnId="7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2DCD030-5BD6-439B-A866-2052AFBCF4D0}" autoFormatId="16" applyNumberFormats="0" applyBorderFormats="0" applyFontFormats="0" applyPatternFormats="0" applyAlignmentFormats="0" applyWidthHeightFormats="0">
  <queryTableRefresh nextId="11">
    <queryTableFields count="10">
      <queryTableField id="1" name="FECHA" tableColumnId="1"/>
      <queryTableField id="2" name="ASESOR" tableColumnId="2"/>
      <queryTableField id="3" name="DNI" tableColumnId="3"/>
      <queryTableField id="4" name="EQUIPO" tableColumnId="4"/>
      <queryTableField id="5" name="CONDICION" tableColumnId="5"/>
      <queryTableField id="6" name="TIPO" tableColumnId="6"/>
      <queryTableField id="7" name="FECHA DE INGRESO" tableColumnId="7"/>
      <queryTableField id="8" name="MESES ANTIGÜEDAD" tableColumnId="8"/>
      <queryTableField id="9" name="SEGMENTO" tableColumnId="9"/>
      <queryTableField id="10" name="FECHA DE CESE" tableColumnId="10"/>
    </queryTableFields>
  </queryTableRefresh>
</queryTable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DEFD4D9-E9B1-416F-8AE5-C9600610600C}" name="DATA_NOVIEMBRE_2024" displayName="DATA_NOVIEMBRE_2024" ref="M8:AX78" totalsRowShown="0" headerRowBorderDxfId="1160" tableBorderDxfId="1159">
  <autoFilter ref="M8:AX78" xr:uid="{6DEFD4D9-E9B1-416F-8AE5-C9600610600C}"/>
  <sortState xmlns:xlrd2="http://schemas.microsoft.com/office/spreadsheetml/2017/richdata2" ref="M9:AX58">
    <sortCondition ref="R8:R58"/>
  </sortState>
  <tableColumns count="38">
    <tableColumn id="5" xr3:uid="{2F04F0FC-5AE4-4C07-A721-BFFAE7B5578A}" name="AL_AC" dataDxfId="1158">
      <calculatedColumnFormula>DATA_NOVIEMBRE_2024[[#This Row],[RECUPERO]]/DATA_NOVIEMBRE_2024[[#This Row],[META]]</calculatedColumnFormula>
    </tableColumn>
    <tableColumn id="2" xr3:uid="{8B46A38D-7233-499F-B1DE-FB511E519FF9}" name="CLASIFICACIÓN" dataDxfId="1157">
      <calculatedColumnFormula array="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calculatedColumnFormula>
    </tableColumn>
    <tableColumn id="3" xr3:uid="{6B4E6DA2-6669-439A-9331-BCFE88249AC1}" name="SUPERVISOR" dataDxfId="1156"/>
    <tableColumn id="1" xr3:uid="{6BE1DCAD-FFC1-41E5-BE9A-DDFCB075F86E}" name="RECUPERO" dataDxfId="1155">
      <calculatedColumnFormula>SUM(DATA_NOVIEMBRE_2024[[#This Row],[1]:[31]])</calculatedColumnFormula>
    </tableColumn>
    <tableColumn id="6" xr3:uid="{9DC6CD9E-A550-4452-954F-6EA70609499E}" name="META" dataDxfId="1154"/>
    <tableColumn id="7" xr3:uid="{253195A7-7D47-486A-80F6-796ADB20EC53}" name="ASER_" dataDxfId="1153"/>
    <tableColumn id="4" xr3:uid="{202FFDF7-B7CF-4672-95EA-680792362409}" name="1" dataDxfId="1152"/>
    <tableColumn id="8" xr3:uid="{72687A8D-B0F6-4DDB-88CE-1067530F054A}" name="2" dataDxfId="1151"/>
    <tableColumn id="9" xr3:uid="{F4E2F670-BFF9-4FD3-A0D4-C9CAB825BC0C}" name="3" dataDxfId="1150"/>
    <tableColumn id="10" xr3:uid="{DBA3AC26-F584-4CBE-8D86-75C4463192B1}" name="4" dataDxfId="1149"/>
    <tableColumn id="11" xr3:uid="{219202FB-F58A-440D-8D19-01059AA56BAB}" name="5" dataDxfId="1148"/>
    <tableColumn id="12" xr3:uid="{2AF7B6E4-01F3-401E-BF95-3CFAB27577BC}" name="6" dataDxfId="1147"/>
    <tableColumn id="13" xr3:uid="{24CA335A-580E-4429-A4F8-DFAB61DD23F8}" name="7" dataDxfId="1146"/>
    <tableColumn id="14" xr3:uid="{4A96EC6B-C7D3-4A7F-8B4B-F3D8AF9FE594}" name="8" dataDxfId="1145"/>
    <tableColumn id="15" xr3:uid="{BA9F52F9-841F-49D0-AFFC-4D571D566DE4}" name="9" dataDxfId="1144"/>
    <tableColumn id="16" xr3:uid="{409BE12D-B77E-48C5-951D-B87CB101AD44}" name="10" dataDxfId="1143"/>
    <tableColumn id="36" xr3:uid="{EABD928B-5CEF-43E4-86B7-780838874C4C}" name="11"/>
    <tableColumn id="37" xr3:uid="{792F0026-69D5-45F8-A134-C07C95C13B09}" name="12"/>
    <tableColumn id="39" xr3:uid="{8AC6F340-2578-4E30-8348-E581E9BA2051}" name="13"/>
    <tableColumn id="32" xr3:uid="{3A3CF7B0-AF9E-427E-A74E-6B1338B44A7F}" name="14"/>
    <tableColumn id="33" xr3:uid="{474235E5-8AD2-4609-B097-DBD1E10E18D8}" name="15"/>
    <tableColumn id="34" xr3:uid="{78B77D2F-DDE2-41BD-99C6-8F040550E89A}" name="16"/>
    <tableColumn id="35" xr3:uid="{BC30524A-F67E-4642-8D30-AA4D2439ADB4}" name="17"/>
    <tableColumn id="28" xr3:uid="{39B9F939-30E9-4D97-B646-C2ACFBF84401}" name="18"/>
    <tableColumn id="29" xr3:uid="{572C68FB-24D7-4929-9D32-4D04B23056AB}" name="19"/>
    <tableColumn id="30" xr3:uid="{15241488-983E-4254-A297-20CF267E987A}" name="20"/>
    <tableColumn id="31" xr3:uid="{AC9DFD54-00B5-43E7-8E2C-D7195BD54DFF}" name="21"/>
    <tableColumn id="17" xr3:uid="{A1ADEFC1-AF5C-40DA-BD9B-35022442F4FF}" name="22" dataDxfId="1142"/>
    <tableColumn id="18" xr3:uid="{517449FB-ABB0-4312-822F-083501FE4456}" name="23" dataDxfId="1141"/>
    <tableColumn id="19" xr3:uid="{F22CE4E7-E04E-47AF-97E3-BEAFF6BC2F5E}" name="24" dataDxfId="1140"/>
    <tableColumn id="20" xr3:uid="{FE9C6881-7986-46E5-B896-D446A4BEF596}" name="25" dataDxfId="1139"/>
    <tableColumn id="21" xr3:uid="{32A09EFC-675D-4983-B360-4DBEAB2EE4FA}" name="26" dataDxfId="1138"/>
    <tableColumn id="22" xr3:uid="{02F89659-315D-4DE1-BE9C-A8C4FBB65511}" name="27" dataDxfId="1137"/>
    <tableColumn id="23" xr3:uid="{E556EC76-1435-4562-B8FF-767920C873C4}" name="28" dataDxfId="1136"/>
    <tableColumn id="24" xr3:uid="{E42123DE-6B43-4653-BF5B-323243D5FCAD}" name="29" dataDxfId="1135"/>
    <tableColumn id="25" xr3:uid="{71D65AF5-510E-457D-B0E2-F9582E783D67}" name="30" dataDxfId="1134"/>
    <tableColumn id="26" xr3:uid="{3E966EE9-5B51-4732-8107-B252301503A4}" name="31" dataDxfId="1133"/>
    <tableColumn id="27" xr3:uid="{6F804D29-D57D-4925-9B25-DD58FD9CD4C1}" name="CARTERA ASESOR" dataDxfId="113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EA51657-9DFD-4518-856A-D830285E4602}" name="D1_NOVIEMBRE_2024" displayName="D1_NOVIEMBRE_2024" ref="A2:K72" totalsRowShown="0" headerRowDxfId="1131">
  <autoFilter ref="A2:K72" xr:uid="{AEA51657-9DFD-4518-856A-D830285E4602}"/>
  <tableColumns count="11">
    <tableColumn id="1" xr3:uid="{471651EC-762A-4439-9E09-36CE7484C7DB}" name="SUPER" dataDxfId="1130"/>
    <tableColumn id="2" xr3:uid="{85C17B1E-7CF3-4112-8B36-78A801EE3005}" name="ASESOR_CRR" dataDxfId="1129">
      <calculatedColumnFormula>D1_NOVIEMBRE_2024[[#This Row],[ASESOR]]</calculatedColumnFormula>
    </tableColumn>
    <tableColumn id="5" xr3:uid="{0BDBF623-DEA9-4A29-8D28-4030A786FE51}" name="META" dataDxfId="1128">
      <calculatedColumnFormula>VLOOKUP(D1_NOVIEMBRE_2024[[#This Row],[SUPER]],DATA_NOVIEMBRE_2024[[SUPERVISOR]:[META]],3,0)</calculatedColumnFormula>
    </tableColumn>
    <tableColumn id="6" xr3:uid="{C702AF9F-4896-48CF-895F-224FB32B617C}" name="ALCANCE" dataDxfId="1127">
      <calculatedColumnFormula>D1_NOVIEMBRE_2024[[#This Row],[RECUPERO]]/D1_NOVIEMBRE_2024[[#This Row],[META]]</calculatedColumnFormula>
    </tableColumn>
    <tableColumn id="7" xr3:uid="{D7917A8B-F33C-40CB-980B-776F1F99832F}" name="SUPER2" dataDxfId="1126">
      <calculatedColumnFormula>D1_NOVIEMBRE_2024[[#This Row],[SUPER]]</calculatedColumnFormula>
    </tableColumn>
    <tableColumn id="3" xr3:uid="{D3DEEA0E-2C42-46FD-8654-903457BA8890}" name="ASESOR"/>
    <tableColumn id="4" xr3:uid="{C5AD85C6-8FB5-44A3-B923-6D77349ABA85}" name="RECUPERO" dataDxfId="1125"/>
    <tableColumn id="8" xr3:uid="{C288ADF8-0B7D-46E8-A515-7A398BFBAFF5}" name="DNI" dataDxfId="1124"/>
    <tableColumn id="9" xr3:uid="{9816B6C7-AE6F-49DA-A0C6-21A173A63635}" name="FECHA DE INICIO" dataDxfId="1123"/>
    <tableColumn id="10" xr3:uid="{342ACA45-E672-4A50-BD93-4F29AC6175A9}" name="ESTADO" dataDxfId="1122"/>
    <tableColumn id="11" xr3:uid="{780F777E-150C-4520-B1D0-54D7AB4CE197}" name="SEG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4116E31-8B46-42C0-A242-8296F27A022F}" name="DITE_NOVIEMBRE_2024" displayName="DITE_NOVIEMBRE_2024" ref="AZ8:CI15" totalsRowShown="0" headerRowDxfId="1121" dataDxfId="1119" headerRowBorderDxfId="1120" tableBorderDxfId="1118" totalsRowBorderDxfId="1117">
  <autoFilter ref="AZ8:CI15" xr:uid="{04116E31-8B46-42C0-A242-8296F27A022F}"/>
  <sortState xmlns:xlrd2="http://schemas.microsoft.com/office/spreadsheetml/2017/richdata2" ref="AZ9:CI13">
    <sortCondition ref="BC8:BC13"/>
  </sortState>
  <tableColumns count="36">
    <tableColumn id="2" xr3:uid="{EDDACE3E-50F5-4673-9A33-0C2E8A48D18E}" name="META SUPER" dataDxfId="1116"/>
    <tableColumn id="3" xr3:uid="{734C6C88-3899-4B11-A8BB-68F60FEB745F}" name="RECUPERO SUPERVISOR" dataDxfId="1115">
      <calculatedColumnFormula>MAX(DITE_NOVIEMBRE_2024[[#This Row],[1]:[31]])</calculatedColumnFormula>
    </tableColumn>
    <tableColumn id="4" xr3:uid="{ECE5B99F-FD83-4520-9BD0-C6F22F1D89DE}" name="ALCANCE SUPERVISOR" dataDxfId="1114">
      <calculatedColumnFormula>DITE_NOVIEMBRE_2024[[#This Row],[RECUPERO SUPERVISOR]]/AZ9</calculatedColumnFormula>
    </tableColumn>
    <tableColumn id="1" xr3:uid="{3C6266ED-8A4A-4ABB-A9C5-F6D7C3A28E1C}" name="SUPER" dataDxfId="1113"/>
    <tableColumn id="6" xr3:uid="{8E1962E6-B227-403D-959C-EC0A84512E7F}" name="1" dataDxfId="1112"/>
    <tableColumn id="7" xr3:uid="{82013CDA-2013-412E-8FF7-7857EB3BAAEB}" name="2" dataDxfId="1111"/>
    <tableColumn id="36" xr3:uid="{F80449E7-9C09-4D54-AD2B-6D30BBE4BFFD}" name="3" dataDxfId="1110"/>
    <tableColumn id="8" xr3:uid="{6BAF72DE-4BC7-441F-A85E-9041EF3899D9}" name="4" dataDxfId="1109"/>
    <tableColumn id="9" xr3:uid="{3D9FCE7A-2F3D-4CC9-8A91-10BD16A7E640}" name="5" dataDxfId="1108"/>
    <tableColumn id="10" xr3:uid="{BEDD9763-065B-45CB-AE2B-710FA8B66ADE}" name="6" dataDxfId="1107"/>
    <tableColumn id="11" xr3:uid="{BC3C528B-42C9-4B2F-9619-B254969267D0}" name="7" dataDxfId="1106"/>
    <tableColumn id="12" xr3:uid="{0A48E3CB-F739-4C32-945D-648E7EB8070E}" name="8" dataDxfId="1105"/>
    <tableColumn id="13" xr3:uid="{B96192EF-9446-4291-B1F2-DB704B1D3A04}" name="9" dataDxfId="1104"/>
    <tableColumn id="14" xr3:uid="{604B61A4-751B-4BF0-9D80-954CAB1D08B0}" name="10" dataDxfId="1103"/>
    <tableColumn id="15" xr3:uid="{9BAD68A4-5571-4BDA-97CB-9067D42459EC}" name="11" dataDxfId="1102"/>
    <tableColumn id="32" xr3:uid="{D6886672-9386-4ADF-AED9-8A33D204EF56}" name="12" dataDxfId="1101"/>
    <tableColumn id="33" xr3:uid="{3D371433-AC3E-4391-8C88-2354E3462A27}" name="13" dataDxfId="1100"/>
    <tableColumn id="35" xr3:uid="{58EC2E80-FD81-492B-8002-FCEB99DCCCA5}" name="14" dataDxfId="1099"/>
    <tableColumn id="34" xr3:uid="{BBD59636-2F98-4BBE-8F44-00F7C13015FB}" name="15" dataDxfId="1098"/>
    <tableColumn id="29" xr3:uid="{DD6F0447-F620-4F38-AAE2-F94C7BD1301A}" name="16" dataDxfId="1097"/>
    <tableColumn id="30" xr3:uid="{AEA6202E-0E43-491B-9DE9-B12618DFE3C3}" name="17" dataDxfId="1096"/>
    <tableColumn id="31" xr3:uid="{7F0C4991-2DDA-47D6-8952-EF0420833FE2}" name="18" dataDxfId="1095"/>
    <tableColumn id="26" xr3:uid="{63319244-ED6C-4CB6-91C9-FD0B33FFFA44}" name="19" dataDxfId="1094"/>
    <tableColumn id="27" xr3:uid="{3ED47FDF-F24A-4EC8-9029-689369682758}" name="20" dataDxfId="1093"/>
    <tableColumn id="28" xr3:uid="{B5758593-5927-4B15-9EF3-08A6AA13FEE5}" name="21" dataDxfId="1092"/>
    <tableColumn id="16" xr3:uid="{A79A9DD4-74CF-4F17-A260-30A614552C96}" name="22" dataDxfId="1091"/>
    <tableColumn id="17" xr3:uid="{A3AD1A97-629C-494C-8C66-6BA86E905D7F}" name="23" dataDxfId="1090"/>
    <tableColumn id="18" xr3:uid="{BF0972B0-617B-4546-9271-F4E0D9F96151}" name="24" dataDxfId="1089"/>
    <tableColumn id="19" xr3:uid="{A9D6B970-56DB-403D-9EC5-9A1114D18DD8}" name="25" dataDxfId="1088"/>
    <tableColumn id="20" xr3:uid="{87CB9ADC-EDEB-4C07-8A41-D10A3E379763}" name="26" dataDxfId="1087"/>
    <tableColumn id="21" xr3:uid="{4E36C293-1144-4926-8E91-3475130D3D19}" name="27" dataDxfId="1086"/>
    <tableColumn id="22" xr3:uid="{ACDA0744-1D85-4327-BD2E-0D10C5E5827D}" name="28" dataDxfId="1085"/>
    <tableColumn id="23" xr3:uid="{A55279AC-F17C-48C7-B6F4-AFD7642F257E}" name="29" dataDxfId="1084"/>
    <tableColumn id="24" xr3:uid="{B30A56B6-4B82-41A1-BE7F-1D370BF48A8B}" name="30" dataDxfId="1083"/>
    <tableColumn id="25" xr3:uid="{2121F136-11EF-4DC1-9A0A-C968CE5BD71B}" name="31" dataDxfId="1082"/>
    <tableColumn id="5" xr3:uid="{9A6ECD1E-A39C-4D33-BBF6-B37C7AF2A67C}" name="CARTERA" dataDxfId="108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9DC05AB-19B0-44DA-B31E-46CEA40B1B02}" name="DATA_DICIEMBRE_2024" displayName="DATA_DICIEMBRE_2024" ref="M8:AX82" totalsRowShown="0" headerRowBorderDxfId="1080" tableBorderDxfId="1079">
  <autoFilter ref="M8:AX82" xr:uid="{A9DC05AB-19B0-44DA-B31E-46CEA40B1B02}"/>
  <sortState xmlns:xlrd2="http://schemas.microsoft.com/office/spreadsheetml/2017/richdata2" ref="M9:AX58">
    <sortCondition ref="R8:R58"/>
  </sortState>
  <tableColumns count="38">
    <tableColumn id="5" xr3:uid="{A8F94EB0-3D0D-4A92-97E3-00F6AAA875B2}" name="AL_AC" dataDxfId="1078">
      <calculatedColumnFormula>DATA_DICIEMBRE_2024[[#This Row],[RECUPERO]]/DATA_DICIEMBRE_2024[[#This Row],[META]]</calculatedColumnFormula>
    </tableColumn>
    <tableColumn id="2" xr3:uid="{AE497F25-36CD-42FB-B18F-59D419263CBC}" name="CLASIFICACIÓN" dataDxfId="1077">
      <calculatedColumnFormula array="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calculatedColumnFormula>
    </tableColumn>
    <tableColumn id="3" xr3:uid="{D8644E75-DDC6-43D6-BF20-331E714526D7}" name="SUPERVISOR" dataDxfId="1076"/>
    <tableColumn id="1" xr3:uid="{ACC31C15-573E-4606-A6FB-ECDC2B30F8A4}" name="RECUPERO" dataDxfId="1075">
      <calculatedColumnFormula>SUM(DATA_DICIEMBRE_2024[[#This Row],[1]:[31]])</calculatedColumnFormula>
    </tableColumn>
    <tableColumn id="6" xr3:uid="{0A0FD23F-3FE0-43BD-93B2-D5A21E0A8419}" name="META" dataDxfId="1074"/>
    <tableColumn id="7" xr3:uid="{BAAC5683-E69F-4D8D-9823-6A62CD920015}" name="ASER_" dataDxfId="1073"/>
    <tableColumn id="4" xr3:uid="{E80ABAB5-F841-47AC-9407-E06974270343}" name="1" dataDxfId="1072"/>
    <tableColumn id="8" xr3:uid="{38214265-844B-4AAB-9AAF-66AE68E1B01F}" name="2" dataDxfId="1071"/>
    <tableColumn id="9" xr3:uid="{9DE83FFA-F0EB-48A8-9B9B-94D3A5F4EA89}" name="3" dataDxfId="1070"/>
    <tableColumn id="10" xr3:uid="{F01FCEA0-C6B5-45DC-BF35-2E20D08D1987}" name="4" dataDxfId="1069"/>
    <tableColumn id="11" xr3:uid="{486A6BCD-590A-4F51-95FC-FF8E80EED672}" name="5" dataDxfId="1068"/>
    <tableColumn id="12" xr3:uid="{6A13993E-4132-4D1F-8103-9B935139982B}" name="6" dataDxfId="1067"/>
    <tableColumn id="13" xr3:uid="{24798E59-2FD3-45E0-9839-56EDF52F39D9}" name="7" dataDxfId="1066"/>
    <tableColumn id="14" xr3:uid="{0A505D6A-B620-43DD-BE95-5375CFEB2C9E}" name="8" dataDxfId="1065"/>
    <tableColumn id="15" xr3:uid="{B4A01763-2933-4990-84AC-2EE6364157A1}" name="9" dataDxfId="1064"/>
    <tableColumn id="16" xr3:uid="{BF1956FE-127F-474F-B12A-D74A62785650}" name="10" dataDxfId="1063"/>
    <tableColumn id="36" xr3:uid="{DD6F4867-F6D2-4B9E-89EF-694C8A5EB7EB}" name="11"/>
    <tableColumn id="37" xr3:uid="{F29CB9D0-11E2-4D3F-AC3D-E59F4F5AC0F9}" name="12"/>
    <tableColumn id="39" xr3:uid="{5F24A441-1B57-42F8-A162-4184B3AD376D}" name="13"/>
    <tableColumn id="32" xr3:uid="{DB34DDEC-297E-43BC-A81A-950898D3939B}" name="14"/>
    <tableColumn id="33" xr3:uid="{26DFD0D2-B0C8-40B0-92B3-82FED0DA1C05}" name="15"/>
    <tableColumn id="34" xr3:uid="{98A19696-9327-46CD-B61C-5D0519686912}" name="16"/>
    <tableColumn id="35" xr3:uid="{E22FFD1C-3D18-40F8-B6DF-DADC6FFB3E63}" name="17"/>
    <tableColumn id="28" xr3:uid="{5AAE2B4F-15A7-4A0C-859B-AF8DBAB98672}" name="18"/>
    <tableColumn id="29" xr3:uid="{AED46442-D37F-4BBC-BAC6-313EBB431860}" name="19"/>
    <tableColumn id="30" xr3:uid="{71357A97-5A4F-41A5-BB9E-6D741CAD5888}" name="20"/>
    <tableColumn id="31" xr3:uid="{B9FB798E-DDC7-40C5-A00A-8D95BA9F158D}" name="21"/>
    <tableColumn id="17" xr3:uid="{97F713E2-B6F1-4193-80B2-37C9796E082A}" name="22" dataDxfId="1062"/>
    <tableColumn id="18" xr3:uid="{43369C00-795D-4124-B5FB-CE33A1429479}" name="23" dataDxfId="1061"/>
    <tableColumn id="19" xr3:uid="{34A49AC6-3FC3-4ACE-8C81-C9AB9CD6BF1C}" name="24" dataDxfId="1060"/>
    <tableColumn id="20" xr3:uid="{62E7E367-E664-47D4-A998-F69A442883A3}" name="25" dataDxfId="1059"/>
    <tableColumn id="21" xr3:uid="{38ED713F-D0AE-4A42-8586-07C0CFE7FD0D}" name="26" dataDxfId="1058"/>
    <tableColumn id="22" xr3:uid="{777A8FFE-C36F-4CC0-9736-E3B5572BB43B}" name="27" dataDxfId="1057"/>
    <tableColumn id="23" xr3:uid="{9793EF6D-52A7-486F-9DA0-5EC6B4742B0D}" name="28" dataDxfId="1056"/>
    <tableColumn id="24" xr3:uid="{8675AF28-0AC8-42A2-9C9D-B652E1F578AA}" name="29" dataDxfId="1055"/>
    <tableColumn id="25" xr3:uid="{69A4324E-C083-46F7-9045-4F5A0A8A7029}" name="30" dataDxfId="1054"/>
    <tableColumn id="26" xr3:uid="{DBC5694B-2026-414C-ACC6-93144006A162}" name="31" dataDxfId="1053"/>
    <tableColumn id="27" xr3:uid="{823ED1C1-B820-4301-889D-715B402B64AE}" name="CARTERA ASESOR" dataDxfId="105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6E10C3A-51B0-46B0-AC7A-178487A186FC}" name="D1_DICIEMBRE_2024" displayName="D1_DICIEMBRE_2024" ref="A2:K76" totalsRowShown="0" headerRowDxfId="1051">
  <autoFilter ref="A2:K76" xr:uid="{F6E10C3A-51B0-46B0-AC7A-178487A186FC}"/>
  <tableColumns count="11">
    <tableColumn id="1" xr3:uid="{27AC9715-D9AF-4425-8467-97D5ACDF32DB}" name="SUPER" dataDxfId="1050"/>
    <tableColumn id="2" xr3:uid="{60BCBFC1-6517-433B-923C-CCB32F89496C}" name="ASESOR_CRR" dataDxfId="1049">
      <calculatedColumnFormula>D1_DICIEMBRE_2024[[#This Row],[ASESOR]]</calculatedColumnFormula>
    </tableColumn>
    <tableColumn id="5" xr3:uid="{FE528A67-2FD9-481D-A3BD-D0593BF1728D}" name="META" dataDxfId="1048">
      <calculatedColumnFormula>VLOOKUP(D1_DICIEMBRE_2024[[#This Row],[SUPER]],DATA_DICIEMBRE_2024[[SUPERVISOR]:[META]],3,0)</calculatedColumnFormula>
    </tableColumn>
    <tableColumn id="6" xr3:uid="{9F920DCF-74DA-4A35-AEB6-9874EC115540}" name="ALCANCE" dataDxfId="1047">
      <calculatedColumnFormula>D1_DICIEMBRE_2024[[#This Row],[RECUPERO]]/D1_DICIEMBRE_2024[[#This Row],[META]]</calculatedColumnFormula>
    </tableColumn>
    <tableColumn id="7" xr3:uid="{A0A51D41-B7D6-4CCC-ACCB-42E0C653AD2F}" name="SUPER2" dataDxfId="1046">
      <calculatedColumnFormula>D1_DICIEMBRE_2024[[#This Row],[SUPER]]</calculatedColumnFormula>
    </tableColumn>
    <tableColumn id="3" xr3:uid="{4A411FB3-C550-4F7C-9587-D72421400494}" name="ASESOR"/>
    <tableColumn id="4" xr3:uid="{A04AAF23-E179-4879-AF61-06EC62BAA02D}" name="RECUPERO" dataDxfId="1045"/>
    <tableColumn id="8" xr3:uid="{894A3BEA-774F-4F80-88D8-1B289CA5BA86}" name="DNI" dataDxfId="1044"/>
    <tableColumn id="9" xr3:uid="{803AE20B-2CCD-451D-A530-6F128D73F913}" name="FECHA DE INICIO" dataDxfId="1043"/>
    <tableColumn id="10" xr3:uid="{49EAA54F-6677-4846-BCD1-109279DB3A73}" name="ESTADO" dataDxfId="1042"/>
    <tableColumn id="11" xr3:uid="{AF077655-310D-49C5-B0CF-4160484C6C0E}" name="SEGME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3B66BC5-898C-4520-AC23-95C30DD218D3}" name="DITE_DICIEMBRE_2024" displayName="DITE_DICIEMBRE_2024" ref="AZ8:CI15" totalsRowShown="0" headerRowDxfId="1041" dataDxfId="1039" headerRowBorderDxfId="1040" tableBorderDxfId="1038" totalsRowBorderDxfId="1037">
  <autoFilter ref="AZ8:CI15" xr:uid="{F3B66BC5-898C-4520-AC23-95C30DD218D3}"/>
  <sortState xmlns:xlrd2="http://schemas.microsoft.com/office/spreadsheetml/2017/richdata2" ref="AZ9:CI15">
    <sortCondition ref="BC8:BC15"/>
  </sortState>
  <tableColumns count="36">
    <tableColumn id="2" xr3:uid="{BB5294A5-4CF4-4810-B775-205927BE854A}" name="META SUPER" dataDxfId="1036"/>
    <tableColumn id="3" xr3:uid="{ABE326D8-B04B-4CEC-9F6E-FE25C0EE8AA0}" name="RECUPERO SUPERVISOR" dataDxfId="1035">
      <calculatedColumnFormula>MAX(DITE_DICIEMBRE_2024[[#This Row],[1]:[31]])</calculatedColumnFormula>
    </tableColumn>
    <tableColumn id="4" xr3:uid="{9E55702C-7024-420F-8940-D2C1A0A3CA1D}" name="ALCANCE SUPERVISOR" dataDxfId="1034">
      <calculatedColumnFormula>DITE_DICIEMBRE_2024[[#This Row],[RECUPERO SUPERVISOR]]/AZ9</calculatedColumnFormula>
    </tableColumn>
    <tableColumn id="1" xr3:uid="{5009DC4C-3EA4-45D5-A15D-072373F4AE20}" name="SUPER" dataDxfId="1033"/>
    <tableColumn id="6" xr3:uid="{D0AF21FC-B7C0-49FB-B06D-CEE18869F451}" name="1" dataDxfId="1032"/>
    <tableColumn id="7" xr3:uid="{13740F97-8E6D-486C-956C-27845E43364F}" name="2" dataDxfId="1031"/>
    <tableColumn id="36" xr3:uid="{D8D06FB7-6376-4BDE-8C73-E14742A693D2}" name="3" dataDxfId="1030"/>
    <tableColumn id="8" xr3:uid="{6A7AE4CF-8204-4E27-89B3-519888750343}" name="4" dataDxfId="1029"/>
    <tableColumn id="9" xr3:uid="{E68D0942-B003-4636-896B-C7F7CC5DF30B}" name="5" dataDxfId="1028"/>
    <tableColumn id="10" xr3:uid="{A130D834-D24E-4226-8974-EAEEC5239084}" name="6" dataDxfId="1027"/>
    <tableColumn id="11" xr3:uid="{B74AC268-8591-43DA-A0A0-8EED3A99A7E6}" name="7" dataDxfId="1026"/>
    <tableColumn id="12" xr3:uid="{3E5A00D6-9077-4087-98FC-A1F995D9E85D}" name="8" dataDxfId="1025"/>
    <tableColumn id="13" xr3:uid="{1C1866E7-047F-4D10-9606-401FEC40FA49}" name="9" dataDxfId="1024"/>
    <tableColumn id="14" xr3:uid="{1A856C2F-9F0A-48E6-A1F8-02744BF96124}" name="10" dataDxfId="1023"/>
    <tableColumn id="15" xr3:uid="{4AF6AE1F-C32E-4098-A90E-906C45E577A6}" name="11" dataDxfId="1022"/>
    <tableColumn id="32" xr3:uid="{22F83872-EA87-4B20-AC9C-A5E2ACD10B99}" name="12" dataDxfId="1021"/>
    <tableColumn id="33" xr3:uid="{98BD9E2A-AADA-4033-A5CA-E179FF24557D}" name="13" dataDxfId="1020"/>
    <tableColumn id="35" xr3:uid="{700503A6-DBA0-45CB-A088-D89AE0558CCF}" name="14" dataDxfId="1019"/>
    <tableColumn id="34" xr3:uid="{C5A60DDC-0D8C-41E0-A0F0-FBB45535E86A}" name="15" dataDxfId="1018"/>
    <tableColumn id="29" xr3:uid="{D5EC2BDA-E6C3-4A4D-A6AD-950B2D0490AB}" name="16" dataDxfId="1017"/>
    <tableColumn id="30" xr3:uid="{349CB117-97C5-4862-848C-38A5D8F531C9}" name="17" dataDxfId="1016"/>
    <tableColumn id="31" xr3:uid="{C11D4844-CCFA-4F14-88FA-CE5B9B605A6F}" name="18" dataDxfId="1015"/>
    <tableColumn id="26" xr3:uid="{F17C536A-13C6-44BF-A1D0-9E0F529A2288}" name="19" dataDxfId="1014"/>
    <tableColumn id="27" xr3:uid="{784AEED1-4141-49AA-B4F6-24141E5B4FA4}" name="20" dataDxfId="1013"/>
    <tableColumn id="28" xr3:uid="{5FA3E61C-F996-45DB-8D68-7A355B9D9345}" name="21" dataDxfId="1012"/>
    <tableColumn id="16" xr3:uid="{3CDD7303-1AA0-4E13-B85B-07CCE6B3675D}" name="22" dataDxfId="1011"/>
    <tableColumn id="17" xr3:uid="{81F4684D-1734-49FB-8F57-68B80EB1FD1D}" name="23" dataDxfId="1010"/>
    <tableColumn id="18" xr3:uid="{9DA7B90E-288E-45A3-BD0A-31904382DB50}" name="24" dataDxfId="1009"/>
    <tableColumn id="19" xr3:uid="{A0AC125C-0C19-47E9-B7BD-9F657DD56BC2}" name="25" dataDxfId="1008"/>
    <tableColumn id="20" xr3:uid="{E1B67347-A852-4F21-A3C3-D6E44F51E9FF}" name="26" dataDxfId="1007"/>
    <tableColumn id="21" xr3:uid="{992748FE-9359-4D4E-B06A-59F7A48309B5}" name="27" dataDxfId="1006"/>
    <tableColumn id="22" xr3:uid="{3732AEA5-9CC9-4EE6-A93B-386050E291B1}" name="28" dataDxfId="1005"/>
    <tableColumn id="23" xr3:uid="{20A4F952-B20F-4E0E-95CC-77C648A54699}" name="29" dataDxfId="1004"/>
    <tableColumn id="24" xr3:uid="{26953009-23ED-4318-9CEE-07B704B9665A}" name="30" dataDxfId="1003"/>
    <tableColumn id="25" xr3:uid="{267CBC9B-29BE-4672-94C3-393B627CB1FD}" name="31" dataDxfId="1002"/>
    <tableColumn id="5" xr3:uid="{EE07FFF3-9A6D-4F12-ACF6-244205791333}" name="CARTERA" dataDxfId="1001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0BF7E0-4358-4425-8F4C-51CD4B862909}" name="D1_ENERO_2025" displayName="D1_ENERO_2025" ref="A2:K76" totalsRowShown="0">
  <autoFilter ref="A2:K76" xr:uid="{5E0BF7E0-4358-4425-8F4C-51CD4B862909}"/>
  <tableColumns count="11">
    <tableColumn id="1" xr3:uid="{897743D2-B6CD-40FA-805F-01550344D698}" name="SUPER">
      <calculatedColumnFormula>D1_ENERO_2025[[#This Row],[SUPER2]]</calculatedColumnFormula>
    </tableColumn>
    <tableColumn id="2" xr3:uid="{8CF4EF2B-0A86-499E-B672-9A6B3FF034D6}" name="ASESOR_CRR" dataDxfId="1000"/>
    <tableColumn id="3" xr3:uid="{20FF4816-C34F-41D9-99D2-17B3BB8F5653}" name="META">
      <calculatedColumnFormula>VLOOKUP(D1_ENERO_2025[[#This Row],[SUPER]],DATA_ENERO_2025[[SUPERVISOR]:[META]],3,0)</calculatedColumnFormula>
    </tableColumn>
    <tableColumn id="4" xr3:uid="{348E2507-E8FF-4E9C-9844-679D76D9144F}" name="ALCANCE">
      <calculatedColumnFormula>D1_ENERO_2025[[#This Row],[RECUPERO]]/C3</calculatedColumnFormula>
    </tableColumn>
    <tableColumn id="7" xr3:uid="{452E6504-D556-4FB6-B1BB-51828797F12A}" name="SUPER2" dataDxfId="999"/>
    <tableColumn id="5" xr3:uid="{42625339-8FE7-49A5-82AC-5EDD10C3C984}" name="ASESOR"/>
    <tableColumn id="6" xr3:uid="{BD1A5411-32FB-4DF7-B264-96C059BE5C56}" name="RECUPERO" dataDxfId="998"/>
    <tableColumn id="8" xr3:uid="{8B3B2929-A591-41D7-9D44-B220287F0F2A}" name="DNI" dataDxfId="997"/>
    <tableColumn id="9" xr3:uid="{AAABF626-1A15-4E7A-A444-7423611F1BB2}" name="FECHA DE INICIO" dataDxfId="996"/>
    <tableColumn id="10" xr3:uid="{CACFA6D6-8D93-432C-AAD6-E9CBF58F5197}" name="ESTADO" dataDxfId="995"/>
    <tableColumn id="11" xr3:uid="{161FE0AA-3747-4B37-BD69-AC465AD472CE}" name="SEGMENT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9313B9F-39C6-4A12-8F5B-FED5B42DCC51}" name="DATA_ENERO_2025" displayName="DATA_ENERO_2025" ref="M8:AX82" totalsRowShown="0" headerRowDxfId="994" headerRowBorderDxfId="993" tableBorderDxfId="992">
  <autoFilter ref="M8:AX82" xr:uid="{F9313B9F-39C6-4A12-8F5B-FED5B42DCC51}"/>
  <sortState xmlns:xlrd2="http://schemas.microsoft.com/office/spreadsheetml/2017/richdata2" ref="M9:AX82">
    <sortCondition ref="R8:R82"/>
  </sortState>
  <tableColumns count="38">
    <tableColumn id="2" xr3:uid="{8AB5D9E7-4408-4FC9-BFF6-A0452692116C}" name="AL_AC" dataDxfId="991">
      <calculatedColumnFormula>DATA_ENERO_2025[[#This Row],[RECUPERO]]/DATA_ENERO_2025[[#This Row],[META]]</calculatedColumnFormula>
    </tableColumn>
    <tableColumn id="3" xr3:uid="{16F39E06-76AE-43AD-903E-9F641E37CB06}" name="CLASIFICACIÓN" dataDxfId="990">
      <calculatedColumnFormula array="1">IF(DATA_ENERO_2025[[#This Row],[ASER_]]="","",IFERROR(_xlfn.IFS(M9&gt;=100%,"&gt;100%",AND(M9&lt;100%,M9&gt;=70%),"&gt;70%",AND(M9&lt;70%,M9&gt;=40%),"&gt;40%",AND(M9&lt;40%,M9&gt;=0%),"&gt;0%"),""))</calculatedColumnFormula>
    </tableColumn>
    <tableColumn id="1" xr3:uid="{EEB18830-CD66-4BAC-81C5-B5940467DF41}" name="SUPERVISOR" dataDxfId="989"/>
    <tableColumn id="6" xr3:uid="{087774B2-9699-454D-B0E9-E9D62B239262}" name="RECUPERO" dataDxfId="988">
      <calculatedColumnFormula>SUM(DATA_ENERO_2025[[#This Row],[1]:[31]])</calculatedColumnFormula>
    </tableColumn>
    <tableColumn id="7" xr3:uid="{B938E452-5678-4623-B9AD-47B290EB3B56}" name="META" dataDxfId="987"/>
    <tableColumn id="5" xr3:uid="{A39094CA-883F-4450-A53A-370F0AE54B0C}" name="ASER_" dataDxfId="986"/>
    <tableColumn id="28" xr3:uid="{BA402970-CDDC-479B-AF0C-DE6FB6DEA3A2}" name="1" dataDxfId="985"/>
    <tableColumn id="29" xr3:uid="{FDF28318-256F-4BB3-8BB1-835CC33D5559}" name="2"/>
    <tableColumn id="24" xr3:uid="{A7668340-FD98-454F-8D4D-148B75B21DD0}" name="3"/>
    <tableColumn id="25" xr3:uid="{5D3A501A-D6E8-4FB3-8599-32F50588DA3A}" name="4"/>
    <tableColumn id="34" xr3:uid="{CAFAF861-A84B-461A-9E05-7844231CD5C0}" name="5"/>
    <tableColumn id="38" xr3:uid="{6C08C897-4001-4BC6-BBE8-BCAE2469F8EB}" name="6"/>
    <tableColumn id="35" xr3:uid="{6F2089BB-4455-4D49-AFA0-7875BBEC1FCF}" name="7"/>
    <tableColumn id="36" xr3:uid="{BE91E183-43F6-4336-BBF4-2599E05CF59A}" name="8"/>
    <tableColumn id="37" xr3:uid="{0DB696C4-9BC9-47A3-A246-EAEDE8C64766}" name="9"/>
    <tableColumn id="30" xr3:uid="{E8E15252-E7EF-454D-AC0D-4D4C75B9CBD2}" name="10"/>
    <tableColumn id="31" xr3:uid="{FFA736EE-A04A-4C36-ABAB-A5A165816592}" name="11"/>
    <tableColumn id="32" xr3:uid="{BFACCD4D-7EE4-4728-A7E2-82AD474656AA}" name="12"/>
    <tableColumn id="33" xr3:uid="{B70E9133-0589-4353-A884-CE190F48E9EA}" name="13"/>
    <tableColumn id="26" xr3:uid="{49030098-5553-44C6-839E-3FDB745A4857}" name="14"/>
    <tableColumn id="27" xr3:uid="{A49BC39A-317E-4EE1-B190-86471714F990}" name="15"/>
    <tableColumn id="20" xr3:uid="{BE5E8E9F-E76E-4319-84FA-68DA5E84FCC3}" name="16"/>
    <tableColumn id="21" xr3:uid="{36B6968C-FAC4-495F-BAD5-D1A6D87F1871}" name="17"/>
    <tableColumn id="22" xr3:uid="{88C0820C-E733-40E6-AA8C-DC8C54612AAD}" name="18"/>
    <tableColumn id="23" xr3:uid="{9FF630FC-F46F-4829-9BB5-AC0617383CE7}" name="19"/>
    <tableColumn id="16" xr3:uid="{61F94575-D44F-4091-8A7A-AF3055B85C82}" name="20"/>
    <tableColumn id="17" xr3:uid="{9ADE09D0-9EED-4513-94F0-1FFE8161E048}" name="21"/>
    <tableColumn id="18" xr3:uid="{849782A5-84AE-4A96-A64A-5C65A6BBC8D7}" name="22"/>
    <tableColumn id="19" xr3:uid="{919A2942-4396-4B31-901D-43D6B470DB9A}" name="23"/>
    <tableColumn id="12" xr3:uid="{7B72A591-16FD-4AB6-9512-1ED30F8CF1CE}" name="24"/>
    <tableColumn id="13" xr3:uid="{DF9839B4-0580-45F0-8879-4FE47FF8F34A}" name="25"/>
    <tableColumn id="14" xr3:uid="{DBACC9E0-43CE-4A98-8471-32280976470E}" name="26"/>
    <tableColumn id="15" xr3:uid="{8041C5C3-9537-4613-A9BE-1B20612DA4EC}" name="27"/>
    <tableColumn id="11" xr3:uid="{2C5E0FB8-F2F4-4516-BD86-BEFE518246D3}" name="28"/>
    <tableColumn id="10" xr3:uid="{76A8047E-5D05-4844-B414-5F1765590CD8}" name="29"/>
    <tableColumn id="9" xr3:uid="{BC12431E-E2F4-4B33-B93E-64F9F97363F0}" name="30"/>
    <tableColumn id="8" xr3:uid="{EA795818-07E8-427E-99F9-C2001BAE8E32}" name="31"/>
    <tableColumn id="4" xr3:uid="{00CF892C-802F-4B74-8714-2C45F4DEAD73}" name="CARTERA ASESOR" dataDxfId="984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812878-A002-44BE-A5F5-A1BD7B73CAE8}" name="DITE_ENERO_2025" displayName="DITE_ENERO_2025" ref="AZ8:CI15" totalsRowShown="0" headerRowDxfId="983" dataDxfId="981" headerRowBorderDxfId="982" tableBorderDxfId="980" totalsRowBorderDxfId="979">
  <autoFilter ref="AZ8:CI15" xr:uid="{E6812878-A002-44BE-A5F5-A1BD7B73CAE8}"/>
  <sortState xmlns:xlrd2="http://schemas.microsoft.com/office/spreadsheetml/2017/richdata2" ref="AZ9:CI15">
    <sortCondition ref="BC8:BC15"/>
  </sortState>
  <tableColumns count="36">
    <tableColumn id="5" xr3:uid="{D940A1C4-A356-4E96-973D-81CE0B6B74AF}" name="META SUPER" dataDxfId="978"/>
    <tableColumn id="1" xr3:uid="{5A7C4C9C-3E71-483D-9C6F-3AFA18F0B768}" name="RECUPERO SUPERVISOR" dataDxfId="977">
      <calculatedColumnFormula>MAX(DITE_ENERO_2025[[#This Row],[1]:[31]])</calculatedColumnFormula>
    </tableColumn>
    <tableColumn id="2" xr3:uid="{1DBABE23-BC0D-4016-A3DE-102C34B93437}" name="ALCANCE SUPERVISOR" dataDxfId="976">
      <calculatedColumnFormula>DITE_ENERO_2025[[#This Row],[RECUPERO SUPERVISOR]]/DITE_ENERO_2025[[#This Row],[META SUPER]]</calculatedColumnFormula>
    </tableColumn>
    <tableColumn id="4" xr3:uid="{AAFE5F6A-D443-4B76-896C-3012A63A21B1}" name="SUPER" dataDxfId="975"/>
    <tableColumn id="6" xr3:uid="{CAC1468E-FE7F-46E8-8FA8-2EBFE78F55CF}" name="1" dataDxfId="974"/>
    <tableColumn id="7" xr3:uid="{2C1F1DCC-5615-43E9-8493-73A6B92A7B8C}" name="2" dataDxfId="973"/>
    <tableColumn id="8" xr3:uid="{CB1DD332-E0A5-4BEF-8B71-8820CA4A145B}" name="3" dataDxfId="972"/>
    <tableColumn id="9" xr3:uid="{1BB0DD4F-A73A-4F8E-93FB-252CA932D637}" name="4" dataDxfId="971"/>
    <tableColumn id="10" xr3:uid="{F4A27082-EDDE-411F-B0E7-C50309499B06}" name="5" dataDxfId="970"/>
    <tableColumn id="11" xr3:uid="{DDC3545E-22B2-4DEC-A217-59650C8BAC95}" name="6" dataDxfId="969"/>
    <tableColumn id="12" xr3:uid="{F4B5BD15-E4EF-4A2E-9071-FE5F69E48F1F}" name="7" dataDxfId="968"/>
    <tableColumn id="32" xr3:uid="{75EA5861-6BA8-4874-8431-71B15484C62F}" name="8"/>
    <tableColumn id="33" xr3:uid="{664042CE-AE9A-443D-AEB4-1B1CE376B775}" name="9"/>
    <tableColumn id="34" xr3:uid="{651E46CB-8D8A-4AEC-9596-E68E953DDB94}" name="10"/>
    <tableColumn id="36" xr3:uid="{786966C8-00C5-4909-A480-9A4B556E7ED4}" name="11"/>
    <tableColumn id="35" xr3:uid="{2D5941B9-3F22-4DE3-8079-F67AFFD01F67}" name="12"/>
    <tableColumn id="28" xr3:uid="{128255FE-E4BD-4410-932F-3DE8B9249983}" name="13"/>
    <tableColumn id="29" xr3:uid="{846F616B-4F6D-4DBA-8BBD-D7E595E4BAE0}" name="14"/>
    <tableColumn id="30" xr3:uid="{1336B2D6-FAAC-48B4-B133-004A0CBF91CC}" name="15"/>
    <tableColumn id="31" xr3:uid="{5646683F-8380-4D83-AE01-7C782F15CD80}" name="16"/>
    <tableColumn id="13" xr3:uid="{BB490521-3D08-4C83-9065-B52FD273A638}" name="17" dataDxfId="967"/>
    <tableColumn id="14" xr3:uid="{1DE13FA2-B93D-487E-A105-3A5622C997DE}" name="18" dataDxfId="966"/>
    <tableColumn id="15" xr3:uid="{6273FFBE-FC81-40C7-91CB-E95ECAD8BE5D}" name="19" dataDxfId="965"/>
    <tableColumn id="16" xr3:uid="{35253537-0DA1-45D4-B9A3-D1CBC6E92B8B}" name="20" dataDxfId="964"/>
    <tableColumn id="17" xr3:uid="{4BF3707C-841F-4140-B63C-5B47863B4CA4}" name="21" dataDxfId="963"/>
    <tableColumn id="18" xr3:uid="{1F7B79C3-A22C-49D8-9C1F-629E6C41B955}" name="22" dataDxfId="962"/>
    <tableColumn id="19" xr3:uid="{361B16CF-A887-4C9E-88B3-E8A7F4F314B0}" name="23" dataDxfId="961"/>
    <tableColumn id="20" xr3:uid="{9B3EDA9C-6CB0-4D9F-965A-6EB0593C19D9}" name="24" dataDxfId="960"/>
    <tableColumn id="21" xr3:uid="{B02655DA-D4F9-4926-88A4-5E8B2F4DF911}" name="25" dataDxfId="959"/>
    <tableColumn id="22" xr3:uid="{43854B99-1BF7-4DF3-8A04-A277447DE3B8}" name="26" dataDxfId="958"/>
    <tableColumn id="23" xr3:uid="{CAC2F677-42BD-4EFA-8E99-ABA2036DAF56}" name="27" dataDxfId="957"/>
    <tableColumn id="24" xr3:uid="{20489B5B-5885-4E43-B5F0-4EAAEE4E8EB8}" name="28" dataDxfId="956"/>
    <tableColumn id="25" xr3:uid="{B4D29A08-5206-4DCD-AF4C-9B7ABB8D3CFF}" name="29" dataDxfId="955"/>
    <tableColumn id="26" xr3:uid="{7B49DBDA-317E-4CFB-B7FA-841DFC27E42B}" name="30" dataDxfId="954"/>
    <tableColumn id="27" xr3:uid="{0126152E-7354-43DB-A75E-4841194C453D}" name="31" dataDxfId="953"/>
    <tableColumn id="3" xr3:uid="{93315C06-D400-4502-BDDD-AC5886091EC6}" name="CARTERA" dataDxfId="95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61DA1C-A389-4FF1-9E9E-C88018522EAC}" name="D1_FEBRERO_2025" displayName="D1_FEBRERO_2025" ref="A2:K72" totalsRowShown="0">
  <autoFilter ref="A2:K72" xr:uid="{B161DA1C-A389-4FF1-9E9E-C88018522EAC}"/>
  <tableColumns count="11">
    <tableColumn id="1" xr3:uid="{194DAAA7-3304-4E4C-9D6E-9CFF2A67ED22}" name="SUPER">
      <calculatedColumnFormula>D1_FEBRERO_2025[[#This Row],[SUPER2]]</calculatedColumnFormula>
    </tableColumn>
    <tableColumn id="2" xr3:uid="{26FE8EBB-B21D-443D-8AA8-93EEB7685413}" name="ASESOR_CRR" dataDxfId="951"/>
    <tableColumn id="3" xr3:uid="{9CB7A8A2-1BAD-49EB-99FB-0E0FFB717623}" name="META">
      <calculatedColumnFormula>VLOOKUP(D1_FEBRERO_2025[[#This Row],[SUPER]],DATA_FEBRERO_2025[[SUPERVISOR]:[META]],3,0)</calculatedColumnFormula>
    </tableColumn>
    <tableColumn id="4" xr3:uid="{9C9CD75D-2F18-45F6-A4CC-6F35C5DC59B6}" name="ALCANCE">
      <calculatedColumnFormula>D1_FEBRERO_2025[[#This Row],[RECUPERO]]/C3</calculatedColumnFormula>
    </tableColumn>
    <tableColumn id="7" xr3:uid="{585A561D-528B-41EE-9AE4-E2B8B4F90D42}" name="SUPER2" dataDxfId="950"/>
    <tableColumn id="5" xr3:uid="{44178C41-B41B-4820-A8E8-222FE453335F}" name="ASESOR" dataDxfId="949"/>
    <tableColumn id="6" xr3:uid="{AC6EB590-A7E8-408F-A892-A1851BCCF0B5}" name="RECUPERO" dataDxfId="948"/>
    <tableColumn id="8" xr3:uid="{9B60B527-D768-46F8-BB97-824B255159D2}" name="DNI" dataDxfId="947"/>
    <tableColumn id="9" xr3:uid="{BDF8C571-22FC-498B-99CF-8D578B086437}" name="FECHA DE INICIO" dataDxfId="946"/>
    <tableColumn id="10" xr3:uid="{4A0E2A05-69C0-48C2-B0D3-4D952F052DB2}" name="ESTADO" dataDxfId="945"/>
    <tableColumn id="11" xr3:uid="{3D228EA7-2109-464D-B55C-85DBBA7EB19F}" name="SEGMENTO" dataDxfId="94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9A51909-AC95-49E8-8345-D544ACD1F830}" name="DATA_FEBRERO_2025" displayName="DATA_FEBRERO_2025" ref="M8:AX78" totalsRowShown="0" headerRowDxfId="943" headerRowBorderDxfId="942" tableBorderDxfId="941">
  <autoFilter ref="M8:AX78" xr:uid="{89A51909-AC95-49E8-8345-D544ACD1F830}"/>
  <sortState xmlns:xlrd2="http://schemas.microsoft.com/office/spreadsheetml/2017/richdata2" ref="M9:AX78">
    <sortCondition ref="R8:R78"/>
  </sortState>
  <tableColumns count="38">
    <tableColumn id="2" xr3:uid="{DAC112DC-4F95-46E1-A307-6AA9F60DB951}" name="AL_AC" dataDxfId="940">
      <calculatedColumnFormula>DATA_FEBRERO_2025[[#This Row],[RECUPERO]]/DATA_FEBRERO_2025[[#This Row],[META]]</calculatedColumnFormula>
    </tableColumn>
    <tableColumn id="3" xr3:uid="{AE4A1FA5-3083-4CA4-B657-D2D0F2E20004}" name="CLASIFICACIÓN" dataDxfId="939">
      <calculatedColumnFormula array="1">IF(DATA_FEBRERO_2025[[#This Row],[ASER_]]="","",IFERROR(_xlfn.IFS(M9&gt;=100%,"&gt;100%",AND(M9&lt;100%,M9&gt;=70%),"&gt;70%",AND(M9&lt;70%,M9&gt;=40%),"&gt;40%",AND(M9&lt;40%,M9&gt;=0%),"&gt;0%"),""))</calculatedColumnFormula>
    </tableColumn>
    <tableColumn id="1" xr3:uid="{16B2CCFD-0F54-4846-AA70-4C06CEC9176C}" name="SUPERVISOR" dataDxfId="938"/>
    <tableColumn id="6" xr3:uid="{2DE1A6CE-7493-4B20-83EE-59078393B5AF}" name="RECUPERO" dataDxfId="937">
      <calculatedColumnFormula>SUM(DATA_FEBRERO_2025[[#This Row],[1]:[31]])</calculatedColumnFormula>
    </tableColumn>
    <tableColumn id="7" xr3:uid="{24FB90FB-A888-41AB-9B19-627A74DA2062}" name="META" dataDxfId="936"/>
    <tableColumn id="5" xr3:uid="{E6A5C563-3502-4EF4-8D06-C88816E905A8}" name="ASER_" dataDxfId="935"/>
    <tableColumn id="33" xr3:uid="{C9999557-147F-4572-B73C-DC94767B23DE}" name="1"/>
    <tableColumn id="38" xr3:uid="{7AB37D40-FCF7-4607-BD4F-2C6109714D97}" name="2"/>
    <tableColumn id="34" xr3:uid="{3C3D6CE1-C42E-4CE6-B664-B1AA52A91EDE}" name="3"/>
    <tableColumn id="35" xr3:uid="{1857370F-E225-4AD8-BE91-14CD8D538CA5}" name="4"/>
    <tableColumn id="36" xr3:uid="{9BBCED45-5FC4-49B5-A3BF-116E208B5503}" name="5"/>
    <tableColumn id="37" xr3:uid="{420F0559-B29D-4EDD-81AE-08DFFF860C6D}" name="6"/>
    <tableColumn id="28" xr3:uid="{3F593FF0-542B-49BB-8098-C1AB4D3D12D8}" name="7"/>
    <tableColumn id="29" xr3:uid="{AE5818B8-A76C-4F4D-A4B1-9F85835D9E29}" name="8"/>
    <tableColumn id="30" xr3:uid="{C823B50B-8432-432C-BAEE-53DEB35AA115}" name="9"/>
    <tableColumn id="31" xr3:uid="{019DF765-7A33-4917-AB2A-462F6252F22D}" name="10"/>
    <tableColumn id="32" xr3:uid="{869BB36B-5704-4E01-854A-311F03DCCAA2}" name="11"/>
    <tableColumn id="23" xr3:uid="{38125E65-8716-44C6-B230-8DCE3F79C0DB}" name="12"/>
    <tableColumn id="24" xr3:uid="{24036B07-FB32-49D3-93AB-734BDDDDA74D}" name="13"/>
    <tableColumn id="25" xr3:uid="{166F8A92-A6E9-47EB-B990-AD334915480A}" name="14"/>
    <tableColumn id="26" xr3:uid="{794996EB-1A64-4906-9876-057F48E95EFC}" name="15"/>
    <tableColumn id="27" xr3:uid="{0A5D647A-7E34-433D-B639-D89A6797B3D4}" name="16"/>
    <tableColumn id="18" xr3:uid="{6E1329DC-1476-47CC-9BA2-E1B3F4E746A0}" name="17"/>
    <tableColumn id="19" xr3:uid="{A87E51EB-2C7E-4AE7-BB14-8FE963CAE5AA}" name="18"/>
    <tableColumn id="20" xr3:uid="{B7FB5C05-445F-48E1-8CFE-191A81EA8AA4}" name="19"/>
    <tableColumn id="21" xr3:uid="{892BE6D2-C541-4082-838F-73F517E19D2D}" name="20"/>
    <tableColumn id="22" xr3:uid="{5416A5BD-B5FC-4E51-B73F-AAF88230B4DE}" name="21"/>
    <tableColumn id="13" xr3:uid="{DC9EF2D7-D507-4443-9631-7E4D2A65219A}" name="22"/>
    <tableColumn id="14" xr3:uid="{57C72625-13D4-4A35-AB8F-90510FA34AB3}" name="23"/>
    <tableColumn id="15" xr3:uid="{C34842AE-CC27-4F42-83F9-5729D062474A}" name="24"/>
    <tableColumn id="16" xr3:uid="{7BBB4F89-2F15-4AF5-8ACC-FB1E92CD1D85}" name="25"/>
    <tableColumn id="17" xr3:uid="{23DDF6A8-1CFE-4017-9E13-48B163D6196E}" name="26"/>
    <tableColumn id="12" xr3:uid="{B73F39C6-62D2-403C-956A-902D89EBCAC9}" name="27"/>
    <tableColumn id="11" xr3:uid="{BF6F186D-9498-4B23-8B32-8B8D1822E241}" name="28"/>
    <tableColumn id="10" xr3:uid="{08610660-F971-47AF-AEC9-ADB5C0863C3E}" name="29"/>
    <tableColumn id="9" xr3:uid="{20646C08-EBE7-4B6A-9ABA-29A5E2BC6BF8}" name="30" dataDxfId="934"/>
    <tableColumn id="8" xr3:uid="{E99C6359-BA67-4127-80B1-429613DA94CB}" name="31"/>
    <tableColumn id="4" xr3:uid="{1AB4C76D-3918-4961-B05E-216E9D0F2A8C}" name="CARTERA ASESOR" dataDxfId="933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527C2E2-32E2-49CA-9D9E-F70EC25D5514}" name="DITE_FEBRERO_2025" displayName="DITE_FEBRERO_2025" ref="AZ8:CI15" totalsRowShown="0" headerRowDxfId="932" dataDxfId="930" headerRowBorderDxfId="931" tableBorderDxfId="929" totalsRowBorderDxfId="928">
  <autoFilter ref="AZ8:CI15" xr:uid="{E527C2E2-32E2-49CA-9D9E-F70EC25D5514}"/>
  <sortState xmlns:xlrd2="http://schemas.microsoft.com/office/spreadsheetml/2017/richdata2" ref="AZ9:CI15">
    <sortCondition ref="BC8:BC15"/>
  </sortState>
  <tableColumns count="36">
    <tableColumn id="5" xr3:uid="{27DAF7E5-964C-4280-AB26-7715BE71CF28}" name="META SUPER" dataDxfId="927"/>
    <tableColumn id="1" xr3:uid="{C46409A5-9201-4E30-A3EB-7B6FC2DAF473}" name="RECUPERO SUPERVISOR" dataDxfId="926">
      <calculatedColumnFormula>MAX(DITE_FEBRERO_2025[[#This Row],[1]:[31]])</calculatedColumnFormula>
    </tableColumn>
    <tableColumn id="2" xr3:uid="{445C2C89-5F44-46FD-8C70-EF4EE30F232E}" name="ALCANCE SUPERVISOR" dataDxfId="925">
      <calculatedColumnFormula>DITE_FEBRERO_2025[[#This Row],[RECUPERO SUPERVISOR]]/DITE_FEBRERO_2025[[#This Row],[META SUPER]]</calculatedColumnFormula>
    </tableColumn>
    <tableColumn id="4" xr3:uid="{55D4E2C7-B609-4C8C-A5DE-AABFFD74BEB8}" name="SUPER" dataDxfId="924"/>
    <tableColumn id="6" xr3:uid="{29925D04-B597-415A-B40B-62A3FBA8B23D}" name="1" dataDxfId="923"/>
    <tableColumn id="7" xr3:uid="{31865A72-E634-4CB8-8660-811FA8147632}" name="2" dataDxfId="922"/>
    <tableColumn id="8" xr3:uid="{C70A98A0-1CB0-425B-975B-D4464009CDD0}" name="3" dataDxfId="921"/>
    <tableColumn id="9" xr3:uid="{F56CF612-0AA5-44CB-878D-FA59D84052AD}" name="4" dataDxfId="920"/>
    <tableColumn id="36" xr3:uid="{76AFF788-5C70-455A-9B85-B96C7E83FA92}" name="5"/>
    <tableColumn id="31" xr3:uid="{B4555D6E-C399-4EB6-953E-891CD0718EB3}" name="6"/>
    <tableColumn id="32" xr3:uid="{9420AEE2-3941-45D0-B323-D0DD859F446E}" name="7"/>
    <tableColumn id="33" xr3:uid="{B8CE3E9E-ABDA-456B-80C2-CB186CA66189}" name="8"/>
    <tableColumn id="34" xr3:uid="{8945CA64-3686-4AD1-A0AC-FACD9A73FF7E}" name="9"/>
    <tableColumn id="35" xr3:uid="{AB399923-ADB4-42A0-B795-7AD84C576003}" name="10"/>
    <tableColumn id="26" xr3:uid="{0F873E52-AF51-483F-9512-1DAD0A0A8767}" name="11"/>
    <tableColumn id="27" xr3:uid="{B7C327CF-7B5B-408D-A496-1467FDFA420C}" name="12"/>
    <tableColumn id="28" xr3:uid="{C9B0F8FC-7A39-43CD-BE3D-FDFABDE2B7CC}" name="13"/>
    <tableColumn id="29" xr3:uid="{0646A650-DE21-4644-BD61-E4B06D2ECC46}" name="14"/>
    <tableColumn id="30" xr3:uid="{FF810BCD-1F51-4B48-996B-FB9D8D0C7129}" name="15"/>
    <tableColumn id="10" xr3:uid="{3CC1D48D-8A84-4931-841A-8283B47C8687}" name="16" dataDxfId="919"/>
    <tableColumn id="11" xr3:uid="{A6DAF4DF-EAFF-47AB-9A6F-0B2896AE1A18}" name="17" dataDxfId="918"/>
    <tableColumn id="12" xr3:uid="{3DC03FF0-BAC6-4F5D-B5DE-18A95E2C1B97}" name="18" dataDxfId="917"/>
    <tableColumn id="13" xr3:uid="{A90729AA-CC5E-4236-924F-A736B7A4BE93}" name="19" dataDxfId="916"/>
    <tableColumn id="14" xr3:uid="{B48B5FF0-5C49-4DDC-AC33-B45D349AD044}" name="20" dataDxfId="915"/>
    <tableColumn id="15" xr3:uid="{D36E617E-0BBB-4BC1-BBF1-EB24E3C2CE90}" name="21" dataDxfId="914"/>
    <tableColumn id="16" xr3:uid="{BD346F05-FCC2-4EA9-8F0F-B55AB2E68BE0}" name="22" dataDxfId="913"/>
    <tableColumn id="17" xr3:uid="{F5BB9730-A5AE-4489-9CB0-182052BA6557}" name="23" dataDxfId="912"/>
    <tableColumn id="18" xr3:uid="{B3DEF063-7A67-4F08-9D09-8310B4B64F2B}" name="24" dataDxfId="911"/>
    <tableColumn id="19" xr3:uid="{558BE332-1E67-4EF7-9FF1-541A019A7066}" name="25" dataDxfId="910"/>
    <tableColumn id="20" xr3:uid="{073BAAB2-EF92-4A82-B7FE-8339FF3A62EA}" name="26" dataDxfId="909"/>
    <tableColumn id="21" xr3:uid="{6EC9D118-EB0A-4FDC-A694-0A630EB1048E}" name="27" dataDxfId="908"/>
    <tableColumn id="22" xr3:uid="{DFF298CB-C24B-4F90-BD14-F99C28391208}" name="28" dataDxfId="907"/>
    <tableColumn id="23" xr3:uid="{7EF0365B-2B81-4022-84F3-7A3859D35934}" name="29" dataDxfId="906"/>
    <tableColumn id="24" xr3:uid="{D92D6A29-5A30-4405-A019-D7F8F39E4176}" name="30" dataDxfId="905"/>
    <tableColumn id="25" xr3:uid="{9BFA1186-4A61-452A-8EAC-4FE410743029}" name="31" dataDxfId="904"/>
    <tableColumn id="3" xr3:uid="{5EBD9DD4-78E3-4E78-8FD5-A71A2DE2CBE8}" name="CARTERA" dataDxfId="903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9885E5F-45E0-410D-9674-725F11306A85}" name="D1_MARZO_2025" displayName="D1_MARZO_2025" ref="A2:K79" totalsRowShown="0">
  <autoFilter ref="A2:K79" xr:uid="{E9885E5F-45E0-410D-9674-725F11306A85}"/>
  <tableColumns count="11">
    <tableColumn id="1" xr3:uid="{0593917A-1291-450C-951C-78D9EC4BEB05}" name="SUPER"/>
    <tableColumn id="2" xr3:uid="{8CE134D2-655B-4065-BCE4-1E92F58C9834}" name="ASESOR_CRR" dataDxfId="902"/>
    <tableColumn id="3" xr3:uid="{63694922-673E-40A9-ABE9-A1BB5D442FC5}" name="META">
      <calculatedColumnFormula>VLOOKUP(D1_MARZO_2025[[#This Row],[SUPER]],DATA_MARZO_2025[[SUPERVISOR]:[META]],3,0)</calculatedColumnFormula>
    </tableColumn>
    <tableColumn id="4" xr3:uid="{AA26A274-EA12-45E3-9488-E564DCE594A7}" name="ALCANCE" dataDxfId="901">
      <calculatedColumnFormula>D1_MARZO_2025[[#This Row],[RECUPERO]]/D1_MARZO_2025[[#This Row],[META]]</calculatedColumnFormula>
    </tableColumn>
    <tableColumn id="7" xr3:uid="{7155E541-BC22-41C0-914A-E54D790D436D}" name="SUPER2" dataDxfId="900"/>
    <tableColumn id="5" xr3:uid="{C9BC0167-A73A-4B66-AB0E-BCC22F3CD7BF}" name="ASESOR" dataDxfId="899"/>
    <tableColumn id="6" xr3:uid="{32E44CF1-7B46-45AA-916C-7D5322097EFD}" name="RECUPERO" dataDxfId="898"/>
    <tableColumn id="8" xr3:uid="{5504CD70-2376-413C-9DD9-7E1FC1D78F37}" name="DNI" dataDxfId="897"/>
    <tableColumn id="9" xr3:uid="{27659D49-6FC1-457B-BF33-A19DBF78CDF2}" name="FECHA DE INICIO" dataDxfId="896"/>
    <tableColumn id="10" xr3:uid="{79E50096-FDE3-4403-8568-FF008447BCC2}" name="ESTADO" dataDxfId="895"/>
    <tableColumn id="11" xr3:uid="{0DDDAC11-10AB-4791-8916-A8A4E78A7D35}" name="SEGMENTO" dataDxfId="89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A1AC28-8F5A-449B-BE41-0BD3EA45E5F4}" name="DATA_MARZO_2025" displayName="DATA_MARZO_2025" ref="M8:AX85" totalsRowShown="0" headerRowDxfId="893" headerRowBorderDxfId="892" tableBorderDxfId="891">
  <autoFilter ref="M8:AX85" xr:uid="{46A1AC28-8F5A-449B-BE41-0BD3EA45E5F4}"/>
  <sortState xmlns:xlrd2="http://schemas.microsoft.com/office/spreadsheetml/2017/richdata2" ref="M9:AX85">
    <sortCondition ref="R8:R85"/>
  </sortState>
  <tableColumns count="38">
    <tableColumn id="2" xr3:uid="{291F0275-242F-4948-BE64-7F8C6727586A}" name="AL_AC" dataDxfId="890">
      <calculatedColumnFormula>DATA_MARZO_2025[[#This Row],[RECUPERO]]/DATA_MARZO_2025[[#This Row],[META]]</calculatedColumnFormula>
    </tableColumn>
    <tableColumn id="3" xr3:uid="{6050B278-B3D2-4B4C-8475-D701C9B8AB17}" name="CLASIFICACIÓN" dataDxfId="889"/>
    <tableColumn id="1" xr3:uid="{A94CCC19-556A-4124-8949-24896CDBE45E}" name="SUPERVISOR" dataDxfId="888"/>
    <tableColumn id="6" xr3:uid="{EBBFD24C-8909-45B0-B8CB-4ED73B62F2AB}" name="RECUPERO" dataDxfId="887">
      <calculatedColumnFormula>SUM(DATA_MARZO_2025[[#This Row],[1]:[31]])</calculatedColumnFormula>
    </tableColumn>
    <tableColumn id="7" xr3:uid="{D5702432-6067-40C7-B647-63D5EBDD13C2}" name="META" dataDxfId="886"/>
    <tableColumn id="5" xr3:uid="{40A208DF-2D8B-4D71-B923-6BFFA76CDA11}" name="ASER_" dataDxfId="885"/>
    <tableColumn id="38" xr3:uid="{1F074B40-AB13-4BEE-BC21-9D178D274909}" name="1"/>
    <tableColumn id="41" xr3:uid="{936D83D8-C85E-4C4D-9E8D-BA3D7C54F99A}" name="2" dataDxfId="884"/>
    <tableColumn id="39" xr3:uid="{F2407751-7139-4A8C-841D-D8CEF6B76089}" name="3"/>
    <tableColumn id="40" xr3:uid="{C4FDCF75-4689-4127-9FD7-67C841BEEFC1}" name="4"/>
    <tableColumn id="35" xr3:uid="{DB437513-9F41-40C4-A12D-9D70F57044D1}" name="5"/>
    <tableColumn id="36" xr3:uid="{8D9B17A7-AB24-4C88-B14F-425352FD58B1}" name="6"/>
    <tableColumn id="37" xr3:uid="{6A680E1C-A6E5-4533-B650-3B12C3FD8864}" name="7"/>
    <tableColumn id="32" xr3:uid="{07908739-FAC2-4B17-88C0-AD9C9E79F322}" name="8"/>
    <tableColumn id="33" xr3:uid="{29564396-A868-4289-8A69-399DF7179CFC}" name="9"/>
    <tableColumn id="34" xr3:uid="{84D28ABB-C312-428B-8019-05F0969D3D3D}" name="10"/>
    <tableColumn id="29" xr3:uid="{A33B17C6-0318-47AE-B3B3-F68B117CEE6B}" name="11"/>
    <tableColumn id="30" xr3:uid="{64E29717-0345-4F2C-8F07-8A717BBB0C7F}" name="12"/>
    <tableColumn id="31" xr3:uid="{31BD6C41-7FE7-477E-9073-8C59B46C4278}" name="13"/>
    <tableColumn id="26" xr3:uid="{078BDFC0-15F3-4BA2-A3E5-B76543904F61}" name="14"/>
    <tableColumn id="27" xr3:uid="{E7047035-197B-4A1F-B590-C686D8264192}" name="15"/>
    <tableColumn id="28" xr3:uid="{6585FD32-5374-4E8D-B754-CC264ACBD2BC}" name="16"/>
    <tableColumn id="23" xr3:uid="{3013EC85-DC28-4DBE-9103-43B74FCD6D62}" name="17"/>
    <tableColumn id="24" xr3:uid="{3D874CBF-CD98-4174-8649-FB2465CC3962}" name="18"/>
    <tableColumn id="25" xr3:uid="{570381C8-5F56-4B59-835A-E8602FEADC4E}" name="19"/>
    <tableColumn id="20" xr3:uid="{978FBFBE-3D9D-4FC2-9D0C-D9F9835951AB}" name="20"/>
    <tableColumn id="21" xr3:uid="{AB7C4415-8752-4C03-A1EF-39C4F8BEA763}" name="21"/>
    <tableColumn id="22" xr3:uid="{B6A0D911-8ECE-456E-A5AB-47D30BC477A8}" name="22"/>
    <tableColumn id="17" xr3:uid="{902459E7-2183-4A0C-BCA6-19ACE5328588}" name="23"/>
    <tableColumn id="18" xr3:uid="{7FDCF104-182A-48F5-BDA3-E395FF6BDF94}" name="24"/>
    <tableColumn id="19" xr3:uid="{E7B4F698-D3AE-4CCA-8318-C8C299151784}" name="25"/>
    <tableColumn id="14" xr3:uid="{8A753F9E-2D60-44C5-97FB-3153AF2DC407}" name="26"/>
    <tableColumn id="15" xr3:uid="{2C33D5D5-719D-4E72-AA67-1209930D88FB}" name="27"/>
    <tableColumn id="16" xr3:uid="{79729ABA-B0F5-4F89-AFF4-15C12BE476D3}" name="28"/>
    <tableColumn id="13" xr3:uid="{796523AA-7A81-4293-AB65-65692E6F8FC9}" name="29" dataDxfId="883"/>
    <tableColumn id="12" xr3:uid="{FA4DAD1B-E9DE-487B-8E27-224BDDDF6C4F}" name="30"/>
    <tableColumn id="11" xr3:uid="{36A5818D-3007-470C-B74E-8372AF083B08}" name="31"/>
    <tableColumn id="4" xr3:uid="{5C22BA9B-EF5A-4F33-AE74-A82170985C85}" name="CARTERA ASESOR" dataDxfId="882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8377685-C18F-4F73-9CAA-BD0654B19E94}" name="DITE_MARZO_2025" displayName="DITE_MARZO_2025" ref="AZ8:CI15" totalsRowShown="0" headerRowDxfId="881" dataDxfId="879" headerRowBorderDxfId="880" tableBorderDxfId="878" totalsRowBorderDxfId="877">
  <autoFilter ref="AZ8:CI15" xr:uid="{58377685-C18F-4F73-9CAA-BD0654B19E94}"/>
  <sortState xmlns:xlrd2="http://schemas.microsoft.com/office/spreadsheetml/2017/richdata2" ref="AZ9:CI15">
    <sortCondition ref="BC8:BC15"/>
  </sortState>
  <tableColumns count="36">
    <tableColumn id="5" xr3:uid="{9B6AA382-98FA-4EBD-A213-DB4460B552CB}" name="META SUPER" dataDxfId="876"/>
    <tableColumn id="1" xr3:uid="{23B67F77-728E-46C0-B5B1-11CE8E08D862}" name="RECUPERO SUPERVISOR" dataDxfId="875">
      <calculatedColumnFormula>MAX(DITE_MARZO_2025[[#This Row],[1]:[31]])</calculatedColumnFormula>
    </tableColumn>
    <tableColumn id="2" xr3:uid="{0BAE08AE-6A16-447E-9DDD-8800D68BFFA3}" name="ALCANCE SUPERVISOR" dataDxfId="874">
      <calculatedColumnFormula>DITE_MARZO_2025[[#This Row],[RECUPERO SUPERVISOR]]/DITE_MARZO_2025[[#This Row],[META SUPER]]</calculatedColumnFormula>
    </tableColumn>
    <tableColumn id="4" xr3:uid="{663301EA-2B77-4C76-B8E0-713CAAD1AC41}" name="SUPER" dataDxfId="873"/>
    <tableColumn id="6" xr3:uid="{9A6FEB31-48E4-456F-8C1F-14055131E9D6}" name="1" dataDxfId="872"/>
    <tableColumn id="7" xr3:uid="{B8154FAF-39D2-4ED9-8DD7-C179156ECA39}" name="2" dataDxfId="871"/>
    <tableColumn id="8" xr3:uid="{E58A14C1-44D1-46A4-9137-21E70261FA76}" name="3" dataDxfId="870"/>
    <tableColumn id="9" xr3:uid="{EFDA2093-809C-4DA2-80F9-0388CCC5E290}" name="4" dataDxfId="869"/>
    <tableColumn id="10" xr3:uid="{634CF5F0-F36D-4B26-8143-8C3A6FB59216}" name="5" dataDxfId="868"/>
    <tableColumn id="11" xr3:uid="{77A0553B-7BDF-49B7-B459-701A77496BEA}" name="6" dataDxfId="867"/>
    <tableColumn id="32" xr3:uid="{9C61934A-8981-4708-87FC-D1988554CEB1}" name="7"/>
    <tableColumn id="33" xr3:uid="{1D45004F-941B-4A1B-9271-7564070893F4}" name="8"/>
    <tableColumn id="34" xr3:uid="{345DF5C2-70A0-41D5-A45F-120E355399C1}" name="9"/>
    <tableColumn id="35" xr3:uid="{81CAAE69-5160-47D3-8992-1D8E3DE83E73}" name="10"/>
    <tableColumn id="36" xr3:uid="{913F1A9C-4587-445C-8467-2371F984ABBB}" name="11"/>
    <tableColumn id="27" xr3:uid="{002FB3CA-23CA-4EDD-B97F-322BDAC4F055}" name="12"/>
    <tableColumn id="28" xr3:uid="{47B5943C-919D-4FF0-BA2E-67F92E046DE4}" name="13"/>
    <tableColumn id="29" xr3:uid="{13BB5D9E-7735-4410-A0FF-ED8196EDC01D}" name="14"/>
    <tableColumn id="30" xr3:uid="{19967396-D68C-4CB0-8B18-A6203E7CF1A5}" name="15"/>
    <tableColumn id="31" xr3:uid="{D148629B-2EAD-4B26-AB62-CFC96294CF5C}" name="16"/>
    <tableColumn id="12" xr3:uid="{5EFD93D5-61E2-4104-88B4-214E61D06A6D}" name="17" dataDxfId="866"/>
    <tableColumn id="13" xr3:uid="{C6D91E97-E16B-4E76-BE55-A08C2A1131DD}" name="18" dataDxfId="865"/>
    <tableColumn id="14" xr3:uid="{2A5F1078-A097-4171-BD28-7B9B623471D0}" name="19" dataDxfId="864"/>
    <tableColumn id="15" xr3:uid="{5E883D61-775A-4AD4-A304-156DCFD9F825}" name="20" dataDxfId="863"/>
    <tableColumn id="16" xr3:uid="{BEFB5788-590D-4EFA-8707-20BAAF7026F1}" name="21" dataDxfId="862"/>
    <tableColumn id="17" xr3:uid="{8FC06E69-FAE9-4DBE-9C75-7A6598DE29C6}" name="22" dataDxfId="861"/>
    <tableColumn id="18" xr3:uid="{966EC934-1D25-407E-AE13-8147AC3FF531}" name="23" dataDxfId="860"/>
    <tableColumn id="19" xr3:uid="{5437FF24-6F5D-412D-82EE-8C668C7DC853}" name="24" dataDxfId="859"/>
    <tableColumn id="20" xr3:uid="{204A7CBC-2C07-4027-851F-021033B930C1}" name="25" dataDxfId="858"/>
    <tableColumn id="21" xr3:uid="{DF491418-AC74-4C6A-852F-F0797487D11C}" name="26" dataDxfId="857"/>
    <tableColumn id="22" xr3:uid="{E184F0A4-EF1A-48F5-8166-10085FC40D13}" name="27" dataDxfId="856"/>
    <tableColumn id="23" xr3:uid="{66C12B87-BC6D-46BE-AF31-D0C68A22BC7E}" name="28" dataDxfId="855"/>
    <tableColumn id="24" xr3:uid="{A2DB9C74-4CB6-4BBF-A230-DF50FDE9380D}" name="29" dataDxfId="854"/>
    <tableColumn id="25" xr3:uid="{D54E02BE-AA16-43C7-ABD3-89326740EA63}" name="30" dataDxfId="853"/>
    <tableColumn id="26" xr3:uid="{11172EA7-856A-4297-8329-62917B649E9A}" name="31" dataDxfId="852"/>
    <tableColumn id="3" xr3:uid="{42C6AD34-2DFF-436B-BB22-6DE170226F44}" name="CARTERA" dataDxfId="851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BD3AD9B-187F-444D-9B69-D2DA04E4A01E}" name="D1_ABRIL_2025" displayName="D1_ABRIL_2025" ref="A2:K69" totalsRowShown="0">
  <autoFilter ref="A2:K69" xr:uid="{4BD3AD9B-187F-444D-9B69-D2DA04E4A01E}"/>
  <tableColumns count="11">
    <tableColumn id="1" xr3:uid="{68211AFE-4147-4442-BDF7-CC740B01FA3C}" name="SUPER"/>
    <tableColumn id="2" xr3:uid="{D51D513B-04F6-4185-A044-49B743ABD514}" name="ASESOR_CRR" dataDxfId="850"/>
    <tableColumn id="3" xr3:uid="{91F4F1B2-268A-492D-8490-AD940FC38FC7}" name="META">
      <calculatedColumnFormula>VLOOKUP(D1_ABRIL_2025[[#This Row],[SUPER]],DATA_ABRIL_2025[[SUPERVISOR]:[META]],3,0)</calculatedColumnFormula>
    </tableColumn>
    <tableColumn id="4" xr3:uid="{796AC97D-33DF-4278-BDC8-E283DF2D6F8C}" name="ALCANCE">
      <calculatedColumnFormula>D1_ABRIL_2025[[#This Row],[RECUPERO]]/D1_ABRIL_2025[[#This Row],[META]]</calculatedColumnFormula>
    </tableColumn>
    <tableColumn id="7" xr3:uid="{2630B4E4-4508-4171-AC95-566BEB07715F}" name="SUPER2" dataDxfId="849"/>
    <tableColumn id="5" xr3:uid="{D789E66F-CC8C-4715-A998-7AE532E85E8A}" name="ASESOR" dataDxfId="848"/>
    <tableColumn id="6" xr3:uid="{3455DB8A-5A64-4A8F-8153-2471763CA60D}" name="RECUPERO" dataDxfId="847"/>
    <tableColumn id="8" xr3:uid="{F8575E1F-78C1-4E15-B505-1AECE8857345}" name="DNI" dataDxfId="846"/>
    <tableColumn id="9" xr3:uid="{BE130F2A-9B67-45D5-AA49-051D2F0A515B}" name="FECHA DE INICIO" dataDxfId="845"/>
    <tableColumn id="10" xr3:uid="{31096FEC-094E-478E-A9F3-0023192798F0}" name="ESTADO" dataDxfId="844"/>
    <tableColumn id="11" xr3:uid="{CD53B1C2-5C16-4E04-B510-37D1EE2D9C67}" name="SEGMENTO" dataDxfId="84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A270262-D445-41EE-9E8E-99052505C698}" name="DATA_ABRIL_2025" displayName="DATA_ABRIL_2025" ref="M8:AX75" totalsRowShown="0" headerRowDxfId="842" headerRowBorderDxfId="841" tableBorderDxfId="840">
  <autoFilter ref="M8:AX75" xr:uid="{4A270262-D445-41EE-9E8E-99052505C698}"/>
  <sortState xmlns:xlrd2="http://schemas.microsoft.com/office/spreadsheetml/2017/richdata2" ref="M9:AX75">
    <sortCondition ref="R8:R75"/>
  </sortState>
  <tableColumns count="38">
    <tableColumn id="2" xr3:uid="{ED28E462-F988-4D79-8917-612828B3B45E}" name="AL_AC" dataDxfId="839">
      <calculatedColumnFormula>DATA_ABRIL_2025[[#This Row],[RECUPERO]]/DATA_ABRIL_2025[[#This Row],[META]]</calculatedColumnFormula>
    </tableColumn>
    <tableColumn id="3" xr3:uid="{1B1E8B7A-D562-46FD-89DE-12ADBC7146F2}" name="CLASIFICACIÓN" dataDxfId="838">
      <calculatedColumnFormula array="1">IF(DATA_ABRIL_2025[[#This Row],[ASER_]]="","",IFERROR(_xlfn.IFS(M9&gt;=100%,"&gt;100%",AND(M9&lt;100%,M9&gt;=70%),"&gt;70%",AND(M9&lt;70%,M9&gt;=40%),"&gt;40%",AND(M9&lt;40%,M9&gt;=0%),"&gt;0%"),""))</calculatedColumnFormula>
    </tableColumn>
    <tableColumn id="1" xr3:uid="{B2C9AE52-4849-4DBA-83AD-3E350CC25C2D}" name="SUPERVISOR" dataDxfId="837"/>
    <tableColumn id="6" xr3:uid="{9C2D93B7-85A2-4E07-8DD4-3C81F7BF7EBF}" name="RECUPERO" dataDxfId="836">
      <calculatedColumnFormula>SUM(DATA_ABRIL_2025[[#This Row],[1]:[31]])</calculatedColumnFormula>
    </tableColumn>
    <tableColumn id="7" xr3:uid="{8F4173FF-BB8D-4C61-A5E9-1B6F872C619C}" name="META" dataDxfId="835"/>
    <tableColumn id="5" xr3:uid="{64151D2C-B822-41DF-8964-343214960730}" name="ASER_" dataDxfId="834"/>
    <tableColumn id="32" xr3:uid="{31466BE1-0E52-400D-BA2B-8169C8D3C426}" name="1"/>
    <tableColumn id="38" xr3:uid="{7918E16D-AE2D-4CB2-9007-3655F7492451}" name="2"/>
    <tableColumn id="33" xr3:uid="{90C6319C-5AC4-4D9D-B9FC-1F750D23B74F}" name="3"/>
    <tableColumn id="34" xr3:uid="{E6F0FD87-6F30-4312-B2B0-70F911EC52E0}" name="4"/>
    <tableColumn id="35" xr3:uid="{6C3371BD-9952-4D91-A009-9CF215E76D3D}" name="5"/>
    <tableColumn id="36" xr3:uid="{D2907DD5-B327-4118-A14F-3A650A50AA39}" name="6"/>
    <tableColumn id="37" xr3:uid="{1328B829-C9C6-4B37-A6E8-4FA65FBA6B88}" name="7"/>
    <tableColumn id="26" xr3:uid="{C8501BE0-7F82-4630-B106-4EDA4D664436}" name="8"/>
    <tableColumn id="27" xr3:uid="{E010F540-209F-4BA3-896A-3B0AFA6D26AC}" name="9"/>
    <tableColumn id="28" xr3:uid="{E5387658-07BB-48C6-BC70-F7A8262B136A}" name="10"/>
    <tableColumn id="29" xr3:uid="{63FC2BCF-BDC5-49A8-B955-93D95B53890A}" name="11"/>
    <tableColumn id="30" xr3:uid="{0BE3DAB6-2A59-42F6-91B3-9C435AA69B17}" name="12"/>
    <tableColumn id="31" xr3:uid="{079196B5-6D1F-47EC-B3B0-FDD1F58C4B33}" name="13"/>
    <tableColumn id="20" xr3:uid="{A24D6823-5DF5-49BD-8C53-9DC52367D140}" name="14"/>
    <tableColumn id="21" xr3:uid="{9B43C16D-2CAC-44EC-B78E-6FB9A6AD8961}" name="15"/>
    <tableColumn id="22" xr3:uid="{D7BCF408-B72A-44B3-A032-AEB8C2C55BD2}" name="16"/>
    <tableColumn id="23" xr3:uid="{5247FE81-BEBA-4501-B5B1-DE0687500711}" name="17"/>
    <tableColumn id="24" xr3:uid="{0B163798-10E1-425B-85A9-BB33CAC9C0B1}" name="18"/>
    <tableColumn id="25" xr3:uid="{62CFAE20-AB22-4243-A291-2B1C583212F3}" name="19"/>
    <tableColumn id="14" xr3:uid="{42487EA0-0565-4B99-B76B-FD24874390FA}" name="20"/>
    <tableColumn id="15" xr3:uid="{B236CBD2-DB93-4DDA-A71C-3996681C4C9E}" name="21"/>
    <tableColumn id="16" xr3:uid="{0C197531-A518-4277-AD7D-B359550553E1}" name="22"/>
    <tableColumn id="17" xr3:uid="{CA68A3AD-FC28-447C-8A44-4F3F7D1C7FA9}" name="23"/>
    <tableColumn id="18" xr3:uid="{039A5F93-994B-45E4-8A82-09C9813233DF}" name="24"/>
    <tableColumn id="19" xr3:uid="{C3F0DF52-31CE-4457-9DCA-77A1B063D511}" name="25"/>
    <tableColumn id="13" xr3:uid="{732AB9CC-10DD-4941-9E89-2929CF4E6D98}" name="26"/>
    <tableColumn id="12" xr3:uid="{E42FB9C9-66EA-44C3-A969-B1E7BCCC36CD}" name="27"/>
    <tableColumn id="11" xr3:uid="{78C80E32-9777-4111-A958-3FC8F6A9755F}" name="28"/>
    <tableColumn id="10" xr3:uid="{4FFD00E7-1BFE-4839-8E6F-0D4AFE943E7B}" name="29"/>
    <tableColumn id="9" xr3:uid="{37E7668A-C154-46CF-86F3-03C057902322}" name="30"/>
    <tableColumn id="8" xr3:uid="{7B3377B9-8AAA-4581-B664-38FBBBD323C9}" name="31"/>
    <tableColumn id="4" xr3:uid="{95AC6194-DE3F-4A47-94E1-2EB32D1B2DAF}" name="CARTERA ASESOR" dataDxfId="833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1037D17-6E76-48A2-93CB-F090733274F3}" name="DITE_ABRIL_2025" displayName="DITE_ABRIL_2025" ref="AZ8:CI16" totalsRowShown="0" headerRowDxfId="832" dataDxfId="830" headerRowBorderDxfId="831" tableBorderDxfId="829" totalsRowBorderDxfId="828">
  <autoFilter ref="AZ8:CI16" xr:uid="{91037D17-6E76-48A2-93CB-F090733274F3}"/>
  <sortState xmlns:xlrd2="http://schemas.microsoft.com/office/spreadsheetml/2017/richdata2" ref="AZ9:CI16">
    <sortCondition ref="BC8:BC16"/>
  </sortState>
  <tableColumns count="36">
    <tableColumn id="5" xr3:uid="{F0D5233F-ED84-4824-B218-63AAB5DF69A8}" name="META SUPER" dataDxfId="827"/>
    <tableColumn id="1" xr3:uid="{56AD13BC-F67F-4EBC-8601-073AD9D41E5D}" name="RECUPERO SUPERVISOR" dataDxfId="826">
      <calculatedColumnFormula>MAX(DITE_ABRIL_2025[[#This Row],[1]:[31]])</calculatedColumnFormula>
    </tableColumn>
    <tableColumn id="2" xr3:uid="{B40C8394-DA7A-4DDD-89EA-AE757C76DD20}" name="ALCANCE SUPERVISOR" dataDxfId="825">
      <calculatedColumnFormula>BA9/DITE_ABRIL_2025[[#This Row],[META SUPER]]</calculatedColumnFormula>
    </tableColumn>
    <tableColumn id="4" xr3:uid="{B71408F8-B985-4B11-8661-52EFC6FA8097}" name="SUPER" dataDxfId="824"/>
    <tableColumn id="6" xr3:uid="{9E37ADBB-A64C-4E4B-9AF4-6087C797FB5E}" name="1" dataDxfId="823"/>
    <tableColumn id="7" xr3:uid="{09E3EE83-45B5-4808-842B-71D4652DE46A}" name="2" dataDxfId="822"/>
    <tableColumn id="8" xr3:uid="{243F9102-2670-48D4-B25D-8432658D89F6}" name="3" dataDxfId="821"/>
    <tableColumn id="9" xr3:uid="{06003E0F-B470-4925-ACE4-1381347B3E87}" name="4" dataDxfId="820"/>
    <tableColumn id="10" xr3:uid="{DF8C4E72-181D-4E2F-A34D-2BB7FD231520}" name="5" dataDxfId="819"/>
    <tableColumn id="11" xr3:uid="{56E37C44-85E9-4431-A560-A54606105B9D}" name="6" dataDxfId="818"/>
    <tableColumn id="12" xr3:uid="{9ADEA573-5E4A-46C0-8569-AFED61AE0141}" name="7" dataDxfId="817"/>
    <tableColumn id="13" xr3:uid="{D44E56ED-D810-4F08-ACAA-0850A2CBA861}" name="8" dataDxfId="816"/>
    <tableColumn id="14" xr3:uid="{4F1A46EB-156C-42BB-A090-307A483EDA59}" name="9" dataDxfId="815"/>
    <tableColumn id="31" xr3:uid="{541B93EF-F184-4564-B837-8BCC47BE5B99}" name="10"/>
    <tableColumn id="32" xr3:uid="{DF757FD2-DF4F-4331-A952-9389AE9639F1}" name="11"/>
    <tableColumn id="33" xr3:uid="{D8E36B0D-A06E-4299-B998-D2329BE3B11A}" name="12"/>
    <tableColumn id="34" xr3:uid="{49FE8928-2606-47BF-831D-FFD57393E164}" name="13"/>
    <tableColumn id="36" xr3:uid="{ABEC00A1-61F5-4FE3-85FE-EA530F70F667}" name="14"/>
    <tableColumn id="35" xr3:uid="{F6E6914C-6DE9-404F-A288-3DE0F60249C0}" name="15"/>
    <tableColumn id="26" xr3:uid="{4F618DEB-660E-4707-83BC-1EDA17F80DC2}" name="16"/>
    <tableColumn id="27" xr3:uid="{2011832D-EF8F-4088-A66C-764CC880779D}" name="17"/>
    <tableColumn id="28" xr3:uid="{C38E52C0-6A89-4B9C-92B3-51F824EC15AE}" name="18"/>
    <tableColumn id="29" xr3:uid="{40373C80-C2FA-4D17-B6AB-CA1FA22D721A}" name="19"/>
    <tableColumn id="30" xr3:uid="{EF4807E4-DD41-4CA6-A61F-7E167A04AAA2}" name="20"/>
    <tableColumn id="15" xr3:uid="{EA2196AC-4B67-4905-BF5F-D57BA3E6F3AD}" name="21" dataDxfId="814"/>
    <tableColumn id="16" xr3:uid="{C78E77EC-88A1-4EFD-AD1A-7DF788C46683}" name="22" dataDxfId="813"/>
    <tableColumn id="17" xr3:uid="{D5FD8172-0B95-4406-9239-1ABAD08F1B45}" name="23" dataDxfId="812"/>
    <tableColumn id="18" xr3:uid="{8E9BAC3F-3B04-449B-88EE-DBF57FA626AC}" name="24" dataDxfId="811"/>
    <tableColumn id="19" xr3:uid="{BFA3B7EB-0BC7-4311-8FCE-7C69A9357A03}" name="25" dataDxfId="810"/>
    <tableColumn id="20" xr3:uid="{D2BE25CA-961F-40EE-9EC1-A49EEA4DDB5A}" name="26" dataDxfId="809"/>
    <tableColumn id="21" xr3:uid="{77AAB025-517F-4236-B11B-AEE9B7399348}" name="27" dataDxfId="808"/>
    <tableColumn id="22" xr3:uid="{E35C7392-A09A-482A-9C37-79B0D6711E60}" name="28" dataDxfId="807"/>
    <tableColumn id="23" xr3:uid="{B9F1E360-1FEC-4978-B5DB-3DECA1925AE9}" name="29" dataDxfId="806"/>
    <tableColumn id="24" xr3:uid="{89A20735-1F9D-4A38-9BEB-B3BD56D1FD35}" name="30" dataDxfId="805"/>
    <tableColumn id="25" xr3:uid="{4BE1A809-8A7F-4933-9AB7-B0E4C9CDDD7E}" name="31" dataDxfId="804"/>
    <tableColumn id="3" xr3:uid="{8BAF39B2-F0EB-433E-8F3A-FEAC89C5F9BF}" name="CARTERA" dataDxfId="803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C741D8E-BF5F-47B0-9DC2-611AD28D3273}" name="D1_MAYO_2025" displayName="D1_MAYO_2025" ref="A2:K78" totalsRowShown="0">
  <autoFilter ref="A2:K78" xr:uid="{4C741D8E-BF5F-47B0-9DC2-611AD28D3273}"/>
  <tableColumns count="11">
    <tableColumn id="1" xr3:uid="{E152AEAC-0614-4AEE-89A1-C0945D3B66A9}" name="SUPER"/>
    <tableColumn id="2" xr3:uid="{A339CB3C-4A69-436B-9231-4EBB2149CD4A}" name="ASESOR_CRR" dataDxfId="802"/>
    <tableColumn id="3" xr3:uid="{808825E8-928F-40C5-BB2B-D49A4451356F}" name="META">
      <calculatedColumnFormula>VLOOKUP(D1_MAYO_2025[[#This Row],[SUPER]],DATA_MAYO_2025[[SUPERVISOR]:[META]],3,0)</calculatedColumnFormula>
    </tableColumn>
    <tableColumn id="4" xr3:uid="{4F30B4EF-5496-4464-9B60-C442DE0D4AD3}" name="ALCANCE" dataDxfId="801">
      <calculatedColumnFormula>D1_MAYO_2025[[#This Row],[RECUPERO]]/D1_MAYO_2025[[#This Row],[META]]</calculatedColumnFormula>
    </tableColumn>
    <tableColumn id="7" xr3:uid="{7C5F88F0-9FF3-49CF-BE68-2D455D9DEE81}" name="SUPER2" dataDxfId="800"/>
    <tableColumn id="5" xr3:uid="{5FAC7613-1036-4D50-9A09-AB4F41D88D12}" name="ASESOR" dataDxfId="799"/>
    <tableColumn id="6" xr3:uid="{373B07DA-C176-4486-843D-36C5A3043867}" name="RECUPERO" dataDxfId="798"/>
    <tableColumn id="8" xr3:uid="{CDBFB8A5-E15E-4513-B245-3523278CBBD2}" name="DNI" dataDxfId="797"/>
    <tableColumn id="9" xr3:uid="{64A6BF66-DB3B-4ED3-B1A9-2DF71B8D1ACE}" name="FECHA DE INICIO" dataDxfId="796"/>
    <tableColumn id="10" xr3:uid="{9DD10A75-AE91-4226-BF53-FBC3A38A3094}" name="ESTADO" dataDxfId="795"/>
    <tableColumn id="11" xr3:uid="{E457A2EF-C26E-43DE-BDB2-64E1BFF451C1}" name="SEGMENTO" dataDxfId="79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430F05E-BC8F-402B-8A1E-08930825C5B5}" name="DATA_MAYO_2025" displayName="DATA_MAYO_2025" ref="M8:AX84" totalsRowShown="0" headerRowDxfId="793" headerRowBorderDxfId="792" tableBorderDxfId="791">
  <autoFilter ref="M8:AX84" xr:uid="{3430F05E-BC8F-402B-8A1E-08930825C5B5}"/>
  <sortState xmlns:xlrd2="http://schemas.microsoft.com/office/spreadsheetml/2017/richdata2" ref="M9:AX84">
    <sortCondition ref="R8:R84"/>
  </sortState>
  <tableColumns count="38">
    <tableColumn id="2" xr3:uid="{C6ACB1FD-DF21-4A7E-80CD-085902D05EAD}" name="AL_AC" dataDxfId="790">
      <calculatedColumnFormula>DATA_MAYO_2025[[#This Row],[RECUPERO]]/DATA_MAYO_2025[[#This Row],[META]]</calculatedColumnFormula>
    </tableColumn>
    <tableColumn id="3" xr3:uid="{8551335D-BE40-494B-A806-42FAA211C207}" name="CLASIFICACIÓN" dataDxfId="789">
      <calculatedColumnFormula array="1">IF(DATA_MAYO_2025[[#This Row],[ASER_]]="","",IFERROR(_xlfn.IFS(M9&gt;=100%,"&gt;100%",AND(M9&lt;100%,M9&gt;=70%),"&gt;70%",AND(M9&lt;70%,M9&gt;=40%),"&gt;40%",AND(M9&lt;40%,M9&gt;=0%),"&gt;0%"),""))</calculatedColumnFormula>
    </tableColumn>
    <tableColumn id="1" xr3:uid="{1F17A9F8-FF2D-4D38-ADF0-9C21DD7CE96D}" name="SUPERVISOR" dataDxfId="788"/>
    <tableColumn id="6" xr3:uid="{85DC5B94-4FF7-4224-A993-E56A00A5F6DA}" name="RECUPERO" dataDxfId="787">
      <calculatedColumnFormula>SUM(DATA_MAYO_2025[[#This Row],[1]:[31]])</calculatedColumnFormula>
    </tableColumn>
    <tableColumn id="7" xr3:uid="{E2EB46E1-D5BC-46B2-859F-8C05EBBE26F5}" name="META" dataDxfId="786"/>
    <tableColumn id="5" xr3:uid="{A8ED42EF-7F3D-47A1-A928-02CDC650D596}" name="ASER_" dataDxfId="785"/>
    <tableColumn id="36" xr3:uid="{8B853199-FC28-4A76-A90F-DDECADD389EF}" name="1"/>
    <tableColumn id="37" xr3:uid="{07C6BB4A-82E6-4264-8C69-5F8CB581FF95}" name="2"/>
    <tableColumn id="38" xr3:uid="{59FC6F3F-3CAC-4BED-8F82-CF8DA5225B64}" name="3"/>
    <tableColumn id="46" xr3:uid="{0289E0AB-6BAF-440B-B11E-FD3138D133AD}" name="4"/>
    <tableColumn id="43" xr3:uid="{9A14F46B-C675-435C-9EED-5CC7C3AF7DD5}" name="5"/>
    <tableColumn id="44" xr3:uid="{34ED60C8-E9A7-4F50-805B-1860E9049549}" name="6"/>
    <tableColumn id="45" xr3:uid="{3E8F0A64-059B-4994-A725-71A8405EA8A4}" name="7"/>
    <tableColumn id="39" xr3:uid="{DC02F842-F4CD-48B4-B8C9-3C3D1368FE5C}" name="8"/>
    <tableColumn id="40" xr3:uid="{16109316-E3AC-48B8-968D-3444052A6CA0}" name="9"/>
    <tableColumn id="41" xr3:uid="{C57F3616-84F4-4463-910C-2453FE47960F}" name="10"/>
    <tableColumn id="42" xr3:uid="{C10D2A2B-344A-4777-AFF0-68C155214C78}" name="11"/>
    <tableColumn id="29" xr3:uid="{FC208149-25F7-4FF6-A234-90595143B65F}" name="12"/>
    <tableColumn id="30" xr3:uid="{FC14DB29-4360-41FA-8FA8-73C00D5465AF}" name="13"/>
    <tableColumn id="31" xr3:uid="{F0850439-76D9-47EF-8D5E-ED2DF1973CD7}" name="14"/>
    <tableColumn id="32" xr3:uid="{BB675B96-0F1D-47EB-B993-DA221CD63497}" name="15"/>
    <tableColumn id="33" xr3:uid="{09A4C622-8FF0-47D5-8942-7D2FF8D7E1A0}" name="16"/>
    <tableColumn id="34" xr3:uid="{A177150C-4117-430F-BADE-3415AC29A617}" name="17"/>
    <tableColumn id="35" xr3:uid="{15DEAE40-1908-4C19-A6F9-C5B99E72581E}" name="18"/>
    <tableColumn id="22" xr3:uid="{55D2BB0D-1E0E-4096-AA28-CF5F007002BC}" name="19"/>
    <tableColumn id="23" xr3:uid="{DFEFD816-CD08-48BA-9424-B3B22EE9D8D5}" name="20"/>
    <tableColumn id="24" xr3:uid="{9433E99C-FD36-4985-9CBB-4656C4F8088F}" name="21"/>
    <tableColumn id="25" xr3:uid="{B6DA9EF3-EB13-4FC9-BC14-904C2EF19348}" name="22"/>
    <tableColumn id="26" xr3:uid="{758AB99E-8639-4665-B19E-F6EC3B902C18}" name="23"/>
    <tableColumn id="27" xr3:uid="{E6D78B03-270B-4BB0-8850-8EE65E4AC270}" name="24"/>
    <tableColumn id="28" xr3:uid="{410773E8-474B-4B0A-BFB7-ED103B243E7E}" name="25"/>
    <tableColumn id="15" xr3:uid="{EE1E2825-D846-45BD-9B04-C348196866A3}" name="26"/>
    <tableColumn id="16" xr3:uid="{069FE96C-91B5-4B3F-A65D-4FF01EC5E598}" name="27"/>
    <tableColumn id="17" xr3:uid="{15ABF9DA-FBAA-4761-B464-BD5784EFBAA5}" name="28"/>
    <tableColumn id="18" xr3:uid="{7AE55DD8-119E-45E8-8F07-3662E4700E66}" name="29"/>
    <tableColumn id="19" xr3:uid="{0A0D816A-A50E-4231-BDDD-20896FF8D10E}" name="30"/>
    <tableColumn id="20" xr3:uid="{5B526A43-B48A-4AF4-9CB5-914779B7EE0B}" name="31"/>
    <tableColumn id="4" xr3:uid="{4BCD1AFA-D27F-47E5-8B9D-1FD6AB797002}" name="CARTERA ASESOR" dataDxfId="784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264E3B-5554-4E56-BAB0-6F3EEF5A5778}" name="DITE_MAYO_2025" displayName="DITE_MAYO_2025" ref="AZ8:CI16" totalsRowShown="0" headerRowDxfId="783" dataDxfId="781" headerRowBorderDxfId="782" tableBorderDxfId="780" totalsRowBorderDxfId="779">
  <autoFilter ref="AZ8:CI16" xr:uid="{7D264E3B-5554-4E56-BAB0-6F3EEF5A5778}"/>
  <sortState xmlns:xlrd2="http://schemas.microsoft.com/office/spreadsheetml/2017/richdata2" ref="AZ9:CI16">
    <sortCondition ref="BC8:BC16"/>
  </sortState>
  <tableColumns count="36">
    <tableColumn id="5" xr3:uid="{1904281A-2BE1-4A00-9848-D90C0A837D4D}" name="META SUPER" dataDxfId="778"/>
    <tableColumn id="1" xr3:uid="{E8B4D119-C811-4392-9EE6-8F0C79BEE9E9}" name="RECUPERO SUPERVISOR" dataDxfId="777">
      <calculatedColumnFormula>MAX(DITE_MAYO_2025[[#This Row],[1]:[31]])</calculatedColumnFormula>
    </tableColumn>
    <tableColumn id="2" xr3:uid="{B44E621C-D444-4670-8FB8-CA1A1E3293FE}" name="ALCANCE SUPERVISOR" dataDxfId="776">
      <calculatedColumnFormula>DITE_MAYO_2025[[#This Row],[RECUPERO SUPERVISOR]]/DITE_MAYO_2025[[#This Row],[META SUPER]]</calculatedColumnFormula>
    </tableColumn>
    <tableColumn id="4" xr3:uid="{63B60F11-ECE7-4839-BADE-F875CF35D6C8}" name="SUPER" dataDxfId="775"/>
    <tableColumn id="6" xr3:uid="{795F9848-930D-4B49-893D-00DA36A6069C}" name="1" dataDxfId="774"/>
    <tableColumn id="7" xr3:uid="{A0F1B09B-45CD-4449-B0E0-2A746353F5F6}" name="2" dataDxfId="773"/>
    <tableColumn id="8" xr3:uid="{42485F8E-3938-40CB-B75A-E12120AF085D}" name="3" dataDxfId="772"/>
    <tableColumn id="9" xr3:uid="{16CE59CD-D621-412D-8F6E-F5B8FEEFCBB4}" name="4" dataDxfId="771"/>
    <tableColumn id="10" xr3:uid="{D1B5939A-E95A-4BE2-BA16-796CFB62C7BB}" name="5" dataDxfId="770"/>
    <tableColumn id="11" xr3:uid="{42606FA2-25C4-48F7-BC25-B75CFBF93D7E}" name="6" dataDxfId="769"/>
    <tableColumn id="12" xr3:uid="{91DD2662-D657-4CF0-B378-5B3D9B374F80}" name="7" dataDxfId="768"/>
    <tableColumn id="32" xr3:uid="{39FE1D11-1FEE-41D3-9C79-8452EFBA3344}" name="8"/>
    <tableColumn id="33" xr3:uid="{1AE6B5D0-3A56-4D06-9F6E-ECF63A72460F}" name="9"/>
    <tableColumn id="34" xr3:uid="{8D5ADF33-42BC-46A7-8EFE-970D7088F5FA}" name="10"/>
    <tableColumn id="35" xr3:uid="{22418AAA-0455-49E7-9CAC-0BCFCE44F3DA}" name="11"/>
    <tableColumn id="36" xr3:uid="{49D7F4E0-22D4-47C2-916B-E30892AB688A}" name="12"/>
    <tableColumn id="27" xr3:uid="{932EBD47-33B3-408D-9D7C-841F5E2A52BF}" name="13"/>
    <tableColumn id="28" xr3:uid="{5A231626-5655-4CCA-89F8-B3218917D6AB}" name="14"/>
    <tableColumn id="29" xr3:uid="{E704DC42-8BC9-40BC-B915-9375CC222A66}" name="15"/>
    <tableColumn id="30" xr3:uid="{2E2283C0-5291-4733-9D1C-510231820D58}" name="16"/>
    <tableColumn id="31" xr3:uid="{C76ECFD1-ABDB-4D2E-B061-BEB271E86683}" name="17"/>
    <tableColumn id="13" xr3:uid="{02E91914-A4C0-4DF0-A670-ED42110CA3F2}" name="18" dataDxfId="767"/>
    <tableColumn id="14" xr3:uid="{FDAEFC46-2A8B-451E-929D-76EC4BC7CA39}" name="19" dataDxfId="766"/>
    <tableColumn id="15" xr3:uid="{1F944C9F-2359-45A9-8922-617195550B92}" name="20" dataDxfId="765"/>
    <tableColumn id="16" xr3:uid="{D023EA95-922B-4435-8A92-F165E2F3A560}" name="21" dataDxfId="764"/>
    <tableColumn id="17" xr3:uid="{7AC3BA92-E630-483B-B27E-18C40869116B}" name="22" dataDxfId="763"/>
    <tableColumn id="18" xr3:uid="{3609A57C-B1DB-4D87-9574-007183221000}" name="23" dataDxfId="762"/>
    <tableColumn id="19" xr3:uid="{98740490-1047-4343-85C8-834AE6AF935A}" name="24" dataDxfId="761"/>
    <tableColumn id="20" xr3:uid="{CE682DBD-B5A8-49C9-8A73-515C0BB553A8}" name="25" dataDxfId="760"/>
    <tableColumn id="21" xr3:uid="{2C63A6DB-A36B-488F-8D7C-F86E11CED59A}" name="26" dataDxfId="759"/>
    <tableColumn id="22" xr3:uid="{01511E88-F7F3-4FDD-998C-292B28698241}" name="27" dataDxfId="758"/>
    <tableColumn id="23" xr3:uid="{B0CE642E-7F10-4E00-9DD1-FC5CF0499DC2}" name="28" dataDxfId="757"/>
    <tableColumn id="24" xr3:uid="{EE9469B0-D486-4046-8AA2-36629B9D9667}" name="29" dataDxfId="756"/>
    <tableColumn id="25" xr3:uid="{D05B2A45-8E05-43BB-9FFA-CC56C7D8C31E}" name="30" dataDxfId="755"/>
    <tableColumn id="26" xr3:uid="{AE78D865-FDC9-4B75-AADF-A48F19C319DC}" name="31" dataDxfId="754"/>
    <tableColumn id="3" xr3:uid="{0887DE9C-F035-4EEC-B2F4-4C2CEB11922C}" name="CARTERA" dataDxfId="753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C0DE59-0F83-4A2B-97E4-DFA4A01B849B}" name="D1_JUNIO_2025" displayName="D1_JUNIO_2025" ref="A2:K83" totalsRowShown="0">
  <autoFilter ref="A2:K83" xr:uid="{64C0DE59-0F83-4A2B-97E4-DFA4A01B849B}"/>
  <tableColumns count="11">
    <tableColumn id="1" xr3:uid="{BE333B5A-1A5B-4E73-9860-1AA45E4E9980}" name="SUPER"/>
    <tableColumn id="2" xr3:uid="{877210DA-3F05-4E03-80B9-BC02A44F0C24}" name="ASESOR_CRR" dataDxfId="752"/>
    <tableColumn id="3" xr3:uid="{7DD4B70A-E8F7-43D2-86C8-77AB892B7A01}" name="META">
      <calculatedColumnFormula>VLOOKUP(D1_JUNIO_2025[[#This Row],[SUPER]],DATA_JUNIO_2025[[SUPERVISOR]:[META]],3,0)</calculatedColumnFormula>
    </tableColumn>
    <tableColumn id="4" xr3:uid="{C8B374A9-FA66-4CE7-BEA1-33A15E8F71DA}" name="ALCANCE"/>
    <tableColumn id="7" xr3:uid="{70873663-B31A-4A7F-9C02-6FC72EE3AC33}" name="SUPER2" dataDxfId="751"/>
    <tableColumn id="5" xr3:uid="{1BF578D9-FB1B-48B0-B732-40F721FD7C19}" name="ASESOR" dataDxfId="750"/>
    <tableColumn id="6" xr3:uid="{CA995F17-DCA5-4D19-B2E1-FD9362121A39}" name="RECUPERO"/>
    <tableColumn id="8" xr3:uid="{9BC620F7-3E10-4417-B0EA-F37D1F039447}" name="DNI" dataDxfId="749"/>
    <tableColumn id="9" xr3:uid="{0CBCBA61-9BA1-4E3D-B6CE-38E6C9A1078C}" name="FECHA DE INICIO" dataDxfId="748"/>
    <tableColumn id="10" xr3:uid="{3A23F58F-8B92-4D7C-82D9-23C8B3B51E6F}" name="ESTADO" dataDxfId="747"/>
    <tableColumn id="11" xr3:uid="{2E50347E-4858-4527-938D-F94ED2AB3BED}" name="SEGMENTO" dataDxfId="74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7B1AEE0-937A-4085-8A6E-FCEB23E4FC30}" name="DATA_JUNIO_2025" displayName="DATA_JUNIO_2025" ref="M8:AX83" totalsRowShown="0" headerRowDxfId="745" headerRowBorderDxfId="744" tableBorderDxfId="743">
  <autoFilter ref="M8:AX83" xr:uid="{97B1AEE0-937A-4085-8A6E-FCEB23E4FC30}"/>
  <sortState xmlns:xlrd2="http://schemas.microsoft.com/office/spreadsheetml/2017/richdata2" ref="M9:AX83">
    <sortCondition ref="R8:R83"/>
  </sortState>
  <tableColumns count="38">
    <tableColumn id="2" xr3:uid="{1850D85D-70AA-4C8C-B259-0C0B744B6CE0}" name="AL_AC" dataDxfId="742">
      <calculatedColumnFormula>DATA_JUNIO_2025[[#This Row],[RECUPERO]]/DATA_JUNIO_2025[[#This Row],[META]]</calculatedColumnFormula>
    </tableColumn>
    <tableColumn id="3" xr3:uid="{78E201C6-658E-4437-AC52-3D0E669D8389}" name="CLASIFICACIÓN" dataDxfId="741">
      <calculatedColumnFormula array="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calculatedColumnFormula>
    </tableColumn>
    <tableColumn id="1" xr3:uid="{C1D03C86-C680-4F57-A317-59AA1FC8881C}" name="SUPERVISOR" dataDxfId="740"/>
    <tableColumn id="6" xr3:uid="{3AD4A449-DB0B-4879-AD61-28FA40E45717}" name="RECUPERO" dataDxfId="739">
      <calculatedColumnFormula>SUM(DATA_JUNIO_2025[[#This Row],[1]:[31]])</calculatedColumnFormula>
    </tableColumn>
    <tableColumn id="7" xr3:uid="{2BD9FB92-38FC-44A8-B5F2-890569E48C37}" name="META" dataDxfId="738"/>
    <tableColumn id="5" xr3:uid="{9812F1F1-AB5A-41A6-A84D-86B290FCB7E7}" name="ASER_" dataDxfId="737"/>
    <tableColumn id="37" xr3:uid="{834796BA-53F4-4194-919E-D8B97FEA7F3F}" name="1" dataDxfId="736"/>
    <tableColumn id="38" xr3:uid="{3EB170EF-ACD7-44BF-B308-6143D7ED32A1}" name="2"/>
    <tableColumn id="39" xr3:uid="{7264757F-6DD2-47D2-A8F2-6CBA4DF27117}" name="3"/>
    <tableColumn id="30" xr3:uid="{CB1E55A2-C907-4B82-9D38-AF71F3455605}" name="4"/>
    <tableColumn id="31" xr3:uid="{35436931-F444-49FD-8505-FDC1277816CD}" name="5"/>
    <tableColumn id="32" xr3:uid="{3B7BE119-E7B8-45E6-9447-E3BB8289CFB5}" name="6"/>
    <tableColumn id="33" xr3:uid="{72AD0156-F2F8-4A45-A105-4FD949108D60}" name="7"/>
    <tableColumn id="40" xr3:uid="{BF025C3F-42D4-436D-AAB9-18F8DAA1A7D5}" name="8"/>
    <tableColumn id="35" xr3:uid="{E4BE0A11-B24F-446C-A8F4-1FF6A68DE1D9}" name="9"/>
    <tableColumn id="36" xr3:uid="{C8A68C41-D254-4D6F-9E04-79D93ACD027B}" name="10"/>
    <tableColumn id="23" xr3:uid="{100B838F-8261-4765-A7C4-5146FAF73266}" name="11"/>
    <tableColumn id="24" xr3:uid="{6E25EEDE-C017-43FB-831A-5DB99383B918}" name="12"/>
    <tableColumn id="25" xr3:uid="{FD301D94-5138-4C63-8E0A-195CCC8EAC60}" name="13"/>
    <tableColumn id="26" xr3:uid="{1B40E642-2D02-4792-91F9-A9E0B2DDB09C}" name="14"/>
    <tableColumn id="27" xr3:uid="{32E93474-D9C4-4D66-8420-65547CA35534}" name="15"/>
    <tableColumn id="28" xr3:uid="{61A5DD7A-4F61-4D28-84B7-221855BA48A7}" name="16"/>
    <tableColumn id="29" xr3:uid="{510A9117-E946-4276-AFB3-26309BE9BFC5}" name="17"/>
    <tableColumn id="16" xr3:uid="{95F99933-9B75-4293-8AFC-34EF9A98FAEE}" name="18"/>
    <tableColumn id="17" xr3:uid="{7179FD38-FD52-4CE6-AF1E-1EFA242BB134}" name="19"/>
    <tableColumn id="18" xr3:uid="{CB8C84BC-D5DC-4357-902F-144129EAE90A}" name="20"/>
    <tableColumn id="19" xr3:uid="{4268A23C-3604-48EF-97FD-EF7CD1791B3A}" name="21"/>
    <tableColumn id="20" xr3:uid="{45322C4E-DA0F-40A4-BD61-723FFFC443BC}" name="22"/>
    <tableColumn id="21" xr3:uid="{FAA9BF44-B4E6-41F0-8734-94C23272597A}" name="23"/>
    <tableColumn id="22" xr3:uid="{1BB737C6-ABAA-4E48-9C4A-D0D755515694}" name="24"/>
    <tableColumn id="15" xr3:uid="{E3AC1AE2-F014-404C-8346-81F54A56E40E}" name="25"/>
    <tableColumn id="14" xr3:uid="{4047AFDB-3E19-4E9E-806A-8CCD8AAE4E55}" name="26"/>
    <tableColumn id="13" xr3:uid="{721D4669-FB36-443B-BFE2-3094F546CC54}" name="27"/>
    <tableColumn id="12" xr3:uid="{EB7A17E4-A0D4-42BB-9147-2BA92292F1A4}" name="28"/>
    <tableColumn id="11" xr3:uid="{11C32B59-34FD-46FF-B2DF-B71392DA8081}" name="29"/>
    <tableColumn id="41" xr3:uid="{BDD4357C-4EE5-4DE5-9A7C-75B53C454451}" name="30"/>
    <tableColumn id="10" xr3:uid="{611BD90A-F675-478A-AEDF-F248606DDDFE}" name="31"/>
    <tableColumn id="4" xr3:uid="{DAFD2DC8-78EF-4D1C-8D8A-59717D153EC7}" name="CARTERA ASESOR" dataDxfId="735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12D78B-B0C0-473E-AE3C-7C31C89EE38A}" name="DITE_JUNIO_2025" displayName="DITE_JUNIO_2025" ref="AZ8:CI16" totalsRowShown="0" headerRowDxfId="734" dataDxfId="732" headerRowBorderDxfId="733" tableBorderDxfId="731" totalsRowBorderDxfId="730">
  <autoFilter ref="AZ8:CI16" xr:uid="{9512D78B-B0C0-473E-AE3C-7C31C89EE38A}"/>
  <sortState xmlns:xlrd2="http://schemas.microsoft.com/office/spreadsheetml/2017/richdata2" ref="AZ9:CI16">
    <sortCondition ref="BC8:BC16"/>
  </sortState>
  <tableColumns count="36">
    <tableColumn id="5" xr3:uid="{2E4B2724-B4DE-4C03-B5C0-3E36829C3373}" name="META SUPER" dataDxfId="729"/>
    <tableColumn id="1" xr3:uid="{1A75BF93-811F-4AFA-86B4-9AD496200913}" name="RECUPERO SUPERVISOR" dataDxfId="728"/>
    <tableColumn id="2" xr3:uid="{60B107BC-0938-4363-BE59-47C4E7777D14}" name="ALCANCE SUPERVISOR" dataDxfId="727">
      <calculatedColumnFormula>DITE_JUNIO_2025[[#This Row],[RECUPERO SUPERVISOR]]/DITE_JUNIO_2025[[#This Row],[META SUPER]]</calculatedColumnFormula>
    </tableColumn>
    <tableColumn id="4" xr3:uid="{846684E8-1F2C-4021-AB12-AFBE9E56FAA4}" name="SUPER" dataDxfId="726"/>
    <tableColumn id="6" xr3:uid="{A217DEAD-ACD7-4C63-A622-E2E01ECF328C}" name="1" dataDxfId="725"/>
    <tableColumn id="7" xr3:uid="{5CA18C0A-7D47-455B-B153-EFA8D01D32D6}" name="2" dataDxfId="724"/>
    <tableColumn id="8" xr3:uid="{3CBBE086-E28B-4224-AF45-5A4E7A009E3F}" name="3" dataDxfId="723"/>
    <tableColumn id="9" xr3:uid="{4B327145-F7C9-4ABC-A911-6EB2E553C986}" name="4" dataDxfId="722"/>
    <tableColumn id="10" xr3:uid="{C644450F-2149-4D87-8E04-D3DD6B99C066}" name="5" dataDxfId="721"/>
    <tableColumn id="11" xr3:uid="{92D6DA00-2083-479D-96F6-4B48312C9C12}" name="6" dataDxfId="720"/>
    <tableColumn id="12" xr3:uid="{2EC613D6-BDCD-416F-817F-42C8018B90FE}" name="7" dataDxfId="719"/>
    <tableColumn id="13" xr3:uid="{B55C5834-2D46-4D83-8429-14D18D9B95EF}" name="8" dataDxfId="718"/>
    <tableColumn id="14" xr3:uid="{5C6DF4C8-EDC0-4827-AA8B-9C2B7202A4DA}" name="9" dataDxfId="717"/>
    <tableColumn id="15" xr3:uid="{764D7AA1-F3E2-4E06-A4A9-952B47F95E76}" name="10" dataDxfId="716"/>
    <tableColumn id="16" xr3:uid="{6D896E44-118D-4124-BF4A-2E06B8568517}" name="11" dataDxfId="715"/>
    <tableColumn id="33" xr3:uid="{BBE7D4C5-65CC-4C04-9363-3F8A3089024F}" name="12"/>
    <tableColumn id="34" xr3:uid="{E4BF0FC7-0056-416F-A09A-F48D5E89BFEA}" name="13"/>
    <tableColumn id="30" xr3:uid="{3377451B-B200-4F25-8F39-84C1249D8051}" name="14"/>
    <tableColumn id="31" xr3:uid="{F88FD670-DAE4-45AE-859D-B487855DB501}" name="15"/>
    <tableColumn id="32" xr3:uid="{5F0B8E05-ABB7-4C17-8222-8BEACF2C6B2C}" name="16"/>
    <tableColumn id="27" xr3:uid="{6FBF2E19-6B77-4D35-BB60-10E64B5DE954}" name="17"/>
    <tableColumn id="28" xr3:uid="{BF8D3F5D-EDC2-407E-A940-2E1D1B28BF6D}" name="18"/>
    <tableColumn id="36" xr3:uid="{A473D592-E0DB-4C77-9361-BC6F46770077}" name="19"/>
    <tableColumn id="29" xr3:uid="{01A29275-75E3-4F92-9463-409490A70699}" name="20"/>
    <tableColumn id="17" xr3:uid="{BE609D90-F294-44A1-B944-804292CC8FAC}" name="21" dataDxfId="714"/>
    <tableColumn id="18" xr3:uid="{E97C32F3-7B30-46E7-B4CD-72B412E48E28}" name="22" dataDxfId="713"/>
    <tableColumn id="19" xr3:uid="{FD784BF8-211E-4275-A9B4-168979C2AFD1}" name="23" dataDxfId="712"/>
    <tableColumn id="20" xr3:uid="{766DA9FA-C407-4AC5-BFFB-BF6A1B6D5B26}" name="24" dataDxfId="711"/>
    <tableColumn id="21" xr3:uid="{CD1B765C-53CF-4C5C-A708-487BC53AF68A}" name="25" dataDxfId="710"/>
    <tableColumn id="22" xr3:uid="{2800A805-A560-4CF0-B47E-4486A92755E4}" name="26" dataDxfId="709"/>
    <tableColumn id="23" xr3:uid="{7067EFFA-F2EA-4FFF-A281-8E3E0E718C87}" name="27" dataDxfId="708"/>
    <tableColumn id="24" xr3:uid="{BB01C4B5-FEB4-44E1-BF58-4C9BF81261B1}" name="28" dataDxfId="707"/>
    <tableColumn id="25" xr3:uid="{2116D7DE-6632-4314-9539-6B4BA9407512}" name="29" dataDxfId="706"/>
    <tableColumn id="37" xr3:uid="{CBFA4429-3DA2-46C7-A9A0-49B669AE33A6}" name="30"/>
    <tableColumn id="26" xr3:uid="{B0D188FD-F41F-4C43-A42F-87048D9F3347}" name="31" dataDxfId="705"/>
    <tableColumn id="3" xr3:uid="{153A774F-FA3D-4DE9-A743-A193E9EC2BE7}" name="CARTERA" dataDxfId="704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D0755C-A8D1-41FD-8722-0AA4CD765999}" name="DATA_JULIO_2025" displayName="DATA_JULIO_2025" ref="M8:AX89" totalsRowShown="0" headerRowDxfId="703" headerRowBorderDxfId="702" tableBorderDxfId="701">
  <autoFilter ref="M8:AX89" xr:uid="{13D0755C-A8D1-41FD-8722-0AA4CD765999}"/>
  <sortState xmlns:xlrd2="http://schemas.microsoft.com/office/spreadsheetml/2017/richdata2" ref="M9:AX89">
    <sortCondition ref="R8:R89"/>
  </sortState>
  <tableColumns count="38">
    <tableColumn id="2" xr3:uid="{72C3FA18-E65D-4943-AF0A-CD7AC5502A56}" name="AL_AC" dataDxfId="700">
      <calculatedColumnFormula>DATA_JULIO_2025[[#This Row],[RECUPERO]]/DATA_JULIO_2025[[#This Row],[META]]</calculatedColumnFormula>
    </tableColumn>
    <tableColumn id="3" xr3:uid="{1754C817-3C23-490F-BEA3-3ACD2AC34A65}" name="CLASIFICACIÓN" dataDxfId="699">
      <calculatedColumnFormula array="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calculatedColumnFormula>
    </tableColumn>
    <tableColumn id="5" xr3:uid="{635B51D1-72B4-46A4-B795-4985950C2B5D}" name="SUPERVISOR" dataDxfId="698"/>
    <tableColumn id="6" xr3:uid="{BCDF5A35-E274-481A-8FAA-7585E0413D78}" name="RECUPERO" dataDxfId="697">
      <calculatedColumnFormula>SUM(DATA_JULIO_2025[[#This Row],[1]:[31]])</calculatedColumnFormula>
    </tableColumn>
    <tableColumn id="7" xr3:uid="{8DE1FEE0-51D3-4EA8-A46E-89BEBA12056E}" name="META" dataDxfId="696"/>
    <tableColumn id="1" xr3:uid="{3C41F150-757E-4673-8594-D891B2820E33}" name="ASER_" dataDxfId="695"/>
    <tableColumn id="35" xr3:uid="{75B663EC-48B5-4EB1-89DD-AA509391068E}" name="1"/>
    <tableColumn id="38" xr3:uid="{09D0CD3B-F8DE-4750-B8E5-18C214A2FF7B}" name="2"/>
    <tableColumn id="36" xr3:uid="{AE66868D-5ACA-42D6-8E04-AA5E20AF85C2}" name="3"/>
    <tableColumn id="37" xr3:uid="{AD0B0DA1-57A7-4BE8-A44B-C62A77CF1299}" name="4"/>
    <tableColumn id="32" xr3:uid="{41C4416A-1BD6-4791-A76E-F04E6D156B19}" name="5"/>
    <tableColumn id="33" xr3:uid="{2D799577-981E-4BB9-BB9F-59A06D917DA6}" name="6"/>
    <tableColumn id="34" xr3:uid="{0DA34078-CD4E-4132-9D73-CD583F3C1C96}" name="7"/>
    <tableColumn id="29" xr3:uid="{FEDB5AB5-2610-4435-99B7-10FA8C154686}" name="8"/>
    <tableColumn id="30" xr3:uid="{919CA4F9-4774-4E61-B6EA-DA741E3C1537}" name="9"/>
    <tableColumn id="31" xr3:uid="{B9A49866-81C8-43A4-A1FC-AF5910019B45}" name="10"/>
    <tableColumn id="26" xr3:uid="{9D358291-E4AF-4FFC-806F-71065671E690}" name="11"/>
    <tableColumn id="27" xr3:uid="{8565D2FC-BF02-4E46-BBB5-696779C22DA4}" name="12"/>
    <tableColumn id="28" xr3:uid="{E3482F10-95E9-4260-B7B0-5016A1A2F789}" name="13"/>
    <tableColumn id="23" xr3:uid="{4D9A8B85-DF3F-4FC8-A5F2-02DA0965A923}" name="14"/>
    <tableColumn id="24" xr3:uid="{1C16302C-1B76-4E36-99AF-A3DA29A0621B}" name="15"/>
    <tableColumn id="25" xr3:uid="{2A61545F-0B68-4848-AFCC-CC8EE4AF3703}" name="16"/>
    <tableColumn id="20" xr3:uid="{CF9BA849-C8E4-4768-B719-1257AE4A2691}" name="17"/>
    <tableColumn id="21" xr3:uid="{D39ED0EB-C9E2-4AC0-AE4A-31C16405E50E}" name="18"/>
    <tableColumn id="22" xr3:uid="{B0B87573-8108-4FA3-AB29-CC6183E63E36}" name="19"/>
    <tableColumn id="17" xr3:uid="{250A7397-4D9B-4F55-A99C-81E2FE236972}" name="20"/>
    <tableColumn id="18" xr3:uid="{C9178FA6-32BE-4C82-9312-875265658F18}" name="21"/>
    <tableColumn id="19" xr3:uid="{70E5ABE0-5583-4D7F-A4ED-07098C5BE42C}" name="22"/>
    <tableColumn id="14" xr3:uid="{0708ABE5-9E63-41CE-A7CD-40E8A6779106}" name="23"/>
    <tableColumn id="15" xr3:uid="{FEE690B2-094C-49C0-90ED-6D0A79F68640}" name="24"/>
    <tableColumn id="16" xr3:uid="{9969DD79-7E98-477E-A010-19C09D3E6CB3}" name="25"/>
    <tableColumn id="11" xr3:uid="{A99598C2-DFC4-460A-8E9D-EC98EF23380E}" name="26"/>
    <tableColumn id="12" xr3:uid="{30410538-6B71-4C90-958E-A78B8D15A90D}" name="27"/>
    <tableColumn id="13" xr3:uid="{51AFFD46-EF21-4D87-ACD5-3EE95185A6C6}" name="28"/>
    <tableColumn id="10" xr3:uid="{04F48960-1598-4D17-93ED-CE2A3A4674BA}" name="29"/>
    <tableColumn id="9" xr3:uid="{939C877B-4085-4D8D-ABA0-60795D29EE1C}" name="30"/>
    <tableColumn id="8" xr3:uid="{5A80439C-A4EA-4D1B-BC0D-AD2F25EDC6A7}" name="31"/>
    <tableColumn id="4" xr3:uid="{D825C99F-7926-4ACD-95E4-AD5D163C481B}" name="CARTERA ASESOR" dataDxfId="694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60AB3C-55A7-4610-B74D-44400B82E396}" name="D1_JULIO_2025" displayName="D1_JULIO_2025" ref="A2:K85" totalsRowShown="0" dataDxfId="692" headerRowBorderDxfId="693" tableBorderDxfId="691">
  <autoFilter ref="A2:K85" xr:uid="{F460AB3C-55A7-4610-B74D-44400B82E396}"/>
  <tableColumns count="11">
    <tableColumn id="1" xr3:uid="{174E92CC-5FBB-42E6-ABBA-A2148115201A}" name="SUPER" dataDxfId="690">
      <calculatedColumnFormula>D1_JULIO_2025[[#This Row],[SUPER2]]</calculatedColumnFormula>
    </tableColumn>
    <tableColumn id="6" xr3:uid="{D87E1435-21B2-485D-8BCD-1C27FC523EEA}" name="ASESOR_CRR" dataDxfId="689"/>
    <tableColumn id="2" xr3:uid="{FC570054-965C-4F29-B04A-C58608AEAECA}" name="META" dataDxfId="688">
      <calculatedColumnFormula>VLOOKUP(D1_JULIO_2025[[#This Row],[SUPER]],DATA_JULIO_2025[[SUPERVISOR]:[META]],3,0)</calculatedColumnFormula>
    </tableColumn>
    <tableColumn id="3" xr3:uid="{CF023A93-4AFB-4349-9235-179A60BC2249}" name="ALCANCE" dataDxfId="687">
      <calculatedColumnFormula>D1_JULIO_2025[[#This Row],[RECUPERO]]/C3</calculatedColumnFormula>
    </tableColumn>
    <tableColumn id="7" xr3:uid="{59576C9E-00A8-419A-8EFC-86D74D6B4B3F}" name="SUPER2" dataDxfId="686"/>
    <tableColumn id="4" xr3:uid="{6F567985-92B6-498E-BDE9-81AA438ECD22}" name="ASESOR" dataDxfId="685"/>
    <tableColumn id="5" xr3:uid="{2DFC340F-6B74-4E64-B475-782D4A5F8B3E}" name="RECUPERO" dataDxfId="684"/>
    <tableColumn id="8" xr3:uid="{D42D0BDD-24C5-4390-9867-D5F3D45952CE}" name="DNI" dataDxfId="683"/>
    <tableColumn id="9" xr3:uid="{A9555617-B6CF-4123-9AD8-5E9DB6528E74}" name="FECHA DE INICIO" dataDxfId="682"/>
    <tableColumn id="10" xr3:uid="{1C792B0A-E0F3-406D-8123-75E932FC95A1}" name="ESTADO" dataDxfId="681"/>
    <tableColumn id="11" xr3:uid="{9C7DD975-8CE5-47A7-9055-3D889431846F}" name="SEGMENTO" dataDxfId="680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BB17F4-7F2F-4438-9C76-1C20A2CD5EED}" name="DITE_JULIO_2025" displayName="DITE_JULIO_2025" ref="AZ8:CI16" totalsRowShown="0" headerRowDxfId="679" dataDxfId="677" headerRowBorderDxfId="678" tableBorderDxfId="676" totalsRowBorderDxfId="675">
  <autoFilter ref="AZ8:CI16" xr:uid="{1FBB17F4-7F2F-4438-9C76-1C20A2CD5EED}"/>
  <sortState xmlns:xlrd2="http://schemas.microsoft.com/office/spreadsheetml/2017/richdata2" ref="AZ9:CI16">
    <sortCondition ref="BC8:BC16"/>
  </sortState>
  <tableColumns count="36">
    <tableColumn id="5" xr3:uid="{054DF3D6-44FE-4EF9-8B28-32077473621F}" name="META SUPER" dataDxfId="674"/>
    <tableColumn id="1" xr3:uid="{4CE2BFB4-C324-4ECE-B3B7-77A433373BEC}" name="RECUPERO SUPERVISOR" dataDxfId="673"/>
    <tableColumn id="2" xr3:uid="{76C6BCA1-6820-46A6-B790-01B3E88F6266}" name="ALCANCE SUPERVISOR" dataDxfId="672">
      <calculatedColumnFormula>BA9/DITE_JULIO_2025[[#This Row],[META SUPER]]</calculatedColumnFormula>
    </tableColumn>
    <tableColumn id="4" xr3:uid="{FE9C5289-6F21-4D71-92B6-F36B6C9748E7}" name="SUPER" dataDxfId="671"/>
    <tableColumn id="6" xr3:uid="{A5188244-D142-4196-92CC-15B237C3E734}" name="1" dataDxfId="670"/>
    <tableColumn id="7" xr3:uid="{9754BD88-AFD1-4BCB-AF69-DA7B55E3A053}" name="2" dataDxfId="669"/>
    <tableColumn id="8" xr3:uid="{851C8CA8-D257-4BFB-B6BE-D82354200CA7}" name="3" dataDxfId="668"/>
    <tableColumn id="9" xr3:uid="{AE769B63-903F-46E5-A3F0-8DA27C689974}" name="4" dataDxfId="667"/>
    <tableColumn id="10" xr3:uid="{D09A5961-EE10-491A-BFFE-C5ABD80598A8}" name="5" dataDxfId="666"/>
    <tableColumn id="11" xr3:uid="{EC4AF483-303E-4488-AFA2-DD9A058F071A}" name="6" dataDxfId="665"/>
    <tableColumn id="34" xr3:uid="{F6E6C24B-7E77-44DE-A429-8772A086A17D}" name="7"/>
    <tableColumn id="35" xr3:uid="{540EBBE4-58F9-4FD8-A106-09325114CA0D}" name="8"/>
    <tableColumn id="37" xr3:uid="{A56C4470-27EB-41C5-B375-6CBDE15CF89F}" name="9"/>
    <tableColumn id="30" xr3:uid="{6270B081-7B7A-4728-BAB1-F56DC6E6E305}" name="10"/>
    <tableColumn id="31" xr3:uid="{F20AEF62-46F3-4D41-A357-869B076B1590}" name="11"/>
    <tableColumn id="32" xr3:uid="{C4018A7D-2001-4E45-B964-C1A8AA3560B9}" name="12"/>
    <tableColumn id="33" xr3:uid="{79B3F741-48E6-4647-9187-D1CD4AFD6B27}" name="13"/>
    <tableColumn id="26" xr3:uid="{AC2DC7EC-A0C8-403A-81EE-2A311A2663CB}" name="14"/>
    <tableColumn id="27" xr3:uid="{361B5FCF-F4F9-49E3-A815-F307F113C03C}" name="15"/>
    <tableColumn id="28" xr3:uid="{4089BA70-A7D3-43EA-8981-70C095AD5609}" name="16"/>
    <tableColumn id="29" xr3:uid="{FA6EFB64-2E7B-42A5-8BAE-EDE4DD360674}" name="17"/>
    <tableColumn id="12" xr3:uid="{E0699685-C582-4C4A-A838-E66961F44487}" name="18" dataDxfId="664"/>
    <tableColumn id="13" xr3:uid="{377D024A-00DD-4A77-A549-5C6BEBE894D0}" name="19" dataDxfId="663"/>
    <tableColumn id="14" xr3:uid="{8FABF999-C8BA-4B7D-980A-2659F766178B}" name="20" dataDxfId="662"/>
    <tableColumn id="15" xr3:uid="{06AC6AD7-A191-47DD-AE3F-9A0525AF8DD6}" name="21" dataDxfId="661"/>
    <tableColumn id="16" xr3:uid="{BB465107-63D7-443B-8989-EF197F62D322}" name="22" dataDxfId="660"/>
    <tableColumn id="17" xr3:uid="{3DFE5CBD-1315-4CBA-A14E-1763583D7BEC}" name="23" dataDxfId="659"/>
    <tableColumn id="18" xr3:uid="{5DB3135E-36A1-4F0D-890E-50AC461B96C4}" name="24" dataDxfId="658"/>
    <tableColumn id="19" xr3:uid="{57CA79FE-F6A3-4697-8926-36322AD1BC6C}" name="25" dataDxfId="657"/>
    <tableColumn id="20" xr3:uid="{A99C4302-A806-4344-ABAF-AF753E7EF30D}" name="26" dataDxfId="656"/>
    <tableColumn id="21" xr3:uid="{D1C3F20A-0988-4CC4-8D06-ED3EE15A7AB1}" name="27" dataDxfId="655"/>
    <tableColumn id="22" xr3:uid="{ECEC5739-F3E4-44C4-9408-4DAA6DE5069C}" name="28" dataDxfId="654"/>
    <tableColumn id="23" xr3:uid="{CD77FB96-6C17-47A0-82BA-2ABEA1725A41}" name="29" dataDxfId="653"/>
    <tableColumn id="24" xr3:uid="{87D0EFA1-B9FB-444F-B737-EE4C1B838FBC}" name="30" dataDxfId="652"/>
    <tableColumn id="25" xr3:uid="{BF0F5A29-80D1-482F-9C53-48E4478A5F1D}" name="31" dataDxfId="651"/>
    <tableColumn id="3" xr3:uid="{51B2E01F-098B-4EAB-AB37-99A7A456DDF6}" name="CARTERA" dataDxfId="650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6CEBCE-101B-42C2-A45C-8113A647428A}" name="D1_AGOSTO_2025" displayName="D1_AGOSTO_2025" ref="A2:K91" totalsRowShown="0" dataDxfId="648" headerRowBorderDxfId="649" tableBorderDxfId="647">
  <autoFilter ref="A2:K91" xr:uid="{816CEBCE-101B-42C2-A45C-8113A647428A}"/>
  <tableColumns count="11">
    <tableColumn id="1" xr3:uid="{596664E6-24CF-4AF3-A84D-121AC4745B4C}" name="SUPER" dataDxfId="646"/>
    <tableColumn id="6" xr3:uid="{CA4B13E9-2CAB-42E2-A028-4DFB844CF726}" name="ASESOR_CRR" dataDxfId="645"/>
    <tableColumn id="2" xr3:uid="{B3C2F90C-6F59-4998-9F82-960596BF09D8}" name="META" dataDxfId="644">
      <calculatedColumnFormula>VLOOKUP(D1_AGOSTO_2025[[#This Row],[SUPER]],DATA_AGOSTO_2025[[SUPERVISOR]:[META]],3,0)</calculatedColumnFormula>
    </tableColumn>
    <tableColumn id="3" xr3:uid="{6CE379C4-19C8-4C90-81DB-EA83E873B03A}" name="ALCANCE" dataDxfId="643"/>
    <tableColumn id="7" xr3:uid="{28AC502F-3113-4B59-AA88-4F9E0E7D938B}" name="SUPER2" dataDxfId="642"/>
    <tableColumn id="4" xr3:uid="{9AE19661-0B03-4D03-9661-4B81FCE456D3}" name="ASESOR" dataDxfId="641"/>
    <tableColumn id="5" xr3:uid="{9CCAC285-FD2E-415B-BE6E-AD7E20CECF29}" name="RECUPERO" dataDxfId="640">
      <calculatedColumnFormula>VLOOKUP(D1_AGOSTO_2025[[#This Row],[ASESOR]],$E$95:$F$176,2,0)</calculatedColumnFormula>
    </tableColumn>
    <tableColumn id="8" xr3:uid="{043E81D5-B688-480A-9A28-C451E6CC8ACE}" name="DNI" dataDxfId="639"/>
    <tableColumn id="9" xr3:uid="{1F9CE105-EFA8-4FFE-9C5C-0AB581B961DE}" name="FECHA DE INICIO" dataDxfId="638"/>
    <tableColumn id="10" xr3:uid="{6CA7DA08-8CCF-441D-AE86-422E2259780A}" name="ESTADO" dataDxfId="637"/>
    <tableColumn id="11" xr3:uid="{9109CC4D-CC03-42BB-8F60-09A0400B4073}" name="SEGMENTO" dataDxfId="63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356FA9-1639-4BCD-8041-CDF840B60928}" name="DATA_AGOSTO_2025" displayName="DATA_AGOSTO_2025" ref="M8:AX89" totalsRowShown="0" headerRowDxfId="635" headerRowBorderDxfId="634" tableBorderDxfId="633">
  <autoFilter ref="M8:AX89" xr:uid="{DB356FA9-1639-4BCD-8041-CDF840B60928}"/>
  <sortState xmlns:xlrd2="http://schemas.microsoft.com/office/spreadsheetml/2017/richdata2" ref="M9:AX89">
    <sortCondition ref="R8:R89"/>
  </sortState>
  <tableColumns count="38">
    <tableColumn id="2" xr3:uid="{1BEFB030-F8FC-467E-8D03-CF9E8433E11F}" name="AL_AC" dataDxfId="632">
      <calculatedColumnFormula>DATA_AGOSTO_2025[[#This Row],[RECUPERO]]/DATA_AGOSTO_2025[[#This Row],[META]]</calculatedColumnFormula>
    </tableColumn>
    <tableColumn id="3" xr3:uid="{88C3CECE-F881-4C05-BA2B-95B253894A39}" name="CLASIFICACIÓN" dataDxfId="631">
      <calculatedColumnFormula array="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calculatedColumnFormula>
    </tableColumn>
    <tableColumn id="1" xr3:uid="{F581F4DA-B6F3-4641-93F9-FB4CABD3B045}" name="SUPERVISOR" dataDxfId="630"/>
    <tableColumn id="6" xr3:uid="{40820BC6-7E2D-416A-AC23-B4520FC0957D}" name="RECUPERO" dataDxfId="629">
      <calculatedColumnFormula>SUM(DATA_AGOSTO_2025[[#This Row],[1]:[31]])</calculatedColumnFormula>
    </tableColumn>
    <tableColumn id="7" xr3:uid="{F7BC8835-EC2E-4047-8AE9-C742ABE03445}" name="META" dataDxfId="628"/>
    <tableColumn id="5" xr3:uid="{22298E20-98EB-421A-8978-F019348D2A10}" name="ASER_" dataDxfId="627"/>
    <tableColumn id="38" xr3:uid="{FF0DBA87-E365-4148-9A70-8055067BE790}" name="1"/>
    <tableColumn id="41" xr3:uid="{CDD13153-D49A-4AA0-AEE6-E517BBDF361B}" name="2"/>
    <tableColumn id="39" xr3:uid="{F65D07A1-2701-4C1E-BF4E-6974B9DBF3BA}" name="3"/>
    <tableColumn id="40" xr3:uid="{8ABEDA2D-A277-4ED8-AAD6-FD42F448063D}" name="4"/>
    <tableColumn id="35" xr3:uid="{388846F6-98A7-4170-8ECA-8A71503DA284}" name="5"/>
    <tableColumn id="36" xr3:uid="{36F0C572-9BCC-4BD4-9589-71AD26BF223C}" name="6"/>
    <tableColumn id="37" xr3:uid="{E27209C3-0147-4A3A-AFAA-82FC58D7A6C9}" name="7"/>
    <tableColumn id="32" xr3:uid="{40752570-39E5-47C1-BE54-5558FEE3F194}" name="8"/>
    <tableColumn id="33" xr3:uid="{98F92864-E6F8-4B27-939A-A5A46A707EF2}" name="9"/>
    <tableColumn id="34" xr3:uid="{18C4771D-B1EF-42E9-AE70-C557C80D8E45}" name="10"/>
    <tableColumn id="29" xr3:uid="{895F2450-0F0C-4C68-9F5A-7E1B1E575727}" name="11"/>
    <tableColumn id="30" xr3:uid="{7614ACA6-16E7-4562-81A0-196C1F9455E6}" name="12"/>
    <tableColumn id="31" xr3:uid="{57B0FE8D-47DF-47B6-8E50-53EE1F44BA7F}" name="13"/>
    <tableColumn id="26" xr3:uid="{ED8816AC-DE01-46C0-B0EF-18B06B156BFA}" name="14"/>
    <tableColumn id="27" xr3:uid="{714063E7-2305-4DBD-B684-134513BF22D1}" name="15"/>
    <tableColumn id="28" xr3:uid="{7A4F4513-D638-456D-BFDE-29142EFE1092}" name="16"/>
    <tableColumn id="23" xr3:uid="{C8442DF6-4773-406B-9F92-4C98A332AE98}" name="17"/>
    <tableColumn id="24" xr3:uid="{02D62448-9052-4D3C-AD1C-D8DBF51CB2D6}" name="18"/>
    <tableColumn id="25" xr3:uid="{46B291B6-EB8D-4F0A-80A7-470A494BAC6A}" name="19"/>
    <tableColumn id="20" xr3:uid="{110277CD-91B6-4323-904F-FF8B7A37A145}" name="20"/>
    <tableColumn id="21" xr3:uid="{F84149FF-4EFA-4C3F-B55E-C508ACF363C6}" name="21"/>
    <tableColumn id="22" xr3:uid="{13902CDB-7312-4ADF-A877-F657DC99A1E6}" name="22"/>
    <tableColumn id="17" xr3:uid="{CA4677AB-230F-4300-ADC6-1C08C0886EED}" name="23"/>
    <tableColumn id="18" xr3:uid="{382B6992-0178-4913-B97A-13564C6FB482}" name="24"/>
    <tableColumn id="19" xr3:uid="{09BA7C32-F7CE-4FB9-AB8B-8A9B09621A90}" name="25"/>
    <tableColumn id="14" xr3:uid="{405AD981-E835-4ABC-AEF0-FF8E43B05006}" name="26"/>
    <tableColumn id="15" xr3:uid="{0E14C6A3-ABB8-439E-99DB-ECC9D06A42E5}" name="27"/>
    <tableColumn id="16" xr3:uid="{F9E22644-4563-4D25-AC04-DECE3082FA50}" name="28"/>
    <tableColumn id="11" xr3:uid="{AC449C9C-9A63-44C9-A6B5-CE9F13BE3BB4}" name="29"/>
    <tableColumn id="12" xr3:uid="{51CFED1F-C480-40DD-8361-98198AE61FEF}" name="30"/>
    <tableColumn id="13" xr3:uid="{0F9F2044-4204-4BD1-9DA1-8C8732A25F43}" name="31"/>
    <tableColumn id="4" xr3:uid="{F509A7E9-F54E-4D91-BB48-3E4B1A6507B7}" name="CARTERA ASESOR" dataDxfId="626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430F39-92FE-4ECF-9803-071C2A54AA46}" name="DITE_AGOSTO_2025" displayName="DITE_AGOSTO_2025" ref="AZ8:CI16" totalsRowShown="0" headerRowDxfId="625" dataDxfId="623" headerRowBorderDxfId="624" tableBorderDxfId="622" totalsRowBorderDxfId="621">
  <autoFilter ref="AZ8:CI16" xr:uid="{90430F39-92FE-4ECF-9803-071C2A54AA46}"/>
  <sortState xmlns:xlrd2="http://schemas.microsoft.com/office/spreadsheetml/2017/richdata2" ref="AZ9:CI16">
    <sortCondition ref="BC8:BC16"/>
  </sortState>
  <tableColumns count="36">
    <tableColumn id="5" xr3:uid="{0F1D2B08-548B-4035-A7F1-689294B1B15E}" name="META SUPER" dataDxfId="620"/>
    <tableColumn id="1" xr3:uid="{D853C78B-294B-4C5B-87F9-8B837DBCA858}" name="RECUPERO SUPERVISOR" dataDxfId="619">
      <calculatedColumnFormula>MAX(DITE_AGOSTO_2025[[#This Row],[1]:[31]])</calculatedColumnFormula>
    </tableColumn>
    <tableColumn id="2" xr3:uid="{A6B49739-8C7F-42B7-AB2B-2D9B8785D8A7}" name="ALCANCE SUPERVISOR" dataDxfId="618">
      <calculatedColumnFormula>DITE_AGOSTO_2025[[#This Row],[RECUPERO SUPERVISOR]]/DITE_AGOSTO_2025[[#This Row],[META SUPER]]</calculatedColumnFormula>
    </tableColumn>
    <tableColumn id="4" xr3:uid="{96D2A1C2-9EA3-4132-B41A-8B57BBB00DD3}" name="SUPER" dataDxfId="617"/>
    <tableColumn id="6" xr3:uid="{49EEE6CA-AF7B-4615-AE46-CA713F4E9209}" name="1" dataDxfId="616"/>
    <tableColumn id="7" xr3:uid="{61649C96-BFE5-4D18-BCE1-727E2E74D883}" name="2" dataDxfId="615"/>
    <tableColumn id="8" xr3:uid="{3D095B63-6086-4E9E-85B2-511507890CD8}" name="3" dataDxfId="614"/>
    <tableColumn id="9" xr3:uid="{36CD21E6-51F3-49C9-8448-36B269029EF6}" name="4" dataDxfId="613"/>
    <tableColumn id="10" xr3:uid="{D4DBAD01-5AE1-474A-AF64-A98DFD56153A}" name="5" dataDxfId="612"/>
    <tableColumn id="11" xr3:uid="{FDF3CA30-E7DF-4684-9747-03744CC16AAE}" name="6" dataDxfId="611"/>
    <tableColumn id="34" xr3:uid="{2F0A16B2-2BD3-44A7-8EA9-E1026A8447D3}" name="7"/>
    <tableColumn id="35" xr3:uid="{9B8F0E39-8A8E-4298-98EC-C4E37A4980DE}" name="8"/>
    <tableColumn id="36" xr3:uid="{CE93A24D-7614-4712-8536-FE067E17C04D}" name="9"/>
    <tableColumn id="30" xr3:uid="{29C7F79A-E182-44B3-A5FB-24C828374231}" name="10"/>
    <tableColumn id="31" xr3:uid="{0D15202C-83BA-40C0-B63C-ECED2D704367}" name="11"/>
    <tableColumn id="32" xr3:uid="{4EC5D136-4412-4B05-B498-0D2CE34C6BE0}" name="12"/>
    <tableColumn id="33" xr3:uid="{B09C62B7-4441-4FDE-9D8F-753825023974}" name="13"/>
    <tableColumn id="26" xr3:uid="{BDBAC8BA-3F49-4ED6-A16B-90D69C5336FC}" name="14"/>
    <tableColumn id="27" xr3:uid="{2FC610F8-8BF3-4A83-A7E0-9A4926002CF4}" name="15"/>
    <tableColumn id="28" xr3:uid="{94455834-5FAE-4613-87B6-4EFCF094AC0B}" name="16"/>
    <tableColumn id="29" xr3:uid="{4A6D6919-B078-4A74-9586-7A891E8DF118}" name="17"/>
    <tableColumn id="12" xr3:uid="{0D320307-8BC6-475A-9E12-91C32320EC74}" name="18" dataDxfId="610"/>
    <tableColumn id="13" xr3:uid="{55EA3D15-E74B-4AB3-B0D5-B387C3EAAB83}" name="19" dataDxfId="609"/>
    <tableColumn id="14" xr3:uid="{507E3CA9-692F-4A2D-BA96-B401D04EEDD0}" name="20" dataDxfId="608"/>
    <tableColumn id="15" xr3:uid="{E5F719C0-0646-408A-976E-C57966E876F4}" name="21" dataDxfId="607"/>
    <tableColumn id="16" xr3:uid="{8AC2AE0D-50EC-4387-A0A4-A1F2DF092A3C}" name="22" dataDxfId="606"/>
    <tableColumn id="17" xr3:uid="{7B1EE470-E258-4B37-BEC3-E798950632D8}" name="23" dataDxfId="605"/>
    <tableColumn id="18" xr3:uid="{F77C3800-E94B-4C32-A796-122D364094EA}" name="24" dataDxfId="604"/>
    <tableColumn id="19" xr3:uid="{0DA4161D-30F3-4E97-BCBB-4C1E891B36FB}" name="25" dataDxfId="603"/>
    <tableColumn id="20" xr3:uid="{94B916D9-415F-4F66-A6C0-0EE398A152E9}" name="26" dataDxfId="602"/>
    <tableColumn id="21" xr3:uid="{D814BC25-89A4-4A6B-B889-6BF06DD3D2EC}" name="27" dataDxfId="601"/>
    <tableColumn id="22" xr3:uid="{7DEFEDE7-498F-4CCF-A7C2-F63ACE1BA092}" name="28" dataDxfId="600"/>
    <tableColumn id="23" xr3:uid="{CA36A7C5-BBBD-47FB-AAB4-1F5CBDA1EE93}" name="29" dataDxfId="599"/>
    <tableColumn id="24" xr3:uid="{958DFD93-9566-47EC-807E-E21861CB1F39}" name="30" dataDxfId="598"/>
    <tableColumn id="25" xr3:uid="{C690FBB6-6A9F-4B4D-AEF8-49C27DFF4FCF}" name="31" dataDxfId="597"/>
    <tableColumn id="3" xr3:uid="{C5283215-E8BB-41D8-B093-AA31F8252394}" name="CARTERA" dataDxfId="596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11BC5E6-A71D-437E-ABD5-0E09FCDEF3FD}" name="D1_SETIEMBRE_2025" displayName="D1_SETIEMBRE_2025" ref="A2:I80" totalsRowShown="0" dataDxfId="594" headerRowBorderDxfId="595" tableBorderDxfId="593">
  <autoFilter ref="A2:I80" xr:uid="{111BC5E6-A71D-437E-ABD5-0E09FCDEF3FD}"/>
  <tableColumns count="9">
    <tableColumn id="1" xr3:uid="{EABDBA5F-3C1B-4AC8-8F40-8C9EED5560F3}" name="SUPER" dataDxfId="592"/>
    <tableColumn id="6" xr3:uid="{C37701A2-99CA-45B9-AA89-63D54C88C5B9}" name="ASESOR_CRR" dataDxfId="591"/>
    <tableColumn id="2" xr3:uid="{8360BA59-782B-4699-ABEA-458A3C9299AD}" name="RECUP" dataDxfId="590"/>
    <tableColumn id="3" xr3:uid="{BD5C8833-8CBB-40D9-BC66-F164208CFEC0}" name="ALCANCE" dataDxfId="589"/>
    <tableColumn id="7" xr3:uid="{07FA8551-F17A-4D20-BAC6-4B128B0ECF57}" name="SUPER2" dataDxfId="588"/>
    <tableColumn id="4" xr3:uid="{91470BB1-1A8E-4802-9D93-28E5A1DF6790}" name="ASESOR" dataDxfId="587"/>
    <tableColumn id="5" xr3:uid="{2B49EE5D-87EB-458C-99B1-7F94B8EDDE4B}" name="RECUPERO" dataDxfId="586"/>
    <tableColumn id="8" xr3:uid="{1A69791E-D827-4498-A9B8-C02ED9E8C0C0}" name="DNI" dataDxfId="585"/>
    <tableColumn id="9" xr3:uid="{17EC964E-623C-4526-9375-D1DFD0BBB147}" name="FECHA DE INGRESO" dataDxfId="58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1775BD2-E36D-479B-95DE-48127C3410BC}" name="DATA_SETIEMBRE_2025" displayName="DATA_SETIEMBRE_2025" ref="J8:O86" totalsRowShown="0" headerRowDxfId="583" headerRowBorderDxfId="582" tableBorderDxfId="581">
  <autoFilter ref="J8:O86" xr:uid="{91775BD2-E36D-479B-95DE-48127C3410BC}"/>
  <tableColumns count="6">
    <tableColumn id="2" xr3:uid="{033A6CF7-EC22-4EEE-8FF0-8C343161421D}" name="AL_AC" dataDxfId="580"/>
    <tableColumn id="3" xr3:uid="{2234E43A-FB04-4BD5-A5FB-BE681630D39D}" name="CLASIFICACIÓN" dataDxfId="579"/>
    <tableColumn id="1" xr3:uid="{E68E03C4-584B-48EC-AA41-D10E171DF6E2}" name="SUPERVISOR" dataDxfId="578"/>
    <tableColumn id="6" xr3:uid="{8FEE60A3-7153-47ED-82A3-25E3E95BD5B9}" name="RECUPERO" dataDxfId="577"/>
    <tableColumn id="5" xr3:uid="{96DEFE26-B796-4F9F-BB26-62A9B1295009}" name="META" dataDxfId="576"/>
    <tableColumn id="4" xr3:uid="{98491906-C3E6-4CCF-96D0-36184A648156}" name="ASER_" dataDxfId="575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3330B9-97D2-48C8-8B43-740321917DA5}" name="DITE_SETIEMBRE_2025" displayName="DITE_SETIEMBRE_2025" ref="Q8:AQ16" totalsRowShown="0" headerRowDxfId="574" dataDxfId="572" headerRowBorderDxfId="573" tableBorderDxfId="571" totalsRowBorderDxfId="570">
  <autoFilter ref="Q8:AQ16" xr:uid="{B03330B9-97D2-48C8-8B43-740321917DA5}"/>
  <tableColumns count="27">
    <tableColumn id="5" xr3:uid="{4E3B6BB8-3B21-487C-8667-D21D7F0B0DDF}" name="META SUPER" dataDxfId="569"/>
    <tableColumn id="1" xr3:uid="{C390EAAF-612A-443A-A32B-07A66CB5EF93}" name="RECUPERO SUPERVISOR" dataDxfId="568"/>
    <tableColumn id="2" xr3:uid="{BF66D468-0BA9-433F-A558-DB3EB49638C0}" name="ALCANCE SUPERVISOR" dataDxfId="567"/>
    <tableColumn id="4" xr3:uid="{833C2FF4-09CC-46A1-B127-078899129ED2}" name="SUPER" dataDxfId="566"/>
    <tableColumn id="6" xr3:uid="{7268ABE3-61CC-4084-9F8D-F9F866838337}" name="1-Set" dataDxfId="565"/>
    <tableColumn id="7" xr3:uid="{934984E8-2516-4844-B21B-29330A07EEE9}" name="2-Set" dataDxfId="564"/>
    <tableColumn id="8" xr3:uid="{5F8B97B9-8D43-4455-9D8F-E58FD0EDAC17}" name="3-Set" dataDxfId="563"/>
    <tableColumn id="9" xr3:uid="{85D24C9E-9252-4D30-9E54-18DBF77A6C70}" name="4-Set" dataDxfId="562"/>
    <tableColumn id="10" xr3:uid="{5A78F08C-1794-450A-88A4-F02CE65D2409}" name="5-Set" dataDxfId="561"/>
    <tableColumn id="11" xr3:uid="{C9868C58-D704-4A31-95DB-6D8FBCC63D90}" name="8-Set" dataDxfId="560"/>
    <tableColumn id="12" xr3:uid="{5A69AB6F-1CBE-456F-9AB1-9CFA02551564}" name="9-Set" dataDxfId="559"/>
    <tableColumn id="13" xr3:uid="{2FB09AC7-C3A6-45CD-8892-0B683DF946C3}" name="10-Set" dataDxfId="558"/>
    <tableColumn id="14" xr3:uid="{B8720ED9-AC2B-41EC-BFA3-A12BF9C966CC}" name="11-Set" dataDxfId="557"/>
    <tableColumn id="15" xr3:uid="{31CBBA73-A7BD-468C-BD0B-435687D2ACAD}" name="12-Set" dataDxfId="556"/>
    <tableColumn id="16" xr3:uid="{02C13EA1-381F-4C2D-B917-AF0FF1A9F773}" name="15-Set" dataDxfId="555"/>
    <tableColumn id="17" xr3:uid="{E6B04D90-5126-40CD-BDA1-E2B120BAD73C}" name="16-Set" dataDxfId="554"/>
    <tableColumn id="18" xr3:uid="{7CB5014E-CB0D-4F8A-A9D7-BD9A166A1B37}" name="17-Set" dataDxfId="553"/>
    <tableColumn id="19" xr3:uid="{040ABF10-1BFC-447A-AE21-D052CBC2ED82}" name="18-Set" dataDxfId="552"/>
    <tableColumn id="20" xr3:uid="{44DFBCB9-0C1E-48F5-ACC2-AC0990D1520D}" name="19-Set" dataDxfId="551"/>
    <tableColumn id="21" xr3:uid="{AFFC2ABC-F24F-4F16-B5DD-03747097DBCC}" name="22-Set" dataDxfId="550"/>
    <tableColumn id="22" xr3:uid="{E8A652BF-A601-498B-965E-DF95F032A19E}" name="23-Set" dataDxfId="549"/>
    <tableColumn id="23" xr3:uid="{E1A1F3EC-A932-4B54-BD80-6B3004BAC18C}" name="24-Set" dataDxfId="548"/>
    <tableColumn id="24" xr3:uid="{7F5C1B88-4DF8-4775-AEFB-F5F5D12AD778}" name="25-Set" dataDxfId="547"/>
    <tableColumn id="25" xr3:uid="{B40C371A-A255-4AD7-B43D-47350B1FF421}" name="26-Set" dataDxfId="546"/>
    <tableColumn id="26" xr3:uid="{AFFE8D31-2DD6-4039-8ED5-AD63D5758F88}" name="29-Set" dataDxfId="545"/>
    <tableColumn id="27" xr3:uid="{041693B7-E11C-4B55-8C93-8CFB39922E84}" name="30-Set" dataDxfId="544"/>
    <tableColumn id="3" xr3:uid="{1DAB60E5-FA3D-4422-89D0-AD46643BF45E}" name="CARTERA" dataDxfId="543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538E234-E304-4CD8-A847-B72CD7C8B45D}" name="D1_OCTUBRE_2025" displayName="D1_OCTUBRE_2025" ref="A2:K79" totalsRowShown="0">
  <autoFilter ref="A2:K79" xr:uid="{4538E234-E304-4CD8-A847-B72CD7C8B45D}"/>
  <tableColumns count="11">
    <tableColumn id="1" xr3:uid="{50470B3C-4850-458E-BED8-112F63BB3ACF}" name="SUPER"/>
    <tableColumn id="2" xr3:uid="{F731A8EB-194B-44CE-89D7-4F18061B7145}" name="ASESOR_CRR"/>
    <tableColumn id="3" xr3:uid="{6FF7DD0E-9E2A-41C7-B49D-2C313D6FADFD}" name="META">
      <calculatedColumnFormula>VLOOKUP(D1_OCTUBRE_2025[[#This Row],[SUPER]],DATA_OCTUBRE_2025[[SUPERVISOR]:[META]],3,0)</calculatedColumnFormula>
    </tableColumn>
    <tableColumn id="4" xr3:uid="{E417C796-F642-4AC0-8458-3581DED35D66}" name="ALCANCE"/>
    <tableColumn id="7" xr3:uid="{F46948D5-7B54-49FD-BACD-B4A450201DC0}" name="SUPER2" dataDxfId="542"/>
    <tableColumn id="5" xr3:uid="{2D06A3B4-3271-49A3-9C7C-FFC311CAB0D8}" name="ASESOR"/>
    <tableColumn id="6" xr3:uid="{7C83291E-5126-4377-B991-EBB23328360F}" name="RECUPERO" dataDxfId="541">
      <calculatedColumnFormula>VLOOKUP(D1_OCTUBRE_2025[[#This Row],[ASESOR]],F78:$G$155,2,0)</calculatedColumnFormula>
    </tableColumn>
    <tableColumn id="8" xr3:uid="{7F2D2756-92A6-4522-A15C-2F10A82AAD95}" name="DNI" dataDxfId="540"/>
    <tableColumn id="9" xr3:uid="{B01E98C6-A76C-417B-B7FA-B0F1C8C2C7C6}" name="FECHA DE INICIO" dataDxfId="539"/>
    <tableColumn id="10" xr3:uid="{DEB6156D-2B0C-4157-8EE4-0EE1578CCF4A}" name="ESTADO" dataDxfId="538"/>
    <tableColumn id="11" xr3:uid="{56024D6A-95F1-4F7F-B3A6-E65219AA67FD}" name="SEGMENTO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F0A99F2-3C50-482B-B8B8-6D475831019E}" name="DATA_OCTUBRE_2025" displayName="DATA_OCTUBRE_2025" ref="M8:AX79" totalsRowShown="0" headerRowBorderDxfId="537" tableBorderDxfId="536">
  <autoFilter ref="M8:AX79" xr:uid="{9F0A99F2-3C50-482B-B8B8-6D475831019E}"/>
  <sortState xmlns:xlrd2="http://schemas.microsoft.com/office/spreadsheetml/2017/richdata2" ref="M9:AX79">
    <sortCondition ref="R8:R79"/>
  </sortState>
  <tableColumns count="38">
    <tableColumn id="2" xr3:uid="{FD017399-1781-4BF7-BF22-C61DBDB7CC6F}" name="AL_AC" dataDxfId="535">
      <calculatedColumnFormula>DATA_OCTUBRE_2025[[#This Row],[RECUPERO]]/DATA_OCTUBRE_2025[[#This Row],[META]]</calculatedColumnFormula>
    </tableColumn>
    <tableColumn id="3" xr3:uid="{EE681579-D463-48E9-A57F-B73D04925E37}" name="CLASIFICACIÓN" dataDxfId="534">
      <calculatedColumnFormula array="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calculatedColumnFormula>
    </tableColumn>
    <tableColumn id="1" xr3:uid="{DDD85E5B-35ED-4EC0-8A85-7316C4176729}" name="SUPERVISOR" dataDxfId="533"/>
    <tableColumn id="6" xr3:uid="{3B45E8CF-4BCD-492C-B1A3-3E157855AA4E}" name="RECUPERO" dataDxfId="532">
      <calculatedColumnFormula>SUM(DATA_OCTUBRE_2025[[#This Row],[1]:[31]])</calculatedColumnFormula>
    </tableColumn>
    <tableColumn id="7" xr3:uid="{2D762908-0860-493B-A482-9514EAD41E9B}" name="META" dataDxfId="531"/>
    <tableColumn id="4" xr3:uid="{B03F71B4-D73E-47CB-8F19-B1EBCB980D51}" name="ASER_" dataDxfId="530"/>
    <tableColumn id="8" xr3:uid="{DADEF8E1-B4EF-4A54-BDEA-772F65B2659B}" name="1" dataDxfId="529"/>
    <tableColumn id="9" xr3:uid="{09759773-B387-4885-980B-3377FCF2784C}" name="2" dataDxfId="528"/>
    <tableColumn id="10" xr3:uid="{0BEF3C74-7822-4935-9DEF-DBB8EF94B2E8}" name="3" dataDxfId="527"/>
    <tableColumn id="11" xr3:uid="{AB623BA8-8BC3-4899-82B4-0D2F75C64AC1}" name="4" dataDxfId="526"/>
    <tableColumn id="12" xr3:uid="{F3FF380C-FA1C-400D-953D-2426EC1D78FF}" name="5" dataDxfId="525"/>
    <tableColumn id="13" xr3:uid="{513A526B-B8DC-4F0A-BB71-A3C5DCBEE598}" name="6" dataDxfId="524"/>
    <tableColumn id="14" xr3:uid="{FE79AC7F-62E7-4115-BE1B-AAF936521653}" name="7" dataDxfId="523"/>
    <tableColumn id="15" xr3:uid="{68C170E4-F271-468B-91F8-3408D287CC52}" name="8" dataDxfId="522"/>
    <tableColumn id="16" xr3:uid="{AD7DCB27-1227-49CE-B962-67316F312A49}" name="9" dataDxfId="521"/>
    <tableColumn id="17" xr3:uid="{A28A426F-20DF-4E28-817D-D45F6DE67B10}" name="10" dataDxfId="520"/>
    <tableColumn id="18" xr3:uid="{E8A185AF-1E28-4F0F-9855-74F54DBD006B}" name="11" dataDxfId="519"/>
    <tableColumn id="19" xr3:uid="{63732328-29EA-40C6-ACD8-4B4DD4B4CF86}" name="12" dataDxfId="518"/>
    <tableColumn id="36" xr3:uid="{4CC706A0-B8D5-4CA8-ACDB-ACCDE0C698F5}" name="13"/>
    <tableColumn id="37" xr3:uid="{F6F08283-1787-4C3E-A048-07C91C8B01B7}" name="14"/>
    <tableColumn id="38" xr3:uid="{7E715B7B-81E7-49AB-81D6-1F7F0D30B4AA}" name="15"/>
    <tableColumn id="33" xr3:uid="{B0585B58-2650-49DC-8900-A24AD03F0F46}" name="16"/>
    <tableColumn id="34" xr3:uid="{C6D3EEBD-0034-42C5-A901-605B5DE28114}" name="17"/>
    <tableColumn id="35" xr3:uid="{DAD44D6C-ABE5-4802-9856-4D1EC1955354}" name="18"/>
    <tableColumn id="30" xr3:uid="{C493E15D-D90E-4C24-90AC-933E69AF3551}" name="19"/>
    <tableColumn id="31" xr3:uid="{7C83851E-1CAA-4051-944A-F0FBC47F2019}" name="20"/>
    <tableColumn id="32" xr3:uid="{F599C097-5688-4A99-A6E3-08F7411C04FC}" name="21"/>
    <tableColumn id="20" xr3:uid="{310FCF67-D23C-4020-A281-2A5E20DFB23F}" name="22" dataDxfId="517"/>
    <tableColumn id="21" xr3:uid="{C17C4587-18F5-4FBD-868F-EBEC86A07A20}" name="23" dataDxfId="516"/>
    <tableColumn id="22" xr3:uid="{A943FEC5-F867-455B-820F-28C4395DB276}" name="24" dataDxfId="515"/>
    <tableColumn id="23" xr3:uid="{A8FFD2FC-7F1E-4386-AF41-D5EEEF19CDD0}" name="25" dataDxfId="514"/>
    <tableColumn id="24" xr3:uid="{ADF6FE87-D285-4286-AA45-3909EFB078E5}" name="26" dataDxfId="513"/>
    <tableColumn id="25" xr3:uid="{2F0BE83F-F151-4F99-839F-143CA77B5B85}" name="27" dataDxfId="512"/>
    <tableColumn id="26" xr3:uid="{380107E6-E719-4EEB-80BE-3FC920AAB0D8}" name="28" dataDxfId="511"/>
    <tableColumn id="27" xr3:uid="{E4578405-DBB6-4571-976F-D9686E90472D}" name="29" dataDxfId="510"/>
    <tableColumn id="28" xr3:uid="{C03A0B6A-D740-474A-B5C0-16AD1C50D0EF}" name="30" dataDxfId="509"/>
    <tableColumn id="29" xr3:uid="{ABC45238-95B8-44E1-B32D-323E0E09BD1E}" name="31" dataDxfId="508"/>
    <tableColumn id="5" xr3:uid="{DFC53255-43CA-45C9-9269-4215B54AB062}" name="CARTERA ASESOR" dataDxfId="507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54078F-00B5-453B-BA4F-96D1B0651C11}" name="DITE_OCTUBRE_2025" displayName="DITE_OCTUBRE_2025" ref="AZ8:CI16" totalsRowShown="0" headerRowDxfId="506" dataDxfId="504" headerRowBorderDxfId="505" tableBorderDxfId="503" totalsRowBorderDxfId="502">
  <autoFilter ref="AZ8:CI16" xr:uid="{5954078F-00B5-453B-BA4F-96D1B0651C11}"/>
  <sortState xmlns:xlrd2="http://schemas.microsoft.com/office/spreadsheetml/2017/richdata2" ref="AZ9:CI16">
    <sortCondition ref="BC8:BC16"/>
  </sortState>
  <tableColumns count="36">
    <tableColumn id="5" xr3:uid="{FF5E1E87-686F-47B4-BFF5-1EFD8B824238}" name="META SUPER" dataDxfId="501">
      <calculatedColumnFormula>VLOOKUP($M$3&amp;$N$3&amp;DITE_OCTUBRE_2025[[#This Row],[SUPER]],TablaMeta[],5,0)</calculatedColumnFormula>
    </tableColumn>
    <tableColumn id="1" xr3:uid="{2B34CFC4-0C9F-41CE-999A-2588C7446A9F}" name="RECUPERO SUPERVISOR" dataDxfId="500">
      <calculatedColumnFormula>MAX(DITE_OCTUBRE_2025[[#This Row],[1]:[31]])</calculatedColumnFormula>
    </tableColumn>
    <tableColumn id="2" xr3:uid="{12F44D75-C159-4886-875E-F84E5B64A541}" name="ALCANCE SUPERVISOR" dataDxfId="499">
      <calculatedColumnFormula>IFERROR(DITE_OCTUBRE_2025[[#This Row],[RECUPERO SUPERVISOR]]/DITE_OCTUBRE_2025[[#This Row],[META SUPER]],"")</calculatedColumnFormula>
    </tableColumn>
    <tableColumn id="4" xr3:uid="{99DDEB85-0465-4D49-BF15-AB918777D8A1}" name="SUPER" dataDxfId="498"/>
    <tableColumn id="6" xr3:uid="{949DC2F4-4585-4646-A396-157D2DF8052D}" name="1" dataDxfId="497"/>
    <tableColumn id="7" xr3:uid="{97391D14-7779-42A7-9DB8-C0989C430B43}" name="2" dataDxfId="496"/>
    <tableColumn id="8" xr3:uid="{6354D769-4310-45AC-8145-E44CED72B4A9}" name="3" dataDxfId="495"/>
    <tableColumn id="9" xr3:uid="{4656D04C-0F05-4626-AF66-C82B40AEFAD8}" name="4" dataDxfId="494"/>
    <tableColumn id="10" xr3:uid="{7D1ED70B-0155-4C0E-8A2F-37B332A6F313}" name="5" dataDxfId="493"/>
    <tableColumn id="11" xr3:uid="{0111FAC8-499F-4CC3-8375-0BF99A4C35FA}" name="6" dataDxfId="492"/>
    <tableColumn id="12" xr3:uid="{C0C00B80-78A4-43E2-93D4-3EE00B3626FF}" name="7" dataDxfId="491"/>
    <tableColumn id="13" xr3:uid="{83880E56-1497-4302-8CA7-1D39E0DC1A97}" name="8" dataDxfId="490"/>
    <tableColumn id="14" xr3:uid="{BE01EA14-2F15-437D-A238-21FF4B75A0DE}" name="9" dataDxfId="489"/>
    <tableColumn id="15" xr3:uid="{EB92F6CE-8ACE-4537-AECA-46B61474948E}" name="10" dataDxfId="488"/>
    <tableColumn id="16" xr3:uid="{6D6490DB-3DEB-438C-AB40-C97EC626F0BE}" name="11" dataDxfId="487"/>
    <tableColumn id="17" xr3:uid="{0392FF10-F85D-41D2-8460-C3A186218696}" name="12" dataDxfId="486"/>
    <tableColumn id="34" xr3:uid="{42D13143-FB96-413D-BE34-6129B7676BB6}" name="13"/>
    <tableColumn id="35" xr3:uid="{60788806-5085-424F-BC72-69A7F617EF04}" name="14"/>
    <tableColumn id="36" xr3:uid="{7CE21FAF-6177-4B87-B69C-310332B5C9AF}" name="15"/>
    <tableColumn id="31" xr3:uid="{A64E0ADA-712D-4AB0-BB24-62FD131DD043}" name="16"/>
    <tableColumn id="32" xr3:uid="{9A339B04-888D-4799-AE82-DE53EBA8C9CE}" name="17"/>
    <tableColumn id="33" xr3:uid="{CFB15174-6FDA-4F15-89AD-8D2914338314}" name="18"/>
    <tableColumn id="28" xr3:uid="{6F3E21F9-3E4F-409B-8FB4-07F94D5A5A54}" name="19"/>
    <tableColumn id="29" xr3:uid="{EEDE103B-0D2E-4341-A52F-7A9C3FACF5FA}" name="20"/>
    <tableColumn id="30" xr3:uid="{3745ECC7-ABA1-40E2-9802-12D2A2F9AB2C}" name="21"/>
    <tableColumn id="18" xr3:uid="{A5448450-2F70-4B3F-AA25-3C4713BF2DE8}" name="22" dataDxfId="485"/>
    <tableColumn id="19" xr3:uid="{3D252296-5BDD-4576-BACF-EBAA4EDD5204}" name="23" dataDxfId="484"/>
    <tableColumn id="20" xr3:uid="{23EB3C4F-7D5A-4D3B-8B24-D8DE6128BA5F}" name="24" dataDxfId="483"/>
    <tableColumn id="21" xr3:uid="{129CAF30-1851-4238-9880-454B24575BB9}" name="25" dataDxfId="482"/>
    <tableColumn id="22" xr3:uid="{72C02609-42DC-4EDE-B4E1-44D533A24355}" name="26" dataDxfId="481"/>
    <tableColumn id="23" xr3:uid="{9123D15C-9492-4356-8328-1BE17F140523}" name="27" dataDxfId="480"/>
    <tableColumn id="24" xr3:uid="{9D5D7ED1-F248-4C81-8326-BBA9C067C915}" name="28" dataDxfId="479"/>
    <tableColumn id="25" xr3:uid="{AF14494A-3DA5-4A85-BD20-353698E70147}" name="29" dataDxfId="478"/>
    <tableColumn id="26" xr3:uid="{B48EAE26-54B8-4E0C-A4A1-6956DA0D148E}" name="30" dataDxfId="477"/>
    <tableColumn id="27" xr3:uid="{85AC05C5-FE82-41A6-837C-F1F547FD8C2F}" name="31" dataDxfId="476"/>
    <tableColumn id="3" xr3:uid="{1CA2638D-96F9-4A0C-980A-6DAE6545AFFA}" name="CARTERA" dataDxfId="475">
      <calculatedColumnFormula>VLOOKUP($M$3&amp;$N$3&amp;DITE_OCTUBRE_2025[[#This Row],[SUPER]],TablaMeta[],7,0)</calculatedColumnFormula>
    </tableColumn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B8FAFE-224D-43C2-8CC5-F1C1350990D2}" name="DATA_NOVIEMBRE_2025" displayName="DATA_NOVIEMBRE_2025" ref="M8:AX68" totalsRowShown="0" headerRowBorderDxfId="474" tableBorderDxfId="473">
  <autoFilter ref="M8:AX68" xr:uid="{DAB8FAFE-224D-43C2-8CC5-F1C1350990D2}"/>
  <sortState xmlns:xlrd2="http://schemas.microsoft.com/office/spreadsheetml/2017/richdata2" ref="M9:AX68">
    <sortCondition ref="R8:R68"/>
  </sortState>
  <tableColumns count="38">
    <tableColumn id="2" xr3:uid="{47BD346F-18D2-49E6-8AEE-939CBC049365}" name="AL_AC" dataDxfId="472">
      <calculatedColumnFormula>DATA_NOVIEMBRE_2025[[#This Row],[RECUPERO]]/DATA_NOVIEMBRE_2025[[#This Row],[META]]</calculatedColumnFormula>
    </tableColumn>
    <tableColumn id="3" xr3:uid="{855F5F44-294A-4871-9840-A24614956994}" name="CLASIFICACIÓN" dataDxfId="471">
      <calculatedColumnFormula array="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calculatedColumnFormula>
    </tableColumn>
    <tableColumn id="5" xr3:uid="{9D944B93-5BF5-4B70-A89F-707C3D5946DA}" name="SUPERVISOR" dataDxfId="470"/>
    <tableColumn id="6" xr3:uid="{C0A22187-40B7-435A-ABDA-27944F0D7030}" name="RECUPERO" dataDxfId="469">
      <calculatedColumnFormula>SUM(DATA_NOVIEMBRE_2025[[#This Row],[1]:[31]])</calculatedColumnFormula>
    </tableColumn>
    <tableColumn id="7" xr3:uid="{72E7F13E-9273-4AED-98D2-5508FB4A326C}" name="META" dataDxfId="468"/>
    <tableColumn id="30" xr3:uid="{CFEB99FE-9EED-4763-A696-5BC3DA916AC5}" name="ASER_"/>
    <tableColumn id="8" xr3:uid="{00AE5065-FE4D-45E6-A294-E826836A1E33}" name="1" dataDxfId="467"/>
    <tableColumn id="9" xr3:uid="{EF6C35AD-ACD8-4C7F-8937-91D53147656D}" name="2" dataDxfId="466"/>
    <tableColumn id="10" xr3:uid="{CF32F196-CA95-4750-A946-3E0AC1A85184}" name="3" dataDxfId="465"/>
    <tableColumn id="11" xr3:uid="{9F563EAD-A249-4851-B979-F5575DE957AB}" name="4" dataDxfId="464"/>
    <tableColumn id="12" xr3:uid="{D6A6323F-D160-499D-BD7C-7C323AE07CB0}" name="5" dataDxfId="463"/>
    <tableColumn id="35" xr3:uid="{A6016CE2-CF22-42A9-86E2-C81D43ABD5F6}" name="6"/>
    <tableColumn id="36" xr3:uid="{96DE0CCF-A330-4F0B-9E53-D98BD72875AB}" name="7"/>
    <tableColumn id="37" xr3:uid="{57A7EFDA-6B3C-4003-8D02-36FC814BC0DC}" name="8"/>
    <tableColumn id="38" xr3:uid="{80BD57C4-FA2E-499A-838A-04E335361527}" name="9"/>
    <tableColumn id="32" xr3:uid="{23594552-8011-4F76-9B87-29FE8D889D7E}" name="10"/>
    <tableColumn id="33" xr3:uid="{69E77714-551B-4022-B1E0-05080BD4CE7F}" name="11"/>
    <tableColumn id="34" xr3:uid="{7ABE82B3-76BC-4B32-A023-E3E52AA710F4}" name="12"/>
    <tableColumn id="4" xr3:uid="{1EE65734-D7DE-41B6-A85D-44FCE5463F17}" name="13"/>
    <tableColumn id="29" xr3:uid="{1E231A75-1324-4098-8BF9-A54AE8D8D3D5}" name="14"/>
    <tableColumn id="31" xr3:uid="{89A2934F-A786-4085-91B0-F0BB978F55DE}" name="15"/>
    <tableColumn id="13" xr3:uid="{D8839D7F-77FA-4448-ADBC-6D52D4F61BF2}" name="16" dataDxfId="462"/>
    <tableColumn id="14" xr3:uid="{46BCBBD6-EB67-46A1-A356-989FA4845EF7}" name="17" dataDxfId="461"/>
    <tableColumn id="15" xr3:uid="{B50A5F7B-5C7E-48C1-80DA-278B6510B811}" name="18" dataDxfId="460"/>
    <tableColumn id="16" xr3:uid="{05796B28-1DD1-422E-9658-78C2FB73FD83}" name="19" dataDxfId="459"/>
    <tableColumn id="17" xr3:uid="{DB0D6520-FFC2-440C-B97F-9604384ED84D}" name="20" dataDxfId="458"/>
    <tableColumn id="18" xr3:uid="{50423629-1D31-4CC8-B9D0-046394DFED68}" name="21" dataDxfId="457"/>
    <tableColumn id="19" xr3:uid="{80B70DB0-A059-4A28-A799-0529D6BF1263}" name="22" dataDxfId="456"/>
    <tableColumn id="20" xr3:uid="{CE0AE96C-2D78-4B18-ADD7-C86E26CE69AB}" name="23" dataDxfId="455"/>
    <tableColumn id="21" xr3:uid="{D6CA8ADF-F50B-4822-B7AD-A49AC8CD28E8}" name="24" dataDxfId="454"/>
    <tableColumn id="22" xr3:uid="{8D2522DF-F1BC-4031-89AD-8B4B3515396A}" name="25" dataDxfId="453"/>
    <tableColumn id="23" xr3:uid="{293ABA54-17AB-40AD-A5F9-E0308A358390}" name="26" dataDxfId="452"/>
    <tableColumn id="24" xr3:uid="{099B62F0-F67D-4CF2-8C6A-AD383B297F15}" name="27" dataDxfId="451"/>
    <tableColumn id="25" xr3:uid="{104E6C24-1381-41DA-BF76-0DD6D49DF0C1}" name="28" dataDxfId="450"/>
    <tableColumn id="26" xr3:uid="{095F601D-F187-4396-A356-C09936718FF5}" name="29" dataDxfId="449"/>
    <tableColumn id="27" xr3:uid="{4F9FCA77-406D-4319-913A-82D308726F04}" name="30" dataDxfId="448"/>
    <tableColumn id="28" xr3:uid="{5825F9EE-936A-4C38-B210-9DA3DA553F75}" name="31" dataDxfId="447"/>
    <tableColumn id="1" xr3:uid="{D8CEB774-F634-4903-AC1C-0BF18BDD3A03}" name="CARTERA ASESOR" dataDxfId="446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68E1096-B4B7-4B73-95AE-8CADE5149C33}" name="D1_NOVIEMBRE_2025" displayName="D1_NOVIEMBRE_2025" ref="A2:K66" totalsRowShown="0">
  <autoFilter ref="A2:K66" xr:uid="{F68E1096-B4B7-4B73-95AE-8CADE5149C33}"/>
  <tableColumns count="11">
    <tableColumn id="1" xr3:uid="{698D597F-BA64-49E6-ACCE-5D28E8ACC14A}" name="SUPER" dataDxfId="445"/>
    <tableColumn id="2" xr3:uid="{7E004A30-FB94-4ABB-88FD-3005F8FA00C6}" name="ASESOR_CRR" dataDxfId="444"/>
    <tableColumn id="3" xr3:uid="{679C21D4-8623-41D0-82CA-284D4E24A873}" name="META">
      <calculatedColumnFormula>VLOOKUP(D1_NOVIEMBRE_2025[[#This Row],[SUPER]],DATA_NOVIEMBRE_2025[[SUPERVISOR]:[META]],3,0)</calculatedColumnFormula>
    </tableColumn>
    <tableColumn id="4" xr3:uid="{486641C9-82E5-4121-AF8C-05900E5003FF}" name="ALCANCE" dataDxfId="443"/>
    <tableColumn id="7" xr3:uid="{AA9D9715-8EBE-4ECB-8BB4-3F41AF689173}" name="SUPER2" dataDxfId="442"/>
    <tableColumn id="5" xr3:uid="{DDD5C800-04E2-4D8A-8C83-C410D5DF7F70}" name="ASESOR" dataDxfId="441"/>
    <tableColumn id="6" xr3:uid="{88DDFA81-E306-4531-9C28-1EEEFB91AC37}" name="RECUPERO" dataDxfId="440">
      <calculatedColumnFormula>VLOOKUP(D1_NOVIEMBRE_2025[[#This Row],[ASESOR]],$F$70:$G$130,2,0)</calculatedColumnFormula>
    </tableColumn>
    <tableColumn id="9" xr3:uid="{B4E0C179-9219-4DFF-AA71-3C7E15DC0CCB}" name="DNI" dataDxfId="439"/>
    <tableColumn id="10" xr3:uid="{A57DDDED-46A0-4CB6-B58A-B5F5FD8B6714}" name="FECHA DE INICIO" dataDxfId="438"/>
    <tableColumn id="8" xr3:uid="{6D0B725E-AD90-4FB1-ACD9-0C7E61DBD30D}" name="ESTADO" dataDxfId="437"/>
    <tableColumn id="11" xr3:uid="{14A41DD1-83BC-4380-9872-12E024A570EF}" name="SEGMENTO" dataDxfId="43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613B8-DDA0-40C2-A4A1-8722CD61E9A4}" name="DITE_NOVIEMBRE_2025" displayName="DITE_NOVIEMBRE_2025" ref="AZ8:CI14" totalsRowShown="0" headerRowDxfId="435" dataDxfId="434">
  <autoFilter ref="AZ8:CI14" xr:uid="{EBC613B8-DDA0-40C2-A4A1-8722CD61E9A4}"/>
  <sortState xmlns:xlrd2="http://schemas.microsoft.com/office/spreadsheetml/2017/richdata2" ref="AZ9:CI14">
    <sortCondition ref="BC8:BC14"/>
  </sortState>
  <tableColumns count="36">
    <tableColumn id="5" xr3:uid="{074B6FAA-838C-491D-A02E-1DD85446A037}" name="META SUPER" dataDxfId="433"/>
    <tableColumn id="2" xr3:uid="{39564DF7-490C-4B42-BA0D-A0C7965369AD}" name="RECUPERO SUPERVISOR" dataDxfId="432">
      <calculatedColumnFormula>MAX(DITE_NOVIEMBRE_2025[[#This Row],[1]:[31]])</calculatedColumnFormula>
    </tableColumn>
    <tableColumn id="3" xr3:uid="{714DADEA-706C-4919-B3C2-F0BF1111E161}" name="ALCANCE SUPERVISOR" dataDxfId="431">
      <calculatedColumnFormula>DITE_NOVIEMBRE_2025[[#This Row],[RECUPERO SUPERVISOR]]/DITE_NOVIEMBRE_2025[[#This Row],[META SUPER]]</calculatedColumnFormula>
    </tableColumn>
    <tableColumn id="1" xr3:uid="{9452BB90-F5DE-4B57-AF8A-BBAB41BDA625}" name="SUPER" dataDxfId="430"/>
    <tableColumn id="6" xr3:uid="{87C598B5-62D4-4EE7-861E-EEAA52C00585}" name="1" dataDxfId="429"/>
    <tableColumn id="7" xr3:uid="{633891A0-1EBF-4F76-A7F4-F66318664C43}" name="2" dataDxfId="428"/>
    <tableColumn id="8" xr3:uid="{0592F328-9F13-4B6C-80C9-E9F1845891CB}" name="3" dataDxfId="427"/>
    <tableColumn id="9" xr3:uid="{AE7882D8-BBFD-45AE-B2CB-28F66322BAEE}" name="4" dataDxfId="426"/>
    <tableColumn id="10" xr3:uid="{05F48497-7C3E-4EF2-8908-E3DDE502B309}" name="5" dataDxfId="425"/>
    <tableColumn id="11" xr3:uid="{BD05847D-8156-476D-9D43-53BF9B333675}" name="6" dataDxfId="424"/>
    <tableColumn id="12" xr3:uid="{407098C8-B89E-46C0-9B9A-DA4AD2929032}" name="7" dataDxfId="423"/>
    <tableColumn id="13" xr3:uid="{91FC56B9-68A8-46E6-AF86-C055E5241ADE}" name="8" dataDxfId="422"/>
    <tableColumn id="33" xr3:uid="{28AE8306-9CFE-48D8-B37A-439EC52A8FC7}" name="9"/>
    <tableColumn id="34" xr3:uid="{BEDC84A5-8305-4DF4-ABEC-BB6EEB529C4F}" name="10"/>
    <tableColumn id="36" xr3:uid="{B59731E4-5897-45B2-9C91-33A13DD2A626}" name="11"/>
    <tableColumn id="35" xr3:uid="{6BFA29F7-25A2-4970-83E2-A01A9C60DDC8}" name="12"/>
    <tableColumn id="30" xr3:uid="{1D974799-12A2-4B90-9387-B569B06CF698}" name="13"/>
    <tableColumn id="31" xr3:uid="{EEE7DEAC-D4C6-47A0-B881-173552B99C4E}" name="14"/>
    <tableColumn id="32" xr3:uid="{FE3CEA5D-C426-4115-8B0C-84D592B7B32B}" name="15"/>
    <tableColumn id="27" xr3:uid="{CA806F80-7B98-4B60-8161-F76947970902}" name="16"/>
    <tableColumn id="28" xr3:uid="{3EC786A8-3511-451D-8E2D-9602239776C1}" name="17"/>
    <tableColumn id="29" xr3:uid="{EC5B0BC0-623D-4786-9A8B-3E48F68965F8}" name="18"/>
    <tableColumn id="14" xr3:uid="{E1FFC0DE-105F-4D85-B671-ACC24555978C}" name="19" dataDxfId="421"/>
    <tableColumn id="15" xr3:uid="{6D9CB553-B7A7-4211-8DDF-E67D0F75BD0A}" name="20" dataDxfId="420"/>
    <tableColumn id="16" xr3:uid="{C060B537-6CE4-430B-8A22-7A540BACE464}" name="21" dataDxfId="419"/>
    <tableColumn id="17" xr3:uid="{4C8D59DE-F0E8-4B3F-8552-A394ADA4C013}" name="22" dataDxfId="418"/>
    <tableColumn id="18" xr3:uid="{3AB7DFB9-4558-4621-AB3C-3891ECC67DB4}" name="23" dataDxfId="417"/>
    <tableColumn id="19" xr3:uid="{ECC2D027-50E3-4374-BA37-6384A463E763}" name="24" dataDxfId="416"/>
    <tableColumn id="20" xr3:uid="{03C4446D-2883-4E24-87C6-489668916C57}" name="25" dataDxfId="415"/>
    <tableColumn id="21" xr3:uid="{1D103BD3-6849-47BB-B1AD-9FF31C3432E4}" name="26" dataDxfId="414"/>
    <tableColumn id="22" xr3:uid="{E2A6B954-BE7E-4918-9A92-245143E3726C}" name="27" dataDxfId="413"/>
    <tableColumn id="23" xr3:uid="{3BE5D700-08A4-480A-8651-AFBBD596763A}" name="28" dataDxfId="412"/>
    <tableColumn id="24" xr3:uid="{16A1ECF5-0D22-4B11-B95E-D5BF2A42B1A3}" name="29" dataDxfId="411"/>
    <tableColumn id="25" xr3:uid="{AACA19B9-FD00-4B90-8B58-181F058F24E3}" name="30" dataDxfId="410"/>
    <tableColumn id="26" xr3:uid="{2DE2D547-EE6E-49C4-858B-C4D674245BFC}" name="31" dataDxfId="409"/>
    <tableColumn id="4" xr3:uid="{9AD4619F-F825-4B54-8AE2-92E8B9E9E57F}" name="CARTERA" dataDxfId="408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0FB4C0E-F2DE-4EDC-B1EC-681DEA1C3B06}" name="DATA_DICIEMBRE_2025" displayName="DATA_DICIEMBRE_2025" ref="M8:AX59" totalsRowShown="0" headerRowBorderDxfId="407" tableBorderDxfId="406">
  <autoFilter ref="M8:AX59" xr:uid="{90FB4C0E-F2DE-4EDC-B1EC-681DEA1C3B06}"/>
  <sortState xmlns:xlrd2="http://schemas.microsoft.com/office/spreadsheetml/2017/richdata2" ref="M9:AX59">
    <sortCondition ref="R8:R59"/>
  </sortState>
  <tableColumns count="38">
    <tableColumn id="5" xr3:uid="{B4C25367-266D-4CFD-B126-E990F1B705B9}" name="AL_AC" dataDxfId="405">
      <calculatedColumnFormula>DATA_DICIEMBRE_2025[[#This Row],[RECUPERO]]/DATA_DICIEMBRE_2025[[#This Row],[META]]</calculatedColumnFormula>
    </tableColumn>
    <tableColumn id="2" xr3:uid="{B5D97F6A-AE7C-4FC3-8428-5737699DFEB1}" name="CLASIFICACIÓN" dataDxfId="404">
      <calculatedColumnFormula array="1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calculatedColumnFormula>
    </tableColumn>
    <tableColumn id="3" xr3:uid="{BB03A19C-EA5E-4A7C-9910-2B74FE663EFC}" name="SUPERVISOR" dataDxfId="403"/>
    <tableColumn id="1" xr3:uid="{47FCFB9B-5515-45CC-BFF9-2785144AD854}" name="RECUPERO" dataDxfId="402">
      <calculatedColumnFormula>SUM(DATA_DICIEMBRE_2025[[#This Row],[1]:[31]])</calculatedColumnFormula>
    </tableColumn>
    <tableColumn id="6" xr3:uid="{ED7BE75E-3624-4159-BFE7-645CEA862C3E}" name="META" dataDxfId="401"/>
    <tableColumn id="7" xr3:uid="{AD05A858-B012-4836-80E5-BF630A338442}" name="ASER_" dataDxfId="400"/>
    <tableColumn id="4" xr3:uid="{6792E8BB-5B6A-4E20-BC71-7F342FD1DE33}" name="1" dataDxfId="399"/>
    <tableColumn id="8" xr3:uid="{AFF95CFC-A6A6-4F82-9A47-D8F9735B080F}" name="2" dataDxfId="398"/>
    <tableColumn id="9" xr3:uid="{3EE2031A-4396-4C20-9B21-B423FD7A4983}" name="3" dataDxfId="397"/>
    <tableColumn id="10" xr3:uid="{98A61AE3-7932-414B-AE75-E4B9F37090B7}" name="4" dataDxfId="396"/>
    <tableColumn id="11" xr3:uid="{2B37FA03-0832-40E1-966B-188EC131A687}" name="5" dataDxfId="395"/>
    <tableColumn id="12" xr3:uid="{9A4E011C-C4A7-4F49-AD1B-BB28BEA4BF8C}" name="6" dataDxfId="394"/>
    <tableColumn id="13" xr3:uid="{EFB94F58-F00C-45C8-B4D0-E0C1802DF92E}" name="7" dataDxfId="393"/>
    <tableColumn id="14" xr3:uid="{F8800705-9DF6-4EEA-8D67-8321AE1E80D1}" name="8" dataDxfId="392"/>
    <tableColumn id="15" xr3:uid="{7B6D79FE-5D1B-462C-8037-0CACAB6F3911}" name="9" dataDxfId="391"/>
    <tableColumn id="16" xr3:uid="{E0E24420-1BF8-4BED-A5CC-D5EF1C7DF685}" name="10" dataDxfId="390"/>
    <tableColumn id="36" xr3:uid="{499F5F72-1CC9-466F-9EAE-2EC729CCF461}" name="11"/>
    <tableColumn id="37" xr3:uid="{6B15C606-0311-4BE2-AF1B-EB2747417C36}" name="12"/>
    <tableColumn id="39" xr3:uid="{AECB8174-153C-4871-9154-6A1E446C5F28}" name="13"/>
    <tableColumn id="32" xr3:uid="{48BAFFAA-B7E1-45A7-A3EC-2EAA30407647}" name="14"/>
    <tableColumn id="33" xr3:uid="{BE2E4183-7149-4303-B4EE-D064CE4E0389}" name="15"/>
    <tableColumn id="34" xr3:uid="{6B3F42A7-374B-4D5B-A50F-51759D5259B0}" name="16"/>
    <tableColumn id="35" xr3:uid="{97EAF22D-5DD5-4CA3-9C81-B92D4C55DB55}" name="17"/>
    <tableColumn id="28" xr3:uid="{8E519791-BCBA-406E-B949-E222859DC6F5}" name="18"/>
    <tableColumn id="29" xr3:uid="{61448F56-E20B-4FC2-BD62-B3359183DD77}" name="19"/>
    <tableColumn id="30" xr3:uid="{333163ED-502E-4122-AA14-52B2D8929B91}" name="20"/>
    <tableColumn id="31" xr3:uid="{62205A86-ACDE-4A31-AD5F-97427EE381B9}" name="21"/>
    <tableColumn id="17" xr3:uid="{871FA82C-5019-42EF-A529-D11DB848F55F}" name="22" dataDxfId="389"/>
    <tableColumn id="18" xr3:uid="{388429A9-C1D2-4EE1-BB12-A7C9C48AA9F0}" name="23" dataDxfId="388"/>
    <tableColumn id="19" xr3:uid="{6D1522B5-D820-4F42-ADD5-A6062E68E06A}" name="24" dataDxfId="387"/>
    <tableColumn id="20" xr3:uid="{A78EF6CB-6A5A-488F-8EC5-34C0267191BD}" name="25" dataDxfId="386"/>
    <tableColumn id="21" xr3:uid="{0817989E-B5E4-435D-99FF-C9E1A1D429CD}" name="26" dataDxfId="385"/>
    <tableColumn id="22" xr3:uid="{5AE7BF00-6E17-4434-AFC3-A082971963E9}" name="27" dataDxfId="384"/>
    <tableColumn id="23" xr3:uid="{AC4528BB-516C-4650-8587-2267B9400C8D}" name="28" dataDxfId="383"/>
    <tableColumn id="24" xr3:uid="{AB7921F2-B36A-4ABC-9DBC-BB0EC20ACC62}" name="29" dataDxfId="382"/>
    <tableColumn id="25" xr3:uid="{5D1446EA-3DB7-4807-AE25-EB2149040D6D}" name="30" dataDxfId="381"/>
    <tableColumn id="26" xr3:uid="{B5F2A170-57DC-49D6-9752-24386332D295}" name="31" dataDxfId="380"/>
    <tableColumn id="27" xr3:uid="{D1831881-0F77-44D4-82FA-57779D5E74BA}" name="CARTERA ASESOR" dataDxfId="379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A33CB5E-7EB5-4C86-9959-A823C2BDBBB9}" name="D1_DICIEMBRE_2025" displayName="D1_DICIEMBRE_2025" ref="A2:K53" totalsRowShown="0" headerRowDxfId="378">
  <autoFilter ref="A2:K53" xr:uid="{0A33CB5E-7EB5-4C86-9959-A823C2BDBBB9}"/>
  <sortState xmlns:xlrd2="http://schemas.microsoft.com/office/spreadsheetml/2017/richdata2" ref="A3:J53">
    <sortCondition ref="F2:F53"/>
  </sortState>
  <tableColumns count="11">
    <tableColumn id="1" xr3:uid="{51989F96-0689-4D57-8685-B8A3DF492A97}" name="SUPER" dataDxfId="377"/>
    <tableColumn id="2" xr3:uid="{C1D8B208-A530-42D3-A6B3-202247844AC6}" name="ASESOR_CRR" dataDxfId="376"/>
    <tableColumn id="5" xr3:uid="{0E2E2A96-2FDE-425E-A454-24F26F26F817}" name="META" dataDxfId="375">
      <calculatedColumnFormula>VLOOKUP(D1_DICIEMBRE_2025[[#This Row],[SUPER]],DATA_DICIEMBRE_2025[[SUPERVISOR]:[META]],3,0)</calculatedColumnFormula>
    </tableColumn>
    <tableColumn id="6" xr3:uid="{99265ED5-3CFF-4A20-97B4-3560EE99C717}" name="ALCANCE" dataDxfId="374">
      <calculatedColumnFormula>D1_DICIEMBRE_2025[[#This Row],[RECUPERO]]/D1_DICIEMBRE_2025[[#This Row],[META]]</calculatedColumnFormula>
    </tableColumn>
    <tableColumn id="7" xr3:uid="{374D40BE-0CEA-496A-A350-4762CACC979E}" name="SUPER2" dataDxfId="373"/>
    <tableColumn id="3" xr3:uid="{CE2FC99C-C2FA-4CF8-B4D5-38DB34F6C4C0}" name="ASESOR"/>
    <tableColumn id="4" xr3:uid="{1034AC9B-8A72-4332-A474-8471A1B8C391}" name="RECUPERO" dataDxfId="372"/>
    <tableColumn id="8" xr3:uid="{51D1D4C9-F574-4F9F-BB5F-619CFC8367F6}" name="DNI" dataDxfId="371"/>
    <tableColumn id="9" xr3:uid="{1F94989E-BD68-4711-BF6F-AABBC6D00AD3}" name="FECHA DE INICIO" dataDxfId="370"/>
    <tableColumn id="10" xr3:uid="{26BBC886-44C6-4729-85D8-0B926A843BA1}" name="ESTADO" dataDxfId="369"/>
    <tableColumn id="11" xr3:uid="{B8649A5B-760E-4178-AFFE-25BA3537578F}" name="SEGMENTO" dataDxfId="36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5547817-F0EB-410B-A548-9876F8A51100}" name="DITE_DICIEMBRE_2025" displayName="DITE_DICIEMBRE_2025" ref="AZ8:CI13" totalsRowShown="0" headerRowDxfId="367" dataDxfId="365" headerRowBorderDxfId="366" tableBorderDxfId="364" totalsRowBorderDxfId="363">
  <autoFilter ref="AZ8:CI13" xr:uid="{85547817-F0EB-410B-A548-9876F8A51100}"/>
  <sortState xmlns:xlrd2="http://schemas.microsoft.com/office/spreadsheetml/2017/richdata2" ref="AZ9:CI13">
    <sortCondition ref="BC8:BC13"/>
  </sortState>
  <tableColumns count="36">
    <tableColumn id="2" xr3:uid="{68E67A80-18A4-4734-A9E7-E6917BDD1EDB}" name="META SUPER" dataDxfId="362"/>
    <tableColumn id="3" xr3:uid="{DED03312-7BDA-4CEA-9273-AA5DB2237A5F}" name="RECUPERO SUPERVISOR" dataDxfId="361">
      <calculatedColumnFormula>MAX(DITE_DICIEMBRE_2025[[#This Row],[1]:[31]])</calculatedColumnFormula>
    </tableColumn>
    <tableColumn id="4" xr3:uid="{5A956735-F760-4B1F-B874-402D928B71EA}" name="ALCANCE SUPERVISOR" dataDxfId="360">
      <calculatedColumnFormula>DITE_DICIEMBRE_2025[[#This Row],[RECUPERO SUPERVISOR]]/AZ9</calculatedColumnFormula>
    </tableColumn>
    <tableColumn id="1" xr3:uid="{ED2A948C-9442-4C47-9BE9-277A3D6239D3}" name="SUPER" dataDxfId="359"/>
    <tableColumn id="6" xr3:uid="{6E784300-7704-4F45-8E90-F7C2D4F71F66}" name="1" dataDxfId="358"/>
    <tableColumn id="7" xr3:uid="{EA789C05-CA47-4D66-B493-7D6222022389}" name="2" dataDxfId="357"/>
    <tableColumn id="36" xr3:uid="{E83A454A-CB07-409E-B2F9-FEFD108C0456}" name="3" dataDxfId="356"/>
    <tableColumn id="8" xr3:uid="{4ACB3C1D-600B-4503-9368-987BC1B3B0EA}" name="4" dataDxfId="355"/>
    <tableColumn id="9" xr3:uid="{B5C8B277-5A83-47A1-95FD-A620D749E785}" name="5" dataDxfId="354"/>
    <tableColumn id="10" xr3:uid="{FB101921-E892-41E0-B8B7-4141F51A83BB}" name="6" dataDxfId="353"/>
    <tableColumn id="11" xr3:uid="{C777EEA2-F048-439C-9EA1-0C4C731AA6E9}" name="7" dataDxfId="352"/>
    <tableColumn id="12" xr3:uid="{7AA80CD7-0570-4507-8C49-9CF331F01C83}" name="8" dataDxfId="351"/>
    <tableColumn id="13" xr3:uid="{F115F6D4-E69D-46D7-AD4B-F13AFDF74268}" name="9" dataDxfId="350"/>
    <tableColumn id="14" xr3:uid="{393E1035-13E1-4131-B853-53B4CA536CF0}" name="10" dataDxfId="349"/>
    <tableColumn id="15" xr3:uid="{7FF1CB48-1402-460C-BDDE-C67F81F66807}" name="11" dataDxfId="348"/>
    <tableColumn id="32" xr3:uid="{8F13018F-0746-40A8-8063-7F1351A273EA}" name="12" dataDxfId="347"/>
    <tableColumn id="33" xr3:uid="{5FD9BED8-7FEA-4B06-9B27-A0BFD046EB49}" name="13" dataDxfId="346"/>
    <tableColumn id="35" xr3:uid="{8D88E3F7-E581-49D0-B55A-812661F85CB6}" name="14" dataDxfId="345"/>
    <tableColumn id="34" xr3:uid="{98E6CACB-4217-4732-B54A-899D22A2EAF6}" name="15" dataDxfId="344"/>
    <tableColumn id="29" xr3:uid="{7C19F65B-AFA4-4BDB-849B-78B44514C8F1}" name="16" dataDxfId="343"/>
    <tableColumn id="30" xr3:uid="{5B8DAC84-4B56-4ED2-BCA8-C8513518494E}" name="17" dataDxfId="342"/>
    <tableColumn id="31" xr3:uid="{6135134A-5BCC-4221-AD87-B5C8D80AB6D3}" name="18" dataDxfId="341"/>
    <tableColumn id="26" xr3:uid="{2569A07A-57D5-45E4-94CF-9442436AFDAE}" name="19" dataDxfId="340"/>
    <tableColumn id="27" xr3:uid="{828CBD1E-742A-4B46-99B1-A5B0163441D5}" name="20" dataDxfId="339"/>
    <tableColumn id="28" xr3:uid="{773F208D-F15B-4823-A2FA-144A370D1B7A}" name="21" dataDxfId="338"/>
    <tableColumn id="16" xr3:uid="{419173FA-3C44-4167-9CA2-3C07CF180C9B}" name="22" dataDxfId="337"/>
    <tableColumn id="17" xr3:uid="{A8A10E2B-AFD7-46D0-8149-9A05D1EC2C03}" name="23" dataDxfId="336"/>
    <tableColumn id="18" xr3:uid="{CF29209E-568F-4788-AE4E-864CF179A3F5}" name="24" dataDxfId="335"/>
    <tableColumn id="19" xr3:uid="{C33D5154-B635-4235-8170-2F374C119543}" name="25" dataDxfId="334"/>
    <tableColumn id="20" xr3:uid="{70E870EC-47B5-4461-AC8F-7662212D49E0}" name="26" dataDxfId="333"/>
    <tableColumn id="21" xr3:uid="{2215DAF3-2DFC-47A4-940A-DC348054A7EB}" name="27" dataDxfId="332"/>
    <tableColumn id="22" xr3:uid="{BE707551-BD9D-4E46-9F38-1BF8DA272627}" name="28" dataDxfId="331"/>
    <tableColumn id="23" xr3:uid="{BA6108F0-3F12-4B54-8E19-7FF232FA9893}" name="29" dataDxfId="330"/>
    <tableColumn id="24" xr3:uid="{B18366FB-64C7-4779-8DB9-91A30E111223}" name="30" dataDxfId="329"/>
    <tableColumn id="25" xr3:uid="{8BD30A4B-DE19-4C3A-8A9E-7FFE10B8C56B}" name="31" dataDxfId="328"/>
    <tableColumn id="5" xr3:uid="{1A8ADD20-D8A3-4981-B322-7C16CBD19ABB}" name="CARTERA" dataDxfId="327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BA04DD6-1915-4583-B087-B61033BF8551}" name="D1_ENERO_2026" displayName="D1_ENERO_2026" ref="A2:K56" totalsRowShown="0">
  <autoFilter ref="A2:K56" xr:uid="{1BA04DD6-1915-4583-B087-B61033BF8551}"/>
  <tableColumns count="11">
    <tableColumn id="1" xr3:uid="{6AFD0A7F-6822-468F-A276-8556A23F661A}" name="SUPER" dataDxfId="326"/>
    <tableColumn id="2" xr3:uid="{09FFA9EA-077A-4B1E-BBB0-BEFE3719755F}" name="ASESOR_CRR" dataDxfId="325"/>
    <tableColumn id="3" xr3:uid="{B2B98848-02EC-4CE4-B2C4-CF726670ADA0}" name="META" dataDxfId="324"/>
    <tableColumn id="4" xr3:uid="{843076CD-455D-4677-9B9B-753164881BDC}" name="ALCANCE" dataDxfId="323"/>
    <tableColumn id="5" xr3:uid="{27191708-D634-47D0-B6EF-7903B523F721}" name="SUPER2" dataDxfId="322"/>
    <tableColumn id="6" xr3:uid="{F95ADB27-E512-47F7-962C-D178A524B971}" name="ASESOR"/>
    <tableColumn id="7" xr3:uid="{32C145E4-25CE-4365-A7D9-EB2FB110C794}" name="RECUPERO" dataDxfId="321"/>
    <tableColumn id="8" xr3:uid="{20773954-0FEB-4980-9B49-FA8A9DD97C3C}" name="DNI" dataDxfId="320"/>
    <tableColumn id="9" xr3:uid="{0ACD1DB4-5167-41A6-9528-D0663730532D}" name="FECHA DE INICIO" dataDxfId="319"/>
    <tableColumn id="10" xr3:uid="{4C5570D8-15F0-4535-849A-56408975F639}" name="ESTADO" dataDxfId="318"/>
    <tableColumn id="11" xr3:uid="{2AF8D525-4A26-4F67-9B32-FE9919E49C0C}" name="SEGMENTO" dataDxfId="317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8921E2A-9F47-451E-B096-35714BAF2E64}" name="DATA_ENERO_2026" displayName="DATA_ENERO_2026" ref="M8:AX59" totalsRowShown="0" headerRowDxfId="316" headerRowBorderDxfId="315">
  <autoFilter ref="M8:AX59" xr:uid="{58921E2A-9F47-451E-B096-35714BAF2E64}"/>
  <sortState xmlns:xlrd2="http://schemas.microsoft.com/office/spreadsheetml/2017/richdata2" ref="M9:AX59">
    <sortCondition ref="R8:R59"/>
  </sortState>
  <tableColumns count="38">
    <tableColumn id="1" xr3:uid="{FBFB7961-A539-4628-AF01-F44F8F8F5A96}" name="AL_AC" dataDxfId="314">
      <calculatedColumnFormula>DATA_ENERO_2026[[#This Row],[RECUPERO]]/DATA_ENERO_2026[[#This Row],[META]]</calculatedColumnFormula>
    </tableColumn>
    <tableColumn id="2" xr3:uid="{7E513578-A5D7-4721-8AB2-4CF3CDD2FC39}" name="CLASIFICACIÓN" dataDxfId="313">
      <calculatedColumnFormula array="1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calculatedColumnFormula>
    </tableColumn>
    <tableColumn id="3" xr3:uid="{6492BEED-DC9C-40A2-AC25-03FEADA8AAFD}" name="SUPERVISOR" dataDxfId="312"/>
    <tableColumn id="4" xr3:uid="{41268A33-B17E-413A-B074-C6D8798C61CA}" name="RECUPERO" dataDxfId="311">
      <calculatedColumnFormula>SUM(DATA_ENERO_2026[[#This Row],[1]:[31]])</calculatedColumnFormula>
    </tableColumn>
    <tableColumn id="5" xr3:uid="{62F2A8A0-46E7-4D7F-AB57-24AB0CDE4B51}" name="META" dataDxfId="310"/>
    <tableColumn id="6" xr3:uid="{9EA96D6B-4641-4883-9F00-A38E661C08E7}" name="ASER_"/>
    <tableColumn id="7" xr3:uid="{1F229AF8-CFC0-4E68-824C-F4F52F084C5F}" name="1"/>
    <tableColumn id="8" xr3:uid="{8E01467C-A045-4A2D-B660-CB970722CBAF}" name="2"/>
    <tableColumn id="9" xr3:uid="{3A66B404-6201-4A06-9083-C60E13AC07F3}" name="3"/>
    <tableColumn id="10" xr3:uid="{F6FDA19E-7806-4449-AFD5-04547167A287}" name="4"/>
    <tableColumn id="11" xr3:uid="{FD8A0692-6101-456C-96AF-520C4E8A357B}" name="5"/>
    <tableColumn id="12" xr3:uid="{36674676-DF43-45BC-A945-CC54C0D61768}" name="6"/>
    <tableColumn id="13" xr3:uid="{7A9FA8A9-26F1-414E-97B2-10EC27A17CED}" name="7"/>
    <tableColumn id="14" xr3:uid="{6B057FD4-8592-42C8-BF35-4DA8D5C2C2EC}" name="8"/>
    <tableColumn id="15" xr3:uid="{27E10F47-36BB-4075-8594-51862E88B1FC}" name="9"/>
    <tableColumn id="16" xr3:uid="{D1EE4571-AB6A-459F-82A4-C23F94637F63}" name="10"/>
    <tableColumn id="17" xr3:uid="{3C040408-21D3-48F5-9F86-A40A7CDD722A}" name="11"/>
    <tableColumn id="18" xr3:uid="{718D54F3-A1D0-4EA8-86FA-88C2F8B602A4}" name="12"/>
    <tableColumn id="38" xr3:uid="{68CEA7D4-BF14-4864-9309-13BB0870B1A2}" name="13"/>
    <tableColumn id="37" xr3:uid="{016D480C-F83E-4582-8E99-536ECB6A2CB7}" name="14"/>
    <tableColumn id="36" xr3:uid="{4A21C67B-8191-4AE0-AC41-1D371A18EDFF}" name="15"/>
    <tableColumn id="35" xr3:uid="{8B55996B-6197-4D15-8B2D-9DE1216C30AC}" name="16"/>
    <tableColumn id="34" xr3:uid="{802E58FA-4632-4D1A-93EE-CF48B7442973}" name="17"/>
    <tableColumn id="33" xr3:uid="{58F0583A-61FB-4003-BDB6-FF84B52AA297}" name="18"/>
    <tableColumn id="32" xr3:uid="{626A46F9-D4D5-4EB5-BA82-6CFC904C7935}" name="19"/>
    <tableColumn id="31" xr3:uid="{A23CC8C0-4710-43F0-90F0-80A2FE5C3B08}" name="20"/>
    <tableColumn id="30" xr3:uid="{E94554CD-F66E-4925-B7B5-BD00C6294ED1}" name="21"/>
    <tableColumn id="19" xr3:uid="{F7F6BD2A-98BF-475C-B256-3A663F7E2CA1}" name="22"/>
    <tableColumn id="20" xr3:uid="{85555901-0E53-4F88-A37E-CF71E706EAE7}" name="23"/>
    <tableColumn id="21" xr3:uid="{A42C53D6-D4A8-40BA-8D4D-39104255A283}" name="24"/>
    <tableColumn id="22" xr3:uid="{292790E7-3360-4013-8D23-3E27E64F9146}" name="25"/>
    <tableColumn id="23" xr3:uid="{6C7F9185-CB5A-451D-B96E-F8F1C8857C65}" name="26"/>
    <tableColumn id="24" xr3:uid="{7ADB3F93-5981-4B9A-B784-E1A10E182773}" name="27"/>
    <tableColumn id="25" xr3:uid="{356C6AAD-1F03-4F29-AD3B-79F53B49F3A6}" name="28"/>
    <tableColumn id="26" xr3:uid="{56739B3A-397A-4D40-A83E-1EE34BCBDA99}" name="29"/>
    <tableColumn id="27" xr3:uid="{EAF40347-8111-4B7C-BF78-DAFE372F8CAA}" name="30"/>
    <tableColumn id="28" xr3:uid="{EDA04386-CCC6-4725-82E3-1044EB4DA859}" name="31"/>
    <tableColumn id="29" xr3:uid="{3DB85050-0FEA-493E-A160-CD347D1AAFE5}" name="CARTERA ASESOR">
      <calculatedColumnFormula array="1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3B523EE-5652-4F10-8B3E-588A8B47992C}" name="DITE_ENERO_2026" displayName="DITE_ENERO_2026" ref="AZ8:CI13" totalsRowShown="0" headerRowDxfId="309" headerRowBorderDxfId="308">
  <autoFilter ref="AZ8:CI13" xr:uid="{03B523EE-5652-4F10-8B3E-588A8B47992C}"/>
  <sortState xmlns:xlrd2="http://schemas.microsoft.com/office/spreadsheetml/2017/richdata2" ref="AZ9:CI13">
    <sortCondition ref="BC8:BC13"/>
  </sortState>
  <tableColumns count="36">
    <tableColumn id="1" xr3:uid="{546E83C3-0B98-4E4D-ABC0-C27AFCB5EFE0}" name="META SUPER" dataDxfId="307"/>
    <tableColumn id="2" xr3:uid="{15ACA161-61F0-4530-82A1-17E6DBF20240}" name="RECUPERO SUPERVISOR" dataDxfId="306">
      <calculatedColumnFormula>MAX(DITE_ENERO_2026[[#This Row],[1]:[31]])</calculatedColumnFormula>
    </tableColumn>
    <tableColumn id="3" xr3:uid="{778859E8-B3B0-4937-8B5F-DE4BE24B1DFD}" name="ALCANCE SUPERVISOR" dataDxfId="305">
      <calculatedColumnFormula>DITE_ENERO_2026[[#This Row],[RECUPERO SUPERVISOR]]/DITE_ENERO_2026[[#This Row],[META SUPER]]</calculatedColumnFormula>
    </tableColumn>
    <tableColumn id="4" xr3:uid="{2A98F79A-DD24-4D83-8BA6-82D08E13FF65}" name="SUPER" dataDxfId="304"/>
    <tableColumn id="5" xr3:uid="{3F9C0B21-F246-40F5-B83B-6E1442CF2131}" name="1" dataDxfId="303"/>
    <tableColumn id="6" xr3:uid="{82FC80A9-9A41-42BE-ADC0-0CD59C900786}" name="2" dataDxfId="302"/>
    <tableColumn id="36" xr3:uid="{CA81CA44-827C-45E8-AC06-DC9981750310}" name="3" dataDxfId="301"/>
    <tableColumn id="35" xr3:uid="{4D1DEC94-6331-4F09-BA9E-B7A8C033B218}" name="4" dataDxfId="300"/>
    <tableColumn id="34" xr3:uid="{DB9BA0C3-7EE6-4EF0-BFE4-DFA6138CC954}" name="5" dataDxfId="299"/>
    <tableColumn id="33" xr3:uid="{555EB36D-2BD4-463A-AA30-BC4E2AF59577}" name="6" dataDxfId="298"/>
    <tableColumn id="32" xr3:uid="{CD594F14-E668-4171-B224-2D1EB8F12904}" name="7" dataDxfId="297"/>
    <tableColumn id="31" xr3:uid="{CE1693BC-730F-4221-A5EC-B12B2C08D967}" name="8" dataDxfId="296"/>
    <tableColumn id="30" xr3:uid="{D62E1F60-4782-4F2D-B690-7D11A373BFEE}" name="9" dataDxfId="295"/>
    <tableColumn id="29" xr3:uid="{67AA1F0E-6FD5-4227-8FC3-54350952F274}" name="10" dataDxfId="294"/>
    <tableColumn id="28" xr3:uid="{D4CCC202-871A-430E-A7C4-8C2E1F633660}" name="11" dataDxfId="293"/>
    <tableColumn id="7" xr3:uid="{77D5DF82-95A0-430A-9509-AA047E6F6BB6}" name="12" dataDxfId="292"/>
    <tableColumn id="8" xr3:uid="{45052ACC-BEA6-4143-B55C-D2927C794547}" name="13" dataDxfId="291"/>
    <tableColumn id="9" xr3:uid="{A76A60E2-ABB3-4CA9-876C-F0E146A4EE28}" name="14" dataDxfId="290"/>
    <tableColumn id="10" xr3:uid="{5361F0A7-C153-4400-A683-ADB185B2D1E4}" name="15" dataDxfId="289"/>
    <tableColumn id="11" xr3:uid="{5C1E0CB3-E70D-4999-8E10-8E327EB2D410}" name="16" dataDxfId="288"/>
    <tableColumn id="12" xr3:uid="{4E264E92-011A-4E01-B78E-20B2B900F7FB}" name="17" dataDxfId="287"/>
    <tableColumn id="13" xr3:uid="{4DE23C2E-4F9B-4579-9BCE-93EAD290F9A8}" name="18" dataDxfId="286"/>
    <tableColumn id="14" xr3:uid="{ADE81A92-9983-4367-83CB-C4FA26CF8415}" name="19" dataDxfId="285"/>
    <tableColumn id="15" xr3:uid="{28467DBF-6C6B-430A-98CA-67317F73CD23}" name="20" dataDxfId="284"/>
    <tableColumn id="16" xr3:uid="{19E54854-D1FF-45D4-94D2-82215DE354F0}" name="21" dataDxfId="283"/>
    <tableColumn id="17" xr3:uid="{1F67BAFC-1AE0-4A70-9864-2C684E0743C1}" name="22" dataDxfId="282"/>
    <tableColumn id="18" xr3:uid="{4887B78E-B1D4-490D-BDE4-66011785EB0B}" name="23" dataDxfId="281"/>
    <tableColumn id="19" xr3:uid="{A4E77FFD-C128-4F89-ACB7-5A19C9AC8068}" name="24" dataDxfId="280"/>
    <tableColumn id="20" xr3:uid="{3166AEA9-9CE1-49E0-85A7-B06251784AF0}" name="25" dataDxfId="279"/>
    <tableColumn id="21" xr3:uid="{D0F8CB31-F152-441F-95C0-C8F116F8FBD4}" name="26" dataDxfId="278"/>
    <tableColumn id="22" xr3:uid="{F8CD3E26-00FA-4CB1-AB01-D0E528D7E8B4}" name="27" dataDxfId="277"/>
    <tableColumn id="23" xr3:uid="{19608BA9-8EEF-49C7-B4A7-B9B3571F8643}" name="28" dataDxfId="276"/>
    <tableColumn id="24" xr3:uid="{FAD90248-66B1-421C-B230-68841EB2A0B9}" name="29" dataDxfId="275"/>
    <tableColumn id="25" xr3:uid="{9307F5B0-B35B-4416-BE7C-74E539966F44}" name="30" dataDxfId="274"/>
    <tableColumn id="26" xr3:uid="{0FA7DA7F-AD3E-4DD3-B407-DD15600893BE}" name="31" dataDxfId="273"/>
    <tableColumn id="27" xr3:uid="{CAD2B4E3-016B-42FA-AD88-18A28731A184}" name="CARTERA" dataDxfId="272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9CF28BD-D91E-4BE6-BD3B-BCADCA049C93}" name="DATA_FEBRERO_2026" displayName="DATA_FEBRERO_2026" ref="M8:AX59" totalsRowShown="0" headerRowBorderDxfId="271" tableBorderDxfId="270">
  <autoFilter ref="M8:AX59" xr:uid="{D9CF28BD-D91E-4BE6-BD3B-BCADCA049C93}"/>
  <tableColumns count="38">
    <tableColumn id="5" xr3:uid="{A121E4E8-FA4D-47D4-9A77-06F28AAE4E54}" name="AL_AC" dataDxfId="269">
      <calculatedColumnFormula>DATA_FEBRERO_2026[[#This Row],[RECUPERO]]/DATA_FEBRERO_2026[[#This Row],[META]]</calculatedColumnFormula>
    </tableColumn>
    <tableColumn id="2" xr3:uid="{34ED75F7-6C69-4661-9178-0FEC57ED1324}" name="CLASIFICACIÓN" dataDxfId="268">
      <calculatedColumnFormula array="1">IF(DATA_FEBRERO_2026[[#This Row],[ASER_]]="","",IFERROR(_xlfn.IFS(M9&gt;=100%,"&gt;100%",AND(M9&lt;100%,M9&gt;=70%),"&gt;70%",AND(M9&lt;70%,M9&gt;=40%),"&gt;40%",AND(M9&lt;40%,M9&gt;=0%),"&gt;0%"),""))</calculatedColumnFormula>
    </tableColumn>
    <tableColumn id="3" xr3:uid="{3B4D3A2A-7C26-4228-A0CA-B9FD55456630}" name="SUPERVISOR" dataDxfId="267">
      <calculatedColumnFormula>IFERROR(VLOOKUP(DATA_FEBRERO_2026[[#This Row],[ASER_]],$B:$G,4,0),"")</calculatedColumnFormula>
    </tableColumn>
    <tableColumn id="1" xr3:uid="{9BC79FD6-44BC-4708-987B-14B90F71C5E5}" name="RECUPERO" dataDxfId="266">
      <calculatedColumnFormula>SUM(DATA_FEBRERO_2026[[#This Row],[1]:[31]])</calculatedColumnFormula>
    </tableColumn>
    <tableColumn id="6" xr3:uid="{018AE36B-77F5-47D3-A72E-855E3B4EA24D}" name="META" dataDxfId="265">
      <calculatedColumnFormula>VLOOKUP(DATA_FEBRERO_2026[[#This Row],[ASER_]],D1_FEBRERO_2026[[ASESOR_CRR]:[META]],2,0)</calculatedColumnFormula>
    </tableColumn>
    <tableColumn id="7" xr3:uid="{D07B538A-1223-4282-911D-0D8C6D33F252}" name="ASER_" dataDxfId="264"/>
    <tableColumn id="4" xr3:uid="{978EBDF4-AB0F-45EB-8F17-7A1040F8BBBE}" name="1" dataDxfId="263"/>
    <tableColumn id="8" xr3:uid="{1276421E-A9BD-4193-946B-2B02A7972B4A}" name="2" dataDxfId="262"/>
    <tableColumn id="9" xr3:uid="{31AFF576-CA16-4044-A433-CF00527C2D07}" name="3" dataDxfId="261"/>
    <tableColumn id="10" xr3:uid="{E8F5F7F4-A4CF-4AAC-A43C-A3FCD8C1BC19}" name="4" dataDxfId="260"/>
    <tableColumn id="11" xr3:uid="{188BA638-2000-41D9-B5E6-9165523ED42D}" name="5" dataDxfId="259"/>
    <tableColumn id="12" xr3:uid="{C225C63B-52FC-44AB-96F6-9151E73D6699}" name="6" dataDxfId="258"/>
    <tableColumn id="13" xr3:uid="{67E1F5CE-2C28-4FA3-9034-A737F1B2D7A4}" name="7" dataDxfId="257"/>
    <tableColumn id="14" xr3:uid="{BF6E4C42-64F4-4C86-87D7-0EB0DF723F0A}" name="8" dataDxfId="256"/>
    <tableColumn id="15" xr3:uid="{77DEB661-03C1-4274-9B6F-379D81B3710E}" name="9" dataDxfId="255"/>
    <tableColumn id="35" xr3:uid="{A13630BC-1BB6-4707-83E3-E2A6FD2FAFF3}" name="10" dataDxfId="254"/>
    <tableColumn id="36" xr3:uid="{5B83E5AF-B52C-4B3F-9B8E-974AD7242CB6}" name="11" dataDxfId="253"/>
    <tableColumn id="38" xr3:uid="{EFCD2EF3-DC69-46DB-8A4C-D03EFA19868F}" name="12" dataDxfId="252"/>
    <tableColumn id="37" xr3:uid="{283914E6-F846-42D8-BFA5-7E5CF71F8E39}" name="13" dataDxfId="251"/>
    <tableColumn id="32" xr3:uid="{506D1094-3E71-477B-9E3B-FD71CD452A13}" name="14" dataDxfId="250"/>
    <tableColumn id="33" xr3:uid="{51A0C186-4F1F-4B6E-A04E-6DA5B01E5817}" name="15" dataDxfId="249"/>
    <tableColumn id="34" xr3:uid="{83A09A26-D26C-4BF1-9870-7E24692CCAB5}" name="16" dataDxfId="248"/>
    <tableColumn id="26" xr3:uid="{F0CECF60-FD0C-487B-964E-F3D195A081A6}" name="17" dataDxfId="247"/>
    <tableColumn id="30" xr3:uid="{87E5481D-2747-411F-8715-2B1A58E5072E}" name="18" dataDxfId="246"/>
    <tableColumn id="31" xr3:uid="{56B820E5-7529-456B-BFFB-66FC13160FC7}" name="19" dataDxfId="245"/>
    <tableColumn id="16" xr3:uid="{943E3451-A77C-49F4-A8CD-FB3A234BB921}" name="20" dataDxfId="244"/>
    <tableColumn id="17" xr3:uid="{08A06D07-4057-4995-AD95-02726747926A}" name="21" dataDxfId="243"/>
    <tableColumn id="18" xr3:uid="{3CA4B4CF-845B-4625-A447-E9930B6C4C90}" name="22" dataDxfId="242"/>
    <tableColumn id="19" xr3:uid="{E2FCBDE7-CAF6-4719-A2E2-E3DFA5938EA9}" name="23" dataDxfId="241"/>
    <tableColumn id="20" xr3:uid="{8D68A4E9-C605-423B-B28C-8947CEDED2E3}" name="24" dataDxfId="240"/>
    <tableColumn id="21" xr3:uid="{E2A95743-C4CF-4116-BC14-7F1E8AF5B934}" name="25" dataDxfId="239"/>
    <tableColumn id="22" xr3:uid="{D4E75B42-4A90-4E6B-91F6-47924749D8CD}" name="26" dataDxfId="238"/>
    <tableColumn id="23" xr3:uid="{24EC0407-9580-4B34-8870-6246EA8347AA}" name="27" dataDxfId="237"/>
    <tableColumn id="24" xr3:uid="{9A472190-4164-4FC7-BF8C-D0120ACA1D92}" name="28" dataDxfId="236"/>
    <tableColumn id="25" xr3:uid="{67A0A5BC-662A-45DE-932F-9EB3EAF965DB}" name="29" dataDxfId="235"/>
    <tableColumn id="28" xr3:uid="{E79C70F7-7B0D-4E48-A0C5-1A9E39BD7A03}" name="30"/>
    <tableColumn id="27" xr3:uid="{CC131A3C-81D4-4603-9FEE-1FA42B55FA2F}" name="31"/>
    <tableColumn id="29" xr3:uid="{C1FA1E1A-BF32-42C7-B6D3-0E6FF8769586}" name="CARTERA ASESOR" dataDxfId="0">
      <calculatedColumnFormula array="1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9401265-E178-4F26-958C-8E013ABD7F63}" name="D1_FEBRERO_2026" displayName="D1_FEBRERO_2026" ref="A2:K58" totalsRowShown="0" headerRowDxfId="234">
  <autoFilter ref="A2:K58" xr:uid="{09401265-E178-4F26-958C-8E013ABD7F63}"/>
  <tableColumns count="11">
    <tableColumn id="1" xr3:uid="{FF4304D3-C1B3-4117-B1D1-7473C26439FA}" name="SUPER" dataDxfId="233">
      <calculatedColumnFormula>D1_FEBRERO_2026[[#This Row],[SUPER2]]</calculatedColumnFormula>
    </tableColumn>
    <tableColumn id="2" xr3:uid="{67ED5510-50EF-4F29-9E94-9FBEBF9785CA}" name="ASESOR_CRR" dataDxfId="232">
      <calculatedColumnFormula array="1">TRIM(IFERROR(_xlfn.IFS(D1_FEBRERO_2026[[#This Row],[ASESOR]]="ELVIS GUERRA","ELVIS GUERRERA",D1_FEBRERO_2026[[#This Row],[ASESOR]]="GENESIS VICUÑA","GENESIS VICUNA",D1_FEBRERO_2026[[#This Row],[ASESOR]]="GINA HUMANI","GINA HUAMANI"),D1_FEBRERO_2026[[#This Row],[ASESOR]]))</calculatedColumnFormula>
    </tableColumn>
    <tableColumn id="5" xr3:uid="{03C61DF7-FC65-40C0-9AB1-AB4D29483079}" name="META" dataDxfId="231">
      <calculatedColumnFormula>IF(D1_FEBRERO_2026[[#This Row],[RECUPERO]]="","",VLOOKUP($M$3&amp;$N$3&amp;D1_FEBRERO_2026[[#This Row],[SUPER]],TablaMeta[],6,0))</calculatedColumnFormula>
    </tableColumn>
    <tableColumn id="6" xr3:uid="{2B80CB30-A6A0-44F6-A230-69E9FDAC0826}" name="ALCANCE" dataDxfId="230">
      <calculatedColumnFormula>IF(D1_FEBRERO_2026[[#This Row],[RECUPERO]]="VACACIONES","VACACIONES",IFERROR(D1_FEBRERO_2026[[#This Row],[RECUPERO]]/D1_FEBRERO_2026[[#This Row],[META]],""))</calculatedColumnFormula>
    </tableColumn>
    <tableColumn id="7" xr3:uid="{F48E639E-A7C4-46EE-A2EB-CFE9E7FFE6A6}" name="SUPER2" dataDxfId="229">
      <calculatedColumnFormula>IFERROR(VLOOKUP(D1_FEBRERO_2026[[#This Row],[ASESOR_CRR]],#REF!,2,0),"")</calculatedColumnFormula>
    </tableColumn>
    <tableColumn id="3" xr3:uid="{6ED7A230-433F-453C-BA57-1B3D06377A9C}" name="ASESOR"/>
    <tableColumn id="4" xr3:uid="{3A6B3973-2E4F-4F1D-A7C0-55D5FF7B647B}" name="RECUPERO" dataDxfId="228"/>
    <tableColumn id="11" xr3:uid="{43FBB121-21C6-4560-8A31-396504B80F85}" name="DNI" dataDxfId="227"/>
    <tableColumn id="12" xr3:uid="{050FC1E9-9233-41A1-8E92-B7BA6485722C}" name="FECHA DE INICIO" dataDxfId="226"/>
    <tableColumn id="8" xr3:uid="{5BBA9A50-BA4F-49CE-B7C8-1095BCBFEC60}" name="ESTADO" dataDxfId="225"/>
    <tableColumn id="9" xr3:uid="{898E5137-590F-493E-82A2-9DB1422BE516}" name="SEGMENTO" dataDxfId="224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FC24358-45B3-4AB7-8E53-6FBC39C08B13}" name="DITE_FEBRERO_2026" displayName="DITE_FEBRERO_2026" ref="AZ8:CI13" totalsRowShown="0" headerRowDxfId="223" dataDxfId="221" headerRowBorderDxfId="222" tableBorderDxfId="220" totalsRowBorderDxfId="219">
  <autoFilter ref="AZ8:CI13" xr:uid="{1FC24358-45B3-4AB7-8E53-6FBC39C08B13}"/>
  <sortState xmlns:xlrd2="http://schemas.microsoft.com/office/spreadsheetml/2017/richdata2" ref="AZ9:CI13">
    <sortCondition descending="1" ref="BC8:BC13"/>
  </sortState>
  <tableColumns count="36">
    <tableColumn id="2" xr3:uid="{9779FBFD-20D8-4A0B-9D2E-F857B1D5647E}" name="META SUPER" dataDxfId="218">
      <calculatedColumnFormula>VLOOKUP($M$3&amp;$N$3&amp;DITE_FEBRERO_2026[[#This Row],[SUPER]],TablaMeta[],5,0)</calculatedColumnFormula>
    </tableColumn>
    <tableColumn id="3" xr3:uid="{6B6BAC5B-8599-4731-A182-2C4F7DEEFEAE}" name="RECUPERO SUPERVISOR" dataDxfId="217">
      <calculatedColumnFormula>MAX(DITE_FEBRERO_2026[[#This Row],[SUPER]:[CARTERA]])</calculatedColumnFormula>
    </tableColumn>
    <tableColumn id="4" xr3:uid="{4933F2AB-4AE8-41EB-9B81-DB478EB8720C}" name="ALCANCE SUPERVISOR" dataDxfId="216">
      <calculatedColumnFormula>IFERROR(DITE_FEBRERO_2026[[#This Row],[RECUPERO SUPERVISOR]]/DITE_FEBRERO_2026[[#This Row],[META SUPER]],"")</calculatedColumnFormula>
    </tableColumn>
    <tableColumn id="1" xr3:uid="{047DCD1B-C369-4C85-B7E1-E24F8A0D1263}" name="SUPER" dataDxfId="215"/>
    <tableColumn id="6" xr3:uid="{1385D33D-7CDB-4253-9C4B-559ACF4D4DAA}" name="1" dataDxfId="214"/>
    <tableColumn id="7" xr3:uid="{51AE8FE4-77E7-44A5-9C70-47F9BABA0830}" name="2" dataDxfId="213"/>
    <tableColumn id="27" xr3:uid="{1D246E4C-3547-4D3F-8436-3907FD9391BF}" name="3" dataDxfId="212"/>
    <tableColumn id="26" xr3:uid="{ACC21055-7F68-4EBE-A98E-8B2EBA670DAF}" name="4" dataDxfId="211"/>
    <tableColumn id="8" xr3:uid="{0453D1F4-77C1-4D27-8BF6-C892F06D8037}" name="5" dataDxfId="210"/>
    <tableColumn id="9" xr3:uid="{7FE05B03-2694-4042-93D1-1E8A18BEC10D}" name="6" dataDxfId="209"/>
    <tableColumn id="10" xr3:uid="{07F638D2-254F-4B29-9B2B-FA43C127E0CD}" name="7" dataDxfId="208"/>
    <tableColumn id="11" xr3:uid="{F53CCC3D-E418-4E84-9766-30CCCCAEF94C}" name="8" dataDxfId="207"/>
    <tableColumn id="12" xr3:uid="{9789EB55-C896-45E1-8B38-057DF9C6F8FF}" name="9" dataDxfId="206"/>
    <tableColumn id="13" xr3:uid="{2F4E85B1-BA28-448A-A8F3-8873A4197781}" name="10" dataDxfId="205"/>
    <tableColumn id="14" xr3:uid="{E386891B-028C-4934-99EC-39A6D8E87A77}" name="11" dataDxfId="204"/>
    <tableColumn id="15" xr3:uid="{3F90131C-5E3B-4375-AAC9-BE39D3073700}" name="12" dataDxfId="203"/>
    <tableColumn id="16" xr3:uid="{176424CB-4A73-4E0A-BAEC-1B002E427751}" name="13" dataDxfId="202"/>
    <tableColumn id="17" xr3:uid="{20013F01-EA55-4DBF-93AD-78228648A78B}" name="14" dataDxfId="201"/>
    <tableColumn id="18" xr3:uid="{A3E1B7CD-FD3B-4A3B-BA09-FB0B2522F474}" name="15" dataDxfId="200"/>
    <tableColumn id="19" xr3:uid="{25BB1268-DEAB-4394-AB3D-5028E517E118}" name="16" dataDxfId="199"/>
    <tableColumn id="20" xr3:uid="{1E99825A-7369-447C-81C1-6F57CF76B414}" name="17" dataDxfId="198"/>
    <tableColumn id="21" xr3:uid="{A76460CB-F28F-4034-BFB5-822E2F8ACDEE}" name="18" dataDxfId="197"/>
    <tableColumn id="22" xr3:uid="{45579674-F34E-4238-9155-A84E93C0EEDC}" name="19" dataDxfId="196"/>
    <tableColumn id="23" xr3:uid="{4A9727A5-6162-4A6C-980C-9485FB632B2C}" name="20" dataDxfId="195"/>
    <tableColumn id="24" xr3:uid="{839F012E-3965-47C4-A48B-B6ACC97A3F38}" name="21" dataDxfId="194"/>
    <tableColumn id="36" xr3:uid="{1C64A10A-7FC4-4258-A62B-43B06212544A}" name="22" dataDxfId="193"/>
    <tableColumn id="35" xr3:uid="{FFBDF276-626A-447A-A0F4-E7E78EDC17B4}" name="23" dataDxfId="192"/>
    <tableColumn id="34" xr3:uid="{7E693F8F-B376-48A1-9691-2B1EFFEC77E7}" name="24" dataDxfId="191"/>
    <tableColumn id="33" xr3:uid="{BBD3ABB0-0FEA-4DF0-B0B7-E417E6BF40E1}" name="25" dataDxfId="190"/>
    <tableColumn id="32" xr3:uid="{6F3706DA-AAB4-46A8-B7AB-36C461B04704}" name="26" dataDxfId="189"/>
    <tableColumn id="31" xr3:uid="{8771DA1E-DC48-4640-98D0-9BF514ABF088}" name="27" dataDxfId="188"/>
    <tableColumn id="30" xr3:uid="{F6F48FE7-4B31-45F6-9C90-C56A1AFDE462}" name="28" dataDxfId="187"/>
    <tableColumn id="29" xr3:uid="{7BDABDE2-32A4-4ABF-AF09-62502F6B7D68}" name="29" dataDxfId="186"/>
    <tableColumn id="28" xr3:uid="{552C8688-2A69-47D3-AFF3-7B94E4A5A563}" name="30" dataDxfId="185"/>
    <tableColumn id="25" xr3:uid="{7D18929B-B74F-4405-83F4-DF4F5C13E3E8}" name="31" dataDxfId="184"/>
    <tableColumn id="5" xr3:uid="{AE5733E5-56DE-4157-A3B4-7F889627B2A1}" name="CARTERA" dataDxfId="183">
      <calculatedColumnFormula>VLOOKUP($M$3&amp;$N$3&amp;DITE_FEBRERO_2026[[#This Row],[SUPER]],TablaMeta[],7,0)</calculatedColumnFormula>
    </tableColumn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0D9C722-BC82-4CBD-88CB-CD727BC4895B}" name="DATA_MARZO_202651" displayName="DATA_MARZO_202651" ref="M8:AO61" totalsRowShown="0" headerRowBorderDxfId="182" tableBorderDxfId="181">
  <autoFilter ref="M8:AO61" xr:uid="{10D9C722-BC82-4CBD-88CB-CD727BC4895B}"/>
  <tableColumns count="29">
    <tableColumn id="5" xr3:uid="{3EA8D04F-B731-4091-B799-92E6E8A12619}" name="AL_AC" dataDxfId="180">
      <calculatedColumnFormula>DATA_MARZO_202651[[#This Row],[RECUPERO]]/DATA_MARZO_202651[[#This Row],[META]]</calculatedColumnFormula>
    </tableColumn>
    <tableColumn id="2" xr3:uid="{7E499EF6-2412-4A87-8A0C-22E06B524D4F}" name="CLASIFICACIÓN" dataDxfId="179">
      <calculatedColumnFormula array="1">IF(DATA_MARZO_202651[[#This Row],[ASER_]]="","",IFERROR(_xlfn.IFS(M9&gt;=100%,"&gt;100%",AND(M9&lt;100%,M9&gt;=70%),"&gt;70%",AND(M9&lt;70%,M9&gt;=40%),"&gt;40%",AND(M9&lt;40%,M9&gt;=0%),"&gt;0%"),""))</calculatedColumnFormula>
    </tableColumn>
    <tableColumn id="3" xr3:uid="{13B6D54A-B002-48CF-8315-34D75D3BC9DB}" name="SUPERVISOR" dataDxfId="178">
      <calculatedColumnFormula>IFERROR(VLOOKUP(DATA_MARZO_202651[[#This Row],[ASER_]],$B:$G,4,0),"")</calculatedColumnFormula>
    </tableColumn>
    <tableColumn id="1" xr3:uid="{60303CD3-4613-4145-8342-86D502299A8B}" name="RECUPERO" dataDxfId="177">
      <calculatedColumnFormula>VLOOKUP(DATA_MARZO_202651[[#This Row],[ASER_]],D1_MARZO_202655[[ASESOR_CRR]:[RECUPERO]],6,0)</calculatedColumnFormula>
    </tableColumn>
    <tableColumn id="6" xr3:uid="{856379E9-6B44-4AE2-9624-4D2FD560D923}" name="META" dataDxfId="176">
      <calculatedColumnFormula>VLOOKUP(DATA_MARZO_202651[[#This Row],[ASER_]],D1_MARZO_202655[[ASESOR_CRR]:[META]],2,0)</calculatedColumnFormula>
    </tableColumn>
    <tableColumn id="7" xr3:uid="{973ABAA2-566A-4673-AFE7-72D690F359B0}" name="ASER_" dataDxfId="175"/>
    <tableColumn id="4" xr3:uid="{6267F15F-68D8-4064-A7C3-4A95739D7D7D}" name="2" dataDxfId="174"/>
    <tableColumn id="8" xr3:uid="{617297D4-5DE5-468D-9D9E-3D5450B8C283}" name="3" dataDxfId="173"/>
    <tableColumn id="9" xr3:uid="{17C8DC6A-03F3-4202-83C1-46E923A2D1DF}" name="4" dataDxfId="172"/>
    <tableColumn id="10" xr3:uid="{4C96E5CA-D293-4DC5-A37E-3DBF6149890A}" name="5" dataDxfId="171"/>
    <tableColumn id="11" xr3:uid="{B792BD3F-46D9-40C4-A2FA-531E9E6115A9}" name="6" dataDxfId="170"/>
    <tableColumn id="12" xr3:uid="{648B1B03-D21B-4A18-881A-71E7191DF504}" name="9" dataDxfId="169"/>
    <tableColumn id="13" xr3:uid="{6EBA52BB-1706-4B79-A879-FE3268ED0BBF}" name="10" dataDxfId="168"/>
    <tableColumn id="14" xr3:uid="{2B12EC67-A932-4DD4-BD48-E7353960E2BF}" name="11" dataDxfId="167"/>
    <tableColumn id="15" xr3:uid="{D7F1E0B7-4D6E-49BF-9418-24F5297694EE}" name="12" dataDxfId="166"/>
    <tableColumn id="35" xr3:uid="{01749D29-46CC-47AC-8AA5-5B3159FC3624}" name="13" dataDxfId="165"/>
    <tableColumn id="36" xr3:uid="{D98199A8-307D-4EA2-AB10-B2B924BF4D53}" name="16" dataDxfId="164"/>
    <tableColumn id="38" xr3:uid="{6512BCB2-C1CC-4DF5-907A-4D7BDBE273C0}" name="17" dataDxfId="163"/>
    <tableColumn id="37" xr3:uid="{48DFBBB8-0BEB-4F05-A9DF-B6D5FEFA7922}" name="18" dataDxfId="162"/>
    <tableColumn id="32" xr3:uid="{DF7F0AD1-F0A8-4092-80DD-52B3202986C6}" name="19" dataDxfId="161"/>
    <tableColumn id="33" xr3:uid="{31379DCE-58EA-49E7-A093-1D4D11F4D719}" name="20" dataDxfId="160"/>
    <tableColumn id="34" xr3:uid="{AF028C85-0295-4506-BD52-A8C2D61B4263}" name="23" dataDxfId="159"/>
    <tableColumn id="26" xr3:uid="{C9F08C31-4D7A-4980-AAF5-AFB091013679}" name="24" dataDxfId="158"/>
    <tableColumn id="30" xr3:uid="{0EA87D7E-6026-4B22-AB9B-1ACD3E4A585C}" name="25" dataDxfId="157"/>
    <tableColumn id="31" xr3:uid="{F68B6077-5CFC-42ED-923A-AF0D719251AB}" name="26" dataDxfId="156"/>
    <tableColumn id="16" xr3:uid="{1C3C20D8-9CDD-4BE1-A12E-4E057E8F52D9}" name="27" dataDxfId="155"/>
    <tableColumn id="17" xr3:uid="{FE4352AA-AED9-41FA-B8EF-EDAF69656302}" name="30" dataDxfId="154"/>
    <tableColumn id="18" xr3:uid="{D67830D0-9348-49E3-8552-7C2C1F60368B}" name="31" dataDxfId="153"/>
    <tableColumn id="29" xr3:uid="{17BA8B4D-6786-4535-AB74-674976645F34}" name="CARTERA ASESOR" dataDxfId="1">
      <calculatedColumnFormula array="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01CE6AA-C36B-4BD4-93EB-8762B2545E1A}" name="D1_MARZO_202655" displayName="D1_MARZO_202655" ref="A2:K59" totalsRowShown="0" headerRowDxfId="152">
  <autoFilter ref="A2:K59" xr:uid="{E01CE6AA-C36B-4BD4-93EB-8762B2545E1A}"/>
  <tableColumns count="11">
    <tableColumn id="1" xr3:uid="{2131FF24-1653-4821-B8CB-2994A6FD2B90}" name="SUPER" dataDxfId="151">
      <calculatedColumnFormula array="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calculatedColumnFormula>
    </tableColumn>
    <tableColumn id="2" xr3:uid="{2A46F16D-0377-421F-899C-1DE1A0A36D94}" name="ASESOR_CRR" dataDxfId="150">
      <calculatedColumnFormula array="1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calculatedColumnFormula>
    </tableColumn>
    <tableColumn id="5" xr3:uid="{CA40F099-880D-4B5C-9892-5286DB750754}" name="META" dataDxfId="149">
      <calculatedColumnFormula array="1">_xlfn.XLOOKUP(1,(TablaMeta[CONCAT]=$M$3&amp;$N$3&amp;D1_MARZO_202655[[#This Row],[SUPER]])*(TablaMeta[SEGG]=D1_MARZO_202655[[#This Row],[SEGMENTO]]),TablaMeta[Meta_Asesor])</calculatedColumnFormula>
    </tableColumn>
    <tableColumn id="6" xr3:uid="{F7268458-CFE1-4E38-A954-BCEE551EB9A8}" name="ALCANCE" dataDxfId="148">
      <calculatedColumnFormula>IF(D1_MARZO_202655[[#This Row],[RECUPERO]]="VACACIONES","VACACIONES",IFERROR(D1_MARZO_202655[[#This Row],[RECUPERO]]/D1_MARZO_202655[[#This Row],[META]],""))</calculatedColumnFormula>
    </tableColumn>
    <tableColumn id="7" xr3:uid="{FC155F19-18F0-4A72-948D-7FBC22CB45DE}" name="SUPER2" dataDxfId="147">
      <calculatedColumnFormula>D1_MARZO_202655[[#This Row],[SUPER]]</calculatedColumnFormula>
    </tableColumn>
    <tableColumn id="3" xr3:uid="{DC94DC3E-BC7A-43C1-93F5-0F9187E9F8B1}" name="ASESOR"/>
    <tableColumn id="4" xr3:uid="{9079A78F-6BE4-4415-98DB-A6E8DF0AE7C9}" name="RECUPERO" dataDxfId="146"/>
    <tableColumn id="11" xr3:uid="{BD3DF0C1-1E9B-4EE4-A539-1F0A1F585CE9}" name="DNI" dataDxfId="145">
      <calculatedColumnFormula array="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calculatedColumnFormula>
    </tableColumn>
    <tableColumn id="12" xr3:uid="{3214B24C-4051-49C3-A889-AD6A941A76C6}" name="FECHA DE INICIO" dataDxfId="144">
      <calculatedColumnFormula array="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calculatedColumnFormula>
    </tableColumn>
    <tableColumn id="8" xr3:uid="{6ECC8E67-111B-4CA9-AF12-72E07C14509D}" name="ESTADO" dataDxfId="143">
      <calculatedColumnFormula array="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calculatedColumnFormula>
    </tableColumn>
    <tableColumn id="9" xr3:uid="{D12A68FE-B35A-4E99-9879-943A0B54A306}" name="SEGMENTO" dataDxfId="142">
      <calculatedColumnFormula array="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4204DE1-942A-4677-A277-D1BE5E11C76A}" name="DITE_MARZO_202656" displayName="DITE_MARZO_202656" ref="AQ8:BQ13" totalsRowShown="0" headerRowDxfId="141" dataDxfId="139" headerRowBorderDxfId="140" tableBorderDxfId="138" totalsRowBorderDxfId="137">
  <autoFilter ref="AQ8:BQ13" xr:uid="{34204DE1-942A-4677-A277-D1BE5E11C76A}"/>
  <sortState xmlns:xlrd2="http://schemas.microsoft.com/office/spreadsheetml/2017/richdata2" ref="AQ9:BQ13">
    <sortCondition descending="1" ref="AT8:AT13"/>
  </sortState>
  <tableColumns count="27">
    <tableColumn id="2" xr3:uid="{5C47B921-B29C-496C-9618-0D4EA850186A}" name="META SUPER" dataDxfId="136">
      <calculatedColumnFormula>SUMIFS(TablaMeta[Meta_Equipo],TablaMeta[CONCAT],$M$3&amp;$N$3&amp;DITE_MARZO_202656[[#This Row],[SUPER]])</calculatedColumnFormula>
    </tableColumn>
    <tableColumn id="3" xr3:uid="{ABA80E77-C125-4B59-A973-1CE63B90510A}" name="RECUPERO SUPERVISOR" dataDxfId="135">
      <calculatedColumnFormula>MAX(DITE_MARZO_202656[[#This Row],[SUPER]:[CARTERA]])</calculatedColumnFormula>
    </tableColumn>
    <tableColumn id="4" xr3:uid="{7CD6A40B-DE50-4B4C-8FE0-D559C24C5B7C}" name="ALCANCE SUPERVISOR" dataDxfId="134">
      <calculatedColumnFormula>IFERROR(DITE_MARZO_202656[[#This Row],[RECUPERO SUPERVISOR]]/DITE_MARZO_202656[[#This Row],[META SUPER]],"")</calculatedColumnFormula>
    </tableColumn>
    <tableColumn id="1" xr3:uid="{6D3DD5F1-B3BB-4AFA-AF7C-13E6EF288DD2}" name="SUPER" dataDxfId="133"/>
    <tableColumn id="6" xr3:uid="{15A19F2D-93B5-40FA-93BC-49CBD3FFA864}" name="2" dataDxfId="132"/>
    <tableColumn id="7" xr3:uid="{CF50FCAC-3D6E-4766-8052-F687DB2D3BB2}" name="3" dataDxfId="131"/>
    <tableColumn id="27" xr3:uid="{973979CD-2F5D-4B04-B9B4-B8CF351AC4DD}" name="4" dataDxfId="130"/>
    <tableColumn id="26" xr3:uid="{ACFB9B4D-96FE-4EA7-A28D-2C76FAD3B7FE}" name="5" dataDxfId="129"/>
    <tableColumn id="8" xr3:uid="{C4769E61-F413-4D8E-B1E9-C99CC43BC51E}" name="6" dataDxfId="128"/>
    <tableColumn id="9" xr3:uid="{0B5D79D1-0957-4379-BD0F-09EC6003DABC}" name="9" dataDxfId="127"/>
    <tableColumn id="10" xr3:uid="{7ED4553D-C770-4010-AE78-79CEED9E3688}" name="10" dataDxfId="126"/>
    <tableColumn id="11" xr3:uid="{B5B3A3E3-86EA-4A28-9341-4446DA4EC86F}" name="11" dataDxfId="125"/>
    <tableColumn id="12" xr3:uid="{20F7C89E-C0EA-4863-AD2C-ECE11F3C914C}" name="12" dataDxfId="124"/>
    <tableColumn id="13" xr3:uid="{CB3A9ADF-2A71-4315-9EED-921F3BC80E0B}" name="13" dataDxfId="123"/>
    <tableColumn id="14" xr3:uid="{AB466201-0021-4374-9E9C-FBC6912E7D00}" name="16" dataDxfId="122"/>
    <tableColumn id="15" xr3:uid="{CF0930AA-3683-412F-BB0C-0879E8AA45CA}" name="17" dataDxfId="121"/>
    <tableColumn id="16" xr3:uid="{B6819525-02E5-44DB-9161-5AE240527B5A}" name="18" dataDxfId="120"/>
    <tableColumn id="17" xr3:uid="{EF34C9D6-8F40-4817-8C4C-D79F58BCD150}" name="19" dataDxfId="119"/>
    <tableColumn id="18" xr3:uid="{3E376577-6CA4-4ABE-96FE-93C18911296B}" name="20" dataDxfId="118"/>
    <tableColumn id="19" xr3:uid="{12DC978E-AB73-4385-8B31-891E8DF1BDED}" name="23" dataDxfId="117"/>
    <tableColumn id="20" xr3:uid="{ED0D4DA8-BBB6-4210-8918-15057CC5B929}" name="24" dataDxfId="116"/>
    <tableColumn id="21" xr3:uid="{1D5B24BE-80A3-4E59-9BB5-8887D00E5479}" name="25" dataDxfId="115"/>
    <tableColumn id="22" xr3:uid="{1019D822-005E-4FAA-8B65-BB1C11AF450B}" name="26" dataDxfId="114"/>
    <tableColumn id="23" xr3:uid="{D5474EFB-00D1-4351-A34C-735E9FD53A78}" name="27" dataDxfId="113"/>
    <tableColumn id="24" xr3:uid="{EF9744F2-C4EC-45E4-8844-AE1CA94D83A6}" name="30" dataDxfId="112"/>
    <tableColumn id="36" xr3:uid="{F0ACF623-4A47-44A1-985E-3FB17DBE49F8}" name="31" dataDxfId="111"/>
    <tableColumn id="5" xr3:uid="{75CF2EC1-6198-4A79-A7CA-D258FCB6701B}" name="CARTERA" dataDxfId="110">
      <calculatedColumnFormula array="1">IFERROR(VLOOKUP(DITE_MARZO_202656[[#This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calculatedColumnFormula>
    </tableColumn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674D711-8FDA-49B8-91E7-8E8BFE600256}" name="DATA_MARZO_202659" displayName="DATA_MARZO_202659" ref="M8:AM59" totalsRowShown="0" headerRowBorderDxfId="109" tableBorderDxfId="108">
  <autoFilter ref="M8:AM59" xr:uid="{4674D711-8FDA-49B8-91E7-8E8BFE600256}"/>
  <tableColumns count="27">
    <tableColumn id="5" xr3:uid="{5F132C86-FD60-4105-A05E-7399F10522E1}" name="AL_AC" dataDxfId="107">
      <calculatedColumnFormula>DATA_MARZO_202659[[#This Row],[RECUPERO]]/DATA_MARZO_202659[[#This Row],[META]]</calculatedColumnFormula>
    </tableColumn>
    <tableColumn id="2" xr3:uid="{26123EEE-E738-4097-B64F-DE727558F2E9}" name="CLASIFICACIÓN" dataDxfId="106">
      <calculatedColumnFormula array="1">IF(DATA_MARZO_202659[[#This Row],[ASER_]]="","",IFERROR(_xlfn.IFS(M9&gt;=100%,"&gt;100%",AND(M9&lt;100%,M9&gt;=70%),"&gt;70%",AND(M9&lt;70%,M9&gt;=40%),"&gt;40%",AND(M9&lt;40%,M9&gt;=0%),"&gt;0%"),""))</calculatedColumnFormula>
    </tableColumn>
    <tableColumn id="3" xr3:uid="{38352063-95C9-4352-8DC7-369C03903179}" name="SUPERVISOR" dataDxfId="105">
      <calculatedColumnFormula>IFERROR(VLOOKUP(DATA_MARZO_202659[[#This Row],[ASER_]],$B:$G,4,0),"")</calculatedColumnFormula>
    </tableColumn>
    <tableColumn id="1" xr3:uid="{2446915D-352F-48FC-A54B-86B7E0D937FA}" name="RECUPERO" dataDxfId="104">
      <calculatedColumnFormula>VLOOKUP(DATA_MARZO_202659[[#This Row],[ASER_]],D1_MARZO_202660[[ASESOR_CRR]:[RECUPERO]],6,0)</calculatedColumnFormula>
    </tableColumn>
    <tableColumn id="6" xr3:uid="{A25A8AC3-9CC7-4A3A-A8D9-212FD3F93687}" name="META" dataDxfId="103">
      <calculatedColumnFormula>VLOOKUP(DATA_MARZO_202659[[#This Row],[ASER_]],D1_MARZO_202660[[ASESOR_CRR]:[META]],2,0)</calculatedColumnFormula>
    </tableColumn>
    <tableColumn id="7" xr3:uid="{C52D2491-CDFB-40B5-A884-909C5FEC445B}" name="ASER_" dataDxfId="102"/>
    <tableColumn id="4" xr3:uid="{DE600806-870A-4C0D-9101-49AAF5AC383F}" name="1" dataDxfId="101"/>
    <tableColumn id="8" xr3:uid="{BE4BC420-81EA-43E8-8BBA-609D8B0F8C88}" name="6" dataDxfId="100"/>
    <tableColumn id="9" xr3:uid="{39C08C78-15AF-4E44-B050-F5D4532C00EE}" name="7" dataDxfId="99"/>
    <tableColumn id="10" xr3:uid="{3A0A15B8-0910-483C-BCCA-F8F4651DA25E}" name="8" dataDxfId="98"/>
    <tableColumn id="11" xr3:uid="{B4BA1A21-248B-4AFC-B040-D29D15754499}" name="9" dataDxfId="97"/>
    <tableColumn id="12" xr3:uid="{14108850-D364-4CF0-976B-8E53F6DE4877}" name="10" dataDxfId="96"/>
    <tableColumn id="13" xr3:uid="{7F673FC8-FC0A-4A15-87D6-B7F1A000710C}" name="13" dataDxfId="95"/>
    <tableColumn id="14" xr3:uid="{3CFB96DE-4D9D-4AFC-8AD0-816CCD4832BD}" name="14" dataDxfId="94"/>
    <tableColumn id="15" xr3:uid="{1BE8AE05-90F3-4DD0-9A61-33DCCF63D95C}" name="15" dataDxfId="93"/>
    <tableColumn id="35" xr3:uid="{4ECF85FD-1D61-48B3-8984-C16A39A2E49F}" name="16" dataDxfId="92"/>
    <tableColumn id="36" xr3:uid="{6663D018-7D0B-4581-A6C2-472754649147}" name="17" dataDxfId="91"/>
    <tableColumn id="38" xr3:uid="{B0110345-7E4C-400C-9AE3-B09313D7CC7C}" name="20" dataDxfId="90"/>
    <tableColumn id="37" xr3:uid="{F0B0FB80-9213-45D7-B0D1-0CEC84136504}" name="21" dataDxfId="89"/>
    <tableColumn id="32" xr3:uid="{3A771CC6-AD9B-421B-AAF1-4E32683000ED}" name="22" dataDxfId="88"/>
    <tableColumn id="33" xr3:uid="{734026D2-0E34-449A-A227-F1A23D2EB1DC}" name="23" dataDxfId="87"/>
    <tableColumn id="34" xr3:uid="{E9E90DE3-01F9-45DB-84EB-C6B787DCB978}" name="24" dataDxfId="86"/>
    <tableColumn id="26" xr3:uid="{7EBC28C2-37A3-4E16-A29B-DB94F8B90247}" name="27" dataDxfId="85"/>
    <tableColumn id="30" xr3:uid="{9EF77477-FA4C-46E8-BA9C-307B5604C40C}" name="28" dataDxfId="84"/>
    <tableColumn id="31" xr3:uid="{0F9E2ED5-E2DC-4A69-AE18-8B9CF2D84585}" name="29" dataDxfId="83"/>
    <tableColumn id="16" xr3:uid="{24C06BFB-17B1-4C60-983A-E34808ADEEDC}" name="30" dataDxfId="82"/>
    <tableColumn id="29" xr3:uid="{9A87A5C0-7BE6-4BFF-85E2-0BBBD687F508}" name="CARTERA ASESOR" dataDxfId="2">
      <calculatedColumnFormula array="1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7141373-C5A3-4BA8-9D78-B5F778D82FB5}" name="D1_MARZO_202660" displayName="D1_MARZO_202660" ref="A2:K57" totalsRowShown="0" headerRowDxfId="81">
  <autoFilter ref="A2:K57" xr:uid="{57141373-C5A3-4BA8-9D78-B5F778D82FB5}"/>
  <tableColumns count="11">
    <tableColumn id="1" xr3:uid="{164AF3BC-0626-49DF-9139-7226B478255C}" name="SUPER" dataDxfId="80">
      <calculatedColumnFormula array="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calculatedColumnFormula>
    </tableColumn>
    <tableColumn id="2" xr3:uid="{4DC7E6A6-59CE-4433-9005-C75EA171A9F4}" name="ASESOR_CRR" dataDxfId="79">
      <calculatedColumnFormula array="1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calculatedColumnFormula>
    </tableColumn>
    <tableColumn id="5" xr3:uid="{363DCB6C-830E-47BB-BFA7-498371112AE6}" name="META" dataDxfId="78">
      <calculatedColumnFormula array="1">_xlfn.XLOOKUP(1,(TablaMeta[CONCAT]=$M$3&amp;$N$3&amp;D1_MARZO_202660[[#This Row],[SUPER]])*(TablaMeta[SEGG]=D1_MARZO_202660[[#This Row],[SEGMENTO]]),TablaMeta[Meta_Asesor])</calculatedColumnFormula>
    </tableColumn>
    <tableColumn id="6" xr3:uid="{4A5A5A0F-DE79-48F9-A98B-B28CE2C7A239}" name="ALCANCE" dataDxfId="77">
      <calculatedColumnFormula>IF(D1_MARZO_202660[[#This Row],[RECUPERO]]="VACACIONES","VACACIONES",IFERROR(D1_MARZO_202660[[#This Row],[RECUPERO]]/D1_MARZO_202660[[#This Row],[META]],""))</calculatedColumnFormula>
    </tableColumn>
    <tableColumn id="7" xr3:uid="{99815128-5D81-4990-A4AF-830D22421999}" name="SUPER2" dataDxfId="76">
      <calculatedColumnFormula>D1_MARZO_202660[[#This Row],[SUPER]]</calculatedColumnFormula>
    </tableColumn>
    <tableColumn id="3" xr3:uid="{5ED351F1-0A06-4F20-8827-6BDDE51C372E}" name="ASESOR"/>
    <tableColumn id="4" xr3:uid="{2F69DCD0-23FA-4780-A6E4-AA6B2D6E4271}" name="RECUPERO" dataDxfId="75"/>
    <tableColumn id="11" xr3:uid="{DF180A98-FB1C-4258-A98D-429BF8C95154}" name="DNI" dataDxfId="74">
      <calculatedColumnFormula array="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calculatedColumnFormula>
    </tableColumn>
    <tableColumn id="12" xr3:uid="{9A6C5ABA-E113-4DE4-9A4E-628CC4FFCB83}" name="FECHA DE INICIO" dataDxfId="73">
      <calculatedColumnFormula array="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calculatedColumnFormula>
    </tableColumn>
    <tableColumn id="8" xr3:uid="{18071322-A17E-47AC-A2C8-BBDCCA9AAA61}" name="ESTADO" dataDxfId="72">
      <calculatedColumnFormula array="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calculatedColumnFormula>
    </tableColumn>
    <tableColumn id="9" xr3:uid="{91E33871-EB73-4078-B893-272948BF07D1}" name="SEGMENTO" dataDxfId="71">
      <calculatedColumnFormula array="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54966179-DC81-455C-9A1F-61B9CE313F3E}" name="DITE_MARZO_202661" displayName="DITE_MARZO_202661" ref="AO8:BM13" totalsRowShown="0" headerRowDxfId="70" dataDxfId="68" headerRowBorderDxfId="69" tableBorderDxfId="67" totalsRowBorderDxfId="66">
  <autoFilter ref="AO8:BM13" xr:uid="{54966179-DC81-455C-9A1F-61B9CE313F3E}"/>
  <sortState xmlns:xlrd2="http://schemas.microsoft.com/office/spreadsheetml/2017/richdata2" ref="AO9:BM13">
    <sortCondition descending="1" ref="AR8:AR13"/>
  </sortState>
  <tableColumns count="25">
    <tableColumn id="2" xr3:uid="{FB4F3DD3-A063-4466-A46C-344301D0C698}" name="META SUPER" dataDxfId="65">
      <calculatedColumnFormula>SUMIFS(TablaMeta[Meta_Equipo],TablaMeta[CONCAT],$M$3&amp;$N$3&amp;DITE_MARZO_202661[[#This Row],[SUPER]])</calculatedColumnFormula>
    </tableColumn>
    <tableColumn id="3" xr3:uid="{17264EC2-69C2-429C-9471-F9037DEE491A}" name="RECUPERO SUPERVISOR" dataDxfId="64">
      <calculatedColumnFormula>MAX(DITE_MARZO_202661[[#This Row],[SUPER]:[CARTERA]])</calculatedColumnFormula>
    </tableColumn>
    <tableColumn id="4" xr3:uid="{F34C5336-6862-41A0-A409-0FB6019105D8}" name="ALCANCE SUPERVISOR" dataDxfId="63">
      <calculatedColumnFormula>IFERROR(DITE_MARZO_202661[[#This Row],[RECUPERO SUPERVISOR]]/DITE_MARZO_202661[[#This Row],[META SUPER]],"")</calculatedColumnFormula>
    </tableColumn>
    <tableColumn id="1" xr3:uid="{88C47E52-E4B0-4B86-818E-8DAED5A5EFF4}" name="SUPER" dataDxfId="62"/>
    <tableColumn id="6" xr3:uid="{F2748BC7-F61B-4028-B30C-9B7CFD4C1F43}" name="1" dataDxfId="61"/>
    <tableColumn id="7" xr3:uid="{F1653157-4532-4F05-98E2-0D0A5D116EBD}" name="6" dataDxfId="60"/>
    <tableColumn id="27" xr3:uid="{A0D73469-0ADD-4583-A690-120FBE5A5C22}" name="7" dataDxfId="59"/>
    <tableColumn id="26" xr3:uid="{43AEAD0D-21F8-4C47-A5C4-7018DC41F18D}" name="8" dataDxfId="58"/>
    <tableColumn id="8" xr3:uid="{97E91656-58E1-4629-A463-25DCC7CFA3B0}" name="9" dataDxfId="57"/>
    <tableColumn id="9" xr3:uid="{4E0A9486-6527-4A6B-ACC7-8B01636917F5}" name="10" dataDxfId="56"/>
    <tableColumn id="10" xr3:uid="{0EE2F553-0C54-499A-9ACC-F4DCDCFBBBEA}" name="13" dataDxfId="55"/>
    <tableColumn id="11" xr3:uid="{7289F0C7-72E7-4C8A-A0E7-531EF74F9254}" name="14" dataDxfId="54"/>
    <tableColumn id="12" xr3:uid="{EC9696F2-D4A5-4042-BBE1-E3C64FE72AED}" name="15" dataDxfId="53"/>
    <tableColumn id="13" xr3:uid="{C75045C6-B3C5-407C-B3A9-0F1F46535BC0}" name="16" dataDxfId="52"/>
    <tableColumn id="14" xr3:uid="{B0653272-6948-4A69-B7F5-9DADCB29A13E}" name="17" dataDxfId="51"/>
    <tableColumn id="15" xr3:uid="{0F1968FB-6B80-44F8-BE1A-C368F94B3C13}" name="20" dataDxfId="50"/>
    <tableColumn id="16" xr3:uid="{6D36DBEB-4AF5-426F-A752-698A5D1C3B62}" name="21" dataDxfId="49"/>
    <tableColumn id="17" xr3:uid="{0207C6D9-8D97-4852-BFED-C445D736D0DB}" name="22" dataDxfId="48"/>
    <tableColumn id="18" xr3:uid="{7DDAA5A2-633B-4C3F-B0EE-5FDD92815DC8}" name="23" dataDxfId="47"/>
    <tableColumn id="19" xr3:uid="{44AE6AAE-F0AD-4A2F-BFFB-98D8D3BA8E3C}" name="24" dataDxfId="46"/>
    <tableColumn id="20" xr3:uid="{B3CF3923-DF8A-4F76-B0EB-9BCF1BEB99D7}" name="27" dataDxfId="45"/>
    <tableColumn id="21" xr3:uid="{D1C5440B-A3AC-4083-9DEA-3C61BD3AA4BA}" name="28" dataDxfId="44"/>
    <tableColumn id="22" xr3:uid="{B9DADE9A-D31C-405D-B512-FA0C75505FD3}" name="29" dataDxfId="43"/>
    <tableColumn id="23" xr3:uid="{DDC02FAB-2145-4E5A-A691-0B443835F534}" name="30" dataDxfId="42"/>
    <tableColumn id="5" xr3:uid="{D4A0BEAA-FF12-423C-A01E-2E19D1AD53FF}" name="CARTERA" dataDxfId="41">
      <calculatedColumnFormula array="1">IFERROR(VLOOKUP(DITE_MARZO_202661[[#This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calculatedColumnFormula>
    </tableColumn>
  </tableColumns>
  <tableStyleInfo name="TableStyleMedium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2CF857-8C4F-4ECA-813A-61D14AA63ABA}" name="DATA_MARZO_2026" displayName="DATA_MARZO_2026" ref="M8:AN58" totalsRowShown="0" headerRowBorderDxfId="1231" tableBorderDxfId="1230">
  <autoFilter ref="M8:AN58" xr:uid="{C43AC382-896C-48E3-967E-003D8C3BB4E1}"/>
  <tableColumns count="28">
    <tableColumn id="5" xr3:uid="{3070F4BF-8DA0-42C9-A329-60BF3937C6CD}" name="AL_AC" dataDxfId="1229">
      <calculatedColumnFormula>DATA_MARZO_2026[[#This Row],[RECUPERO]]/DATA_MARZO_2026[[#This Row],[META]]</calculatedColumnFormula>
    </tableColumn>
    <tableColumn id="2" xr3:uid="{6F4F1AB6-BBA7-498F-8826-77193C5F7DE1}" name="CLASIFICACIÓN" dataDxfId="1228">
      <calculatedColumnFormula array="1">IF(DATA_MARZO_2026[[#This Row],[ASER_]]="","",IFERROR(_xlfn.IFS(M9&gt;=100%,"&gt;100%",AND(M9&lt;100%,M9&gt;=70%),"&gt;70%",AND(M9&lt;70%,M9&gt;=40%),"&gt;40%",AND(M9&lt;40%,M9&gt;=0%),"&gt;0%"),""))</calculatedColumnFormula>
    </tableColumn>
    <tableColumn id="3" xr3:uid="{5B364BF8-EC26-46F2-AE51-3F83141DA05A}" name="SUPERVISOR" dataDxfId="1227">
      <calculatedColumnFormula>IFERROR(VLOOKUP(DATA_MARZO_2026[[#This Row],[ASER_]],$B:$G,4,0),"")</calculatedColumnFormula>
    </tableColumn>
    <tableColumn id="1" xr3:uid="{9CEE94D1-F610-44F2-BECC-051BA76BFF42}" name="RECUPERO" dataDxfId="1226">
      <calculatedColumnFormula>VLOOKUP(DATA_MARZO_2026[[#This Row],[ASER_]],D1_MARZO_2026[[ASESOR_CRR]:[RECUPERO]],6,0)</calculatedColumnFormula>
    </tableColumn>
    <tableColumn id="6" xr3:uid="{3562AB11-2CE4-4155-B81B-115DFB69AAAB}" name="META" dataDxfId="1225">
      <calculatedColumnFormula>VLOOKUP(DATA_MARZO_2026[[#This Row],[ASER_]],D1_MARZO_2026[[ASESOR_CRR]:[META]],2,0)</calculatedColumnFormula>
    </tableColumn>
    <tableColumn id="7" xr3:uid="{AC7A2592-ACAD-4ED6-8351-E4B65FF33302}" name="ASER_" dataDxfId="1224"/>
    <tableColumn id="4" xr3:uid="{DA0D3C8E-070D-4088-AECD-5F2EBC6508EA}" name="4" dataDxfId="1223"/>
    <tableColumn id="8" xr3:uid="{D7FBF1F2-5A46-485F-925D-86EC9088EE46}" name="5" dataDxfId="1222"/>
    <tableColumn id="9" xr3:uid="{98D48677-E650-4067-8686-1CC9080B6D71}" name="6" dataDxfId="1221"/>
    <tableColumn id="10" xr3:uid="{A974A4A9-21AF-43B2-9C93-C6F103E8C411}" name="7" dataDxfId="1220"/>
    <tableColumn id="11" xr3:uid="{D058D028-4AAB-47B9-A7D3-876CEDD146AA}" name="8" dataDxfId="1219"/>
    <tableColumn id="12" xr3:uid="{307618CA-E43D-42A3-8C03-88388003A5BF}" name="11" dataDxfId="1218"/>
    <tableColumn id="13" xr3:uid="{65D16E27-3C15-4385-9A4F-B28821EF4DF6}" name="12" dataDxfId="1217"/>
    <tableColumn id="14" xr3:uid="{5A29EA5C-756B-4F6D-B764-BBEF2AB98C7D}" name="13" dataDxfId="1216"/>
    <tableColumn id="15" xr3:uid="{3B9CE493-BFF8-40F7-8EBA-E6D80D76579A}" name="14" dataDxfId="1215"/>
    <tableColumn id="35" xr3:uid="{937A2A56-212E-4F5D-82A6-A611A736B874}" name="15" dataDxfId="1214"/>
    <tableColumn id="36" xr3:uid="{BDD4E521-FEB6-4C6D-A99C-4DEF1151ECB2}" name="18" dataDxfId="1213"/>
    <tableColumn id="38" xr3:uid="{8A3F13C2-2724-40B9-B643-549845061201}" name="19" dataDxfId="1212"/>
    <tableColumn id="37" xr3:uid="{1B44AA59-76C8-45D9-8D04-DE465519029A}" name="20" dataDxfId="1211"/>
    <tableColumn id="32" xr3:uid="{671123B0-2D4B-4251-A9E4-5E6081CC9B0D}" name="21" dataDxfId="1210"/>
    <tableColumn id="33" xr3:uid="{60129480-1A31-44E0-9812-1991A66734F8}" name="22" dataDxfId="1209"/>
    <tableColumn id="34" xr3:uid="{FDFC525F-FDF7-4915-B1C4-C85C973F5DA2}" name="25" dataDxfId="1208"/>
    <tableColumn id="26" xr3:uid="{B6EB21BB-98AE-4702-A51D-97935B8D2065}" name="26" dataDxfId="1207"/>
    <tableColumn id="30" xr3:uid="{60395B11-6EC8-498F-AE14-A906778E013B}" name="27" dataDxfId="1206"/>
    <tableColumn id="31" xr3:uid="{D6095057-15EB-4616-A6CE-8131684C14BF}" name="28" dataDxfId="1205"/>
    <tableColumn id="16" xr3:uid="{AEBDE2A8-76B9-42D9-9059-4EA0D9C9EF1E}" name="29" dataDxfId="1204"/>
    <tableColumn id="17" xr3:uid="{0874DB56-268A-4369-AFDE-AC61ECA55C23}" name="30" dataDxfId="1203"/>
    <tableColumn id="29" xr3:uid="{D20EC82C-02AB-47E1-8B4F-0454088553EB}" name="CARTERA ASESOR" dataDxfId="3">
      <calculatedColumnFormula array="1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1967BC-98FE-49B9-B96E-7F91454A75DF}" name="D1_MARZO_2026" displayName="D1_MARZO_2026" ref="A2:K57" totalsRowShown="0" headerRowDxfId="1202">
  <autoFilter ref="A2:K57" xr:uid="{AB1967BC-98FE-49B9-B96E-7F91454A75DF}"/>
  <tableColumns count="11">
    <tableColumn id="1" xr3:uid="{E8C9BFA3-A821-4545-B3F0-1D85338E10F0}" name="SUPER" dataDxfId="1201">
      <calculatedColumnFormula array="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calculatedColumnFormula>
    </tableColumn>
    <tableColumn id="2" xr3:uid="{3FE812CA-3CC6-4126-82E1-67F5FCA4D1F0}" name="ASESOR_CRR" dataDxfId="1200">
      <calculatedColumnFormula array="1">TRIM(IFERROR(_xlfn.IFS(D1_MARZO_2026[[#This Row],[ASESOR]]="ELVIS GUERRA","ELVIS GUERRERA",D1_MARZO_2026[[#This Row],[ASESOR]]="GENESIS VICUÑA","GENESIS VICUNA",D1_MARZO_2026[[#This Row],[ASESOR]]="JENY QUIÑONES","JENY QUINONES"),D1_MARZO_2026[[#This Row],[ASESOR]]))</calculatedColumnFormula>
    </tableColumn>
    <tableColumn id="5" xr3:uid="{7C7088C3-8DB2-45AA-8DFC-FF615EA517B7}" name="META" dataDxfId="1199">
      <calculatedColumnFormula array="1">_xlfn.XLOOKUP(1,(TablaMeta[CONCAT]=$M$3&amp;$N$3&amp;D1_MARZO_2026[[#This Row],[SUPER]])*(TablaMeta[SEGG]=D1_MARZO_2026[[#This Row],[SEGMENTO]]),TablaMeta[Meta_Asesor])</calculatedColumnFormula>
    </tableColumn>
    <tableColumn id="6" xr3:uid="{504193EF-8C81-4E3C-85B4-7DDC31010511}" name="ALCANCE" dataDxfId="1198">
      <calculatedColumnFormula>IF(D1_MARZO_2026[[#This Row],[RECUPERO]]="VACACIONES","VACACIONES",IFERROR(D1_MARZO_2026[[#This Row],[RECUPERO]]/D1_MARZO_2026[[#This Row],[META]],""))</calculatedColumnFormula>
    </tableColumn>
    <tableColumn id="7" xr3:uid="{25385F42-9373-4DE6-B5E8-9588BC79D17B}" name="SUPER2" dataDxfId="1197">
      <calculatedColumnFormula>D1_MARZO_2026[[#This Row],[SUPER]]</calculatedColumnFormula>
    </tableColumn>
    <tableColumn id="3" xr3:uid="{F1B64A76-95A5-4F5B-B635-6563315B9D26}" name="ASESOR"/>
    <tableColumn id="4" xr3:uid="{5F21D798-6962-4BF2-AAD7-57B722912C07}" name="RECUPERO" dataDxfId="1196"/>
    <tableColumn id="11" xr3:uid="{F601E667-9F29-4288-9F5A-767AD7CB84C9}" name="DNI" dataDxfId="1195">
      <calculatedColumnFormula array="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calculatedColumnFormula>
    </tableColumn>
    <tableColumn id="12" xr3:uid="{8CE4D8BD-BFA8-4524-B7CC-97B4155A1DC0}" name="FECHA DE INICIO" dataDxfId="1194">
      <calculatedColumnFormula array="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calculatedColumnFormula>
    </tableColumn>
    <tableColumn id="8" xr3:uid="{38F96A8E-46ED-488B-B51E-F10392587B25}" name="ESTADO" dataDxfId="1193">
      <calculatedColumnFormula array="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calculatedColumnFormula>
    </tableColumn>
    <tableColumn id="9" xr3:uid="{6E612F0F-F170-4A17-BC8D-5BC0F3F73C9C}" name="SEGMENTO" dataDxfId="1192">
      <calculatedColumnFormula array="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9D89D51-DAB1-406D-9BCC-FA9DDE7F1EF0}" name="DITE_MARZO_2026" displayName="DITE_MARZO_2026" ref="AP8:BO13" totalsRowShown="0" headerRowDxfId="1191" dataDxfId="1189" headerRowBorderDxfId="1190" tableBorderDxfId="1188" totalsRowBorderDxfId="1187">
  <autoFilter ref="AP8:BO13" xr:uid="{D9D89D51-DAB1-406D-9BCC-FA9DDE7F1EF0}"/>
  <sortState xmlns:xlrd2="http://schemas.microsoft.com/office/spreadsheetml/2017/richdata2" ref="AP9:BO13">
    <sortCondition descending="1" ref="AS8:AS13"/>
  </sortState>
  <tableColumns count="26">
    <tableColumn id="2" xr3:uid="{08060355-86C1-47A6-9DB1-6B46E3007B8A}" name="META SUPER" dataDxfId="1186">
      <calculatedColumnFormula>SUMIFS(TablaMeta[Meta_Equipo],TablaMeta[CONCAT],$M$3&amp;$N$3&amp;DITE_MARZO_2026[[#This Row],[SUPER]])</calculatedColumnFormula>
    </tableColumn>
    <tableColumn id="3" xr3:uid="{FDF7E5B8-6E43-422A-BFC9-1CCD7EE7F4E8}" name="RECUPERO SUPERVISOR" dataDxfId="1185">
      <calculatedColumnFormula>MAX(DITE_MARZO_2026[[#This Row],[SUPER]:[CARTERA]])</calculatedColumnFormula>
    </tableColumn>
    <tableColumn id="4" xr3:uid="{F9F9E33D-CF47-4A7B-B383-5185C72E6DBF}" name="ALCANCE SUPERVISOR" dataDxfId="1184">
      <calculatedColumnFormula>IFERROR(DITE_MARZO_2026[[#This Row],[RECUPERO SUPERVISOR]]/DITE_MARZO_2026[[#This Row],[META SUPER]],"")</calculatedColumnFormula>
    </tableColumn>
    <tableColumn id="1" xr3:uid="{DBDA7BCD-711C-4C13-A756-EF3802486FB8}" name="SUPER" dataDxfId="1183"/>
    <tableColumn id="6" xr3:uid="{C6BD95E9-37E9-4C3B-8FAC-71C063D3CCCF}" name="4" dataDxfId="1182"/>
    <tableColumn id="7" xr3:uid="{154D80CB-9358-4F70-B790-869141CEED69}" name="5" dataDxfId="1181"/>
    <tableColumn id="27" xr3:uid="{B1E200F5-8C17-45BD-9A07-4B3CFCF2F55B}" name="6" dataDxfId="1180"/>
    <tableColumn id="26" xr3:uid="{C4A34376-F48F-4D30-891F-680F0DC972B5}" name="7" dataDxfId="1179"/>
    <tableColumn id="8" xr3:uid="{B8634A52-4E10-47C7-A2E2-7268D75FF3B1}" name="8" dataDxfId="1178"/>
    <tableColumn id="9" xr3:uid="{50F52F97-2FFF-429B-8205-9821B5E2DDA3}" name="11" dataDxfId="1177"/>
    <tableColumn id="10" xr3:uid="{6CA0D076-C021-4ECD-9708-296693BD3D20}" name="12" dataDxfId="1176"/>
    <tableColumn id="11" xr3:uid="{60AC6543-9932-43CA-8508-68010867604A}" name="13" dataDxfId="1175"/>
    <tableColumn id="12" xr3:uid="{0838B302-CF6C-41FA-9981-2C61DC3D728B}" name="14" dataDxfId="1174"/>
    <tableColumn id="13" xr3:uid="{26042530-89B3-48FD-877D-23191B67C000}" name="15" dataDxfId="1173"/>
    <tableColumn id="14" xr3:uid="{995CAE1C-81F5-4376-9FBF-9057F92CEBA2}" name="18" dataDxfId="1172"/>
    <tableColumn id="15" xr3:uid="{CE078F22-32E6-477A-8610-B39D8802D198}" name="19" dataDxfId="1171"/>
    <tableColumn id="16" xr3:uid="{E61DEB3E-541F-4914-B1D0-C31E52B10974}" name="20" dataDxfId="1170"/>
    <tableColumn id="17" xr3:uid="{EC1E57C1-8228-4A17-A0ED-ACC28C9F0842}" name="21" dataDxfId="1169"/>
    <tableColumn id="18" xr3:uid="{2DA8EC35-62DF-44D7-9B0C-1DA9FD7CFD91}" name="22" dataDxfId="1168"/>
    <tableColumn id="19" xr3:uid="{302180D2-EA42-43C4-9FEA-201681FA861E}" name="25" dataDxfId="1167"/>
    <tableColumn id="20" xr3:uid="{451825B8-387D-40FA-8E98-2EFAE991267E}" name="26" dataDxfId="1166"/>
    <tableColumn id="21" xr3:uid="{026C2977-2F45-419E-AE54-92E82A6FE474}" name="27" dataDxfId="1165"/>
    <tableColumn id="22" xr3:uid="{3BBAF7E2-3A2C-4E90-AE74-EEF9947AB60E}" name="28" dataDxfId="1164"/>
    <tableColumn id="23" xr3:uid="{8879B076-C842-409F-9B19-61F59EF05584}" name="29" dataDxfId="1163"/>
    <tableColumn id="24" xr3:uid="{AF13A28F-47F7-4494-B809-B096327E1B45}" name="30" dataDxfId="1162"/>
    <tableColumn id="5" xr3:uid="{E0FECB44-CCD1-447F-A9BF-090DD9D8B323}" name="CARTERA" dataDxfId="1161">
      <calculatedColumnFormula array="1">IFERROR(VLOOKUP(DITE_MARZO_2026[[#This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calculatedColumnFormula>
    </tableColumn>
  </tableColumns>
  <tableStyleInfo name="TableStyleMedium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607F3E9-4FEE-4CE6-B9AE-D177C1FED03F}" name="pbi_ListaEmpleadosExpertis" displayName="pbi_ListaEmpleadosExpertis" ref="A1:G107" tableType="queryTable" totalsRowShown="0">
  <autoFilter ref="A1:G107" xr:uid="{0607F3E9-4FEE-4CE6-B9AE-D177C1FED03F}"/>
  <sortState xmlns:xlrd2="http://schemas.microsoft.com/office/spreadsheetml/2017/richdata2" ref="A2:G107">
    <sortCondition ref="C1:C107"/>
  </sortState>
  <tableColumns count="7">
    <tableColumn id="1" xr3:uid="{DAE8BCEE-6D37-4FD7-ABBF-371E73A498E4}" uniqueName="1" name="alias" queryTableFieldId="1" dataDxfId="40"/>
    <tableColumn id="2" xr3:uid="{4006F32F-EE4A-427A-AF49-74D52FBF6D53}" uniqueName="2" name="PUESTO REAL" queryTableFieldId="10"/>
    <tableColumn id="3" xr3:uid="{E33DD98B-2314-40D0-9DFA-F987324F30A3}" uniqueName="3" name="FEC_NAC" queryTableFieldId="3" dataDxfId="39"/>
    <tableColumn id="4" xr3:uid="{8397B954-43F8-46B6-880D-47B541CAB0B9}" uniqueName="4" name="NOMBRE" queryTableFieldId="4" dataDxfId="38"/>
    <tableColumn id="8" xr3:uid="{C558150D-EEDC-4907-8F09-51F784EDF9BF}" uniqueName="8" name="PUESTO" queryTableFieldId="8" dataDxfId="37"/>
    <tableColumn id="7" xr3:uid="{C74AABE2-4219-45A4-BAE7-8D08B65D7B0D}" uniqueName="7" name="MES" queryTableFieldId="7" dataDxfId="36">
      <calculatedColumnFormula>UPPER(TEXT(pbi_ListaEmpleadosExpertis[[#This Row],[FEC_NAC]],"mmmm"))</calculatedColumnFormula>
    </tableColumn>
    <tableColumn id="9" xr3:uid="{BA23EB84-0CF7-4C9B-A240-776F0452FD9B}" uniqueName="9" name="DIA" queryTableFieldId="9" dataDxfId="35">
      <calculatedColumnFormula>DAY(pbi_ListaEmpleadosExpertis[[#This Row],[FEC_NAC]])</calculatedColumnFormula>
    </tableColumn>
  </tableColumns>
  <tableStyleInfo name="TableStyleLight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00BB622-375D-40B1-BDB9-BF21F38BF1B6}" name="PLANTILLA" displayName="PLANTILLA" ref="A1:J528" tableType="queryTable" totalsRowShown="0">
  <autoFilter ref="A1:J528" xr:uid="{D00BB622-375D-40B1-BDB9-BF21F38BF1B6}"/>
  <tableColumns count="10">
    <tableColumn id="1" xr3:uid="{74DC8A6E-5A2D-484F-A76B-6E9216604DDA}" uniqueName="1" name="FECHA" queryTableFieldId="1" dataDxfId="34"/>
    <tableColumn id="2" xr3:uid="{4CE5A949-AEFE-46EE-A6C7-63B5F40645ED}" uniqueName="2" name="ASESOR" queryTableFieldId="2" dataDxfId="33"/>
    <tableColumn id="3" xr3:uid="{FC855FAD-67D1-4191-8099-B240DE5A7E19}" uniqueName="3" name="DNI" queryTableFieldId="3"/>
    <tableColumn id="4" xr3:uid="{B28762A1-8785-4BA1-B48A-2105A7540479}" uniqueName="4" name="EQUIPO" queryTableFieldId="4" dataDxfId="32"/>
    <tableColumn id="5" xr3:uid="{4F3B4D22-3444-4707-91B7-A75F49F6498B}" uniqueName="5" name="CONDICION" queryTableFieldId="5" dataDxfId="31"/>
    <tableColumn id="6" xr3:uid="{8D887E6F-5C9F-49FF-A6D9-8DCCAC8D9020}" uniqueName="6" name="TIPO" queryTableFieldId="6" dataDxfId="30"/>
    <tableColumn id="7" xr3:uid="{36632EEE-E592-453A-A97A-3195965F4742}" uniqueName="7" name="FECHA DE INGRESO" queryTableFieldId="7" dataDxfId="29"/>
    <tableColumn id="8" xr3:uid="{D33CB618-ED5B-4D3C-80A3-516C71713539}" uniqueName="8" name="MESES ANTIGÜEDAD" queryTableFieldId="8"/>
    <tableColumn id="9" xr3:uid="{705D9621-0524-4854-8C27-BF2096F130C6}" uniqueName="9" name="SEGMENTO" queryTableFieldId="9" dataDxfId="28"/>
    <tableColumn id="10" xr3:uid="{EA137E28-70F4-408B-9000-9FD7EB104A9B}" uniqueName="10" name="FECHA DE CESE" queryTableFieldId="10" dataDxfId="27"/>
  </tableColumns>
  <tableStyleInfo name="TableStyleLight1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41E08BB-0323-438E-BFE0-76BBB5F11D04}" name="TablaMeta" displayName="TablaMeta" ref="A1:G208" totalsRowShown="0" headerRowDxfId="26" headerRowBorderDxfId="25" tableBorderDxfId="24" totalsRowBorderDxfId="23">
  <autoFilter ref="A1:G208" xr:uid="{C41E08BB-0323-438E-BFE0-76BBB5F11D04}"/>
  <tableColumns count="7">
    <tableColumn id="1" xr3:uid="{392AC838-52ED-4D24-AEEF-DBB8AB8874AD}" name="CONCAT" dataDxfId="22">
      <calculatedColumnFormula>_xlfn.CONCAT(TablaMeta[[#This Row],[AÑO]],TablaMeta[[#This Row],[mes]],TablaMeta[[#This Row],[Equipo]])</calculatedColumnFormula>
    </tableColumn>
    <tableColumn id="7" xr3:uid="{A8BD99CA-19E6-4917-B7FA-D51076FD0E0E}" name="AÑO" dataDxfId="21"/>
    <tableColumn id="2" xr3:uid="{6AF5A16E-DFBE-42B7-BDA1-6E8694A629C3}" name="mes" dataDxfId="20"/>
    <tableColumn id="4" xr3:uid="{10D1F902-532A-4C8C-AB27-C2F522F14EA7}" name="Equipo" dataDxfId="19"/>
    <tableColumn id="5" xr3:uid="{75A35478-8934-432E-843B-D174D5C58C71}" name="Meta_Equipo" dataDxfId="18"/>
    <tableColumn id="6" xr3:uid="{C4DF57EE-8F57-44C8-ABE6-43EEF1F9DA62}" name="Meta_Asesor" dataDxfId="17"/>
    <tableColumn id="3" xr3:uid="{95E3CE54-9C14-4F51-963D-FFEEB667B07A}" name="SEGG" dataDxfId="1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5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2253-B920-4C76-91F8-3E8CF6A26ADA}">
  <dimension ref="A1:CI78"/>
  <sheetViews>
    <sheetView zoomScale="85" zoomScaleNormal="85" workbookViewId="0">
      <selection activeCell="K2" sqref="K2"/>
    </sheetView>
  </sheetViews>
  <sheetFormatPr baseColWidth="10" defaultRowHeight="15" x14ac:dyDescent="0.25"/>
  <sheetData>
    <row r="1" spans="1:87" x14ac:dyDescent="0.25">
      <c r="A1" s="34"/>
      <c r="B1" s="34"/>
      <c r="C1" s="35"/>
      <c r="D1" s="35"/>
      <c r="E1" s="35"/>
      <c r="L1" s="56"/>
      <c r="N1" s="5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34" t="s">
        <v>115</v>
      </c>
      <c r="B3" s="34" t="str">
        <f>D1_NOVIEMBRE_2024[[#This Row],[ASESOR]]</f>
        <v>ALEIDITH GUEVARA</v>
      </c>
      <c r="C3" s="36">
        <f>VLOOKUP(D1_NOVIEMBRE_2024[[#This Row],[SUPER]],DATA_NOVIEMBRE_2024[[SUPERVISOR]:[META]],3,0)</f>
        <v>17000</v>
      </c>
      <c r="D3" s="35">
        <f>D1_NOVIEMBRE_2024[[#This Row],[RECUPERO]]/D1_NOVIEMBRE_2024[[#This Row],[META]]</f>
        <v>0.87370588235294122</v>
      </c>
      <c r="E3" s="35" t="str">
        <f>D1_NOVIEMBRE_2024[[#This Row],[SUPER]]</f>
        <v>MELITA</v>
      </c>
      <c r="F3" t="s">
        <v>18</v>
      </c>
      <c r="G3" s="3">
        <v>14853</v>
      </c>
      <c r="H3" t="s">
        <v>431</v>
      </c>
      <c r="I3" s="56">
        <v>45133</v>
      </c>
      <c r="J3" s="56" t="s">
        <v>501</v>
      </c>
      <c r="K3" s="56"/>
      <c r="L3" s="56"/>
      <c r="M3" s="33">
        <v>2024</v>
      </c>
      <c r="N3" s="33" t="s">
        <v>149</v>
      </c>
      <c r="O3" s="33">
        <v>20</v>
      </c>
    </row>
    <row r="4" spans="1:87" x14ac:dyDescent="0.25">
      <c r="A4" s="34" t="s">
        <v>9</v>
      </c>
      <c r="B4" s="34" t="str">
        <f>D1_NOVIEMBRE_2024[[#This Row],[ASESOR]]</f>
        <v>ALEJANDRA AVILA</v>
      </c>
      <c r="C4" s="36">
        <f>VLOOKUP(D1_NOVIEMBRE_2024[[#This Row],[SUPER]],DATA_NOVIEMBRE_2024[[SUPERVISOR]:[META]],3,0)</f>
        <v>13000</v>
      </c>
      <c r="D4" s="35">
        <f>D1_NOVIEMBRE_2024[[#This Row],[RECUPERO]]/D1_NOVIEMBRE_2024[[#This Row],[META]]</f>
        <v>0.80384615384615388</v>
      </c>
      <c r="E4" s="35" t="str">
        <f>D1_NOVIEMBRE_2024[[#This Row],[SUPER]]</f>
        <v>LUIS</v>
      </c>
      <c r="F4" t="s">
        <v>21</v>
      </c>
      <c r="G4" s="3">
        <v>10450</v>
      </c>
      <c r="H4" t="s">
        <v>409</v>
      </c>
      <c r="I4" s="56">
        <v>44301</v>
      </c>
      <c r="J4" s="56" t="s">
        <v>501</v>
      </c>
      <c r="K4" s="56"/>
      <c r="L4" s="56"/>
      <c r="N4" s="5"/>
    </row>
    <row r="5" spans="1:87" x14ac:dyDescent="0.25">
      <c r="A5" s="34" t="s">
        <v>2</v>
      </c>
      <c r="B5" s="34" t="str">
        <f>D1_NOVIEMBRE_2024[[#This Row],[ASESOR]]</f>
        <v>ALEJANDRA QUISPE</v>
      </c>
      <c r="C5" s="36">
        <f>VLOOKUP(D1_NOVIEMBRE_2024[[#This Row],[SUPER]],DATA_NOVIEMBRE_2024[[SUPERVISOR]:[META]],3,0)</f>
        <v>25000</v>
      </c>
      <c r="D5" s="35">
        <f>D1_NOVIEMBRE_2024[[#This Row],[RECUPERO]]/D1_NOVIEMBRE_2024[[#This Row],[META]]</f>
        <v>0.55379999999999996</v>
      </c>
      <c r="E5" s="35" t="str">
        <f>D1_NOVIEMBRE_2024[[#This Row],[SUPER]]</f>
        <v>JORGE</v>
      </c>
      <c r="F5" t="s">
        <v>58</v>
      </c>
      <c r="G5" s="3">
        <v>13845</v>
      </c>
      <c r="H5" t="s">
        <v>441</v>
      </c>
      <c r="I5" s="56">
        <v>43035</v>
      </c>
      <c r="J5" s="56" t="s">
        <v>501</v>
      </c>
      <c r="K5" s="56"/>
      <c r="L5" s="56"/>
      <c r="N5" s="5"/>
      <c r="BB5" s="45"/>
    </row>
    <row r="6" spans="1:87" x14ac:dyDescent="0.25">
      <c r="A6" s="34" t="s">
        <v>4</v>
      </c>
      <c r="B6" s="34" t="str">
        <f>D1_NOVIEMBRE_2024[[#This Row],[ASESOR]]</f>
        <v>ALEJANDRO GONZALES</v>
      </c>
      <c r="C6" s="36">
        <f>VLOOKUP(D1_NOVIEMBRE_2024[[#This Row],[SUPER]],DATA_NOVIEMBRE_2024[[SUPERVISOR]:[META]],3,0)</f>
        <v>68000</v>
      </c>
      <c r="D6" s="35">
        <f>D1_NOVIEMBRE_2024[[#This Row],[RECUPERO]]/D1_NOVIEMBRE_2024[[#This Row],[META]]</f>
        <v>0.30360294117647058</v>
      </c>
      <c r="E6" s="35" t="str">
        <f>D1_NOVIEMBRE_2024[[#This Row],[SUPER]]</f>
        <v>MELINA</v>
      </c>
      <c r="F6" t="s">
        <v>109</v>
      </c>
      <c r="G6" s="3">
        <v>20645</v>
      </c>
      <c r="H6" t="s">
        <v>422</v>
      </c>
      <c r="I6" s="56">
        <v>45334</v>
      </c>
      <c r="J6" s="56" t="s">
        <v>501</v>
      </c>
      <c r="K6" s="56"/>
      <c r="L6" s="56"/>
      <c r="N6" s="5"/>
    </row>
    <row r="7" spans="1:87" x14ac:dyDescent="0.25">
      <c r="A7" s="34" t="s">
        <v>9</v>
      </c>
      <c r="B7" s="34" t="str">
        <f>D1_NOVIEMBRE_2024[[#This Row],[ASESOR]]</f>
        <v>ANDERSON RODRIGUEZ</v>
      </c>
      <c r="C7" s="36">
        <f>VLOOKUP(D1_NOVIEMBRE_2024[[#This Row],[SUPER]],DATA_NOVIEMBRE_2024[[SUPERVISOR]:[META]],3,0)</f>
        <v>13000</v>
      </c>
      <c r="D7" s="35">
        <f>D1_NOVIEMBRE_2024[[#This Row],[RECUPERO]]/D1_NOVIEMBRE_2024[[#This Row],[META]]</f>
        <v>0.86076923076923073</v>
      </c>
      <c r="E7" s="35" t="str">
        <f>D1_NOVIEMBRE_2024[[#This Row],[SUPER]]</f>
        <v>LUIS</v>
      </c>
      <c r="F7" t="s">
        <v>15</v>
      </c>
      <c r="G7" s="3">
        <v>11190</v>
      </c>
      <c r="H7" t="s">
        <v>410</v>
      </c>
      <c r="I7" s="56">
        <v>44735</v>
      </c>
      <c r="J7" s="56" t="s">
        <v>501</v>
      </c>
      <c r="K7" s="56"/>
      <c r="L7" s="56"/>
      <c r="M7" s="1"/>
      <c r="N7" s="5"/>
    </row>
    <row r="8" spans="1:87" x14ac:dyDescent="0.25">
      <c r="A8" s="34" t="s">
        <v>5</v>
      </c>
      <c r="B8" s="34" t="str">
        <f>D1_NOVIEMBRE_2024[[#This Row],[ASESOR]]</f>
        <v>ANGELO SUAREZ</v>
      </c>
      <c r="C8" s="36">
        <f>VLOOKUP(D1_NOVIEMBRE_2024[[#This Row],[SUPER]],DATA_NOVIEMBRE_2024[[SUPERVISOR]:[META]],3,0)</f>
        <v>23000</v>
      </c>
      <c r="D8" s="35">
        <f>D1_NOVIEMBRE_2024[[#This Row],[RECUPERO]]/D1_NOVIEMBRE_2024[[#This Row],[META]]</f>
        <v>0.16473913043478261</v>
      </c>
      <c r="E8" s="35" t="str">
        <f>D1_NOVIEMBRE_2024[[#This Row],[SUPER]]</f>
        <v>JORDAN</v>
      </c>
      <c r="F8" t="s">
        <v>92</v>
      </c>
      <c r="G8" s="3">
        <v>3789</v>
      </c>
      <c r="H8" t="s">
        <v>486</v>
      </c>
      <c r="I8" s="56">
        <v>45399</v>
      </c>
      <c r="J8" s="56" t="s">
        <v>501</v>
      </c>
      <c r="K8" s="56"/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19" t="s">
        <v>94</v>
      </c>
      <c r="BD8" s="19" t="s">
        <v>533</v>
      </c>
      <c r="BE8" s="19" t="s">
        <v>503</v>
      </c>
      <c r="BF8" s="19" t="s">
        <v>525</v>
      </c>
      <c r="BG8" s="19" t="s">
        <v>529</v>
      </c>
      <c r="BH8" s="19" t="s">
        <v>504</v>
      </c>
      <c r="BI8" s="19" t="s">
        <v>505</v>
      </c>
      <c r="BJ8" s="19" t="s">
        <v>506</v>
      </c>
      <c r="BK8" s="19" t="s">
        <v>507</v>
      </c>
      <c r="BL8" s="19" t="s">
        <v>508</v>
      </c>
      <c r="BM8" s="19" t="s">
        <v>526</v>
      </c>
      <c r="BN8" s="19" t="s">
        <v>530</v>
      </c>
      <c r="BO8" s="19" t="s">
        <v>509</v>
      </c>
      <c r="BP8" s="19" t="s">
        <v>510</v>
      </c>
      <c r="BQ8" s="19" t="s">
        <v>511</v>
      </c>
      <c r="BR8" s="19" t="s">
        <v>512</v>
      </c>
      <c r="BS8" s="19" t="s">
        <v>513</v>
      </c>
      <c r="BT8" s="19" t="s">
        <v>527</v>
      </c>
      <c r="BU8" s="19" t="s">
        <v>531</v>
      </c>
      <c r="BV8" s="19" t="s">
        <v>514</v>
      </c>
      <c r="BW8" s="19" t="s">
        <v>515</v>
      </c>
      <c r="BX8" s="19" t="s">
        <v>516</v>
      </c>
      <c r="BY8" s="19" t="s">
        <v>517</v>
      </c>
      <c r="BZ8" s="19" t="s">
        <v>518</v>
      </c>
      <c r="CA8" s="19" t="s">
        <v>528</v>
      </c>
      <c r="CB8" s="19" t="s">
        <v>532</v>
      </c>
      <c r="CC8" s="19" t="s">
        <v>519</v>
      </c>
      <c r="CD8" s="19" t="s">
        <v>520</v>
      </c>
      <c r="CE8" s="19" t="s">
        <v>521</v>
      </c>
      <c r="CF8" s="19" t="s">
        <v>522</v>
      </c>
      <c r="CG8" s="19" t="s">
        <v>523</v>
      </c>
      <c r="CH8" s="19" t="s">
        <v>524</v>
      </c>
      <c r="CI8" s="18" t="s">
        <v>134</v>
      </c>
    </row>
    <row r="9" spans="1:87" x14ac:dyDescent="0.25">
      <c r="A9" s="34" t="s">
        <v>3</v>
      </c>
      <c r="B9" s="34" t="str">
        <f>D1_NOVIEMBRE_2024[[#This Row],[ASESOR]]</f>
        <v>ANTHONY TORRES</v>
      </c>
      <c r="C9" s="36">
        <f>VLOOKUP(D1_NOVIEMBRE_2024[[#This Row],[SUPER]],DATA_NOVIEMBRE_2024[[SUPERVISOR]:[META]],3,0)</f>
        <v>68000</v>
      </c>
      <c r="D9" s="35">
        <f>D1_NOVIEMBRE_2024[[#This Row],[RECUPERO]]/D1_NOVIEMBRE_2024[[#This Row],[META]]</f>
        <v>0.91864705882352937</v>
      </c>
      <c r="E9" s="35" t="str">
        <f>D1_NOVIEMBRE_2024[[#This Row],[SUPER]]</f>
        <v>SANDY</v>
      </c>
      <c r="F9" t="s">
        <v>69</v>
      </c>
      <c r="G9" s="3">
        <v>62468</v>
      </c>
      <c r="H9" t="s">
        <v>379</v>
      </c>
      <c r="I9" s="56">
        <v>44461</v>
      </c>
      <c r="J9" s="56" t="s">
        <v>501</v>
      </c>
      <c r="K9" s="56"/>
      <c r="L9" s="56"/>
      <c r="M9">
        <f>DATA_NOVIEMBRE_2024[[#This Row],[RECUPERO]]/DATA_NOVIEMBRE_2024[[#This Row],[META]]</f>
        <v>0.87370588235294122</v>
      </c>
      <c r="N9" s="5" t="str" cm="1">
        <f t="array" ref="N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9" t="s">
        <v>115</v>
      </c>
      <c r="P9">
        <f>SUM(DATA_NOVIEMBRE_2024[[#This Row],[1]:[31]])</f>
        <v>14853</v>
      </c>
      <c r="Q9">
        <v>17000</v>
      </c>
      <c r="R9" t="s">
        <v>18</v>
      </c>
      <c r="W9">
        <v>4050</v>
      </c>
      <c r="X9">
        <v>756</v>
      </c>
      <c r="Y9">
        <v>1000</v>
      </c>
      <c r="Z9">
        <v>1900</v>
      </c>
      <c r="AC9">
        <v>305</v>
      </c>
      <c r="AD9">
        <v>700</v>
      </c>
      <c r="AJ9">
        <v>500</v>
      </c>
      <c r="AL9">
        <v>615</v>
      </c>
      <c r="AM9">
        <v>200</v>
      </c>
      <c r="AN9">
        <v>240</v>
      </c>
      <c r="AQ9">
        <v>400</v>
      </c>
      <c r="AR9">
        <v>1300</v>
      </c>
      <c r="AS9">
        <v>2250</v>
      </c>
      <c r="AT9">
        <v>50</v>
      </c>
      <c r="AU9">
        <v>380</v>
      </c>
      <c r="AV9">
        <v>207</v>
      </c>
      <c r="AZ9" s="11">
        <v>194000</v>
      </c>
      <c r="BA9" s="11">
        <f>MAX(DITE_NOVIEMBRE_2024[[#This Row],[1]:[31]])</f>
        <v>128925.2</v>
      </c>
      <c r="BB9" s="17">
        <f>DITE_NOVIEMBRE_2024[[#This Row],[RECUPERO SUPERVISOR]]/AZ9</f>
        <v>0.66456288659793816</v>
      </c>
      <c r="BC9" s="11" t="s">
        <v>5</v>
      </c>
      <c r="BD9" s="46">
        <v>250</v>
      </c>
      <c r="BE9" s="46">
        <v>1050</v>
      </c>
      <c r="BF9" s="46">
        <v>1050</v>
      </c>
      <c r="BG9" s="46">
        <v>2598</v>
      </c>
      <c r="BH9" s="46">
        <v>11668</v>
      </c>
      <c r="BI9" s="46">
        <v>18589</v>
      </c>
      <c r="BJ9" s="46">
        <v>24139</v>
      </c>
      <c r="BK9" s="46">
        <v>30589</v>
      </c>
      <c r="BL9" s="46">
        <v>31149</v>
      </c>
      <c r="BM9" s="46">
        <v>31349</v>
      </c>
      <c r="BN9" s="46">
        <v>38254</v>
      </c>
      <c r="BO9" s="46">
        <v>42164</v>
      </c>
      <c r="BP9" s="46">
        <v>50064</v>
      </c>
      <c r="BQ9" s="46">
        <v>50474</v>
      </c>
      <c r="BR9" s="46">
        <v>51874</v>
      </c>
      <c r="BS9" s="46">
        <v>52024</v>
      </c>
      <c r="BT9" s="46">
        <v>52024</v>
      </c>
      <c r="BU9" s="46">
        <v>57095</v>
      </c>
      <c r="BV9" s="46">
        <v>61315</v>
      </c>
      <c r="BW9" s="46">
        <v>62615</v>
      </c>
      <c r="BX9" s="46">
        <v>66045</v>
      </c>
      <c r="BY9" s="46">
        <v>70935</v>
      </c>
      <c r="BZ9" s="46">
        <v>70935</v>
      </c>
      <c r="CA9" s="46">
        <v>70935</v>
      </c>
      <c r="CB9" s="46">
        <v>74817</v>
      </c>
      <c r="CC9" s="46">
        <v>87994</v>
      </c>
      <c r="CD9" s="46">
        <v>94411</v>
      </c>
      <c r="CE9" s="46">
        <v>101551</v>
      </c>
      <c r="CF9" s="46">
        <v>116760</v>
      </c>
      <c r="CG9" s="46">
        <v>128925.2</v>
      </c>
      <c r="CH9" s="46">
        <v>128925.2</v>
      </c>
      <c r="CI9" s="10"/>
    </row>
    <row r="10" spans="1:87" x14ac:dyDescent="0.25">
      <c r="A10" s="34" t="s">
        <v>3</v>
      </c>
      <c r="B10" s="34" t="str">
        <f>D1_NOVIEMBRE_2024[[#This Row],[ASESOR]]</f>
        <v>ANTHONY VICENTE</v>
      </c>
      <c r="C10" s="36">
        <f>VLOOKUP(D1_NOVIEMBRE_2024[[#This Row],[SUPER]],DATA_NOVIEMBRE_2024[[SUPERVISOR]:[META]],3,0)</f>
        <v>68000</v>
      </c>
      <c r="D10" s="35">
        <f>D1_NOVIEMBRE_2024[[#This Row],[RECUPERO]]/D1_NOVIEMBRE_2024[[#This Row],[META]]</f>
        <v>0.51849999999999996</v>
      </c>
      <c r="E10" s="35" t="str">
        <f>D1_NOVIEMBRE_2024[[#This Row],[SUPER]]</f>
        <v>SANDY</v>
      </c>
      <c r="F10" t="s">
        <v>85</v>
      </c>
      <c r="G10" s="3">
        <v>35258</v>
      </c>
      <c r="H10" t="s">
        <v>380</v>
      </c>
      <c r="I10" s="56">
        <v>44811</v>
      </c>
      <c r="J10" s="56" t="s">
        <v>501</v>
      </c>
      <c r="K10" s="56"/>
      <c r="L10" s="56"/>
      <c r="M10">
        <f>DATA_NOVIEMBRE_2024[[#This Row],[RECUPERO]]/DATA_NOVIEMBRE_2024[[#This Row],[META]]</f>
        <v>0.80384615384615388</v>
      </c>
      <c r="N10" s="5" t="str" cm="1">
        <f t="array" ref="N1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10" t="s">
        <v>9</v>
      </c>
      <c r="P10">
        <f>SUM(DATA_NOVIEMBRE_2024[[#This Row],[1]:[31]])</f>
        <v>10450</v>
      </c>
      <c r="Q10">
        <v>13000</v>
      </c>
      <c r="R10" t="s">
        <v>21</v>
      </c>
      <c r="U10">
        <v>200</v>
      </c>
      <c r="V10">
        <v>200</v>
      </c>
      <c r="W10">
        <v>1750</v>
      </c>
      <c r="X10">
        <v>300</v>
      </c>
      <c r="Z10">
        <v>100</v>
      </c>
      <c r="AC10">
        <v>600</v>
      </c>
      <c r="AD10">
        <v>1000</v>
      </c>
      <c r="AE10">
        <v>100</v>
      </c>
      <c r="AJ10">
        <v>1700</v>
      </c>
      <c r="AL10">
        <v>100</v>
      </c>
      <c r="AM10">
        <v>500</v>
      </c>
      <c r="AN10">
        <v>100</v>
      </c>
      <c r="AQ10">
        <v>300</v>
      </c>
      <c r="AR10">
        <v>100</v>
      </c>
      <c r="AS10">
        <v>200</v>
      </c>
      <c r="AU10">
        <v>2500</v>
      </c>
      <c r="AV10">
        <v>700</v>
      </c>
      <c r="AZ10" s="11">
        <v>150000</v>
      </c>
      <c r="BA10" s="11">
        <f>MAX(DITE_NOVIEMBRE_2024[[#This Row],[1]:[31]])</f>
        <v>113747.29999999999</v>
      </c>
      <c r="BB10" s="17">
        <f>DITE_NOVIEMBRE_2024[[#This Row],[RECUPERO SUPERVISOR]]/AZ10</f>
        <v>0.75831533333333323</v>
      </c>
      <c r="BC10" s="11" t="s">
        <v>2</v>
      </c>
      <c r="BD10" s="46">
        <v>585</v>
      </c>
      <c r="BE10" s="46">
        <v>685</v>
      </c>
      <c r="BF10" s="46">
        <v>685</v>
      </c>
      <c r="BG10" s="46">
        <v>4955</v>
      </c>
      <c r="BH10" s="46">
        <v>6255</v>
      </c>
      <c r="BI10" s="46">
        <v>7675</v>
      </c>
      <c r="BJ10" s="46">
        <v>10225</v>
      </c>
      <c r="BK10" s="46">
        <v>13875</v>
      </c>
      <c r="BL10" s="46">
        <v>15175</v>
      </c>
      <c r="BM10" s="46">
        <v>15175</v>
      </c>
      <c r="BN10" s="46">
        <v>16075</v>
      </c>
      <c r="BO10" s="46">
        <v>21275.1</v>
      </c>
      <c r="BP10" s="46">
        <v>27847.599999999999</v>
      </c>
      <c r="BQ10" s="46">
        <v>28347.599999999999</v>
      </c>
      <c r="BR10" s="46">
        <v>28747.599999999999</v>
      </c>
      <c r="BS10" s="46">
        <v>28947.599999999999</v>
      </c>
      <c r="BT10" s="46">
        <v>28947.599999999999</v>
      </c>
      <c r="BU10" s="46">
        <v>41624.899999999994</v>
      </c>
      <c r="BV10" s="46">
        <v>43674.899999999994</v>
      </c>
      <c r="BW10" s="46">
        <v>46246.899999999994</v>
      </c>
      <c r="BX10" s="46">
        <v>50496.899999999994</v>
      </c>
      <c r="BY10" s="46">
        <v>63054.299999999996</v>
      </c>
      <c r="BZ10" s="46">
        <v>63054.299999999996</v>
      </c>
      <c r="CA10" s="46">
        <v>65202.299999999996</v>
      </c>
      <c r="CB10" s="46">
        <v>67252.299999999988</v>
      </c>
      <c r="CC10" s="46">
        <v>81452.299999999988</v>
      </c>
      <c r="CD10" s="46">
        <v>88275.299999999988</v>
      </c>
      <c r="CE10" s="46">
        <v>93640.299999999988</v>
      </c>
      <c r="CF10" s="46">
        <v>106552.29999999999</v>
      </c>
      <c r="CG10" s="46">
        <v>113747.29999999999</v>
      </c>
      <c r="CH10" s="46">
        <v>113747.29999999999</v>
      </c>
      <c r="CI10" s="11"/>
    </row>
    <row r="11" spans="1:87" x14ac:dyDescent="0.25">
      <c r="A11" s="34" t="s">
        <v>5</v>
      </c>
      <c r="B11" s="34" t="str">
        <f>D1_NOVIEMBRE_2024[[#This Row],[ASESOR]]</f>
        <v>AURORA FAUSTOR</v>
      </c>
      <c r="C11" s="36">
        <f>VLOOKUP(D1_NOVIEMBRE_2024[[#This Row],[SUPER]],DATA_NOVIEMBRE_2024[[SUPERVISOR]:[META]],3,0)</f>
        <v>23000</v>
      </c>
      <c r="D11" s="35">
        <f>D1_NOVIEMBRE_2024[[#This Row],[RECUPERO]]/D1_NOVIEMBRE_2024[[#This Row],[META]]</f>
        <v>0.58218260869565219</v>
      </c>
      <c r="E11" s="35" t="str">
        <f>D1_NOVIEMBRE_2024[[#This Row],[SUPER]]</f>
        <v>JORDAN</v>
      </c>
      <c r="F11" t="s">
        <v>67</v>
      </c>
      <c r="G11" s="3">
        <v>13390.2</v>
      </c>
      <c r="H11" t="s">
        <v>381</v>
      </c>
      <c r="I11" s="56">
        <v>44811</v>
      </c>
      <c r="J11" s="56" t="s">
        <v>501</v>
      </c>
      <c r="K11" s="56"/>
      <c r="L11" s="56"/>
      <c r="M11">
        <f>DATA_NOVIEMBRE_2024[[#This Row],[RECUPERO]]/DATA_NOVIEMBRE_2024[[#This Row],[META]]</f>
        <v>0.55379999999999996</v>
      </c>
      <c r="N11" s="5" t="str" cm="1">
        <f t="array" ref="N1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11" t="s">
        <v>2</v>
      </c>
      <c r="P11">
        <f>SUM(DATA_NOVIEMBRE_2024[[#This Row],[1]:[31]])</f>
        <v>13845</v>
      </c>
      <c r="Q11">
        <v>25000</v>
      </c>
      <c r="R11" t="s">
        <v>58</v>
      </c>
      <c r="S11">
        <v>200</v>
      </c>
      <c r="T11">
        <v>100</v>
      </c>
      <c r="W11">
        <v>300</v>
      </c>
      <c r="AC11">
        <v>200</v>
      </c>
      <c r="AG11">
        <v>200</v>
      </c>
      <c r="AJ11">
        <v>500</v>
      </c>
      <c r="AL11">
        <v>600</v>
      </c>
      <c r="AM11">
        <v>2900</v>
      </c>
      <c r="AN11">
        <v>3000</v>
      </c>
      <c r="AR11">
        <v>700</v>
      </c>
      <c r="AS11">
        <v>800</v>
      </c>
      <c r="AU11">
        <v>850</v>
      </c>
      <c r="AV11">
        <v>3495</v>
      </c>
      <c r="AZ11" s="11">
        <v>224000</v>
      </c>
      <c r="BA11" s="11">
        <f>MAX(DITE_NOVIEMBRE_2024[[#This Row],[1]:[31]])</f>
        <v>97875.6</v>
      </c>
      <c r="BB11" s="17">
        <f>DITE_NOVIEMBRE_2024[[#This Row],[RECUPERO SUPERVISOR]]/AZ11</f>
        <v>0.43694464285714291</v>
      </c>
      <c r="BC11" s="11" t="s">
        <v>6</v>
      </c>
      <c r="BD11" s="46">
        <v>10000</v>
      </c>
      <c r="BE11" s="46">
        <v>10000</v>
      </c>
      <c r="BF11" s="46">
        <v>10350</v>
      </c>
      <c r="BG11" s="46">
        <v>16328</v>
      </c>
      <c r="BH11" s="46">
        <v>20828</v>
      </c>
      <c r="BI11" s="46">
        <v>21678</v>
      </c>
      <c r="BJ11" s="46">
        <v>21999</v>
      </c>
      <c r="BK11" s="46">
        <v>23989</v>
      </c>
      <c r="BL11" s="46">
        <v>24989</v>
      </c>
      <c r="BM11" s="46">
        <v>24989</v>
      </c>
      <c r="BN11" s="46">
        <v>30149</v>
      </c>
      <c r="BO11" s="46">
        <v>38699</v>
      </c>
      <c r="BP11" s="46">
        <v>46049</v>
      </c>
      <c r="BQ11" s="46">
        <v>46299</v>
      </c>
      <c r="BR11" s="46">
        <v>47249</v>
      </c>
      <c r="BS11" s="46">
        <v>47249</v>
      </c>
      <c r="BT11" s="46">
        <v>47649</v>
      </c>
      <c r="BU11" s="46">
        <v>51129</v>
      </c>
      <c r="BV11" s="46">
        <v>52379</v>
      </c>
      <c r="BW11" s="46">
        <v>53079</v>
      </c>
      <c r="BX11" s="46">
        <v>58379</v>
      </c>
      <c r="BY11" s="46">
        <v>64039</v>
      </c>
      <c r="BZ11" s="46">
        <v>64039</v>
      </c>
      <c r="CA11" s="46">
        <v>64039</v>
      </c>
      <c r="CB11" s="46">
        <v>65739</v>
      </c>
      <c r="CC11" s="46">
        <v>66479</v>
      </c>
      <c r="CD11" s="46">
        <v>67831.100000000006</v>
      </c>
      <c r="CE11" s="46">
        <v>71911.100000000006</v>
      </c>
      <c r="CF11" s="46">
        <v>79485.600000000006</v>
      </c>
      <c r="CG11" s="46">
        <v>97875.6</v>
      </c>
      <c r="CH11" s="46">
        <v>97875.6</v>
      </c>
      <c r="CI11" s="10"/>
    </row>
    <row r="12" spans="1:87" x14ac:dyDescent="0.25">
      <c r="A12" s="34" t="s">
        <v>115</v>
      </c>
      <c r="B12" s="34" t="str">
        <f>D1_NOVIEMBRE_2024[[#This Row],[ASESOR]]</f>
        <v>BRINA SOTO</v>
      </c>
      <c r="C12" s="36">
        <f>VLOOKUP(D1_NOVIEMBRE_2024[[#This Row],[SUPER]],DATA_NOVIEMBRE_2024[[SUPERVISOR]:[META]],3,0)</f>
        <v>17000</v>
      </c>
      <c r="D12" s="35">
        <f>D1_NOVIEMBRE_2024[[#This Row],[RECUPERO]]/D1_NOVIEMBRE_2024[[#This Row],[META]]</f>
        <v>0.59611764705882353</v>
      </c>
      <c r="E12" s="35" t="str">
        <f>D1_NOVIEMBRE_2024[[#This Row],[SUPER]]</f>
        <v>MELITA</v>
      </c>
      <c r="F12" t="s">
        <v>14</v>
      </c>
      <c r="G12" s="3">
        <v>10134</v>
      </c>
      <c r="H12" t="s">
        <v>432</v>
      </c>
      <c r="I12" s="56">
        <v>45133</v>
      </c>
      <c r="J12" s="56" t="s">
        <v>501</v>
      </c>
      <c r="K12" s="56"/>
      <c r="L12" s="56"/>
      <c r="M12">
        <f>DATA_NOVIEMBRE_2024[[#This Row],[RECUPERO]]/DATA_NOVIEMBRE_2024[[#This Row],[META]]</f>
        <v>0.30360294117647058</v>
      </c>
      <c r="N12" s="5" t="str" cm="1">
        <f t="array" ref="N1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12" t="s">
        <v>4</v>
      </c>
      <c r="P12">
        <f>SUM(DATA_NOVIEMBRE_2024[[#This Row],[1]:[31]])</f>
        <v>20645</v>
      </c>
      <c r="Q12">
        <v>68000</v>
      </c>
      <c r="R12" t="s">
        <v>109</v>
      </c>
      <c r="S12">
        <v>496</v>
      </c>
      <c r="W12">
        <v>675</v>
      </c>
      <c r="X12">
        <v>500</v>
      </c>
      <c r="AA12">
        <v>500</v>
      </c>
      <c r="AC12">
        <v>4600</v>
      </c>
      <c r="AD12">
        <v>860</v>
      </c>
      <c r="AH12">
        <v>274</v>
      </c>
      <c r="AJ12">
        <v>0</v>
      </c>
      <c r="AN12">
        <v>1200</v>
      </c>
      <c r="AO12">
        <v>1000</v>
      </c>
      <c r="AQ12">
        <v>2590</v>
      </c>
      <c r="AR12">
        <v>1850</v>
      </c>
      <c r="AS12">
        <v>300</v>
      </c>
      <c r="AV12">
        <v>5800</v>
      </c>
      <c r="AZ12" s="11">
        <v>78500</v>
      </c>
      <c r="BA12" s="11">
        <f>MAX(DITE_NOVIEMBRE_2024[[#This Row],[1]:[31]])</f>
        <v>75190</v>
      </c>
      <c r="BB12" s="17">
        <f>DITE_NOVIEMBRE_2024[[#This Row],[RECUPERO SUPERVISOR]]/AZ12</f>
        <v>0.95783439490445865</v>
      </c>
      <c r="BC12" s="11" t="s">
        <v>9</v>
      </c>
      <c r="BD12" s="46">
        <v>399</v>
      </c>
      <c r="BE12" s="46">
        <v>720</v>
      </c>
      <c r="BF12" s="46">
        <v>920</v>
      </c>
      <c r="BG12" s="46">
        <v>1960</v>
      </c>
      <c r="BH12" s="46">
        <v>7215</v>
      </c>
      <c r="BI12" s="46">
        <v>10495</v>
      </c>
      <c r="BJ12" s="46">
        <v>13035</v>
      </c>
      <c r="BK12" s="46">
        <v>14535</v>
      </c>
      <c r="BL12" s="46">
        <v>15235</v>
      </c>
      <c r="BM12" s="46">
        <v>15235</v>
      </c>
      <c r="BN12" s="46">
        <v>16976</v>
      </c>
      <c r="BO12" s="46">
        <v>20726</v>
      </c>
      <c r="BP12" s="46">
        <v>24106</v>
      </c>
      <c r="BQ12" s="46">
        <v>24426</v>
      </c>
      <c r="BR12" s="46">
        <v>25028</v>
      </c>
      <c r="BS12" s="46">
        <v>25328</v>
      </c>
      <c r="BT12" s="46">
        <v>25328</v>
      </c>
      <c r="BU12" s="46">
        <v>32428</v>
      </c>
      <c r="BV12" s="46">
        <v>34173</v>
      </c>
      <c r="BW12" s="46">
        <v>37373</v>
      </c>
      <c r="BX12" s="46">
        <v>40173</v>
      </c>
      <c r="BY12" s="46">
        <v>43323</v>
      </c>
      <c r="BZ12" s="46">
        <v>43323</v>
      </c>
      <c r="CA12" s="46">
        <v>43323</v>
      </c>
      <c r="CB12" s="46">
        <v>46533</v>
      </c>
      <c r="CC12" s="46">
        <v>49828</v>
      </c>
      <c r="CD12" s="46">
        <v>57128</v>
      </c>
      <c r="CE12" s="46">
        <v>59258</v>
      </c>
      <c r="CF12" s="46">
        <v>69529</v>
      </c>
      <c r="CG12" s="46">
        <v>75190</v>
      </c>
      <c r="CH12" s="46">
        <v>75190</v>
      </c>
      <c r="CI12" s="11"/>
    </row>
    <row r="13" spans="1:87" x14ac:dyDescent="0.25">
      <c r="A13" s="34" t="s">
        <v>6</v>
      </c>
      <c r="B13" s="34" t="str">
        <f>D1_NOVIEMBRE_2024[[#This Row],[ASESOR]]</f>
        <v>BRYAN VELASQUEZ</v>
      </c>
      <c r="C13" s="36">
        <f>VLOOKUP(D1_NOVIEMBRE_2024[[#This Row],[SUPER]],DATA_NOVIEMBRE_2024[[SUPERVISOR]:[META]],3,0)</f>
        <v>22500</v>
      </c>
      <c r="D13" s="35">
        <f>D1_NOVIEMBRE_2024[[#This Row],[RECUPERO]]/D1_NOVIEMBRE_2024[[#This Row],[META]]</f>
        <v>0.86982222222222227</v>
      </c>
      <c r="E13" s="35" t="str">
        <f>D1_NOVIEMBRE_2024[[#This Row],[SUPER]]</f>
        <v>KENNETH</v>
      </c>
      <c r="F13" t="s">
        <v>118</v>
      </c>
      <c r="G13" s="3">
        <v>19571</v>
      </c>
      <c r="H13" t="s">
        <v>398</v>
      </c>
      <c r="I13" s="56">
        <v>44357</v>
      </c>
      <c r="J13" s="56" t="s">
        <v>501</v>
      </c>
      <c r="K13" s="56"/>
      <c r="L13" s="56"/>
      <c r="M13">
        <f>DATA_NOVIEMBRE_2024[[#This Row],[RECUPERO]]/DATA_NOVIEMBRE_2024[[#This Row],[META]]</f>
        <v>0.86076923076923073</v>
      </c>
      <c r="N13" s="5" t="str" cm="1">
        <f t="array" ref="N1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13" t="s">
        <v>9</v>
      </c>
      <c r="P13">
        <f>SUM(DATA_NOVIEMBRE_2024[[#This Row],[1]:[31]])</f>
        <v>11190</v>
      </c>
      <c r="Q13">
        <v>13000</v>
      </c>
      <c r="R13" t="s">
        <v>15</v>
      </c>
      <c r="S13" s="45">
        <v>250</v>
      </c>
      <c r="T13">
        <v>321</v>
      </c>
      <c r="W13">
        <v>800</v>
      </c>
      <c r="X13">
        <v>200</v>
      </c>
      <c r="Z13">
        <v>200</v>
      </c>
      <c r="AD13">
        <v>2000</v>
      </c>
      <c r="AJ13">
        <v>2700</v>
      </c>
      <c r="AL13">
        <v>1880</v>
      </c>
      <c r="AR13">
        <v>350</v>
      </c>
      <c r="AS13">
        <v>850</v>
      </c>
      <c r="AT13">
        <v>400</v>
      </c>
      <c r="AU13">
        <v>368</v>
      </c>
      <c r="AV13">
        <v>871</v>
      </c>
      <c r="AZ13" s="11">
        <v>646000</v>
      </c>
      <c r="BA13" s="11">
        <f>MAX(DITE_NOVIEMBRE_2024[[#This Row],[1]:[31]])</f>
        <v>370574.03</v>
      </c>
      <c r="BB13" s="17">
        <f>DITE_NOVIEMBRE_2024[[#This Row],[RECUPERO SUPERVISOR]]/AZ13</f>
        <v>0.57364400928792569</v>
      </c>
      <c r="BC13" s="11" t="s">
        <v>4</v>
      </c>
      <c r="BD13" s="46">
        <v>742</v>
      </c>
      <c r="BE13" s="46">
        <v>2500.5</v>
      </c>
      <c r="BF13" s="46">
        <v>2500.5</v>
      </c>
      <c r="BG13" s="46">
        <v>15756.5</v>
      </c>
      <c r="BH13" s="46">
        <v>31729.5</v>
      </c>
      <c r="BI13" s="46">
        <v>34718.21</v>
      </c>
      <c r="BJ13" s="46">
        <v>50656.3</v>
      </c>
      <c r="BK13" s="46">
        <v>79099</v>
      </c>
      <c r="BL13" s="46">
        <v>82151</v>
      </c>
      <c r="BM13" s="46">
        <v>82151</v>
      </c>
      <c r="BN13" s="46">
        <v>112456</v>
      </c>
      <c r="BO13" s="46">
        <v>131057.25</v>
      </c>
      <c r="BP13" s="46">
        <v>157479.25</v>
      </c>
      <c r="BQ13" s="46">
        <v>161979.25</v>
      </c>
      <c r="BR13" s="46">
        <v>163774.25</v>
      </c>
      <c r="BS13" s="46">
        <v>165448.25</v>
      </c>
      <c r="BT13" s="46">
        <v>165818.25</v>
      </c>
      <c r="BU13" s="46">
        <v>168914.25</v>
      </c>
      <c r="BV13" s="46">
        <v>177806.25</v>
      </c>
      <c r="BW13" s="46">
        <v>179931.25</v>
      </c>
      <c r="BX13" s="46">
        <v>183517.25</v>
      </c>
      <c r="BY13" s="46">
        <v>207854.25</v>
      </c>
      <c r="BZ13" s="46">
        <v>209154.25</v>
      </c>
      <c r="CA13" s="46">
        <v>209604.25</v>
      </c>
      <c r="CB13" s="46">
        <v>219945.25</v>
      </c>
      <c r="CC13" s="46">
        <v>234230.25</v>
      </c>
      <c r="CD13" s="46">
        <v>245586.25</v>
      </c>
      <c r="CE13" s="46">
        <v>269129.95</v>
      </c>
      <c r="CF13" s="46">
        <v>327152.03000000003</v>
      </c>
      <c r="CG13" s="46">
        <v>370574.03</v>
      </c>
      <c r="CH13" s="46">
        <v>370574.03</v>
      </c>
      <c r="CI13" s="10"/>
    </row>
    <row r="14" spans="1:87" x14ac:dyDescent="0.25">
      <c r="A14" s="34" t="s">
        <v>6</v>
      </c>
      <c r="B14" s="34" t="str">
        <f>D1_NOVIEMBRE_2024[[#This Row],[ASESOR]]</f>
        <v>CARMEN PUMA</v>
      </c>
      <c r="C14" s="36">
        <f>VLOOKUP(D1_NOVIEMBRE_2024[[#This Row],[SUPER]],DATA_NOVIEMBRE_2024[[SUPERVISOR]:[META]],3,0)</f>
        <v>22500</v>
      </c>
      <c r="D14" s="35">
        <f>D1_NOVIEMBRE_2024[[#This Row],[RECUPERO]]/D1_NOVIEMBRE_2024[[#This Row],[META]]</f>
        <v>0.77631111111111106</v>
      </c>
      <c r="E14" s="35" t="str">
        <f>D1_NOVIEMBRE_2024[[#This Row],[SUPER]]</f>
        <v>KENNETH</v>
      </c>
      <c r="F14" t="s">
        <v>19</v>
      </c>
      <c r="G14" s="3">
        <v>17467</v>
      </c>
      <c r="H14" t="s">
        <v>399</v>
      </c>
      <c r="I14" s="56">
        <v>44673</v>
      </c>
      <c r="J14" s="56" t="s">
        <v>501</v>
      </c>
      <c r="K14" s="56"/>
      <c r="L14" s="56"/>
      <c r="M14">
        <f>DATA_NOVIEMBRE_2024[[#This Row],[RECUPERO]]/DATA_NOVIEMBRE_2024[[#This Row],[META]]</f>
        <v>0.16473913043478261</v>
      </c>
      <c r="N14" s="5" t="str" cm="1">
        <f t="array" ref="N1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14" t="s">
        <v>5</v>
      </c>
      <c r="P14">
        <f>SUM(DATA_NOVIEMBRE_2024[[#This Row],[1]:[31]])</f>
        <v>3789</v>
      </c>
      <c r="Q14">
        <v>23000</v>
      </c>
      <c r="R14" t="s">
        <v>92</v>
      </c>
      <c r="W14">
        <v>1000</v>
      </c>
      <c r="AG14">
        <v>300</v>
      </c>
      <c r="AJ14">
        <v>241</v>
      </c>
      <c r="AK14">
        <v>250</v>
      </c>
      <c r="AN14">
        <v>800</v>
      </c>
      <c r="AQ14">
        <v>480</v>
      </c>
      <c r="AS14">
        <v>252</v>
      </c>
      <c r="AU14">
        <v>166</v>
      </c>
      <c r="AV14">
        <v>300</v>
      </c>
      <c r="AZ14" s="11">
        <v>111800</v>
      </c>
      <c r="BA14" s="11">
        <f>MAX(DITE_NOVIEMBRE_2024[[#This Row],[1]:[31]])</f>
        <v>110326</v>
      </c>
      <c r="BB14" s="17">
        <f>DITE_NOVIEMBRE_2024[[#This Row],[RECUPERO SUPERVISOR]]/AZ14</f>
        <v>0.98681574239713776</v>
      </c>
      <c r="BC14" s="11" t="s">
        <v>115</v>
      </c>
      <c r="BD14" s="46">
        <v>350</v>
      </c>
      <c r="BE14" s="46">
        <v>350</v>
      </c>
      <c r="BF14" s="46">
        <v>350</v>
      </c>
      <c r="BG14" s="46">
        <v>1903</v>
      </c>
      <c r="BH14" s="46">
        <v>11783</v>
      </c>
      <c r="BI14" s="46">
        <v>14861</v>
      </c>
      <c r="BJ14" s="46">
        <v>17231</v>
      </c>
      <c r="BK14" s="46">
        <v>22011</v>
      </c>
      <c r="BL14" s="46">
        <v>22511</v>
      </c>
      <c r="BM14" s="46">
        <v>22711</v>
      </c>
      <c r="BN14" s="46">
        <v>30098</v>
      </c>
      <c r="BO14" s="46">
        <v>37563</v>
      </c>
      <c r="BP14" s="46">
        <v>41888</v>
      </c>
      <c r="BQ14" s="46">
        <v>42038</v>
      </c>
      <c r="BR14" s="46">
        <v>42538</v>
      </c>
      <c r="BS14" s="46">
        <v>43448</v>
      </c>
      <c r="BT14" s="46">
        <v>43677</v>
      </c>
      <c r="BU14" s="46">
        <v>52677</v>
      </c>
      <c r="BV14" s="46">
        <v>56284</v>
      </c>
      <c r="BW14" s="46">
        <v>57926</v>
      </c>
      <c r="BX14" s="46">
        <v>62168</v>
      </c>
      <c r="BY14" s="46">
        <v>63268</v>
      </c>
      <c r="BZ14" s="46">
        <v>63558</v>
      </c>
      <c r="CA14" s="46">
        <v>63558</v>
      </c>
      <c r="CB14" s="46">
        <v>67258</v>
      </c>
      <c r="CC14" s="46">
        <v>74191</v>
      </c>
      <c r="CD14" s="46">
        <v>81696</v>
      </c>
      <c r="CE14" s="46">
        <v>88853</v>
      </c>
      <c r="CF14" s="46">
        <v>103880</v>
      </c>
      <c r="CG14" s="46">
        <v>110326</v>
      </c>
      <c r="CH14" s="46">
        <v>110326</v>
      </c>
      <c r="CI14" s="10"/>
    </row>
    <row r="15" spans="1:87" x14ac:dyDescent="0.25">
      <c r="A15" s="34" t="s">
        <v>9</v>
      </c>
      <c r="B15" s="34" t="str">
        <f>D1_NOVIEMBRE_2024[[#This Row],[ASESOR]]</f>
        <v>CRISTINA TICONA</v>
      </c>
      <c r="C15" s="36">
        <f>VLOOKUP(D1_NOVIEMBRE_2024[[#This Row],[SUPER]],DATA_NOVIEMBRE_2024[[SUPERVISOR]:[META]],3,0)</f>
        <v>13000</v>
      </c>
      <c r="D15" s="35">
        <f>D1_NOVIEMBRE_2024[[#This Row],[RECUPERO]]/D1_NOVIEMBRE_2024[[#This Row],[META]]</f>
        <v>0.93692307692307697</v>
      </c>
      <c r="E15" s="35" t="str">
        <f>D1_NOVIEMBRE_2024[[#This Row],[SUPER]]</f>
        <v>LUIS</v>
      </c>
      <c r="F15" t="s">
        <v>61</v>
      </c>
      <c r="G15" s="3">
        <v>12180</v>
      </c>
      <c r="H15" t="s">
        <v>411</v>
      </c>
      <c r="I15" s="56">
        <v>44909</v>
      </c>
      <c r="J15" s="56" t="s">
        <v>501</v>
      </c>
      <c r="K15" s="56"/>
      <c r="L15" s="56"/>
      <c r="M15">
        <f>DATA_NOVIEMBRE_2024[[#This Row],[RECUPERO]]/DATA_NOVIEMBRE_2024[[#This Row],[META]]</f>
        <v>0.91864705882352937</v>
      </c>
      <c r="N15" s="5" t="str" cm="1">
        <f t="array" ref="N1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15" t="s">
        <v>3</v>
      </c>
      <c r="P15">
        <f>SUM(DATA_NOVIEMBRE_2024[[#This Row],[1]:[31]])</f>
        <v>62468</v>
      </c>
      <c r="Q15">
        <v>68000</v>
      </c>
      <c r="R15" t="s">
        <v>69</v>
      </c>
      <c r="W15">
        <v>850</v>
      </c>
      <c r="X15">
        <v>1360</v>
      </c>
      <c r="Y15">
        <v>1200</v>
      </c>
      <c r="AC15">
        <v>245</v>
      </c>
      <c r="AE15">
        <v>20622</v>
      </c>
      <c r="AG15">
        <v>640</v>
      </c>
      <c r="AH15">
        <v>356</v>
      </c>
      <c r="AK15">
        <v>700</v>
      </c>
      <c r="AL15">
        <v>355</v>
      </c>
      <c r="AM15">
        <v>690</v>
      </c>
      <c r="AN15">
        <v>11800</v>
      </c>
      <c r="AQ15">
        <v>5699</v>
      </c>
      <c r="AR15">
        <v>600</v>
      </c>
      <c r="AS15">
        <v>200</v>
      </c>
      <c r="AT15">
        <v>5475</v>
      </c>
      <c r="AU15">
        <v>6800</v>
      </c>
      <c r="AV15">
        <v>4876</v>
      </c>
      <c r="AZ15" s="11">
        <v>646000</v>
      </c>
      <c r="BA15" s="11">
        <f>MAX(DITE_NOVIEMBRE_2024[[#This Row],[1]:[31]])</f>
        <v>606729</v>
      </c>
      <c r="BB15" s="17">
        <f>DITE_NOVIEMBRE_2024[[#This Row],[RECUPERO SUPERVISOR]]/AZ15</f>
        <v>0.93920897832817341</v>
      </c>
      <c r="BC15" s="11" t="s">
        <v>3</v>
      </c>
      <c r="BD15" s="46">
        <v>2616</v>
      </c>
      <c r="BE15" s="46">
        <v>3273</v>
      </c>
      <c r="BF15" s="45">
        <v>3623</v>
      </c>
      <c r="BG15" s="45">
        <v>50242</v>
      </c>
      <c r="BH15" s="45">
        <v>55668</v>
      </c>
      <c r="BI15" s="45">
        <v>64523</v>
      </c>
      <c r="BJ15" s="45">
        <v>78703</v>
      </c>
      <c r="BK15" s="45">
        <v>103808</v>
      </c>
      <c r="BL15" s="45">
        <v>111871</v>
      </c>
      <c r="BM15" s="45">
        <v>111871</v>
      </c>
      <c r="BN15" s="45">
        <v>128138</v>
      </c>
      <c r="BO15" s="45">
        <v>146600</v>
      </c>
      <c r="BP15" s="45">
        <v>180725</v>
      </c>
      <c r="BQ15" s="45">
        <v>188453</v>
      </c>
      <c r="BR15" s="45">
        <v>196199.5</v>
      </c>
      <c r="BS15" s="45">
        <v>198070.5</v>
      </c>
      <c r="BT15" s="45">
        <v>198440.5</v>
      </c>
      <c r="BU15" s="45">
        <v>211795</v>
      </c>
      <c r="BV15" s="45">
        <v>216999</v>
      </c>
      <c r="BW15" s="45">
        <v>289692</v>
      </c>
      <c r="BX15" s="45">
        <v>317464</v>
      </c>
      <c r="BY15" s="45">
        <v>377634</v>
      </c>
      <c r="BZ15" s="45">
        <v>378828</v>
      </c>
      <c r="CA15" s="45">
        <v>379896</v>
      </c>
      <c r="CB15" s="45">
        <v>408021</v>
      </c>
      <c r="CC15" s="45">
        <v>426271</v>
      </c>
      <c r="CD15" s="45">
        <v>453664</v>
      </c>
      <c r="CE15" s="45">
        <v>507858</v>
      </c>
      <c r="CF15" s="45">
        <v>545807</v>
      </c>
      <c r="CG15" s="45">
        <v>606729</v>
      </c>
      <c r="CH15" s="45">
        <v>606729</v>
      </c>
      <c r="CI15" s="10"/>
    </row>
    <row r="16" spans="1:87" x14ac:dyDescent="0.25">
      <c r="A16" s="34" t="s">
        <v>115</v>
      </c>
      <c r="B16" s="34" t="str">
        <f>D1_NOVIEMBRE_2024[[#This Row],[ASESOR]]</f>
        <v>DANIEL ZAPATA</v>
      </c>
      <c r="C16" s="36">
        <f>VLOOKUP(D1_NOVIEMBRE_2024[[#This Row],[SUPER]],DATA_NOVIEMBRE_2024[[SUPERVISOR]:[META]],3,0)</f>
        <v>17000</v>
      </c>
      <c r="D16" s="35">
        <f>D1_NOVIEMBRE_2024[[#This Row],[RECUPERO]]/D1_NOVIEMBRE_2024[[#This Row],[META]]</f>
        <v>0.87158823529411766</v>
      </c>
      <c r="E16" s="35" t="str">
        <f>D1_NOVIEMBRE_2024[[#This Row],[SUPER]]</f>
        <v>MELITA</v>
      </c>
      <c r="F16" t="s">
        <v>80</v>
      </c>
      <c r="G16" s="3">
        <v>14817</v>
      </c>
      <c r="H16" t="s">
        <v>433</v>
      </c>
      <c r="I16" s="56">
        <v>45285</v>
      </c>
      <c r="J16" s="56" t="s">
        <v>501</v>
      </c>
      <c r="K16" s="56"/>
      <c r="L16" s="56"/>
      <c r="M16">
        <f>DATA_NOVIEMBRE_2024[[#This Row],[RECUPERO]]/DATA_NOVIEMBRE_2024[[#This Row],[META]]</f>
        <v>0.51849999999999996</v>
      </c>
      <c r="N16" s="5" t="str" cm="1">
        <f t="array" ref="N1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16" t="s">
        <v>3</v>
      </c>
      <c r="P16">
        <f>SUM(DATA_NOVIEMBRE_2024[[#This Row],[1]:[31]])</f>
        <v>35258</v>
      </c>
      <c r="Q16">
        <v>68000</v>
      </c>
      <c r="R16" t="s">
        <v>85</v>
      </c>
      <c r="S16">
        <v>120</v>
      </c>
      <c r="U16">
        <v>350</v>
      </c>
      <c r="V16">
        <v>11482</v>
      </c>
      <c r="W16">
        <v>515</v>
      </c>
      <c r="X16">
        <v>280</v>
      </c>
      <c r="Y16">
        <v>250</v>
      </c>
      <c r="AA16">
        <v>1600</v>
      </c>
      <c r="AC16">
        <v>2900</v>
      </c>
      <c r="AD16">
        <v>1746</v>
      </c>
      <c r="AE16">
        <v>410</v>
      </c>
      <c r="AF16">
        <v>1000</v>
      </c>
      <c r="AG16">
        <v>500</v>
      </c>
      <c r="AJ16">
        <v>979</v>
      </c>
      <c r="AM16">
        <v>2872</v>
      </c>
      <c r="AN16">
        <v>325</v>
      </c>
      <c r="AQ16">
        <v>250</v>
      </c>
      <c r="AR16">
        <v>282</v>
      </c>
      <c r="AS16">
        <v>2709</v>
      </c>
      <c r="AT16">
        <v>680</v>
      </c>
      <c r="AU16">
        <v>4349</v>
      </c>
      <c r="AV16">
        <v>1659</v>
      </c>
      <c r="CG16" s="45"/>
    </row>
    <row r="17" spans="1:86" x14ac:dyDescent="0.25">
      <c r="A17" s="34" t="s">
        <v>5</v>
      </c>
      <c r="B17" s="34" t="str">
        <f>D1_NOVIEMBRE_2024[[#This Row],[ASESOR]]</f>
        <v>DARYL FERREL</v>
      </c>
      <c r="C17" s="36">
        <f>VLOOKUP(D1_NOVIEMBRE_2024[[#This Row],[SUPER]],DATA_NOVIEMBRE_2024[[SUPERVISOR]:[META]],3,0)</f>
        <v>23000</v>
      </c>
      <c r="D17" s="35">
        <f>D1_NOVIEMBRE_2024[[#This Row],[RECUPERO]]/D1_NOVIEMBRE_2024[[#This Row],[META]]</f>
        <v>0.41421739130434782</v>
      </c>
      <c r="E17" s="35" t="str">
        <f>D1_NOVIEMBRE_2024[[#This Row],[SUPER]]</f>
        <v>JORDAN</v>
      </c>
      <c r="F17" t="s">
        <v>40</v>
      </c>
      <c r="G17" s="3">
        <v>9527</v>
      </c>
      <c r="H17" t="s">
        <v>424</v>
      </c>
      <c r="I17" s="56">
        <v>45429</v>
      </c>
      <c r="J17" s="56" t="s">
        <v>501</v>
      </c>
      <c r="K17" s="56"/>
      <c r="L17" s="56"/>
      <c r="M17">
        <f>DATA_NOVIEMBRE_2024[[#This Row],[RECUPERO]]/DATA_NOVIEMBRE_2024[[#This Row],[META]]</f>
        <v>0.58218260869565219</v>
      </c>
      <c r="N17" s="5" t="str" cm="1">
        <f t="array" ref="N1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17" t="s">
        <v>5</v>
      </c>
      <c r="P17">
        <f>SUM(DATA_NOVIEMBRE_2024[[#This Row],[1]:[31]])</f>
        <v>13390.2</v>
      </c>
      <c r="Q17">
        <v>23000</v>
      </c>
      <c r="R17" t="s">
        <v>67</v>
      </c>
      <c r="T17">
        <v>800</v>
      </c>
      <c r="W17">
        <v>1700</v>
      </c>
      <c r="Y17">
        <v>200</v>
      </c>
      <c r="AA17">
        <v>200</v>
      </c>
      <c r="AC17">
        <v>205</v>
      </c>
      <c r="AK17">
        <v>1270</v>
      </c>
      <c r="AL17">
        <v>200</v>
      </c>
      <c r="AM17">
        <v>300</v>
      </c>
      <c r="AN17">
        <v>500</v>
      </c>
      <c r="AQ17">
        <v>500</v>
      </c>
      <c r="AR17">
        <v>534</v>
      </c>
      <c r="AT17">
        <v>1000</v>
      </c>
      <c r="AU17">
        <v>2830</v>
      </c>
      <c r="AV17">
        <v>3151.2</v>
      </c>
      <c r="CA17" s="45"/>
      <c r="CF17" s="45"/>
      <c r="CG17" s="45"/>
      <c r="CH17" s="45"/>
    </row>
    <row r="18" spans="1:86" x14ac:dyDescent="0.25">
      <c r="A18" s="34" t="s">
        <v>4</v>
      </c>
      <c r="B18" s="34" t="str">
        <f>D1_NOVIEMBRE_2024[[#This Row],[ASESOR]]</f>
        <v>DAVID SANCHEZ</v>
      </c>
      <c r="C18" s="36">
        <f>VLOOKUP(D1_NOVIEMBRE_2024[[#This Row],[SUPER]],DATA_NOVIEMBRE_2024[[SUPERVISOR]:[META]],3,0)</f>
        <v>68000</v>
      </c>
      <c r="D18" s="35">
        <f>D1_NOVIEMBRE_2024[[#This Row],[RECUPERO]]/D1_NOVIEMBRE_2024[[#This Row],[META]]</f>
        <v>0.22120588235294117</v>
      </c>
      <c r="E18" s="35" t="str">
        <f>D1_NOVIEMBRE_2024[[#This Row],[SUPER]]</f>
        <v>MELINA</v>
      </c>
      <c r="F18" t="s">
        <v>81</v>
      </c>
      <c r="G18" s="3">
        <v>15042</v>
      </c>
      <c r="H18" t="s">
        <v>425</v>
      </c>
      <c r="I18" s="56">
        <v>45506</v>
      </c>
      <c r="J18" s="56" t="s">
        <v>501</v>
      </c>
      <c r="K18" s="56"/>
      <c r="L18" s="56"/>
      <c r="M18">
        <f>DATA_NOVIEMBRE_2024[[#This Row],[RECUPERO]]/DATA_NOVIEMBRE_2024[[#This Row],[META]]</f>
        <v>0.59611764705882353</v>
      </c>
      <c r="N18" s="5" t="str" cm="1">
        <f t="array" ref="N1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18" t="s">
        <v>115</v>
      </c>
      <c r="P18">
        <f>SUM(DATA_NOVIEMBRE_2024[[#This Row],[1]:[31]])</f>
        <v>10134</v>
      </c>
      <c r="Q18">
        <v>17000</v>
      </c>
      <c r="R18" t="s">
        <v>14</v>
      </c>
      <c r="V18">
        <v>100</v>
      </c>
      <c r="W18">
        <v>250</v>
      </c>
      <c r="X18">
        <v>912</v>
      </c>
      <c r="AA18">
        <v>500</v>
      </c>
      <c r="AC18">
        <v>50</v>
      </c>
      <c r="AD18">
        <v>260</v>
      </c>
      <c r="AE18">
        <v>1550</v>
      </c>
      <c r="AH18">
        <v>400</v>
      </c>
      <c r="AI18">
        <v>229</v>
      </c>
      <c r="AJ18">
        <v>450</v>
      </c>
      <c r="AK18">
        <v>437</v>
      </c>
      <c r="AN18">
        <v>250</v>
      </c>
      <c r="AP18">
        <v>0</v>
      </c>
      <c r="AQ18">
        <v>350</v>
      </c>
      <c r="AR18">
        <v>1070</v>
      </c>
      <c r="AS18">
        <v>955</v>
      </c>
      <c r="AU18">
        <v>1760</v>
      </c>
      <c r="AV18">
        <v>611</v>
      </c>
      <c r="BD18" s="45"/>
      <c r="CA18" s="45"/>
      <c r="CB18" s="45"/>
      <c r="CF18" s="45"/>
      <c r="CG18" s="47"/>
      <c r="CH18" s="45"/>
    </row>
    <row r="19" spans="1:86" x14ac:dyDescent="0.25">
      <c r="A19" s="34" t="s">
        <v>3</v>
      </c>
      <c r="B19" s="34" t="str">
        <f>D1_NOVIEMBRE_2024[[#This Row],[ASESOR]]</f>
        <v>EVELY TENORIO</v>
      </c>
      <c r="C19" s="36">
        <f>VLOOKUP(D1_NOVIEMBRE_2024[[#This Row],[SUPER]],DATA_NOVIEMBRE_2024[[SUPERVISOR]:[META]],3,0)</f>
        <v>68000</v>
      </c>
      <c r="D19" s="35">
        <f>D1_NOVIEMBRE_2024[[#This Row],[RECUPERO]]/D1_NOVIEMBRE_2024[[#This Row],[META]]</f>
        <v>1.1996029411764706</v>
      </c>
      <c r="E19" s="35" t="str">
        <f>D1_NOVIEMBRE_2024[[#This Row],[SUPER]]</f>
        <v>SANDY</v>
      </c>
      <c r="F19" t="s">
        <v>22</v>
      </c>
      <c r="G19" s="3">
        <v>81573</v>
      </c>
      <c r="H19" t="s">
        <v>442</v>
      </c>
      <c r="I19" s="56">
        <v>45299</v>
      </c>
      <c r="J19" s="56" t="s">
        <v>501</v>
      </c>
      <c r="K19" s="56"/>
      <c r="L19" s="56"/>
      <c r="M19">
        <f>DATA_NOVIEMBRE_2024[[#This Row],[RECUPERO]]/DATA_NOVIEMBRE_2024[[#This Row],[META]]</f>
        <v>0.86982222222222227</v>
      </c>
      <c r="N19" s="5" t="str" cm="1">
        <f t="array" ref="N1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19" t="s">
        <v>6</v>
      </c>
      <c r="P19">
        <f>SUM(DATA_NOVIEMBRE_2024[[#This Row],[1]:[31]])</f>
        <v>19571</v>
      </c>
      <c r="Q19">
        <v>22500</v>
      </c>
      <c r="R19" t="s">
        <v>118</v>
      </c>
      <c r="U19" s="45"/>
      <c r="V19">
        <v>500</v>
      </c>
      <c r="AE19">
        <v>5000</v>
      </c>
      <c r="AF19">
        <v>250</v>
      </c>
      <c r="AJ19">
        <v>500</v>
      </c>
      <c r="AT19">
        <v>3000</v>
      </c>
      <c r="AU19">
        <v>221</v>
      </c>
      <c r="AV19">
        <v>10100</v>
      </c>
      <c r="BD19" s="45"/>
      <c r="CA19" s="45"/>
      <c r="CB19" s="45"/>
      <c r="CF19" s="47"/>
      <c r="CG19" s="47"/>
      <c r="CH19" s="47"/>
    </row>
    <row r="20" spans="1:86" x14ac:dyDescent="0.25">
      <c r="A20" s="34" t="s">
        <v>115</v>
      </c>
      <c r="B20" s="34" t="str">
        <f>D1_NOVIEMBRE_2024[[#This Row],[ASESOR]]</f>
        <v>FRANCO HUAMANI</v>
      </c>
      <c r="C20" s="36">
        <f>VLOOKUP(D1_NOVIEMBRE_2024[[#This Row],[SUPER]],DATA_NOVIEMBRE_2024[[SUPERVISOR]:[META]],3,0)</f>
        <v>17000</v>
      </c>
      <c r="D20" s="35">
        <f>D1_NOVIEMBRE_2024[[#This Row],[RECUPERO]]/D1_NOVIEMBRE_2024[[#This Row],[META]]</f>
        <v>0.55900000000000005</v>
      </c>
      <c r="E20" s="35" t="str">
        <f>D1_NOVIEMBRE_2024[[#This Row],[SUPER]]</f>
        <v>MELITA</v>
      </c>
      <c r="F20" t="s">
        <v>24</v>
      </c>
      <c r="G20" s="3">
        <v>9503</v>
      </c>
      <c r="H20" t="s">
        <v>434</v>
      </c>
      <c r="I20" s="56">
        <v>45334</v>
      </c>
      <c r="J20" s="56" t="s">
        <v>501</v>
      </c>
      <c r="K20" s="56"/>
      <c r="L20" s="56"/>
      <c r="M20">
        <f>DATA_NOVIEMBRE_2024[[#This Row],[RECUPERO]]/DATA_NOVIEMBRE_2024[[#This Row],[META]]</f>
        <v>0.77631111111111106</v>
      </c>
      <c r="N20" s="5" t="str" cm="1">
        <f t="array" ref="N2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20" t="s">
        <v>6</v>
      </c>
      <c r="P20">
        <f>SUM(DATA_NOVIEMBRE_2024[[#This Row],[1]:[31]])</f>
        <v>17467</v>
      </c>
      <c r="Q20">
        <v>22500</v>
      </c>
      <c r="R20" t="s">
        <v>19</v>
      </c>
      <c r="S20">
        <v>10000</v>
      </c>
      <c r="V20">
        <v>267</v>
      </c>
      <c r="Z20">
        <v>200</v>
      </c>
      <c r="AA20">
        <v>500</v>
      </c>
      <c r="AD20">
        <v>4100</v>
      </c>
      <c r="AE20">
        <v>350</v>
      </c>
      <c r="AG20">
        <v>250</v>
      </c>
      <c r="AJ20">
        <v>700</v>
      </c>
      <c r="AK20">
        <v>850</v>
      </c>
      <c r="AU20">
        <v>250</v>
      </c>
      <c r="BD20" s="47"/>
      <c r="CA20" s="45"/>
      <c r="CB20" s="47"/>
      <c r="CE20" s="45"/>
      <c r="CF20" s="47"/>
      <c r="CG20" s="45"/>
      <c r="CH20" s="47"/>
    </row>
    <row r="21" spans="1:86" x14ac:dyDescent="0.25">
      <c r="A21" s="34" t="s">
        <v>4</v>
      </c>
      <c r="B21" s="34" t="str">
        <f>D1_NOVIEMBRE_2024[[#This Row],[ASESOR]]</f>
        <v>FRANK PACORA</v>
      </c>
      <c r="C21" s="36">
        <f>VLOOKUP(D1_NOVIEMBRE_2024[[#This Row],[SUPER]],DATA_NOVIEMBRE_2024[[SUPERVISOR]:[META]],3,0)</f>
        <v>68000</v>
      </c>
      <c r="D21" s="35">
        <f>D1_NOVIEMBRE_2024[[#This Row],[RECUPERO]]/D1_NOVIEMBRE_2024[[#This Row],[META]]</f>
        <v>0.17148529411764707</v>
      </c>
      <c r="E21" s="35" t="str">
        <f>D1_NOVIEMBRE_2024[[#This Row],[SUPER]]</f>
        <v>MELINA</v>
      </c>
      <c r="F21" t="s">
        <v>105</v>
      </c>
      <c r="G21" s="3">
        <v>11661</v>
      </c>
      <c r="H21" t="s">
        <v>463</v>
      </c>
      <c r="I21" s="56">
        <v>44657</v>
      </c>
      <c r="J21" s="56" t="s">
        <v>501</v>
      </c>
      <c r="K21" s="56"/>
      <c r="L21" s="56"/>
      <c r="M21">
        <f>DATA_NOVIEMBRE_2024[[#This Row],[RECUPERO]]/DATA_NOVIEMBRE_2024[[#This Row],[META]]</f>
        <v>0.93692307692307697</v>
      </c>
      <c r="N21" s="5" t="str" cm="1">
        <f t="array" ref="N2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21" t="s">
        <v>9</v>
      </c>
      <c r="P21">
        <f>SUM(DATA_NOVIEMBRE_2024[[#This Row],[1]:[31]])</f>
        <v>12180</v>
      </c>
      <c r="Q21">
        <v>13000</v>
      </c>
      <c r="R21" t="s">
        <v>61</v>
      </c>
      <c r="V21">
        <v>500</v>
      </c>
      <c r="X21">
        <v>1400</v>
      </c>
      <c r="Z21">
        <v>200</v>
      </c>
      <c r="AA21">
        <v>200</v>
      </c>
      <c r="AD21">
        <v>400</v>
      </c>
      <c r="AE21">
        <v>200</v>
      </c>
      <c r="AJ21">
        <v>2200</v>
      </c>
      <c r="AL21">
        <v>500</v>
      </c>
      <c r="AQ21">
        <v>70</v>
      </c>
      <c r="AS21">
        <v>4050</v>
      </c>
      <c r="AU21">
        <v>800</v>
      </c>
      <c r="AV21">
        <v>1660</v>
      </c>
      <c r="BD21" s="47"/>
      <c r="CA21" s="45"/>
      <c r="CB21" s="47"/>
      <c r="CE21" s="45"/>
      <c r="CF21" s="45"/>
      <c r="CH21" s="45"/>
    </row>
    <row r="22" spans="1:86" x14ac:dyDescent="0.25">
      <c r="A22" s="34" t="s">
        <v>2</v>
      </c>
      <c r="B22" s="34" t="str">
        <f>D1_NOVIEMBRE_2024[[#This Row],[ASESOR]]</f>
        <v>FRANS TACSI</v>
      </c>
      <c r="C22" s="36">
        <f>VLOOKUP(D1_NOVIEMBRE_2024[[#This Row],[SUPER]],DATA_NOVIEMBRE_2024[[SUPERVISOR]:[META]],3,0)</f>
        <v>25000</v>
      </c>
      <c r="D22" s="35">
        <f>D1_NOVIEMBRE_2024[[#This Row],[RECUPERO]]/D1_NOVIEMBRE_2024[[#This Row],[META]]</f>
        <v>0.33600000000000002</v>
      </c>
      <c r="E22" s="35" t="str">
        <f>D1_NOVIEMBRE_2024[[#This Row],[SUPER]]</f>
        <v>JORGE</v>
      </c>
      <c r="F22" t="s">
        <v>16</v>
      </c>
      <c r="G22" s="3">
        <v>8400</v>
      </c>
      <c r="H22" t="s">
        <v>388</v>
      </c>
      <c r="I22" s="56">
        <v>45334</v>
      </c>
      <c r="J22" s="56" t="s">
        <v>501</v>
      </c>
      <c r="K22" s="56"/>
      <c r="L22" s="56"/>
      <c r="M22">
        <f>DATA_NOVIEMBRE_2024[[#This Row],[RECUPERO]]/DATA_NOVIEMBRE_2024[[#This Row],[META]]</f>
        <v>0.87158823529411766</v>
      </c>
      <c r="N22" s="5" t="str" cm="1">
        <f t="array" ref="N2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22" t="s">
        <v>115</v>
      </c>
      <c r="P22">
        <f>SUM(DATA_NOVIEMBRE_2024[[#This Row],[1]:[31]])</f>
        <v>14817</v>
      </c>
      <c r="Q22">
        <v>17000</v>
      </c>
      <c r="R22" t="s">
        <v>80</v>
      </c>
      <c r="V22">
        <v>347</v>
      </c>
      <c r="Y22">
        <v>200</v>
      </c>
      <c r="Z22">
        <v>280</v>
      </c>
      <c r="AC22">
        <v>500</v>
      </c>
      <c r="AD22">
        <v>1300</v>
      </c>
      <c r="AE22">
        <v>270</v>
      </c>
      <c r="AG22">
        <v>100</v>
      </c>
      <c r="AK22">
        <v>500</v>
      </c>
      <c r="AL22">
        <v>247</v>
      </c>
      <c r="AM22">
        <v>500</v>
      </c>
      <c r="AN22">
        <v>160</v>
      </c>
      <c r="AQ22">
        <v>600</v>
      </c>
      <c r="AR22">
        <v>1070</v>
      </c>
      <c r="AS22">
        <v>2550</v>
      </c>
      <c r="AT22">
        <v>902</v>
      </c>
      <c r="AU22">
        <v>3767</v>
      </c>
      <c r="AV22">
        <v>1524</v>
      </c>
      <c r="BD22" s="45"/>
      <c r="CA22" s="47"/>
      <c r="CB22" s="45"/>
      <c r="CE22" s="45"/>
    </row>
    <row r="23" spans="1:86" x14ac:dyDescent="0.25">
      <c r="A23" s="34" t="s">
        <v>2</v>
      </c>
      <c r="B23" s="34" t="str">
        <f>D1_NOVIEMBRE_2024[[#This Row],[ASESOR]]</f>
        <v>GENESIS VICUNA</v>
      </c>
      <c r="C23" s="36">
        <f>VLOOKUP(D1_NOVIEMBRE_2024[[#This Row],[SUPER]],DATA_NOVIEMBRE_2024[[SUPERVISOR]:[META]],3,0)</f>
        <v>25000</v>
      </c>
      <c r="D23" s="35">
        <f>D1_NOVIEMBRE_2024[[#This Row],[RECUPERO]]/D1_NOVIEMBRE_2024[[#This Row],[META]]</f>
        <v>0.70473200000000003</v>
      </c>
      <c r="E23" s="35" t="str">
        <f>D1_NOVIEMBRE_2024[[#This Row],[SUPER]]</f>
        <v>JORGE</v>
      </c>
      <c r="F23" t="s">
        <v>12</v>
      </c>
      <c r="G23" s="3">
        <v>17618.3</v>
      </c>
      <c r="H23" t="s">
        <v>389</v>
      </c>
      <c r="I23" s="56">
        <v>44870</v>
      </c>
      <c r="J23" s="56" t="s">
        <v>501</v>
      </c>
      <c r="K23" s="56"/>
      <c r="L23" s="56"/>
      <c r="M23">
        <f>DATA_NOVIEMBRE_2024[[#This Row],[RECUPERO]]/DATA_NOVIEMBRE_2024[[#This Row],[META]]</f>
        <v>0.41421739130434782</v>
      </c>
      <c r="N23" s="5" t="str" cm="1">
        <f t="array" ref="N2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23" t="s">
        <v>5</v>
      </c>
      <c r="P23">
        <f>SUM(DATA_NOVIEMBRE_2024[[#This Row],[1]:[31]])</f>
        <v>9527</v>
      </c>
      <c r="Q23">
        <v>23000</v>
      </c>
      <c r="R23" t="s">
        <v>40</v>
      </c>
      <c r="X23">
        <v>871</v>
      </c>
      <c r="Z23">
        <v>400</v>
      </c>
      <c r="AA23">
        <v>160</v>
      </c>
      <c r="AC23">
        <v>800</v>
      </c>
      <c r="AE23">
        <v>1200</v>
      </c>
      <c r="AJ23">
        <v>500</v>
      </c>
      <c r="AM23">
        <v>200</v>
      </c>
      <c r="AQ23">
        <v>1050</v>
      </c>
      <c r="AR23">
        <v>305</v>
      </c>
      <c r="AS23">
        <v>1500</v>
      </c>
      <c r="AT23">
        <v>300</v>
      </c>
      <c r="AU23">
        <v>970</v>
      </c>
      <c r="AV23">
        <v>1271</v>
      </c>
      <c r="CA23" s="45"/>
    </row>
    <row r="24" spans="1:86" x14ac:dyDescent="0.25">
      <c r="A24" s="34" t="s">
        <v>4</v>
      </c>
      <c r="B24" s="34" t="str">
        <f>D1_NOVIEMBRE_2024[[#This Row],[ASESOR]]</f>
        <v>GIANFRANCO PINEDO</v>
      </c>
      <c r="C24" s="36">
        <f>VLOOKUP(D1_NOVIEMBRE_2024[[#This Row],[SUPER]],DATA_NOVIEMBRE_2024[[SUPERVISOR]:[META]],3,0)</f>
        <v>68000</v>
      </c>
      <c r="D24" s="35">
        <f>D1_NOVIEMBRE_2024[[#This Row],[RECUPERO]]/D1_NOVIEMBRE_2024[[#This Row],[META]]</f>
        <v>0.47957352941176473</v>
      </c>
      <c r="E24" s="35" t="str">
        <f>D1_NOVIEMBRE_2024[[#This Row],[SUPER]]</f>
        <v>MELINA</v>
      </c>
      <c r="F24" t="s">
        <v>13</v>
      </c>
      <c r="G24" s="3">
        <v>32611</v>
      </c>
      <c r="H24" t="s">
        <v>382</v>
      </c>
      <c r="I24" s="56">
        <v>44811</v>
      </c>
      <c r="J24" s="56" t="s">
        <v>501</v>
      </c>
      <c r="K24" s="56"/>
      <c r="L24" s="56"/>
      <c r="M24">
        <f>DATA_NOVIEMBRE_2024[[#This Row],[RECUPERO]]/DATA_NOVIEMBRE_2024[[#This Row],[META]]</f>
        <v>0.22120588235294117</v>
      </c>
      <c r="N24" s="5" t="str" cm="1">
        <f t="array" ref="N2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24" t="s">
        <v>4</v>
      </c>
      <c r="P24">
        <f>SUM(DATA_NOVIEMBRE_2024[[#This Row],[1]:[31]])</f>
        <v>15042</v>
      </c>
      <c r="Q24">
        <v>68000</v>
      </c>
      <c r="R24" t="s">
        <v>81</v>
      </c>
      <c r="Z24">
        <v>2300</v>
      </c>
      <c r="AE24">
        <v>992</v>
      </c>
      <c r="AJ24">
        <v>500</v>
      </c>
      <c r="AL24">
        <v>1600</v>
      </c>
      <c r="AN24">
        <v>500</v>
      </c>
      <c r="AQ24">
        <v>600</v>
      </c>
      <c r="AT24">
        <v>600</v>
      </c>
      <c r="AU24">
        <v>6450</v>
      </c>
      <c r="AV24">
        <v>1500</v>
      </c>
      <c r="CE24" s="45"/>
    </row>
    <row r="25" spans="1:86" x14ac:dyDescent="0.25">
      <c r="A25" s="34" t="s">
        <v>5</v>
      </c>
      <c r="B25" s="34" t="str">
        <f>D1_NOVIEMBRE_2024[[#This Row],[ASESOR]]</f>
        <v>GIANNINA AGUILAR</v>
      </c>
      <c r="C25" s="36">
        <f>VLOOKUP(D1_NOVIEMBRE_2024[[#This Row],[SUPER]],DATA_NOVIEMBRE_2024[[SUPERVISOR]:[META]],3,0)</f>
        <v>23000</v>
      </c>
      <c r="D25" s="35">
        <f>D1_NOVIEMBRE_2024[[#This Row],[RECUPERO]]/D1_NOVIEMBRE_2024[[#This Row],[META]]</f>
        <v>0.54521739130434788</v>
      </c>
      <c r="E25" s="35" t="str">
        <f>D1_NOVIEMBRE_2024[[#This Row],[SUPER]]</f>
        <v>JORDAN</v>
      </c>
      <c r="F25" t="s">
        <v>32</v>
      </c>
      <c r="G25" s="3">
        <v>12540</v>
      </c>
      <c r="H25" t="s">
        <v>390</v>
      </c>
      <c r="I25" s="56">
        <v>45530</v>
      </c>
      <c r="J25" s="56" t="s">
        <v>501</v>
      </c>
      <c r="K25" s="56"/>
      <c r="L25" s="56"/>
      <c r="M25">
        <f>DATA_NOVIEMBRE_2024[[#This Row],[RECUPERO]]/DATA_NOVIEMBRE_2024[[#This Row],[META]]</f>
        <v>1.1996029411764706</v>
      </c>
      <c r="N25" s="5" t="str" cm="1">
        <f t="array" ref="N2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&gt;100%</v>
      </c>
      <c r="O25" t="s">
        <v>3</v>
      </c>
      <c r="P25">
        <f>SUM(DATA_NOVIEMBRE_2024[[#This Row],[1]:[31]])</f>
        <v>81573</v>
      </c>
      <c r="Q25">
        <v>68000</v>
      </c>
      <c r="R25" t="s">
        <v>22</v>
      </c>
      <c r="S25">
        <v>1126</v>
      </c>
      <c r="V25">
        <v>600</v>
      </c>
      <c r="W25">
        <v>386</v>
      </c>
      <c r="X25">
        <v>549</v>
      </c>
      <c r="Z25">
        <v>1582</v>
      </c>
      <c r="AA25">
        <v>348</v>
      </c>
      <c r="AC25">
        <v>1253</v>
      </c>
      <c r="AI25">
        <v>370</v>
      </c>
      <c r="AJ25">
        <v>2050</v>
      </c>
      <c r="AL25">
        <v>4200</v>
      </c>
      <c r="AM25">
        <v>1250</v>
      </c>
      <c r="AN25">
        <v>47000</v>
      </c>
      <c r="AO25">
        <v>332</v>
      </c>
      <c r="AP25">
        <v>1068</v>
      </c>
      <c r="AQ25">
        <v>5458</v>
      </c>
      <c r="AR25">
        <v>1699</v>
      </c>
      <c r="AS25">
        <v>450</v>
      </c>
      <c r="AT25">
        <v>446</v>
      </c>
      <c r="AU25">
        <v>2406</v>
      </c>
      <c r="AV25">
        <v>9000</v>
      </c>
    </row>
    <row r="26" spans="1:86" x14ac:dyDescent="0.25">
      <c r="A26" s="34" t="s">
        <v>4</v>
      </c>
      <c r="B26" s="34" t="str">
        <f>D1_NOVIEMBRE_2024[[#This Row],[ASESOR]]</f>
        <v>GILBERTO PURIZACA</v>
      </c>
      <c r="C26" s="36">
        <f>VLOOKUP(D1_NOVIEMBRE_2024[[#This Row],[SUPER]],DATA_NOVIEMBRE_2024[[SUPERVISOR]:[META]],3,0)</f>
        <v>68000</v>
      </c>
      <c r="D26" s="35">
        <f>D1_NOVIEMBRE_2024[[#This Row],[RECUPERO]]/D1_NOVIEMBRE_2024[[#This Row],[META]]</f>
        <v>1.4852941176470588E-2</v>
      </c>
      <c r="E26" s="35" t="str">
        <f>D1_NOVIEMBRE_2024[[#This Row],[SUPER]]</f>
        <v>MELINA</v>
      </c>
      <c r="F26" t="s">
        <v>66</v>
      </c>
      <c r="G26" s="3">
        <v>1010</v>
      </c>
      <c r="H26" t="s">
        <v>383</v>
      </c>
      <c r="I26" s="56">
        <v>45449</v>
      </c>
      <c r="J26" s="56" t="s">
        <v>501</v>
      </c>
      <c r="K26" s="56"/>
      <c r="L26" s="56"/>
      <c r="M26">
        <f>DATA_NOVIEMBRE_2024[[#This Row],[RECUPERO]]/DATA_NOVIEMBRE_2024[[#This Row],[META]]</f>
        <v>0.55900000000000005</v>
      </c>
      <c r="N26" s="5" t="str" cm="1">
        <f t="array" ref="N2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26" t="s">
        <v>115</v>
      </c>
      <c r="P26">
        <f>SUM(DATA_NOVIEMBRE_2024[[#This Row],[1]:[31]])</f>
        <v>9503</v>
      </c>
      <c r="Q26">
        <v>17000</v>
      </c>
      <c r="R26" t="s">
        <v>24</v>
      </c>
      <c r="W26">
        <v>530</v>
      </c>
      <c r="Z26">
        <v>750</v>
      </c>
      <c r="AC26">
        <v>800</v>
      </c>
      <c r="AD26">
        <v>1490</v>
      </c>
      <c r="AF26">
        <v>150</v>
      </c>
      <c r="AJ26">
        <v>500</v>
      </c>
      <c r="AK26">
        <v>750</v>
      </c>
      <c r="AM26">
        <v>150</v>
      </c>
      <c r="AN26">
        <v>200</v>
      </c>
      <c r="AR26">
        <v>963</v>
      </c>
      <c r="AS26">
        <v>395</v>
      </c>
      <c r="AT26">
        <v>450</v>
      </c>
      <c r="AU26">
        <v>1875</v>
      </c>
      <c r="AV26">
        <v>500</v>
      </c>
    </row>
    <row r="27" spans="1:86" x14ac:dyDescent="0.25">
      <c r="A27" s="34" t="s">
        <v>9</v>
      </c>
      <c r="B27" s="34" t="str">
        <f>D1_NOVIEMBRE_2024[[#This Row],[ASESOR]]</f>
        <v>GIULIANA QUISPE</v>
      </c>
      <c r="C27" s="36">
        <f>VLOOKUP(D1_NOVIEMBRE_2024[[#This Row],[SUPER]],DATA_NOVIEMBRE_2024[[SUPERVISOR]:[META]],3,0)</f>
        <v>13000</v>
      </c>
      <c r="D27" s="35">
        <f>D1_NOVIEMBRE_2024[[#This Row],[RECUPERO]]/D1_NOVIEMBRE_2024[[#This Row],[META]]</f>
        <v>0.20961538461538462</v>
      </c>
      <c r="E27" s="35" t="str">
        <f>D1_NOVIEMBRE_2024[[#This Row],[SUPER]]</f>
        <v>LUIS</v>
      </c>
      <c r="F27" t="s">
        <v>71</v>
      </c>
      <c r="G27" s="3">
        <v>2725</v>
      </c>
      <c r="H27" t="s">
        <v>414</v>
      </c>
      <c r="I27" s="56">
        <v>45423</v>
      </c>
      <c r="J27" s="56" t="s">
        <v>501</v>
      </c>
      <c r="K27" s="56"/>
      <c r="L27" s="56"/>
      <c r="M27">
        <f>DATA_NOVIEMBRE_2024[[#This Row],[RECUPERO]]/DATA_NOVIEMBRE_2024[[#This Row],[META]]</f>
        <v>0.17148529411764707</v>
      </c>
      <c r="N27" s="5" t="str" cm="1">
        <f t="array" ref="N2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27" t="s">
        <v>4</v>
      </c>
      <c r="P27">
        <f>SUM(DATA_NOVIEMBRE_2024[[#This Row],[1]:[31]])</f>
        <v>11661</v>
      </c>
      <c r="Q27">
        <v>68000</v>
      </c>
      <c r="R27" t="s">
        <v>105</v>
      </c>
      <c r="V27">
        <v>1856</v>
      </c>
      <c r="Z27">
        <v>0</v>
      </c>
      <c r="AC27">
        <v>2155</v>
      </c>
      <c r="AD27">
        <v>2900</v>
      </c>
      <c r="AH27">
        <v>600</v>
      </c>
      <c r="AJ27">
        <v>380</v>
      </c>
      <c r="AK27">
        <v>600</v>
      </c>
      <c r="AN27">
        <v>300</v>
      </c>
      <c r="AU27">
        <v>2270</v>
      </c>
      <c r="AV27">
        <v>600</v>
      </c>
    </row>
    <row r="28" spans="1:86" x14ac:dyDescent="0.25">
      <c r="A28" s="34" t="s">
        <v>9</v>
      </c>
      <c r="B28" s="34" t="str">
        <f>D1_NOVIEMBRE_2024[[#This Row],[ASESOR]]</f>
        <v>HARLINGTON VIDAL</v>
      </c>
      <c r="C28" s="36">
        <f>VLOOKUP(D1_NOVIEMBRE_2024[[#This Row],[SUPER]],DATA_NOVIEMBRE_2024[[SUPERVISOR]:[META]],3,0)</f>
        <v>13000</v>
      </c>
      <c r="D28" s="35">
        <f>D1_NOVIEMBRE_2024[[#This Row],[RECUPERO]]/D1_NOVIEMBRE_2024[[#This Row],[META]]</f>
        <v>0.33500000000000002</v>
      </c>
      <c r="E28" s="35" t="str">
        <f>D1_NOVIEMBRE_2024[[#This Row],[SUPER]]</f>
        <v>LUIS</v>
      </c>
      <c r="F28" t="s">
        <v>127</v>
      </c>
      <c r="G28" s="3">
        <v>4355</v>
      </c>
      <c r="H28" t="s">
        <v>459</v>
      </c>
      <c r="I28" s="56">
        <v>45721</v>
      </c>
      <c r="J28" s="56" t="s">
        <v>501</v>
      </c>
      <c r="K28" s="56"/>
      <c r="L28" s="56"/>
      <c r="M28">
        <f>DATA_NOVIEMBRE_2024[[#This Row],[RECUPERO]]/DATA_NOVIEMBRE_2024[[#This Row],[META]]</f>
        <v>0.33600000000000002</v>
      </c>
      <c r="N28" s="5" t="str" cm="1">
        <f t="array" ref="N2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28" t="s">
        <v>2</v>
      </c>
      <c r="P28">
        <f>SUM(DATA_NOVIEMBRE_2024[[#This Row],[1]:[31]])</f>
        <v>8400</v>
      </c>
      <c r="Q28">
        <v>25000</v>
      </c>
      <c r="R28" t="s">
        <v>16</v>
      </c>
      <c r="S28" s="45"/>
      <c r="Z28">
        <v>700</v>
      </c>
      <c r="AD28">
        <v>50</v>
      </c>
      <c r="AE28">
        <v>150</v>
      </c>
      <c r="AJ28">
        <v>500</v>
      </c>
      <c r="AN28">
        <v>2500</v>
      </c>
      <c r="AR28">
        <v>800</v>
      </c>
      <c r="AU28">
        <v>3450</v>
      </c>
      <c r="AV28">
        <v>250</v>
      </c>
    </row>
    <row r="29" spans="1:86" x14ac:dyDescent="0.25">
      <c r="A29" s="34" t="s">
        <v>9</v>
      </c>
      <c r="B29" s="34" t="str">
        <f>D1_NOVIEMBRE_2024[[#This Row],[ASESOR]]</f>
        <v>HAROLD FLORES</v>
      </c>
      <c r="C29" s="36">
        <f>VLOOKUP(D1_NOVIEMBRE_2024[[#This Row],[SUPER]],DATA_NOVIEMBRE_2024[[SUPERVISOR]:[META]],3,0)</f>
        <v>13000</v>
      </c>
      <c r="D29" s="35">
        <f>D1_NOVIEMBRE_2024[[#This Row],[RECUPERO]]/D1_NOVIEMBRE_2024[[#This Row],[META]]</f>
        <v>0.24</v>
      </c>
      <c r="E29" s="35" t="str">
        <f>D1_NOVIEMBRE_2024[[#This Row],[SUPER]]</f>
        <v>LUIS</v>
      </c>
      <c r="F29" t="s">
        <v>42</v>
      </c>
      <c r="G29" s="3">
        <v>3120</v>
      </c>
      <c r="H29" t="s">
        <v>415</v>
      </c>
      <c r="I29" s="56">
        <v>45399</v>
      </c>
      <c r="J29" s="56" t="s">
        <v>501</v>
      </c>
      <c r="K29" s="56"/>
      <c r="L29" s="56"/>
      <c r="M29">
        <f>DATA_NOVIEMBRE_2024[[#This Row],[RECUPERO]]/DATA_NOVIEMBRE_2024[[#This Row],[META]]</f>
        <v>0.70473200000000003</v>
      </c>
      <c r="N29" s="5" t="str" cm="1">
        <f t="array" ref="N2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29" t="s">
        <v>2</v>
      </c>
      <c r="P29">
        <f>SUM(DATA_NOVIEMBRE_2024[[#This Row],[1]:[31]])</f>
        <v>17618.3</v>
      </c>
      <c r="Q29">
        <v>25000</v>
      </c>
      <c r="R29" t="s">
        <v>12</v>
      </c>
      <c r="S29">
        <v>270</v>
      </c>
      <c r="X29">
        <v>350</v>
      </c>
      <c r="Y29">
        <v>250</v>
      </c>
      <c r="AA29">
        <v>300</v>
      </c>
      <c r="AC29">
        <v>200</v>
      </c>
      <c r="AD29">
        <v>350</v>
      </c>
      <c r="AE29">
        <v>200</v>
      </c>
      <c r="AJ29">
        <v>727.3</v>
      </c>
      <c r="AK29">
        <v>700</v>
      </c>
      <c r="AL29">
        <v>1700</v>
      </c>
      <c r="AM29">
        <v>200</v>
      </c>
      <c r="AP29">
        <v>2148</v>
      </c>
      <c r="AQ29">
        <v>700</v>
      </c>
      <c r="AR29">
        <v>700</v>
      </c>
      <c r="AS29">
        <v>4023</v>
      </c>
      <c r="AT29">
        <v>1550</v>
      </c>
      <c r="AU29">
        <v>1000</v>
      </c>
      <c r="AV29">
        <v>2250</v>
      </c>
    </row>
    <row r="30" spans="1:86" x14ac:dyDescent="0.25">
      <c r="A30" s="34" t="s">
        <v>115</v>
      </c>
      <c r="B30" s="34" t="str">
        <f>D1_NOVIEMBRE_2024[[#This Row],[ASESOR]]</f>
        <v>ISABEL BEJARANO</v>
      </c>
      <c r="C30" s="36">
        <f>VLOOKUP(D1_NOVIEMBRE_2024[[#This Row],[SUPER]],DATA_NOVIEMBRE_2024[[SUPERVISOR]:[META]],3,0)</f>
        <v>17000</v>
      </c>
      <c r="D30" s="35">
        <f>D1_NOVIEMBRE_2024[[#This Row],[RECUPERO]]/D1_NOVIEMBRE_2024[[#This Row],[META]]</f>
        <v>1.1764705882352941E-2</v>
      </c>
      <c r="E30" s="35" t="str">
        <f>D1_NOVIEMBRE_2024[[#This Row],[SUPER]]</f>
        <v>MELITA</v>
      </c>
      <c r="F30" t="s">
        <v>83</v>
      </c>
      <c r="G30" s="3">
        <v>200</v>
      </c>
      <c r="H30" t="s">
        <v>435</v>
      </c>
      <c r="I30" s="56">
        <v>44937</v>
      </c>
      <c r="J30" s="56" t="s">
        <v>501</v>
      </c>
      <c r="K30" s="56"/>
      <c r="L30" s="56"/>
      <c r="M30">
        <f>DATA_NOVIEMBRE_2024[[#This Row],[RECUPERO]]/DATA_NOVIEMBRE_2024[[#This Row],[META]]</f>
        <v>0.47957352941176473</v>
      </c>
      <c r="N30" s="5" t="str" cm="1">
        <f t="array" ref="N3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30" t="s">
        <v>4</v>
      </c>
      <c r="P30">
        <f>SUM(DATA_NOVIEMBRE_2024[[#This Row],[1]:[31]])</f>
        <v>32611</v>
      </c>
      <c r="Q30">
        <v>68000</v>
      </c>
      <c r="R30" t="s">
        <v>13</v>
      </c>
      <c r="V30">
        <v>5400</v>
      </c>
      <c r="W30">
        <v>670</v>
      </c>
      <c r="X30">
        <v>2268</v>
      </c>
      <c r="Y30">
        <v>396</v>
      </c>
      <c r="AC30">
        <v>600</v>
      </c>
      <c r="AE30">
        <v>8900</v>
      </c>
      <c r="AJ30">
        <v>1466</v>
      </c>
      <c r="AK30">
        <v>3022</v>
      </c>
      <c r="AN30">
        <v>1337</v>
      </c>
      <c r="AQ30">
        <v>1240</v>
      </c>
      <c r="AT30">
        <v>2730</v>
      </c>
      <c r="AU30">
        <v>3082</v>
      </c>
      <c r="AV30">
        <v>1500</v>
      </c>
    </row>
    <row r="31" spans="1:86" x14ac:dyDescent="0.25">
      <c r="A31" s="34" t="s">
        <v>5</v>
      </c>
      <c r="B31" s="34" t="str">
        <f>D1_NOVIEMBRE_2024[[#This Row],[ASESOR]]</f>
        <v>JAIR MARTINEZ</v>
      </c>
      <c r="C31" s="36">
        <f>VLOOKUP(D1_NOVIEMBRE_2024[[#This Row],[SUPER]],DATA_NOVIEMBRE_2024[[SUPERVISOR]:[META]],3,0)</f>
        <v>23000</v>
      </c>
      <c r="D31" s="35">
        <f>D1_NOVIEMBRE_2024[[#This Row],[RECUPERO]]/D1_NOVIEMBRE_2024[[#This Row],[META]]</f>
        <v>0.46134782608695651</v>
      </c>
      <c r="E31" s="35" t="str">
        <f>D1_NOVIEMBRE_2024[[#This Row],[SUPER]]</f>
        <v>JORDAN</v>
      </c>
      <c r="F31" t="s">
        <v>57</v>
      </c>
      <c r="G31" s="3">
        <v>10611</v>
      </c>
      <c r="H31" t="s">
        <v>443</v>
      </c>
      <c r="I31" s="56">
        <v>45590</v>
      </c>
      <c r="J31" s="56" t="s">
        <v>501</v>
      </c>
      <c r="K31" s="56"/>
      <c r="L31" s="56"/>
      <c r="M31">
        <f>DATA_NOVIEMBRE_2024[[#This Row],[RECUPERO]]/DATA_NOVIEMBRE_2024[[#This Row],[META]]</f>
        <v>0.54521739130434788</v>
      </c>
      <c r="N31" s="5" t="str" cm="1">
        <f t="array" ref="N3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31" t="s">
        <v>5</v>
      </c>
      <c r="P31">
        <f>SUM(DATA_NOVIEMBRE_2024[[#This Row],[1]:[31]])</f>
        <v>12540</v>
      </c>
      <c r="Q31">
        <v>23000</v>
      </c>
      <c r="R31" t="s">
        <v>32</v>
      </c>
      <c r="V31">
        <v>670</v>
      </c>
      <c r="W31">
        <v>570</v>
      </c>
      <c r="X31">
        <v>4500</v>
      </c>
      <c r="Z31">
        <v>600</v>
      </c>
      <c r="AA31">
        <v>200</v>
      </c>
      <c r="AC31">
        <v>600</v>
      </c>
      <c r="AD31">
        <v>500</v>
      </c>
      <c r="AG31">
        <v>100</v>
      </c>
      <c r="AJ31">
        <v>530</v>
      </c>
      <c r="AK31">
        <v>700</v>
      </c>
      <c r="AM31">
        <v>2000</v>
      </c>
      <c r="AN31">
        <v>200</v>
      </c>
      <c r="AQ31">
        <v>390</v>
      </c>
      <c r="AU31">
        <v>450</v>
      </c>
      <c r="AV31">
        <v>530</v>
      </c>
    </row>
    <row r="32" spans="1:86" x14ac:dyDescent="0.25">
      <c r="A32" s="34" t="s">
        <v>115</v>
      </c>
      <c r="B32" s="34" t="str">
        <f>D1_NOVIEMBRE_2024[[#This Row],[ASESOR]]</f>
        <v>JANETH PORTOCARRERO</v>
      </c>
      <c r="C32" s="36">
        <f>VLOOKUP(D1_NOVIEMBRE_2024[[#This Row],[SUPER]],DATA_NOVIEMBRE_2024[[SUPERVISOR]:[META]],3,0)</f>
        <v>17000</v>
      </c>
      <c r="D32" s="35">
        <f>D1_NOVIEMBRE_2024[[#This Row],[RECUPERO]]/D1_NOVIEMBRE_2024[[#This Row],[META]]</f>
        <v>0.54088235294117648</v>
      </c>
      <c r="E32" s="35" t="str">
        <f>D1_NOVIEMBRE_2024[[#This Row],[SUPER]]</f>
        <v>MELITA</v>
      </c>
      <c r="F32" t="s">
        <v>49</v>
      </c>
      <c r="G32" s="3">
        <v>9195</v>
      </c>
      <c r="H32" t="s">
        <v>436</v>
      </c>
      <c r="I32" s="56">
        <v>42814</v>
      </c>
      <c r="J32" s="56" t="s">
        <v>501</v>
      </c>
      <c r="K32" s="56"/>
      <c r="L32" s="56"/>
      <c r="M32">
        <f>DATA_NOVIEMBRE_2024[[#This Row],[RECUPERO]]/DATA_NOVIEMBRE_2024[[#This Row],[META]]</f>
        <v>1.4852941176470588E-2</v>
      </c>
      <c r="N32" s="5" t="str" cm="1">
        <f t="array" ref="N3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32" t="s">
        <v>4</v>
      </c>
      <c r="P32">
        <f>SUM(DATA_NOVIEMBRE_2024[[#This Row],[1]:[31]])</f>
        <v>1010</v>
      </c>
      <c r="Q32">
        <v>68000</v>
      </c>
      <c r="R32" t="s">
        <v>66</v>
      </c>
      <c r="T32">
        <v>745</v>
      </c>
      <c r="Z32">
        <v>265</v>
      </c>
    </row>
    <row r="33" spans="1:48" x14ac:dyDescent="0.25">
      <c r="A33" s="34" t="s">
        <v>5</v>
      </c>
      <c r="B33" s="34" t="str">
        <f>D1_NOVIEMBRE_2024[[#This Row],[ASESOR]]</f>
        <v>JENY LAZARO</v>
      </c>
      <c r="C33" s="36">
        <f>VLOOKUP(D1_NOVIEMBRE_2024[[#This Row],[SUPER]],DATA_NOVIEMBRE_2024[[SUPERVISOR]:[META]],3,0)</f>
        <v>23000</v>
      </c>
      <c r="D33" s="35">
        <f>D1_NOVIEMBRE_2024[[#This Row],[RECUPERO]]/D1_NOVIEMBRE_2024[[#This Row],[META]]</f>
        <v>0.70347826086956522</v>
      </c>
      <c r="E33" s="35" t="str">
        <f>D1_NOVIEMBRE_2024[[#This Row],[SUPER]]</f>
        <v>JORDAN</v>
      </c>
      <c r="F33" t="s">
        <v>26</v>
      </c>
      <c r="G33" s="3">
        <v>16180</v>
      </c>
      <c r="H33" t="s">
        <v>391</v>
      </c>
      <c r="I33" s="56">
        <v>44259</v>
      </c>
      <c r="J33" s="56" t="s">
        <v>501</v>
      </c>
      <c r="K33" s="56"/>
      <c r="L33" s="56"/>
      <c r="M33">
        <f>DATA_NOVIEMBRE_2024[[#This Row],[RECUPERO]]/DATA_NOVIEMBRE_2024[[#This Row],[META]]</f>
        <v>0.20961538461538462</v>
      </c>
      <c r="N33" s="5" t="str" cm="1">
        <f t="array" ref="N3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33" t="s">
        <v>9</v>
      </c>
      <c r="P33">
        <f>SUM(DATA_NOVIEMBRE_2024[[#This Row],[1]:[31]])</f>
        <v>2725</v>
      </c>
      <c r="Q33">
        <v>13000</v>
      </c>
      <c r="R33" t="s">
        <v>71</v>
      </c>
      <c r="W33">
        <v>200</v>
      </c>
      <c r="AD33">
        <v>250</v>
      </c>
      <c r="AE33">
        <v>200</v>
      </c>
      <c r="AN33">
        <v>200</v>
      </c>
      <c r="AQ33">
        <v>600</v>
      </c>
      <c r="AR33">
        <v>225</v>
      </c>
      <c r="AT33">
        <v>650</v>
      </c>
      <c r="AU33">
        <v>200</v>
      </c>
      <c r="AV33">
        <v>200</v>
      </c>
    </row>
    <row r="34" spans="1:48" x14ac:dyDescent="0.25">
      <c r="A34" s="34" t="s">
        <v>4</v>
      </c>
      <c r="B34" s="34" t="str">
        <f>D1_NOVIEMBRE_2024[[#This Row],[ASESOR]]</f>
        <v>JEREMIAS ROJAS</v>
      </c>
      <c r="C34" s="36">
        <f>VLOOKUP(D1_NOVIEMBRE_2024[[#This Row],[SUPER]],DATA_NOVIEMBRE_2024[[SUPERVISOR]:[META]],3,0)</f>
        <v>68000</v>
      </c>
      <c r="D34" s="35">
        <f>D1_NOVIEMBRE_2024[[#This Row],[RECUPERO]]/D1_NOVIEMBRE_2024[[#This Row],[META]]</f>
        <v>0.82323529411764707</v>
      </c>
      <c r="E34" s="35" t="str">
        <f>D1_NOVIEMBRE_2024[[#This Row],[SUPER]]</f>
        <v>MELINA</v>
      </c>
      <c r="F34" t="s">
        <v>122</v>
      </c>
      <c r="G34" s="3">
        <v>55980</v>
      </c>
      <c r="H34" t="s">
        <v>426</v>
      </c>
      <c r="I34" s="56">
        <v>45082</v>
      </c>
      <c r="J34" s="56" t="s">
        <v>501</v>
      </c>
      <c r="K34" s="56"/>
      <c r="L34" s="56"/>
      <c r="M34">
        <f>DATA_NOVIEMBRE_2024[[#This Row],[RECUPERO]]/DATA_NOVIEMBRE_2024[[#This Row],[META]]</f>
        <v>0.33500000000000002</v>
      </c>
      <c r="N34" s="5" t="str" cm="1">
        <f t="array" ref="N3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34" t="s">
        <v>9</v>
      </c>
      <c r="P34">
        <f>SUM(DATA_NOVIEMBRE_2024[[#This Row],[1]:[31]])</f>
        <v>4355</v>
      </c>
      <c r="Q34">
        <v>13000</v>
      </c>
      <c r="R34" t="s">
        <v>127</v>
      </c>
      <c r="W34">
        <v>250</v>
      </c>
      <c r="Y34">
        <v>240</v>
      </c>
      <c r="AC34">
        <v>200</v>
      </c>
      <c r="AE34">
        <v>300</v>
      </c>
      <c r="AN34">
        <v>1900</v>
      </c>
      <c r="AV34">
        <v>1465</v>
      </c>
    </row>
    <row r="35" spans="1:48" x14ac:dyDescent="0.25">
      <c r="A35" s="34" t="s">
        <v>4</v>
      </c>
      <c r="B35" s="34" t="str">
        <f>D1_NOVIEMBRE_2024[[#This Row],[ASESOR]]</f>
        <v>JERSON RIVERA</v>
      </c>
      <c r="C35" s="36">
        <f>VLOOKUP(D1_NOVIEMBRE_2024[[#This Row],[SUPER]],DATA_NOVIEMBRE_2024[[SUPERVISOR]:[META]],3,0)</f>
        <v>68000</v>
      </c>
      <c r="D35" s="35">
        <f>D1_NOVIEMBRE_2024[[#This Row],[RECUPERO]]/D1_NOVIEMBRE_2024[[#This Row],[META]]</f>
        <v>0.30161764705882355</v>
      </c>
      <c r="E35" s="35" t="str">
        <f>D1_NOVIEMBRE_2024[[#This Row],[SUPER]]</f>
        <v>MELINA</v>
      </c>
      <c r="F35" t="s">
        <v>116</v>
      </c>
      <c r="G35" s="3">
        <v>20510</v>
      </c>
      <c r="H35" t="s">
        <v>384</v>
      </c>
      <c r="I35" s="56">
        <v>45075</v>
      </c>
      <c r="J35" s="56" t="s">
        <v>501</v>
      </c>
      <c r="K35" s="56"/>
      <c r="L35" s="56"/>
      <c r="M35">
        <f>DATA_NOVIEMBRE_2024[[#This Row],[RECUPERO]]/DATA_NOVIEMBRE_2024[[#This Row],[META]]</f>
        <v>0.24</v>
      </c>
      <c r="N35" s="5" t="str" cm="1">
        <f t="array" ref="N3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35" t="s">
        <v>9</v>
      </c>
      <c r="P35">
        <f>SUM(DATA_NOVIEMBRE_2024[[#This Row],[1]:[31]])</f>
        <v>3120</v>
      </c>
      <c r="Q35">
        <v>13000</v>
      </c>
      <c r="R35" t="s">
        <v>42</v>
      </c>
      <c r="W35">
        <v>945</v>
      </c>
      <c r="X35">
        <v>700</v>
      </c>
      <c r="AC35">
        <v>485</v>
      </c>
      <c r="AL35">
        <v>220</v>
      </c>
      <c r="AQ35">
        <v>500</v>
      </c>
      <c r="AR35">
        <v>270</v>
      </c>
    </row>
    <row r="36" spans="1:48" x14ac:dyDescent="0.25">
      <c r="A36" s="34" t="s">
        <v>6</v>
      </c>
      <c r="B36" s="34" t="str">
        <f>D1_NOVIEMBRE_2024[[#This Row],[ASESOR]]</f>
        <v>JESSICA CASTRO</v>
      </c>
      <c r="C36" s="36">
        <f>VLOOKUP(D1_NOVIEMBRE_2024[[#This Row],[SUPER]],DATA_NOVIEMBRE_2024[[SUPERVISOR]:[META]],3,0)</f>
        <v>22500</v>
      </c>
      <c r="D36" s="35">
        <f>D1_NOVIEMBRE_2024[[#This Row],[RECUPERO]]/D1_NOVIEMBRE_2024[[#This Row],[META]]</f>
        <v>2.2222222222222223E-2</v>
      </c>
      <c r="E36" s="35" t="str">
        <f>D1_NOVIEMBRE_2024[[#This Row],[SUPER]]</f>
        <v>KENNETH</v>
      </c>
      <c r="F36" t="s">
        <v>551</v>
      </c>
      <c r="G36" s="3">
        <v>500</v>
      </c>
      <c r="H36" t="s">
        <v>553</v>
      </c>
      <c r="I36" s="56">
        <v>45512</v>
      </c>
      <c r="J36" s="56" t="s">
        <v>501</v>
      </c>
      <c r="K36" s="56"/>
      <c r="L36" s="56"/>
      <c r="M36">
        <f>DATA_NOVIEMBRE_2024[[#This Row],[RECUPERO]]/DATA_NOVIEMBRE_2024[[#This Row],[META]]</f>
        <v>1.1764705882352941E-2</v>
      </c>
      <c r="N36" s="5" t="str" cm="1">
        <f t="array" ref="N3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36" t="s">
        <v>115</v>
      </c>
      <c r="P36">
        <f>SUM(DATA_NOVIEMBRE_2024[[#This Row],[1]:[31]])</f>
        <v>200</v>
      </c>
      <c r="Q36">
        <v>17000</v>
      </c>
      <c r="R36" t="s">
        <v>83</v>
      </c>
      <c r="S36">
        <v>200</v>
      </c>
    </row>
    <row r="37" spans="1:48" x14ac:dyDescent="0.25">
      <c r="A37" s="34" t="s">
        <v>115</v>
      </c>
      <c r="B37" s="34" t="str">
        <f>D1_NOVIEMBRE_2024[[#This Row],[ASESOR]]</f>
        <v>JHONATAN CHAVEZ</v>
      </c>
      <c r="C37" s="36">
        <f>VLOOKUP(D1_NOVIEMBRE_2024[[#This Row],[SUPER]],DATA_NOVIEMBRE_2024[[SUPERVISOR]:[META]],3,0)</f>
        <v>17000</v>
      </c>
      <c r="D37" s="35">
        <f>D1_NOVIEMBRE_2024[[#This Row],[RECUPERO]]/D1_NOVIEMBRE_2024[[#This Row],[META]]</f>
        <v>0.50470588235294123</v>
      </c>
      <c r="E37" s="35" t="str">
        <f>D1_NOVIEMBRE_2024[[#This Row],[SUPER]]</f>
        <v>MELITA</v>
      </c>
      <c r="F37" t="s">
        <v>65</v>
      </c>
      <c r="G37" s="3">
        <v>8580</v>
      </c>
      <c r="H37" t="s">
        <v>438</v>
      </c>
      <c r="I37" s="56">
        <v>45021</v>
      </c>
      <c r="J37" s="56" t="s">
        <v>501</v>
      </c>
      <c r="K37" s="56"/>
      <c r="L37" s="56"/>
      <c r="M37">
        <f>DATA_NOVIEMBRE_2024[[#This Row],[RECUPERO]]/DATA_NOVIEMBRE_2024[[#This Row],[META]]</f>
        <v>0.46134782608695651</v>
      </c>
      <c r="N37" s="5" t="str" cm="1">
        <f t="array" ref="N3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37" t="s">
        <v>5</v>
      </c>
      <c r="P37">
        <f>SUM(DATA_NOVIEMBRE_2024[[#This Row],[1]:[31]])</f>
        <v>10611</v>
      </c>
      <c r="Q37">
        <v>23000</v>
      </c>
      <c r="R37" t="s">
        <v>57</v>
      </c>
      <c r="V37">
        <v>268</v>
      </c>
      <c r="W37">
        <v>2500</v>
      </c>
      <c r="AD37">
        <v>750</v>
      </c>
      <c r="AE37">
        <v>2500</v>
      </c>
      <c r="AJ37">
        <v>150</v>
      </c>
      <c r="AN37">
        <v>500</v>
      </c>
      <c r="AR37">
        <v>250</v>
      </c>
      <c r="AS37">
        <v>350</v>
      </c>
      <c r="AT37">
        <v>500</v>
      </c>
      <c r="AU37">
        <v>2843</v>
      </c>
    </row>
    <row r="38" spans="1:48" x14ac:dyDescent="0.25">
      <c r="A38" s="34" t="s">
        <v>3</v>
      </c>
      <c r="B38" s="34" t="str">
        <f>D1_NOVIEMBRE_2024[[#This Row],[ASESOR]]</f>
        <v>JHOVANA TORRES</v>
      </c>
      <c r="C38" s="36">
        <f>VLOOKUP(D1_NOVIEMBRE_2024[[#This Row],[SUPER]],DATA_NOVIEMBRE_2024[[SUPERVISOR]:[META]],3,0)</f>
        <v>68000</v>
      </c>
      <c r="D38" s="35">
        <f>D1_NOVIEMBRE_2024[[#This Row],[RECUPERO]]/D1_NOVIEMBRE_2024[[#This Row],[META]]</f>
        <v>9.5514705882352946E-2</v>
      </c>
      <c r="E38" s="35" t="str">
        <f>D1_NOVIEMBRE_2024[[#This Row],[SUPER]]</f>
        <v>SANDY</v>
      </c>
      <c r="F38" t="s">
        <v>20</v>
      </c>
      <c r="G38" s="3">
        <v>6495</v>
      </c>
      <c r="H38" t="s">
        <v>427</v>
      </c>
      <c r="I38" s="56">
        <v>45142</v>
      </c>
      <c r="J38" s="56" t="s">
        <v>501</v>
      </c>
      <c r="K38" s="56"/>
      <c r="L38" s="56"/>
      <c r="M38">
        <f>DATA_NOVIEMBRE_2024[[#This Row],[RECUPERO]]/DATA_NOVIEMBRE_2024[[#This Row],[META]]</f>
        <v>0.54088235294117648</v>
      </c>
      <c r="N38" s="5" t="str" cm="1">
        <f t="array" ref="N3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38" t="s">
        <v>115</v>
      </c>
      <c r="P38">
        <f>SUM(DATA_NOVIEMBRE_2024[[#This Row],[1]:[31]])</f>
        <v>9195</v>
      </c>
      <c r="Q38">
        <v>17000</v>
      </c>
      <c r="R38" t="s">
        <v>49</v>
      </c>
      <c r="V38">
        <v>400</v>
      </c>
      <c r="W38">
        <v>550</v>
      </c>
      <c r="X38">
        <v>550</v>
      </c>
      <c r="Z38">
        <v>600</v>
      </c>
      <c r="AD38">
        <v>200</v>
      </c>
      <c r="AE38">
        <v>250</v>
      </c>
      <c r="AG38">
        <v>400</v>
      </c>
      <c r="AH38">
        <v>200</v>
      </c>
      <c r="AJ38">
        <v>3200</v>
      </c>
      <c r="AN38">
        <v>250</v>
      </c>
      <c r="AQ38">
        <v>600</v>
      </c>
      <c r="AR38">
        <v>585</v>
      </c>
      <c r="AT38">
        <v>1110</v>
      </c>
      <c r="AU38">
        <v>300</v>
      </c>
    </row>
    <row r="39" spans="1:48" x14ac:dyDescent="0.25">
      <c r="A39" s="34" t="s">
        <v>6</v>
      </c>
      <c r="B39" s="34" t="str">
        <f>D1_NOVIEMBRE_2024[[#This Row],[ASESOR]]</f>
        <v>JIMENA MEDINA</v>
      </c>
      <c r="C39" s="36">
        <f>VLOOKUP(D1_NOVIEMBRE_2024[[#This Row],[SUPER]],DATA_NOVIEMBRE_2024[[SUPERVISOR]:[META]],3,0)</f>
        <v>22500</v>
      </c>
      <c r="D39" s="35">
        <f>D1_NOVIEMBRE_2024[[#This Row],[RECUPERO]]/D1_NOVIEMBRE_2024[[#This Row],[META]]</f>
        <v>0.49526666666666669</v>
      </c>
      <c r="E39" s="35" t="str">
        <f>D1_NOVIEMBRE_2024[[#This Row],[SUPER]]</f>
        <v>KENNETH</v>
      </c>
      <c r="F39" t="s">
        <v>37</v>
      </c>
      <c r="G39" s="3">
        <v>11143.5</v>
      </c>
      <c r="H39" t="s">
        <v>400</v>
      </c>
      <c r="I39" s="56">
        <v>43132</v>
      </c>
      <c r="J39" s="56" t="s">
        <v>501</v>
      </c>
      <c r="K39" s="56"/>
      <c r="L39" s="56"/>
      <c r="M39">
        <f>DATA_NOVIEMBRE_2024[[#This Row],[RECUPERO]]/DATA_NOVIEMBRE_2024[[#This Row],[META]]</f>
        <v>0.70347826086956522</v>
      </c>
      <c r="N39" s="5" t="str" cm="1">
        <f t="array" ref="N3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39" t="s">
        <v>5</v>
      </c>
      <c r="P39">
        <f>SUM(DATA_NOVIEMBRE_2024[[#This Row],[1]:[31]])</f>
        <v>16180</v>
      </c>
      <c r="Q39">
        <v>23000</v>
      </c>
      <c r="R39" t="s">
        <v>26</v>
      </c>
      <c r="W39">
        <v>500</v>
      </c>
      <c r="X39">
        <v>150</v>
      </c>
      <c r="Y39">
        <v>1700</v>
      </c>
      <c r="AC39">
        <v>4000</v>
      </c>
      <c r="AF39">
        <v>410</v>
      </c>
      <c r="AG39">
        <v>1000</v>
      </c>
      <c r="AK39">
        <v>1300</v>
      </c>
      <c r="AN39">
        <v>1000</v>
      </c>
      <c r="AQ39">
        <v>720</v>
      </c>
      <c r="AR39">
        <v>0</v>
      </c>
      <c r="AS39">
        <v>1230</v>
      </c>
      <c r="AT39">
        <v>1390</v>
      </c>
      <c r="AU39">
        <v>2180</v>
      </c>
      <c r="AV39">
        <v>600</v>
      </c>
    </row>
    <row r="40" spans="1:48" x14ac:dyDescent="0.25">
      <c r="A40" s="34" t="s">
        <v>5</v>
      </c>
      <c r="B40" s="34" t="str">
        <f>D1_NOVIEMBRE_2024[[#This Row],[ASESOR]]</f>
        <v>JOANA GIL</v>
      </c>
      <c r="C40" s="36">
        <f>VLOOKUP(D1_NOVIEMBRE_2024[[#This Row],[SUPER]],DATA_NOVIEMBRE_2024[[SUPERVISOR]:[META]],3,0)</f>
        <v>23000</v>
      </c>
      <c r="D40" s="35">
        <f>D1_NOVIEMBRE_2024[[#This Row],[RECUPERO]]/D1_NOVIEMBRE_2024[[#This Row],[META]]</f>
        <v>0.95417391304347821</v>
      </c>
      <c r="E40" s="35" t="str">
        <f>D1_NOVIEMBRE_2024[[#This Row],[SUPER]]</f>
        <v>JORDAN</v>
      </c>
      <c r="F40" t="s">
        <v>106</v>
      </c>
      <c r="G40" s="3">
        <v>21946</v>
      </c>
      <c r="H40" t="s">
        <v>392</v>
      </c>
      <c r="I40" s="56">
        <v>44748</v>
      </c>
      <c r="J40" s="56" t="s">
        <v>501</v>
      </c>
      <c r="K40" s="56"/>
      <c r="L40" s="56"/>
      <c r="M40">
        <f>DATA_NOVIEMBRE_2024[[#This Row],[RECUPERO]]/DATA_NOVIEMBRE_2024[[#This Row],[META]]</f>
        <v>0.82323529411764707</v>
      </c>
      <c r="N40" s="5" t="str" cm="1">
        <f t="array" ref="N4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40" t="s">
        <v>4</v>
      </c>
      <c r="P40">
        <f>SUM(DATA_NOVIEMBRE_2024[[#This Row],[1]:[31]])</f>
        <v>55980</v>
      </c>
      <c r="Q40">
        <v>68000</v>
      </c>
      <c r="R40" t="s">
        <v>122</v>
      </c>
      <c r="T40">
        <v>500</v>
      </c>
      <c r="V40">
        <v>4000</v>
      </c>
      <c r="W40">
        <v>1100</v>
      </c>
      <c r="Y40">
        <v>10000</v>
      </c>
      <c r="AD40">
        <v>1565</v>
      </c>
      <c r="AE40">
        <v>11900</v>
      </c>
      <c r="AH40">
        <v>300</v>
      </c>
      <c r="AM40">
        <v>1500</v>
      </c>
      <c r="AN40">
        <v>1000</v>
      </c>
      <c r="AO40">
        <v>300</v>
      </c>
      <c r="AQ40">
        <v>670</v>
      </c>
      <c r="AR40">
        <v>2245</v>
      </c>
      <c r="AS40">
        <v>6000</v>
      </c>
      <c r="AT40">
        <v>9580</v>
      </c>
      <c r="AU40">
        <v>2400</v>
      </c>
      <c r="AV40">
        <v>2920</v>
      </c>
    </row>
    <row r="41" spans="1:48" x14ac:dyDescent="0.25">
      <c r="A41" s="34" t="s">
        <v>5</v>
      </c>
      <c r="B41" s="34" t="str">
        <f>D1_NOVIEMBRE_2024[[#This Row],[ASESOR]]</f>
        <v>JUAN ALANOCCA</v>
      </c>
      <c r="C41" s="36">
        <f>VLOOKUP(D1_NOVIEMBRE_2024[[#This Row],[SUPER]],DATA_NOVIEMBRE_2024[[SUPERVISOR]:[META]],3,0)</f>
        <v>23000</v>
      </c>
      <c r="D41" s="35">
        <f>D1_NOVIEMBRE_2024[[#This Row],[RECUPERO]]/D1_NOVIEMBRE_2024[[#This Row],[META]]</f>
        <v>1.0096956521739131</v>
      </c>
      <c r="E41" s="35" t="str">
        <f>D1_NOVIEMBRE_2024[[#This Row],[SUPER]]</f>
        <v>JORDAN</v>
      </c>
      <c r="F41" t="s">
        <v>77</v>
      </c>
      <c r="G41" s="3">
        <v>23223</v>
      </c>
      <c r="H41" t="s">
        <v>393</v>
      </c>
      <c r="I41" s="56">
        <v>44840</v>
      </c>
      <c r="J41" s="56" t="s">
        <v>501</v>
      </c>
      <c r="K41" s="56"/>
      <c r="L41" s="56"/>
      <c r="M41">
        <f>DATA_NOVIEMBRE_2024[[#This Row],[RECUPERO]]/DATA_NOVIEMBRE_2024[[#This Row],[META]]</f>
        <v>0.30161764705882355</v>
      </c>
      <c r="N41" s="5" t="str" cm="1">
        <f t="array" ref="N4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41" t="s">
        <v>4</v>
      </c>
      <c r="P41">
        <f>SUM(DATA_NOVIEMBRE_2024[[#This Row],[1]:[31]])</f>
        <v>20510</v>
      </c>
      <c r="Q41">
        <v>68000</v>
      </c>
      <c r="R41" t="s">
        <v>116</v>
      </c>
      <c r="W41">
        <v>200</v>
      </c>
      <c r="Z41">
        <v>400</v>
      </c>
      <c r="AA41">
        <v>1552</v>
      </c>
      <c r="AD41">
        <v>318</v>
      </c>
      <c r="AQ41">
        <v>4900</v>
      </c>
      <c r="AR41">
        <v>700</v>
      </c>
      <c r="AT41">
        <v>4500</v>
      </c>
      <c r="AU41">
        <v>4570</v>
      </c>
      <c r="AV41">
        <v>3370</v>
      </c>
    </row>
    <row r="42" spans="1:48" x14ac:dyDescent="0.25">
      <c r="A42" s="34" t="s">
        <v>6</v>
      </c>
      <c r="B42" s="34" t="str">
        <f>D1_NOVIEMBRE_2024[[#This Row],[ASESOR]]</f>
        <v>JUAN LOZA</v>
      </c>
      <c r="C42" s="36">
        <f>VLOOKUP(D1_NOVIEMBRE_2024[[#This Row],[SUPER]],DATA_NOVIEMBRE_2024[[SUPERVISOR]:[META]],3,0)</f>
        <v>22500</v>
      </c>
      <c r="D42" s="35">
        <f>D1_NOVIEMBRE_2024[[#This Row],[RECUPERO]]/D1_NOVIEMBRE_2024[[#This Row],[META]]</f>
        <v>0.50577777777777777</v>
      </c>
      <c r="E42" s="35" t="str">
        <f>D1_NOVIEMBRE_2024[[#This Row],[SUPER]]</f>
        <v>KENNETH</v>
      </c>
      <c r="F42" t="s">
        <v>35</v>
      </c>
      <c r="G42" s="3">
        <v>11380</v>
      </c>
      <c r="H42" t="s">
        <v>401</v>
      </c>
      <c r="I42" s="56">
        <v>44748</v>
      </c>
      <c r="J42" s="56" t="s">
        <v>501</v>
      </c>
      <c r="K42" s="56"/>
      <c r="L42" s="56"/>
      <c r="M42">
        <f>DATA_NOVIEMBRE_2024[[#This Row],[RECUPERO]]/DATA_NOVIEMBRE_2024[[#This Row],[META]]</f>
        <v>2.2222222222222223E-2</v>
      </c>
      <c r="N42" s="5" t="str" cm="1">
        <f t="array" ref="N4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42" t="s">
        <v>6</v>
      </c>
      <c r="P42">
        <f>SUM(DATA_NOVIEMBRE_2024[[#This Row],[1]:[31]])</f>
        <v>500</v>
      </c>
      <c r="Q42">
        <v>22500</v>
      </c>
      <c r="R42" t="s">
        <v>551</v>
      </c>
      <c r="AR42">
        <v>500</v>
      </c>
    </row>
    <row r="43" spans="1:48" x14ac:dyDescent="0.25">
      <c r="A43" s="34" t="s">
        <v>5</v>
      </c>
      <c r="B43" s="34" t="str">
        <f>D1_NOVIEMBRE_2024[[#This Row],[ASESOR]]</f>
        <v>KATYUSCA LEVANO</v>
      </c>
      <c r="C43" s="36">
        <f>VLOOKUP(D1_NOVIEMBRE_2024[[#This Row],[SUPER]],DATA_NOVIEMBRE_2024[[SUPERVISOR]:[META]],3,0)</f>
        <v>23000</v>
      </c>
      <c r="D43" s="35">
        <f>D1_NOVIEMBRE_2024[[#This Row],[RECUPERO]]/D1_NOVIEMBRE_2024[[#This Row],[META]]</f>
        <v>0.3155217391304348</v>
      </c>
      <c r="E43" s="35" t="str">
        <f>D1_NOVIEMBRE_2024[[#This Row],[SUPER]]</f>
        <v>JORDAN</v>
      </c>
      <c r="F43" t="s">
        <v>46</v>
      </c>
      <c r="G43" s="3">
        <v>7257</v>
      </c>
      <c r="H43" t="s">
        <v>394</v>
      </c>
      <c r="I43" s="56">
        <v>45344</v>
      </c>
      <c r="J43" s="56" t="s">
        <v>501</v>
      </c>
      <c r="K43" s="56"/>
      <c r="L43" s="56"/>
      <c r="M43">
        <f>DATA_NOVIEMBRE_2024[[#This Row],[RECUPERO]]/DATA_NOVIEMBRE_2024[[#This Row],[META]]</f>
        <v>0.50470588235294123</v>
      </c>
      <c r="N43" s="5" t="str" cm="1">
        <f t="array" ref="N4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43" t="s">
        <v>115</v>
      </c>
      <c r="P43">
        <f>SUM(DATA_NOVIEMBRE_2024[[#This Row],[1]:[31]])</f>
        <v>8580</v>
      </c>
      <c r="Q43">
        <v>17000</v>
      </c>
      <c r="R43" t="s">
        <v>65</v>
      </c>
      <c r="V43">
        <v>100</v>
      </c>
      <c r="W43">
        <v>100</v>
      </c>
      <c r="AD43">
        <v>1500</v>
      </c>
      <c r="AE43">
        <v>245</v>
      </c>
      <c r="AH43">
        <v>310</v>
      </c>
      <c r="AJ43">
        <v>800</v>
      </c>
      <c r="AK43">
        <v>500</v>
      </c>
      <c r="AL43">
        <v>530</v>
      </c>
      <c r="AM43">
        <v>680</v>
      </c>
      <c r="AQ43">
        <v>825</v>
      </c>
      <c r="AS43">
        <v>905</v>
      </c>
      <c r="AT43">
        <v>770</v>
      </c>
      <c r="AU43">
        <v>645</v>
      </c>
      <c r="AV43">
        <v>670</v>
      </c>
    </row>
    <row r="44" spans="1:48" x14ac:dyDescent="0.25">
      <c r="A44" s="34" t="s">
        <v>6</v>
      </c>
      <c r="B44" s="34" t="str">
        <f>D1_NOVIEMBRE_2024[[#This Row],[ASESOR]]</f>
        <v>KIARA CANEPA</v>
      </c>
      <c r="C44" s="36">
        <f>VLOOKUP(D1_NOVIEMBRE_2024[[#This Row],[SUPER]],DATA_NOVIEMBRE_2024[[SUPERVISOR]:[META]],3,0)</f>
        <v>22500</v>
      </c>
      <c r="D44" s="35">
        <f>D1_NOVIEMBRE_2024[[#This Row],[RECUPERO]]/D1_NOVIEMBRE_2024[[#This Row],[META]]</f>
        <v>0.20853333333333332</v>
      </c>
      <c r="E44" s="35" t="str">
        <f>D1_NOVIEMBRE_2024[[#This Row],[SUPER]]</f>
        <v>KENNETH</v>
      </c>
      <c r="F44" t="s">
        <v>50</v>
      </c>
      <c r="G44" s="3">
        <v>4692</v>
      </c>
      <c r="H44" t="s">
        <v>402</v>
      </c>
      <c r="I44" s="56">
        <v>45523</v>
      </c>
      <c r="J44" s="56" t="s">
        <v>501</v>
      </c>
      <c r="K44" s="56"/>
      <c r="L44" s="56"/>
      <c r="M44">
        <f>DATA_NOVIEMBRE_2024[[#This Row],[RECUPERO]]/DATA_NOVIEMBRE_2024[[#This Row],[META]]</f>
        <v>9.5514705882352946E-2</v>
      </c>
      <c r="N44" s="5" t="str" cm="1">
        <f t="array" ref="N4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44" t="s">
        <v>3</v>
      </c>
      <c r="P44">
        <f>SUM(DATA_NOVIEMBRE_2024[[#This Row],[1]:[31]])</f>
        <v>6495</v>
      </c>
      <c r="Q44">
        <v>68000</v>
      </c>
      <c r="R44" t="s">
        <v>20</v>
      </c>
      <c r="V44">
        <v>2290</v>
      </c>
      <c r="AA44">
        <v>205</v>
      </c>
      <c r="AD44">
        <v>600</v>
      </c>
      <c r="AJ44">
        <v>1400</v>
      </c>
      <c r="AL44">
        <v>2000</v>
      </c>
    </row>
    <row r="45" spans="1:48" x14ac:dyDescent="0.25">
      <c r="A45" s="34" t="s">
        <v>115</v>
      </c>
      <c r="B45" s="34" t="str">
        <f>D1_NOVIEMBRE_2024[[#This Row],[ASESOR]]</f>
        <v>LINDA TUESTA</v>
      </c>
      <c r="C45" s="36">
        <f>VLOOKUP(D1_NOVIEMBRE_2024[[#This Row],[SUPER]],DATA_NOVIEMBRE_2024[[SUPERVISOR]:[META]],3,0)</f>
        <v>17000</v>
      </c>
      <c r="D45" s="35">
        <f>D1_NOVIEMBRE_2024[[#This Row],[RECUPERO]]/D1_NOVIEMBRE_2024[[#This Row],[META]]</f>
        <v>0.54364705882352937</v>
      </c>
      <c r="E45" s="35" t="str">
        <f>D1_NOVIEMBRE_2024[[#This Row],[SUPER]]</f>
        <v>MELITA</v>
      </c>
      <c r="F45" t="s">
        <v>33</v>
      </c>
      <c r="G45" s="3">
        <v>9242</v>
      </c>
      <c r="H45" t="s">
        <v>439</v>
      </c>
      <c r="I45" s="56">
        <v>44869</v>
      </c>
      <c r="J45" s="56" t="s">
        <v>501</v>
      </c>
      <c r="K45" s="56"/>
      <c r="L45" s="56"/>
      <c r="M45">
        <f>DATA_NOVIEMBRE_2024[[#This Row],[RECUPERO]]/DATA_NOVIEMBRE_2024[[#This Row],[META]]</f>
        <v>0.49526666666666669</v>
      </c>
      <c r="N45" s="5" t="str" cm="1">
        <f t="array" ref="N4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45" t="s">
        <v>6</v>
      </c>
      <c r="P45">
        <f>SUM(DATA_NOVIEMBRE_2024[[#This Row],[1]:[31]])</f>
        <v>11143.5</v>
      </c>
      <c r="Q45">
        <v>22500</v>
      </c>
      <c r="R45" t="s">
        <v>37</v>
      </c>
      <c r="Z45">
        <v>750</v>
      </c>
      <c r="AD45">
        <v>1000</v>
      </c>
      <c r="AM45">
        <v>5000</v>
      </c>
      <c r="AR45">
        <v>240</v>
      </c>
      <c r="AU45">
        <v>4153.5</v>
      </c>
    </row>
    <row r="46" spans="1:48" x14ac:dyDescent="0.25">
      <c r="A46" s="34" t="s">
        <v>3</v>
      </c>
      <c r="B46" s="34" t="str">
        <f>D1_NOVIEMBRE_2024[[#This Row],[ASESOR]]</f>
        <v>LISBETH RODRIGUEZ</v>
      </c>
      <c r="C46" s="36">
        <f>VLOOKUP(D1_NOVIEMBRE_2024[[#This Row],[SUPER]],DATA_NOVIEMBRE_2024[[SUPERVISOR]:[META]],3,0)</f>
        <v>68000</v>
      </c>
      <c r="D46" s="35">
        <f>D1_NOVIEMBRE_2024[[#This Row],[RECUPERO]]/D1_NOVIEMBRE_2024[[#This Row],[META]]</f>
        <v>0.33324999999999999</v>
      </c>
      <c r="E46" s="35" t="str">
        <f>D1_NOVIEMBRE_2024[[#This Row],[SUPER]]</f>
        <v>SANDY</v>
      </c>
      <c r="F46" t="s">
        <v>541</v>
      </c>
      <c r="G46" s="3">
        <v>22661</v>
      </c>
      <c r="H46" t="s">
        <v>542</v>
      </c>
      <c r="I46" s="56">
        <v>45131</v>
      </c>
      <c r="J46" s="56" t="s">
        <v>501</v>
      </c>
      <c r="K46" s="56"/>
      <c r="L46" s="56"/>
      <c r="M46">
        <f>DATA_NOVIEMBRE_2024[[#This Row],[RECUPERO]]/DATA_NOVIEMBRE_2024[[#This Row],[META]]</f>
        <v>0.95417391304347821</v>
      </c>
      <c r="N46" s="5" t="str" cm="1">
        <f t="array" ref="N4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46" t="s">
        <v>5</v>
      </c>
      <c r="P46">
        <f>SUM(DATA_NOVIEMBRE_2024[[#This Row],[1]:[31]])</f>
        <v>21946</v>
      </c>
      <c r="Q46">
        <v>23000</v>
      </c>
      <c r="R46" t="s">
        <v>106</v>
      </c>
      <c r="W46">
        <v>2700</v>
      </c>
      <c r="X46">
        <v>200</v>
      </c>
      <c r="Y46">
        <v>950</v>
      </c>
      <c r="Z46">
        <v>200</v>
      </c>
      <c r="AC46">
        <v>1000</v>
      </c>
      <c r="AD46">
        <v>210</v>
      </c>
      <c r="AE46">
        <v>4000</v>
      </c>
      <c r="AK46">
        <v>500</v>
      </c>
      <c r="AM46">
        <v>240</v>
      </c>
      <c r="AN46">
        <v>1690</v>
      </c>
      <c r="AQ46">
        <v>352</v>
      </c>
      <c r="AS46">
        <v>200</v>
      </c>
      <c r="AT46">
        <v>3950</v>
      </c>
      <c r="AU46">
        <v>4350</v>
      </c>
      <c r="AV46">
        <v>1404</v>
      </c>
    </row>
    <row r="47" spans="1:48" x14ac:dyDescent="0.25">
      <c r="A47" s="34" t="s">
        <v>3</v>
      </c>
      <c r="B47" s="34" t="str">
        <f>D1_NOVIEMBRE_2024[[#This Row],[ASESOR]]</f>
        <v>LISELY MERA</v>
      </c>
      <c r="C47" s="36">
        <f>VLOOKUP(D1_NOVIEMBRE_2024[[#This Row],[SUPER]],DATA_NOVIEMBRE_2024[[SUPERVISOR]:[META]],3,0)</f>
        <v>68000</v>
      </c>
      <c r="D47" s="35">
        <f>D1_NOVIEMBRE_2024[[#This Row],[RECUPERO]]/D1_NOVIEMBRE_2024[[#This Row],[META]]</f>
        <v>1.6952720588235295</v>
      </c>
      <c r="E47" s="35" t="str">
        <f>D1_NOVIEMBRE_2024[[#This Row],[SUPER]]</f>
        <v>SANDY</v>
      </c>
      <c r="F47" t="s">
        <v>23</v>
      </c>
      <c r="G47" s="3">
        <v>115278.5</v>
      </c>
      <c r="H47" t="s">
        <v>445</v>
      </c>
      <c r="I47" s="56">
        <v>44111</v>
      </c>
      <c r="J47" s="56" t="s">
        <v>501</v>
      </c>
      <c r="K47" s="56"/>
      <c r="L47" s="56"/>
      <c r="M47">
        <f>DATA_NOVIEMBRE_2024[[#This Row],[RECUPERO]]/DATA_NOVIEMBRE_2024[[#This Row],[META]]</f>
        <v>1.0096956521739131</v>
      </c>
      <c r="N47" s="5" t="str" cm="1">
        <f t="array" ref="N4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&gt;100%</v>
      </c>
      <c r="O47" t="s">
        <v>5</v>
      </c>
      <c r="P47">
        <f>SUM(DATA_NOVIEMBRE_2024[[#This Row],[1]:[31]])</f>
        <v>23223</v>
      </c>
      <c r="Q47">
        <v>23000</v>
      </c>
      <c r="R47" t="s">
        <v>77</v>
      </c>
      <c r="S47">
        <v>250</v>
      </c>
      <c r="X47">
        <v>1000</v>
      </c>
      <c r="Z47">
        <v>5000</v>
      </c>
      <c r="AD47">
        <v>2450</v>
      </c>
      <c r="AE47">
        <v>50</v>
      </c>
      <c r="AJ47">
        <v>1000</v>
      </c>
      <c r="AM47">
        <v>100</v>
      </c>
      <c r="AQ47">
        <v>100</v>
      </c>
      <c r="AR47">
        <v>9988</v>
      </c>
      <c r="AS47">
        <v>1585</v>
      </c>
      <c r="AU47">
        <v>300</v>
      </c>
      <c r="AV47">
        <v>1400</v>
      </c>
    </row>
    <row r="48" spans="1:48" x14ac:dyDescent="0.25">
      <c r="A48" s="34" t="s">
        <v>115</v>
      </c>
      <c r="B48" s="34" t="str">
        <f>D1_NOVIEMBRE_2024[[#This Row],[ASESOR]]</f>
        <v>LIZ INGA</v>
      </c>
      <c r="C48" s="36">
        <f>VLOOKUP(D1_NOVIEMBRE_2024[[#This Row],[SUPER]],DATA_NOVIEMBRE_2024[[SUPERVISOR]:[META]],3,0)</f>
        <v>17000</v>
      </c>
      <c r="D48" s="35">
        <f>D1_NOVIEMBRE_2024[[#This Row],[RECUPERO]]/D1_NOVIEMBRE_2024[[#This Row],[META]]</f>
        <v>0.95229411764705885</v>
      </c>
      <c r="E48" s="35" t="str">
        <f>D1_NOVIEMBRE_2024[[#This Row],[SUPER]]</f>
        <v>MELITA</v>
      </c>
      <c r="F48" t="s">
        <v>552</v>
      </c>
      <c r="G48" s="3">
        <v>16189</v>
      </c>
      <c r="H48" t="s">
        <v>554</v>
      </c>
      <c r="I48" s="56">
        <v>44830</v>
      </c>
      <c r="J48" s="56" t="s">
        <v>501</v>
      </c>
      <c r="K48" s="56"/>
      <c r="L48" s="56"/>
      <c r="M48">
        <f>DATA_NOVIEMBRE_2024[[#This Row],[RECUPERO]]/DATA_NOVIEMBRE_2024[[#This Row],[META]]</f>
        <v>0.50577777777777777</v>
      </c>
      <c r="N48" s="5" t="str" cm="1">
        <f t="array" ref="N4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48" t="s">
        <v>6</v>
      </c>
      <c r="P48">
        <f>SUM(DATA_NOVIEMBRE_2024[[#This Row],[1]:[31]])</f>
        <v>11380</v>
      </c>
      <c r="Q48">
        <v>22500</v>
      </c>
      <c r="R48" t="s">
        <v>35</v>
      </c>
      <c r="U48">
        <v>0</v>
      </c>
      <c r="AA48">
        <v>500</v>
      </c>
      <c r="AC48">
        <v>230</v>
      </c>
      <c r="AH48">
        <v>0</v>
      </c>
      <c r="AI48">
        <v>400</v>
      </c>
      <c r="AJ48">
        <v>750</v>
      </c>
      <c r="AL48">
        <v>700</v>
      </c>
      <c r="AN48">
        <v>5000</v>
      </c>
      <c r="AU48">
        <v>1800</v>
      </c>
      <c r="AV48">
        <v>2000</v>
      </c>
    </row>
    <row r="49" spans="1:48" x14ac:dyDescent="0.25">
      <c r="A49" s="34" t="s">
        <v>6</v>
      </c>
      <c r="B49" s="34" t="str">
        <f>D1_NOVIEMBRE_2024[[#This Row],[ASESOR]]</f>
        <v>LUIS CENTENO</v>
      </c>
      <c r="C49" s="36">
        <f>VLOOKUP(D1_NOVIEMBRE_2024[[#This Row],[SUPER]],DATA_NOVIEMBRE_2024[[SUPERVISOR]:[META]],3,0)</f>
        <v>22500</v>
      </c>
      <c r="D49" s="35">
        <f>D1_NOVIEMBRE_2024[[#This Row],[RECUPERO]]/D1_NOVIEMBRE_2024[[#This Row],[META]]</f>
        <v>0.38311111111111112</v>
      </c>
      <c r="E49" s="35" t="str">
        <f>D1_NOVIEMBRE_2024[[#This Row],[SUPER]]</f>
        <v>KENNETH</v>
      </c>
      <c r="F49" t="s">
        <v>31</v>
      </c>
      <c r="G49" s="3">
        <v>8620</v>
      </c>
      <c r="H49" t="s">
        <v>403</v>
      </c>
      <c r="I49" s="56">
        <v>45334</v>
      </c>
      <c r="J49" s="56" t="s">
        <v>501</v>
      </c>
      <c r="K49" s="56"/>
      <c r="L49" s="56"/>
      <c r="M49">
        <f>DATA_NOVIEMBRE_2024[[#This Row],[RECUPERO]]/DATA_NOVIEMBRE_2024[[#This Row],[META]]</f>
        <v>0.3155217391304348</v>
      </c>
      <c r="N49" s="5" t="str" cm="1">
        <f t="array" ref="N4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49" t="s">
        <v>5</v>
      </c>
      <c r="P49">
        <f>SUM(DATA_NOVIEMBRE_2024[[#This Row],[1]:[31]])</f>
        <v>7257</v>
      </c>
      <c r="Q49">
        <v>23000</v>
      </c>
      <c r="R49" t="s">
        <v>46</v>
      </c>
      <c r="Y49">
        <v>2500</v>
      </c>
      <c r="Z49">
        <v>250</v>
      </c>
      <c r="AH49">
        <v>150</v>
      </c>
      <c r="AJ49">
        <v>1000</v>
      </c>
      <c r="AN49">
        <v>200</v>
      </c>
      <c r="AQ49">
        <v>200</v>
      </c>
      <c r="AR49">
        <v>350</v>
      </c>
      <c r="AS49">
        <v>300</v>
      </c>
      <c r="AV49">
        <v>2307</v>
      </c>
    </row>
    <row r="50" spans="1:48" x14ac:dyDescent="0.25">
      <c r="A50" s="34" t="s">
        <v>9</v>
      </c>
      <c r="B50" s="34" t="str">
        <f>D1_NOVIEMBRE_2024[[#This Row],[ASESOR]]</f>
        <v>LUIS VALLADARES</v>
      </c>
      <c r="C50" s="36">
        <f>VLOOKUP(D1_NOVIEMBRE_2024[[#This Row],[SUPER]],DATA_NOVIEMBRE_2024[[SUPERVISOR]:[META]],3,0)</f>
        <v>13000</v>
      </c>
      <c r="D50" s="35">
        <f>D1_NOVIEMBRE_2024[[#This Row],[RECUPERO]]/D1_NOVIEMBRE_2024[[#This Row],[META]]</f>
        <v>1.1035384615384616</v>
      </c>
      <c r="E50" s="35" t="str">
        <f>D1_NOVIEMBRE_2024[[#This Row],[SUPER]]</f>
        <v>LUIS</v>
      </c>
      <c r="F50" t="s">
        <v>29</v>
      </c>
      <c r="G50" s="3">
        <v>14346</v>
      </c>
      <c r="H50" t="s">
        <v>416</v>
      </c>
      <c r="I50" s="56">
        <v>44687</v>
      </c>
      <c r="J50" s="56" t="s">
        <v>501</v>
      </c>
      <c r="K50" s="56"/>
      <c r="L50" s="56"/>
      <c r="M50">
        <f>DATA_NOVIEMBRE_2024[[#This Row],[RECUPERO]]/DATA_NOVIEMBRE_2024[[#This Row],[META]]</f>
        <v>0.20853333333333332</v>
      </c>
      <c r="N50" s="5" t="str" cm="1">
        <f t="array" ref="N5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50" t="s">
        <v>6</v>
      </c>
      <c r="P50">
        <f>SUM(DATA_NOVIEMBRE_2024[[#This Row],[1]:[31]])</f>
        <v>4692</v>
      </c>
      <c r="Q50">
        <v>22500</v>
      </c>
      <c r="R50" t="s">
        <v>50</v>
      </c>
      <c r="V50">
        <v>211</v>
      </c>
      <c r="W50">
        <v>1000</v>
      </c>
      <c r="Y50">
        <v>321</v>
      </c>
      <c r="AM50">
        <v>300</v>
      </c>
      <c r="AN50">
        <v>660</v>
      </c>
      <c r="AV50">
        <v>2200</v>
      </c>
    </row>
    <row r="51" spans="1:48" x14ac:dyDescent="0.25">
      <c r="A51" s="34" t="s">
        <v>3</v>
      </c>
      <c r="B51" s="34" t="str">
        <f>D1_NOVIEMBRE_2024[[#This Row],[ASESOR]]</f>
        <v>MALORY MONTEBLANCO</v>
      </c>
      <c r="C51" s="36">
        <f>VLOOKUP(D1_NOVIEMBRE_2024[[#This Row],[SUPER]],DATA_NOVIEMBRE_2024[[SUPERVISOR]:[META]],3,0)</f>
        <v>68000</v>
      </c>
      <c r="D51" s="35">
        <f>D1_NOVIEMBRE_2024[[#This Row],[RECUPERO]]/D1_NOVIEMBRE_2024[[#This Row],[META]]</f>
        <v>0.88885294117647062</v>
      </c>
      <c r="E51" s="35" t="str">
        <f>D1_NOVIEMBRE_2024[[#This Row],[SUPER]]</f>
        <v>SANDY</v>
      </c>
      <c r="F51" t="s">
        <v>25</v>
      </c>
      <c r="G51" s="3">
        <v>60442</v>
      </c>
      <c r="H51" t="s">
        <v>446</v>
      </c>
      <c r="I51" s="56">
        <v>44820</v>
      </c>
      <c r="J51" s="56" t="s">
        <v>501</v>
      </c>
      <c r="K51" s="56"/>
      <c r="L51" s="56"/>
      <c r="M51">
        <f>DATA_NOVIEMBRE_2024[[#This Row],[RECUPERO]]/DATA_NOVIEMBRE_2024[[#This Row],[META]]</f>
        <v>0.54364705882352937</v>
      </c>
      <c r="N51" s="5" t="str" cm="1">
        <f t="array" ref="N5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51" t="s">
        <v>115</v>
      </c>
      <c r="P51">
        <f>SUM(DATA_NOVIEMBRE_2024[[#This Row],[1]:[31]])</f>
        <v>9242</v>
      </c>
      <c r="Q51">
        <v>17000</v>
      </c>
      <c r="R51" t="s">
        <v>33</v>
      </c>
      <c r="V51">
        <v>420</v>
      </c>
      <c r="W51">
        <v>450</v>
      </c>
      <c r="Z51">
        <v>150</v>
      </c>
      <c r="AC51">
        <v>1800</v>
      </c>
      <c r="AD51">
        <v>400</v>
      </c>
      <c r="AE51">
        <v>760</v>
      </c>
      <c r="AJ51">
        <v>1085</v>
      </c>
      <c r="AK51">
        <v>420</v>
      </c>
      <c r="AL51">
        <v>250</v>
      </c>
      <c r="AM51">
        <v>327</v>
      </c>
      <c r="AQ51">
        <v>75</v>
      </c>
      <c r="AR51">
        <v>680</v>
      </c>
      <c r="AS51">
        <v>450</v>
      </c>
      <c r="AT51">
        <v>600</v>
      </c>
      <c r="AU51">
        <v>1200</v>
      </c>
      <c r="AV51">
        <v>175</v>
      </c>
    </row>
    <row r="52" spans="1:48" x14ac:dyDescent="0.25">
      <c r="A52" s="34" t="s">
        <v>2</v>
      </c>
      <c r="B52" s="34" t="str">
        <f>D1_NOVIEMBRE_2024[[#This Row],[ASESOR]]</f>
        <v>MARCELIT LOPEZ</v>
      </c>
      <c r="C52" s="36">
        <f>VLOOKUP(D1_NOVIEMBRE_2024[[#This Row],[SUPER]],DATA_NOVIEMBRE_2024[[SUPERVISOR]:[META]],3,0)</f>
        <v>25000</v>
      </c>
      <c r="D52" s="35">
        <f>D1_NOVIEMBRE_2024[[#This Row],[RECUPERO]]/D1_NOVIEMBRE_2024[[#This Row],[META]]</f>
        <v>0.81971600000000011</v>
      </c>
      <c r="E52" s="35" t="str">
        <f>D1_NOVIEMBRE_2024[[#This Row],[SUPER]]</f>
        <v>JORGE</v>
      </c>
      <c r="F52" t="s">
        <v>121</v>
      </c>
      <c r="G52" s="3">
        <v>20492.900000000001</v>
      </c>
      <c r="H52" t="s">
        <v>417</v>
      </c>
      <c r="I52" s="56">
        <v>44510</v>
      </c>
      <c r="J52" s="56" t="s">
        <v>501</v>
      </c>
      <c r="K52" s="56"/>
      <c r="L52" s="56"/>
      <c r="M52">
        <f>DATA_NOVIEMBRE_2024[[#This Row],[RECUPERO]]/DATA_NOVIEMBRE_2024[[#This Row],[META]]</f>
        <v>0.33324999999999999</v>
      </c>
      <c r="N52" s="5" t="str" cm="1">
        <f t="array" ref="N5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52" t="s">
        <v>3</v>
      </c>
      <c r="P52">
        <f>SUM(DATA_NOVIEMBRE_2024[[#This Row],[1]:[31]])</f>
        <v>22661</v>
      </c>
      <c r="Q52">
        <v>68000</v>
      </c>
      <c r="R52" t="s">
        <v>541</v>
      </c>
      <c r="W52">
        <v>100</v>
      </c>
      <c r="X52">
        <v>600</v>
      </c>
      <c r="Z52">
        <v>70</v>
      </c>
      <c r="AC52">
        <v>3180</v>
      </c>
      <c r="AD52">
        <v>2911</v>
      </c>
      <c r="AE52">
        <v>350</v>
      </c>
      <c r="AJ52">
        <v>5305</v>
      </c>
      <c r="AK52">
        <v>184</v>
      </c>
      <c r="AL52">
        <v>500</v>
      </c>
      <c r="AM52">
        <v>200</v>
      </c>
      <c r="AO52">
        <v>600</v>
      </c>
      <c r="AQ52">
        <v>2417</v>
      </c>
      <c r="AR52">
        <v>1130</v>
      </c>
      <c r="AS52">
        <v>1500</v>
      </c>
      <c r="AT52">
        <v>521</v>
      </c>
      <c r="AU52">
        <v>1250</v>
      </c>
      <c r="AV52">
        <v>1843</v>
      </c>
    </row>
    <row r="53" spans="1:48" x14ac:dyDescent="0.25">
      <c r="A53" s="34" t="s">
        <v>5</v>
      </c>
      <c r="B53" s="34" t="str">
        <f>D1_NOVIEMBRE_2024[[#This Row],[ASESOR]]</f>
        <v>MARGARITA PIANCHACHI</v>
      </c>
      <c r="C53" s="36">
        <f>VLOOKUP(D1_NOVIEMBRE_2024[[#This Row],[SUPER]],DATA_NOVIEMBRE_2024[[SUPERVISOR]:[META]],3,0)</f>
        <v>23000</v>
      </c>
      <c r="D53" s="35">
        <f>D1_NOVIEMBRE_2024[[#This Row],[RECUPERO]]/D1_NOVIEMBRE_2024[[#This Row],[META]]</f>
        <v>0.27095652173913043</v>
      </c>
      <c r="E53" s="35" t="str">
        <f>D1_NOVIEMBRE_2024[[#This Row],[SUPER]]</f>
        <v>JORDAN</v>
      </c>
      <c r="F53" t="s">
        <v>17</v>
      </c>
      <c r="G53" s="3">
        <v>6232</v>
      </c>
      <c r="H53" t="s">
        <v>385</v>
      </c>
      <c r="I53" s="56">
        <v>44888</v>
      </c>
      <c r="J53" s="56" t="s">
        <v>501</v>
      </c>
      <c r="K53" s="56"/>
      <c r="L53" s="56"/>
      <c r="M53">
        <f>DATA_NOVIEMBRE_2024[[#This Row],[RECUPERO]]/DATA_NOVIEMBRE_2024[[#This Row],[META]]</f>
        <v>1.6952720588235295</v>
      </c>
      <c r="N53" s="5" t="str" cm="1">
        <f t="array" ref="N5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&gt;100%</v>
      </c>
      <c r="O53" t="s">
        <v>3</v>
      </c>
      <c r="P53">
        <f>SUM(DATA_NOVIEMBRE_2024[[#This Row],[1]:[31]])</f>
        <v>115278.5</v>
      </c>
      <c r="Q53">
        <v>68000</v>
      </c>
      <c r="R53" t="s">
        <v>23</v>
      </c>
      <c r="S53">
        <v>200</v>
      </c>
      <c r="V53">
        <v>4717</v>
      </c>
      <c r="W53">
        <v>500</v>
      </c>
      <c r="X53">
        <v>1818</v>
      </c>
      <c r="Y53">
        <v>2140</v>
      </c>
      <c r="Z53">
        <v>14000</v>
      </c>
      <c r="AA53">
        <v>4000</v>
      </c>
      <c r="AC53">
        <v>2836</v>
      </c>
      <c r="AD53">
        <v>1180</v>
      </c>
      <c r="AE53">
        <v>10881</v>
      </c>
      <c r="AF53">
        <v>2800</v>
      </c>
      <c r="AG53">
        <v>2026.5</v>
      </c>
      <c r="AJ53">
        <v>200</v>
      </c>
      <c r="AK53">
        <v>3750</v>
      </c>
      <c r="AL53">
        <v>2319</v>
      </c>
      <c r="AM53">
        <v>12550</v>
      </c>
      <c r="AQ53">
        <v>569</v>
      </c>
      <c r="AR53">
        <v>1100</v>
      </c>
      <c r="AS53">
        <v>9490</v>
      </c>
      <c r="AT53">
        <v>14872</v>
      </c>
      <c r="AU53">
        <v>6135</v>
      </c>
      <c r="AV53">
        <v>17195</v>
      </c>
    </row>
    <row r="54" spans="1:48" x14ac:dyDescent="0.25">
      <c r="A54" s="34" t="s">
        <v>6</v>
      </c>
      <c r="B54" s="34" t="str">
        <f>D1_NOVIEMBRE_2024[[#This Row],[ASESOR]]</f>
        <v>MARIA GONZALES</v>
      </c>
      <c r="C54" s="36">
        <f>VLOOKUP(D1_NOVIEMBRE_2024[[#This Row],[SUPER]],DATA_NOVIEMBRE_2024[[SUPERVISOR]:[META]],3,0)</f>
        <v>22500</v>
      </c>
      <c r="D54" s="35">
        <f>D1_NOVIEMBRE_2024[[#This Row],[RECUPERO]]/D1_NOVIEMBRE_2024[[#This Row],[META]]</f>
        <v>0.17066666666666666</v>
      </c>
      <c r="E54" s="35" t="str">
        <f>D1_NOVIEMBRE_2024[[#This Row],[SUPER]]</f>
        <v>KENNETH</v>
      </c>
      <c r="F54" t="s">
        <v>119</v>
      </c>
      <c r="G54" s="3">
        <v>3840</v>
      </c>
      <c r="H54" t="s">
        <v>404</v>
      </c>
      <c r="I54" s="56">
        <v>45441</v>
      </c>
      <c r="J54" s="56" t="s">
        <v>501</v>
      </c>
      <c r="M54">
        <f>DATA_NOVIEMBRE_2024[[#This Row],[RECUPERO]]/DATA_NOVIEMBRE_2024[[#This Row],[META]]</f>
        <v>0.95229411764705885</v>
      </c>
      <c r="N54" s="5" t="str" cm="1">
        <f t="array" ref="N5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54" t="s">
        <v>115</v>
      </c>
      <c r="P54">
        <f>SUM(DATA_NOVIEMBRE_2024[[#This Row],[1]:[31]])</f>
        <v>16189</v>
      </c>
      <c r="Q54">
        <v>17000</v>
      </c>
      <c r="R54" t="s">
        <v>552</v>
      </c>
      <c r="W54">
        <v>3500</v>
      </c>
      <c r="X54">
        <v>485</v>
      </c>
      <c r="AD54">
        <v>1455</v>
      </c>
      <c r="AJ54">
        <v>0</v>
      </c>
      <c r="AO54">
        <v>290</v>
      </c>
      <c r="AQ54">
        <v>600</v>
      </c>
      <c r="AT54">
        <v>2000</v>
      </c>
      <c r="AU54">
        <v>5100</v>
      </c>
      <c r="AV54">
        <v>2759</v>
      </c>
    </row>
    <row r="55" spans="1:48" x14ac:dyDescent="0.25">
      <c r="A55" s="34" t="s">
        <v>4</v>
      </c>
      <c r="B55" s="34" t="str">
        <f>D1_NOVIEMBRE_2024[[#This Row],[ASESOR]]</f>
        <v>MARIA TINTAYA</v>
      </c>
      <c r="C55" s="36">
        <f>VLOOKUP(D1_NOVIEMBRE_2024[[#This Row],[SUPER]],DATA_NOVIEMBRE_2024[[SUPERVISOR]:[META]],3,0)</f>
        <v>68000</v>
      </c>
      <c r="D55" s="35">
        <f>D1_NOVIEMBRE_2024[[#This Row],[RECUPERO]]/D1_NOVIEMBRE_2024[[#This Row],[META]]</f>
        <v>0.9256732352941176</v>
      </c>
      <c r="E55" s="35" t="str">
        <f>D1_NOVIEMBRE_2024[[#This Row],[SUPER]]</f>
        <v>MELINA</v>
      </c>
      <c r="F55" t="s">
        <v>75</v>
      </c>
      <c r="G55" s="3">
        <v>62945.78</v>
      </c>
      <c r="H55" t="s">
        <v>428</v>
      </c>
      <c r="I55" s="56">
        <v>44716</v>
      </c>
      <c r="J55" s="56" t="s">
        <v>501</v>
      </c>
      <c r="M55">
        <f>DATA_NOVIEMBRE_2024[[#This Row],[RECUPERO]]/DATA_NOVIEMBRE_2024[[#This Row],[META]]</f>
        <v>0.38311111111111112</v>
      </c>
      <c r="N55" s="5" t="str" cm="1">
        <f t="array" ref="N5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55" t="s">
        <v>6</v>
      </c>
      <c r="P55">
        <f>SUM(DATA_NOVIEMBRE_2024[[#This Row],[1]:[31]])</f>
        <v>8620</v>
      </c>
      <c r="Q55">
        <v>22500</v>
      </c>
      <c r="R55" t="s">
        <v>31</v>
      </c>
      <c r="Z55">
        <v>540</v>
      </c>
      <c r="AC55">
        <v>4100</v>
      </c>
      <c r="AT55">
        <v>580</v>
      </c>
      <c r="AU55">
        <v>400</v>
      </c>
      <c r="AV55">
        <v>3000</v>
      </c>
    </row>
    <row r="56" spans="1:48" x14ac:dyDescent="0.25">
      <c r="A56" s="34" t="s">
        <v>5</v>
      </c>
      <c r="B56" s="34" t="str">
        <f>D1_NOVIEMBRE_2024[[#This Row],[ASESOR]]</f>
        <v>MARISOL FERNANDEZ</v>
      </c>
      <c r="C56" s="36">
        <f>VLOOKUP(D1_NOVIEMBRE_2024[[#This Row],[SUPER]],DATA_NOVIEMBRE_2024[[SUPERVISOR]:[META]],3,0)</f>
        <v>23000</v>
      </c>
      <c r="D56" s="35">
        <f>D1_NOVIEMBRE_2024[[#This Row],[RECUPERO]]/D1_NOVIEMBRE_2024[[#This Row],[META]]</f>
        <v>0.1708695652173913</v>
      </c>
      <c r="E56" s="35" t="str">
        <f>D1_NOVIEMBRE_2024[[#This Row],[SUPER]]</f>
        <v>JORDAN</v>
      </c>
      <c r="F56" t="s">
        <v>537</v>
      </c>
      <c r="G56" s="3">
        <v>3930</v>
      </c>
      <c r="H56" t="s">
        <v>539</v>
      </c>
      <c r="I56" s="56">
        <v>44716</v>
      </c>
      <c r="J56" s="56" t="s">
        <v>501</v>
      </c>
      <c r="M56">
        <f>DATA_NOVIEMBRE_2024[[#This Row],[RECUPERO]]/DATA_NOVIEMBRE_2024[[#This Row],[META]]</f>
        <v>1.1035384615384616</v>
      </c>
      <c r="N56" s="5" t="str" cm="1">
        <f t="array" ref="N5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&gt;100%</v>
      </c>
      <c r="O56" t="s">
        <v>9</v>
      </c>
      <c r="P56">
        <f>SUM(DATA_NOVIEMBRE_2024[[#This Row],[1]:[31]])</f>
        <v>14346</v>
      </c>
      <c r="Q56">
        <v>13000</v>
      </c>
      <c r="R56" t="s">
        <v>29</v>
      </c>
      <c r="W56">
        <v>200</v>
      </c>
      <c r="X56">
        <v>300</v>
      </c>
      <c r="Y56">
        <v>1000</v>
      </c>
      <c r="Z56">
        <v>1000</v>
      </c>
      <c r="AA56">
        <v>200</v>
      </c>
      <c r="AC56">
        <v>226</v>
      </c>
      <c r="AE56">
        <v>80</v>
      </c>
      <c r="AF56">
        <v>200</v>
      </c>
      <c r="AG56">
        <v>402</v>
      </c>
      <c r="AH56">
        <v>200</v>
      </c>
      <c r="AJ56">
        <v>200</v>
      </c>
      <c r="AK56">
        <v>395</v>
      </c>
      <c r="AL56">
        <v>200</v>
      </c>
      <c r="AQ56">
        <v>1740</v>
      </c>
      <c r="AR56">
        <v>150</v>
      </c>
      <c r="AS56">
        <v>2200</v>
      </c>
      <c r="AT56">
        <v>150</v>
      </c>
      <c r="AU56">
        <v>5503</v>
      </c>
    </row>
    <row r="57" spans="1:48" x14ac:dyDescent="0.25">
      <c r="A57" s="34" t="s">
        <v>6</v>
      </c>
      <c r="B57" s="34" t="str">
        <f>D1_NOVIEMBRE_2024[[#This Row],[ASESOR]]</f>
        <v>MAURICIO MARTINEZ</v>
      </c>
      <c r="C57" s="36">
        <f>VLOOKUP(D1_NOVIEMBRE_2024[[#This Row],[SUPER]],DATA_NOVIEMBRE_2024[[SUPERVISOR]:[META]],3,0)</f>
        <v>22500</v>
      </c>
      <c r="D57" s="35">
        <f>D1_NOVIEMBRE_2024[[#This Row],[RECUPERO]]/D1_NOVIEMBRE_2024[[#This Row],[META]]</f>
        <v>0.48009333333333337</v>
      </c>
      <c r="E57" s="35" t="str">
        <f>D1_NOVIEMBRE_2024[[#This Row],[SUPER]]</f>
        <v>KENNETH</v>
      </c>
      <c r="F57" t="s">
        <v>120</v>
      </c>
      <c r="G57" s="3">
        <v>10802.1</v>
      </c>
      <c r="H57" t="s">
        <v>405</v>
      </c>
      <c r="I57" s="56">
        <v>45471</v>
      </c>
      <c r="J57" s="56" t="s">
        <v>501</v>
      </c>
      <c r="M57">
        <f>DATA_NOVIEMBRE_2024[[#This Row],[RECUPERO]]/DATA_NOVIEMBRE_2024[[#This Row],[META]]</f>
        <v>0.88885294117647062</v>
      </c>
      <c r="N57" s="5" t="str" cm="1">
        <f t="array" ref="N5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57" t="s">
        <v>3</v>
      </c>
      <c r="P57">
        <f>SUM(DATA_NOVIEMBRE_2024[[#This Row],[1]:[31]])</f>
        <v>60442</v>
      </c>
      <c r="Q57">
        <v>68000</v>
      </c>
      <c r="R57" t="s">
        <v>25</v>
      </c>
      <c r="S57">
        <v>205</v>
      </c>
      <c r="V57">
        <v>5980</v>
      </c>
      <c r="W57">
        <v>202</v>
      </c>
      <c r="X57">
        <v>1700</v>
      </c>
      <c r="Y57">
        <v>7600</v>
      </c>
      <c r="Z57">
        <v>699</v>
      </c>
      <c r="AA57">
        <v>280</v>
      </c>
      <c r="AC57">
        <v>4986</v>
      </c>
      <c r="AD57">
        <v>600</v>
      </c>
      <c r="AE57">
        <v>600</v>
      </c>
      <c r="AF57">
        <v>328</v>
      </c>
      <c r="AG57">
        <v>1500</v>
      </c>
      <c r="AH57">
        <v>200</v>
      </c>
      <c r="AJ57">
        <v>682</v>
      </c>
      <c r="AL57">
        <v>1500</v>
      </c>
      <c r="AM57">
        <v>2100</v>
      </c>
      <c r="AQ57">
        <v>797</v>
      </c>
      <c r="AR57">
        <v>11450</v>
      </c>
      <c r="AS57">
        <v>6600</v>
      </c>
      <c r="AT57">
        <v>500</v>
      </c>
      <c r="AU57">
        <v>1370</v>
      </c>
      <c r="AV57">
        <v>10563</v>
      </c>
    </row>
    <row r="58" spans="1:48" x14ac:dyDescent="0.25">
      <c r="A58" s="34" t="s">
        <v>6</v>
      </c>
      <c r="B58" s="34" t="str">
        <f>D1_NOVIEMBRE_2024[[#This Row],[ASESOR]]</f>
        <v>MEDALITH NESTARES</v>
      </c>
      <c r="C58" s="36">
        <f>VLOOKUP(D1_NOVIEMBRE_2024[[#This Row],[SUPER]],DATA_NOVIEMBRE_2024[[SUPERVISOR]:[META]],3,0)</f>
        <v>22500</v>
      </c>
      <c r="D58" s="35">
        <f>D1_NOVIEMBRE_2024[[#This Row],[RECUPERO]]/D1_NOVIEMBRE_2024[[#This Row],[META]]</f>
        <v>0.25155555555555553</v>
      </c>
      <c r="E58" s="35" t="str">
        <f>D1_NOVIEMBRE_2024[[#This Row],[SUPER]]</f>
        <v>KENNETH</v>
      </c>
      <c r="F58" t="s">
        <v>36</v>
      </c>
      <c r="G58" s="3">
        <v>5660</v>
      </c>
      <c r="H58" t="s">
        <v>406</v>
      </c>
      <c r="I58" s="56">
        <v>44941</v>
      </c>
      <c r="J58" s="56" t="s">
        <v>501</v>
      </c>
      <c r="M58">
        <f>DATA_NOVIEMBRE_2024[[#This Row],[RECUPERO]]/DATA_NOVIEMBRE_2024[[#This Row],[META]]</f>
        <v>0.81971600000000011</v>
      </c>
      <c r="N58" s="5" t="str" cm="1">
        <f t="array" ref="N5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58" t="s">
        <v>2</v>
      </c>
      <c r="P58">
        <f>SUM(DATA_NOVIEMBRE_2024[[#This Row],[1]:[31]])</f>
        <v>20492.900000000001</v>
      </c>
      <c r="Q58">
        <v>25000</v>
      </c>
      <c r="R58" t="s">
        <v>121</v>
      </c>
      <c r="W58">
        <v>1000</v>
      </c>
      <c r="Y58">
        <v>1000</v>
      </c>
      <c r="Z58">
        <v>400</v>
      </c>
      <c r="AD58">
        <v>4600.1000000000004</v>
      </c>
      <c r="AE58">
        <v>5022.5</v>
      </c>
      <c r="AG58">
        <v>200</v>
      </c>
      <c r="AH58">
        <v>200</v>
      </c>
      <c r="AJ58">
        <v>3200</v>
      </c>
      <c r="AK58">
        <v>500</v>
      </c>
      <c r="AM58">
        <v>250</v>
      </c>
      <c r="AN58">
        <v>2457.3000000000002</v>
      </c>
      <c r="AR58">
        <v>700</v>
      </c>
      <c r="AT58">
        <v>200</v>
      </c>
      <c r="AU58">
        <v>463</v>
      </c>
      <c r="AV58">
        <v>300</v>
      </c>
    </row>
    <row r="59" spans="1:48" x14ac:dyDescent="0.25">
      <c r="A59" s="34" t="s">
        <v>4</v>
      </c>
      <c r="B59" s="34" t="str">
        <f>D1_NOVIEMBRE_2024[[#This Row],[ASESOR]]</f>
        <v>MELISSA GUERRERO</v>
      </c>
      <c r="C59" s="36">
        <f>VLOOKUP(D1_NOVIEMBRE_2024[[#This Row],[SUPER]],DATA_NOVIEMBRE_2024[[SUPERVISOR]:[META]],3,0)</f>
        <v>68000</v>
      </c>
      <c r="D59" s="35">
        <f>D1_NOVIEMBRE_2024[[#This Row],[RECUPERO]]/D1_NOVIEMBRE_2024[[#This Row],[META]]</f>
        <v>0.67718250000000002</v>
      </c>
      <c r="E59" s="35" t="str">
        <f>D1_NOVIEMBRE_2024[[#This Row],[SUPER]]</f>
        <v>MELINA</v>
      </c>
      <c r="F59" t="s">
        <v>62</v>
      </c>
      <c r="G59" s="3">
        <v>46048.41</v>
      </c>
      <c r="H59" t="s">
        <v>386</v>
      </c>
      <c r="I59" s="56">
        <v>45334</v>
      </c>
      <c r="J59" s="56" t="s">
        <v>501</v>
      </c>
      <c r="M59">
        <f>DATA_NOVIEMBRE_2024[[#This Row],[RECUPERO]]/DATA_NOVIEMBRE_2024[[#This Row],[META]]</f>
        <v>0.27095652173913043</v>
      </c>
      <c r="N59" t="str" cm="1">
        <f t="array" ref="N5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59" s="5" t="s">
        <v>5</v>
      </c>
      <c r="P59">
        <f>SUM(DATA_NOVIEMBRE_2024[[#This Row],[1]:[31]])</f>
        <v>6232</v>
      </c>
      <c r="Q59">
        <v>23000</v>
      </c>
      <c r="R59" t="s">
        <v>17</v>
      </c>
      <c r="V59">
        <v>610</v>
      </c>
      <c r="X59">
        <v>200</v>
      </c>
      <c r="AC59">
        <v>300</v>
      </c>
      <c r="AE59">
        <v>150</v>
      </c>
      <c r="AJ59">
        <v>1450</v>
      </c>
      <c r="AK59">
        <v>200</v>
      </c>
      <c r="AM59">
        <v>500</v>
      </c>
      <c r="AR59">
        <v>1000</v>
      </c>
      <c r="AS59">
        <v>1000</v>
      </c>
      <c r="AU59">
        <v>620</v>
      </c>
      <c r="AV59">
        <v>202</v>
      </c>
    </row>
    <row r="60" spans="1:48" x14ac:dyDescent="0.25">
      <c r="A60" s="34" t="s">
        <v>2</v>
      </c>
      <c r="B60" s="34" t="str">
        <f>D1_NOVIEMBRE_2024[[#This Row],[ASESOR]]</f>
        <v>MERLY CORONEL</v>
      </c>
      <c r="C60" s="36">
        <f>VLOOKUP(D1_NOVIEMBRE_2024[[#This Row],[SUPER]],DATA_NOVIEMBRE_2024[[SUPERVISOR]:[META]],3,0)</f>
        <v>25000</v>
      </c>
      <c r="D60" s="35">
        <f>D1_NOVIEMBRE_2024[[#This Row],[RECUPERO]]/D1_NOVIEMBRE_2024[[#This Row],[META]]</f>
        <v>0.83320399999999994</v>
      </c>
      <c r="E60" s="35" t="str">
        <f>D1_NOVIEMBRE_2024[[#This Row],[SUPER]]</f>
        <v>JORGE</v>
      </c>
      <c r="F60" t="s">
        <v>70</v>
      </c>
      <c r="G60" s="3">
        <v>20830.099999999999</v>
      </c>
      <c r="H60" t="s">
        <v>418</v>
      </c>
      <c r="I60" s="56">
        <v>44971</v>
      </c>
      <c r="J60" s="56" t="s">
        <v>501</v>
      </c>
      <c r="M60">
        <f>DATA_NOVIEMBRE_2024[[#This Row],[RECUPERO]]/DATA_NOVIEMBRE_2024[[#This Row],[META]]</f>
        <v>0.17066666666666666</v>
      </c>
      <c r="N60" t="str" cm="1">
        <f t="array" ref="N6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60" s="5" t="s">
        <v>6</v>
      </c>
      <c r="P60">
        <f>SUM(DATA_NOVIEMBRE_2024[[#This Row],[1]:[31]])</f>
        <v>3840</v>
      </c>
      <c r="Q60">
        <v>22500</v>
      </c>
      <c r="R60" t="s">
        <v>119</v>
      </c>
      <c r="X60">
        <v>450</v>
      </c>
      <c r="AD60">
        <v>1650</v>
      </c>
      <c r="AE60">
        <v>1000</v>
      </c>
      <c r="AT60">
        <v>500</v>
      </c>
      <c r="AV60">
        <v>240</v>
      </c>
    </row>
    <row r="61" spans="1:48" x14ac:dyDescent="0.25">
      <c r="A61" s="34" t="s">
        <v>4</v>
      </c>
      <c r="B61" s="34" t="str">
        <f>D1_NOVIEMBRE_2024[[#This Row],[ASESOR]]</f>
        <v>MILAGROS QUIO</v>
      </c>
      <c r="C61" s="36">
        <f>VLOOKUP(D1_NOVIEMBRE_2024[[#This Row],[SUPER]],DATA_NOVIEMBRE_2024[[SUPERVISOR]:[META]],3,0)</f>
        <v>68000</v>
      </c>
      <c r="D61" s="35">
        <f>D1_NOVIEMBRE_2024[[#This Row],[RECUPERO]]/D1_NOVIEMBRE_2024[[#This Row],[META]]</f>
        <v>0.65069617647058819</v>
      </c>
      <c r="E61" s="35" t="str">
        <f>D1_NOVIEMBRE_2024[[#This Row],[SUPER]]</f>
        <v>MELINA</v>
      </c>
      <c r="F61" t="s">
        <v>11</v>
      </c>
      <c r="G61" s="3">
        <v>44247.34</v>
      </c>
      <c r="H61" t="s">
        <v>429</v>
      </c>
      <c r="I61" s="56">
        <v>45371</v>
      </c>
      <c r="J61" s="56" t="s">
        <v>501</v>
      </c>
      <c r="M61">
        <f>DATA_NOVIEMBRE_2024[[#This Row],[RECUPERO]]/DATA_NOVIEMBRE_2024[[#This Row],[META]]</f>
        <v>0.9256732352941176</v>
      </c>
      <c r="N61" t="str" cm="1">
        <f t="array" ref="N6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61" s="5" t="s">
        <v>4</v>
      </c>
      <c r="P61">
        <f>SUM(DATA_NOVIEMBRE_2024[[#This Row],[1]:[31]])</f>
        <v>62945.78</v>
      </c>
      <c r="Q61">
        <v>68000</v>
      </c>
      <c r="R61" t="s">
        <v>75</v>
      </c>
      <c r="W61">
        <v>10150</v>
      </c>
      <c r="Y61">
        <v>5000</v>
      </c>
      <c r="Z61">
        <v>436</v>
      </c>
      <c r="AC61">
        <v>15000</v>
      </c>
      <c r="AE61">
        <v>2200</v>
      </c>
      <c r="AG61">
        <v>680</v>
      </c>
      <c r="AI61">
        <v>370</v>
      </c>
      <c r="AJ61">
        <v>150</v>
      </c>
      <c r="AK61">
        <v>5000</v>
      </c>
      <c r="AM61">
        <v>110</v>
      </c>
      <c r="AN61">
        <v>15000</v>
      </c>
      <c r="AP61">
        <v>450</v>
      </c>
      <c r="AR61">
        <v>600</v>
      </c>
      <c r="AS61">
        <v>756</v>
      </c>
      <c r="AT61">
        <v>1128.7</v>
      </c>
      <c r="AU61">
        <v>3800.08</v>
      </c>
      <c r="AV61">
        <v>2115</v>
      </c>
    </row>
    <row r="62" spans="1:48" x14ac:dyDescent="0.25">
      <c r="A62" s="34" t="s">
        <v>2</v>
      </c>
      <c r="B62" s="34" t="str">
        <f>D1_NOVIEMBRE_2024[[#This Row],[ASESOR]]</f>
        <v>NARDIA URPIS</v>
      </c>
      <c r="C62" s="36">
        <f>VLOOKUP(D1_NOVIEMBRE_2024[[#This Row],[SUPER]],DATA_NOVIEMBRE_2024[[SUPERVISOR]:[META]],3,0)</f>
        <v>25000</v>
      </c>
      <c r="D62" s="35">
        <f>D1_NOVIEMBRE_2024[[#This Row],[RECUPERO]]/D1_NOVIEMBRE_2024[[#This Row],[META]]</f>
        <v>0.18279999999999999</v>
      </c>
      <c r="E62" s="35" t="str">
        <f>D1_NOVIEMBRE_2024[[#This Row],[SUPER]]</f>
        <v>JORGE</v>
      </c>
      <c r="F62" t="s">
        <v>74</v>
      </c>
      <c r="G62" s="3">
        <v>4570</v>
      </c>
      <c r="H62" t="s">
        <v>395</v>
      </c>
      <c r="I62" s="56">
        <v>44470</v>
      </c>
      <c r="J62" s="56" t="s">
        <v>501</v>
      </c>
      <c r="M62">
        <f>DATA_NOVIEMBRE_2024[[#This Row],[RECUPERO]]/DATA_NOVIEMBRE_2024[[#This Row],[META]]</f>
        <v>0.1708695652173913</v>
      </c>
      <c r="N62" t="str" cm="1">
        <f t="array" ref="N6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62" s="5" t="s">
        <v>5</v>
      </c>
      <c r="P62">
        <f>SUM(DATA_NOVIEMBRE_2024[[#This Row],[1]:[31]])</f>
        <v>3930</v>
      </c>
      <c r="Q62">
        <v>23000</v>
      </c>
      <c r="R62" t="s">
        <v>537</v>
      </c>
      <c r="AB62">
        <v>200</v>
      </c>
      <c r="AJ62">
        <v>200</v>
      </c>
      <c r="AL62">
        <v>1100</v>
      </c>
      <c r="AM62">
        <v>90</v>
      </c>
      <c r="AQ62">
        <v>90</v>
      </c>
      <c r="AR62">
        <v>750</v>
      </c>
      <c r="AU62">
        <v>500</v>
      </c>
      <c r="AV62">
        <v>1000</v>
      </c>
    </row>
    <row r="63" spans="1:48" x14ac:dyDescent="0.25">
      <c r="A63" s="34" t="s">
        <v>3</v>
      </c>
      <c r="B63" s="34" t="str">
        <f>D1_NOVIEMBRE_2024[[#This Row],[ASESOR]]</f>
        <v>RICHARD RODRIGUEZ</v>
      </c>
      <c r="C63" s="36">
        <f>VLOOKUP(D1_NOVIEMBRE_2024[[#This Row],[SUPER]],DATA_NOVIEMBRE_2024[[SUPERVISOR]:[META]],3,0)</f>
        <v>68000</v>
      </c>
      <c r="D63" s="35">
        <f>D1_NOVIEMBRE_2024[[#This Row],[RECUPERO]]/D1_NOVIEMBRE_2024[[#This Row],[META]]</f>
        <v>0.94137499999999996</v>
      </c>
      <c r="E63" s="35" t="str">
        <f>D1_NOVIEMBRE_2024[[#This Row],[SUPER]]</f>
        <v>SANDY</v>
      </c>
      <c r="F63" t="s">
        <v>63</v>
      </c>
      <c r="G63" s="3">
        <v>64013.5</v>
      </c>
      <c r="H63" t="s">
        <v>447</v>
      </c>
      <c r="I63" s="56">
        <v>45316</v>
      </c>
      <c r="J63" s="56" t="s">
        <v>501</v>
      </c>
      <c r="M63">
        <f>DATA_NOVIEMBRE_2024[[#This Row],[RECUPERO]]/DATA_NOVIEMBRE_2024[[#This Row],[META]]</f>
        <v>0.48009333333333337</v>
      </c>
      <c r="N63" t="str" cm="1">
        <f t="array" ref="N6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63" s="5" t="s">
        <v>6</v>
      </c>
      <c r="P63">
        <f>SUM(DATA_NOVIEMBRE_2024[[#This Row],[1]:[31]])</f>
        <v>10802.1</v>
      </c>
      <c r="Q63">
        <v>22500</v>
      </c>
      <c r="R63" t="s">
        <v>120</v>
      </c>
      <c r="U63">
        <v>350</v>
      </c>
      <c r="V63">
        <v>5000</v>
      </c>
      <c r="W63">
        <v>1200</v>
      </c>
      <c r="X63">
        <v>400</v>
      </c>
      <c r="AD63">
        <v>1800</v>
      </c>
      <c r="AE63">
        <v>500</v>
      </c>
      <c r="AG63">
        <v>700</v>
      </c>
      <c r="AJ63">
        <v>500</v>
      </c>
      <c r="AS63">
        <v>352.1</v>
      </c>
      <c r="AV63">
        <v>0</v>
      </c>
    </row>
    <row r="64" spans="1:48" x14ac:dyDescent="0.25">
      <c r="A64" s="34" t="s">
        <v>115</v>
      </c>
      <c r="B64" s="34" t="str">
        <f>D1_NOVIEMBRE_2024[[#This Row],[ASESOR]]</f>
        <v>RICHARD TORRES</v>
      </c>
      <c r="C64" s="36">
        <f>VLOOKUP(D1_NOVIEMBRE_2024[[#This Row],[SUPER]],DATA_NOVIEMBRE_2024[[SUPERVISOR]:[META]],3,0)</f>
        <v>17000</v>
      </c>
      <c r="D64" s="35">
        <f>D1_NOVIEMBRE_2024[[#This Row],[RECUPERO]]/D1_NOVIEMBRE_2024[[#This Row],[META]]</f>
        <v>0.11358823529411764</v>
      </c>
      <c r="E64" s="35" t="str">
        <f>D1_NOVIEMBRE_2024[[#This Row],[SUPER]]</f>
        <v>MELITA</v>
      </c>
      <c r="F64" t="s">
        <v>555</v>
      </c>
      <c r="G64" s="3">
        <v>1931</v>
      </c>
      <c r="H64" t="s">
        <v>556</v>
      </c>
      <c r="I64" s="56">
        <v>45454</v>
      </c>
      <c r="J64" s="56" t="s">
        <v>501</v>
      </c>
      <c r="M64">
        <f>DATA_NOVIEMBRE_2024[[#This Row],[RECUPERO]]/DATA_NOVIEMBRE_2024[[#This Row],[META]]</f>
        <v>0.25155555555555553</v>
      </c>
      <c r="N64" t="str" cm="1">
        <f t="array" ref="N6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64" s="5" t="s">
        <v>6</v>
      </c>
      <c r="P64">
        <f>SUM(DATA_NOVIEMBRE_2024[[#This Row],[1]:[31]])</f>
        <v>5660</v>
      </c>
      <c r="Q64">
        <v>22500</v>
      </c>
      <c r="R64" t="s">
        <v>36</v>
      </c>
      <c r="W64">
        <v>300</v>
      </c>
      <c r="Z64">
        <v>500</v>
      </c>
      <c r="AC64">
        <v>830</v>
      </c>
      <c r="AJ64">
        <v>230</v>
      </c>
      <c r="AQ64">
        <v>1700</v>
      </c>
      <c r="AS64">
        <v>1000</v>
      </c>
      <c r="AU64">
        <v>250</v>
      </c>
      <c r="AV64">
        <v>850</v>
      </c>
    </row>
    <row r="65" spans="1:48" x14ac:dyDescent="0.25">
      <c r="A65" s="34" t="s">
        <v>5</v>
      </c>
      <c r="B65" s="34" t="str">
        <f>D1_NOVIEMBRE_2024[[#This Row],[ASESOR]]</f>
        <v>ROBERTO HUILLCA</v>
      </c>
      <c r="C65" s="36">
        <f>VLOOKUP(D1_NOVIEMBRE_2024[[#This Row],[SUPER]],DATA_NOVIEMBRE_2024[[SUPERVISOR]:[META]],3,0)</f>
        <v>23000</v>
      </c>
      <c r="D65" s="35">
        <f>D1_NOVIEMBRE_2024[[#This Row],[RECUPERO]]/D1_NOVIEMBRE_2024[[#This Row],[META]]</f>
        <v>1.3043478260869565E-2</v>
      </c>
      <c r="E65" s="35" t="str">
        <f>D1_NOVIEMBRE_2024[[#This Row],[SUPER]]</f>
        <v>JORDAN</v>
      </c>
      <c r="F65" t="s">
        <v>544</v>
      </c>
      <c r="G65" s="3">
        <v>300</v>
      </c>
      <c r="H65" t="s">
        <v>547</v>
      </c>
      <c r="I65" s="56">
        <v>45544</v>
      </c>
      <c r="J65" s="56" t="s">
        <v>501</v>
      </c>
      <c r="M65">
        <f>DATA_NOVIEMBRE_2024[[#This Row],[RECUPERO]]/DATA_NOVIEMBRE_2024[[#This Row],[META]]</f>
        <v>0.67718250000000002</v>
      </c>
      <c r="N65" t="str" cm="1">
        <f t="array" ref="N6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65" s="5" t="s">
        <v>4</v>
      </c>
      <c r="P65">
        <f>SUM(DATA_NOVIEMBRE_2024[[#This Row],[1]:[31]])</f>
        <v>46048.41</v>
      </c>
      <c r="Q65">
        <v>68000</v>
      </c>
      <c r="R65" t="s">
        <v>62</v>
      </c>
      <c r="S65">
        <v>246</v>
      </c>
      <c r="V65">
        <v>2000</v>
      </c>
      <c r="W65">
        <v>1678</v>
      </c>
      <c r="X65">
        <v>220.71</v>
      </c>
      <c r="Z65">
        <v>2718.7</v>
      </c>
      <c r="AC65">
        <v>6950</v>
      </c>
      <c r="AD65">
        <v>11685</v>
      </c>
      <c r="AG65">
        <v>515</v>
      </c>
      <c r="AK65">
        <v>270</v>
      </c>
      <c r="AL65">
        <v>250</v>
      </c>
      <c r="AM65">
        <v>976</v>
      </c>
      <c r="AN65">
        <v>5000</v>
      </c>
      <c r="AQ65">
        <v>341</v>
      </c>
      <c r="AR65">
        <v>350</v>
      </c>
      <c r="AT65">
        <v>4100</v>
      </c>
      <c r="AU65">
        <v>7000</v>
      </c>
      <c r="AV65">
        <v>1748</v>
      </c>
    </row>
    <row r="66" spans="1:48" x14ac:dyDescent="0.25">
      <c r="A66" s="34" t="s">
        <v>9</v>
      </c>
      <c r="B66" s="34" t="str">
        <f>D1_NOVIEMBRE_2024[[#This Row],[ASESOR]]</f>
        <v>ROCIO TERRONES</v>
      </c>
      <c r="C66" s="36">
        <f>VLOOKUP(D1_NOVIEMBRE_2024[[#This Row],[SUPER]],DATA_NOVIEMBRE_2024[[SUPERVISOR]:[META]],3,0)</f>
        <v>13000</v>
      </c>
      <c r="D66" s="35">
        <f>D1_NOVIEMBRE_2024[[#This Row],[RECUPERO]]/D1_NOVIEMBRE_2024[[#This Row],[META]]</f>
        <v>0.6711538461538461</v>
      </c>
      <c r="E66" s="35" t="str">
        <f>D1_NOVIEMBRE_2024[[#This Row],[SUPER]]</f>
        <v>LUIS</v>
      </c>
      <c r="F66" t="s">
        <v>103</v>
      </c>
      <c r="G66" s="3">
        <v>8725</v>
      </c>
      <c r="H66" t="s">
        <v>419</v>
      </c>
      <c r="I66" s="56">
        <v>45451</v>
      </c>
      <c r="J66" s="56" t="s">
        <v>501</v>
      </c>
      <c r="M66">
        <f>DATA_NOVIEMBRE_2024[[#This Row],[RECUPERO]]/DATA_NOVIEMBRE_2024[[#This Row],[META]]</f>
        <v>0.83320399999999994</v>
      </c>
      <c r="N66" t="str" cm="1">
        <f t="array" ref="N6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66" s="5" t="s">
        <v>2</v>
      </c>
      <c r="P66">
        <f>SUM(DATA_NOVIEMBRE_2024[[#This Row],[1]:[31]])</f>
        <v>20830.099999999999</v>
      </c>
      <c r="Q66">
        <v>25000</v>
      </c>
      <c r="R66" t="s">
        <v>70</v>
      </c>
      <c r="X66">
        <v>630</v>
      </c>
      <c r="Y66">
        <v>200</v>
      </c>
      <c r="Z66">
        <v>900</v>
      </c>
      <c r="AA66">
        <v>1000</v>
      </c>
      <c r="AJ66">
        <v>4000</v>
      </c>
      <c r="AK66">
        <v>700</v>
      </c>
      <c r="AN66">
        <v>1600.1</v>
      </c>
      <c r="AQ66">
        <v>1000</v>
      </c>
      <c r="AR66">
        <v>10000</v>
      </c>
      <c r="AU66">
        <v>800</v>
      </c>
    </row>
    <row r="67" spans="1:48" x14ac:dyDescent="0.25">
      <c r="A67" s="34" t="s">
        <v>9</v>
      </c>
      <c r="B67" s="34" t="str">
        <f>D1_NOVIEMBRE_2024[[#This Row],[ASESOR]]</f>
        <v>SARITA GARAY</v>
      </c>
      <c r="C67" s="36">
        <f>VLOOKUP(D1_NOVIEMBRE_2024[[#This Row],[SUPER]],DATA_NOVIEMBRE_2024[[SUPERVISOR]:[META]],3,0)</f>
        <v>13000</v>
      </c>
      <c r="D67" s="35">
        <f>D1_NOVIEMBRE_2024[[#This Row],[RECUPERO]]/D1_NOVIEMBRE_2024[[#This Row],[META]]</f>
        <v>0.43846153846153846</v>
      </c>
      <c r="E67" s="35" t="str">
        <f>D1_NOVIEMBRE_2024[[#This Row],[SUPER]]</f>
        <v>LUIS</v>
      </c>
      <c r="F67" t="s">
        <v>73</v>
      </c>
      <c r="G67" s="3">
        <v>5700</v>
      </c>
      <c r="H67" t="s">
        <v>420</v>
      </c>
      <c r="I67" s="56">
        <v>45145</v>
      </c>
      <c r="J67" s="56" t="s">
        <v>501</v>
      </c>
      <c r="M67">
        <f>DATA_NOVIEMBRE_2024[[#This Row],[RECUPERO]]/DATA_NOVIEMBRE_2024[[#This Row],[META]]</f>
        <v>0.65069617647058819</v>
      </c>
      <c r="N67" t="str" cm="1">
        <f t="array" ref="N6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67" s="5" t="s">
        <v>4</v>
      </c>
      <c r="P67">
        <f>SUM(DATA_NOVIEMBRE_2024[[#This Row],[1]:[31]])</f>
        <v>44247.34</v>
      </c>
      <c r="Q67">
        <v>68000</v>
      </c>
      <c r="R67" t="s">
        <v>11</v>
      </c>
      <c r="W67">
        <v>1500</v>
      </c>
      <c r="Y67">
        <v>542.09</v>
      </c>
      <c r="Z67">
        <v>1323</v>
      </c>
      <c r="AA67">
        <v>1000</v>
      </c>
      <c r="AC67">
        <v>1000</v>
      </c>
      <c r="AD67">
        <v>1273.25</v>
      </c>
      <c r="AE67">
        <v>430</v>
      </c>
      <c r="AG67">
        <v>600</v>
      </c>
      <c r="AH67">
        <v>500</v>
      </c>
      <c r="AJ67">
        <v>600</v>
      </c>
      <c r="AL67">
        <v>275</v>
      </c>
      <c r="AM67">
        <v>1000</v>
      </c>
      <c r="AR67">
        <v>7000</v>
      </c>
      <c r="AS67">
        <v>600</v>
      </c>
      <c r="AT67">
        <v>905</v>
      </c>
      <c r="AU67">
        <v>16830</v>
      </c>
      <c r="AV67">
        <v>8869</v>
      </c>
    </row>
    <row r="68" spans="1:48" x14ac:dyDescent="0.25">
      <c r="A68" s="34" t="s">
        <v>3</v>
      </c>
      <c r="B68" s="34" t="str">
        <f>D1_NOVIEMBRE_2024[[#This Row],[ASESOR]]</f>
        <v>TERRY ECHEVARRIA</v>
      </c>
      <c r="C68" s="36">
        <f>VLOOKUP(D1_NOVIEMBRE_2024[[#This Row],[SUPER]],DATA_NOVIEMBRE_2024[[SUPERVISOR]:[META]],3,0)</f>
        <v>68000</v>
      </c>
      <c r="D68" s="35">
        <f>D1_NOVIEMBRE_2024[[#This Row],[RECUPERO]]/D1_NOVIEMBRE_2024[[#This Row],[META]]</f>
        <v>0.57699999999999996</v>
      </c>
      <c r="E68" s="35" t="str">
        <f>D1_NOVIEMBRE_2024[[#This Row],[SUPER]]</f>
        <v>SANDY</v>
      </c>
      <c r="F68" t="s">
        <v>30</v>
      </c>
      <c r="G68" s="3">
        <v>39236</v>
      </c>
      <c r="H68" t="s">
        <v>448</v>
      </c>
      <c r="I68" s="56">
        <v>45399</v>
      </c>
      <c r="J68" s="56" t="s">
        <v>501</v>
      </c>
      <c r="M68">
        <f>DATA_NOVIEMBRE_2024[[#This Row],[RECUPERO]]/DATA_NOVIEMBRE_2024[[#This Row],[META]]</f>
        <v>0.18279999999999999</v>
      </c>
      <c r="N68" t="str" cm="1">
        <f t="array" ref="N6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68" s="5" t="s">
        <v>2</v>
      </c>
      <c r="P68">
        <f>SUM(DATA_NOVIEMBRE_2024[[#This Row],[1]:[31]])</f>
        <v>4570</v>
      </c>
      <c r="Q68">
        <v>25000</v>
      </c>
      <c r="R68" t="s">
        <v>74</v>
      </c>
      <c r="Y68">
        <v>500</v>
      </c>
      <c r="Z68">
        <v>1000</v>
      </c>
      <c r="AC68">
        <v>300</v>
      </c>
      <c r="AE68">
        <v>550</v>
      </c>
      <c r="AJ68">
        <v>150</v>
      </c>
      <c r="AK68">
        <v>150</v>
      </c>
      <c r="AT68">
        <v>1000</v>
      </c>
      <c r="AU68">
        <v>520</v>
      </c>
      <c r="AV68">
        <v>400</v>
      </c>
    </row>
    <row r="69" spans="1:48" x14ac:dyDescent="0.25">
      <c r="A69" s="34" t="s">
        <v>2</v>
      </c>
      <c r="B69" s="34" t="str">
        <f>D1_NOVIEMBRE_2024[[#This Row],[ASESOR]]</f>
        <v>URSULA CENTENO</v>
      </c>
      <c r="C69" s="36">
        <f>VLOOKUP(D1_NOVIEMBRE_2024[[#This Row],[SUPER]],DATA_NOVIEMBRE_2024[[SUPERVISOR]:[META]],3,0)</f>
        <v>25000</v>
      </c>
      <c r="D69" s="35">
        <f>D1_NOVIEMBRE_2024[[#This Row],[RECUPERO]]/D1_NOVIEMBRE_2024[[#This Row],[META]]</f>
        <v>0.27648</v>
      </c>
      <c r="E69" s="35" t="str">
        <f>D1_NOVIEMBRE_2024[[#This Row],[SUPER]]</f>
        <v>JORGE</v>
      </c>
      <c r="F69" t="s">
        <v>78</v>
      </c>
      <c r="G69" s="3">
        <v>6912</v>
      </c>
      <c r="H69" t="s">
        <v>397</v>
      </c>
      <c r="I69" s="56">
        <v>44945</v>
      </c>
      <c r="J69" s="56" t="s">
        <v>501</v>
      </c>
      <c r="M69">
        <f>DATA_NOVIEMBRE_2024[[#This Row],[RECUPERO]]/DATA_NOVIEMBRE_2024[[#This Row],[META]]</f>
        <v>0.94137499999999996</v>
      </c>
      <c r="N69" t="str" cm="1">
        <f t="array" ref="N69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&gt;70%</v>
      </c>
      <c r="O69" s="5" t="s">
        <v>3</v>
      </c>
      <c r="P69">
        <f>SUM(DATA_NOVIEMBRE_2024[[#This Row],[1]:[31]])</f>
        <v>64013.5</v>
      </c>
      <c r="Q69">
        <v>68000</v>
      </c>
      <c r="R69" t="s">
        <v>63</v>
      </c>
      <c r="S69">
        <v>640</v>
      </c>
      <c r="V69">
        <v>21550</v>
      </c>
      <c r="W69">
        <v>862</v>
      </c>
      <c r="X69">
        <v>2208</v>
      </c>
      <c r="Y69">
        <v>1640</v>
      </c>
      <c r="Z69">
        <v>8654</v>
      </c>
      <c r="AA69">
        <v>530</v>
      </c>
      <c r="AC69">
        <v>867</v>
      </c>
      <c r="AD69">
        <v>3425</v>
      </c>
      <c r="AF69">
        <v>0</v>
      </c>
      <c r="AG69">
        <v>680</v>
      </c>
      <c r="AJ69">
        <v>1558.5</v>
      </c>
      <c r="AM69">
        <v>310</v>
      </c>
      <c r="AN69">
        <v>230</v>
      </c>
      <c r="AQ69">
        <v>3135</v>
      </c>
      <c r="AS69">
        <v>210</v>
      </c>
      <c r="AT69">
        <v>11700</v>
      </c>
      <c r="AU69">
        <v>1174</v>
      </c>
      <c r="AV69">
        <v>4640</v>
      </c>
    </row>
    <row r="70" spans="1:48" x14ac:dyDescent="0.25">
      <c r="A70" s="34" t="s">
        <v>2</v>
      </c>
      <c r="B70" s="34" t="str">
        <f>D1_NOVIEMBRE_2024[[#This Row],[ASESOR]]</f>
        <v>VERONICA HUARCA</v>
      </c>
      <c r="C70" s="36">
        <f>VLOOKUP(D1_NOVIEMBRE_2024[[#This Row],[SUPER]],DATA_NOVIEMBRE_2024[[SUPERVISOR]:[META]],3,0)</f>
        <v>25000</v>
      </c>
      <c r="D70" s="35">
        <f>D1_NOVIEMBRE_2024[[#This Row],[RECUPERO]]/D1_NOVIEMBRE_2024[[#This Row],[META]]</f>
        <v>0.61456</v>
      </c>
      <c r="E70" s="35" t="str">
        <f>D1_NOVIEMBRE_2024[[#This Row],[SUPER]]</f>
        <v>JORGE</v>
      </c>
      <c r="F70" t="s">
        <v>48</v>
      </c>
      <c r="G70" s="3">
        <v>15364</v>
      </c>
      <c r="H70" t="s">
        <v>421</v>
      </c>
      <c r="I70" s="56">
        <v>44748</v>
      </c>
      <c r="J70" s="56" t="s">
        <v>501</v>
      </c>
      <c r="M70">
        <f>DATA_NOVIEMBRE_2024[[#This Row],[RECUPERO]]/DATA_NOVIEMBRE_2024[[#This Row],[META]]</f>
        <v>0.11358823529411764</v>
      </c>
      <c r="N70" t="str" cm="1">
        <f t="array" ref="N70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70" s="5" t="s">
        <v>115</v>
      </c>
      <c r="P70">
        <f>SUM(DATA_NOVIEMBRE_2024[[#This Row],[1]:[31]])</f>
        <v>1931</v>
      </c>
      <c r="Q70">
        <v>17000</v>
      </c>
      <c r="R70" t="s">
        <v>555</v>
      </c>
      <c r="S70">
        <v>150</v>
      </c>
      <c r="V70">
        <v>186</v>
      </c>
      <c r="X70">
        <v>375</v>
      </c>
      <c r="Y70">
        <v>570</v>
      </c>
      <c r="Z70">
        <v>400</v>
      </c>
      <c r="AB70">
        <v>200</v>
      </c>
      <c r="AC70">
        <v>50</v>
      </c>
    </row>
    <row r="71" spans="1:48" x14ac:dyDescent="0.25">
      <c r="A71" s="34" t="s">
        <v>3</v>
      </c>
      <c r="B71" s="34" t="str">
        <f>D1_NOVIEMBRE_2024[[#This Row],[ASESOR]]</f>
        <v>VERONICA TASAYCO</v>
      </c>
      <c r="C71" s="36">
        <f>VLOOKUP(D1_NOVIEMBRE_2024[[#This Row],[SUPER]],DATA_NOVIEMBRE_2024[[SUPERVISOR]:[META]],3,0)</f>
        <v>68000</v>
      </c>
      <c r="D71" s="35">
        <f>D1_NOVIEMBRE_2024[[#This Row],[RECUPERO]]/D1_NOVIEMBRE_2024[[#This Row],[META]]</f>
        <v>0.32800000000000001</v>
      </c>
      <c r="E71" s="35" t="str">
        <f>D1_NOVIEMBRE_2024[[#This Row],[SUPER]]</f>
        <v>SANDY</v>
      </c>
      <c r="F71" t="s">
        <v>10</v>
      </c>
      <c r="G71" s="3">
        <v>22304</v>
      </c>
      <c r="H71" t="s">
        <v>449</v>
      </c>
      <c r="I71" s="56">
        <v>44706</v>
      </c>
      <c r="J71" s="56" t="s">
        <v>501</v>
      </c>
      <c r="M71">
        <f>DATA_NOVIEMBRE_2024[[#This Row],[RECUPERO]]/DATA_NOVIEMBRE_2024[[#This Row],[META]]</f>
        <v>1.3043478260869565E-2</v>
      </c>
      <c r="N71" t="str" cm="1">
        <f t="array" ref="N71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71" s="5" t="s">
        <v>5</v>
      </c>
      <c r="P71">
        <f>SUM(DATA_NOVIEMBRE_2024[[#This Row],[1]:[31]])</f>
        <v>300</v>
      </c>
      <c r="Q71">
        <v>23000</v>
      </c>
      <c r="R71" t="s">
        <v>544</v>
      </c>
      <c r="W71">
        <v>100</v>
      </c>
      <c r="Y71">
        <v>200</v>
      </c>
    </row>
    <row r="72" spans="1:48" x14ac:dyDescent="0.25">
      <c r="A72" s="34" t="s">
        <v>6</v>
      </c>
      <c r="B72" s="34" t="str">
        <f>D1_NOVIEMBRE_2024[[#This Row],[ASESOR]]</f>
        <v>VICTOR RAMIREZ</v>
      </c>
      <c r="C72" s="36">
        <f>VLOOKUP(D1_NOVIEMBRE_2024[[#This Row],[SUPER]],DATA_NOVIEMBRE_2024[[SUPERVISOR]:[META]],3,0)</f>
        <v>22500</v>
      </c>
      <c r="D72" s="35">
        <f>D1_NOVIEMBRE_2024[[#This Row],[RECUPERO]]/D1_NOVIEMBRE_2024[[#This Row],[META]]</f>
        <v>0.18666666666666668</v>
      </c>
      <c r="E72" s="35" t="str">
        <f>D1_NOVIEMBRE_2024[[#This Row],[SUPER]]</f>
        <v>KENNETH</v>
      </c>
      <c r="F72" t="s">
        <v>76</v>
      </c>
      <c r="G72" s="3">
        <v>4200</v>
      </c>
      <c r="H72" t="s">
        <v>408</v>
      </c>
      <c r="I72" s="56">
        <v>44819</v>
      </c>
      <c r="J72" s="56" t="s">
        <v>501</v>
      </c>
      <c r="M72">
        <f>DATA_NOVIEMBRE_2024[[#This Row],[RECUPERO]]/DATA_NOVIEMBRE_2024[[#This Row],[META]]</f>
        <v>0.6711538461538461</v>
      </c>
      <c r="N72" t="str" cm="1">
        <f t="array" ref="N72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72" s="5" t="s">
        <v>9</v>
      </c>
      <c r="P72">
        <f>SUM(DATA_NOVIEMBRE_2024[[#This Row],[1]:[31]])</f>
        <v>8725</v>
      </c>
      <c r="Q72">
        <v>13000</v>
      </c>
      <c r="R72" t="s">
        <v>103</v>
      </c>
      <c r="V72">
        <v>340</v>
      </c>
      <c r="W72">
        <v>310</v>
      </c>
      <c r="X72">
        <v>380</v>
      </c>
      <c r="AC72">
        <v>200</v>
      </c>
      <c r="AD72">
        <v>100</v>
      </c>
      <c r="AF72">
        <v>100</v>
      </c>
      <c r="AK72">
        <v>1100</v>
      </c>
      <c r="AL72">
        <v>300</v>
      </c>
      <c r="AM72">
        <v>1900</v>
      </c>
      <c r="AN72">
        <v>950</v>
      </c>
      <c r="AR72">
        <v>2200</v>
      </c>
      <c r="AT72">
        <v>230</v>
      </c>
      <c r="AU72">
        <v>400</v>
      </c>
      <c r="AV72">
        <v>215</v>
      </c>
    </row>
    <row r="73" spans="1:48" x14ac:dyDescent="0.25">
      <c r="M73">
        <f>DATA_NOVIEMBRE_2024[[#This Row],[RECUPERO]]/DATA_NOVIEMBRE_2024[[#This Row],[META]]</f>
        <v>0.43846153846153846</v>
      </c>
      <c r="N73" t="str" cm="1">
        <f t="array" ref="N73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73" s="5" t="s">
        <v>9</v>
      </c>
      <c r="P73">
        <f>SUM(DATA_NOVIEMBRE_2024[[#This Row],[1]:[31]])</f>
        <v>5700</v>
      </c>
      <c r="Q73">
        <v>13000</v>
      </c>
      <c r="R73" t="s">
        <v>73</v>
      </c>
      <c r="W73">
        <v>300</v>
      </c>
      <c r="Y73">
        <v>1300</v>
      </c>
      <c r="AA73">
        <v>300</v>
      </c>
      <c r="AE73">
        <v>2500</v>
      </c>
      <c r="AG73">
        <v>200</v>
      </c>
      <c r="AH73">
        <v>100</v>
      </c>
      <c r="AK73">
        <v>200</v>
      </c>
      <c r="AT73">
        <v>200</v>
      </c>
      <c r="AU73">
        <v>300</v>
      </c>
      <c r="AV73">
        <v>300</v>
      </c>
    </row>
    <row r="74" spans="1:48" x14ac:dyDescent="0.25">
      <c r="M74">
        <f>DATA_NOVIEMBRE_2024[[#This Row],[RECUPERO]]/DATA_NOVIEMBRE_2024[[#This Row],[META]]</f>
        <v>0.57699999999999996</v>
      </c>
      <c r="N74" t="str" cm="1">
        <f t="array" ref="N74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74" s="5" t="s">
        <v>3</v>
      </c>
      <c r="P74">
        <f>SUM(DATA_NOVIEMBRE_2024[[#This Row],[1]:[31]])</f>
        <v>39236</v>
      </c>
      <c r="Q74">
        <v>68000</v>
      </c>
      <c r="R74" t="s">
        <v>30</v>
      </c>
      <c r="T74">
        <v>407</v>
      </c>
      <c r="W74">
        <v>600</v>
      </c>
      <c r="X74">
        <v>340</v>
      </c>
      <c r="Y74">
        <v>1350</v>
      </c>
      <c r="Z74">
        <v>100</v>
      </c>
      <c r="AA74">
        <v>1100</v>
      </c>
      <c r="AD74">
        <v>8000</v>
      </c>
      <c r="AG74">
        <v>1200</v>
      </c>
      <c r="AH74">
        <v>315</v>
      </c>
      <c r="AJ74">
        <v>650</v>
      </c>
      <c r="AK74">
        <v>570</v>
      </c>
      <c r="AL74">
        <v>1519</v>
      </c>
      <c r="AN74">
        <v>215</v>
      </c>
      <c r="AO74">
        <v>262</v>
      </c>
      <c r="AQ74">
        <v>800</v>
      </c>
      <c r="AR74">
        <v>1989</v>
      </c>
      <c r="AS74">
        <v>6234</v>
      </c>
      <c r="AU74">
        <v>11485</v>
      </c>
      <c r="AV74">
        <v>2100</v>
      </c>
    </row>
    <row r="75" spans="1:48" x14ac:dyDescent="0.25">
      <c r="M75">
        <f>DATA_NOVIEMBRE_2024[[#This Row],[RECUPERO]]/DATA_NOVIEMBRE_2024[[#This Row],[META]]</f>
        <v>0.27648</v>
      </c>
      <c r="N75" t="str" cm="1">
        <f t="array" ref="N75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75" s="5" t="s">
        <v>2</v>
      </c>
      <c r="P75">
        <f>SUM(DATA_NOVIEMBRE_2024[[#This Row],[1]:[31]])</f>
        <v>6912</v>
      </c>
      <c r="Q75">
        <v>25000</v>
      </c>
      <c r="R75" t="s">
        <v>78</v>
      </c>
      <c r="X75">
        <v>210</v>
      </c>
      <c r="AC75">
        <v>200</v>
      </c>
      <c r="AE75">
        <v>500</v>
      </c>
      <c r="AF75">
        <v>500</v>
      </c>
      <c r="AJ75">
        <v>550</v>
      </c>
      <c r="AQ75">
        <v>350</v>
      </c>
      <c r="AR75">
        <v>1300</v>
      </c>
      <c r="AT75">
        <v>2200</v>
      </c>
      <c r="AU75">
        <v>902</v>
      </c>
      <c r="AV75">
        <v>200</v>
      </c>
    </row>
    <row r="76" spans="1:48" x14ac:dyDescent="0.25">
      <c r="M76">
        <f>DATA_NOVIEMBRE_2024[[#This Row],[RECUPERO]]/DATA_NOVIEMBRE_2024[[#This Row],[META]]</f>
        <v>0.61456</v>
      </c>
      <c r="N76" t="str" cm="1">
        <f t="array" ref="N76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&gt;40%</v>
      </c>
      <c r="O76" s="5" t="s">
        <v>2</v>
      </c>
      <c r="P76">
        <f>SUM(DATA_NOVIEMBRE_2024[[#This Row],[1]:[31]])</f>
        <v>15364</v>
      </c>
      <c r="Q76">
        <v>25000</v>
      </c>
      <c r="R76" t="s">
        <v>48</v>
      </c>
      <c r="S76">
        <v>115</v>
      </c>
      <c r="V76">
        <v>4270</v>
      </c>
      <c r="X76">
        <v>130</v>
      </c>
      <c r="Z76">
        <v>650</v>
      </c>
      <c r="AJ76">
        <v>2700</v>
      </c>
      <c r="AL76">
        <v>272</v>
      </c>
      <c r="AS76">
        <v>2000</v>
      </c>
      <c r="AU76">
        <v>4927</v>
      </c>
      <c r="AV76">
        <v>300</v>
      </c>
    </row>
    <row r="77" spans="1:48" x14ac:dyDescent="0.25">
      <c r="M77">
        <f>DATA_NOVIEMBRE_2024[[#This Row],[RECUPERO]]/DATA_NOVIEMBRE_2024[[#This Row],[META]]</f>
        <v>0.32800000000000001</v>
      </c>
      <c r="N77" t="str" cm="1">
        <f t="array" ref="N77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77" s="5" t="s">
        <v>3</v>
      </c>
      <c r="P77">
        <f>SUM(DATA_NOVIEMBRE_2024[[#This Row],[1]:[31]])</f>
        <v>22304</v>
      </c>
      <c r="Q77">
        <v>68000</v>
      </c>
      <c r="R77" t="s">
        <v>10</v>
      </c>
      <c r="S77">
        <v>325</v>
      </c>
      <c r="T77">
        <v>250</v>
      </c>
      <c r="W77">
        <v>1411</v>
      </c>
      <c r="AE77">
        <v>1262</v>
      </c>
      <c r="AF77">
        <v>3600</v>
      </c>
      <c r="AG77">
        <v>1200</v>
      </c>
      <c r="AJ77">
        <v>530</v>
      </c>
      <c r="AL77">
        <v>300</v>
      </c>
      <c r="AM77">
        <v>7800</v>
      </c>
      <c r="AN77">
        <v>600</v>
      </c>
      <c r="AU77">
        <v>2980</v>
      </c>
      <c r="AV77">
        <v>2046</v>
      </c>
    </row>
    <row r="78" spans="1:48" x14ac:dyDescent="0.25">
      <c r="M78">
        <f>DATA_NOVIEMBRE_2024[[#This Row],[RECUPERO]]/DATA_NOVIEMBRE_2024[[#This Row],[META]]</f>
        <v>0.18666666666666668</v>
      </c>
      <c r="N78" t="str" cm="1">
        <f t="array" ref="N78">IF(DATA_NOVIEMBRE_2024[[#This Row],[ASER_]]="","",IFERROR(_xlfn.IFS(DATA_NOVIEMBRE_2024[[#This Row],[AL_AC]]&gt;=100%,"&gt;100%",AND(DATA_NOVIEMBRE_2024[[#This Row],[AL_AC]]&lt;100%,DATA_NOVIEMBRE_2024[[#This Row],[AL_AC]]&gt;=70%),"&gt;70%",AND(DATA_NOVIEMBRE_2024[[#This Row],[AL_AC]]&lt;70%,DATA_NOVIEMBRE_2024[[#This Row],[AL_AC]]&gt;=40%),"&gt;40%",AND(DATA_NOVIEMBRE_2024[[#This Row],[AL_AC]]&lt;40%,DATA_NOVIEMBRE_2024[[#This Row],[AL_AC]]&gt;=0%),"&gt;0%"),""))</f>
        <v>&gt;0%</v>
      </c>
      <c r="O78" s="5" t="s">
        <v>6</v>
      </c>
      <c r="P78">
        <f>SUM(DATA_NOVIEMBRE_2024[[#This Row],[1]:[31]])</f>
        <v>4200</v>
      </c>
      <c r="Q78">
        <v>22500</v>
      </c>
      <c r="R78" t="s">
        <v>76</v>
      </c>
      <c r="S78">
        <v>0</v>
      </c>
      <c r="W78">
        <v>2000</v>
      </c>
      <c r="AE78">
        <v>500</v>
      </c>
      <c r="AJ78">
        <v>800</v>
      </c>
      <c r="AK78">
        <v>400</v>
      </c>
      <c r="AU78">
        <v>500</v>
      </c>
    </row>
  </sheetData>
  <conditionalFormatting sqref="R9:R78">
    <cfRule type="duplicateValues" dxfId="15" priority="10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ED76-88A0-47F1-8887-9B5576B83460}">
  <dimension ref="A1:CI82"/>
  <sheetViews>
    <sheetView zoomScale="85" zoomScaleNormal="85" workbookViewId="0">
      <selection activeCell="K2" sqref="K2"/>
    </sheetView>
  </sheetViews>
  <sheetFormatPr baseColWidth="10" defaultRowHeight="15" x14ac:dyDescent="0.25"/>
  <sheetData>
    <row r="1" spans="1:87" x14ac:dyDescent="0.25">
      <c r="A1" s="34"/>
      <c r="B1" s="34"/>
      <c r="C1" s="35"/>
      <c r="D1" s="35"/>
      <c r="E1" s="35"/>
      <c r="L1" s="56"/>
      <c r="N1" s="5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34" t="s">
        <v>115</v>
      </c>
      <c r="B3" s="34" t="str">
        <f>D1_DICIEMBRE_2024[[#This Row],[ASESOR]]</f>
        <v>ALEIDITH GUEVARA</v>
      </c>
      <c r="C3" s="36">
        <f>VLOOKUP(D1_DICIEMBRE_2024[[#This Row],[SUPER]],DATA_DICIEMBRE_2024[[SUPERVISOR]:[META]],3,0)</f>
        <v>17000</v>
      </c>
      <c r="D3" s="35">
        <f>D1_DICIEMBRE_2024[[#This Row],[RECUPERO]]/D1_DICIEMBRE_2024[[#This Row],[META]]</f>
        <v>1.575764705882353</v>
      </c>
      <c r="E3" s="35" t="str">
        <f>D1_DICIEMBRE_2024[[#This Row],[SUPER]]</f>
        <v>MELITA</v>
      </c>
      <c r="F3" t="s">
        <v>18</v>
      </c>
      <c r="G3" s="3">
        <v>26788</v>
      </c>
      <c r="H3" t="s">
        <v>431</v>
      </c>
      <c r="I3" s="56">
        <v>45133</v>
      </c>
      <c r="J3" s="56" t="s">
        <v>501</v>
      </c>
      <c r="K3" s="56"/>
      <c r="L3" s="56"/>
      <c r="M3" s="33">
        <v>2024</v>
      </c>
      <c r="N3" s="33" t="s">
        <v>176</v>
      </c>
      <c r="O3" s="33">
        <v>21</v>
      </c>
    </row>
    <row r="4" spans="1:87" x14ac:dyDescent="0.25">
      <c r="A4" s="34" t="s">
        <v>9</v>
      </c>
      <c r="B4" s="34" t="str">
        <f>D1_DICIEMBRE_2024[[#This Row],[ASESOR]]</f>
        <v>ALEJANDRA AVILA</v>
      </c>
      <c r="C4" s="36">
        <f>VLOOKUP(D1_DICIEMBRE_2024[[#This Row],[SUPER]],DATA_DICIEMBRE_2024[[SUPERVISOR]:[META]],3,0)</f>
        <v>26500</v>
      </c>
      <c r="D4" s="35">
        <f>D1_DICIEMBRE_2024[[#This Row],[RECUPERO]]/D1_DICIEMBRE_2024[[#This Row],[META]]</f>
        <v>0.2862264150943396</v>
      </c>
      <c r="E4" s="35" t="str">
        <f>D1_DICIEMBRE_2024[[#This Row],[SUPER]]</f>
        <v>LUIS</v>
      </c>
      <c r="F4" t="s">
        <v>21</v>
      </c>
      <c r="G4" s="3">
        <v>7585</v>
      </c>
      <c r="H4" t="s">
        <v>409</v>
      </c>
      <c r="I4" s="56">
        <v>44301</v>
      </c>
      <c r="J4" s="56" t="s">
        <v>501</v>
      </c>
      <c r="K4" s="56"/>
      <c r="L4" s="56"/>
      <c r="N4" s="5"/>
    </row>
    <row r="5" spans="1:87" x14ac:dyDescent="0.25">
      <c r="A5" s="34" t="s">
        <v>3</v>
      </c>
      <c r="B5" s="34" t="str">
        <f>D1_DICIEMBRE_2024[[#This Row],[ASESOR]]</f>
        <v>ALEJANDRA QUISPE</v>
      </c>
      <c r="C5" s="36">
        <f>VLOOKUP(D1_DICIEMBRE_2024[[#This Row],[SUPER]],DATA_DICIEMBRE_2024[[SUPERVISOR]:[META]],3,0)</f>
        <v>60000</v>
      </c>
      <c r="D5" s="35">
        <f>D1_DICIEMBRE_2024[[#This Row],[RECUPERO]]/D1_DICIEMBRE_2024[[#This Row],[META]]</f>
        <v>0.56975833333333337</v>
      </c>
      <c r="E5" s="35" t="str">
        <f>D1_DICIEMBRE_2024[[#This Row],[SUPER]]</f>
        <v>SANDY</v>
      </c>
      <c r="F5" t="s">
        <v>58</v>
      </c>
      <c r="G5" s="3">
        <v>34185.5</v>
      </c>
      <c r="H5" t="s">
        <v>441</v>
      </c>
      <c r="I5" s="56">
        <v>43035</v>
      </c>
      <c r="J5" s="56" t="s">
        <v>501</v>
      </c>
      <c r="K5" s="56"/>
      <c r="L5" s="56"/>
      <c r="N5" s="5"/>
      <c r="BB5" s="45"/>
    </row>
    <row r="6" spans="1:87" x14ac:dyDescent="0.25">
      <c r="A6" s="34" t="s">
        <v>4</v>
      </c>
      <c r="B6" s="34" t="str">
        <f>D1_DICIEMBRE_2024[[#This Row],[ASESOR]]</f>
        <v>ALEJANDRO GONZALES</v>
      </c>
      <c r="C6" s="36">
        <f>VLOOKUP(D1_DICIEMBRE_2024[[#This Row],[SUPER]],DATA_DICIEMBRE_2024[[SUPERVISOR]:[META]],3,0)</f>
        <v>60000</v>
      </c>
      <c r="D6" s="35">
        <f>D1_DICIEMBRE_2024[[#This Row],[RECUPERO]]/D1_DICIEMBRE_2024[[#This Row],[META]]</f>
        <v>0.28751833333333332</v>
      </c>
      <c r="E6" s="35" t="str">
        <f>D1_DICIEMBRE_2024[[#This Row],[SUPER]]</f>
        <v>MELINA</v>
      </c>
      <c r="F6" t="s">
        <v>109</v>
      </c>
      <c r="G6" s="3">
        <v>17251.099999999999</v>
      </c>
      <c r="H6" t="s">
        <v>422</v>
      </c>
      <c r="I6" s="56">
        <v>45334</v>
      </c>
      <c r="J6" s="56" t="s">
        <v>501</v>
      </c>
      <c r="K6" s="56"/>
      <c r="L6" s="56"/>
      <c r="N6" s="5"/>
    </row>
    <row r="7" spans="1:87" x14ac:dyDescent="0.25">
      <c r="A7" s="34" t="s">
        <v>4</v>
      </c>
      <c r="B7" s="34" t="str">
        <f>D1_DICIEMBRE_2024[[#This Row],[ASESOR]]</f>
        <v>ANALUCIA PONCE</v>
      </c>
      <c r="C7" s="36">
        <f>VLOOKUP(D1_DICIEMBRE_2024[[#This Row],[SUPER]],DATA_DICIEMBRE_2024[[SUPERVISOR]:[META]],3,0)</f>
        <v>60000</v>
      </c>
      <c r="D7" s="35">
        <f>D1_DICIEMBRE_2024[[#This Row],[RECUPERO]]/D1_DICIEMBRE_2024[[#This Row],[META]]</f>
        <v>1.0976166666666667</v>
      </c>
      <c r="E7" s="35" t="str">
        <f>D1_DICIEMBRE_2024[[#This Row],[SUPER]]</f>
        <v>MELINA</v>
      </c>
      <c r="F7" t="s">
        <v>60</v>
      </c>
      <c r="G7" s="3">
        <v>65857</v>
      </c>
      <c r="H7" t="s">
        <v>423</v>
      </c>
      <c r="I7" s="56">
        <v>45323</v>
      </c>
      <c r="J7" s="56" t="s">
        <v>501</v>
      </c>
      <c r="K7" s="56"/>
      <c r="L7" s="56"/>
      <c r="M7" s="1"/>
      <c r="N7" s="5"/>
    </row>
    <row r="8" spans="1:87" x14ac:dyDescent="0.25">
      <c r="A8" s="34" t="s">
        <v>9</v>
      </c>
      <c r="B8" s="34" t="str">
        <f>D1_DICIEMBRE_2024[[#This Row],[ASESOR]]</f>
        <v>ANDERSON RODRIGUEZ</v>
      </c>
      <c r="C8" s="36">
        <f>VLOOKUP(D1_DICIEMBRE_2024[[#This Row],[SUPER]],DATA_DICIEMBRE_2024[[SUPERVISOR]:[META]],3,0)</f>
        <v>26500</v>
      </c>
      <c r="D8" s="35">
        <f>D1_DICIEMBRE_2024[[#This Row],[RECUPERO]]/D1_DICIEMBRE_2024[[#This Row],[META]]</f>
        <v>0.52317735849056601</v>
      </c>
      <c r="E8" s="35" t="str">
        <f>D1_DICIEMBRE_2024[[#This Row],[SUPER]]</f>
        <v>LUIS</v>
      </c>
      <c r="F8" t="s">
        <v>15</v>
      </c>
      <c r="G8" s="3">
        <v>13864.2</v>
      </c>
      <c r="H8" t="s">
        <v>410</v>
      </c>
      <c r="I8" s="56">
        <v>44735</v>
      </c>
      <c r="J8" s="56" t="s">
        <v>501</v>
      </c>
      <c r="K8" s="56"/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19" t="s">
        <v>94</v>
      </c>
      <c r="BD8" s="19" t="s">
        <v>533</v>
      </c>
      <c r="BE8" s="19" t="s">
        <v>503</v>
      </c>
      <c r="BF8" s="19" t="s">
        <v>525</v>
      </c>
      <c r="BG8" s="19" t="s">
        <v>529</v>
      </c>
      <c r="BH8" s="19" t="s">
        <v>504</v>
      </c>
      <c r="BI8" s="19" t="s">
        <v>505</v>
      </c>
      <c r="BJ8" s="19" t="s">
        <v>506</v>
      </c>
      <c r="BK8" s="19" t="s">
        <v>507</v>
      </c>
      <c r="BL8" s="19" t="s">
        <v>508</v>
      </c>
      <c r="BM8" s="19" t="s">
        <v>526</v>
      </c>
      <c r="BN8" s="19" t="s">
        <v>530</v>
      </c>
      <c r="BO8" s="19" t="s">
        <v>509</v>
      </c>
      <c r="BP8" s="19" t="s">
        <v>510</v>
      </c>
      <c r="BQ8" s="19" t="s">
        <v>511</v>
      </c>
      <c r="BR8" s="19" t="s">
        <v>512</v>
      </c>
      <c r="BS8" s="19" t="s">
        <v>513</v>
      </c>
      <c r="BT8" s="19" t="s">
        <v>527</v>
      </c>
      <c r="BU8" s="19" t="s">
        <v>531</v>
      </c>
      <c r="BV8" s="19" t="s">
        <v>514</v>
      </c>
      <c r="BW8" s="19" t="s">
        <v>515</v>
      </c>
      <c r="BX8" s="19" t="s">
        <v>516</v>
      </c>
      <c r="BY8" s="19" t="s">
        <v>517</v>
      </c>
      <c r="BZ8" s="19" t="s">
        <v>518</v>
      </c>
      <c r="CA8" s="19" t="s">
        <v>528</v>
      </c>
      <c r="CB8" s="19" t="s">
        <v>532</v>
      </c>
      <c r="CC8" s="19" t="s">
        <v>519</v>
      </c>
      <c r="CD8" s="19" t="s">
        <v>520</v>
      </c>
      <c r="CE8" s="19" t="s">
        <v>521</v>
      </c>
      <c r="CF8" s="19" t="s">
        <v>522</v>
      </c>
      <c r="CG8" s="19" t="s">
        <v>523</v>
      </c>
      <c r="CH8" s="19" t="s">
        <v>524</v>
      </c>
      <c r="CI8" s="18" t="s">
        <v>134</v>
      </c>
    </row>
    <row r="9" spans="1:87" x14ac:dyDescent="0.25">
      <c r="A9" s="34" t="s">
        <v>2</v>
      </c>
      <c r="B9" s="34" t="str">
        <f>D1_DICIEMBRE_2024[[#This Row],[ASESOR]]</f>
        <v>ANGELO SUAREZ</v>
      </c>
      <c r="C9" s="36">
        <f>VLOOKUP(D1_DICIEMBRE_2024[[#This Row],[SUPER]],DATA_DICIEMBRE_2024[[SUPERVISOR]:[META]],3,0)</f>
        <v>22500</v>
      </c>
      <c r="D9" s="35">
        <f>D1_DICIEMBRE_2024[[#This Row],[RECUPERO]]/D1_DICIEMBRE_2024[[#This Row],[META]]</f>
        <v>0.27293333333333331</v>
      </c>
      <c r="E9" s="35" t="str">
        <f>D1_DICIEMBRE_2024[[#This Row],[SUPER]]</f>
        <v>JORGE</v>
      </c>
      <c r="F9" t="s">
        <v>92</v>
      </c>
      <c r="G9" s="3">
        <v>6141</v>
      </c>
      <c r="H9" t="s">
        <v>486</v>
      </c>
      <c r="I9" s="56">
        <v>45399</v>
      </c>
      <c r="J9" s="56" t="s">
        <v>501</v>
      </c>
      <c r="K9" s="56"/>
      <c r="L9" s="56"/>
      <c r="M9">
        <f>DATA_DICIEMBRE_2024[[#This Row],[RECUPERO]]/DATA_DICIEMBRE_2024[[#This Row],[META]]</f>
        <v>1.575764705882353</v>
      </c>
      <c r="N9" s="5" t="str" cm="1">
        <f t="array" ref="N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9" t="s">
        <v>115</v>
      </c>
      <c r="P9">
        <f>SUM(DATA_DICIEMBRE_2024[[#This Row],[1]:[31]])</f>
        <v>26788</v>
      </c>
      <c r="Q9">
        <v>17000</v>
      </c>
      <c r="R9" t="s">
        <v>18</v>
      </c>
      <c r="T9">
        <v>2100</v>
      </c>
      <c r="U9">
        <v>200</v>
      </c>
      <c r="V9">
        <v>505</v>
      </c>
      <c r="W9">
        <v>1400</v>
      </c>
      <c r="X9">
        <v>3077</v>
      </c>
      <c r="AB9">
        <v>2000</v>
      </c>
      <c r="AC9">
        <v>900</v>
      </c>
      <c r="AD9">
        <v>350</v>
      </c>
      <c r="AE9">
        <v>50</v>
      </c>
      <c r="AH9">
        <v>2975</v>
      </c>
      <c r="AI9">
        <v>840</v>
      </c>
      <c r="AK9">
        <v>350</v>
      </c>
      <c r="AL9">
        <v>1315</v>
      </c>
      <c r="AM9">
        <v>300</v>
      </c>
      <c r="AP9">
        <v>6000</v>
      </c>
      <c r="AR9">
        <v>1256</v>
      </c>
      <c r="AS9">
        <v>250</v>
      </c>
      <c r="AT9">
        <v>300</v>
      </c>
      <c r="AV9">
        <v>1320</v>
      </c>
      <c r="AW9">
        <v>1300</v>
      </c>
      <c r="AZ9" s="11">
        <v>453000</v>
      </c>
      <c r="BA9" s="11">
        <f>MAX(DITE_DICIEMBRE_2024[[#This Row],[1]:[31]])</f>
        <v>554785.71</v>
      </c>
      <c r="BB9" s="17">
        <f>DITE_DICIEMBRE_2024[[#This Row],[RECUPERO SUPERVISOR]]/AZ9</f>
        <v>1.2246925165562914</v>
      </c>
      <c r="BC9" t="s">
        <v>5</v>
      </c>
      <c r="BD9" s="46">
        <v>1657.5</v>
      </c>
      <c r="BE9" s="46">
        <v>8257.5</v>
      </c>
      <c r="BF9" s="46">
        <v>31603.5</v>
      </c>
      <c r="BG9" s="46">
        <v>51063.5</v>
      </c>
      <c r="BH9" s="46">
        <v>58848.5</v>
      </c>
      <c r="BI9" s="46">
        <v>76072.5</v>
      </c>
      <c r="BJ9" s="46">
        <v>76572.5</v>
      </c>
      <c r="BK9" s="46">
        <v>77572.5</v>
      </c>
      <c r="BL9" s="46">
        <v>78117.5</v>
      </c>
      <c r="BM9" s="46">
        <v>109847.5</v>
      </c>
      <c r="BN9" s="46">
        <v>147499.5</v>
      </c>
      <c r="BO9" s="46">
        <v>158549.5</v>
      </c>
      <c r="BP9" s="46">
        <v>229064.5</v>
      </c>
      <c r="BQ9" s="46">
        <v>231164.5</v>
      </c>
      <c r="BR9" s="46">
        <v>231164.5</v>
      </c>
      <c r="BS9" s="46">
        <v>245949.5</v>
      </c>
      <c r="BT9" s="46">
        <v>275533.5</v>
      </c>
      <c r="BU9" s="46">
        <v>294136.5</v>
      </c>
      <c r="BV9" s="46">
        <v>334527.5</v>
      </c>
      <c r="BW9" s="46">
        <v>366508.5</v>
      </c>
      <c r="BX9" s="46">
        <v>367008.5</v>
      </c>
      <c r="BY9" s="46">
        <v>367008.5</v>
      </c>
      <c r="BZ9" s="46">
        <v>410483.5</v>
      </c>
      <c r="CA9" s="46">
        <v>431244.5</v>
      </c>
      <c r="CB9" s="46">
        <v>431244.5</v>
      </c>
      <c r="CC9" s="46">
        <v>451296.5</v>
      </c>
      <c r="CD9" s="46">
        <v>472516.5</v>
      </c>
      <c r="CE9" s="46">
        <v>486436.5</v>
      </c>
      <c r="CF9" s="46">
        <v>486436.5</v>
      </c>
      <c r="CG9" s="46">
        <v>506372.71</v>
      </c>
      <c r="CH9" s="46">
        <v>554785.71</v>
      </c>
      <c r="CI9" s="10"/>
    </row>
    <row r="10" spans="1:87" x14ac:dyDescent="0.25">
      <c r="A10" s="34" t="s">
        <v>5</v>
      </c>
      <c r="B10" s="34" t="str">
        <f>D1_DICIEMBRE_2024[[#This Row],[ASESOR]]</f>
        <v>ANTHONY TORRES</v>
      </c>
      <c r="C10" s="36">
        <f>VLOOKUP(D1_DICIEMBRE_2024[[#This Row],[SUPER]],DATA_DICIEMBRE_2024[[SUPERVISOR]:[META]],3,0)</f>
        <v>60000</v>
      </c>
      <c r="D10" s="35">
        <f>D1_DICIEMBRE_2024[[#This Row],[RECUPERO]]/D1_DICIEMBRE_2024[[#This Row],[META]]</f>
        <v>1.1364000000000001</v>
      </c>
      <c r="E10" s="35" t="str">
        <f>D1_DICIEMBRE_2024[[#This Row],[SUPER]]</f>
        <v>JORDAN</v>
      </c>
      <c r="F10" t="s">
        <v>69</v>
      </c>
      <c r="G10" s="3">
        <v>68184</v>
      </c>
      <c r="H10" t="s">
        <v>379</v>
      </c>
      <c r="I10" s="56">
        <v>44461</v>
      </c>
      <c r="J10" s="56" t="s">
        <v>501</v>
      </c>
      <c r="K10" s="56"/>
      <c r="L10" s="56"/>
      <c r="M10">
        <f>DATA_DICIEMBRE_2024[[#This Row],[RECUPERO]]/DATA_DICIEMBRE_2024[[#This Row],[META]]</f>
        <v>0.2862264150943396</v>
      </c>
      <c r="N10" s="5" t="str" cm="1">
        <f t="array" ref="N1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10" t="s">
        <v>9</v>
      </c>
      <c r="P10">
        <f>SUM(DATA_DICIEMBRE_2024[[#This Row],[1]:[31]])</f>
        <v>7585</v>
      </c>
      <c r="Q10">
        <v>26500</v>
      </c>
      <c r="R10" t="s">
        <v>21</v>
      </c>
      <c r="V10">
        <v>100</v>
      </c>
      <c r="W10">
        <v>985</v>
      </c>
      <c r="X10">
        <v>400</v>
      </c>
      <c r="AB10">
        <v>200</v>
      </c>
      <c r="AC10">
        <v>3000</v>
      </c>
      <c r="AH10">
        <v>1300</v>
      </c>
      <c r="AJ10">
        <v>200</v>
      </c>
      <c r="AK10">
        <v>200</v>
      </c>
      <c r="AO10">
        <v>200</v>
      </c>
      <c r="AP10">
        <v>200</v>
      </c>
      <c r="AU10">
        <v>300</v>
      </c>
      <c r="AW10">
        <v>500</v>
      </c>
      <c r="AZ10" s="11">
        <v>194000</v>
      </c>
      <c r="BA10" s="11">
        <f>MAX(DITE_DICIEMBRE_2024[[#This Row],[1]:[31]])</f>
        <v>189148.61</v>
      </c>
      <c r="BB10" s="17">
        <f>DITE_DICIEMBRE_2024[[#This Row],[RECUPERO SUPERVISOR]]/AZ10</f>
        <v>0.97499283505154632</v>
      </c>
      <c r="BC10" t="s">
        <v>2</v>
      </c>
      <c r="BD10" s="46">
        <v>0</v>
      </c>
      <c r="BE10" s="46">
        <v>4055</v>
      </c>
      <c r="BF10" s="46">
        <v>9423</v>
      </c>
      <c r="BG10" s="46">
        <v>13630.15</v>
      </c>
      <c r="BH10" s="46">
        <v>18445.150000000001</v>
      </c>
      <c r="BI10" s="46">
        <v>34319.15</v>
      </c>
      <c r="BJ10" s="46">
        <v>35319.15</v>
      </c>
      <c r="BK10" s="46">
        <v>35319.15</v>
      </c>
      <c r="BL10" s="46">
        <v>35519.15</v>
      </c>
      <c r="BM10" s="46">
        <v>40353.15</v>
      </c>
      <c r="BN10" s="46">
        <v>40353.15</v>
      </c>
      <c r="BO10" s="46">
        <v>48153.15</v>
      </c>
      <c r="BP10" s="46">
        <v>52203.15</v>
      </c>
      <c r="BQ10" s="46">
        <v>54148.15</v>
      </c>
      <c r="BR10" s="46">
        <v>54548.15</v>
      </c>
      <c r="BS10" s="46">
        <v>62363.15</v>
      </c>
      <c r="BT10" s="46">
        <v>65004.25</v>
      </c>
      <c r="BU10" s="46">
        <v>69360.25</v>
      </c>
      <c r="BV10" s="46">
        <v>70505.25</v>
      </c>
      <c r="BW10" s="46">
        <v>79545.25</v>
      </c>
      <c r="BX10" s="46">
        <v>81245.25</v>
      </c>
      <c r="BY10" s="46">
        <v>81245.25</v>
      </c>
      <c r="BZ10" s="46">
        <v>110393.47</v>
      </c>
      <c r="CA10" s="46">
        <v>142495.60999999999</v>
      </c>
      <c r="CB10" s="46">
        <v>142495.60999999999</v>
      </c>
      <c r="CC10" s="46">
        <v>148000.60999999999</v>
      </c>
      <c r="CD10" s="46">
        <v>161231.60999999999</v>
      </c>
      <c r="CE10" s="46">
        <v>165070.60999999999</v>
      </c>
      <c r="CF10" s="46">
        <v>165570.60999999999</v>
      </c>
      <c r="CG10" s="46">
        <v>179272.61</v>
      </c>
      <c r="CH10" s="46">
        <v>189148.61</v>
      </c>
      <c r="CI10" s="11"/>
    </row>
    <row r="11" spans="1:87" x14ac:dyDescent="0.25">
      <c r="A11" s="34" t="s">
        <v>5</v>
      </c>
      <c r="B11" s="34" t="str">
        <f>D1_DICIEMBRE_2024[[#This Row],[ASESOR]]</f>
        <v>ANTHONY VICENTE</v>
      </c>
      <c r="C11" s="36">
        <f>VLOOKUP(D1_DICIEMBRE_2024[[#This Row],[SUPER]],DATA_DICIEMBRE_2024[[SUPERVISOR]:[META]],3,0)</f>
        <v>60000</v>
      </c>
      <c r="D11" s="35">
        <f>D1_DICIEMBRE_2024[[#This Row],[RECUPERO]]/D1_DICIEMBRE_2024[[#This Row],[META]]</f>
        <v>0.93742499999999995</v>
      </c>
      <c r="E11" s="35" t="str">
        <f>D1_DICIEMBRE_2024[[#This Row],[SUPER]]</f>
        <v>JORDAN</v>
      </c>
      <c r="F11" t="s">
        <v>85</v>
      </c>
      <c r="G11" s="3">
        <v>56245.5</v>
      </c>
      <c r="H11" t="s">
        <v>380</v>
      </c>
      <c r="I11" s="56">
        <v>44811</v>
      </c>
      <c r="J11" s="56" t="s">
        <v>501</v>
      </c>
      <c r="K11" s="56"/>
      <c r="L11" s="56"/>
      <c r="M11">
        <f>DATA_DICIEMBRE_2024[[#This Row],[RECUPERO]]/DATA_DICIEMBRE_2024[[#This Row],[META]]</f>
        <v>0.56975833333333337</v>
      </c>
      <c r="N11" s="5" t="str" cm="1">
        <f t="array" ref="N1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11" t="s">
        <v>3</v>
      </c>
      <c r="P11">
        <f>SUM(DATA_DICIEMBRE_2024[[#This Row],[1]:[31]])</f>
        <v>34185.5</v>
      </c>
      <c r="Q11">
        <v>60000</v>
      </c>
      <c r="R11" t="s">
        <v>58</v>
      </c>
      <c r="U11">
        <v>2168</v>
      </c>
      <c r="V11">
        <v>6200</v>
      </c>
      <c r="Y11">
        <v>600</v>
      </c>
      <c r="AC11">
        <v>2457.5</v>
      </c>
      <c r="AD11">
        <v>600</v>
      </c>
      <c r="AF11">
        <v>1200</v>
      </c>
      <c r="AK11">
        <v>17292</v>
      </c>
      <c r="AO11">
        <v>600</v>
      </c>
      <c r="AS11">
        <v>600</v>
      </c>
      <c r="AT11">
        <v>300</v>
      </c>
      <c r="AV11">
        <v>600</v>
      </c>
      <c r="AW11">
        <v>1568</v>
      </c>
      <c r="AZ11" s="11">
        <v>224000</v>
      </c>
      <c r="BA11" s="11">
        <f>MAX(DITE_DICIEMBRE_2024[[#This Row],[1]:[31]])</f>
        <v>232579.6</v>
      </c>
      <c r="BB11" s="17">
        <f>DITE_DICIEMBRE_2024[[#This Row],[RECUPERO SUPERVISOR]]/AZ11</f>
        <v>1.0383017857142858</v>
      </c>
      <c r="BC11" t="s">
        <v>6</v>
      </c>
      <c r="BD11" s="46">
        <v>250</v>
      </c>
      <c r="BE11" s="46">
        <v>6000</v>
      </c>
      <c r="BF11" s="46">
        <v>9490</v>
      </c>
      <c r="BG11" s="46">
        <v>19140</v>
      </c>
      <c r="BH11" s="46">
        <v>26801</v>
      </c>
      <c r="BI11" s="46">
        <v>35062</v>
      </c>
      <c r="BJ11" s="46">
        <v>36133</v>
      </c>
      <c r="BK11" s="46">
        <v>36133</v>
      </c>
      <c r="BL11" s="46">
        <v>36133</v>
      </c>
      <c r="BM11" s="46">
        <v>46863</v>
      </c>
      <c r="BN11" s="46">
        <v>53103</v>
      </c>
      <c r="BO11" s="46">
        <v>72103</v>
      </c>
      <c r="BP11" s="46">
        <v>78253</v>
      </c>
      <c r="BQ11" s="46">
        <v>78253</v>
      </c>
      <c r="BR11" s="46">
        <v>78253</v>
      </c>
      <c r="BS11" s="46">
        <v>85783</v>
      </c>
      <c r="BT11" s="46">
        <v>91463</v>
      </c>
      <c r="BU11" s="46">
        <v>109063</v>
      </c>
      <c r="BV11" s="46">
        <v>152763</v>
      </c>
      <c r="BW11" s="46">
        <v>159203</v>
      </c>
      <c r="BX11" s="46">
        <v>161503</v>
      </c>
      <c r="BY11" s="46">
        <v>161803</v>
      </c>
      <c r="BZ11" s="46">
        <v>166453</v>
      </c>
      <c r="CA11" s="46">
        <v>173098</v>
      </c>
      <c r="CB11" s="46">
        <v>173751.5</v>
      </c>
      <c r="CC11" s="46">
        <v>186221.5</v>
      </c>
      <c r="CD11" s="46">
        <v>193623.6</v>
      </c>
      <c r="CE11" s="46">
        <v>198398.6</v>
      </c>
      <c r="CF11" s="46">
        <v>198398.6</v>
      </c>
      <c r="CG11" s="46">
        <v>209308.6</v>
      </c>
      <c r="CH11" s="46">
        <v>232579.6</v>
      </c>
      <c r="CI11" s="10"/>
    </row>
    <row r="12" spans="1:87" x14ac:dyDescent="0.25">
      <c r="A12" s="34" t="s">
        <v>5</v>
      </c>
      <c r="B12" s="34" t="str">
        <f>D1_DICIEMBRE_2024[[#This Row],[ASESOR]]</f>
        <v>AURORA FAUSTOR</v>
      </c>
      <c r="C12" s="36">
        <f>VLOOKUP(D1_DICIEMBRE_2024[[#This Row],[SUPER]],DATA_DICIEMBRE_2024[[SUPERVISOR]:[META]],3,0)</f>
        <v>60000</v>
      </c>
      <c r="D12" s="35">
        <f>D1_DICIEMBRE_2024[[#This Row],[RECUPERO]]/D1_DICIEMBRE_2024[[#This Row],[META]]</f>
        <v>1.2284999999999999</v>
      </c>
      <c r="E12" s="35" t="str">
        <f>D1_DICIEMBRE_2024[[#This Row],[SUPER]]</f>
        <v>JORDAN</v>
      </c>
      <c r="F12" t="s">
        <v>67</v>
      </c>
      <c r="G12" s="3">
        <v>73710</v>
      </c>
      <c r="H12" t="s">
        <v>381</v>
      </c>
      <c r="I12" s="56">
        <v>44811</v>
      </c>
      <c r="J12" s="56" t="s">
        <v>501</v>
      </c>
      <c r="K12" s="56"/>
      <c r="L12" s="56"/>
      <c r="M12">
        <f>DATA_DICIEMBRE_2024[[#This Row],[RECUPERO]]/DATA_DICIEMBRE_2024[[#This Row],[META]]</f>
        <v>0.28751833333333332</v>
      </c>
      <c r="N12" s="5" t="str" cm="1">
        <f t="array" ref="N1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12" t="s">
        <v>4</v>
      </c>
      <c r="P12">
        <f>SUM(DATA_DICIEMBRE_2024[[#This Row],[1]:[31]])</f>
        <v>17251.099999999999</v>
      </c>
      <c r="Q12">
        <v>60000</v>
      </c>
      <c r="R12" t="s">
        <v>109</v>
      </c>
      <c r="S12">
        <v>496</v>
      </c>
      <c r="T12">
        <v>500</v>
      </c>
      <c r="U12">
        <v>3854</v>
      </c>
      <c r="V12">
        <v>700</v>
      </c>
      <c r="Y12">
        <v>321</v>
      </c>
      <c r="AF12">
        <v>1300</v>
      </c>
      <c r="AH12">
        <v>274</v>
      </c>
      <c r="AJ12">
        <v>600</v>
      </c>
      <c r="AM12">
        <v>1000</v>
      </c>
      <c r="AO12">
        <v>780</v>
      </c>
      <c r="AQ12">
        <v>945</v>
      </c>
      <c r="AR12">
        <v>2285</v>
      </c>
      <c r="AS12">
        <v>2200.1</v>
      </c>
      <c r="AV12">
        <v>496</v>
      </c>
      <c r="AW12">
        <v>1500</v>
      </c>
      <c r="AZ12" s="11">
        <v>228500</v>
      </c>
      <c r="BA12" s="11">
        <f>MAX(DITE_DICIEMBRE_2024[[#This Row],[1]:[31]])</f>
        <v>184617.55</v>
      </c>
      <c r="BB12" s="17">
        <f>DITE_DICIEMBRE_2024[[#This Row],[RECUPERO SUPERVISOR]]/AZ12</f>
        <v>0.80795426695842443</v>
      </c>
      <c r="BC12" t="s">
        <v>9</v>
      </c>
      <c r="BD12" s="46">
        <v>400</v>
      </c>
      <c r="BE12" s="46">
        <v>8150</v>
      </c>
      <c r="BF12" s="46">
        <v>10250</v>
      </c>
      <c r="BG12" s="46">
        <v>17078</v>
      </c>
      <c r="BH12" s="46">
        <v>25483</v>
      </c>
      <c r="BI12" s="46">
        <v>29273</v>
      </c>
      <c r="BJ12" s="46">
        <v>30123</v>
      </c>
      <c r="BK12" s="46">
        <v>30123</v>
      </c>
      <c r="BL12" s="46">
        <v>30123</v>
      </c>
      <c r="BM12" s="46">
        <v>33158.5</v>
      </c>
      <c r="BN12" s="46">
        <v>38228.5</v>
      </c>
      <c r="BO12" s="46">
        <v>43094.5</v>
      </c>
      <c r="BP12" s="46">
        <v>50549.599999999999</v>
      </c>
      <c r="BQ12" s="46">
        <v>53314.6</v>
      </c>
      <c r="BR12" s="46">
        <v>53514.6</v>
      </c>
      <c r="BS12" s="46">
        <v>65414.6</v>
      </c>
      <c r="BT12" s="46">
        <v>73474.8</v>
      </c>
      <c r="BU12" s="46">
        <v>78632.100000000006</v>
      </c>
      <c r="BV12" s="46">
        <v>89896.1</v>
      </c>
      <c r="BW12" s="46">
        <v>100190.25</v>
      </c>
      <c r="BX12" s="46">
        <v>100790.25</v>
      </c>
      <c r="BY12" s="46">
        <v>100990.25</v>
      </c>
      <c r="BZ12" s="46">
        <v>117638.55</v>
      </c>
      <c r="CA12" s="46">
        <v>119938.55</v>
      </c>
      <c r="CB12" s="46">
        <v>119938.55</v>
      </c>
      <c r="CC12" s="46">
        <v>131096.54999999999</v>
      </c>
      <c r="CD12" s="46">
        <v>141046.54999999999</v>
      </c>
      <c r="CE12" s="46">
        <v>148061.54999999999</v>
      </c>
      <c r="CF12" s="46">
        <v>148791.54999999999</v>
      </c>
      <c r="CG12" s="46">
        <v>170517.55</v>
      </c>
      <c r="CH12" s="46">
        <v>184617.55</v>
      </c>
      <c r="CI12" s="10"/>
    </row>
    <row r="13" spans="1:87" x14ac:dyDescent="0.25">
      <c r="A13" s="34" t="s">
        <v>115</v>
      </c>
      <c r="B13" s="34" t="str">
        <f>D1_DICIEMBRE_2024[[#This Row],[ASESOR]]</f>
        <v>BRINA SOTO</v>
      </c>
      <c r="C13" s="36">
        <f>VLOOKUP(D1_DICIEMBRE_2024[[#This Row],[SUPER]],DATA_DICIEMBRE_2024[[SUPERVISOR]:[META]],3,0)</f>
        <v>17000</v>
      </c>
      <c r="D13" s="35">
        <f>D1_DICIEMBRE_2024[[#This Row],[RECUPERO]]/D1_DICIEMBRE_2024[[#This Row],[META]]</f>
        <v>0.72552941176470587</v>
      </c>
      <c r="E13" s="35" t="str">
        <f>D1_DICIEMBRE_2024[[#This Row],[SUPER]]</f>
        <v>MELITA</v>
      </c>
      <c r="F13" t="s">
        <v>14</v>
      </c>
      <c r="G13" s="3">
        <v>12334</v>
      </c>
      <c r="H13" t="s">
        <v>432</v>
      </c>
      <c r="I13" s="56">
        <v>45133</v>
      </c>
      <c r="J13" s="56" t="s">
        <v>501</v>
      </c>
      <c r="K13" s="56"/>
      <c r="L13" s="56"/>
      <c r="M13">
        <f>DATA_DICIEMBRE_2024[[#This Row],[RECUPERO]]/DATA_DICIEMBRE_2024[[#This Row],[META]]</f>
        <v>1.0976166666666667</v>
      </c>
      <c r="N13" s="5" t="str" cm="1">
        <f t="array" ref="N1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13" t="s">
        <v>4</v>
      </c>
      <c r="P13">
        <f>SUM(DATA_DICIEMBRE_2024[[#This Row],[1]:[31]])</f>
        <v>65857</v>
      </c>
      <c r="Q13">
        <v>60000</v>
      </c>
      <c r="R13" t="s">
        <v>60</v>
      </c>
      <c r="S13" s="45"/>
      <c r="T13">
        <v>370</v>
      </c>
      <c r="V13">
        <v>4500</v>
      </c>
      <c r="W13">
        <v>5000</v>
      </c>
      <c r="X13">
        <v>600</v>
      </c>
      <c r="AB13">
        <v>4523</v>
      </c>
      <c r="AD13">
        <v>8300</v>
      </c>
      <c r="AE13">
        <v>6000</v>
      </c>
      <c r="AF13">
        <v>1832</v>
      </c>
      <c r="AH13">
        <v>500</v>
      </c>
      <c r="AJ13">
        <v>2000</v>
      </c>
      <c r="AK13">
        <v>1300</v>
      </c>
      <c r="AR13">
        <v>15737</v>
      </c>
      <c r="AT13">
        <v>6356</v>
      </c>
      <c r="AV13">
        <v>7500</v>
      </c>
      <c r="AW13">
        <v>1339</v>
      </c>
      <c r="AZ13" s="11">
        <v>453000</v>
      </c>
      <c r="BA13" s="11">
        <f>MAX(DITE_DICIEMBRE_2024[[#This Row],[1]:[31]])</f>
        <v>489467.68</v>
      </c>
      <c r="BB13" s="17">
        <f>DITE_DICIEMBRE_2024[[#This Row],[RECUPERO SUPERVISOR]]/AZ13</f>
        <v>1.0805026048565121</v>
      </c>
      <c r="BC13" t="s">
        <v>4</v>
      </c>
      <c r="BD13" s="46">
        <v>2435</v>
      </c>
      <c r="BE13" s="46">
        <v>8895</v>
      </c>
      <c r="BF13" s="46">
        <v>27529</v>
      </c>
      <c r="BG13" s="46">
        <v>37578</v>
      </c>
      <c r="BH13" s="46">
        <v>71184</v>
      </c>
      <c r="BI13" s="46">
        <v>107784</v>
      </c>
      <c r="BJ13" s="46">
        <v>108105</v>
      </c>
      <c r="BK13" s="46">
        <v>108105</v>
      </c>
      <c r="BL13" s="46">
        <v>109260</v>
      </c>
      <c r="BM13" s="46">
        <v>130882.75</v>
      </c>
      <c r="BN13" s="46">
        <v>145382.75</v>
      </c>
      <c r="BO13" s="46">
        <v>177587.75</v>
      </c>
      <c r="BP13" s="46">
        <v>217287.75</v>
      </c>
      <c r="BQ13" s="46">
        <v>220419.75</v>
      </c>
      <c r="BR13" s="46">
        <v>220419.75</v>
      </c>
      <c r="BS13" s="46">
        <v>223410.75</v>
      </c>
      <c r="BT13" s="46">
        <v>244698.75</v>
      </c>
      <c r="BU13" s="46">
        <v>255265.37</v>
      </c>
      <c r="BV13" s="46">
        <v>272133.19</v>
      </c>
      <c r="BW13" s="46">
        <v>301848.19</v>
      </c>
      <c r="BX13" s="46">
        <v>303104.19</v>
      </c>
      <c r="BY13" s="46">
        <v>303104.19</v>
      </c>
      <c r="BZ13" s="46">
        <v>325584.19</v>
      </c>
      <c r="CA13" s="46">
        <v>327084.19</v>
      </c>
      <c r="CB13" s="46">
        <v>328029.19</v>
      </c>
      <c r="CC13" s="46">
        <v>361391.19</v>
      </c>
      <c r="CD13" s="46">
        <v>386696.29</v>
      </c>
      <c r="CE13" s="46">
        <v>411150.99</v>
      </c>
      <c r="CF13" s="46">
        <v>411855.99</v>
      </c>
      <c r="CG13" s="46">
        <v>464516.68</v>
      </c>
      <c r="CH13" s="46">
        <v>489467.68</v>
      </c>
      <c r="CI13" s="11"/>
    </row>
    <row r="14" spans="1:87" x14ac:dyDescent="0.25">
      <c r="A14" s="34" t="s">
        <v>6</v>
      </c>
      <c r="B14" s="34" t="str">
        <f>D1_DICIEMBRE_2024[[#This Row],[ASESOR]]</f>
        <v>BRYAN VELASQUEZ</v>
      </c>
      <c r="C14" s="36">
        <f>VLOOKUP(D1_DICIEMBRE_2024[[#This Row],[SUPER]],DATA_DICIEMBRE_2024[[SUPERVISOR]:[META]],3,0)</f>
        <v>20500</v>
      </c>
      <c r="D14" s="35">
        <f>D1_DICIEMBRE_2024[[#This Row],[RECUPERO]]/D1_DICIEMBRE_2024[[#This Row],[META]]</f>
        <v>1.7095121951219512</v>
      </c>
      <c r="E14" s="35" t="str">
        <f>D1_DICIEMBRE_2024[[#This Row],[SUPER]]</f>
        <v>KENNETH</v>
      </c>
      <c r="F14" t="s">
        <v>118</v>
      </c>
      <c r="G14" s="3">
        <v>35045</v>
      </c>
      <c r="H14" t="s">
        <v>398</v>
      </c>
      <c r="I14" s="56">
        <v>44357</v>
      </c>
      <c r="J14" s="56" t="s">
        <v>501</v>
      </c>
      <c r="K14" s="56"/>
      <c r="L14" s="56"/>
      <c r="M14">
        <f>DATA_DICIEMBRE_2024[[#This Row],[RECUPERO]]/DATA_DICIEMBRE_2024[[#This Row],[META]]</f>
        <v>0.52317735849056601</v>
      </c>
      <c r="N14" s="5" t="str" cm="1">
        <f t="array" ref="N1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14" t="s">
        <v>9</v>
      </c>
      <c r="P14">
        <f>SUM(DATA_DICIEMBRE_2024[[#This Row],[1]:[31]])</f>
        <v>13864.2</v>
      </c>
      <c r="Q14">
        <v>26500</v>
      </c>
      <c r="R14" t="s">
        <v>15</v>
      </c>
      <c r="T14">
        <v>200</v>
      </c>
      <c r="V14">
        <v>200</v>
      </c>
      <c r="W14">
        <v>2200</v>
      </c>
      <c r="X14">
        <v>1200</v>
      </c>
      <c r="AB14">
        <v>1130</v>
      </c>
      <c r="AE14">
        <v>550</v>
      </c>
      <c r="AI14">
        <v>4700.2</v>
      </c>
      <c r="AL14">
        <v>1000</v>
      </c>
      <c r="AO14">
        <v>374</v>
      </c>
      <c r="AS14">
        <v>1000</v>
      </c>
      <c r="AV14">
        <v>1310</v>
      </c>
      <c r="AZ14" s="11">
        <v>111800</v>
      </c>
      <c r="BA14" s="11">
        <f>MAX(DITE_DICIEMBRE_2024[[#This Row],[1]:[31]])</f>
        <v>138925.26</v>
      </c>
      <c r="BB14" s="17">
        <f>DITE_DICIEMBRE_2024[[#This Row],[RECUPERO SUPERVISOR]]/AZ14</f>
        <v>1.2426230769230771</v>
      </c>
      <c r="BC14" t="s">
        <v>115</v>
      </c>
      <c r="BD14" s="46">
        <v>0</v>
      </c>
      <c r="BE14" s="46">
        <v>6280</v>
      </c>
      <c r="BF14" s="46">
        <v>11380</v>
      </c>
      <c r="BG14" s="46">
        <v>14598</v>
      </c>
      <c r="BH14" s="46">
        <v>19628</v>
      </c>
      <c r="BI14" s="46">
        <v>28852</v>
      </c>
      <c r="BJ14" s="46">
        <v>28852</v>
      </c>
      <c r="BK14" s="46">
        <v>28852</v>
      </c>
      <c r="BL14" s="46">
        <v>28852</v>
      </c>
      <c r="BM14" s="46">
        <v>32622</v>
      </c>
      <c r="BN14" s="46">
        <v>35667</v>
      </c>
      <c r="BO14" s="46">
        <v>40513</v>
      </c>
      <c r="BP14" s="46">
        <v>46801</v>
      </c>
      <c r="BQ14" s="46">
        <v>47451</v>
      </c>
      <c r="BR14" s="46">
        <v>47451</v>
      </c>
      <c r="BS14" s="46">
        <v>54421</v>
      </c>
      <c r="BT14" s="46">
        <v>63390</v>
      </c>
      <c r="BU14" s="46">
        <v>69755</v>
      </c>
      <c r="BV14" s="46">
        <v>72159</v>
      </c>
      <c r="BW14" s="46">
        <v>79690</v>
      </c>
      <c r="BX14" s="46">
        <v>81990</v>
      </c>
      <c r="BY14" s="46">
        <v>81990</v>
      </c>
      <c r="BZ14" s="46">
        <v>100916.26</v>
      </c>
      <c r="CA14" s="46">
        <v>107956.26</v>
      </c>
      <c r="CB14" s="46">
        <v>107956.26</v>
      </c>
      <c r="CC14" s="46">
        <v>114237.26</v>
      </c>
      <c r="CD14" s="46">
        <v>121682.26</v>
      </c>
      <c r="CE14" s="46">
        <v>125837.26</v>
      </c>
      <c r="CF14" s="46">
        <v>126250.26</v>
      </c>
      <c r="CG14" s="46">
        <v>132971.26</v>
      </c>
      <c r="CH14" s="46">
        <v>138925.26</v>
      </c>
      <c r="CI14" s="10"/>
    </row>
    <row r="15" spans="1:87" x14ac:dyDescent="0.25">
      <c r="A15" s="34" t="s">
        <v>6</v>
      </c>
      <c r="B15" s="34" t="str">
        <f>D1_DICIEMBRE_2024[[#This Row],[ASESOR]]</f>
        <v>CARMEN PUMA</v>
      </c>
      <c r="C15" s="36">
        <f>VLOOKUP(D1_DICIEMBRE_2024[[#This Row],[SUPER]],DATA_DICIEMBRE_2024[[SUPERVISOR]:[META]],3,0)</f>
        <v>20500</v>
      </c>
      <c r="D15" s="35">
        <f>D1_DICIEMBRE_2024[[#This Row],[RECUPERO]]/D1_DICIEMBRE_2024[[#This Row],[META]]</f>
        <v>0.42409756097560974</v>
      </c>
      <c r="E15" s="35" t="str">
        <f>D1_DICIEMBRE_2024[[#This Row],[SUPER]]</f>
        <v>KENNETH</v>
      </c>
      <c r="F15" t="s">
        <v>19</v>
      </c>
      <c r="G15" s="3">
        <v>8694</v>
      </c>
      <c r="H15" t="s">
        <v>399</v>
      </c>
      <c r="I15" s="56">
        <v>44673</v>
      </c>
      <c r="J15" s="56" t="s">
        <v>501</v>
      </c>
      <c r="K15" s="56"/>
      <c r="L15" s="56"/>
      <c r="M15">
        <f>DATA_DICIEMBRE_2024[[#This Row],[RECUPERO]]/DATA_DICIEMBRE_2024[[#This Row],[META]]</f>
        <v>0.27293333333333331</v>
      </c>
      <c r="N15" s="5" t="str" cm="1">
        <f t="array" ref="N1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15" t="s">
        <v>2</v>
      </c>
      <c r="P15">
        <f>SUM(DATA_DICIEMBRE_2024[[#This Row],[1]:[31]])</f>
        <v>6141</v>
      </c>
      <c r="Q15">
        <v>22500</v>
      </c>
      <c r="R15" t="s">
        <v>92</v>
      </c>
      <c r="X15">
        <v>3000</v>
      </c>
      <c r="AD15">
        <v>800</v>
      </c>
      <c r="AH15">
        <v>1500</v>
      </c>
      <c r="AI15">
        <v>241</v>
      </c>
      <c r="AL15">
        <v>600</v>
      </c>
      <c r="AZ15" s="11">
        <v>453000</v>
      </c>
      <c r="BA15" s="11">
        <f>MAX(DITE_DICIEMBRE_2024[[#This Row],[1]:[31]])</f>
        <v>473646.30000000005</v>
      </c>
      <c r="BB15" s="17">
        <f>DITE_DICIEMBRE_2024[[#This Row],[RECUPERO SUPERVISOR]]/AZ15</f>
        <v>1.0455768211920531</v>
      </c>
      <c r="BC15" t="s">
        <v>3</v>
      </c>
      <c r="BD15" s="46">
        <v>1961</v>
      </c>
      <c r="BE15" s="46">
        <v>9739</v>
      </c>
      <c r="BF15" s="45">
        <v>22859</v>
      </c>
      <c r="BG15" s="45">
        <v>53265</v>
      </c>
      <c r="BH15" s="45">
        <v>76279</v>
      </c>
      <c r="BI15" s="45">
        <v>105506</v>
      </c>
      <c r="BJ15" s="45">
        <v>108191</v>
      </c>
      <c r="BK15" s="45">
        <v>108539</v>
      </c>
      <c r="BL15" s="45">
        <v>109639</v>
      </c>
      <c r="BM15" s="45">
        <v>118444</v>
      </c>
      <c r="BN15" s="45">
        <v>138550.20000000001</v>
      </c>
      <c r="BO15" s="45">
        <v>151374.20000000001</v>
      </c>
      <c r="BP15" s="45">
        <v>196174.2</v>
      </c>
      <c r="BQ15" s="45">
        <v>199812.2</v>
      </c>
      <c r="BR15" s="45">
        <v>199812.2</v>
      </c>
      <c r="BS15" s="45">
        <v>212855.80000000002</v>
      </c>
      <c r="BT15" s="45">
        <v>219802.80000000002</v>
      </c>
      <c r="BU15" s="45">
        <v>240285.80000000002</v>
      </c>
      <c r="BV15" s="45">
        <v>276214.80000000005</v>
      </c>
      <c r="BW15" s="45">
        <v>286201.30000000005</v>
      </c>
      <c r="BX15" s="45">
        <v>287701.30000000005</v>
      </c>
      <c r="BY15" s="45">
        <v>287701.30000000005</v>
      </c>
      <c r="BZ15" s="45">
        <v>312811.30000000005</v>
      </c>
      <c r="CA15" s="45">
        <v>317306.30000000005</v>
      </c>
      <c r="CB15" s="45">
        <v>318001.30000000005</v>
      </c>
      <c r="CC15" s="45">
        <v>329257.30000000005</v>
      </c>
      <c r="CD15" s="45">
        <v>352380.30000000005</v>
      </c>
      <c r="CE15" s="45">
        <v>374210.30000000005</v>
      </c>
      <c r="CF15" s="45">
        <v>375410.30000000005</v>
      </c>
      <c r="CG15" s="45">
        <v>404448.30000000005</v>
      </c>
      <c r="CH15" s="45">
        <v>473646.30000000005</v>
      </c>
      <c r="CI15" s="10"/>
    </row>
    <row r="16" spans="1:87" x14ac:dyDescent="0.25">
      <c r="A16" s="34" t="s">
        <v>2</v>
      </c>
      <c r="B16" s="34" t="str">
        <f>D1_DICIEMBRE_2024[[#This Row],[ASESOR]]</f>
        <v>CHRISTIAN ALVARADO</v>
      </c>
      <c r="C16" s="36">
        <f>VLOOKUP(D1_DICIEMBRE_2024[[#This Row],[SUPER]],DATA_DICIEMBRE_2024[[SUPERVISOR]:[META]],3,0)</f>
        <v>22500</v>
      </c>
      <c r="D16" s="35">
        <f>D1_DICIEMBRE_2024[[#This Row],[RECUPERO]]/D1_DICIEMBRE_2024[[#This Row],[META]]</f>
        <v>0.31662222222222225</v>
      </c>
      <c r="E16" s="35" t="str">
        <f>D1_DICIEMBRE_2024[[#This Row],[SUPER]]</f>
        <v>JORGE</v>
      </c>
      <c r="F16" t="s">
        <v>41</v>
      </c>
      <c r="G16" s="3">
        <v>7124</v>
      </c>
      <c r="H16" t="s">
        <v>387</v>
      </c>
      <c r="I16" s="56">
        <v>45304</v>
      </c>
      <c r="J16" s="56" t="s">
        <v>501</v>
      </c>
      <c r="K16" s="56"/>
      <c r="L16" s="56"/>
      <c r="M16">
        <f>DATA_DICIEMBRE_2024[[#This Row],[RECUPERO]]/DATA_DICIEMBRE_2024[[#This Row],[META]]</f>
        <v>1.1364000000000001</v>
      </c>
      <c r="N16" s="5" t="str" cm="1">
        <f t="array" ref="N1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16" t="s">
        <v>5</v>
      </c>
      <c r="P16">
        <f>SUM(DATA_DICIEMBRE_2024[[#This Row],[1]:[31]])</f>
        <v>68184</v>
      </c>
      <c r="Q16">
        <v>60000</v>
      </c>
      <c r="R16" t="s">
        <v>69</v>
      </c>
      <c r="T16">
        <v>2350</v>
      </c>
      <c r="U16">
        <v>450</v>
      </c>
      <c r="V16">
        <v>10210</v>
      </c>
      <c r="X16">
        <v>3200</v>
      </c>
      <c r="Y16">
        <v>500</v>
      </c>
      <c r="AA16">
        <v>245</v>
      </c>
      <c r="AC16">
        <v>13000</v>
      </c>
      <c r="AD16">
        <v>1400</v>
      </c>
      <c r="AE16">
        <v>15000</v>
      </c>
      <c r="AF16">
        <v>600</v>
      </c>
      <c r="AH16">
        <v>475</v>
      </c>
      <c r="AI16">
        <v>3705</v>
      </c>
      <c r="AK16">
        <v>5770</v>
      </c>
      <c r="AL16">
        <v>299</v>
      </c>
      <c r="AO16">
        <v>500</v>
      </c>
      <c r="AR16">
        <v>6300</v>
      </c>
      <c r="AS16">
        <v>220</v>
      </c>
      <c r="AT16">
        <v>1090</v>
      </c>
      <c r="AV16">
        <v>1320</v>
      </c>
      <c r="AW16">
        <v>1550</v>
      </c>
      <c r="CG16" s="45"/>
    </row>
    <row r="17" spans="1:86" x14ac:dyDescent="0.25">
      <c r="A17" s="34" t="s">
        <v>9</v>
      </c>
      <c r="B17" s="34" t="str">
        <f>D1_DICIEMBRE_2024[[#This Row],[ASESOR]]</f>
        <v>CRISTINA TICONA</v>
      </c>
      <c r="C17" s="36">
        <f>VLOOKUP(D1_DICIEMBRE_2024[[#This Row],[SUPER]],DATA_DICIEMBRE_2024[[SUPERVISOR]:[META]],3,0)</f>
        <v>26500</v>
      </c>
      <c r="D17" s="35">
        <f>D1_DICIEMBRE_2024[[#This Row],[RECUPERO]]/D1_DICIEMBRE_2024[[#This Row],[META]]</f>
        <v>0.60910566037735847</v>
      </c>
      <c r="E17" s="35" t="str">
        <f>D1_DICIEMBRE_2024[[#This Row],[SUPER]]</f>
        <v>LUIS</v>
      </c>
      <c r="F17" t="s">
        <v>61</v>
      </c>
      <c r="G17" s="3">
        <v>16141.3</v>
      </c>
      <c r="H17" t="s">
        <v>411</v>
      </c>
      <c r="I17" s="56">
        <v>44909</v>
      </c>
      <c r="J17" s="56" t="s">
        <v>501</v>
      </c>
      <c r="K17" s="56"/>
      <c r="L17" s="56"/>
      <c r="M17">
        <f>DATA_DICIEMBRE_2024[[#This Row],[RECUPERO]]/DATA_DICIEMBRE_2024[[#This Row],[META]]</f>
        <v>0.93742499999999995</v>
      </c>
      <c r="N17" s="5" t="str" cm="1">
        <f t="array" ref="N1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17" t="s">
        <v>5</v>
      </c>
      <c r="P17">
        <f>SUM(DATA_DICIEMBRE_2024[[#This Row],[1]:[31]])</f>
        <v>56245.5</v>
      </c>
      <c r="Q17">
        <v>60000</v>
      </c>
      <c r="R17" t="s">
        <v>85</v>
      </c>
      <c r="S17">
        <v>422.5</v>
      </c>
      <c r="T17">
        <v>820</v>
      </c>
      <c r="U17">
        <v>1900</v>
      </c>
      <c r="W17">
        <v>1000</v>
      </c>
      <c r="X17">
        <v>1474</v>
      </c>
      <c r="AB17">
        <v>1000</v>
      </c>
      <c r="AD17">
        <v>2500</v>
      </c>
      <c r="AE17">
        <v>6200</v>
      </c>
      <c r="AH17">
        <v>1480</v>
      </c>
      <c r="AI17">
        <v>2279</v>
      </c>
      <c r="AK17">
        <v>6974</v>
      </c>
      <c r="AL17">
        <v>2586</v>
      </c>
      <c r="AO17">
        <v>3250</v>
      </c>
      <c r="AR17">
        <v>1762</v>
      </c>
      <c r="AS17">
        <v>600</v>
      </c>
      <c r="AT17">
        <v>3180</v>
      </c>
      <c r="AV17">
        <v>2189</v>
      </c>
      <c r="AW17">
        <v>16629</v>
      </c>
      <c r="CA17" s="45"/>
      <c r="CF17" s="45"/>
      <c r="CG17" s="45"/>
      <c r="CH17" s="45"/>
    </row>
    <row r="18" spans="1:86" x14ac:dyDescent="0.25">
      <c r="A18" s="34" t="s">
        <v>115</v>
      </c>
      <c r="B18" s="34" t="str">
        <f>D1_DICIEMBRE_2024[[#This Row],[ASESOR]]</f>
        <v>DANIEL ZAPATA</v>
      </c>
      <c r="C18" s="36">
        <f>VLOOKUP(D1_DICIEMBRE_2024[[#This Row],[SUPER]],DATA_DICIEMBRE_2024[[SUPERVISOR]:[META]],3,0)</f>
        <v>17000</v>
      </c>
      <c r="D18" s="35">
        <f>D1_DICIEMBRE_2024[[#This Row],[RECUPERO]]/D1_DICIEMBRE_2024[[#This Row],[META]]</f>
        <v>0.71788235294117642</v>
      </c>
      <c r="E18" s="35" t="str">
        <f>D1_DICIEMBRE_2024[[#This Row],[SUPER]]</f>
        <v>MELITA</v>
      </c>
      <c r="F18" t="s">
        <v>80</v>
      </c>
      <c r="G18" s="3">
        <v>12204</v>
      </c>
      <c r="H18" t="s">
        <v>433</v>
      </c>
      <c r="I18" s="56">
        <v>45285</v>
      </c>
      <c r="J18" s="56" t="s">
        <v>501</v>
      </c>
      <c r="K18" s="56"/>
      <c r="L18" s="56"/>
      <c r="M18">
        <f>DATA_DICIEMBRE_2024[[#This Row],[RECUPERO]]/DATA_DICIEMBRE_2024[[#This Row],[META]]</f>
        <v>1.2284999999999999</v>
      </c>
      <c r="N18" s="5" t="str" cm="1">
        <f t="array" ref="N1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18" t="s">
        <v>5</v>
      </c>
      <c r="P18">
        <f>SUM(DATA_DICIEMBRE_2024[[#This Row],[1]:[31]])</f>
        <v>73710</v>
      </c>
      <c r="Q18">
        <v>60000</v>
      </c>
      <c r="R18" t="s">
        <v>67</v>
      </c>
      <c r="U18">
        <v>3000</v>
      </c>
      <c r="W18">
        <v>505</v>
      </c>
      <c r="AA18">
        <v>300</v>
      </c>
      <c r="AB18">
        <v>15000</v>
      </c>
      <c r="AC18">
        <v>8800</v>
      </c>
      <c r="AD18">
        <v>5100</v>
      </c>
      <c r="AH18">
        <v>1000</v>
      </c>
      <c r="AI18">
        <v>12000</v>
      </c>
      <c r="AJ18">
        <v>715</v>
      </c>
      <c r="AK18">
        <v>1170</v>
      </c>
      <c r="AL18">
        <v>12000</v>
      </c>
      <c r="AO18">
        <v>9320</v>
      </c>
      <c r="AS18">
        <v>1500</v>
      </c>
      <c r="AW18">
        <v>3300</v>
      </c>
      <c r="CA18" s="45"/>
      <c r="CB18" s="45"/>
      <c r="CF18" s="45"/>
      <c r="CG18" s="47"/>
      <c r="CH18" s="45"/>
    </row>
    <row r="19" spans="1:86" x14ac:dyDescent="0.25">
      <c r="A19" s="34" t="s">
        <v>4</v>
      </c>
      <c r="B19" s="34" t="str">
        <f>D1_DICIEMBRE_2024[[#This Row],[ASESOR]]</f>
        <v>DARYL FERREL</v>
      </c>
      <c r="C19" s="36">
        <f>VLOOKUP(D1_DICIEMBRE_2024[[#This Row],[SUPER]],DATA_DICIEMBRE_2024[[SUPERVISOR]:[META]],3,0)</f>
        <v>60000</v>
      </c>
      <c r="D19" s="35">
        <f>D1_DICIEMBRE_2024[[#This Row],[RECUPERO]]/D1_DICIEMBRE_2024[[#This Row],[META]]</f>
        <v>0.6428625</v>
      </c>
      <c r="E19" s="35" t="str">
        <f>D1_DICIEMBRE_2024[[#This Row],[SUPER]]</f>
        <v>MELINA</v>
      </c>
      <c r="F19" t="s">
        <v>40</v>
      </c>
      <c r="G19" s="3">
        <v>38571.75</v>
      </c>
      <c r="H19" t="s">
        <v>424</v>
      </c>
      <c r="I19" s="56">
        <v>45429</v>
      </c>
      <c r="J19" s="56" t="s">
        <v>501</v>
      </c>
      <c r="K19" s="56"/>
      <c r="L19" s="56"/>
      <c r="M19">
        <f>DATA_DICIEMBRE_2024[[#This Row],[RECUPERO]]/DATA_DICIEMBRE_2024[[#This Row],[META]]</f>
        <v>0.72552941176470587</v>
      </c>
      <c r="N19" s="5" t="str" cm="1">
        <f t="array" ref="N1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19" t="s">
        <v>115</v>
      </c>
      <c r="P19">
        <f>SUM(DATA_DICIEMBRE_2024[[#This Row],[1]:[31]])</f>
        <v>12334</v>
      </c>
      <c r="Q19">
        <v>17000</v>
      </c>
      <c r="R19" t="s">
        <v>14</v>
      </c>
      <c r="T19">
        <v>1420</v>
      </c>
      <c r="U19" s="45">
        <v>150</v>
      </c>
      <c r="V19">
        <v>550</v>
      </c>
      <c r="W19">
        <v>530</v>
      </c>
      <c r="X19">
        <v>232</v>
      </c>
      <c r="AB19">
        <v>400</v>
      </c>
      <c r="AD19">
        <v>700</v>
      </c>
      <c r="AE19">
        <v>238</v>
      </c>
      <c r="AH19">
        <v>400</v>
      </c>
      <c r="AI19">
        <v>729</v>
      </c>
      <c r="AJ19">
        <v>200</v>
      </c>
      <c r="AL19">
        <v>1472</v>
      </c>
      <c r="AO19">
        <v>2490</v>
      </c>
      <c r="AR19">
        <v>1050</v>
      </c>
      <c r="AS19">
        <v>300</v>
      </c>
      <c r="AV19">
        <v>1060</v>
      </c>
      <c r="AW19">
        <v>413</v>
      </c>
      <c r="CA19" s="45"/>
      <c r="CB19" s="45"/>
      <c r="CF19" s="47"/>
      <c r="CG19" s="47"/>
      <c r="CH19" s="47"/>
    </row>
    <row r="20" spans="1:86" x14ac:dyDescent="0.25">
      <c r="A20" s="34" t="s">
        <v>4</v>
      </c>
      <c r="B20" s="34" t="str">
        <f>D1_DICIEMBRE_2024[[#This Row],[ASESOR]]</f>
        <v>DAVID SANCHEZ</v>
      </c>
      <c r="C20" s="36">
        <f>VLOOKUP(D1_DICIEMBRE_2024[[#This Row],[SUPER]],DATA_DICIEMBRE_2024[[SUPERVISOR]:[META]],3,0)</f>
        <v>60000</v>
      </c>
      <c r="D20" s="35">
        <f>D1_DICIEMBRE_2024[[#This Row],[RECUPERO]]/D1_DICIEMBRE_2024[[#This Row],[META]]</f>
        <v>0.60911666666666664</v>
      </c>
      <c r="E20" s="35" t="str">
        <f>D1_DICIEMBRE_2024[[#This Row],[SUPER]]</f>
        <v>MELINA</v>
      </c>
      <c r="F20" t="s">
        <v>81</v>
      </c>
      <c r="G20" s="3">
        <v>36547</v>
      </c>
      <c r="H20" t="s">
        <v>425</v>
      </c>
      <c r="I20" s="56">
        <v>45506</v>
      </c>
      <c r="J20" s="56" t="s">
        <v>501</v>
      </c>
      <c r="K20" s="56"/>
      <c r="L20" s="56"/>
      <c r="M20">
        <f>DATA_DICIEMBRE_2024[[#This Row],[RECUPERO]]/DATA_DICIEMBRE_2024[[#This Row],[META]]</f>
        <v>1.7095121951219512</v>
      </c>
      <c r="N20" s="5" t="str" cm="1">
        <f t="array" ref="N2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20" t="s">
        <v>6</v>
      </c>
      <c r="P20">
        <f>SUM(DATA_DICIEMBRE_2024[[#This Row],[1]:[31]])</f>
        <v>35045</v>
      </c>
      <c r="Q20">
        <v>20500</v>
      </c>
      <c r="R20" t="s">
        <v>118</v>
      </c>
      <c r="V20">
        <v>8300</v>
      </c>
      <c r="W20">
        <v>4150</v>
      </c>
      <c r="X20">
        <v>900</v>
      </c>
      <c r="AD20">
        <v>1500</v>
      </c>
      <c r="AH20">
        <v>1650</v>
      </c>
      <c r="AM20">
        <v>2000</v>
      </c>
      <c r="AO20">
        <v>4300</v>
      </c>
      <c r="AP20">
        <v>345</v>
      </c>
      <c r="AS20">
        <v>550</v>
      </c>
      <c r="AV20">
        <v>4500</v>
      </c>
      <c r="AW20">
        <v>6850</v>
      </c>
      <c r="CA20" s="45"/>
      <c r="CB20" s="47"/>
      <c r="CE20" s="45"/>
      <c r="CF20" s="47"/>
      <c r="CG20" s="45"/>
      <c r="CH20" s="47"/>
    </row>
    <row r="21" spans="1:86" x14ac:dyDescent="0.25">
      <c r="A21" s="34" t="s">
        <v>3</v>
      </c>
      <c r="B21" s="34" t="str">
        <f>D1_DICIEMBRE_2024[[#This Row],[ASESOR]]</f>
        <v>EVELY TENORIO</v>
      </c>
      <c r="C21" s="36">
        <f>VLOOKUP(D1_DICIEMBRE_2024[[#This Row],[SUPER]],DATA_DICIEMBRE_2024[[SUPERVISOR]:[META]],3,0)</f>
        <v>60000</v>
      </c>
      <c r="D21" s="35">
        <f>D1_DICIEMBRE_2024[[#This Row],[RECUPERO]]/D1_DICIEMBRE_2024[[#This Row],[META]]</f>
        <v>1.3900783333333333</v>
      </c>
      <c r="E21" s="35" t="str">
        <f>D1_DICIEMBRE_2024[[#This Row],[SUPER]]</f>
        <v>SANDY</v>
      </c>
      <c r="F21" t="s">
        <v>22</v>
      </c>
      <c r="G21" s="3">
        <v>83404.7</v>
      </c>
      <c r="H21" t="s">
        <v>442</v>
      </c>
      <c r="I21" s="56">
        <v>45299</v>
      </c>
      <c r="J21" s="56" t="s">
        <v>501</v>
      </c>
      <c r="K21" s="56"/>
      <c r="L21" s="56"/>
      <c r="M21">
        <f>DATA_DICIEMBRE_2024[[#This Row],[RECUPERO]]/DATA_DICIEMBRE_2024[[#This Row],[META]]</f>
        <v>0.42409756097560974</v>
      </c>
      <c r="N21" s="5" t="str" cm="1">
        <f t="array" ref="N2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21" t="s">
        <v>6</v>
      </c>
      <c r="P21">
        <f>SUM(DATA_DICIEMBRE_2024[[#This Row],[1]:[31]])</f>
        <v>8694</v>
      </c>
      <c r="Q21">
        <v>20500</v>
      </c>
      <c r="R21" t="s">
        <v>19</v>
      </c>
      <c r="X21">
        <v>5244</v>
      </c>
      <c r="AC21">
        <v>500</v>
      </c>
      <c r="AE21">
        <v>100</v>
      </c>
      <c r="AH21">
        <v>600</v>
      </c>
      <c r="AV21">
        <v>250</v>
      </c>
      <c r="AW21">
        <v>2000</v>
      </c>
      <c r="CA21" s="45"/>
      <c r="CB21" s="47"/>
      <c r="CE21" s="45"/>
      <c r="CF21" s="45"/>
      <c r="CH21" s="45"/>
    </row>
    <row r="22" spans="1:86" x14ac:dyDescent="0.25">
      <c r="A22" s="34" t="s">
        <v>115</v>
      </c>
      <c r="B22" s="34" t="str">
        <f>D1_DICIEMBRE_2024[[#This Row],[ASESOR]]</f>
        <v>FRANCO HUAMANI</v>
      </c>
      <c r="C22" s="36">
        <f>VLOOKUP(D1_DICIEMBRE_2024[[#This Row],[SUPER]],DATA_DICIEMBRE_2024[[SUPERVISOR]:[META]],3,0)</f>
        <v>17000</v>
      </c>
      <c r="D22" s="35">
        <f>D1_DICIEMBRE_2024[[#This Row],[RECUPERO]]/D1_DICIEMBRE_2024[[#This Row],[META]]</f>
        <v>0.67764705882352938</v>
      </c>
      <c r="E22" s="35" t="str">
        <f>D1_DICIEMBRE_2024[[#This Row],[SUPER]]</f>
        <v>MELITA</v>
      </c>
      <c r="F22" t="s">
        <v>24</v>
      </c>
      <c r="G22" s="3">
        <v>11520</v>
      </c>
      <c r="H22" t="s">
        <v>434</v>
      </c>
      <c r="I22" s="56">
        <v>45334</v>
      </c>
      <c r="J22" s="56" t="s">
        <v>501</v>
      </c>
      <c r="K22" s="56"/>
      <c r="L22" s="56"/>
      <c r="M22">
        <f>DATA_DICIEMBRE_2024[[#This Row],[RECUPERO]]/DATA_DICIEMBRE_2024[[#This Row],[META]]</f>
        <v>0.31662222222222225</v>
      </c>
      <c r="N22" s="5" t="str" cm="1">
        <f t="array" ref="N2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22" t="s">
        <v>2</v>
      </c>
      <c r="P22">
        <f>SUM(DATA_DICIEMBRE_2024[[#This Row],[1]:[31]])</f>
        <v>7124</v>
      </c>
      <c r="Q22">
        <v>22500</v>
      </c>
      <c r="R22" t="s">
        <v>41</v>
      </c>
      <c r="U22">
        <v>268</v>
      </c>
      <c r="Y22">
        <v>1000</v>
      </c>
      <c r="AD22">
        <v>500</v>
      </c>
      <c r="AE22">
        <v>100</v>
      </c>
      <c r="AH22">
        <v>900</v>
      </c>
      <c r="AI22">
        <v>750</v>
      </c>
      <c r="AJ22">
        <v>320</v>
      </c>
      <c r="AL22">
        <v>150</v>
      </c>
      <c r="AO22">
        <v>400</v>
      </c>
      <c r="AT22">
        <v>250</v>
      </c>
      <c r="AU22">
        <v>500</v>
      </c>
      <c r="AV22">
        <v>868</v>
      </c>
      <c r="AW22">
        <v>1118</v>
      </c>
      <c r="CA22" s="47"/>
      <c r="CB22" s="45"/>
      <c r="CE22" s="45"/>
    </row>
    <row r="23" spans="1:86" x14ac:dyDescent="0.25">
      <c r="A23" s="34" t="s">
        <v>4</v>
      </c>
      <c r="B23" s="34" t="str">
        <f>D1_DICIEMBRE_2024[[#This Row],[ASESOR]]</f>
        <v>FRANK PACORA</v>
      </c>
      <c r="C23" s="36">
        <f>VLOOKUP(D1_DICIEMBRE_2024[[#This Row],[SUPER]],DATA_DICIEMBRE_2024[[SUPERVISOR]:[META]],3,0)</f>
        <v>60000</v>
      </c>
      <c r="D23" s="35">
        <f>D1_DICIEMBRE_2024[[#This Row],[RECUPERO]]/D1_DICIEMBRE_2024[[#This Row],[META]]</f>
        <v>7.0000000000000001E-3</v>
      </c>
      <c r="E23" s="35" t="str">
        <f>D1_DICIEMBRE_2024[[#This Row],[SUPER]]</f>
        <v>MELINA</v>
      </c>
      <c r="F23" t="s">
        <v>105</v>
      </c>
      <c r="G23" s="3">
        <v>420</v>
      </c>
      <c r="H23" t="s">
        <v>463</v>
      </c>
      <c r="I23" s="56">
        <v>44657</v>
      </c>
      <c r="J23" s="56" t="s">
        <v>501</v>
      </c>
      <c r="K23" s="56"/>
      <c r="L23" s="56"/>
      <c r="M23">
        <f>DATA_DICIEMBRE_2024[[#This Row],[RECUPERO]]/DATA_DICIEMBRE_2024[[#This Row],[META]]</f>
        <v>0.60910566037735847</v>
      </c>
      <c r="N23" s="5" t="str" cm="1">
        <f t="array" ref="N2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23" t="s">
        <v>9</v>
      </c>
      <c r="P23">
        <f>SUM(DATA_DICIEMBRE_2024[[#This Row],[1]:[31]])</f>
        <v>16141.3</v>
      </c>
      <c r="Q23">
        <v>26500</v>
      </c>
      <c r="R23" t="s">
        <v>61</v>
      </c>
      <c r="T23">
        <v>200</v>
      </c>
      <c r="Y23">
        <v>300</v>
      </c>
      <c r="AC23">
        <v>250</v>
      </c>
      <c r="AD23">
        <v>450</v>
      </c>
      <c r="AE23">
        <v>75</v>
      </c>
      <c r="AI23">
        <v>500</v>
      </c>
      <c r="AJ23">
        <v>307.3</v>
      </c>
      <c r="AK23">
        <v>1100</v>
      </c>
      <c r="AL23">
        <v>1233</v>
      </c>
      <c r="AO23">
        <v>300</v>
      </c>
      <c r="AR23">
        <v>2500</v>
      </c>
      <c r="AS23">
        <v>3300</v>
      </c>
      <c r="AT23">
        <v>200</v>
      </c>
      <c r="AV23">
        <v>5026</v>
      </c>
      <c r="AW23">
        <v>400</v>
      </c>
      <c r="CA23" s="45"/>
    </row>
    <row r="24" spans="1:86" x14ac:dyDescent="0.25">
      <c r="A24" s="34" t="s">
        <v>2</v>
      </c>
      <c r="B24" s="34" t="str">
        <f>D1_DICIEMBRE_2024[[#This Row],[ASESOR]]</f>
        <v>FRANS TACSI</v>
      </c>
      <c r="C24" s="36">
        <f>VLOOKUP(D1_DICIEMBRE_2024[[#This Row],[SUPER]],DATA_DICIEMBRE_2024[[SUPERVISOR]:[META]],3,0)</f>
        <v>22500</v>
      </c>
      <c r="D24" s="35">
        <f>D1_DICIEMBRE_2024[[#This Row],[RECUPERO]]/D1_DICIEMBRE_2024[[#This Row],[META]]</f>
        <v>0.18888888888888888</v>
      </c>
      <c r="E24" s="35" t="str">
        <f>D1_DICIEMBRE_2024[[#This Row],[SUPER]]</f>
        <v>JORGE</v>
      </c>
      <c r="F24" t="s">
        <v>16</v>
      </c>
      <c r="G24" s="3">
        <v>4250</v>
      </c>
      <c r="H24" t="s">
        <v>388</v>
      </c>
      <c r="I24" s="56">
        <v>45334</v>
      </c>
      <c r="J24" s="56" t="s">
        <v>501</v>
      </c>
      <c r="K24" s="56"/>
      <c r="L24" s="56"/>
      <c r="M24">
        <f>DATA_DICIEMBRE_2024[[#This Row],[RECUPERO]]/DATA_DICIEMBRE_2024[[#This Row],[META]]</f>
        <v>0.71788235294117642</v>
      </c>
      <c r="N24" s="5" t="str" cm="1">
        <f t="array" ref="N2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24" t="s">
        <v>115</v>
      </c>
      <c r="P24">
        <f>SUM(DATA_DICIEMBRE_2024[[#This Row],[1]:[31]])</f>
        <v>12204</v>
      </c>
      <c r="Q24">
        <v>17000</v>
      </c>
      <c r="R24" t="s">
        <v>80</v>
      </c>
      <c r="T24">
        <v>400</v>
      </c>
      <c r="U24">
        <v>550</v>
      </c>
      <c r="V24">
        <v>847</v>
      </c>
      <c r="W24">
        <v>200</v>
      </c>
      <c r="X24">
        <v>1250</v>
      </c>
      <c r="AB24">
        <v>420</v>
      </c>
      <c r="AD24">
        <v>1470</v>
      </c>
      <c r="AI24">
        <v>610</v>
      </c>
      <c r="AK24">
        <v>550</v>
      </c>
      <c r="AL24">
        <v>247</v>
      </c>
      <c r="AO24">
        <v>1860</v>
      </c>
      <c r="AP24">
        <v>200</v>
      </c>
      <c r="AR24">
        <v>600</v>
      </c>
      <c r="AS24">
        <v>350</v>
      </c>
      <c r="AT24">
        <v>1350</v>
      </c>
      <c r="AV24">
        <v>200</v>
      </c>
      <c r="AW24">
        <v>1100</v>
      </c>
      <c r="CE24" s="45"/>
    </row>
    <row r="25" spans="1:86" x14ac:dyDescent="0.25">
      <c r="A25" s="34" t="s">
        <v>2</v>
      </c>
      <c r="B25" s="34" t="str">
        <f>D1_DICIEMBRE_2024[[#This Row],[ASESOR]]</f>
        <v>GENESIS VICUNA</v>
      </c>
      <c r="C25" s="36">
        <f>VLOOKUP(D1_DICIEMBRE_2024[[#This Row],[SUPER]],DATA_DICIEMBRE_2024[[SUPERVISOR]:[META]],3,0)</f>
        <v>22500</v>
      </c>
      <c r="D25" s="35">
        <f>D1_DICIEMBRE_2024[[#This Row],[RECUPERO]]/D1_DICIEMBRE_2024[[#This Row],[META]]</f>
        <v>0.55355555555555558</v>
      </c>
      <c r="E25" s="35" t="str">
        <f>D1_DICIEMBRE_2024[[#This Row],[SUPER]]</f>
        <v>JORGE</v>
      </c>
      <c r="F25" t="s">
        <v>12</v>
      </c>
      <c r="G25" s="3">
        <v>12455</v>
      </c>
      <c r="H25" t="s">
        <v>389</v>
      </c>
      <c r="I25" s="56">
        <v>44870</v>
      </c>
      <c r="J25" s="56" t="s">
        <v>501</v>
      </c>
      <c r="K25" s="56"/>
      <c r="L25" s="56"/>
      <c r="M25">
        <f>DATA_DICIEMBRE_2024[[#This Row],[RECUPERO]]/DATA_DICIEMBRE_2024[[#This Row],[META]]</f>
        <v>0.6428625</v>
      </c>
      <c r="N25" s="5" t="str" cm="1">
        <f t="array" ref="N2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25" t="s">
        <v>4</v>
      </c>
      <c r="P25">
        <f>SUM(DATA_DICIEMBRE_2024[[#This Row],[1]:[31]])</f>
        <v>38571.75</v>
      </c>
      <c r="Q25">
        <v>60000</v>
      </c>
      <c r="R25" t="s">
        <v>40</v>
      </c>
      <c r="S25">
        <v>600</v>
      </c>
      <c r="U25">
        <v>1900</v>
      </c>
      <c r="AB25">
        <v>2381.75</v>
      </c>
      <c r="AC25">
        <v>500</v>
      </c>
      <c r="AD25">
        <v>10000</v>
      </c>
      <c r="AI25">
        <v>1000</v>
      </c>
      <c r="AL25">
        <v>6690</v>
      </c>
      <c r="AO25">
        <v>6700</v>
      </c>
      <c r="AR25">
        <v>1500</v>
      </c>
      <c r="AV25">
        <v>4000</v>
      </c>
      <c r="AW25">
        <v>3300</v>
      </c>
    </row>
    <row r="26" spans="1:86" x14ac:dyDescent="0.25">
      <c r="A26" s="34" t="s">
        <v>5</v>
      </c>
      <c r="B26" s="34" t="str">
        <f>D1_DICIEMBRE_2024[[#This Row],[ASESOR]]</f>
        <v>GIANFRANCO PINEDO</v>
      </c>
      <c r="C26" s="36">
        <f>VLOOKUP(D1_DICIEMBRE_2024[[#This Row],[SUPER]],DATA_DICIEMBRE_2024[[SUPERVISOR]:[META]],3,0)</f>
        <v>60000</v>
      </c>
      <c r="D26" s="35">
        <f>D1_DICIEMBRE_2024[[#This Row],[RECUPERO]]/D1_DICIEMBRE_2024[[#This Row],[META]]</f>
        <v>1.6476999999999999</v>
      </c>
      <c r="E26" s="35" t="str">
        <f>D1_DICIEMBRE_2024[[#This Row],[SUPER]]</f>
        <v>JORDAN</v>
      </c>
      <c r="F26" t="s">
        <v>13</v>
      </c>
      <c r="G26" s="3">
        <v>98862</v>
      </c>
      <c r="H26" t="s">
        <v>382</v>
      </c>
      <c r="I26" s="56">
        <v>44811</v>
      </c>
      <c r="J26" s="56" t="s">
        <v>501</v>
      </c>
      <c r="K26" s="56"/>
      <c r="L26" s="56"/>
      <c r="M26">
        <f>DATA_DICIEMBRE_2024[[#This Row],[RECUPERO]]/DATA_DICIEMBRE_2024[[#This Row],[META]]</f>
        <v>0.60911666666666664</v>
      </c>
      <c r="N26" s="5" t="str" cm="1">
        <f t="array" ref="N2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26" t="s">
        <v>4</v>
      </c>
      <c r="P26">
        <f>SUM(DATA_DICIEMBRE_2024[[#This Row],[1]:[31]])</f>
        <v>36547</v>
      </c>
      <c r="Q26">
        <v>60000</v>
      </c>
      <c r="R26" t="s">
        <v>81</v>
      </c>
      <c r="T26">
        <v>5000</v>
      </c>
      <c r="AB26">
        <v>11318</v>
      </c>
      <c r="AC26">
        <v>2000</v>
      </c>
      <c r="AD26">
        <v>700</v>
      </c>
      <c r="AH26">
        <v>637</v>
      </c>
      <c r="AI26">
        <v>6000</v>
      </c>
      <c r="AJ26">
        <v>3292</v>
      </c>
      <c r="AR26">
        <v>3800</v>
      </c>
      <c r="AS26">
        <v>3800</v>
      </c>
    </row>
    <row r="27" spans="1:86" x14ac:dyDescent="0.25">
      <c r="A27" s="34" t="s">
        <v>2</v>
      </c>
      <c r="B27" s="34" t="str">
        <f>D1_DICIEMBRE_2024[[#This Row],[ASESOR]]</f>
        <v>GIANNINA AGUILAR</v>
      </c>
      <c r="C27" s="36">
        <f>VLOOKUP(D1_DICIEMBRE_2024[[#This Row],[SUPER]],DATA_DICIEMBRE_2024[[SUPERVISOR]:[META]],3,0)</f>
        <v>22500</v>
      </c>
      <c r="D27" s="35">
        <f>D1_DICIEMBRE_2024[[#This Row],[RECUPERO]]/D1_DICIEMBRE_2024[[#This Row],[META]]</f>
        <v>0.3836</v>
      </c>
      <c r="E27" s="35" t="str">
        <f>D1_DICIEMBRE_2024[[#This Row],[SUPER]]</f>
        <v>JORGE</v>
      </c>
      <c r="F27" t="s">
        <v>32</v>
      </c>
      <c r="G27" s="3">
        <v>8631</v>
      </c>
      <c r="H27" t="s">
        <v>390</v>
      </c>
      <c r="I27" s="56">
        <v>45530</v>
      </c>
      <c r="J27" s="56" t="s">
        <v>501</v>
      </c>
      <c r="K27" s="56"/>
      <c r="L27" s="56"/>
      <c r="M27">
        <f>DATA_DICIEMBRE_2024[[#This Row],[RECUPERO]]/DATA_DICIEMBRE_2024[[#This Row],[META]]</f>
        <v>1.3900783333333333</v>
      </c>
      <c r="N27" s="5" t="str" cm="1">
        <f t="array" ref="N2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27" t="s">
        <v>3</v>
      </c>
      <c r="P27">
        <f>SUM(DATA_DICIEMBRE_2024[[#This Row],[1]:[31]])</f>
        <v>83404.7</v>
      </c>
      <c r="Q27">
        <v>60000</v>
      </c>
      <c r="R27" t="s">
        <v>22</v>
      </c>
      <c r="S27">
        <v>1126</v>
      </c>
      <c r="U27">
        <v>10000</v>
      </c>
      <c r="V27">
        <v>11683</v>
      </c>
      <c r="W27">
        <v>296</v>
      </c>
      <c r="X27">
        <v>10990</v>
      </c>
      <c r="Y27">
        <v>200</v>
      </c>
      <c r="Z27">
        <v>348</v>
      </c>
      <c r="AB27">
        <v>3582</v>
      </c>
      <c r="AC27">
        <v>554.70000000000005</v>
      </c>
      <c r="AE27">
        <v>15300</v>
      </c>
      <c r="AH27">
        <v>2073</v>
      </c>
      <c r="AI27">
        <v>3000</v>
      </c>
      <c r="AJ27">
        <v>6650</v>
      </c>
      <c r="AL27">
        <v>386</v>
      </c>
      <c r="AO27">
        <v>2248</v>
      </c>
      <c r="AP27">
        <v>940</v>
      </c>
      <c r="AR27">
        <v>3902</v>
      </c>
      <c r="AS27">
        <v>1281</v>
      </c>
      <c r="AT27">
        <v>836</v>
      </c>
      <c r="AV27">
        <v>6549</v>
      </c>
      <c r="AW27">
        <v>1460</v>
      </c>
    </row>
    <row r="28" spans="1:86" x14ac:dyDescent="0.25">
      <c r="A28" s="34" t="s">
        <v>9</v>
      </c>
      <c r="B28" s="34" t="str">
        <f>D1_DICIEMBRE_2024[[#This Row],[ASESOR]]</f>
        <v>GIULIANA QUISPE</v>
      </c>
      <c r="C28" s="36">
        <f>VLOOKUP(D1_DICIEMBRE_2024[[#This Row],[SUPER]],DATA_DICIEMBRE_2024[[SUPERVISOR]:[META]],3,0)</f>
        <v>26500</v>
      </c>
      <c r="D28" s="35">
        <f>D1_DICIEMBRE_2024[[#This Row],[RECUPERO]]/D1_DICIEMBRE_2024[[#This Row],[META]]</f>
        <v>0.40018867924528301</v>
      </c>
      <c r="E28" s="35" t="str">
        <f>D1_DICIEMBRE_2024[[#This Row],[SUPER]]</f>
        <v>LUIS</v>
      </c>
      <c r="F28" t="s">
        <v>71</v>
      </c>
      <c r="G28" s="3">
        <v>10605</v>
      </c>
      <c r="H28" t="s">
        <v>414</v>
      </c>
      <c r="I28" s="56">
        <v>45423</v>
      </c>
      <c r="J28" s="56" t="s">
        <v>501</v>
      </c>
      <c r="K28" s="56"/>
      <c r="L28" s="56"/>
      <c r="M28">
        <f>DATA_DICIEMBRE_2024[[#This Row],[RECUPERO]]/DATA_DICIEMBRE_2024[[#This Row],[META]]</f>
        <v>0.67764705882352938</v>
      </c>
      <c r="N28" s="5" t="str" cm="1">
        <f t="array" ref="N2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28" t="s">
        <v>115</v>
      </c>
      <c r="P28">
        <f>SUM(DATA_DICIEMBRE_2024[[#This Row],[1]:[31]])</f>
        <v>11520</v>
      </c>
      <c r="Q28">
        <v>17000</v>
      </c>
      <c r="R28" t="s">
        <v>24</v>
      </c>
      <c r="S28" s="45"/>
      <c r="V28">
        <v>1130</v>
      </c>
      <c r="X28">
        <v>650</v>
      </c>
      <c r="AB28">
        <v>400</v>
      </c>
      <c r="AC28">
        <v>790</v>
      </c>
      <c r="AE28">
        <v>350</v>
      </c>
      <c r="AF28">
        <v>150</v>
      </c>
      <c r="AH28">
        <v>695</v>
      </c>
      <c r="AI28">
        <v>990</v>
      </c>
      <c r="AJ28">
        <v>1640</v>
      </c>
      <c r="AK28">
        <v>400</v>
      </c>
      <c r="AL28">
        <v>400</v>
      </c>
      <c r="AO28">
        <v>150</v>
      </c>
      <c r="AP28">
        <v>150</v>
      </c>
      <c r="AS28">
        <v>1700</v>
      </c>
      <c r="AT28">
        <v>220</v>
      </c>
      <c r="AV28">
        <v>900</v>
      </c>
      <c r="AW28">
        <v>805</v>
      </c>
    </row>
    <row r="29" spans="1:86" x14ac:dyDescent="0.25">
      <c r="A29" s="34" t="s">
        <v>9</v>
      </c>
      <c r="B29" s="34" t="str">
        <f>D1_DICIEMBRE_2024[[#This Row],[ASESOR]]</f>
        <v>HARLINGTON VIDAL</v>
      </c>
      <c r="C29" s="36">
        <f>VLOOKUP(D1_DICIEMBRE_2024[[#This Row],[SUPER]],DATA_DICIEMBRE_2024[[SUPERVISOR]:[META]],3,0)</f>
        <v>26500</v>
      </c>
      <c r="D29" s="35">
        <f>D1_DICIEMBRE_2024[[#This Row],[RECUPERO]]/D1_DICIEMBRE_2024[[#This Row],[META]]</f>
        <v>0.57057735849056601</v>
      </c>
      <c r="E29" s="35" t="str">
        <f>D1_DICIEMBRE_2024[[#This Row],[SUPER]]</f>
        <v>LUIS</v>
      </c>
      <c r="F29" t="s">
        <v>127</v>
      </c>
      <c r="G29" s="3">
        <v>15120.3</v>
      </c>
      <c r="H29" t="s">
        <v>459</v>
      </c>
      <c r="I29" s="56">
        <v>45721</v>
      </c>
      <c r="J29" s="56" t="s">
        <v>501</v>
      </c>
      <c r="K29" s="56"/>
      <c r="L29" s="56"/>
      <c r="M29">
        <f>DATA_DICIEMBRE_2024[[#This Row],[RECUPERO]]/DATA_DICIEMBRE_2024[[#This Row],[META]]</f>
        <v>7.0000000000000001E-3</v>
      </c>
      <c r="N29" s="5" t="str" cm="1">
        <f t="array" ref="N2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29" t="s">
        <v>4</v>
      </c>
      <c r="P29">
        <f>SUM(DATA_DICIEMBRE_2024[[#This Row],[1]:[31]])</f>
        <v>420</v>
      </c>
      <c r="Q29">
        <v>60000</v>
      </c>
      <c r="R29" t="s">
        <v>105</v>
      </c>
      <c r="S29">
        <v>420</v>
      </c>
    </row>
    <row r="30" spans="1:86" x14ac:dyDescent="0.25">
      <c r="A30" s="34" t="s">
        <v>9</v>
      </c>
      <c r="B30" s="34" t="str">
        <f>D1_DICIEMBRE_2024[[#This Row],[ASESOR]]</f>
        <v>HAROLD FLORES</v>
      </c>
      <c r="C30" s="36">
        <f>VLOOKUP(D1_DICIEMBRE_2024[[#This Row],[SUPER]],DATA_DICIEMBRE_2024[[SUPERVISOR]:[META]],3,0)</f>
        <v>26500</v>
      </c>
      <c r="D30" s="35">
        <f>D1_DICIEMBRE_2024[[#This Row],[RECUPERO]]/D1_DICIEMBRE_2024[[#This Row],[META]]</f>
        <v>0.38945283018867927</v>
      </c>
      <c r="E30" s="35" t="str">
        <f>D1_DICIEMBRE_2024[[#This Row],[SUPER]]</f>
        <v>LUIS</v>
      </c>
      <c r="F30" t="s">
        <v>42</v>
      </c>
      <c r="G30" s="3">
        <v>10320.5</v>
      </c>
      <c r="H30" t="s">
        <v>415</v>
      </c>
      <c r="I30" s="56">
        <v>45399</v>
      </c>
      <c r="J30" s="56" t="s">
        <v>501</v>
      </c>
      <c r="K30" s="56"/>
      <c r="L30" s="56"/>
      <c r="M30">
        <f>DATA_DICIEMBRE_2024[[#This Row],[RECUPERO]]/DATA_DICIEMBRE_2024[[#This Row],[META]]</f>
        <v>0.18888888888888888</v>
      </c>
      <c r="N30" s="5" t="str" cm="1">
        <f t="array" ref="N3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30" t="s">
        <v>2</v>
      </c>
      <c r="P30">
        <f>SUM(DATA_DICIEMBRE_2024[[#This Row],[1]:[31]])</f>
        <v>4250</v>
      </c>
      <c r="Q30">
        <v>22500</v>
      </c>
      <c r="R30" t="s">
        <v>16</v>
      </c>
      <c r="T30">
        <v>500</v>
      </c>
      <c r="V30">
        <v>1500</v>
      </c>
      <c r="AF30">
        <v>200</v>
      </c>
      <c r="AJ30">
        <v>500</v>
      </c>
      <c r="AK30">
        <v>200</v>
      </c>
      <c r="AO30">
        <v>350</v>
      </c>
      <c r="AW30">
        <v>1000</v>
      </c>
    </row>
    <row r="31" spans="1:86" x14ac:dyDescent="0.25">
      <c r="A31" s="34" t="s">
        <v>115</v>
      </c>
      <c r="B31" s="34" t="str">
        <f>D1_DICIEMBRE_2024[[#This Row],[ASESOR]]</f>
        <v>ISABEL BEJARANO</v>
      </c>
      <c r="C31" s="36">
        <f>VLOOKUP(D1_DICIEMBRE_2024[[#This Row],[SUPER]],DATA_DICIEMBRE_2024[[SUPERVISOR]:[META]],3,0)</f>
        <v>17000</v>
      </c>
      <c r="D31" s="35">
        <f>D1_DICIEMBRE_2024[[#This Row],[RECUPERO]]/D1_DICIEMBRE_2024[[#This Row],[META]]</f>
        <v>0.55970588235294116</v>
      </c>
      <c r="E31" s="35" t="str">
        <f>D1_DICIEMBRE_2024[[#This Row],[SUPER]]</f>
        <v>MELITA</v>
      </c>
      <c r="F31" t="s">
        <v>83</v>
      </c>
      <c r="G31" s="3">
        <v>9515</v>
      </c>
      <c r="H31" t="s">
        <v>435</v>
      </c>
      <c r="I31" s="56">
        <v>44937</v>
      </c>
      <c r="J31" s="56" t="s">
        <v>501</v>
      </c>
      <c r="K31" s="56"/>
      <c r="L31" s="56"/>
      <c r="M31">
        <f>DATA_DICIEMBRE_2024[[#This Row],[RECUPERO]]/DATA_DICIEMBRE_2024[[#This Row],[META]]</f>
        <v>0.55355555555555558</v>
      </c>
      <c r="N31" s="5" t="str" cm="1">
        <f t="array" ref="N3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31" t="s">
        <v>2</v>
      </c>
      <c r="P31">
        <f>SUM(DATA_DICIEMBRE_2024[[#This Row],[1]:[31]])</f>
        <v>12455</v>
      </c>
      <c r="Q31">
        <v>22500</v>
      </c>
      <c r="R31" t="s">
        <v>12</v>
      </c>
      <c r="U31">
        <v>1200</v>
      </c>
      <c r="W31">
        <v>1130</v>
      </c>
      <c r="X31">
        <v>600</v>
      </c>
      <c r="AA31">
        <v>200</v>
      </c>
      <c r="AE31">
        <v>200</v>
      </c>
      <c r="AF31">
        <v>265</v>
      </c>
      <c r="AH31">
        <v>1640</v>
      </c>
      <c r="AJ31">
        <v>200</v>
      </c>
      <c r="AK31">
        <v>200</v>
      </c>
      <c r="AL31">
        <v>300</v>
      </c>
      <c r="AO31">
        <v>1400</v>
      </c>
      <c r="AP31">
        <v>3000</v>
      </c>
      <c r="AS31">
        <v>220</v>
      </c>
      <c r="AT31">
        <v>200</v>
      </c>
      <c r="AV31">
        <v>1600</v>
      </c>
      <c r="AW31">
        <v>100</v>
      </c>
    </row>
    <row r="32" spans="1:86" x14ac:dyDescent="0.25">
      <c r="A32" s="34" t="s">
        <v>2</v>
      </c>
      <c r="B32" s="34" t="str">
        <f>D1_DICIEMBRE_2024[[#This Row],[ASESOR]]</f>
        <v>JAIR MARTINEZ</v>
      </c>
      <c r="C32" s="36">
        <f>VLOOKUP(D1_DICIEMBRE_2024[[#This Row],[SUPER]],DATA_DICIEMBRE_2024[[SUPERVISOR]:[META]],3,0)</f>
        <v>22500</v>
      </c>
      <c r="D32" s="35">
        <f>D1_DICIEMBRE_2024[[#This Row],[RECUPERO]]/D1_DICIEMBRE_2024[[#This Row],[META]]</f>
        <v>1.1184888888888889</v>
      </c>
      <c r="E32" s="35" t="str">
        <f>D1_DICIEMBRE_2024[[#This Row],[SUPER]]</f>
        <v>JORGE</v>
      </c>
      <c r="F32" t="s">
        <v>57</v>
      </c>
      <c r="G32" s="3">
        <v>25166</v>
      </c>
      <c r="H32" t="s">
        <v>443</v>
      </c>
      <c r="I32" s="56">
        <v>45590</v>
      </c>
      <c r="J32" s="56" t="s">
        <v>501</v>
      </c>
      <c r="K32" s="56"/>
      <c r="L32" s="56"/>
      <c r="M32">
        <f>DATA_DICIEMBRE_2024[[#This Row],[RECUPERO]]/DATA_DICIEMBRE_2024[[#This Row],[META]]</f>
        <v>1.6476999999999999</v>
      </c>
      <c r="N32" s="5" t="str" cm="1">
        <f t="array" ref="N3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32" t="s">
        <v>5</v>
      </c>
      <c r="P32">
        <f>SUM(DATA_DICIEMBRE_2024[[#This Row],[1]:[31]])</f>
        <v>98862</v>
      </c>
      <c r="Q32">
        <v>60000</v>
      </c>
      <c r="R32" t="s">
        <v>13</v>
      </c>
      <c r="T32">
        <v>200</v>
      </c>
      <c r="U32">
        <v>10000</v>
      </c>
      <c r="X32">
        <v>150</v>
      </c>
      <c r="AB32">
        <v>5300</v>
      </c>
      <c r="AC32">
        <v>13000</v>
      </c>
      <c r="AE32">
        <v>31000</v>
      </c>
      <c r="AH32">
        <v>3030</v>
      </c>
      <c r="AJ32">
        <v>5900</v>
      </c>
      <c r="AK32">
        <v>592</v>
      </c>
      <c r="AO32">
        <v>5000</v>
      </c>
      <c r="AP32">
        <v>5000</v>
      </c>
      <c r="AR32">
        <v>2800</v>
      </c>
      <c r="AS32">
        <v>2500</v>
      </c>
      <c r="AT32">
        <v>4100</v>
      </c>
      <c r="AV32">
        <v>2105</v>
      </c>
      <c r="AW32">
        <v>8185</v>
      </c>
    </row>
    <row r="33" spans="1:49" x14ac:dyDescent="0.25">
      <c r="A33" s="34" t="s">
        <v>115</v>
      </c>
      <c r="B33" s="34" t="str">
        <f>D1_DICIEMBRE_2024[[#This Row],[ASESOR]]</f>
        <v>JANETH PORTOCARRERO</v>
      </c>
      <c r="C33" s="36">
        <f>VLOOKUP(D1_DICIEMBRE_2024[[#This Row],[SUPER]],DATA_DICIEMBRE_2024[[SUPERVISOR]:[META]],3,0)</f>
        <v>17000</v>
      </c>
      <c r="D33" s="35">
        <f>D1_DICIEMBRE_2024[[#This Row],[RECUPERO]]/D1_DICIEMBRE_2024[[#This Row],[META]]</f>
        <v>0.52352941176470591</v>
      </c>
      <c r="E33" s="35" t="str">
        <f>D1_DICIEMBRE_2024[[#This Row],[SUPER]]</f>
        <v>MELITA</v>
      </c>
      <c r="F33" t="s">
        <v>49</v>
      </c>
      <c r="G33" s="3">
        <v>8900</v>
      </c>
      <c r="H33" t="s">
        <v>436</v>
      </c>
      <c r="I33" s="56">
        <v>42814</v>
      </c>
      <c r="J33" s="56" t="s">
        <v>501</v>
      </c>
      <c r="K33" s="56"/>
      <c r="L33" s="56"/>
      <c r="M33">
        <f>DATA_DICIEMBRE_2024[[#This Row],[RECUPERO]]/DATA_DICIEMBRE_2024[[#This Row],[META]]</f>
        <v>0.3836</v>
      </c>
      <c r="N33" s="5" t="str" cm="1">
        <f t="array" ref="N3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33" t="s">
        <v>2</v>
      </c>
      <c r="P33">
        <f>SUM(DATA_DICIEMBRE_2024[[#This Row],[1]:[31]])</f>
        <v>8631</v>
      </c>
      <c r="Q33">
        <v>22500</v>
      </c>
      <c r="R33" t="s">
        <v>32</v>
      </c>
      <c r="V33">
        <v>1500</v>
      </c>
      <c r="W33">
        <v>250</v>
      </c>
      <c r="AD33">
        <v>2000</v>
      </c>
      <c r="AH33">
        <v>200</v>
      </c>
      <c r="AL33">
        <v>1600</v>
      </c>
      <c r="AO33">
        <v>1301</v>
      </c>
      <c r="AR33">
        <v>1500</v>
      </c>
      <c r="AV33">
        <v>280</v>
      </c>
    </row>
    <row r="34" spans="1:49" x14ac:dyDescent="0.25">
      <c r="A34" s="34" t="s">
        <v>2</v>
      </c>
      <c r="B34" s="34" t="str">
        <f>D1_DICIEMBRE_2024[[#This Row],[ASESOR]]</f>
        <v>JENY LAZARO</v>
      </c>
      <c r="C34" s="36">
        <f>VLOOKUP(D1_DICIEMBRE_2024[[#This Row],[SUPER]],DATA_DICIEMBRE_2024[[SUPERVISOR]:[META]],3,0)</f>
        <v>22500</v>
      </c>
      <c r="D34" s="35">
        <f>D1_DICIEMBRE_2024[[#This Row],[RECUPERO]]/D1_DICIEMBRE_2024[[#This Row],[META]]</f>
        <v>0.99711111111111106</v>
      </c>
      <c r="E34" s="35" t="str">
        <f>D1_DICIEMBRE_2024[[#This Row],[SUPER]]</f>
        <v>JORGE</v>
      </c>
      <c r="F34" t="s">
        <v>26</v>
      </c>
      <c r="G34" s="3">
        <v>22435</v>
      </c>
      <c r="H34" t="s">
        <v>391</v>
      </c>
      <c r="I34" s="56">
        <v>44259</v>
      </c>
      <c r="J34" s="56" t="s">
        <v>501</v>
      </c>
      <c r="K34" s="56"/>
      <c r="L34" s="56"/>
      <c r="M34">
        <f>DATA_DICIEMBRE_2024[[#This Row],[RECUPERO]]/DATA_DICIEMBRE_2024[[#This Row],[META]]</f>
        <v>0.40018867924528301</v>
      </c>
      <c r="N34" s="5" t="str" cm="1">
        <f t="array" ref="N3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34" t="s">
        <v>9</v>
      </c>
      <c r="P34">
        <f>SUM(DATA_DICIEMBRE_2024[[#This Row],[1]:[31]])</f>
        <v>10605</v>
      </c>
      <c r="Q34">
        <v>26500</v>
      </c>
      <c r="R34" t="s">
        <v>71</v>
      </c>
      <c r="T34">
        <v>200</v>
      </c>
      <c r="U34">
        <v>200</v>
      </c>
      <c r="W34">
        <v>200</v>
      </c>
      <c r="X34">
        <v>480</v>
      </c>
      <c r="AD34">
        <v>250</v>
      </c>
      <c r="AH34">
        <v>2500</v>
      </c>
      <c r="AI34">
        <v>1400</v>
      </c>
      <c r="AJ34">
        <v>200</v>
      </c>
      <c r="AL34">
        <v>825</v>
      </c>
      <c r="AO34">
        <v>1200</v>
      </c>
      <c r="AR34">
        <v>200</v>
      </c>
      <c r="AS34">
        <v>100</v>
      </c>
      <c r="AT34">
        <v>200</v>
      </c>
      <c r="AV34">
        <v>1450</v>
      </c>
      <c r="AW34">
        <v>1200</v>
      </c>
    </row>
    <row r="35" spans="1:49" x14ac:dyDescent="0.25">
      <c r="A35" s="34" t="s">
        <v>4</v>
      </c>
      <c r="B35" s="34" t="str">
        <f>D1_DICIEMBRE_2024[[#This Row],[ASESOR]]</f>
        <v>JEREMIAS ROJAS</v>
      </c>
      <c r="C35" s="36">
        <f>VLOOKUP(D1_DICIEMBRE_2024[[#This Row],[SUPER]],DATA_DICIEMBRE_2024[[SUPERVISOR]:[META]],3,0)</f>
        <v>60000</v>
      </c>
      <c r="D35" s="35">
        <f>D1_DICIEMBRE_2024[[#This Row],[RECUPERO]]/D1_DICIEMBRE_2024[[#This Row],[META]]</f>
        <v>0.71166666666666667</v>
      </c>
      <c r="E35" s="35" t="str">
        <f>D1_DICIEMBRE_2024[[#This Row],[SUPER]]</f>
        <v>MELINA</v>
      </c>
      <c r="F35" t="s">
        <v>122</v>
      </c>
      <c r="G35" s="3">
        <v>42700</v>
      </c>
      <c r="H35" t="s">
        <v>426</v>
      </c>
      <c r="I35" s="56">
        <v>45082</v>
      </c>
      <c r="J35" s="56" t="s">
        <v>501</v>
      </c>
      <c r="K35" s="56"/>
      <c r="L35" s="56"/>
      <c r="M35">
        <f>DATA_DICIEMBRE_2024[[#This Row],[RECUPERO]]/DATA_DICIEMBRE_2024[[#This Row],[META]]</f>
        <v>0.57057735849056601</v>
      </c>
      <c r="N35" s="5" t="str" cm="1">
        <f t="array" ref="N3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35" t="s">
        <v>9</v>
      </c>
      <c r="P35">
        <f>SUM(DATA_DICIEMBRE_2024[[#This Row],[1]:[31]])</f>
        <v>15120.3</v>
      </c>
      <c r="Q35">
        <v>26500</v>
      </c>
      <c r="R35" t="s">
        <v>127</v>
      </c>
      <c r="V35">
        <v>2500</v>
      </c>
      <c r="X35">
        <v>900</v>
      </c>
      <c r="AD35">
        <v>200</v>
      </c>
      <c r="AE35">
        <v>100</v>
      </c>
      <c r="AF35">
        <v>200</v>
      </c>
      <c r="AG35">
        <v>200</v>
      </c>
      <c r="AH35">
        <v>4000</v>
      </c>
      <c r="AI35">
        <v>1150</v>
      </c>
      <c r="AO35">
        <v>3420.3</v>
      </c>
      <c r="AP35">
        <v>200</v>
      </c>
      <c r="AR35">
        <v>1250</v>
      </c>
      <c r="AS35">
        <v>150</v>
      </c>
      <c r="AV35">
        <v>850</v>
      </c>
    </row>
    <row r="36" spans="1:49" x14ac:dyDescent="0.25">
      <c r="A36" s="34" t="s">
        <v>5</v>
      </c>
      <c r="B36" s="34" t="str">
        <f>D1_DICIEMBRE_2024[[#This Row],[ASESOR]]</f>
        <v>JERSON RIVERA</v>
      </c>
      <c r="C36" s="36">
        <f>VLOOKUP(D1_DICIEMBRE_2024[[#This Row],[SUPER]],DATA_DICIEMBRE_2024[[SUPERVISOR]:[META]],3,0)</f>
        <v>60000</v>
      </c>
      <c r="D36" s="35">
        <f>D1_DICIEMBRE_2024[[#This Row],[RECUPERO]]/D1_DICIEMBRE_2024[[#This Row],[META]]</f>
        <v>1.3267</v>
      </c>
      <c r="E36" s="35" t="str">
        <f>D1_DICIEMBRE_2024[[#This Row],[SUPER]]</f>
        <v>JORDAN</v>
      </c>
      <c r="F36" t="s">
        <v>116</v>
      </c>
      <c r="G36" s="3">
        <v>79602</v>
      </c>
      <c r="H36" t="s">
        <v>384</v>
      </c>
      <c r="I36" s="56">
        <v>45075</v>
      </c>
      <c r="J36" s="56" t="s">
        <v>501</v>
      </c>
      <c r="K36" s="56"/>
      <c r="L36" s="56"/>
      <c r="M36">
        <f>DATA_DICIEMBRE_2024[[#This Row],[RECUPERO]]/DATA_DICIEMBRE_2024[[#This Row],[META]]</f>
        <v>0.38945283018867927</v>
      </c>
      <c r="N36" s="5" t="str" cm="1">
        <f t="array" ref="N3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36" t="s">
        <v>9</v>
      </c>
      <c r="P36">
        <f>SUM(DATA_DICIEMBRE_2024[[#This Row],[1]:[31]])</f>
        <v>10320.5</v>
      </c>
      <c r="Q36">
        <v>26500</v>
      </c>
      <c r="R36" t="s">
        <v>42</v>
      </c>
      <c r="U36">
        <v>300</v>
      </c>
      <c r="X36">
        <v>100</v>
      </c>
      <c r="AB36">
        <v>1105.5</v>
      </c>
      <c r="AE36">
        <v>2000</v>
      </c>
      <c r="AK36">
        <v>750</v>
      </c>
      <c r="AL36">
        <v>600</v>
      </c>
      <c r="AP36">
        <v>900</v>
      </c>
      <c r="AR36">
        <v>1400</v>
      </c>
      <c r="AS36">
        <v>600</v>
      </c>
      <c r="AT36">
        <v>550</v>
      </c>
      <c r="AV36">
        <v>1815</v>
      </c>
      <c r="AW36">
        <v>200</v>
      </c>
    </row>
    <row r="37" spans="1:49" x14ac:dyDescent="0.25">
      <c r="A37" s="34" t="s">
        <v>6</v>
      </c>
      <c r="B37" s="34" t="str">
        <f>D1_DICIEMBRE_2024[[#This Row],[ASESOR]]</f>
        <v>JESSICA CASTRO</v>
      </c>
      <c r="C37" s="36">
        <f>VLOOKUP(D1_DICIEMBRE_2024[[#This Row],[SUPER]],DATA_DICIEMBRE_2024[[SUPERVISOR]:[META]],3,0)</f>
        <v>20500</v>
      </c>
      <c r="D37" s="35">
        <f>D1_DICIEMBRE_2024[[#This Row],[RECUPERO]]/D1_DICIEMBRE_2024[[#This Row],[META]]</f>
        <v>0.6634146341463415</v>
      </c>
      <c r="E37" s="35" t="str">
        <f>D1_DICIEMBRE_2024[[#This Row],[SUPER]]</f>
        <v>KENNETH</v>
      </c>
      <c r="F37" t="s">
        <v>551</v>
      </c>
      <c r="G37" s="3">
        <v>13600</v>
      </c>
      <c r="H37" t="s">
        <v>553</v>
      </c>
      <c r="I37" s="56">
        <v>45512</v>
      </c>
      <c r="J37" s="56" t="s">
        <v>501</v>
      </c>
      <c r="K37" s="56"/>
      <c r="L37" s="56"/>
      <c r="M37">
        <f>DATA_DICIEMBRE_2024[[#This Row],[RECUPERO]]/DATA_DICIEMBRE_2024[[#This Row],[META]]</f>
        <v>0.55970588235294116</v>
      </c>
      <c r="N37" s="5" t="str" cm="1">
        <f t="array" ref="N3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37" t="s">
        <v>115</v>
      </c>
      <c r="P37">
        <f>SUM(DATA_DICIEMBRE_2024[[#This Row],[1]:[31]])</f>
        <v>9515</v>
      </c>
      <c r="Q37">
        <v>17000</v>
      </c>
      <c r="R37" t="s">
        <v>83</v>
      </c>
      <c r="T37">
        <v>150</v>
      </c>
      <c r="W37">
        <v>600</v>
      </c>
      <c r="X37">
        <v>600</v>
      </c>
      <c r="AB37">
        <v>0</v>
      </c>
      <c r="AE37">
        <v>2500</v>
      </c>
      <c r="AF37">
        <v>300</v>
      </c>
      <c r="AH37">
        <v>555</v>
      </c>
      <c r="AI37">
        <v>50</v>
      </c>
      <c r="AJ37">
        <v>100</v>
      </c>
      <c r="AL37">
        <v>150</v>
      </c>
      <c r="AO37">
        <v>517</v>
      </c>
      <c r="AS37">
        <v>1725</v>
      </c>
      <c r="AT37">
        <v>485</v>
      </c>
      <c r="AU37">
        <v>313</v>
      </c>
      <c r="AV37">
        <v>1370</v>
      </c>
      <c r="AW37">
        <v>100</v>
      </c>
    </row>
    <row r="38" spans="1:49" x14ac:dyDescent="0.25">
      <c r="A38" s="34" t="s">
        <v>115</v>
      </c>
      <c r="B38" s="34" t="str">
        <f>D1_DICIEMBRE_2024[[#This Row],[ASESOR]]</f>
        <v>JHONATAN CHAVEZ</v>
      </c>
      <c r="C38" s="36">
        <f>VLOOKUP(D1_DICIEMBRE_2024[[#This Row],[SUPER]],DATA_DICIEMBRE_2024[[SUPERVISOR]:[META]],3,0)</f>
        <v>17000</v>
      </c>
      <c r="D38" s="35">
        <f>D1_DICIEMBRE_2024[[#This Row],[RECUPERO]]/D1_DICIEMBRE_2024[[#This Row],[META]]</f>
        <v>0.71323529411764708</v>
      </c>
      <c r="E38" s="35" t="str">
        <f>D1_DICIEMBRE_2024[[#This Row],[SUPER]]</f>
        <v>MELITA</v>
      </c>
      <c r="F38" t="s">
        <v>65</v>
      </c>
      <c r="G38" s="3">
        <v>12125</v>
      </c>
      <c r="H38" t="s">
        <v>438</v>
      </c>
      <c r="I38" s="56">
        <v>45021</v>
      </c>
      <c r="J38" s="56" t="s">
        <v>501</v>
      </c>
      <c r="K38" s="56"/>
      <c r="L38" s="56"/>
      <c r="M38">
        <f>DATA_DICIEMBRE_2024[[#This Row],[RECUPERO]]/DATA_DICIEMBRE_2024[[#This Row],[META]]</f>
        <v>1.1184888888888889</v>
      </c>
      <c r="N38" s="5" t="str" cm="1">
        <f t="array" ref="N3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38" t="s">
        <v>2</v>
      </c>
      <c r="P38">
        <f>SUM(DATA_DICIEMBRE_2024[[#This Row],[1]:[31]])</f>
        <v>25166</v>
      </c>
      <c r="Q38">
        <v>22500</v>
      </c>
      <c r="R38" t="s">
        <v>57</v>
      </c>
      <c r="W38">
        <v>2925</v>
      </c>
      <c r="X38">
        <v>9049</v>
      </c>
      <c r="AE38">
        <v>3500</v>
      </c>
      <c r="AL38">
        <v>2000</v>
      </c>
      <c r="AO38">
        <v>712</v>
      </c>
      <c r="AR38">
        <v>250</v>
      </c>
      <c r="AS38">
        <v>5000</v>
      </c>
      <c r="AV38">
        <v>1730</v>
      </c>
    </row>
    <row r="39" spans="1:49" x14ac:dyDescent="0.25">
      <c r="A39" s="34" t="s">
        <v>4</v>
      </c>
      <c r="B39" s="34" t="str">
        <f>D1_DICIEMBRE_2024[[#This Row],[ASESOR]]</f>
        <v>JHOVANA TORRES</v>
      </c>
      <c r="C39" s="36">
        <f>VLOOKUP(D1_DICIEMBRE_2024[[#This Row],[SUPER]],DATA_DICIEMBRE_2024[[SUPERVISOR]:[META]],3,0)</f>
        <v>60000</v>
      </c>
      <c r="D39" s="35">
        <f>D1_DICIEMBRE_2024[[#This Row],[RECUPERO]]/D1_DICIEMBRE_2024[[#This Row],[META]]</f>
        <v>0.74175366666666664</v>
      </c>
      <c r="E39" s="35" t="str">
        <f>D1_DICIEMBRE_2024[[#This Row],[SUPER]]</f>
        <v>MELINA</v>
      </c>
      <c r="F39" t="s">
        <v>20</v>
      </c>
      <c r="G39" s="3">
        <v>44505.22</v>
      </c>
      <c r="H39" t="s">
        <v>427</v>
      </c>
      <c r="I39" s="56">
        <v>45142</v>
      </c>
      <c r="J39" s="56" t="s">
        <v>501</v>
      </c>
      <c r="K39" s="56"/>
      <c r="L39" s="56"/>
      <c r="M39">
        <f>DATA_DICIEMBRE_2024[[#This Row],[RECUPERO]]/DATA_DICIEMBRE_2024[[#This Row],[META]]</f>
        <v>0.52352941176470591</v>
      </c>
      <c r="N39" s="5" t="str" cm="1">
        <f t="array" ref="N3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39" t="s">
        <v>115</v>
      </c>
      <c r="P39">
        <f>SUM(DATA_DICIEMBRE_2024[[#This Row],[1]:[31]])</f>
        <v>8900</v>
      </c>
      <c r="Q39">
        <v>17000</v>
      </c>
      <c r="R39" t="s">
        <v>49</v>
      </c>
      <c r="U39">
        <v>550</v>
      </c>
      <c r="X39">
        <v>950</v>
      </c>
      <c r="AC39">
        <v>1000</v>
      </c>
      <c r="AD39">
        <v>250</v>
      </c>
      <c r="AE39">
        <v>500</v>
      </c>
      <c r="AH39">
        <v>200</v>
      </c>
      <c r="AI39">
        <v>700</v>
      </c>
      <c r="AJ39">
        <v>500</v>
      </c>
      <c r="AK39">
        <v>210</v>
      </c>
      <c r="AL39">
        <v>2120</v>
      </c>
      <c r="AP39">
        <v>270</v>
      </c>
      <c r="AR39">
        <v>300</v>
      </c>
      <c r="AT39">
        <v>1100</v>
      </c>
      <c r="AV39">
        <v>250</v>
      </c>
    </row>
    <row r="40" spans="1:49" x14ac:dyDescent="0.25">
      <c r="A40" s="34" t="s">
        <v>6</v>
      </c>
      <c r="B40" s="34" t="str">
        <f>D1_DICIEMBRE_2024[[#This Row],[ASESOR]]</f>
        <v>JIMENA MEDINA</v>
      </c>
      <c r="C40" s="36">
        <f>VLOOKUP(D1_DICIEMBRE_2024[[#This Row],[SUPER]],DATA_DICIEMBRE_2024[[SUPERVISOR]:[META]],3,0)</f>
        <v>20500</v>
      </c>
      <c r="D40" s="35">
        <f>D1_DICIEMBRE_2024[[#This Row],[RECUPERO]]/D1_DICIEMBRE_2024[[#This Row],[META]]</f>
        <v>0.60699999999999998</v>
      </c>
      <c r="E40" s="35" t="str">
        <f>D1_DICIEMBRE_2024[[#This Row],[SUPER]]</f>
        <v>KENNETH</v>
      </c>
      <c r="F40" t="s">
        <v>37</v>
      </c>
      <c r="G40" s="3">
        <v>12443.5</v>
      </c>
      <c r="H40" t="s">
        <v>400</v>
      </c>
      <c r="I40" s="56">
        <v>43132</v>
      </c>
      <c r="J40" s="56" t="s">
        <v>501</v>
      </c>
      <c r="K40" s="56"/>
      <c r="L40" s="56"/>
      <c r="M40">
        <f>DATA_DICIEMBRE_2024[[#This Row],[RECUPERO]]/DATA_DICIEMBRE_2024[[#This Row],[META]]</f>
        <v>0.99711111111111106</v>
      </c>
      <c r="N40" s="5" t="str" cm="1">
        <f t="array" ref="N4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40" t="s">
        <v>2</v>
      </c>
      <c r="P40">
        <f>SUM(DATA_DICIEMBRE_2024[[#This Row],[1]:[31]])</f>
        <v>22435</v>
      </c>
      <c r="Q40">
        <v>22500</v>
      </c>
      <c r="R40" t="s">
        <v>26</v>
      </c>
      <c r="U40">
        <v>1300</v>
      </c>
      <c r="V40">
        <v>850</v>
      </c>
      <c r="W40">
        <v>510</v>
      </c>
      <c r="X40">
        <v>1800</v>
      </c>
      <c r="AB40">
        <v>3700</v>
      </c>
      <c r="AF40">
        <v>1160</v>
      </c>
      <c r="AG40">
        <v>100</v>
      </c>
      <c r="AH40">
        <v>2200</v>
      </c>
      <c r="AI40">
        <v>150</v>
      </c>
      <c r="AJ40">
        <v>400</v>
      </c>
      <c r="AM40">
        <v>1700</v>
      </c>
      <c r="AO40">
        <v>1030</v>
      </c>
      <c r="AR40">
        <v>1450</v>
      </c>
      <c r="AS40">
        <v>300</v>
      </c>
      <c r="AT40">
        <v>320</v>
      </c>
      <c r="AV40">
        <v>4500</v>
      </c>
      <c r="AW40">
        <v>965</v>
      </c>
    </row>
    <row r="41" spans="1:49" x14ac:dyDescent="0.25">
      <c r="A41" s="34" t="s">
        <v>2</v>
      </c>
      <c r="B41" s="34" t="str">
        <f>D1_DICIEMBRE_2024[[#This Row],[ASESOR]]</f>
        <v>JOANA GIL</v>
      </c>
      <c r="C41" s="36">
        <f>VLOOKUP(D1_DICIEMBRE_2024[[#This Row],[SUPER]],DATA_DICIEMBRE_2024[[SUPERVISOR]:[META]],3,0)</f>
        <v>22500</v>
      </c>
      <c r="D41" s="35">
        <f>D1_DICIEMBRE_2024[[#This Row],[RECUPERO]]/D1_DICIEMBRE_2024[[#This Row],[META]]</f>
        <v>0.50675999999999999</v>
      </c>
      <c r="E41" s="35" t="str">
        <f>D1_DICIEMBRE_2024[[#This Row],[SUPER]]</f>
        <v>JORGE</v>
      </c>
      <c r="F41" t="s">
        <v>106</v>
      </c>
      <c r="G41" s="3">
        <v>11402.1</v>
      </c>
      <c r="H41" t="s">
        <v>392</v>
      </c>
      <c r="I41" s="56">
        <v>44748</v>
      </c>
      <c r="J41" s="56" t="s">
        <v>501</v>
      </c>
      <c r="K41" s="56"/>
      <c r="L41" s="56"/>
      <c r="M41">
        <f>DATA_DICIEMBRE_2024[[#This Row],[RECUPERO]]/DATA_DICIEMBRE_2024[[#This Row],[META]]</f>
        <v>0.71166666666666667</v>
      </c>
      <c r="N41" s="5" t="str" cm="1">
        <f t="array" ref="N4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41" t="s">
        <v>4</v>
      </c>
      <c r="P41">
        <f>SUM(DATA_DICIEMBRE_2024[[#This Row],[1]:[31]])</f>
        <v>42700</v>
      </c>
      <c r="Q41">
        <v>60000</v>
      </c>
      <c r="R41" t="s">
        <v>122</v>
      </c>
      <c r="U41">
        <v>12000</v>
      </c>
      <c r="X41">
        <v>8000</v>
      </c>
      <c r="AE41">
        <v>1800</v>
      </c>
      <c r="AI41">
        <v>4000</v>
      </c>
      <c r="AJ41">
        <v>2000</v>
      </c>
      <c r="AK41">
        <v>1670</v>
      </c>
      <c r="AL41">
        <v>4700</v>
      </c>
      <c r="AO41">
        <v>900</v>
      </c>
      <c r="AP41">
        <v>1000</v>
      </c>
      <c r="AR41">
        <v>1540</v>
      </c>
      <c r="AS41">
        <v>2000</v>
      </c>
      <c r="AT41">
        <v>1170</v>
      </c>
      <c r="AV41">
        <v>1920</v>
      </c>
    </row>
    <row r="42" spans="1:49" x14ac:dyDescent="0.25">
      <c r="A42" s="34" t="s">
        <v>3</v>
      </c>
      <c r="B42" s="34" t="str">
        <f>D1_DICIEMBRE_2024[[#This Row],[ASESOR]]</f>
        <v>JOSUE CHOCCE</v>
      </c>
      <c r="C42" s="36">
        <f>VLOOKUP(D1_DICIEMBRE_2024[[#This Row],[SUPER]],DATA_DICIEMBRE_2024[[SUPERVISOR]:[META]],3,0)</f>
        <v>60000</v>
      </c>
      <c r="D42" s="35">
        <f>D1_DICIEMBRE_2024[[#This Row],[RECUPERO]]/D1_DICIEMBRE_2024[[#This Row],[META]]</f>
        <v>4.3333333333333335E-2</v>
      </c>
      <c r="E42" s="35" t="str">
        <f>D1_DICIEMBRE_2024[[#This Row],[SUPER]]</f>
        <v>SANDY</v>
      </c>
      <c r="F42" t="s">
        <v>123</v>
      </c>
      <c r="G42" s="3">
        <v>2600</v>
      </c>
      <c r="H42" t="s">
        <v>444</v>
      </c>
      <c r="I42" s="56">
        <v>0</v>
      </c>
      <c r="J42" s="56" t="s">
        <v>501</v>
      </c>
      <c r="K42" s="56"/>
      <c r="L42" s="56"/>
      <c r="M42">
        <f>DATA_DICIEMBRE_2024[[#This Row],[RECUPERO]]/DATA_DICIEMBRE_2024[[#This Row],[META]]</f>
        <v>1.3267</v>
      </c>
      <c r="N42" s="5" t="str" cm="1">
        <f t="array" ref="N4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42" t="s">
        <v>5</v>
      </c>
      <c r="P42">
        <f>SUM(DATA_DICIEMBRE_2024[[#This Row],[1]:[31]])</f>
        <v>79602</v>
      </c>
      <c r="Q42">
        <v>60000</v>
      </c>
      <c r="R42" t="s">
        <v>116</v>
      </c>
      <c r="S42">
        <v>300</v>
      </c>
      <c r="T42">
        <v>3000</v>
      </c>
      <c r="U42">
        <v>250</v>
      </c>
      <c r="W42">
        <v>600</v>
      </c>
      <c r="X42">
        <v>4000</v>
      </c>
      <c r="AB42">
        <v>800</v>
      </c>
      <c r="AC42">
        <v>2852</v>
      </c>
      <c r="AD42">
        <v>700</v>
      </c>
      <c r="AE42">
        <v>13000</v>
      </c>
      <c r="AH42">
        <v>950</v>
      </c>
      <c r="AI42">
        <v>11000</v>
      </c>
      <c r="AK42">
        <v>7080</v>
      </c>
      <c r="AL42">
        <v>7500</v>
      </c>
      <c r="AO42">
        <v>500</v>
      </c>
      <c r="AP42">
        <v>7500</v>
      </c>
      <c r="AT42">
        <v>800</v>
      </c>
      <c r="AV42">
        <v>970</v>
      </c>
      <c r="AW42">
        <v>17800</v>
      </c>
    </row>
    <row r="43" spans="1:49" x14ac:dyDescent="0.25">
      <c r="A43" s="34" t="s">
        <v>2</v>
      </c>
      <c r="B43" s="34" t="str">
        <f>D1_DICIEMBRE_2024[[#This Row],[ASESOR]]</f>
        <v>JUAN ALANOCCA</v>
      </c>
      <c r="C43" s="36">
        <f>VLOOKUP(D1_DICIEMBRE_2024[[#This Row],[SUPER]],DATA_DICIEMBRE_2024[[SUPERVISOR]:[META]],3,0)</f>
        <v>22500</v>
      </c>
      <c r="D43" s="35">
        <f>D1_DICIEMBRE_2024[[#This Row],[RECUPERO]]/D1_DICIEMBRE_2024[[#This Row],[META]]</f>
        <v>0.64533333333333331</v>
      </c>
      <c r="E43" s="35" t="str">
        <f>D1_DICIEMBRE_2024[[#This Row],[SUPER]]</f>
        <v>JORGE</v>
      </c>
      <c r="F43" t="s">
        <v>77</v>
      </c>
      <c r="G43" s="3">
        <v>14520</v>
      </c>
      <c r="H43" t="s">
        <v>393</v>
      </c>
      <c r="I43" s="56">
        <v>44840</v>
      </c>
      <c r="J43" s="56" t="s">
        <v>501</v>
      </c>
      <c r="K43" s="56"/>
      <c r="L43" s="56"/>
      <c r="M43">
        <f>DATA_DICIEMBRE_2024[[#This Row],[RECUPERO]]/DATA_DICIEMBRE_2024[[#This Row],[META]]</f>
        <v>0.6634146341463415</v>
      </c>
      <c r="N43" s="5" t="str" cm="1">
        <f t="array" ref="N4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43" t="s">
        <v>6</v>
      </c>
      <c r="P43">
        <f>SUM(DATA_DICIEMBRE_2024[[#This Row],[1]:[31]])</f>
        <v>13600</v>
      </c>
      <c r="Q43">
        <v>20500</v>
      </c>
      <c r="R43" t="s">
        <v>551</v>
      </c>
      <c r="W43">
        <v>300</v>
      </c>
      <c r="AC43">
        <v>2200</v>
      </c>
      <c r="AI43">
        <v>1500</v>
      </c>
      <c r="AJ43">
        <v>2600</v>
      </c>
      <c r="AR43">
        <v>7000</v>
      </c>
    </row>
    <row r="44" spans="1:49" x14ac:dyDescent="0.25">
      <c r="A44" s="34" t="s">
        <v>6</v>
      </c>
      <c r="B44" s="34" t="str">
        <f>D1_DICIEMBRE_2024[[#This Row],[ASESOR]]</f>
        <v>JUAN LOZA</v>
      </c>
      <c r="C44" s="36">
        <f>VLOOKUP(D1_DICIEMBRE_2024[[#This Row],[SUPER]],DATA_DICIEMBRE_2024[[SUPERVISOR]:[META]],3,0)</f>
        <v>20500</v>
      </c>
      <c r="D44" s="35">
        <f>D1_DICIEMBRE_2024[[#This Row],[RECUPERO]]/D1_DICIEMBRE_2024[[#This Row],[META]]</f>
        <v>1.0087804878048781</v>
      </c>
      <c r="E44" s="35" t="str">
        <f>D1_DICIEMBRE_2024[[#This Row],[SUPER]]</f>
        <v>KENNETH</v>
      </c>
      <c r="F44" t="s">
        <v>35</v>
      </c>
      <c r="G44" s="3">
        <v>20680</v>
      </c>
      <c r="H44" t="s">
        <v>401</v>
      </c>
      <c r="I44" s="56">
        <v>44748</v>
      </c>
      <c r="J44" s="56" t="s">
        <v>501</v>
      </c>
      <c r="K44" s="56"/>
      <c r="L44" s="56"/>
      <c r="M44">
        <f>DATA_DICIEMBRE_2024[[#This Row],[RECUPERO]]/DATA_DICIEMBRE_2024[[#This Row],[META]]</f>
        <v>0.71323529411764708</v>
      </c>
      <c r="N44" s="5" t="str" cm="1">
        <f t="array" ref="N4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44" t="s">
        <v>115</v>
      </c>
      <c r="P44">
        <f>SUM(DATA_DICIEMBRE_2024[[#This Row],[1]:[31]])</f>
        <v>12125</v>
      </c>
      <c r="Q44">
        <v>17000</v>
      </c>
      <c r="R44" t="s">
        <v>65</v>
      </c>
      <c r="T44">
        <v>1600</v>
      </c>
      <c r="U44">
        <v>100</v>
      </c>
      <c r="X44">
        <v>230</v>
      </c>
      <c r="AB44">
        <v>300</v>
      </c>
      <c r="AF44">
        <v>200</v>
      </c>
      <c r="AH44">
        <v>850</v>
      </c>
      <c r="AI44">
        <v>100</v>
      </c>
      <c r="AJ44">
        <v>1425</v>
      </c>
      <c r="AK44">
        <v>570</v>
      </c>
      <c r="AL44">
        <v>1250</v>
      </c>
      <c r="AM44">
        <v>2000</v>
      </c>
      <c r="AO44">
        <v>420</v>
      </c>
      <c r="AP44">
        <v>220</v>
      </c>
      <c r="AR44">
        <v>1825</v>
      </c>
      <c r="AS44">
        <v>120</v>
      </c>
      <c r="AV44">
        <v>315</v>
      </c>
      <c r="AW44">
        <v>600</v>
      </c>
    </row>
    <row r="45" spans="1:49" x14ac:dyDescent="0.25">
      <c r="A45" s="34" t="s">
        <v>2</v>
      </c>
      <c r="B45" s="34" t="str">
        <f>D1_DICIEMBRE_2024[[#This Row],[ASESOR]]</f>
        <v>KATYUSCA LEVANO</v>
      </c>
      <c r="C45" s="36">
        <f>VLOOKUP(D1_DICIEMBRE_2024[[#This Row],[SUPER]],DATA_DICIEMBRE_2024[[SUPERVISOR]:[META]],3,0)</f>
        <v>22500</v>
      </c>
      <c r="D45" s="35">
        <f>D1_DICIEMBRE_2024[[#This Row],[RECUPERO]]/D1_DICIEMBRE_2024[[#This Row],[META]]</f>
        <v>0.35551111111111111</v>
      </c>
      <c r="E45" s="35" t="str">
        <f>D1_DICIEMBRE_2024[[#This Row],[SUPER]]</f>
        <v>JORGE</v>
      </c>
      <c r="F45" t="s">
        <v>46</v>
      </c>
      <c r="G45" s="3">
        <v>7999</v>
      </c>
      <c r="H45" t="s">
        <v>394</v>
      </c>
      <c r="I45" s="56">
        <v>45344</v>
      </c>
      <c r="J45" s="56" t="s">
        <v>501</v>
      </c>
      <c r="K45" s="56"/>
      <c r="L45" s="56"/>
      <c r="M45">
        <f>DATA_DICIEMBRE_2024[[#This Row],[RECUPERO]]/DATA_DICIEMBRE_2024[[#This Row],[META]]</f>
        <v>0.74175366666666664</v>
      </c>
      <c r="N45" s="5" t="str" cm="1">
        <f t="array" ref="N4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45" t="s">
        <v>4</v>
      </c>
      <c r="P45">
        <f>SUM(DATA_DICIEMBRE_2024[[#This Row],[1]:[31]])</f>
        <v>44505.22</v>
      </c>
      <c r="Q45">
        <v>60000</v>
      </c>
      <c r="R45" t="s">
        <v>20</v>
      </c>
      <c r="T45">
        <v>590</v>
      </c>
      <c r="W45">
        <v>356</v>
      </c>
      <c r="X45">
        <v>9000</v>
      </c>
      <c r="AD45">
        <v>205</v>
      </c>
      <c r="AI45">
        <v>2300</v>
      </c>
      <c r="AJ45">
        <v>300</v>
      </c>
      <c r="AK45">
        <v>1140.22</v>
      </c>
      <c r="AL45">
        <v>9425</v>
      </c>
      <c r="AS45">
        <v>2500</v>
      </c>
      <c r="AV45">
        <v>16850</v>
      </c>
      <c r="AW45">
        <v>1839</v>
      </c>
    </row>
    <row r="46" spans="1:49" x14ac:dyDescent="0.25">
      <c r="A46" s="34" t="s">
        <v>6</v>
      </c>
      <c r="B46" s="34" t="str">
        <f>D1_DICIEMBRE_2024[[#This Row],[ASESOR]]</f>
        <v>KIARA CANEPA</v>
      </c>
      <c r="C46" s="36">
        <f>VLOOKUP(D1_DICIEMBRE_2024[[#This Row],[SUPER]],DATA_DICIEMBRE_2024[[SUPERVISOR]:[META]],3,0)</f>
        <v>20500</v>
      </c>
      <c r="D46" s="35">
        <f>D1_DICIEMBRE_2024[[#This Row],[RECUPERO]]/D1_DICIEMBRE_2024[[#This Row],[META]]</f>
        <v>0.15960975609756098</v>
      </c>
      <c r="E46" s="35" t="str">
        <f>D1_DICIEMBRE_2024[[#This Row],[SUPER]]</f>
        <v>KENNETH</v>
      </c>
      <c r="F46" t="s">
        <v>50</v>
      </c>
      <c r="G46" s="3">
        <v>3272</v>
      </c>
      <c r="H46" t="s">
        <v>402</v>
      </c>
      <c r="I46" s="56">
        <v>45523</v>
      </c>
      <c r="J46" s="56" t="s">
        <v>501</v>
      </c>
      <c r="K46" s="56"/>
      <c r="L46" s="56"/>
      <c r="M46">
        <f>DATA_DICIEMBRE_2024[[#This Row],[RECUPERO]]/DATA_DICIEMBRE_2024[[#This Row],[META]]</f>
        <v>0.60699999999999998</v>
      </c>
      <c r="N46" s="5" t="str" cm="1">
        <f t="array" ref="N4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46" t="s">
        <v>6</v>
      </c>
      <c r="P46">
        <f>SUM(DATA_DICIEMBRE_2024[[#This Row],[1]:[31]])</f>
        <v>12443.5</v>
      </c>
      <c r="Q46">
        <v>20500</v>
      </c>
      <c r="R46" t="s">
        <v>37</v>
      </c>
      <c r="T46">
        <v>750</v>
      </c>
      <c r="U46">
        <v>500</v>
      </c>
      <c r="X46">
        <v>1100</v>
      </c>
      <c r="AD46">
        <v>5000</v>
      </c>
      <c r="AE46">
        <v>2300</v>
      </c>
      <c r="AK46">
        <v>1900</v>
      </c>
      <c r="AQ46">
        <v>653.5</v>
      </c>
      <c r="AR46">
        <v>240</v>
      </c>
    </row>
    <row r="47" spans="1:49" x14ac:dyDescent="0.25">
      <c r="A47" s="34" t="s">
        <v>115</v>
      </c>
      <c r="B47" s="34" t="str">
        <f>D1_DICIEMBRE_2024[[#This Row],[ASESOR]]</f>
        <v>LINDA TUESTA</v>
      </c>
      <c r="C47" s="36">
        <f>VLOOKUP(D1_DICIEMBRE_2024[[#This Row],[SUPER]],DATA_DICIEMBRE_2024[[SUPERVISOR]:[META]],3,0)</f>
        <v>17000</v>
      </c>
      <c r="D47" s="35">
        <f>D1_DICIEMBRE_2024[[#This Row],[RECUPERO]]/D1_DICIEMBRE_2024[[#This Row],[META]]</f>
        <v>0.59274117647058822</v>
      </c>
      <c r="E47" s="35" t="str">
        <f>D1_DICIEMBRE_2024[[#This Row],[SUPER]]</f>
        <v>MELITA</v>
      </c>
      <c r="F47" t="s">
        <v>33</v>
      </c>
      <c r="G47" s="3">
        <v>10076.6</v>
      </c>
      <c r="H47" t="s">
        <v>439</v>
      </c>
      <c r="I47" s="56">
        <v>44869</v>
      </c>
      <c r="J47" s="56" t="s">
        <v>501</v>
      </c>
      <c r="K47" s="56"/>
      <c r="L47" s="56"/>
      <c r="M47">
        <f>DATA_DICIEMBRE_2024[[#This Row],[RECUPERO]]/DATA_DICIEMBRE_2024[[#This Row],[META]]</f>
        <v>0.50675999999999999</v>
      </c>
      <c r="N47" s="5" t="str" cm="1">
        <f t="array" ref="N4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47" t="s">
        <v>2</v>
      </c>
      <c r="P47">
        <f>SUM(DATA_DICIEMBRE_2024[[#This Row],[1]:[31]])</f>
        <v>11402.1</v>
      </c>
      <c r="Q47">
        <v>22500</v>
      </c>
      <c r="R47" t="s">
        <v>106</v>
      </c>
      <c r="T47">
        <v>600</v>
      </c>
      <c r="V47">
        <v>300</v>
      </c>
      <c r="X47">
        <v>650</v>
      </c>
      <c r="AB47">
        <v>204</v>
      </c>
      <c r="AF47">
        <v>320</v>
      </c>
      <c r="AG47">
        <v>300</v>
      </c>
      <c r="AI47">
        <v>1000.1</v>
      </c>
      <c r="AJ47">
        <v>496</v>
      </c>
      <c r="AL47">
        <v>990</v>
      </c>
      <c r="AO47">
        <v>1820</v>
      </c>
      <c r="AP47">
        <v>252</v>
      </c>
      <c r="AR47">
        <v>1200</v>
      </c>
      <c r="AS47">
        <v>400</v>
      </c>
      <c r="AT47">
        <v>350</v>
      </c>
      <c r="AV47">
        <v>1620</v>
      </c>
      <c r="AW47">
        <v>900</v>
      </c>
    </row>
    <row r="48" spans="1:49" x14ac:dyDescent="0.25">
      <c r="A48" s="34" t="s">
        <v>5</v>
      </c>
      <c r="B48" s="34" t="str">
        <f>D1_DICIEMBRE_2024[[#This Row],[ASESOR]]</f>
        <v>LISBETH RODRIGUEZ</v>
      </c>
      <c r="C48" s="36">
        <f>VLOOKUP(D1_DICIEMBRE_2024[[#This Row],[SUPER]],DATA_DICIEMBRE_2024[[SUPERVISOR]:[META]],3,0)</f>
        <v>60000</v>
      </c>
      <c r="D48" s="35">
        <f>D1_DICIEMBRE_2024[[#This Row],[RECUPERO]]/D1_DICIEMBRE_2024[[#This Row],[META]]</f>
        <v>1.1223833333333333</v>
      </c>
      <c r="E48" s="35" t="str">
        <f>D1_DICIEMBRE_2024[[#This Row],[SUPER]]</f>
        <v>JORDAN</v>
      </c>
      <c r="F48" t="s">
        <v>541</v>
      </c>
      <c r="G48" s="3">
        <v>67343</v>
      </c>
      <c r="H48" t="s">
        <v>542</v>
      </c>
      <c r="I48" s="56">
        <v>45131</v>
      </c>
      <c r="J48" s="56" t="s">
        <v>501</v>
      </c>
      <c r="K48" s="56"/>
      <c r="L48" s="56"/>
      <c r="M48">
        <f>DATA_DICIEMBRE_2024[[#This Row],[RECUPERO]]/DATA_DICIEMBRE_2024[[#This Row],[META]]</f>
        <v>4.3333333333333335E-2</v>
      </c>
      <c r="N48" s="5" t="str" cm="1">
        <f t="array" ref="N4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48" t="s">
        <v>3</v>
      </c>
      <c r="P48">
        <f>SUM(DATA_DICIEMBRE_2024[[#This Row],[1]:[31]])</f>
        <v>2600</v>
      </c>
      <c r="Q48">
        <v>60000</v>
      </c>
      <c r="R48" t="s">
        <v>123</v>
      </c>
      <c r="AJ48">
        <v>800</v>
      </c>
      <c r="AL48">
        <v>1800</v>
      </c>
    </row>
    <row r="49" spans="1:49" x14ac:dyDescent="0.25">
      <c r="A49" s="34" t="s">
        <v>3</v>
      </c>
      <c r="B49" s="34" t="str">
        <f>D1_DICIEMBRE_2024[[#This Row],[ASESOR]]</f>
        <v>LISELY MERA</v>
      </c>
      <c r="C49" s="36">
        <f>VLOOKUP(D1_DICIEMBRE_2024[[#This Row],[SUPER]],DATA_DICIEMBRE_2024[[SUPERVISOR]:[META]],3,0)</f>
        <v>60000</v>
      </c>
      <c r="D49" s="35">
        <f>D1_DICIEMBRE_2024[[#This Row],[RECUPERO]]/D1_DICIEMBRE_2024[[#This Row],[META]]</f>
        <v>2.4832333333333332</v>
      </c>
      <c r="E49" s="35" t="str">
        <f>D1_DICIEMBRE_2024[[#This Row],[SUPER]]</f>
        <v>SANDY</v>
      </c>
      <c r="F49" t="s">
        <v>23</v>
      </c>
      <c r="G49" s="3">
        <v>148994</v>
      </c>
      <c r="H49" t="s">
        <v>445</v>
      </c>
      <c r="I49" s="56">
        <v>44111</v>
      </c>
      <c r="J49" s="56" t="s">
        <v>501</v>
      </c>
      <c r="K49" s="56"/>
      <c r="L49" s="56"/>
      <c r="M49">
        <f>DATA_DICIEMBRE_2024[[#This Row],[RECUPERO]]/DATA_DICIEMBRE_2024[[#This Row],[META]]</f>
        <v>0.64533333333333331</v>
      </c>
      <c r="N49" s="5" t="str" cm="1">
        <f t="array" ref="N4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49" t="s">
        <v>2</v>
      </c>
      <c r="P49">
        <f>SUM(DATA_DICIEMBRE_2024[[#This Row],[1]:[31]])</f>
        <v>14520</v>
      </c>
      <c r="Q49">
        <v>22500</v>
      </c>
      <c r="R49" t="s">
        <v>77</v>
      </c>
      <c r="U49">
        <v>300</v>
      </c>
      <c r="V49">
        <v>50</v>
      </c>
      <c r="X49">
        <v>400</v>
      </c>
      <c r="AD49">
        <v>4500</v>
      </c>
      <c r="AH49">
        <v>100</v>
      </c>
      <c r="AI49">
        <v>500</v>
      </c>
      <c r="AJ49">
        <v>2440</v>
      </c>
      <c r="AK49">
        <v>100</v>
      </c>
      <c r="AO49">
        <v>2200</v>
      </c>
      <c r="AP49">
        <v>210</v>
      </c>
      <c r="AS49">
        <v>1511</v>
      </c>
      <c r="AT49">
        <v>599</v>
      </c>
      <c r="AV49">
        <v>1055</v>
      </c>
      <c r="AW49">
        <v>555</v>
      </c>
    </row>
    <row r="50" spans="1:49" x14ac:dyDescent="0.25">
      <c r="A50" s="34" t="s">
        <v>115</v>
      </c>
      <c r="B50" s="34" t="str">
        <f>D1_DICIEMBRE_2024[[#This Row],[ASESOR]]</f>
        <v>LIZ INGA</v>
      </c>
      <c r="C50" s="36">
        <f>VLOOKUP(D1_DICIEMBRE_2024[[#This Row],[SUPER]],DATA_DICIEMBRE_2024[[SUPERVISOR]:[META]],3,0)</f>
        <v>17000</v>
      </c>
      <c r="D50" s="35">
        <f>D1_DICIEMBRE_2024[[#This Row],[RECUPERO]]/D1_DICIEMBRE_2024[[#This Row],[META]]</f>
        <v>0.22564705882352942</v>
      </c>
      <c r="E50" s="35" t="str">
        <f>D1_DICIEMBRE_2024[[#This Row],[SUPER]]</f>
        <v>MELITA</v>
      </c>
      <c r="F50" t="s">
        <v>552</v>
      </c>
      <c r="G50" s="3">
        <v>3836</v>
      </c>
      <c r="H50" t="s">
        <v>554</v>
      </c>
      <c r="I50" s="56">
        <v>44830</v>
      </c>
      <c r="J50" s="56" t="s">
        <v>501</v>
      </c>
      <c r="K50" s="56"/>
      <c r="L50" s="56"/>
      <c r="M50">
        <f>DATA_DICIEMBRE_2024[[#This Row],[RECUPERO]]/DATA_DICIEMBRE_2024[[#This Row],[META]]</f>
        <v>1.0087804878048781</v>
      </c>
      <c r="N50" s="5" t="str" cm="1">
        <f t="array" ref="N5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50" t="s">
        <v>6</v>
      </c>
      <c r="P50">
        <f>SUM(DATA_DICIEMBRE_2024[[#This Row],[1]:[31]])</f>
        <v>20680</v>
      </c>
      <c r="Q50">
        <v>20500</v>
      </c>
      <c r="R50" t="s">
        <v>35</v>
      </c>
      <c r="S50">
        <v>250</v>
      </c>
      <c r="U50">
        <v>500</v>
      </c>
      <c r="Y50">
        <v>250</v>
      </c>
      <c r="AB50">
        <v>3480</v>
      </c>
      <c r="AE50">
        <v>900</v>
      </c>
      <c r="AH50">
        <v>450</v>
      </c>
      <c r="AK50">
        <v>5000</v>
      </c>
      <c r="AL50">
        <v>240</v>
      </c>
      <c r="AM50">
        <v>300</v>
      </c>
      <c r="AN50">
        <v>300</v>
      </c>
      <c r="AR50">
        <v>250</v>
      </c>
      <c r="AS50">
        <v>3600</v>
      </c>
      <c r="AV50">
        <v>660</v>
      </c>
      <c r="AW50">
        <v>4500</v>
      </c>
    </row>
    <row r="51" spans="1:49" x14ac:dyDescent="0.25">
      <c r="A51" s="34" t="s">
        <v>115</v>
      </c>
      <c r="B51" s="34" t="str">
        <f>D1_DICIEMBRE_2024[[#This Row],[ASESOR]]</f>
        <v>LUCERO JORDAN</v>
      </c>
      <c r="C51" s="36">
        <f>VLOOKUP(D1_DICIEMBRE_2024[[#This Row],[SUPER]],DATA_DICIEMBRE_2024[[SUPERVISOR]:[META]],3,0)</f>
        <v>17000</v>
      </c>
      <c r="D51" s="35">
        <f>D1_DICIEMBRE_2024[[#This Row],[RECUPERO]]/D1_DICIEMBRE_2024[[#This Row],[META]]</f>
        <v>0.61941176470588233</v>
      </c>
      <c r="E51" s="35" t="str">
        <f>D1_DICIEMBRE_2024[[#This Row],[SUPER]]</f>
        <v>MELITA</v>
      </c>
      <c r="F51" t="s">
        <v>68</v>
      </c>
      <c r="G51" s="3">
        <v>10530</v>
      </c>
      <c r="H51" t="s">
        <v>440</v>
      </c>
      <c r="I51" s="56">
        <v>45364</v>
      </c>
      <c r="J51" s="56" t="s">
        <v>501</v>
      </c>
      <c r="K51" s="56"/>
      <c r="L51" s="56"/>
      <c r="M51">
        <f>DATA_DICIEMBRE_2024[[#This Row],[RECUPERO]]/DATA_DICIEMBRE_2024[[#This Row],[META]]</f>
        <v>0.35551111111111111</v>
      </c>
      <c r="N51" s="5" t="str" cm="1">
        <f t="array" ref="N5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51" t="s">
        <v>2</v>
      </c>
      <c r="P51">
        <f>SUM(DATA_DICIEMBRE_2024[[#This Row],[1]:[31]])</f>
        <v>7999</v>
      </c>
      <c r="Q51">
        <v>22500</v>
      </c>
      <c r="R51" t="s">
        <v>46</v>
      </c>
      <c r="T51">
        <v>285</v>
      </c>
      <c r="U51">
        <v>1000</v>
      </c>
      <c r="AE51">
        <v>250</v>
      </c>
      <c r="AO51">
        <v>1457</v>
      </c>
      <c r="AR51">
        <v>500</v>
      </c>
      <c r="AV51">
        <v>307</v>
      </c>
      <c r="AW51">
        <v>4200</v>
      </c>
    </row>
    <row r="52" spans="1:49" x14ac:dyDescent="0.25">
      <c r="A52" s="34" t="s">
        <v>6</v>
      </c>
      <c r="B52" s="34" t="str">
        <f>D1_DICIEMBRE_2024[[#This Row],[ASESOR]]</f>
        <v>LUIS CENTENO</v>
      </c>
      <c r="C52" s="36">
        <f>VLOOKUP(D1_DICIEMBRE_2024[[#This Row],[SUPER]],DATA_DICIEMBRE_2024[[SUPERVISOR]:[META]],3,0)</f>
        <v>20500</v>
      </c>
      <c r="D52" s="35">
        <f>D1_DICIEMBRE_2024[[#This Row],[RECUPERO]]/D1_DICIEMBRE_2024[[#This Row],[META]]</f>
        <v>1.4209756097560975</v>
      </c>
      <c r="E52" s="35" t="str">
        <f>D1_DICIEMBRE_2024[[#This Row],[SUPER]]</f>
        <v>KENNETH</v>
      </c>
      <c r="F52" t="s">
        <v>31</v>
      </c>
      <c r="G52" s="3">
        <v>29130</v>
      </c>
      <c r="H52" t="s">
        <v>403</v>
      </c>
      <c r="I52" s="56">
        <v>45334</v>
      </c>
      <c r="J52" s="56" t="s">
        <v>501</v>
      </c>
      <c r="K52" s="56"/>
      <c r="L52" s="56"/>
      <c r="M52">
        <f>DATA_DICIEMBRE_2024[[#This Row],[RECUPERO]]/DATA_DICIEMBRE_2024[[#This Row],[META]]</f>
        <v>0.15960975609756098</v>
      </c>
      <c r="N52" s="5" t="str" cm="1">
        <f t="array" ref="N5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52" t="s">
        <v>6</v>
      </c>
      <c r="P52">
        <f>SUM(DATA_DICIEMBRE_2024[[#This Row],[1]:[31]])</f>
        <v>3272</v>
      </c>
      <c r="Q52">
        <v>20500</v>
      </c>
      <c r="R52" t="s">
        <v>50</v>
      </c>
      <c r="U52">
        <v>240</v>
      </c>
      <c r="W52">
        <v>211</v>
      </c>
      <c r="Y52">
        <v>321</v>
      </c>
      <c r="AJ52">
        <v>2500</v>
      </c>
    </row>
    <row r="53" spans="1:49" x14ac:dyDescent="0.25">
      <c r="A53" s="34" t="s">
        <v>9</v>
      </c>
      <c r="B53" s="34" t="str">
        <f>D1_DICIEMBRE_2024[[#This Row],[ASESOR]]</f>
        <v>LUIS VALLADARES</v>
      </c>
      <c r="C53" s="36">
        <f>VLOOKUP(D1_DICIEMBRE_2024[[#This Row],[SUPER]],DATA_DICIEMBRE_2024[[SUPERVISOR]:[META]],3,0)</f>
        <v>26500</v>
      </c>
      <c r="D53" s="35">
        <f>D1_DICIEMBRE_2024[[#This Row],[RECUPERO]]/D1_DICIEMBRE_2024[[#This Row],[META]]</f>
        <v>0.66709433962264153</v>
      </c>
      <c r="E53" s="35" t="str">
        <f>D1_DICIEMBRE_2024[[#This Row],[SUPER]]</f>
        <v>LUIS</v>
      </c>
      <c r="F53" t="s">
        <v>29</v>
      </c>
      <c r="G53" s="3">
        <v>17678</v>
      </c>
      <c r="H53" t="s">
        <v>416</v>
      </c>
      <c r="I53" s="56">
        <v>44687</v>
      </c>
      <c r="J53" s="56" t="s">
        <v>501</v>
      </c>
      <c r="K53" s="56"/>
      <c r="L53" s="56"/>
      <c r="M53">
        <f>DATA_DICIEMBRE_2024[[#This Row],[RECUPERO]]/DATA_DICIEMBRE_2024[[#This Row],[META]]</f>
        <v>0.59274117647058822</v>
      </c>
      <c r="N53" s="5" t="str" cm="1">
        <f t="array" ref="N5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53" t="s">
        <v>115</v>
      </c>
      <c r="P53">
        <f>SUM(DATA_DICIEMBRE_2024[[#This Row],[1]:[31]])</f>
        <v>10076.6</v>
      </c>
      <c r="Q53">
        <v>17000</v>
      </c>
      <c r="R53" t="s">
        <v>33</v>
      </c>
      <c r="T53">
        <v>410</v>
      </c>
      <c r="U53">
        <v>1000</v>
      </c>
      <c r="X53">
        <v>800</v>
      </c>
      <c r="AC53">
        <v>200</v>
      </c>
      <c r="AD53">
        <v>1473</v>
      </c>
      <c r="AE53">
        <v>900</v>
      </c>
      <c r="AH53">
        <v>570</v>
      </c>
      <c r="AI53">
        <v>200</v>
      </c>
      <c r="AJ53">
        <v>500</v>
      </c>
      <c r="AL53">
        <v>250</v>
      </c>
      <c r="AO53">
        <v>318.60000000000002</v>
      </c>
      <c r="AS53">
        <v>3000</v>
      </c>
      <c r="AU53">
        <v>100</v>
      </c>
      <c r="AV53">
        <v>255</v>
      </c>
      <c r="AW53">
        <v>100</v>
      </c>
    </row>
    <row r="54" spans="1:49" x14ac:dyDescent="0.25">
      <c r="A54" s="34" t="s">
        <v>3</v>
      </c>
      <c r="B54" s="34" t="str">
        <f>D1_DICIEMBRE_2024[[#This Row],[ASESOR]]</f>
        <v>MALORY MONTEBLANCO</v>
      </c>
      <c r="C54" s="36">
        <f>VLOOKUP(D1_DICIEMBRE_2024[[#This Row],[SUPER]],DATA_DICIEMBRE_2024[[SUPERVISOR]:[META]],3,0)</f>
        <v>60000</v>
      </c>
      <c r="D54" s="35">
        <f>D1_DICIEMBRE_2024[[#This Row],[RECUPERO]]/D1_DICIEMBRE_2024[[#This Row],[META]]</f>
        <v>0.94718333333333338</v>
      </c>
      <c r="E54" s="35" t="str">
        <f>D1_DICIEMBRE_2024[[#This Row],[SUPER]]</f>
        <v>SANDY</v>
      </c>
      <c r="F54" t="s">
        <v>25</v>
      </c>
      <c r="G54" s="3">
        <v>56831</v>
      </c>
      <c r="H54" t="s">
        <v>446</v>
      </c>
      <c r="I54" s="56">
        <v>44820</v>
      </c>
      <c r="J54" s="56" t="s">
        <v>501</v>
      </c>
      <c r="M54">
        <f>DATA_DICIEMBRE_2024[[#This Row],[RECUPERO]]/DATA_DICIEMBRE_2024[[#This Row],[META]]</f>
        <v>1.1223833333333333</v>
      </c>
      <c r="N54" s="5" t="str" cm="1">
        <f t="array" ref="N5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54" t="s">
        <v>5</v>
      </c>
      <c r="P54">
        <f>SUM(DATA_DICIEMBRE_2024[[#This Row],[1]:[31]])</f>
        <v>67343</v>
      </c>
      <c r="Q54">
        <v>60000</v>
      </c>
      <c r="R54" t="s">
        <v>541</v>
      </c>
      <c r="T54">
        <v>230</v>
      </c>
      <c r="W54">
        <v>3600</v>
      </c>
      <c r="X54">
        <v>2500</v>
      </c>
      <c r="AB54">
        <v>8230</v>
      </c>
      <c r="AE54">
        <v>1000</v>
      </c>
      <c r="AH54">
        <v>3850</v>
      </c>
      <c r="AJ54">
        <v>7388</v>
      </c>
      <c r="AK54">
        <v>5505</v>
      </c>
      <c r="AM54">
        <v>500</v>
      </c>
      <c r="AO54">
        <v>5438</v>
      </c>
      <c r="AP54">
        <v>8261</v>
      </c>
      <c r="AR54">
        <v>4690</v>
      </c>
      <c r="AS54">
        <v>14000</v>
      </c>
      <c r="AT54">
        <v>350</v>
      </c>
      <c r="AV54">
        <v>1030</v>
      </c>
      <c r="AW54">
        <v>771</v>
      </c>
    </row>
    <row r="55" spans="1:49" x14ac:dyDescent="0.25">
      <c r="A55" s="34" t="s">
        <v>9</v>
      </c>
      <c r="B55" s="34" t="str">
        <f>D1_DICIEMBRE_2024[[#This Row],[ASESOR]]</f>
        <v>MARCELIT LOPEZ</v>
      </c>
      <c r="C55" s="36">
        <f>VLOOKUP(D1_DICIEMBRE_2024[[#This Row],[SUPER]],DATA_DICIEMBRE_2024[[SUPERVISOR]:[META]],3,0)</f>
        <v>26500</v>
      </c>
      <c r="D55" s="35">
        <f>D1_DICIEMBRE_2024[[#This Row],[RECUPERO]]/D1_DICIEMBRE_2024[[#This Row],[META]]</f>
        <v>0.70841509433962269</v>
      </c>
      <c r="E55" s="35" t="str">
        <f>D1_DICIEMBRE_2024[[#This Row],[SUPER]]</f>
        <v>LUIS</v>
      </c>
      <c r="F55" t="s">
        <v>121</v>
      </c>
      <c r="G55" s="3">
        <v>18773</v>
      </c>
      <c r="H55" t="s">
        <v>417</v>
      </c>
      <c r="I55" s="56">
        <v>44510</v>
      </c>
      <c r="J55" s="56" t="s">
        <v>501</v>
      </c>
      <c r="M55">
        <f>DATA_DICIEMBRE_2024[[#This Row],[RECUPERO]]/DATA_DICIEMBRE_2024[[#This Row],[META]]</f>
        <v>2.4832333333333332</v>
      </c>
      <c r="N55" s="5" t="str" cm="1">
        <f t="array" ref="N5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55" t="s">
        <v>3</v>
      </c>
      <c r="P55">
        <f>SUM(DATA_DICIEMBRE_2024[[#This Row],[1]:[31]])</f>
        <v>148994</v>
      </c>
      <c r="Q55">
        <v>60000</v>
      </c>
      <c r="R55" t="s">
        <v>23</v>
      </c>
      <c r="S55">
        <v>526</v>
      </c>
      <c r="T55">
        <v>3802</v>
      </c>
      <c r="U55">
        <v>687</v>
      </c>
      <c r="V55">
        <v>11213</v>
      </c>
      <c r="W55">
        <v>4160</v>
      </c>
      <c r="X55">
        <v>13000</v>
      </c>
      <c r="Y55">
        <v>1885</v>
      </c>
      <c r="AB55">
        <v>271</v>
      </c>
      <c r="AC55">
        <v>1500</v>
      </c>
      <c r="AD55">
        <v>7000</v>
      </c>
      <c r="AE55">
        <v>9715</v>
      </c>
      <c r="AF55">
        <v>1500</v>
      </c>
      <c r="AH55">
        <v>1710</v>
      </c>
      <c r="AJ55">
        <v>3723</v>
      </c>
      <c r="AK55">
        <v>3500</v>
      </c>
      <c r="AL55">
        <v>4100</v>
      </c>
      <c r="AO55">
        <v>7000</v>
      </c>
      <c r="AP55">
        <v>360</v>
      </c>
      <c r="AR55">
        <v>212</v>
      </c>
      <c r="AS55">
        <v>3783</v>
      </c>
      <c r="AT55">
        <v>19207</v>
      </c>
      <c r="AU55">
        <v>1200</v>
      </c>
      <c r="AV55">
        <v>11556</v>
      </c>
      <c r="AW55">
        <v>37384</v>
      </c>
    </row>
    <row r="56" spans="1:49" x14ac:dyDescent="0.25">
      <c r="A56" s="34" t="s">
        <v>5</v>
      </c>
      <c r="B56" s="34" t="str">
        <f>D1_DICIEMBRE_2024[[#This Row],[ASESOR]]</f>
        <v>MARGARITA PIANCHACHI</v>
      </c>
      <c r="C56" s="36">
        <f>VLOOKUP(D1_DICIEMBRE_2024[[#This Row],[SUPER]],DATA_DICIEMBRE_2024[[SUPERVISOR]:[META]],3,0)</f>
        <v>60000</v>
      </c>
      <c r="D56" s="35">
        <f>D1_DICIEMBRE_2024[[#This Row],[RECUPERO]]/D1_DICIEMBRE_2024[[#This Row],[META]]</f>
        <v>1.1062035000000001</v>
      </c>
      <c r="E56" s="35" t="str">
        <f>D1_DICIEMBRE_2024[[#This Row],[SUPER]]</f>
        <v>JORDAN</v>
      </c>
      <c r="F56" t="s">
        <v>17</v>
      </c>
      <c r="G56" s="3">
        <v>66372.210000000006</v>
      </c>
      <c r="H56" t="s">
        <v>385</v>
      </c>
      <c r="I56" s="56">
        <v>44888</v>
      </c>
      <c r="J56" s="56" t="s">
        <v>501</v>
      </c>
      <c r="M56">
        <f>DATA_DICIEMBRE_2024[[#This Row],[RECUPERO]]/DATA_DICIEMBRE_2024[[#This Row],[META]]</f>
        <v>0.22564705882352942</v>
      </c>
      <c r="N56" s="5" t="str" cm="1">
        <f t="array" ref="N5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56" t="s">
        <v>115</v>
      </c>
      <c r="P56">
        <f>SUM(DATA_DICIEMBRE_2024[[#This Row],[1]:[31]])</f>
        <v>3836</v>
      </c>
      <c r="Q56">
        <v>17000</v>
      </c>
      <c r="R56" t="s">
        <v>552</v>
      </c>
      <c r="T56">
        <v>200</v>
      </c>
      <c r="U56">
        <v>1200</v>
      </c>
      <c r="V56">
        <v>186</v>
      </c>
      <c r="W56">
        <v>1250</v>
      </c>
      <c r="X56">
        <v>500</v>
      </c>
      <c r="AD56">
        <v>500</v>
      </c>
    </row>
    <row r="57" spans="1:49" x14ac:dyDescent="0.25">
      <c r="A57" s="34" t="s">
        <v>6</v>
      </c>
      <c r="B57" s="34" t="str">
        <f>D1_DICIEMBRE_2024[[#This Row],[ASESOR]]</f>
        <v>MARIA GONZALES</v>
      </c>
      <c r="C57" s="36">
        <f>VLOOKUP(D1_DICIEMBRE_2024[[#This Row],[SUPER]],DATA_DICIEMBRE_2024[[SUPERVISOR]:[META]],3,0)</f>
        <v>20500</v>
      </c>
      <c r="D57" s="35">
        <f>D1_DICIEMBRE_2024[[#This Row],[RECUPERO]]/D1_DICIEMBRE_2024[[#This Row],[META]]</f>
        <v>1.1526829268292682</v>
      </c>
      <c r="E57" s="35" t="str">
        <f>D1_DICIEMBRE_2024[[#This Row],[SUPER]]</f>
        <v>KENNETH</v>
      </c>
      <c r="F57" t="s">
        <v>119</v>
      </c>
      <c r="G57" s="3">
        <v>23630</v>
      </c>
      <c r="H57" t="s">
        <v>404</v>
      </c>
      <c r="I57" s="56">
        <v>45441</v>
      </c>
      <c r="J57" s="56" t="s">
        <v>501</v>
      </c>
      <c r="M57">
        <f>DATA_DICIEMBRE_2024[[#This Row],[RECUPERO]]/DATA_DICIEMBRE_2024[[#This Row],[META]]</f>
        <v>0.61941176470588233</v>
      </c>
      <c r="N57" s="5" t="str" cm="1">
        <f t="array" ref="N5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57" t="s">
        <v>115</v>
      </c>
      <c r="P57">
        <f>SUM(DATA_DICIEMBRE_2024[[#This Row],[1]:[31]])</f>
        <v>10530</v>
      </c>
      <c r="Q57">
        <v>17000</v>
      </c>
      <c r="R57" t="s">
        <v>68</v>
      </c>
      <c r="W57">
        <v>50</v>
      </c>
      <c r="AB57">
        <v>250</v>
      </c>
      <c r="AC57">
        <v>155</v>
      </c>
      <c r="AD57">
        <v>103</v>
      </c>
      <c r="AE57">
        <v>1750</v>
      </c>
      <c r="AH57">
        <v>725</v>
      </c>
      <c r="AI57">
        <v>1700</v>
      </c>
      <c r="AK57">
        <v>324</v>
      </c>
      <c r="AL57">
        <v>327</v>
      </c>
      <c r="AO57">
        <v>1209</v>
      </c>
      <c r="AP57">
        <v>200</v>
      </c>
      <c r="AR57">
        <v>1250</v>
      </c>
      <c r="AT57">
        <v>700</v>
      </c>
      <c r="AV57">
        <v>651</v>
      </c>
      <c r="AW57">
        <v>1136</v>
      </c>
    </row>
    <row r="58" spans="1:49" x14ac:dyDescent="0.25">
      <c r="A58" s="34" t="s">
        <v>4</v>
      </c>
      <c r="B58" s="34" t="str">
        <f>D1_DICIEMBRE_2024[[#This Row],[ASESOR]]</f>
        <v>MARIA TINTAYA</v>
      </c>
      <c r="C58" s="36">
        <f>VLOOKUP(D1_DICIEMBRE_2024[[#This Row],[SUPER]],DATA_DICIEMBRE_2024[[SUPERVISOR]:[META]],3,0)</f>
        <v>60000</v>
      </c>
      <c r="D58" s="35">
        <f>D1_DICIEMBRE_2024[[#This Row],[RECUPERO]]/D1_DICIEMBRE_2024[[#This Row],[META]]</f>
        <v>0.73957833333333334</v>
      </c>
      <c r="E58" s="35" t="str">
        <f>D1_DICIEMBRE_2024[[#This Row],[SUPER]]</f>
        <v>MELINA</v>
      </c>
      <c r="F58" t="s">
        <v>75</v>
      </c>
      <c r="G58" s="3">
        <v>44374.7</v>
      </c>
      <c r="H58" t="s">
        <v>428</v>
      </c>
      <c r="I58" s="56">
        <v>44716</v>
      </c>
      <c r="J58" s="56" t="s">
        <v>501</v>
      </c>
      <c r="M58">
        <f>DATA_DICIEMBRE_2024[[#This Row],[RECUPERO]]/DATA_DICIEMBRE_2024[[#This Row],[META]]</f>
        <v>1.4209756097560975</v>
      </c>
      <c r="N58" s="5" t="str" cm="1">
        <f t="array" ref="N5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58" t="s">
        <v>6</v>
      </c>
      <c r="P58">
        <f>SUM(DATA_DICIEMBRE_2024[[#This Row],[1]:[31]])</f>
        <v>29130</v>
      </c>
      <c r="Q58">
        <v>20500</v>
      </c>
      <c r="R58" t="s">
        <v>31</v>
      </c>
      <c r="U58">
        <v>1200</v>
      </c>
      <c r="V58">
        <v>1200</v>
      </c>
      <c r="AB58">
        <v>2250</v>
      </c>
      <c r="AC58">
        <v>2000</v>
      </c>
      <c r="AH58">
        <v>500</v>
      </c>
      <c r="AK58">
        <v>15000</v>
      </c>
      <c r="AR58">
        <v>580</v>
      </c>
      <c r="AS58">
        <v>400</v>
      </c>
      <c r="AV58">
        <v>1500</v>
      </c>
      <c r="AW58">
        <v>4500</v>
      </c>
    </row>
    <row r="59" spans="1:49" x14ac:dyDescent="0.25">
      <c r="A59" s="34" t="s">
        <v>2</v>
      </c>
      <c r="B59" s="34" t="str">
        <f>D1_DICIEMBRE_2024[[#This Row],[ASESOR]]</f>
        <v>MARISOL FERNANDEZ</v>
      </c>
      <c r="C59" s="36">
        <f>VLOOKUP(D1_DICIEMBRE_2024[[#This Row],[SUPER]],DATA_DICIEMBRE_2024[[SUPERVISOR]:[META]],3,0)</f>
        <v>22500</v>
      </c>
      <c r="D59" s="35">
        <f>D1_DICIEMBRE_2024[[#This Row],[RECUPERO]]/D1_DICIEMBRE_2024[[#This Row],[META]]</f>
        <v>0.35844444444444445</v>
      </c>
      <c r="E59" s="35" t="str">
        <f>D1_DICIEMBRE_2024[[#This Row],[SUPER]]</f>
        <v>JORGE</v>
      </c>
      <c r="F59" t="s">
        <v>537</v>
      </c>
      <c r="G59" s="3">
        <v>8065</v>
      </c>
      <c r="H59" t="s">
        <v>539</v>
      </c>
      <c r="I59" s="56">
        <v>44716</v>
      </c>
      <c r="J59" s="56" t="s">
        <v>501</v>
      </c>
      <c r="M59">
        <f>DATA_DICIEMBRE_2024[[#This Row],[RECUPERO]]/DATA_DICIEMBRE_2024[[#This Row],[META]]</f>
        <v>0.66709433962264153</v>
      </c>
      <c r="N59" t="str" cm="1">
        <f t="array" ref="N5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59" s="5" t="s">
        <v>9</v>
      </c>
      <c r="P59">
        <f>SUM(DATA_DICIEMBRE_2024[[#This Row],[1]:[31]])</f>
        <v>17678</v>
      </c>
      <c r="Q59">
        <v>26500</v>
      </c>
      <c r="R59" t="s">
        <v>29</v>
      </c>
      <c r="S59">
        <v>200</v>
      </c>
      <c r="T59">
        <v>150</v>
      </c>
      <c r="V59">
        <v>2078</v>
      </c>
      <c r="Y59">
        <v>550</v>
      </c>
      <c r="AD59">
        <v>3382</v>
      </c>
      <c r="AE59">
        <v>80</v>
      </c>
      <c r="AF59">
        <v>545</v>
      </c>
      <c r="AH59">
        <v>400</v>
      </c>
      <c r="AI59">
        <v>160</v>
      </c>
      <c r="AK59">
        <v>694</v>
      </c>
      <c r="AL59">
        <v>200</v>
      </c>
      <c r="AO59">
        <v>3064</v>
      </c>
      <c r="AR59">
        <v>850</v>
      </c>
      <c r="AS59">
        <v>900</v>
      </c>
      <c r="AU59">
        <v>200</v>
      </c>
      <c r="AV59">
        <v>2025</v>
      </c>
      <c r="AW59">
        <v>2200</v>
      </c>
    </row>
    <row r="60" spans="1:49" x14ac:dyDescent="0.25">
      <c r="A60" s="34" t="s">
        <v>6</v>
      </c>
      <c r="B60" s="34" t="str">
        <f>D1_DICIEMBRE_2024[[#This Row],[ASESOR]]</f>
        <v>MAURICIO MARTINEZ</v>
      </c>
      <c r="C60" s="36">
        <f>VLOOKUP(D1_DICIEMBRE_2024[[#This Row],[SUPER]],DATA_DICIEMBRE_2024[[SUPERVISOR]:[META]],3,0)</f>
        <v>20500</v>
      </c>
      <c r="D60" s="35">
        <f>D1_DICIEMBRE_2024[[#This Row],[RECUPERO]]/D1_DICIEMBRE_2024[[#This Row],[META]]</f>
        <v>1.6447365853658535</v>
      </c>
      <c r="E60" s="35" t="str">
        <f>D1_DICIEMBRE_2024[[#This Row],[SUPER]]</f>
        <v>KENNETH</v>
      </c>
      <c r="F60" t="s">
        <v>120</v>
      </c>
      <c r="G60" s="3">
        <v>33717.1</v>
      </c>
      <c r="H60" t="s">
        <v>405</v>
      </c>
      <c r="I60" s="56">
        <v>45471</v>
      </c>
      <c r="J60" s="56" t="s">
        <v>501</v>
      </c>
      <c r="M60">
        <f>DATA_DICIEMBRE_2024[[#This Row],[RECUPERO]]/DATA_DICIEMBRE_2024[[#This Row],[META]]</f>
        <v>0.94718333333333338</v>
      </c>
      <c r="N60" t="str" cm="1">
        <f t="array" ref="N6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60" s="5" t="s">
        <v>3</v>
      </c>
      <c r="P60">
        <f>SUM(DATA_DICIEMBRE_2024[[#This Row],[1]:[31]])</f>
        <v>56831</v>
      </c>
      <c r="Q60">
        <v>60000</v>
      </c>
      <c r="R60" t="s">
        <v>25</v>
      </c>
      <c r="T60">
        <v>2895</v>
      </c>
      <c r="X60">
        <v>2775</v>
      </c>
      <c r="AB60">
        <v>152</v>
      </c>
      <c r="AC60">
        <v>2150</v>
      </c>
      <c r="AD60">
        <v>3924</v>
      </c>
      <c r="AH60">
        <v>5270</v>
      </c>
      <c r="AI60">
        <v>950</v>
      </c>
      <c r="AJ60">
        <v>328</v>
      </c>
      <c r="AK60">
        <v>2137</v>
      </c>
      <c r="AL60">
        <v>600</v>
      </c>
      <c r="AM60">
        <v>1500</v>
      </c>
      <c r="AO60">
        <v>11900</v>
      </c>
      <c r="AP60">
        <v>1120</v>
      </c>
      <c r="AQ60">
        <v>457</v>
      </c>
      <c r="AR60">
        <v>5025</v>
      </c>
      <c r="AS60">
        <v>590</v>
      </c>
      <c r="AT60">
        <v>280</v>
      </c>
      <c r="AV60">
        <v>4776</v>
      </c>
      <c r="AW60">
        <v>10002</v>
      </c>
    </row>
    <row r="61" spans="1:49" x14ac:dyDescent="0.25">
      <c r="A61" s="34" t="s">
        <v>6</v>
      </c>
      <c r="B61" s="34" t="str">
        <f>D1_DICIEMBRE_2024[[#This Row],[ASESOR]]</f>
        <v>MEDALITH NESTARES</v>
      </c>
      <c r="C61" s="36">
        <f>VLOOKUP(D1_DICIEMBRE_2024[[#This Row],[SUPER]],DATA_DICIEMBRE_2024[[SUPERVISOR]:[META]],3,0)</f>
        <v>20500</v>
      </c>
      <c r="D61" s="35">
        <f>D1_DICIEMBRE_2024[[#This Row],[RECUPERO]]/D1_DICIEMBRE_2024[[#This Row],[META]]</f>
        <v>0.43317073170731707</v>
      </c>
      <c r="E61" s="35" t="str">
        <f>D1_DICIEMBRE_2024[[#This Row],[SUPER]]</f>
        <v>KENNETH</v>
      </c>
      <c r="F61" t="s">
        <v>36</v>
      </c>
      <c r="G61" s="3">
        <v>8880</v>
      </c>
      <c r="H61" t="s">
        <v>406</v>
      </c>
      <c r="I61" s="56">
        <v>44941</v>
      </c>
      <c r="J61" s="56" t="s">
        <v>501</v>
      </c>
      <c r="M61">
        <f>DATA_DICIEMBRE_2024[[#This Row],[RECUPERO]]/DATA_DICIEMBRE_2024[[#This Row],[META]]</f>
        <v>0.70841509433962269</v>
      </c>
      <c r="N61" t="str" cm="1">
        <f t="array" ref="N6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61" s="5" t="s">
        <v>9</v>
      </c>
      <c r="P61">
        <f>SUM(DATA_DICIEMBRE_2024[[#This Row],[1]:[31]])</f>
        <v>18773</v>
      </c>
      <c r="Q61">
        <v>26500</v>
      </c>
      <c r="R61" t="s">
        <v>121</v>
      </c>
      <c r="U61">
        <v>1000</v>
      </c>
      <c r="W61">
        <v>3620</v>
      </c>
      <c r="AB61">
        <v>200</v>
      </c>
      <c r="AH61">
        <v>2100</v>
      </c>
      <c r="AI61">
        <v>150</v>
      </c>
      <c r="AJ61">
        <v>800</v>
      </c>
      <c r="AK61">
        <v>350</v>
      </c>
      <c r="AL61">
        <v>450</v>
      </c>
      <c r="AO61">
        <v>2890</v>
      </c>
      <c r="AP61">
        <v>700</v>
      </c>
      <c r="AR61">
        <v>350</v>
      </c>
      <c r="AT61">
        <v>3763</v>
      </c>
      <c r="AV61">
        <v>400</v>
      </c>
      <c r="AW61">
        <v>2000</v>
      </c>
    </row>
    <row r="62" spans="1:49" x14ac:dyDescent="0.25">
      <c r="A62" s="34" t="s">
        <v>5</v>
      </c>
      <c r="B62" s="34" t="str">
        <f>D1_DICIEMBRE_2024[[#This Row],[ASESOR]]</f>
        <v>MELISSA GUERRERO</v>
      </c>
      <c r="C62" s="36">
        <f>VLOOKUP(D1_DICIEMBRE_2024[[#This Row],[SUPER]],DATA_DICIEMBRE_2024[[SUPERVISOR]:[META]],3,0)</f>
        <v>60000</v>
      </c>
      <c r="D62" s="35">
        <f>D1_DICIEMBRE_2024[[#This Row],[RECUPERO]]/D1_DICIEMBRE_2024[[#This Row],[META]]</f>
        <v>0.74111666666666665</v>
      </c>
      <c r="E62" s="35" t="str">
        <f>D1_DICIEMBRE_2024[[#This Row],[SUPER]]</f>
        <v>JORDAN</v>
      </c>
      <c r="F62" t="s">
        <v>62</v>
      </c>
      <c r="G62" s="3">
        <v>44467</v>
      </c>
      <c r="H62" t="s">
        <v>386</v>
      </c>
      <c r="I62" s="56">
        <v>45334</v>
      </c>
      <c r="J62" s="56" t="s">
        <v>501</v>
      </c>
      <c r="M62">
        <f>DATA_DICIEMBRE_2024[[#This Row],[RECUPERO]]/DATA_DICIEMBRE_2024[[#This Row],[META]]</f>
        <v>1.1062035000000001</v>
      </c>
      <c r="N62" t="str" cm="1">
        <f t="array" ref="N6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62" s="5" t="s">
        <v>5</v>
      </c>
      <c r="P62">
        <f>SUM(DATA_DICIEMBRE_2024[[#This Row],[1]:[31]])</f>
        <v>66372.210000000006</v>
      </c>
      <c r="Q62">
        <v>60000</v>
      </c>
      <c r="R62" t="s">
        <v>17</v>
      </c>
      <c r="U62">
        <v>7500</v>
      </c>
      <c r="V62">
        <v>3450</v>
      </c>
      <c r="X62">
        <v>5200</v>
      </c>
      <c r="AB62">
        <v>1400</v>
      </c>
      <c r="AD62">
        <v>1000</v>
      </c>
      <c r="AE62">
        <v>4000</v>
      </c>
      <c r="AH62">
        <v>3500</v>
      </c>
      <c r="AJ62">
        <v>4000</v>
      </c>
      <c r="AK62">
        <v>12000</v>
      </c>
      <c r="AO62">
        <v>16000</v>
      </c>
      <c r="AR62">
        <v>3600</v>
      </c>
      <c r="AS62">
        <v>400</v>
      </c>
      <c r="AT62">
        <v>4000</v>
      </c>
      <c r="AV62">
        <v>322.20999999999998</v>
      </c>
    </row>
    <row r="63" spans="1:49" x14ac:dyDescent="0.25">
      <c r="A63" s="34" t="s">
        <v>9</v>
      </c>
      <c r="B63" s="34" t="str">
        <f>D1_DICIEMBRE_2024[[#This Row],[ASESOR]]</f>
        <v>MERLY CORONEL</v>
      </c>
      <c r="C63" s="36">
        <f>VLOOKUP(D1_DICIEMBRE_2024[[#This Row],[SUPER]],DATA_DICIEMBRE_2024[[SUPERVISOR]:[META]],3,0)</f>
        <v>26500</v>
      </c>
      <c r="D63" s="35">
        <f>D1_DICIEMBRE_2024[[#This Row],[RECUPERO]]/D1_DICIEMBRE_2024[[#This Row],[META]]</f>
        <v>0.70872075471698104</v>
      </c>
      <c r="E63" s="35" t="str">
        <f>D1_DICIEMBRE_2024[[#This Row],[SUPER]]</f>
        <v>LUIS</v>
      </c>
      <c r="F63" t="s">
        <v>70</v>
      </c>
      <c r="G63" s="3">
        <v>18781.099999999999</v>
      </c>
      <c r="H63" t="s">
        <v>418</v>
      </c>
      <c r="I63" s="56">
        <v>44971</v>
      </c>
      <c r="J63" s="56" t="s">
        <v>501</v>
      </c>
      <c r="M63">
        <f>DATA_DICIEMBRE_2024[[#This Row],[RECUPERO]]/DATA_DICIEMBRE_2024[[#This Row],[META]]</f>
        <v>1.1526829268292682</v>
      </c>
      <c r="N63" t="str" cm="1">
        <f t="array" ref="N6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63" s="5" t="s">
        <v>6</v>
      </c>
      <c r="P63">
        <f>SUM(DATA_DICIEMBRE_2024[[#This Row],[1]:[31]])</f>
        <v>23630</v>
      </c>
      <c r="Q63">
        <v>20500</v>
      </c>
      <c r="R63" t="s">
        <v>119</v>
      </c>
      <c r="T63">
        <v>2500</v>
      </c>
      <c r="X63">
        <v>750</v>
      </c>
      <c r="AC63">
        <v>500</v>
      </c>
      <c r="AE63">
        <v>2000</v>
      </c>
      <c r="AI63">
        <v>2880</v>
      </c>
      <c r="AK63">
        <v>11000</v>
      </c>
      <c r="AS63">
        <v>1500</v>
      </c>
      <c r="AT63">
        <v>2500</v>
      </c>
    </row>
    <row r="64" spans="1:49" x14ac:dyDescent="0.25">
      <c r="A64" s="34" t="s">
        <v>4</v>
      </c>
      <c r="B64" s="34" t="str">
        <f>D1_DICIEMBRE_2024[[#This Row],[ASESOR]]</f>
        <v>MILAGROS QUIO</v>
      </c>
      <c r="C64" s="36">
        <f>VLOOKUP(D1_DICIEMBRE_2024[[#This Row],[SUPER]],DATA_DICIEMBRE_2024[[SUPERVISOR]:[META]],3,0)</f>
        <v>60000</v>
      </c>
      <c r="D64" s="35">
        <f>D1_DICIEMBRE_2024[[#This Row],[RECUPERO]]/D1_DICIEMBRE_2024[[#This Row],[META]]</f>
        <v>1.2439166666666666</v>
      </c>
      <c r="E64" s="35" t="str">
        <f>D1_DICIEMBRE_2024[[#This Row],[SUPER]]</f>
        <v>MELINA</v>
      </c>
      <c r="F64" t="s">
        <v>11</v>
      </c>
      <c r="G64" s="3">
        <v>74635</v>
      </c>
      <c r="H64" t="s">
        <v>429</v>
      </c>
      <c r="I64" s="56">
        <v>45371</v>
      </c>
      <c r="J64" s="56" t="s">
        <v>501</v>
      </c>
      <c r="M64">
        <f>DATA_DICIEMBRE_2024[[#This Row],[RECUPERO]]/DATA_DICIEMBRE_2024[[#This Row],[META]]</f>
        <v>0.73957833333333334</v>
      </c>
      <c r="N64" t="str" cm="1">
        <f t="array" ref="N6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64" s="5" t="s">
        <v>4</v>
      </c>
      <c r="P64">
        <f>SUM(DATA_DICIEMBRE_2024[[#This Row],[1]:[31]])</f>
        <v>44374.7</v>
      </c>
      <c r="Q64">
        <v>60000</v>
      </c>
      <c r="R64" t="s">
        <v>75</v>
      </c>
      <c r="V64">
        <v>4295</v>
      </c>
      <c r="X64">
        <v>7000</v>
      </c>
      <c r="Y64">
        <v>0</v>
      </c>
      <c r="AD64">
        <v>13000</v>
      </c>
      <c r="AE64">
        <v>1300</v>
      </c>
      <c r="AH64">
        <v>980</v>
      </c>
      <c r="AJ64">
        <v>400</v>
      </c>
      <c r="AK64">
        <v>1000</v>
      </c>
      <c r="AL64">
        <v>3000</v>
      </c>
      <c r="AM64">
        <v>256</v>
      </c>
      <c r="AO64">
        <v>2000</v>
      </c>
      <c r="AR64">
        <v>2000</v>
      </c>
      <c r="AT64">
        <v>428.7</v>
      </c>
      <c r="AU64">
        <v>705</v>
      </c>
      <c r="AV64">
        <v>3910</v>
      </c>
      <c r="AW64">
        <v>4100</v>
      </c>
    </row>
    <row r="65" spans="1:49" x14ac:dyDescent="0.25">
      <c r="A65" s="34" t="s">
        <v>2</v>
      </c>
      <c r="B65" s="34" t="str">
        <f>D1_DICIEMBRE_2024[[#This Row],[ASESOR]]</f>
        <v>NARDIA URPIS</v>
      </c>
      <c r="C65" s="36">
        <f>VLOOKUP(D1_DICIEMBRE_2024[[#This Row],[SUPER]],DATA_DICIEMBRE_2024[[SUPERVISOR]:[META]],3,0)</f>
        <v>22500</v>
      </c>
      <c r="D65" s="35">
        <f>D1_DICIEMBRE_2024[[#This Row],[RECUPERO]]/D1_DICIEMBRE_2024[[#This Row],[META]]</f>
        <v>0.28275555555555554</v>
      </c>
      <c r="E65" s="35" t="str">
        <f>D1_DICIEMBRE_2024[[#This Row],[SUPER]]</f>
        <v>JORGE</v>
      </c>
      <c r="F65" t="s">
        <v>74</v>
      </c>
      <c r="G65" s="3">
        <v>6362</v>
      </c>
      <c r="H65" t="s">
        <v>395</v>
      </c>
      <c r="I65" s="56">
        <v>44470</v>
      </c>
      <c r="J65" s="56" t="s">
        <v>501</v>
      </c>
      <c r="M65">
        <f>DATA_DICIEMBRE_2024[[#This Row],[RECUPERO]]/DATA_DICIEMBRE_2024[[#This Row],[META]]</f>
        <v>0.35844444444444445</v>
      </c>
      <c r="N65" t="str" cm="1">
        <f t="array" ref="N6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65" s="5" t="s">
        <v>2</v>
      </c>
      <c r="P65">
        <f>SUM(DATA_DICIEMBRE_2024[[#This Row],[1]:[31]])</f>
        <v>8065</v>
      </c>
      <c r="Q65">
        <v>22500</v>
      </c>
      <c r="R65" t="s">
        <v>537</v>
      </c>
      <c r="T65">
        <v>200</v>
      </c>
      <c r="U65">
        <v>300</v>
      </c>
      <c r="X65">
        <v>175</v>
      </c>
      <c r="AB65">
        <v>200</v>
      </c>
      <c r="AH65">
        <v>432</v>
      </c>
      <c r="AL65">
        <v>200</v>
      </c>
      <c r="AO65">
        <v>800</v>
      </c>
      <c r="AS65">
        <v>5000</v>
      </c>
      <c r="AW65">
        <v>758</v>
      </c>
    </row>
    <row r="66" spans="1:49" x14ac:dyDescent="0.25">
      <c r="A66" s="34" t="s">
        <v>9</v>
      </c>
      <c r="B66" s="34" t="str">
        <f>D1_DICIEMBRE_2024[[#This Row],[ASESOR]]</f>
        <v>PAULO CIUDAD</v>
      </c>
      <c r="C66" s="36">
        <f>VLOOKUP(D1_DICIEMBRE_2024[[#This Row],[SUPER]],DATA_DICIEMBRE_2024[[SUPERVISOR]:[META]],3,0)</f>
        <v>26500</v>
      </c>
      <c r="D66" s="35">
        <f>D1_DICIEMBRE_2024[[#This Row],[RECUPERO]]/D1_DICIEMBRE_2024[[#This Row],[META]]</f>
        <v>0.36150943396226415</v>
      </c>
      <c r="E66" s="35" t="str">
        <f>D1_DICIEMBRE_2024[[#This Row],[SUPER]]</f>
        <v>LUIS</v>
      </c>
      <c r="F66" t="s">
        <v>538</v>
      </c>
      <c r="G66" s="3">
        <v>9580</v>
      </c>
      <c r="H66" t="s">
        <v>540</v>
      </c>
      <c r="I66" s="56">
        <v>45343</v>
      </c>
      <c r="J66" s="56" t="s">
        <v>501</v>
      </c>
      <c r="M66">
        <f>DATA_DICIEMBRE_2024[[#This Row],[RECUPERO]]/DATA_DICIEMBRE_2024[[#This Row],[META]]</f>
        <v>1.6447365853658535</v>
      </c>
      <c r="N66" t="str" cm="1">
        <f t="array" ref="N6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66" s="5" t="s">
        <v>6</v>
      </c>
      <c r="P66">
        <f>SUM(DATA_DICIEMBRE_2024[[#This Row],[1]:[31]])</f>
        <v>33717.1</v>
      </c>
      <c r="Q66">
        <v>20500</v>
      </c>
      <c r="R66" t="s">
        <v>120</v>
      </c>
      <c r="W66">
        <v>2000</v>
      </c>
      <c r="AB66">
        <v>3000</v>
      </c>
      <c r="AC66">
        <v>790</v>
      </c>
      <c r="AD66">
        <v>7500</v>
      </c>
      <c r="AE66">
        <v>350</v>
      </c>
      <c r="AH66">
        <v>300</v>
      </c>
      <c r="AI66">
        <v>700</v>
      </c>
      <c r="AJ66">
        <v>8500</v>
      </c>
      <c r="AK66">
        <v>300</v>
      </c>
      <c r="AL66">
        <v>2000</v>
      </c>
      <c r="AO66">
        <v>350</v>
      </c>
      <c r="AP66">
        <v>2800</v>
      </c>
      <c r="AS66">
        <v>352.1</v>
      </c>
      <c r="AT66">
        <v>275</v>
      </c>
      <c r="AW66">
        <v>4500</v>
      </c>
    </row>
    <row r="67" spans="1:49" x14ac:dyDescent="0.25">
      <c r="A67" s="34" t="s">
        <v>4</v>
      </c>
      <c r="B67" s="34" t="str">
        <f>D1_DICIEMBRE_2024[[#This Row],[ASESOR]]</f>
        <v>PIERINA TESEN</v>
      </c>
      <c r="C67" s="36">
        <f>VLOOKUP(D1_DICIEMBRE_2024[[#This Row],[SUPER]],DATA_DICIEMBRE_2024[[SUPERVISOR]:[META]],3,0)</f>
        <v>60000</v>
      </c>
      <c r="D67" s="35">
        <f>D1_DICIEMBRE_2024[[#This Row],[RECUPERO]]/D1_DICIEMBRE_2024[[#This Row],[META]]</f>
        <v>1.1934318333333334</v>
      </c>
      <c r="E67" s="35" t="str">
        <f>D1_DICIEMBRE_2024[[#This Row],[SUPER]]</f>
        <v>MELINA</v>
      </c>
      <c r="F67" t="s">
        <v>59</v>
      </c>
      <c r="G67" s="3">
        <v>71605.91</v>
      </c>
      <c r="H67" t="s">
        <v>430</v>
      </c>
      <c r="I67" s="56">
        <v>45348</v>
      </c>
      <c r="J67" s="56" t="s">
        <v>501</v>
      </c>
      <c r="M67">
        <f>DATA_DICIEMBRE_2024[[#This Row],[RECUPERO]]/DATA_DICIEMBRE_2024[[#This Row],[META]]</f>
        <v>0.43317073170731707</v>
      </c>
      <c r="N67" t="str" cm="1">
        <f t="array" ref="N6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67" s="5" t="s">
        <v>6</v>
      </c>
      <c r="P67">
        <f>SUM(DATA_DICIEMBRE_2024[[#This Row],[1]:[31]])</f>
        <v>8880</v>
      </c>
      <c r="Q67">
        <v>20500</v>
      </c>
      <c r="R67" t="s">
        <v>36</v>
      </c>
      <c r="T67">
        <v>1500</v>
      </c>
      <c r="U67">
        <v>800</v>
      </c>
      <c r="V67">
        <v>150</v>
      </c>
      <c r="AC67">
        <v>250</v>
      </c>
      <c r="AH67">
        <v>2730</v>
      </c>
      <c r="AK67">
        <v>500</v>
      </c>
      <c r="AL67">
        <v>200</v>
      </c>
      <c r="AV67">
        <v>2500</v>
      </c>
      <c r="AW67">
        <v>250</v>
      </c>
    </row>
    <row r="68" spans="1:49" x14ac:dyDescent="0.25">
      <c r="A68" s="34" t="s">
        <v>3</v>
      </c>
      <c r="B68" s="34" t="str">
        <f>D1_DICIEMBRE_2024[[#This Row],[ASESOR]]</f>
        <v>RICHARD RODRIGUEZ</v>
      </c>
      <c r="C68" s="36">
        <f>VLOOKUP(D1_DICIEMBRE_2024[[#This Row],[SUPER]],DATA_DICIEMBRE_2024[[SUPERVISOR]:[META]],3,0)</f>
        <v>60000</v>
      </c>
      <c r="D68" s="35">
        <f>D1_DICIEMBRE_2024[[#This Row],[RECUPERO]]/D1_DICIEMBRE_2024[[#This Row],[META]]</f>
        <v>1.2141350000000002</v>
      </c>
      <c r="E68" s="35" t="str">
        <f>D1_DICIEMBRE_2024[[#This Row],[SUPER]]</f>
        <v>SANDY</v>
      </c>
      <c r="F68" t="s">
        <v>63</v>
      </c>
      <c r="G68" s="3">
        <v>72848.100000000006</v>
      </c>
      <c r="H68" t="s">
        <v>447</v>
      </c>
      <c r="I68" s="56">
        <v>45316</v>
      </c>
      <c r="J68" s="56" t="s">
        <v>501</v>
      </c>
      <c r="M68">
        <f>DATA_DICIEMBRE_2024[[#This Row],[RECUPERO]]/DATA_DICIEMBRE_2024[[#This Row],[META]]</f>
        <v>0.74111666666666665</v>
      </c>
      <c r="N68" t="str" cm="1">
        <f t="array" ref="N6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68" s="5" t="s">
        <v>5</v>
      </c>
      <c r="P68">
        <f>SUM(DATA_DICIEMBRE_2024[[#This Row],[1]:[31]])</f>
        <v>44467</v>
      </c>
      <c r="Q68">
        <v>60000</v>
      </c>
      <c r="R68" t="s">
        <v>62</v>
      </c>
      <c r="S68">
        <v>935</v>
      </c>
      <c r="U68">
        <v>246</v>
      </c>
      <c r="V68">
        <v>5800</v>
      </c>
      <c r="W68">
        <v>2080</v>
      </c>
      <c r="X68">
        <v>700</v>
      </c>
      <c r="Z68">
        <v>1000</v>
      </c>
      <c r="AD68">
        <v>350</v>
      </c>
      <c r="AE68">
        <v>315</v>
      </c>
      <c r="AF68">
        <v>1500</v>
      </c>
      <c r="AH68">
        <v>500</v>
      </c>
      <c r="AI68">
        <v>600</v>
      </c>
      <c r="AJ68">
        <v>600</v>
      </c>
      <c r="AK68">
        <v>1300</v>
      </c>
      <c r="AL68">
        <v>9596</v>
      </c>
      <c r="AO68">
        <v>3467</v>
      </c>
      <c r="AR68">
        <v>900</v>
      </c>
      <c r="AS68">
        <v>2000</v>
      </c>
      <c r="AT68">
        <v>400</v>
      </c>
      <c r="AV68">
        <v>12000</v>
      </c>
      <c r="AW68">
        <v>178</v>
      </c>
    </row>
    <row r="69" spans="1:49" x14ac:dyDescent="0.25">
      <c r="A69" s="34" t="s">
        <v>9</v>
      </c>
      <c r="B69" s="34" t="str">
        <f>D1_DICIEMBRE_2024[[#This Row],[ASESOR]]</f>
        <v>ROCIO TERRONES</v>
      </c>
      <c r="C69" s="36">
        <f>VLOOKUP(D1_DICIEMBRE_2024[[#This Row],[SUPER]],DATA_DICIEMBRE_2024[[SUPERVISOR]:[META]],3,0)</f>
        <v>26500</v>
      </c>
      <c r="D69" s="35">
        <f>D1_DICIEMBRE_2024[[#This Row],[RECUPERO]]/D1_DICIEMBRE_2024[[#This Row],[META]]</f>
        <v>0.51204339622641504</v>
      </c>
      <c r="E69" s="35" t="str">
        <f>D1_DICIEMBRE_2024[[#This Row],[SUPER]]</f>
        <v>LUIS</v>
      </c>
      <c r="F69" t="s">
        <v>103</v>
      </c>
      <c r="G69" s="3">
        <v>13569.15</v>
      </c>
      <c r="H69" t="s">
        <v>419</v>
      </c>
      <c r="I69" s="56">
        <v>45451</v>
      </c>
      <c r="J69" s="56" t="s">
        <v>501</v>
      </c>
      <c r="M69">
        <f>DATA_DICIEMBRE_2024[[#This Row],[RECUPERO]]/DATA_DICIEMBRE_2024[[#This Row],[META]]</f>
        <v>0.70872075471698104</v>
      </c>
      <c r="N69" t="str" cm="1">
        <f t="array" ref="N6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69" s="5" t="s">
        <v>9</v>
      </c>
      <c r="P69">
        <f>SUM(DATA_DICIEMBRE_2024[[#This Row],[1]:[31]])</f>
        <v>18781.099999999999</v>
      </c>
      <c r="Q69">
        <v>26500</v>
      </c>
      <c r="R69" t="s">
        <v>70</v>
      </c>
      <c r="S69">
        <v>200</v>
      </c>
      <c r="V69">
        <v>350</v>
      </c>
      <c r="W69">
        <v>1200</v>
      </c>
      <c r="X69">
        <v>500</v>
      </c>
      <c r="AC69">
        <v>200</v>
      </c>
      <c r="AE69">
        <v>2000.1</v>
      </c>
      <c r="AH69">
        <v>700</v>
      </c>
      <c r="AJ69">
        <v>1050</v>
      </c>
      <c r="AL69">
        <v>986</v>
      </c>
      <c r="AO69">
        <v>1700</v>
      </c>
      <c r="AR69">
        <v>3743</v>
      </c>
      <c r="AT69">
        <v>2302</v>
      </c>
      <c r="AV69">
        <v>500</v>
      </c>
      <c r="AW69">
        <v>3350</v>
      </c>
    </row>
    <row r="70" spans="1:49" x14ac:dyDescent="0.25">
      <c r="A70" s="34" t="s">
        <v>9</v>
      </c>
      <c r="B70" s="34" t="str">
        <f>D1_DICIEMBRE_2024[[#This Row],[ASESOR]]</f>
        <v>SARITA GARAY</v>
      </c>
      <c r="C70" s="36">
        <f>VLOOKUP(D1_DICIEMBRE_2024[[#This Row],[SUPER]],DATA_DICIEMBRE_2024[[SUPERVISOR]:[META]],3,0)</f>
        <v>26500</v>
      </c>
      <c r="D70" s="35">
        <f>D1_DICIEMBRE_2024[[#This Row],[RECUPERO]]/D1_DICIEMBRE_2024[[#This Row],[META]]</f>
        <v>0.26981132075471698</v>
      </c>
      <c r="E70" s="35" t="str">
        <f>D1_DICIEMBRE_2024[[#This Row],[SUPER]]</f>
        <v>LUIS</v>
      </c>
      <c r="F70" t="s">
        <v>73</v>
      </c>
      <c r="G70" s="3">
        <v>7150</v>
      </c>
      <c r="H70" t="s">
        <v>420</v>
      </c>
      <c r="I70" s="56">
        <v>45145</v>
      </c>
      <c r="J70" s="56" t="s">
        <v>501</v>
      </c>
      <c r="M70">
        <f>DATA_DICIEMBRE_2024[[#This Row],[RECUPERO]]/DATA_DICIEMBRE_2024[[#This Row],[META]]</f>
        <v>1.2439166666666666</v>
      </c>
      <c r="N70" t="str" cm="1">
        <f t="array" ref="N7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70" s="5" t="s">
        <v>4</v>
      </c>
      <c r="P70">
        <f>SUM(DATA_DICIEMBRE_2024[[#This Row],[1]:[31]])</f>
        <v>74635</v>
      </c>
      <c r="Q70">
        <v>60000</v>
      </c>
      <c r="R70" t="s">
        <v>11</v>
      </c>
      <c r="S70">
        <v>919</v>
      </c>
      <c r="U70">
        <v>700</v>
      </c>
      <c r="V70">
        <v>289</v>
      </c>
      <c r="W70">
        <v>17700</v>
      </c>
      <c r="X70">
        <v>12000</v>
      </c>
      <c r="AB70">
        <v>400</v>
      </c>
      <c r="AC70">
        <v>8500</v>
      </c>
      <c r="AH70">
        <v>600</v>
      </c>
      <c r="AI70">
        <v>6688</v>
      </c>
      <c r="AJ70">
        <v>0</v>
      </c>
      <c r="AK70">
        <v>9000</v>
      </c>
      <c r="AO70">
        <v>4600</v>
      </c>
      <c r="AS70">
        <v>305</v>
      </c>
      <c r="AV70">
        <v>6761</v>
      </c>
      <c r="AW70">
        <v>6173</v>
      </c>
    </row>
    <row r="71" spans="1:49" x14ac:dyDescent="0.25">
      <c r="A71" s="34" t="s">
        <v>6</v>
      </c>
      <c r="B71" s="34" t="str">
        <f>D1_DICIEMBRE_2024[[#This Row],[ASESOR]]</f>
        <v>STWUAR MACURI</v>
      </c>
      <c r="C71" s="36">
        <f>VLOOKUP(D1_DICIEMBRE_2024[[#This Row],[SUPER]],DATA_DICIEMBRE_2024[[SUPERVISOR]:[META]],3,0)</f>
        <v>20500</v>
      </c>
      <c r="D71" s="35">
        <f>D1_DICIEMBRE_2024[[#This Row],[RECUPERO]]/D1_DICIEMBRE_2024[[#This Row],[META]]</f>
        <v>0.76039024390243903</v>
      </c>
      <c r="E71" s="35" t="str">
        <f>D1_DICIEMBRE_2024[[#This Row],[SUPER]]</f>
        <v>KENNETH</v>
      </c>
      <c r="F71" t="s">
        <v>34</v>
      </c>
      <c r="G71" s="3">
        <v>15588</v>
      </c>
      <c r="H71" t="s">
        <v>407</v>
      </c>
      <c r="I71" s="56">
        <v>45175</v>
      </c>
      <c r="J71" s="56" t="s">
        <v>501</v>
      </c>
      <c r="M71">
        <f>DATA_DICIEMBRE_2024[[#This Row],[RECUPERO]]/DATA_DICIEMBRE_2024[[#This Row],[META]]</f>
        <v>0.28275555555555554</v>
      </c>
      <c r="N71" t="str" cm="1">
        <f t="array" ref="N7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71" s="5" t="s">
        <v>2</v>
      </c>
      <c r="P71">
        <f>SUM(DATA_DICIEMBRE_2024[[#This Row],[1]:[31]])</f>
        <v>6362</v>
      </c>
      <c r="Q71">
        <v>22500</v>
      </c>
      <c r="R71" t="s">
        <v>74</v>
      </c>
      <c r="T71">
        <v>210</v>
      </c>
      <c r="U71">
        <v>1000</v>
      </c>
      <c r="AB71">
        <v>400</v>
      </c>
      <c r="AH71">
        <v>593</v>
      </c>
      <c r="AK71">
        <v>645</v>
      </c>
      <c r="AL71">
        <v>200</v>
      </c>
      <c r="AO71">
        <v>1942</v>
      </c>
      <c r="AS71">
        <v>800</v>
      </c>
      <c r="AV71">
        <v>292</v>
      </c>
      <c r="AW71">
        <v>280</v>
      </c>
    </row>
    <row r="72" spans="1:49" x14ac:dyDescent="0.25">
      <c r="A72" s="34" t="s">
        <v>3</v>
      </c>
      <c r="B72" s="34" t="str">
        <f>D1_DICIEMBRE_2024[[#This Row],[ASESOR]]</f>
        <v>TERRY ECHEVARRIA</v>
      </c>
      <c r="C72" s="36">
        <f>VLOOKUP(D1_DICIEMBRE_2024[[#This Row],[SUPER]],DATA_DICIEMBRE_2024[[SUPERVISOR]:[META]],3,0)</f>
        <v>60000</v>
      </c>
      <c r="D72" s="35">
        <f>D1_DICIEMBRE_2024[[#This Row],[RECUPERO]]/D1_DICIEMBRE_2024[[#This Row],[META]]</f>
        <v>0.41798333333333332</v>
      </c>
      <c r="E72" s="35" t="str">
        <f>D1_DICIEMBRE_2024[[#This Row],[SUPER]]</f>
        <v>SANDY</v>
      </c>
      <c r="F72" t="s">
        <v>30</v>
      </c>
      <c r="G72" s="3">
        <v>25079</v>
      </c>
      <c r="H72" t="s">
        <v>448</v>
      </c>
      <c r="I72" s="56">
        <v>45399</v>
      </c>
      <c r="J72" s="56" t="s">
        <v>501</v>
      </c>
      <c r="M72">
        <f>DATA_DICIEMBRE_2024[[#This Row],[RECUPERO]]/DATA_DICIEMBRE_2024[[#This Row],[META]]</f>
        <v>0.36150943396226415</v>
      </c>
      <c r="N72" t="str" cm="1">
        <f t="array" ref="N7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72" s="5" t="s">
        <v>9</v>
      </c>
      <c r="P72">
        <f>SUM(DATA_DICIEMBRE_2024[[#This Row],[1]:[31]])</f>
        <v>9580</v>
      </c>
      <c r="Q72">
        <v>26500</v>
      </c>
      <c r="R72" t="s">
        <v>538</v>
      </c>
      <c r="U72">
        <v>350</v>
      </c>
      <c r="V72">
        <v>900</v>
      </c>
      <c r="X72">
        <v>210</v>
      </c>
      <c r="AE72">
        <v>300</v>
      </c>
      <c r="AF72">
        <v>300</v>
      </c>
      <c r="AH72">
        <v>500</v>
      </c>
      <c r="AK72">
        <v>1820</v>
      </c>
      <c r="AM72">
        <v>200</v>
      </c>
      <c r="AO72">
        <v>1500</v>
      </c>
      <c r="AP72">
        <v>100</v>
      </c>
      <c r="AV72">
        <v>700</v>
      </c>
      <c r="AW72">
        <v>2700</v>
      </c>
    </row>
    <row r="73" spans="1:49" x14ac:dyDescent="0.25">
      <c r="A73" s="34" t="s">
        <v>2</v>
      </c>
      <c r="B73" s="34" t="str">
        <f>D1_DICIEMBRE_2024[[#This Row],[ASESOR]]</f>
        <v>URSULA CENTENO</v>
      </c>
      <c r="C73" s="36">
        <f>VLOOKUP(D1_DICIEMBRE_2024[[#This Row],[SUPER]],DATA_DICIEMBRE_2024[[SUPERVISOR]:[META]],3,0)</f>
        <v>22500</v>
      </c>
      <c r="D73" s="35">
        <f>D1_DICIEMBRE_2024[[#This Row],[RECUPERO]]/D1_DICIEMBRE_2024[[#This Row],[META]]</f>
        <v>0.54955555555555557</v>
      </c>
      <c r="E73" s="35" t="str">
        <f>D1_DICIEMBRE_2024[[#This Row],[SUPER]]</f>
        <v>JORGE</v>
      </c>
      <c r="F73" t="s">
        <v>78</v>
      </c>
      <c r="G73" s="3">
        <v>12365</v>
      </c>
      <c r="H73" t="s">
        <v>397</v>
      </c>
      <c r="I73" s="56">
        <v>44945</v>
      </c>
      <c r="J73" s="56" t="s">
        <v>501</v>
      </c>
      <c r="M73">
        <f>DATA_DICIEMBRE_2024[[#This Row],[RECUPERO]]/DATA_DICIEMBRE_2024[[#This Row],[META]]</f>
        <v>1.1934318333333334</v>
      </c>
      <c r="N73" t="str" cm="1">
        <f t="array" ref="N73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73" s="5" t="s">
        <v>4</v>
      </c>
      <c r="P73">
        <f>SUM(DATA_DICIEMBRE_2024[[#This Row],[1]:[31]])</f>
        <v>71605.91</v>
      </c>
      <c r="Q73">
        <v>60000</v>
      </c>
      <c r="R73" t="s">
        <v>59</v>
      </c>
      <c r="U73">
        <v>180</v>
      </c>
      <c r="V73">
        <v>265</v>
      </c>
      <c r="W73">
        <v>10550</v>
      </c>
      <c r="AA73">
        <v>1155</v>
      </c>
      <c r="AB73">
        <v>3000</v>
      </c>
      <c r="AC73">
        <v>3500</v>
      </c>
      <c r="AE73">
        <v>600</v>
      </c>
      <c r="AI73">
        <v>1300</v>
      </c>
      <c r="AJ73">
        <v>1974.62</v>
      </c>
      <c r="AK73">
        <v>2757.6</v>
      </c>
      <c r="AL73">
        <v>5900</v>
      </c>
      <c r="AO73">
        <v>7500</v>
      </c>
      <c r="AP73">
        <v>500</v>
      </c>
      <c r="AR73">
        <v>6500</v>
      </c>
      <c r="AS73">
        <v>4500</v>
      </c>
      <c r="AT73">
        <v>3500</v>
      </c>
      <c r="AV73">
        <v>11223.69</v>
      </c>
      <c r="AW73">
        <v>6700</v>
      </c>
    </row>
    <row r="74" spans="1:49" x14ac:dyDescent="0.25">
      <c r="A74" s="34" t="s">
        <v>9</v>
      </c>
      <c r="B74" s="34" t="str">
        <f>D1_DICIEMBRE_2024[[#This Row],[ASESOR]]</f>
        <v>VERONICA HUARCA</v>
      </c>
      <c r="C74" s="36">
        <f>VLOOKUP(D1_DICIEMBRE_2024[[#This Row],[SUPER]],DATA_DICIEMBRE_2024[[SUPERVISOR]:[META]],3,0)</f>
        <v>26500</v>
      </c>
      <c r="D74" s="35">
        <f>D1_DICIEMBRE_2024[[#This Row],[RECUPERO]]/D1_DICIEMBRE_2024[[#This Row],[META]]</f>
        <v>0.42264150943396228</v>
      </c>
      <c r="E74" s="35" t="str">
        <f>D1_DICIEMBRE_2024[[#This Row],[SUPER]]</f>
        <v>LUIS</v>
      </c>
      <c r="F74" t="s">
        <v>48</v>
      </c>
      <c r="G74" s="3">
        <v>11200</v>
      </c>
      <c r="H74" t="s">
        <v>421</v>
      </c>
      <c r="I74" s="56">
        <v>44748</v>
      </c>
      <c r="J74" s="56" t="s">
        <v>501</v>
      </c>
      <c r="M74">
        <f>DATA_DICIEMBRE_2024[[#This Row],[RECUPERO]]/DATA_DICIEMBRE_2024[[#This Row],[META]]</f>
        <v>1.2141350000000002</v>
      </c>
      <c r="N74" t="str" cm="1">
        <f t="array" ref="N74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&gt;100%</v>
      </c>
      <c r="O74" s="5" t="s">
        <v>3</v>
      </c>
      <c r="P74">
        <f>SUM(DATA_DICIEMBRE_2024[[#This Row],[1]:[31]])</f>
        <v>72848.100000000006</v>
      </c>
      <c r="Q74">
        <v>60000</v>
      </c>
      <c r="R74" t="s">
        <v>63</v>
      </c>
      <c r="S74">
        <v>309</v>
      </c>
      <c r="T74">
        <v>600</v>
      </c>
      <c r="U74">
        <v>265</v>
      </c>
      <c r="V74">
        <v>1310</v>
      </c>
      <c r="W74">
        <v>75</v>
      </c>
      <c r="X74">
        <v>1862</v>
      </c>
      <c r="AB74">
        <v>600</v>
      </c>
      <c r="AC74">
        <v>7504</v>
      </c>
      <c r="AE74">
        <v>19785</v>
      </c>
      <c r="AF74">
        <v>380</v>
      </c>
      <c r="AH74">
        <v>3990.6</v>
      </c>
      <c r="AI74">
        <v>2787</v>
      </c>
      <c r="AK74">
        <v>13000</v>
      </c>
      <c r="AL74">
        <v>1701.5</v>
      </c>
      <c r="AP74">
        <v>1500</v>
      </c>
      <c r="AQ74">
        <v>238</v>
      </c>
      <c r="AR74">
        <v>747</v>
      </c>
      <c r="AS74">
        <v>643</v>
      </c>
      <c r="AV74">
        <v>3117</v>
      </c>
      <c r="AW74">
        <v>12434</v>
      </c>
    </row>
    <row r="75" spans="1:49" x14ac:dyDescent="0.25">
      <c r="A75" s="34" t="s">
        <v>3</v>
      </c>
      <c r="B75" s="34" t="str">
        <f>D1_DICIEMBRE_2024[[#This Row],[ASESOR]]</f>
        <v>VERONICA TASAYCO</v>
      </c>
      <c r="C75" s="36">
        <f>VLOOKUP(D1_DICIEMBRE_2024[[#This Row],[SUPER]],DATA_DICIEMBRE_2024[[SUPERVISOR]:[META]],3,0)</f>
        <v>60000</v>
      </c>
      <c r="D75" s="35">
        <f>D1_DICIEMBRE_2024[[#This Row],[RECUPERO]]/D1_DICIEMBRE_2024[[#This Row],[META]]</f>
        <v>0.71173333333333333</v>
      </c>
      <c r="E75" s="35" t="str">
        <f>D1_DICIEMBRE_2024[[#This Row],[SUPER]]</f>
        <v>SANDY</v>
      </c>
      <c r="F75" t="s">
        <v>10</v>
      </c>
      <c r="G75" s="3">
        <v>42704</v>
      </c>
      <c r="H75" t="s">
        <v>449</v>
      </c>
      <c r="I75" s="56">
        <v>44706</v>
      </c>
      <c r="J75" s="56" t="s">
        <v>501</v>
      </c>
      <c r="M75">
        <f>DATA_DICIEMBRE_2024[[#This Row],[RECUPERO]]/DATA_DICIEMBRE_2024[[#This Row],[META]]</f>
        <v>0.51204339622641504</v>
      </c>
      <c r="N75" t="str" cm="1">
        <f t="array" ref="N75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75" s="5" t="s">
        <v>9</v>
      </c>
      <c r="P75">
        <f>SUM(DATA_DICIEMBRE_2024[[#This Row],[1]:[31]])</f>
        <v>13569.15</v>
      </c>
      <c r="Q75">
        <v>26500</v>
      </c>
      <c r="R75" t="s">
        <v>103</v>
      </c>
      <c r="T75">
        <v>250</v>
      </c>
      <c r="U75">
        <v>250</v>
      </c>
      <c r="W75">
        <v>200</v>
      </c>
      <c r="AC75">
        <v>1370</v>
      </c>
      <c r="AD75">
        <v>234</v>
      </c>
      <c r="AF75">
        <v>720</v>
      </c>
      <c r="AH75">
        <v>200</v>
      </c>
      <c r="AK75">
        <v>950</v>
      </c>
      <c r="AL75">
        <v>5000.1499999999996</v>
      </c>
      <c r="AN75">
        <v>200</v>
      </c>
      <c r="AR75">
        <v>515</v>
      </c>
      <c r="AU75">
        <v>230</v>
      </c>
      <c r="AV75">
        <v>2700</v>
      </c>
      <c r="AW75">
        <v>750</v>
      </c>
    </row>
    <row r="76" spans="1:49" x14ac:dyDescent="0.25">
      <c r="A76" s="34" t="s">
        <v>6</v>
      </c>
      <c r="B76" s="34" t="str">
        <f>D1_DICIEMBRE_2024[[#This Row],[ASESOR]]</f>
        <v>VICTOR RAMIREZ</v>
      </c>
      <c r="C76" s="36">
        <f>VLOOKUP(D1_DICIEMBRE_2024[[#This Row],[SUPER]],DATA_DICIEMBRE_2024[[SUPERVISOR]:[META]],3,0)</f>
        <v>20500</v>
      </c>
      <c r="D76" s="35">
        <f>D1_DICIEMBRE_2024[[#This Row],[RECUPERO]]/D1_DICIEMBRE_2024[[#This Row],[META]]</f>
        <v>0.70243902439024386</v>
      </c>
      <c r="E76" s="35" t="str">
        <f>D1_DICIEMBRE_2024[[#This Row],[SUPER]]</f>
        <v>KENNETH</v>
      </c>
      <c r="F76" t="s">
        <v>76</v>
      </c>
      <c r="G76" s="3">
        <v>14400</v>
      </c>
      <c r="H76" t="s">
        <v>408</v>
      </c>
      <c r="I76" s="56">
        <v>44819</v>
      </c>
      <c r="J76" s="56" t="s">
        <v>501</v>
      </c>
      <c r="M76">
        <f>DATA_DICIEMBRE_2024[[#This Row],[RECUPERO]]/DATA_DICIEMBRE_2024[[#This Row],[META]]</f>
        <v>0.26981132075471698</v>
      </c>
      <c r="N76" t="str" cm="1">
        <f t="array" ref="N76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&gt;0%</v>
      </c>
      <c r="O76" s="5" t="s">
        <v>9</v>
      </c>
      <c r="P76">
        <f>SUM(DATA_DICIEMBRE_2024[[#This Row],[1]:[31]])</f>
        <v>7150</v>
      </c>
      <c r="Q76">
        <v>26500</v>
      </c>
      <c r="R76" t="s">
        <v>73</v>
      </c>
      <c r="T76">
        <v>250</v>
      </c>
      <c r="V76">
        <v>700</v>
      </c>
      <c r="AC76">
        <v>250</v>
      </c>
      <c r="AE76">
        <v>1350</v>
      </c>
      <c r="AF76">
        <v>800</v>
      </c>
      <c r="AJ76">
        <v>200</v>
      </c>
      <c r="AM76">
        <v>200</v>
      </c>
      <c r="AO76">
        <v>2000</v>
      </c>
      <c r="AP76">
        <v>200</v>
      </c>
      <c r="AR76">
        <v>200</v>
      </c>
      <c r="AV76">
        <v>1000</v>
      </c>
    </row>
    <row r="77" spans="1:49" x14ac:dyDescent="0.25">
      <c r="M77">
        <f>DATA_DICIEMBRE_2024[[#This Row],[RECUPERO]]/DATA_DICIEMBRE_2024[[#This Row],[META]]</f>
        <v>0.76039024390243903</v>
      </c>
      <c r="N77" t="str" cm="1">
        <f t="array" ref="N77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77" s="5" t="s">
        <v>6</v>
      </c>
      <c r="P77">
        <f>SUM(DATA_DICIEMBRE_2024[[#This Row],[1]:[31]])</f>
        <v>15588</v>
      </c>
      <c r="Q77">
        <v>20500</v>
      </c>
      <c r="R77" t="s">
        <v>34</v>
      </c>
      <c r="W77">
        <v>1000</v>
      </c>
      <c r="X77">
        <v>267</v>
      </c>
      <c r="Y77">
        <v>500</v>
      </c>
      <c r="AD77">
        <v>5000</v>
      </c>
      <c r="AE77">
        <v>500</v>
      </c>
      <c r="AI77">
        <v>600</v>
      </c>
      <c r="AJ77">
        <v>4000</v>
      </c>
      <c r="AS77">
        <v>1000</v>
      </c>
      <c r="AT77">
        <v>2000</v>
      </c>
      <c r="AV77">
        <v>500</v>
      </c>
      <c r="AW77">
        <v>221</v>
      </c>
    </row>
    <row r="78" spans="1:49" x14ac:dyDescent="0.25">
      <c r="M78">
        <f>DATA_DICIEMBRE_2024[[#This Row],[RECUPERO]]/DATA_DICIEMBRE_2024[[#This Row],[META]]</f>
        <v>0.41798333333333332</v>
      </c>
      <c r="N78" t="str" cm="1">
        <f t="array" ref="N78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78" s="5" t="s">
        <v>3</v>
      </c>
      <c r="P78">
        <f>SUM(DATA_DICIEMBRE_2024[[#This Row],[1]:[31]])</f>
        <v>25079</v>
      </c>
      <c r="Q78">
        <v>60000</v>
      </c>
      <c r="R78" t="s">
        <v>30</v>
      </c>
      <c r="T78">
        <v>481</v>
      </c>
      <c r="W78">
        <v>1700</v>
      </c>
      <c r="AA78">
        <v>1100</v>
      </c>
      <c r="AC78">
        <v>940</v>
      </c>
      <c r="AF78">
        <v>558</v>
      </c>
      <c r="AJ78">
        <v>8982</v>
      </c>
      <c r="AL78">
        <v>914</v>
      </c>
      <c r="AO78">
        <v>262</v>
      </c>
      <c r="AP78">
        <v>575</v>
      </c>
      <c r="AS78">
        <v>700</v>
      </c>
      <c r="AT78">
        <v>1207</v>
      </c>
      <c r="AV78">
        <v>1560</v>
      </c>
      <c r="AW78">
        <v>6100</v>
      </c>
    </row>
    <row r="79" spans="1:49" x14ac:dyDescent="0.25">
      <c r="M79">
        <f>DATA_DICIEMBRE_2024[[#This Row],[RECUPERO]]/DATA_DICIEMBRE_2024[[#This Row],[META]]</f>
        <v>0.54955555555555557</v>
      </c>
      <c r="N79" t="str" cm="1">
        <f t="array" ref="N79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79" s="5" t="s">
        <v>2</v>
      </c>
      <c r="P79">
        <f>SUM(DATA_DICIEMBRE_2024[[#This Row],[1]:[31]])</f>
        <v>12365</v>
      </c>
      <c r="Q79">
        <v>22500</v>
      </c>
      <c r="R79" t="s">
        <v>78</v>
      </c>
      <c r="T79">
        <v>2260</v>
      </c>
      <c r="X79">
        <v>200</v>
      </c>
      <c r="AB79">
        <v>330</v>
      </c>
      <c r="AH79">
        <v>250</v>
      </c>
      <c r="AL79">
        <v>3000</v>
      </c>
      <c r="AO79">
        <v>2150</v>
      </c>
      <c r="AR79">
        <v>605</v>
      </c>
      <c r="AT79">
        <v>2120</v>
      </c>
      <c r="AV79">
        <v>1450</v>
      </c>
    </row>
    <row r="80" spans="1:49" x14ac:dyDescent="0.25">
      <c r="M80">
        <f>DATA_DICIEMBRE_2024[[#This Row],[RECUPERO]]/DATA_DICIEMBRE_2024[[#This Row],[META]]</f>
        <v>0.42264150943396228</v>
      </c>
      <c r="N80" t="str" cm="1">
        <f t="array" ref="N80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&gt;40%</v>
      </c>
      <c r="O80" s="5" t="s">
        <v>9</v>
      </c>
      <c r="P80">
        <f>SUM(DATA_DICIEMBRE_2024[[#This Row],[1]:[31]])</f>
        <v>11200</v>
      </c>
      <c r="Q80">
        <v>26500</v>
      </c>
      <c r="R80" t="s">
        <v>48</v>
      </c>
      <c r="AD80">
        <v>350</v>
      </c>
      <c r="AE80">
        <v>1000</v>
      </c>
      <c r="AH80">
        <v>200</v>
      </c>
      <c r="AJ80">
        <v>2100</v>
      </c>
      <c r="AK80">
        <v>150</v>
      </c>
      <c r="AM80">
        <v>200</v>
      </c>
      <c r="AS80">
        <v>3400</v>
      </c>
      <c r="AV80">
        <v>3600</v>
      </c>
      <c r="AW80">
        <v>200</v>
      </c>
    </row>
    <row r="81" spans="13:49" x14ac:dyDescent="0.25">
      <c r="M81">
        <f>DATA_DICIEMBRE_2024[[#This Row],[RECUPERO]]/DATA_DICIEMBRE_2024[[#This Row],[META]]</f>
        <v>0.71173333333333333</v>
      </c>
      <c r="N81" t="str" cm="1">
        <f t="array" ref="N81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81" s="5" t="s">
        <v>3</v>
      </c>
      <c r="P81">
        <f>SUM(DATA_DICIEMBRE_2024[[#This Row],[1]:[31]])</f>
        <v>42704</v>
      </c>
      <c r="Q81">
        <v>60000</v>
      </c>
      <c r="R81" t="s">
        <v>10</v>
      </c>
      <c r="W81">
        <v>16783</v>
      </c>
      <c r="X81">
        <v>600</v>
      </c>
      <c r="AB81">
        <v>4200</v>
      </c>
      <c r="AC81">
        <v>5000</v>
      </c>
      <c r="AD81">
        <v>1300</v>
      </c>
      <c r="AI81">
        <v>210</v>
      </c>
      <c r="AL81">
        <v>485</v>
      </c>
      <c r="AO81">
        <v>3100</v>
      </c>
      <c r="AR81">
        <v>1370</v>
      </c>
      <c r="AS81">
        <v>8526</v>
      </c>
      <c r="AV81">
        <v>880</v>
      </c>
      <c r="AW81">
        <v>250</v>
      </c>
    </row>
    <row r="82" spans="13:49" x14ac:dyDescent="0.25">
      <c r="M82">
        <f>DATA_DICIEMBRE_2024[[#This Row],[RECUPERO]]/DATA_DICIEMBRE_2024[[#This Row],[META]]</f>
        <v>0.70243902439024386</v>
      </c>
      <c r="N82" t="str" cm="1">
        <f t="array" ref="N82">IF(DATA_DICIEMBRE_2024[[#This Row],[ASER_]]="","",IFERROR(_xlfn.IFS(DATA_DICIEMBRE_2024[[#This Row],[AL_AC]]&gt;=100%,"&gt;100%",AND(DATA_DICIEMBRE_2024[[#This Row],[AL_AC]]&lt;100%,DATA_DICIEMBRE_2024[[#This Row],[AL_AC]]&gt;=70%),"&gt;70%",AND(DATA_DICIEMBRE_2024[[#This Row],[AL_AC]]&lt;70%,DATA_DICIEMBRE_2024[[#This Row],[AL_AC]]&gt;=40%),"&gt;40%",AND(DATA_DICIEMBRE_2024[[#This Row],[AL_AC]]&lt;40%,DATA_DICIEMBRE_2024[[#This Row],[AL_AC]]&gt;=0%),"&gt;0%"),""))</f>
        <v>&gt;70%</v>
      </c>
      <c r="O82" s="5" t="s">
        <v>6</v>
      </c>
      <c r="P82">
        <f>SUM(DATA_DICIEMBRE_2024[[#This Row],[1]:[31]])</f>
        <v>14400</v>
      </c>
      <c r="Q82">
        <v>20500</v>
      </c>
      <c r="R82" t="s">
        <v>76</v>
      </c>
      <c r="T82">
        <v>1000</v>
      </c>
      <c r="U82">
        <v>250</v>
      </c>
      <c r="AB82">
        <v>2000</v>
      </c>
      <c r="AH82">
        <v>1300</v>
      </c>
      <c r="AL82">
        <v>4000</v>
      </c>
      <c r="AR82">
        <v>4400</v>
      </c>
      <c r="AV82">
        <v>1000</v>
      </c>
      <c r="AW82">
        <v>450</v>
      </c>
    </row>
  </sheetData>
  <conditionalFormatting sqref="R9:R82">
    <cfRule type="duplicateValues" dxfId="14" priority="9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7C4F-A5CC-4228-9368-4009D86BEC32}">
  <dimension ref="A1:CI82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9.28515625" customWidth="1"/>
    <col min="2" max="3" width="22.7109375" customWidth="1"/>
    <col min="4" max="5" width="13.42578125" customWidth="1"/>
    <col min="6" max="6" width="12" customWidth="1"/>
    <col min="7" max="7" width="10.28515625" customWidth="1"/>
    <col min="8" max="8" width="11.42578125" customWidth="1"/>
    <col min="9" max="9" width="27.85546875" bestFit="1" customWidth="1"/>
    <col min="10" max="12" width="27.85546875" customWidth="1"/>
    <col min="13" max="13" width="13.140625" bestFit="1" customWidth="1"/>
    <col min="14" max="14" width="16" bestFit="1" customWidth="1"/>
    <col min="15" max="15" width="22.7109375" customWidth="1"/>
    <col min="16" max="16" width="11.42578125" customWidth="1"/>
    <col min="18" max="18" width="27.28515625" bestFit="1" customWidth="1"/>
    <col min="19" max="19" width="11.140625" bestFit="1" customWidth="1"/>
    <col min="20" max="27" width="6.42578125" bestFit="1" customWidth="1"/>
    <col min="28" max="28" width="7.42578125" bestFit="1" customWidth="1"/>
    <col min="29" max="29" width="7.140625" bestFit="1" customWidth="1"/>
    <col min="30" max="37" width="7.42578125" bestFit="1" customWidth="1"/>
    <col min="38" max="38" width="7.85546875" bestFit="1" customWidth="1"/>
    <col min="39" max="39" width="7.42578125" bestFit="1" customWidth="1"/>
    <col min="40" max="48" width="7.85546875" bestFit="1" customWidth="1"/>
    <col min="49" max="49" width="7.42578125" bestFit="1" customWidth="1"/>
    <col min="50" max="50" width="26.7109375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t="str">
        <f>D1_ENERO_2025[[#This Row],[SUPER2]]</f>
        <v>JORDAN</v>
      </c>
      <c r="B3" t="s">
        <v>69</v>
      </c>
      <c r="C3">
        <f>VLOOKUP(D1_ENERO_2025[[#This Row],[SUPER]],DATA_ENERO_2025[[SUPERVISOR]:[META]],3,0)</f>
        <v>58000</v>
      </c>
      <c r="D3">
        <f>D1_ENERO_2025[[#This Row],[RECUPERO]]/C3</f>
        <v>0.85467241379310344</v>
      </c>
      <c r="E3" t="s">
        <v>5</v>
      </c>
      <c r="F3" t="s">
        <v>69</v>
      </c>
      <c r="G3">
        <v>49571</v>
      </c>
      <c r="H3" t="s">
        <v>379</v>
      </c>
      <c r="I3" s="56">
        <v>44461</v>
      </c>
      <c r="J3" s="56" t="s">
        <v>501</v>
      </c>
      <c r="K3" s="56"/>
      <c r="L3" s="56"/>
      <c r="M3" s="33">
        <v>2025</v>
      </c>
      <c r="N3" s="33" t="s">
        <v>139</v>
      </c>
      <c r="O3" s="33">
        <v>22</v>
      </c>
    </row>
    <row r="4" spans="1:87" x14ac:dyDescent="0.25">
      <c r="A4" t="str">
        <f>D1_ENERO_2025[[#This Row],[SUPER2]]</f>
        <v>JORDAN</v>
      </c>
      <c r="B4" t="s">
        <v>85</v>
      </c>
      <c r="C4">
        <f>VLOOKUP(D1_ENERO_2025[[#This Row],[SUPER]],DATA_ENERO_2025[[SUPERVISOR]:[META]],3,0)</f>
        <v>58000</v>
      </c>
      <c r="D4">
        <f>D1_ENERO_2025[[#This Row],[RECUPERO]]/C4</f>
        <v>1.8767758620689656</v>
      </c>
      <c r="E4" t="s">
        <v>5</v>
      </c>
      <c r="F4" t="s">
        <v>85</v>
      </c>
      <c r="G4">
        <v>108853</v>
      </c>
      <c r="H4" t="s">
        <v>380</v>
      </c>
      <c r="I4" s="56">
        <v>44811</v>
      </c>
      <c r="J4" s="56" t="s">
        <v>501</v>
      </c>
      <c r="K4" s="56"/>
      <c r="L4" s="56"/>
    </row>
    <row r="5" spans="1:87" x14ac:dyDescent="0.25">
      <c r="A5" t="str">
        <f>D1_ENERO_2025[[#This Row],[SUPER2]]</f>
        <v>JORDAN</v>
      </c>
      <c r="B5" t="s">
        <v>67</v>
      </c>
      <c r="C5">
        <f>VLOOKUP(D1_ENERO_2025[[#This Row],[SUPER]],DATA_ENERO_2025[[SUPERVISOR]:[META]],3,0)</f>
        <v>58000</v>
      </c>
      <c r="D5">
        <f>D1_ENERO_2025[[#This Row],[RECUPERO]]/C5</f>
        <v>1.0002586206896551</v>
      </c>
      <c r="E5" t="s">
        <v>5</v>
      </c>
      <c r="F5" t="s">
        <v>67</v>
      </c>
      <c r="G5">
        <v>58015</v>
      </c>
      <c r="H5" t="s">
        <v>381</v>
      </c>
      <c r="I5" s="56">
        <v>44811</v>
      </c>
      <c r="J5" s="56" t="s">
        <v>501</v>
      </c>
      <c r="K5" s="56"/>
      <c r="L5" s="56"/>
    </row>
    <row r="6" spans="1:87" x14ac:dyDescent="0.25">
      <c r="A6" t="str">
        <f>D1_ENERO_2025[[#This Row],[SUPER2]]</f>
        <v>JORDAN</v>
      </c>
      <c r="B6" t="s">
        <v>13</v>
      </c>
      <c r="C6">
        <f>VLOOKUP(D1_ENERO_2025[[#This Row],[SUPER]],DATA_ENERO_2025[[SUPERVISOR]:[META]],3,0)</f>
        <v>58000</v>
      </c>
      <c r="D6">
        <f>D1_ENERO_2025[[#This Row],[RECUPERO]]/C6</f>
        <v>0.85236206896551725</v>
      </c>
      <c r="E6" t="s">
        <v>5</v>
      </c>
      <c r="F6" t="s">
        <v>13</v>
      </c>
      <c r="G6">
        <v>49437</v>
      </c>
      <c r="H6" t="s">
        <v>382</v>
      </c>
      <c r="I6" s="56">
        <v>44811</v>
      </c>
      <c r="J6" s="56" t="s">
        <v>501</v>
      </c>
      <c r="K6" s="56"/>
      <c r="L6" s="56"/>
    </row>
    <row r="7" spans="1:87" x14ac:dyDescent="0.25">
      <c r="A7" t="str">
        <f>D1_ENERO_2025[[#This Row],[SUPER2]]</f>
        <v>JORDAN</v>
      </c>
      <c r="B7" t="s">
        <v>66</v>
      </c>
      <c r="C7">
        <f>VLOOKUP(D1_ENERO_2025[[#This Row],[SUPER]],DATA_ENERO_2025[[SUPERVISOR]:[META]],3,0)</f>
        <v>58000</v>
      </c>
      <c r="D7">
        <f>D1_ENERO_2025[[#This Row],[RECUPERO]]/C7</f>
        <v>0.74841379310344824</v>
      </c>
      <c r="E7" t="s">
        <v>5</v>
      </c>
      <c r="F7" t="s">
        <v>66</v>
      </c>
      <c r="G7">
        <v>43408</v>
      </c>
      <c r="H7" t="s">
        <v>383</v>
      </c>
      <c r="I7" s="56">
        <v>45457</v>
      </c>
      <c r="J7" s="56" t="s">
        <v>501</v>
      </c>
      <c r="K7" s="56"/>
      <c r="L7" s="56"/>
    </row>
    <row r="8" spans="1:87" x14ac:dyDescent="0.25">
      <c r="A8" t="str">
        <f>D1_ENERO_2025[[#This Row],[SUPER2]]</f>
        <v>JORDAN</v>
      </c>
      <c r="B8" t="s">
        <v>116</v>
      </c>
      <c r="C8">
        <f>VLOOKUP(D1_ENERO_2025[[#This Row],[SUPER]],DATA_ENERO_2025[[SUPERVISOR]:[META]],3,0)</f>
        <v>58000</v>
      </c>
      <c r="D8">
        <f>D1_ENERO_2025[[#This Row],[RECUPERO]]/C8</f>
        <v>0.65124137931034487</v>
      </c>
      <c r="E8" t="s">
        <v>5</v>
      </c>
      <c r="F8" t="s">
        <v>116</v>
      </c>
      <c r="G8">
        <v>37772</v>
      </c>
      <c r="H8" t="s">
        <v>384</v>
      </c>
      <c r="I8" s="56">
        <v>45075</v>
      </c>
      <c r="J8" s="56" t="s">
        <v>501</v>
      </c>
      <c r="K8" s="56"/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tr">
        <f>D1_ENERO_2025[[#This Row],[SUPER2]]</f>
        <v>JORDAN</v>
      </c>
      <c r="B9" t="s">
        <v>17</v>
      </c>
      <c r="C9">
        <f>VLOOKUP(D1_ENERO_2025[[#This Row],[SUPER]],DATA_ENERO_2025[[SUPERVISOR]:[META]],3,0)</f>
        <v>58000</v>
      </c>
      <c r="D9">
        <f>D1_ENERO_2025[[#This Row],[RECUPERO]]/C9</f>
        <v>0.71658620689655173</v>
      </c>
      <c r="E9" t="s">
        <v>5</v>
      </c>
      <c r="F9" t="s">
        <v>17</v>
      </c>
      <c r="G9">
        <v>41562</v>
      </c>
      <c r="H9" t="s">
        <v>385</v>
      </c>
      <c r="I9" s="56">
        <v>44888</v>
      </c>
      <c r="J9" s="56" t="s">
        <v>501</v>
      </c>
      <c r="K9" s="56"/>
      <c r="M9" s="1">
        <f>DATA_ENERO_2025[[#This Row],[RECUPERO]]/DATA_ENERO_2025[[#This Row],[META]]</f>
        <v>1.1067878787878789</v>
      </c>
      <c r="N9" t="str" cm="1">
        <f t="array" ref="N9">IF(DATA_ENERO_2025[[#This Row],[ASER_]]="","",IFERROR(_xlfn.IFS(M9&gt;=100%,"&gt;100%",AND(M9&lt;100%,M9&gt;=70%),"&gt;70%",AND(M9&lt;70%,M9&gt;=40%),"&gt;40%",AND(M9&lt;40%,M9&gt;=0%),"&gt;0%"),""))</f>
        <v>&gt;100%</v>
      </c>
      <c r="O9" t="s">
        <v>115</v>
      </c>
      <c r="P9">
        <f>SUM(DATA_ENERO_2025[[#This Row],[1]:[31]])</f>
        <v>18262</v>
      </c>
      <c r="Q9">
        <v>16500</v>
      </c>
      <c r="R9" t="s">
        <v>18</v>
      </c>
      <c r="S9">
        <v>100</v>
      </c>
      <c r="T9">
        <v>1191</v>
      </c>
      <c r="U9">
        <v>350</v>
      </c>
      <c r="V9">
        <v>505</v>
      </c>
      <c r="X9">
        <v>3030</v>
      </c>
      <c r="AB9">
        <v>1200</v>
      </c>
      <c r="AE9">
        <v>2200</v>
      </c>
      <c r="AF9">
        <v>1000</v>
      </c>
      <c r="AG9">
        <v>2000</v>
      </c>
      <c r="AH9">
        <v>245</v>
      </c>
      <c r="AI9">
        <v>420</v>
      </c>
      <c r="AK9">
        <v>365</v>
      </c>
      <c r="AL9">
        <v>614</v>
      </c>
      <c r="AO9">
        <v>496</v>
      </c>
      <c r="AP9">
        <v>260</v>
      </c>
      <c r="AQ9">
        <v>350</v>
      </c>
      <c r="AS9">
        <v>230</v>
      </c>
      <c r="AT9">
        <v>700</v>
      </c>
      <c r="AU9">
        <v>536</v>
      </c>
      <c r="AV9">
        <v>1700</v>
      </c>
      <c r="AW9">
        <v>770</v>
      </c>
      <c r="AX9" t="s">
        <v>151</v>
      </c>
      <c r="AZ9">
        <v>439600</v>
      </c>
      <c r="BA9" s="11">
        <f>MAX(DITE_ENERO_2025[[#This Row],[1]:[31]])</f>
        <v>464826</v>
      </c>
      <c r="BB9" s="17">
        <f>DITE_ENERO_2025[[#This Row],[RECUPERO SUPERVISOR]]/DITE_ENERO_2025[[#This Row],[META SUPER]]</f>
        <v>1.0573839854413103</v>
      </c>
      <c r="BC9" t="s">
        <v>5</v>
      </c>
      <c r="BD9">
        <v>1781</v>
      </c>
      <c r="BE9">
        <v>4781</v>
      </c>
      <c r="BF9">
        <v>29398</v>
      </c>
      <c r="BG9">
        <v>30083</v>
      </c>
      <c r="BH9">
        <v>30783</v>
      </c>
      <c r="BI9">
        <v>36583</v>
      </c>
      <c r="BJ9">
        <v>53583</v>
      </c>
      <c r="BK9">
        <v>80116</v>
      </c>
      <c r="BL9">
        <v>85571</v>
      </c>
      <c r="BM9">
        <v>86571</v>
      </c>
      <c r="BN9">
        <v>87371</v>
      </c>
      <c r="BO9">
        <v>87371</v>
      </c>
      <c r="BP9">
        <v>92071</v>
      </c>
      <c r="BQ9">
        <v>99571</v>
      </c>
      <c r="BR9">
        <v>107821</v>
      </c>
      <c r="BS9">
        <v>134544</v>
      </c>
      <c r="BT9">
        <v>136083</v>
      </c>
      <c r="BU9">
        <v>142083</v>
      </c>
      <c r="BV9">
        <v>142083</v>
      </c>
      <c r="BW9">
        <v>153283</v>
      </c>
      <c r="BX9">
        <v>164520</v>
      </c>
      <c r="BY9">
        <v>177561</v>
      </c>
      <c r="BZ9">
        <v>216050</v>
      </c>
      <c r="CA9">
        <v>257550</v>
      </c>
      <c r="CB9">
        <v>267050</v>
      </c>
      <c r="CC9">
        <v>267050</v>
      </c>
      <c r="CD9">
        <v>280518</v>
      </c>
      <c r="CE9">
        <v>326908</v>
      </c>
      <c r="CF9">
        <v>368681</v>
      </c>
      <c r="CG9">
        <v>396475</v>
      </c>
      <c r="CH9">
        <v>464826</v>
      </c>
      <c r="CI9" s="11" t="s">
        <v>150</v>
      </c>
    </row>
    <row r="10" spans="1:87" x14ac:dyDescent="0.25">
      <c r="A10" t="str">
        <f>D1_ENERO_2025[[#This Row],[SUPER2]]</f>
        <v>JORDAN</v>
      </c>
      <c r="B10" t="s">
        <v>62</v>
      </c>
      <c r="C10">
        <f>VLOOKUP(D1_ENERO_2025[[#This Row],[SUPER]],DATA_ENERO_2025[[SUPERVISOR]:[META]],3,0)</f>
        <v>58000</v>
      </c>
      <c r="D10">
        <f>D1_ENERO_2025[[#This Row],[RECUPERO]]/C10</f>
        <v>1.0109827586206896</v>
      </c>
      <c r="E10" t="s">
        <v>5</v>
      </c>
      <c r="F10" t="s">
        <v>62</v>
      </c>
      <c r="G10">
        <v>58637</v>
      </c>
      <c r="H10" t="s">
        <v>386</v>
      </c>
      <c r="I10" s="56">
        <v>45334</v>
      </c>
      <c r="J10" s="56" t="s">
        <v>501</v>
      </c>
      <c r="K10" s="56"/>
      <c r="M10" s="1">
        <f>DATA_ENERO_2025[[#This Row],[RECUPERO]]/DATA_ENERO_2025[[#This Row],[META]]</f>
        <v>0.47914285714285715</v>
      </c>
      <c r="N10" t="str" cm="1">
        <f t="array" ref="N10">IF(DATA_ENERO_2025[[#This Row],[ASER_]]="","",IFERROR(_xlfn.IFS(M10&gt;=100%,"&gt;100%",AND(M10&lt;100%,M10&gt;=70%),"&gt;70%",AND(M10&lt;70%,M10&gt;=40%),"&gt;40%",AND(M10&lt;40%,M10&gt;=0%),"&gt;0%"),""))</f>
        <v>&gt;40%</v>
      </c>
      <c r="O10" t="s">
        <v>9</v>
      </c>
      <c r="P10">
        <f>SUM(DATA_ENERO_2025[[#This Row],[1]:[31]])</f>
        <v>10062</v>
      </c>
      <c r="Q10">
        <v>21000</v>
      </c>
      <c r="R10" t="s">
        <v>21</v>
      </c>
      <c r="T10">
        <v>300</v>
      </c>
      <c r="U10">
        <v>350</v>
      </c>
      <c r="AE10">
        <v>100</v>
      </c>
      <c r="AF10">
        <v>950</v>
      </c>
      <c r="AG10">
        <v>1710</v>
      </c>
      <c r="AL10">
        <v>1000</v>
      </c>
      <c r="AM10">
        <v>952</v>
      </c>
      <c r="AO10">
        <v>1500</v>
      </c>
      <c r="AP10">
        <v>100</v>
      </c>
      <c r="AQ10">
        <v>200</v>
      </c>
      <c r="AS10">
        <v>300</v>
      </c>
      <c r="AT10">
        <v>1000</v>
      </c>
      <c r="AU10">
        <v>900</v>
      </c>
      <c r="AW10">
        <v>700</v>
      </c>
      <c r="AX10" t="s">
        <v>153</v>
      </c>
      <c r="AZ10">
        <v>174200</v>
      </c>
      <c r="BA10" s="11">
        <f>MAX(DITE_ENERO_2025[[#This Row],[1]:[31]])</f>
        <v>144527.79999999999</v>
      </c>
      <c r="BB10" s="17">
        <f>DITE_ENERO_2025[[#This Row],[RECUPERO SUPERVISOR]]/DITE_ENERO_2025[[#This Row],[META SUPER]]</f>
        <v>0.82966590126291617</v>
      </c>
      <c r="BC10" t="s">
        <v>2</v>
      </c>
      <c r="BD10">
        <v>300</v>
      </c>
      <c r="BE10">
        <v>5680</v>
      </c>
      <c r="BF10">
        <v>7480</v>
      </c>
      <c r="BG10">
        <v>8040</v>
      </c>
      <c r="BH10">
        <v>8040</v>
      </c>
      <c r="BI10">
        <v>12826</v>
      </c>
      <c r="BJ10">
        <v>19106</v>
      </c>
      <c r="BK10">
        <v>23454</v>
      </c>
      <c r="BL10">
        <v>27504</v>
      </c>
      <c r="BM10">
        <v>31484</v>
      </c>
      <c r="BN10">
        <v>35145</v>
      </c>
      <c r="BO10">
        <v>35145</v>
      </c>
      <c r="BP10">
        <v>36260</v>
      </c>
      <c r="BQ10">
        <v>41865</v>
      </c>
      <c r="BR10">
        <v>44861</v>
      </c>
      <c r="BS10">
        <v>50217</v>
      </c>
      <c r="BT10">
        <v>51363</v>
      </c>
      <c r="BU10">
        <v>52179</v>
      </c>
      <c r="BV10">
        <v>52179</v>
      </c>
      <c r="BW10">
        <v>58049</v>
      </c>
      <c r="BX10">
        <v>61829</v>
      </c>
      <c r="BY10">
        <v>63919</v>
      </c>
      <c r="BZ10">
        <v>70638.600000000006</v>
      </c>
      <c r="CA10">
        <v>73672.600000000006</v>
      </c>
      <c r="CB10">
        <v>74172.600000000006</v>
      </c>
      <c r="CC10">
        <v>74172.600000000006</v>
      </c>
      <c r="CD10">
        <v>91248.6</v>
      </c>
      <c r="CE10">
        <v>98201.600000000006</v>
      </c>
      <c r="CF10">
        <v>108481.8</v>
      </c>
      <c r="CG10">
        <v>117896.8</v>
      </c>
      <c r="CH10">
        <v>144527.79999999999</v>
      </c>
      <c r="CI10" s="11" t="s">
        <v>151</v>
      </c>
    </row>
    <row r="11" spans="1:87" x14ac:dyDescent="0.25">
      <c r="A11" t="str">
        <f>D1_ENERO_2025[[#This Row],[SUPER2]]</f>
        <v>JORGE</v>
      </c>
      <c r="B11" t="s">
        <v>41</v>
      </c>
      <c r="C11">
        <f>VLOOKUP(D1_ENERO_2025[[#This Row],[SUPER]],DATA_ENERO_2025[[SUPERVISOR]:[META]],3,0)</f>
        <v>22000</v>
      </c>
      <c r="D11">
        <f>D1_ENERO_2025[[#This Row],[RECUPERO]]/C11</f>
        <v>0.30009090909090907</v>
      </c>
      <c r="E11" t="s">
        <v>2</v>
      </c>
      <c r="F11" t="s">
        <v>41</v>
      </c>
      <c r="G11">
        <v>6602</v>
      </c>
      <c r="H11" t="s">
        <v>387</v>
      </c>
      <c r="I11" s="56">
        <v>45304</v>
      </c>
      <c r="J11" s="56" t="s">
        <v>501</v>
      </c>
      <c r="K11" s="56"/>
      <c r="M11" s="1">
        <f>DATA_ENERO_2025[[#This Row],[RECUPERO]]/DATA_ENERO_2025[[#This Row],[META]]</f>
        <v>0.59640517241379309</v>
      </c>
      <c r="N11" t="str" cm="1">
        <f t="array" ref="N11">IF(DATA_ENERO_2025[[#This Row],[ASER_]]="","",IFERROR(_xlfn.IFS(M11&gt;=100%,"&gt;100%",AND(M11&lt;100%,M11&gt;=70%),"&gt;70%",AND(M11&lt;70%,M11&gt;=40%),"&gt;40%",AND(M11&lt;40%,M11&gt;=0%),"&gt;0%"),""))</f>
        <v>&gt;40%</v>
      </c>
      <c r="O11" t="s">
        <v>3</v>
      </c>
      <c r="P11">
        <f>SUM(DATA_ENERO_2025[[#This Row],[1]:[31]])</f>
        <v>34591.5</v>
      </c>
      <c r="Q11">
        <v>58000</v>
      </c>
      <c r="R11" t="s">
        <v>58</v>
      </c>
      <c r="U11">
        <v>5400</v>
      </c>
      <c r="Z11">
        <v>1500</v>
      </c>
      <c r="AA11">
        <v>700</v>
      </c>
      <c r="AB11">
        <v>600</v>
      </c>
      <c r="AC11">
        <v>2030.5</v>
      </c>
      <c r="AE11">
        <v>1000</v>
      </c>
      <c r="AG11">
        <v>700</v>
      </c>
      <c r="AH11">
        <v>760</v>
      </c>
      <c r="AI11">
        <v>700</v>
      </c>
      <c r="AM11">
        <v>3700</v>
      </c>
      <c r="AN11">
        <v>783</v>
      </c>
      <c r="AO11">
        <v>1650</v>
      </c>
      <c r="AU11">
        <v>6000</v>
      </c>
      <c r="AV11">
        <v>8468</v>
      </c>
      <c r="AW11">
        <v>600</v>
      </c>
      <c r="AX11" t="s">
        <v>150</v>
      </c>
      <c r="AZ11">
        <v>209900</v>
      </c>
      <c r="BA11" s="11">
        <f>MAX(DITE_ENERO_2025[[#This Row],[1]:[31]])</f>
        <v>229439</v>
      </c>
      <c r="BB11" s="17">
        <f>DITE_ENERO_2025[[#This Row],[RECUPERO SUPERVISOR]]/DITE_ENERO_2025[[#This Row],[META SUPER]]</f>
        <v>1.0930871843735113</v>
      </c>
      <c r="BC11" t="s">
        <v>6</v>
      </c>
      <c r="BD11">
        <v>2100</v>
      </c>
      <c r="BE11">
        <v>6800</v>
      </c>
      <c r="BF11">
        <v>15500</v>
      </c>
      <c r="BG11">
        <v>15500</v>
      </c>
      <c r="BH11">
        <v>16000</v>
      </c>
      <c r="BI11">
        <v>22700</v>
      </c>
      <c r="BJ11">
        <v>29132</v>
      </c>
      <c r="BK11">
        <v>45531</v>
      </c>
      <c r="BL11">
        <v>63139</v>
      </c>
      <c r="BM11">
        <v>63889</v>
      </c>
      <c r="BN11">
        <v>64289</v>
      </c>
      <c r="BO11">
        <v>64289</v>
      </c>
      <c r="BP11">
        <v>68836</v>
      </c>
      <c r="BQ11">
        <v>70186</v>
      </c>
      <c r="BR11">
        <v>84611</v>
      </c>
      <c r="BS11">
        <v>91761</v>
      </c>
      <c r="BT11">
        <v>93861</v>
      </c>
      <c r="BU11">
        <v>93861</v>
      </c>
      <c r="BV11">
        <v>93861</v>
      </c>
      <c r="BW11">
        <v>102261</v>
      </c>
      <c r="BX11">
        <v>116461</v>
      </c>
      <c r="BY11">
        <v>145931</v>
      </c>
      <c r="BZ11">
        <v>152181</v>
      </c>
      <c r="CA11">
        <v>152571</v>
      </c>
      <c r="CB11">
        <v>154149</v>
      </c>
      <c r="CC11">
        <v>154149</v>
      </c>
      <c r="CD11">
        <v>171229</v>
      </c>
      <c r="CE11">
        <v>181829</v>
      </c>
      <c r="CF11">
        <v>184179</v>
      </c>
      <c r="CG11">
        <v>204549</v>
      </c>
      <c r="CH11">
        <v>229439</v>
      </c>
      <c r="CI11" s="11" t="s">
        <v>152</v>
      </c>
    </row>
    <row r="12" spans="1:87" x14ac:dyDescent="0.25">
      <c r="A12" t="str">
        <f>D1_ENERO_2025[[#This Row],[SUPER2]]</f>
        <v>JORGE</v>
      </c>
      <c r="B12" t="s">
        <v>16</v>
      </c>
      <c r="C12">
        <f>VLOOKUP(D1_ENERO_2025[[#This Row],[SUPER]],DATA_ENERO_2025[[SUPERVISOR]:[META]],3,0)</f>
        <v>22000</v>
      </c>
      <c r="D12">
        <f>D1_ENERO_2025[[#This Row],[RECUPERO]]/C12</f>
        <v>0.50140909090909092</v>
      </c>
      <c r="E12" t="s">
        <v>2</v>
      </c>
      <c r="F12" t="s">
        <v>16</v>
      </c>
      <c r="G12">
        <v>11031</v>
      </c>
      <c r="H12" t="s">
        <v>388</v>
      </c>
      <c r="I12" s="56">
        <v>45334</v>
      </c>
      <c r="J12" s="56" t="s">
        <v>501</v>
      </c>
      <c r="K12" s="56"/>
      <c r="M12" s="1">
        <f>DATA_ENERO_2025[[#This Row],[RECUPERO]]/DATA_ENERO_2025[[#This Row],[META]]</f>
        <v>0</v>
      </c>
      <c r="N12" t="str" cm="1">
        <f t="array" ref="N12">IF(DATA_ENERO_2025[[#This Row],[ASER_]]="","",IFERROR(_xlfn.IFS(M12&gt;=100%,"&gt;100%",AND(M12&lt;100%,M12&gt;=70%),"&gt;70%",AND(M12&lt;70%,M12&gt;=40%),"&gt;40%",AND(M12&lt;40%,M12&gt;=0%),"&gt;0%"),""))</f>
        <v>&gt;0%</v>
      </c>
      <c r="O12" t="s">
        <v>4</v>
      </c>
      <c r="P12">
        <f>SUM(DATA_ENERO_2025[[#This Row],[1]:[31]])</f>
        <v>0</v>
      </c>
      <c r="Q12">
        <v>58000</v>
      </c>
      <c r="R12" t="s">
        <v>109</v>
      </c>
      <c r="AX12" t="s">
        <v>150</v>
      </c>
      <c r="AZ12">
        <v>200500</v>
      </c>
      <c r="BA12" s="11">
        <f>MAX(DITE_ENERO_2025[[#This Row],[1]:[31]])</f>
        <v>164476.20000000001</v>
      </c>
      <c r="BB12" s="17">
        <f>DITE_ENERO_2025[[#This Row],[RECUPERO SUPERVISOR]]/DITE_ENERO_2025[[#This Row],[META SUPER]]</f>
        <v>0.82033017456359103</v>
      </c>
      <c r="BC12" t="s">
        <v>9</v>
      </c>
      <c r="BD12">
        <v>600</v>
      </c>
      <c r="BE12">
        <v>6146</v>
      </c>
      <c r="BF12">
        <v>8494</v>
      </c>
      <c r="BG12">
        <v>8694</v>
      </c>
      <c r="BH12">
        <v>8694</v>
      </c>
      <c r="BI12">
        <v>11014</v>
      </c>
      <c r="BJ12">
        <v>14771.3</v>
      </c>
      <c r="BK12">
        <v>19616.3</v>
      </c>
      <c r="BL12">
        <v>23446.3</v>
      </c>
      <c r="BM12">
        <v>30442.699999999997</v>
      </c>
      <c r="BN12">
        <v>33642.699999999997</v>
      </c>
      <c r="BO12">
        <v>33642.699999999997</v>
      </c>
      <c r="BP12">
        <v>37017.699999999997</v>
      </c>
      <c r="BQ12">
        <v>49058.7</v>
      </c>
      <c r="BR12">
        <v>53768.7</v>
      </c>
      <c r="BS12">
        <v>57791.7</v>
      </c>
      <c r="BT12">
        <v>63300</v>
      </c>
      <c r="BU12">
        <v>65150</v>
      </c>
      <c r="BV12">
        <v>65150</v>
      </c>
      <c r="BW12">
        <v>77832.3</v>
      </c>
      <c r="BX12">
        <v>82104.3</v>
      </c>
      <c r="BY12">
        <v>94934.3</v>
      </c>
      <c r="BZ12">
        <v>99684.3</v>
      </c>
      <c r="CA12">
        <v>102884.40000000001</v>
      </c>
      <c r="CB12">
        <v>105284.40000000001</v>
      </c>
      <c r="CC12">
        <v>105284.40000000001</v>
      </c>
      <c r="CD12">
        <v>118156.70000000001</v>
      </c>
      <c r="CE12">
        <v>122856.70000000001</v>
      </c>
      <c r="CF12">
        <v>126326.70000000001</v>
      </c>
      <c r="CG12">
        <v>151349.70000000001</v>
      </c>
      <c r="CH12">
        <v>164476.20000000001</v>
      </c>
      <c r="CI12" s="11" t="s">
        <v>153</v>
      </c>
    </row>
    <row r="13" spans="1:87" x14ac:dyDescent="0.25">
      <c r="A13" t="str">
        <f>D1_ENERO_2025[[#This Row],[SUPER2]]</f>
        <v>JORGE</v>
      </c>
      <c r="B13" t="s">
        <v>12</v>
      </c>
      <c r="C13">
        <f>VLOOKUP(D1_ENERO_2025[[#This Row],[SUPER]],DATA_ENERO_2025[[SUPERVISOR]:[META]],3,0)</f>
        <v>22000</v>
      </c>
      <c r="D13">
        <f>D1_ENERO_2025[[#This Row],[RECUPERO]]/C13</f>
        <v>1.0436363636363637</v>
      </c>
      <c r="E13" t="s">
        <v>2</v>
      </c>
      <c r="F13" t="s">
        <v>12</v>
      </c>
      <c r="G13">
        <v>22960</v>
      </c>
      <c r="H13" t="s">
        <v>389</v>
      </c>
      <c r="I13" s="56">
        <v>44870</v>
      </c>
      <c r="J13" s="56" t="s">
        <v>501</v>
      </c>
      <c r="K13" s="56"/>
      <c r="M13" s="1">
        <f>DATA_ENERO_2025[[#This Row],[RECUPERO]]/DATA_ENERO_2025[[#This Row],[META]]</f>
        <v>1.3566206896551725</v>
      </c>
      <c r="N13" t="str" cm="1">
        <f t="array" ref="N13">IF(DATA_ENERO_2025[[#This Row],[ASER_]]="","",IFERROR(_xlfn.IFS(M13&gt;=100%,"&gt;100%",AND(M13&lt;100%,M13&gt;=70%),"&gt;70%",AND(M13&lt;70%,M13&gt;=40%),"&gt;40%",AND(M13&lt;40%,M13&gt;=0%),"&gt;0%"),""))</f>
        <v>&gt;100%</v>
      </c>
      <c r="O13" t="s">
        <v>4</v>
      </c>
      <c r="P13">
        <f>SUM(DATA_ENERO_2025[[#This Row],[1]:[31]])</f>
        <v>78684</v>
      </c>
      <c r="Q13">
        <v>58000</v>
      </c>
      <c r="R13" t="s">
        <v>60</v>
      </c>
      <c r="Y13">
        <v>3806.67</v>
      </c>
      <c r="Z13">
        <v>2990.85</v>
      </c>
      <c r="AA13">
        <v>3500</v>
      </c>
      <c r="AB13">
        <v>19522</v>
      </c>
      <c r="AD13">
        <v>1300</v>
      </c>
      <c r="AE13">
        <v>1464.48</v>
      </c>
      <c r="AH13">
        <v>780</v>
      </c>
      <c r="AJ13">
        <v>7000</v>
      </c>
      <c r="AO13">
        <v>12000</v>
      </c>
      <c r="AP13">
        <v>1965</v>
      </c>
      <c r="AQ13">
        <v>780</v>
      </c>
      <c r="AS13">
        <v>800</v>
      </c>
      <c r="AU13">
        <v>3000</v>
      </c>
      <c r="AV13">
        <v>10000</v>
      </c>
      <c r="AW13">
        <v>9775</v>
      </c>
      <c r="AX13" t="s">
        <v>150</v>
      </c>
      <c r="AZ13">
        <v>439600</v>
      </c>
      <c r="BA13" s="11">
        <f>MAX(DITE_ENERO_2025[[#This Row],[1]:[31]])</f>
        <v>442529.22</v>
      </c>
      <c r="BB13" s="17">
        <f>DITE_ENERO_2025[[#This Row],[RECUPERO SUPERVISOR]]/DITE_ENERO_2025[[#This Row],[META SUPER]]</f>
        <v>1.0066633757961783</v>
      </c>
      <c r="BC13" t="s">
        <v>4</v>
      </c>
      <c r="BD13">
        <v>0</v>
      </c>
      <c r="BE13">
        <v>8322.75</v>
      </c>
      <c r="BF13">
        <v>24852.75</v>
      </c>
      <c r="BG13">
        <v>28917.75</v>
      </c>
      <c r="BH13">
        <v>28917.75</v>
      </c>
      <c r="BI13">
        <v>33471.75</v>
      </c>
      <c r="BJ13">
        <v>44578.520000000004</v>
      </c>
      <c r="BK13">
        <v>52192.37</v>
      </c>
      <c r="BL13">
        <v>57042.37</v>
      </c>
      <c r="BM13">
        <v>96153.37</v>
      </c>
      <c r="BN13">
        <v>97308.37</v>
      </c>
      <c r="BO13">
        <v>98608.37</v>
      </c>
      <c r="BP13">
        <v>114756.84999999999</v>
      </c>
      <c r="BQ13">
        <v>149615.94999999998</v>
      </c>
      <c r="BR13">
        <v>171579.38999999998</v>
      </c>
      <c r="BS13">
        <v>178533.38999999998</v>
      </c>
      <c r="BT13">
        <v>192833.38999999998</v>
      </c>
      <c r="BU13">
        <v>200483.38999999998</v>
      </c>
      <c r="BV13">
        <v>200483.38999999998</v>
      </c>
      <c r="BW13">
        <v>218395.43999999997</v>
      </c>
      <c r="BX13">
        <v>247447.43999999997</v>
      </c>
      <c r="BY13">
        <v>255347.43999999997</v>
      </c>
      <c r="BZ13">
        <v>283347.43999999994</v>
      </c>
      <c r="CA13">
        <v>311702.43999999994</v>
      </c>
      <c r="CB13">
        <v>315082.43999999994</v>
      </c>
      <c r="CC13">
        <v>315082.43999999994</v>
      </c>
      <c r="CD13">
        <v>333927.51999999996</v>
      </c>
      <c r="CE13">
        <v>339992.51999999996</v>
      </c>
      <c r="CF13">
        <v>354177.51999999996</v>
      </c>
      <c r="CG13">
        <v>388034.22</v>
      </c>
      <c r="CH13">
        <v>442529.22</v>
      </c>
      <c r="CI13" s="11" t="s">
        <v>150</v>
      </c>
    </row>
    <row r="14" spans="1:87" x14ac:dyDescent="0.25">
      <c r="A14" t="str">
        <f>D1_ENERO_2025[[#This Row],[SUPER2]]</f>
        <v>JORGE</v>
      </c>
      <c r="B14" t="s">
        <v>32</v>
      </c>
      <c r="C14">
        <f>VLOOKUP(D1_ENERO_2025[[#This Row],[SUPER]],DATA_ENERO_2025[[SUPERVISOR]:[META]],3,0)</f>
        <v>22000</v>
      </c>
      <c r="D14">
        <f>D1_ENERO_2025[[#This Row],[RECUPERO]]/C14</f>
        <v>0.54387272727272729</v>
      </c>
      <c r="E14" t="s">
        <v>2</v>
      </c>
      <c r="F14" t="s">
        <v>32</v>
      </c>
      <c r="G14">
        <v>11965.2</v>
      </c>
      <c r="H14" t="s">
        <v>390</v>
      </c>
      <c r="I14" s="56">
        <v>45530</v>
      </c>
      <c r="J14" s="56" t="s">
        <v>501</v>
      </c>
      <c r="K14" s="56"/>
      <c r="M14" s="1">
        <f>DATA_ENERO_2025[[#This Row],[RECUPERO]]/DATA_ENERO_2025[[#This Row],[META]]</f>
        <v>0.61953809523809522</v>
      </c>
      <c r="N14" t="str" cm="1">
        <f t="array" ref="N14">IF(DATA_ENERO_2025[[#This Row],[ASER_]]="","",IFERROR(_xlfn.IFS(M14&gt;=100%,"&gt;100%",AND(M14&lt;100%,M14&gt;=70%),"&gt;70%",AND(M14&lt;70%,M14&gt;=40%),"&gt;40%",AND(M14&lt;40%,M14&gt;=0%),"&gt;0%"),""))</f>
        <v>&gt;40%</v>
      </c>
      <c r="O14" t="s">
        <v>9</v>
      </c>
      <c r="P14">
        <f>SUM(DATA_ENERO_2025[[#This Row],[1]:[31]])</f>
        <v>13010.3</v>
      </c>
      <c r="Q14">
        <v>21000</v>
      </c>
      <c r="R14" t="s">
        <v>15</v>
      </c>
      <c r="S14">
        <v>250</v>
      </c>
      <c r="T14">
        <v>321</v>
      </c>
      <c r="U14">
        <v>368</v>
      </c>
      <c r="X14">
        <v>200</v>
      </c>
      <c r="Y14">
        <v>1800</v>
      </c>
      <c r="AE14">
        <v>650</v>
      </c>
      <c r="AF14">
        <v>857</v>
      </c>
      <c r="AM14">
        <v>520</v>
      </c>
      <c r="AN14">
        <v>2000</v>
      </c>
      <c r="AS14">
        <v>2810.3</v>
      </c>
      <c r="AT14">
        <v>300</v>
      </c>
      <c r="AV14">
        <v>863</v>
      </c>
      <c r="AW14">
        <v>2071</v>
      </c>
      <c r="AX14" t="s">
        <v>153</v>
      </c>
      <c r="AZ14">
        <v>108600</v>
      </c>
      <c r="BA14" s="11">
        <f>MAX(DITE_ENERO_2025[[#This Row],[1]:[31]])</f>
        <v>140979.4</v>
      </c>
      <c r="BB14" s="17">
        <f>DITE_ENERO_2025[[#This Row],[RECUPERO SUPERVISOR]]/DITE_ENERO_2025[[#This Row],[META SUPER]]</f>
        <v>1.2981528545119705</v>
      </c>
      <c r="BC14" t="s">
        <v>115</v>
      </c>
      <c r="BD14">
        <v>100</v>
      </c>
      <c r="BE14">
        <v>2201</v>
      </c>
      <c r="BF14">
        <v>6628</v>
      </c>
      <c r="BG14">
        <v>7569</v>
      </c>
      <c r="BH14">
        <v>7569</v>
      </c>
      <c r="BI14">
        <v>12161</v>
      </c>
      <c r="BJ14">
        <v>13621</v>
      </c>
      <c r="BK14">
        <v>15731</v>
      </c>
      <c r="BL14">
        <v>23091</v>
      </c>
      <c r="BM14">
        <v>27223</v>
      </c>
      <c r="BN14">
        <v>27273</v>
      </c>
      <c r="BO14">
        <v>27273</v>
      </c>
      <c r="BP14">
        <v>32255.4</v>
      </c>
      <c r="BQ14">
        <v>38404.400000000001</v>
      </c>
      <c r="BR14">
        <v>45890.400000000001</v>
      </c>
      <c r="BS14">
        <v>53472.9</v>
      </c>
      <c r="BT14">
        <v>57702.9</v>
      </c>
      <c r="BU14">
        <v>58611.9</v>
      </c>
      <c r="BV14">
        <v>58976.9</v>
      </c>
      <c r="BW14">
        <v>66460.899999999994</v>
      </c>
      <c r="BX14">
        <v>75901.899999999994</v>
      </c>
      <c r="BY14">
        <v>78769.899999999994</v>
      </c>
      <c r="BZ14">
        <v>88098.9</v>
      </c>
      <c r="CA14">
        <v>95370.9</v>
      </c>
      <c r="CB14">
        <v>97670.9</v>
      </c>
      <c r="CC14">
        <v>97670.9</v>
      </c>
      <c r="CD14">
        <v>104372.9</v>
      </c>
      <c r="CE14">
        <v>114683.9</v>
      </c>
      <c r="CF14">
        <v>118703.9</v>
      </c>
      <c r="CG14">
        <v>130576.9</v>
      </c>
      <c r="CH14">
        <v>140979.4</v>
      </c>
      <c r="CI14" s="11" t="s">
        <v>151</v>
      </c>
    </row>
    <row r="15" spans="1:87" x14ac:dyDescent="0.25">
      <c r="A15" t="str">
        <f>D1_ENERO_2025[[#This Row],[SUPER2]]</f>
        <v>JORGE</v>
      </c>
      <c r="B15" t="s">
        <v>26</v>
      </c>
      <c r="C15">
        <f>VLOOKUP(D1_ENERO_2025[[#This Row],[SUPER]],DATA_ENERO_2025[[SUPERVISOR]:[META]],3,0)</f>
        <v>22000</v>
      </c>
      <c r="D15">
        <f>D1_ENERO_2025[[#This Row],[RECUPERO]]/C15</f>
        <v>1.1077272727272727</v>
      </c>
      <c r="E15" t="s">
        <v>2</v>
      </c>
      <c r="F15" t="s">
        <v>26</v>
      </c>
      <c r="G15">
        <v>24370</v>
      </c>
      <c r="H15" t="s">
        <v>391</v>
      </c>
      <c r="I15" s="56">
        <v>44259</v>
      </c>
      <c r="J15" s="56" t="s">
        <v>501</v>
      </c>
      <c r="K15" s="56"/>
      <c r="M15" s="1">
        <f>DATA_ENERO_2025[[#This Row],[RECUPERO]]/DATA_ENERO_2025[[#This Row],[META]]</f>
        <v>0.85467241379310344</v>
      </c>
      <c r="N15" t="str" cm="1">
        <f t="array" ref="N15">IF(DATA_ENERO_2025[[#This Row],[ASER_]]="","",IFERROR(_xlfn.IFS(M15&gt;=100%,"&gt;100%",AND(M15&lt;100%,M15&gt;=70%),"&gt;70%",AND(M15&lt;70%,M15&gt;=40%),"&gt;40%",AND(M15&lt;40%,M15&gt;=0%),"&gt;0%"),""))</f>
        <v>&gt;70%</v>
      </c>
      <c r="O15" t="s">
        <v>5</v>
      </c>
      <c r="P15">
        <f>SUM(DATA_ENERO_2025[[#This Row],[1]:[31]])</f>
        <v>49571</v>
      </c>
      <c r="Q15">
        <v>58000</v>
      </c>
      <c r="R15" t="s">
        <v>69</v>
      </c>
      <c r="T15">
        <v>2700</v>
      </c>
      <c r="U15">
        <v>7201</v>
      </c>
      <c r="AA15">
        <v>1813</v>
      </c>
      <c r="AF15">
        <v>1800</v>
      </c>
      <c r="AG15">
        <v>200</v>
      </c>
      <c r="AH15">
        <v>1075</v>
      </c>
      <c r="AM15">
        <v>970</v>
      </c>
      <c r="AN15">
        <v>1015</v>
      </c>
      <c r="AO15">
        <v>6150</v>
      </c>
      <c r="AP15">
        <v>1700</v>
      </c>
      <c r="AS15">
        <v>1968</v>
      </c>
      <c r="AT15">
        <v>16000</v>
      </c>
      <c r="AU15">
        <v>820</v>
      </c>
      <c r="AV15">
        <v>2350</v>
      </c>
      <c r="AW15">
        <v>3809</v>
      </c>
      <c r="AX15" t="s">
        <v>150</v>
      </c>
      <c r="AZ15">
        <v>439600</v>
      </c>
      <c r="BA15" s="11">
        <f>MAX(DITE_ENERO_2025[[#This Row],[1]:[31]])</f>
        <v>333735.09999999998</v>
      </c>
      <c r="BB15" s="17">
        <f>DITE_ENERO_2025[[#This Row],[RECUPERO SUPERVISOR]]/DITE_ENERO_2025[[#This Row],[META SUPER]]</f>
        <v>0.75917902638762502</v>
      </c>
      <c r="BC15" t="s">
        <v>3</v>
      </c>
      <c r="BD15">
        <v>1200</v>
      </c>
      <c r="BE15">
        <v>19610</v>
      </c>
      <c r="BF15">
        <v>40391</v>
      </c>
      <c r="BG15">
        <v>42679</v>
      </c>
      <c r="BH15">
        <v>42679</v>
      </c>
      <c r="BI15">
        <v>47751</v>
      </c>
      <c r="BJ15">
        <v>55884</v>
      </c>
      <c r="BK15">
        <v>69284.7</v>
      </c>
      <c r="BL15">
        <v>103674.7</v>
      </c>
      <c r="BM15">
        <v>110459.7</v>
      </c>
      <c r="BN15">
        <v>112490.2</v>
      </c>
      <c r="BO15">
        <v>112490.2</v>
      </c>
      <c r="BP15">
        <v>119170.2</v>
      </c>
      <c r="BQ15">
        <v>126855.2</v>
      </c>
      <c r="BR15">
        <v>148972.20000000001</v>
      </c>
      <c r="BS15">
        <v>154665.20000000001</v>
      </c>
      <c r="BT15">
        <v>156289.20000000001</v>
      </c>
      <c r="BU15">
        <v>156439.20000000001</v>
      </c>
      <c r="BV15">
        <v>156439.20000000001</v>
      </c>
      <c r="BW15">
        <v>172169.2</v>
      </c>
      <c r="BX15">
        <v>190876.2</v>
      </c>
      <c r="BY15">
        <v>196901.2</v>
      </c>
      <c r="BZ15">
        <v>208749.2</v>
      </c>
      <c r="CA15">
        <v>224117.2</v>
      </c>
      <c r="CB15">
        <v>235037.1</v>
      </c>
      <c r="CC15">
        <v>235337.1</v>
      </c>
      <c r="CD15">
        <v>248712.1</v>
      </c>
      <c r="CE15">
        <v>257811.1</v>
      </c>
      <c r="CF15">
        <v>265171.09999999998</v>
      </c>
      <c r="CG15">
        <v>301138.09999999998</v>
      </c>
      <c r="CH15">
        <v>333735.09999999998</v>
      </c>
      <c r="CI15" s="11" t="s">
        <v>150</v>
      </c>
    </row>
    <row r="16" spans="1:87" x14ac:dyDescent="0.25">
      <c r="A16" t="str">
        <f>D1_ENERO_2025[[#This Row],[SUPER2]]</f>
        <v>JORGE</v>
      </c>
      <c r="B16" t="s">
        <v>106</v>
      </c>
      <c r="C16">
        <f>VLOOKUP(D1_ENERO_2025[[#This Row],[SUPER]],DATA_ENERO_2025[[SUPERVISOR]:[META]],3,0)</f>
        <v>22000</v>
      </c>
      <c r="D16">
        <f>D1_ENERO_2025[[#This Row],[RECUPERO]]/C16</f>
        <v>0.65109090909090905</v>
      </c>
      <c r="E16" t="s">
        <v>2</v>
      </c>
      <c r="F16" t="s">
        <v>106</v>
      </c>
      <c r="G16">
        <v>14324</v>
      </c>
      <c r="H16" t="s">
        <v>392</v>
      </c>
      <c r="I16" s="56">
        <v>44748</v>
      </c>
      <c r="J16" s="56" t="s">
        <v>501</v>
      </c>
      <c r="K16" s="56"/>
      <c r="M16" s="1">
        <f>DATA_ENERO_2025[[#This Row],[RECUPERO]]/DATA_ENERO_2025[[#This Row],[META]]</f>
        <v>1.8767758620689656</v>
      </c>
      <c r="N16" t="str" cm="1">
        <f t="array" ref="N16">IF(DATA_ENERO_2025[[#This Row],[ASER_]]="","",IFERROR(_xlfn.IFS(M16&gt;=100%,"&gt;100%",AND(M16&lt;100%,M16&gt;=70%),"&gt;70%",AND(M16&lt;70%,M16&gt;=40%),"&gt;40%",AND(M16&lt;40%,M16&gt;=0%),"&gt;0%"),""))</f>
        <v>&gt;100%</v>
      </c>
      <c r="O16" t="s">
        <v>5</v>
      </c>
      <c r="P16">
        <f>SUM(DATA_ENERO_2025[[#This Row],[1]:[31]])</f>
        <v>108853</v>
      </c>
      <c r="Q16">
        <v>58000</v>
      </c>
      <c r="R16" t="s">
        <v>85</v>
      </c>
      <c r="U16">
        <v>982</v>
      </c>
      <c r="V16">
        <v>685</v>
      </c>
      <c r="X16">
        <v>5200</v>
      </c>
      <c r="Z16">
        <v>19683</v>
      </c>
      <c r="AA16">
        <v>1000</v>
      </c>
      <c r="AC16">
        <v>800</v>
      </c>
      <c r="AE16">
        <v>4580</v>
      </c>
      <c r="AF16">
        <v>700</v>
      </c>
      <c r="AG16">
        <v>6000</v>
      </c>
      <c r="AH16">
        <v>8648</v>
      </c>
      <c r="AI16">
        <v>279</v>
      </c>
      <c r="AN16">
        <v>4000</v>
      </c>
      <c r="AO16">
        <v>13074</v>
      </c>
      <c r="AQ16">
        <v>5000</v>
      </c>
      <c r="AS16">
        <v>2000</v>
      </c>
      <c r="AT16">
        <v>2930</v>
      </c>
      <c r="AV16">
        <v>3051</v>
      </c>
      <c r="AW16">
        <v>30241</v>
      </c>
      <c r="AX16" t="s">
        <v>150</v>
      </c>
    </row>
    <row r="17" spans="1:50" x14ac:dyDescent="0.25">
      <c r="A17" t="str">
        <f>D1_ENERO_2025[[#This Row],[SUPER2]]</f>
        <v>JORGE</v>
      </c>
      <c r="B17" t="s">
        <v>77</v>
      </c>
      <c r="C17">
        <f>VLOOKUP(D1_ENERO_2025[[#This Row],[SUPER]],DATA_ENERO_2025[[SUPERVISOR]:[META]],3,0)</f>
        <v>22000</v>
      </c>
      <c r="D17">
        <f>D1_ENERO_2025[[#This Row],[RECUPERO]]/C17</f>
        <v>0.57263636363636361</v>
      </c>
      <c r="E17" t="s">
        <v>2</v>
      </c>
      <c r="F17" t="s">
        <v>77</v>
      </c>
      <c r="G17">
        <v>12598</v>
      </c>
      <c r="H17" t="s">
        <v>393</v>
      </c>
      <c r="I17" s="56">
        <v>44840</v>
      </c>
      <c r="J17" s="56" t="s">
        <v>501</v>
      </c>
      <c r="K17" s="56"/>
      <c r="M17" s="1">
        <f>DATA_ENERO_2025[[#This Row],[RECUPERO]]/DATA_ENERO_2025[[#This Row],[META]]</f>
        <v>1.0002586206896551</v>
      </c>
      <c r="N17" t="str" cm="1">
        <f t="array" ref="N17">IF(DATA_ENERO_2025[[#This Row],[ASER_]]="","",IFERROR(_xlfn.IFS(M17&gt;=100%,"&gt;100%",AND(M17&lt;100%,M17&gt;=70%),"&gt;70%",AND(M17&lt;70%,M17&gt;=40%),"&gt;40%",AND(M17&lt;40%,M17&gt;=0%),"&gt;0%"),""))</f>
        <v>&gt;100%</v>
      </c>
      <c r="O17" t="s">
        <v>5</v>
      </c>
      <c r="P17">
        <f>SUM(DATA_ENERO_2025[[#This Row],[1]:[31]])</f>
        <v>58015</v>
      </c>
      <c r="Q17">
        <v>58000</v>
      </c>
      <c r="R17" t="s">
        <v>67</v>
      </c>
      <c r="U17">
        <v>8500</v>
      </c>
      <c r="Y17">
        <v>7200</v>
      </c>
      <c r="Z17">
        <v>5000</v>
      </c>
      <c r="AA17">
        <v>460</v>
      </c>
      <c r="AH17">
        <v>15500</v>
      </c>
      <c r="AL17">
        <v>1700</v>
      </c>
      <c r="AM17">
        <v>7299</v>
      </c>
      <c r="AN17">
        <v>715</v>
      </c>
      <c r="AS17">
        <v>3000</v>
      </c>
      <c r="AV17">
        <v>2000</v>
      </c>
      <c r="AW17">
        <v>6641</v>
      </c>
      <c r="AX17" t="s">
        <v>150</v>
      </c>
    </row>
    <row r="18" spans="1:50" x14ac:dyDescent="0.25">
      <c r="A18" t="str">
        <f>D1_ENERO_2025[[#This Row],[SUPER2]]</f>
        <v>JORGE</v>
      </c>
      <c r="B18" t="s">
        <v>46</v>
      </c>
      <c r="C18">
        <f>VLOOKUP(D1_ENERO_2025[[#This Row],[SUPER]],DATA_ENERO_2025[[SUPERVISOR]:[META]],3,0)</f>
        <v>22000</v>
      </c>
      <c r="D18">
        <f>D1_ENERO_2025[[#This Row],[RECUPERO]]/C18</f>
        <v>0.38954545454545453</v>
      </c>
      <c r="E18" t="s">
        <v>2</v>
      </c>
      <c r="F18" t="s">
        <v>46</v>
      </c>
      <c r="G18">
        <v>8570</v>
      </c>
      <c r="H18" t="s">
        <v>394</v>
      </c>
      <c r="I18" s="56">
        <v>45344</v>
      </c>
      <c r="J18" s="56" t="s">
        <v>501</v>
      </c>
      <c r="K18" s="56"/>
      <c r="M18" s="1">
        <f>DATA_ENERO_2025[[#This Row],[RECUPERO]]/DATA_ENERO_2025[[#This Row],[META]]</f>
        <v>1.1386666666666667</v>
      </c>
      <c r="N18" t="str" cm="1">
        <f t="array" ref="N18">IF(DATA_ENERO_2025[[#This Row],[ASER_]]="","",IFERROR(_xlfn.IFS(M18&gt;=100%,"&gt;100%",AND(M18&lt;100%,M18&gt;=70%),"&gt;70%",AND(M18&lt;70%,M18&gt;=40%),"&gt;40%",AND(M18&lt;40%,M18&gt;=0%),"&gt;0%"),""))</f>
        <v>&gt;100%</v>
      </c>
      <c r="O18" t="s">
        <v>115</v>
      </c>
      <c r="P18">
        <f>SUM(DATA_ENERO_2025[[#This Row],[1]:[31]])</f>
        <v>18788</v>
      </c>
      <c r="Q18">
        <v>16500</v>
      </c>
      <c r="R18" t="s">
        <v>14</v>
      </c>
      <c r="T18">
        <v>170</v>
      </c>
      <c r="U18">
        <v>1300</v>
      </c>
      <c r="V18">
        <v>250</v>
      </c>
      <c r="X18">
        <v>262</v>
      </c>
      <c r="Y18">
        <v>350</v>
      </c>
      <c r="AA18">
        <v>1860</v>
      </c>
      <c r="AB18">
        <v>220</v>
      </c>
      <c r="AC18">
        <v>50</v>
      </c>
      <c r="AE18">
        <v>300</v>
      </c>
      <c r="AF18">
        <v>350</v>
      </c>
      <c r="AG18">
        <v>509</v>
      </c>
      <c r="AH18">
        <v>817</v>
      </c>
      <c r="AI18">
        <v>1150</v>
      </c>
      <c r="AL18">
        <v>366</v>
      </c>
      <c r="AM18">
        <v>537</v>
      </c>
      <c r="AN18">
        <v>300</v>
      </c>
      <c r="AO18">
        <v>640</v>
      </c>
      <c r="AS18">
        <v>1072</v>
      </c>
      <c r="AT18">
        <v>1160</v>
      </c>
      <c r="AV18">
        <v>6162</v>
      </c>
      <c r="AW18">
        <v>963</v>
      </c>
      <c r="AX18" t="s">
        <v>151</v>
      </c>
    </row>
    <row r="19" spans="1:50" x14ac:dyDescent="0.25">
      <c r="A19" t="str">
        <f>D1_ENERO_2025[[#This Row],[SUPER2]]</f>
        <v>JORGE</v>
      </c>
      <c r="B19" t="s">
        <v>74</v>
      </c>
      <c r="C19">
        <f>VLOOKUP(D1_ENERO_2025[[#This Row],[SUPER]],DATA_ENERO_2025[[SUPERVISOR]:[META]],3,0)</f>
        <v>22000</v>
      </c>
      <c r="D19">
        <f>D1_ENERO_2025[[#This Row],[RECUPERO]]/C19</f>
        <v>0.35457272727272726</v>
      </c>
      <c r="E19" t="s">
        <v>2</v>
      </c>
      <c r="F19" t="s">
        <v>74</v>
      </c>
      <c r="G19">
        <v>7800.6</v>
      </c>
      <c r="H19" t="s">
        <v>395</v>
      </c>
      <c r="I19" s="56">
        <v>44470</v>
      </c>
      <c r="J19" s="56" t="s">
        <v>501</v>
      </c>
      <c r="K19" s="56"/>
      <c r="M19" s="1">
        <f>DATA_ENERO_2025[[#This Row],[RECUPERO]]/DATA_ENERO_2025[[#This Row],[META]]</f>
        <v>1.611904761904762</v>
      </c>
      <c r="N19" t="str" cm="1">
        <f t="array" ref="N19">IF(DATA_ENERO_2025[[#This Row],[ASER_]]="","",IFERROR(_xlfn.IFS(M19&gt;=100%,"&gt;100%",AND(M19&lt;100%,M19&gt;=70%),"&gt;70%",AND(M19&lt;70%,M19&gt;=40%),"&gt;40%",AND(M19&lt;40%,M19&gt;=0%),"&gt;0%"),""))</f>
        <v>&gt;100%</v>
      </c>
      <c r="O19" t="s">
        <v>6</v>
      </c>
      <c r="P19">
        <f>SUM(DATA_ENERO_2025[[#This Row],[1]:[31]])</f>
        <v>33850</v>
      </c>
      <c r="Q19">
        <v>21000</v>
      </c>
      <c r="R19" t="s">
        <v>118</v>
      </c>
      <c r="U19">
        <v>3000</v>
      </c>
      <c r="W19">
        <v>500</v>
      </c>
      <c r="Y19">
        <v>500</v>
      </c>
      <c r="AE19">
        <v>1400</v>
      </c>
      <c r="AF19">
        <v>200</v>
      </c>
      <c r="AH19">
        <v>250</v>
      </c>
      <c r="AI19">
        <v>500</v>
      </c>
      <c r="AM19">
        <v>6500</v>
      </c>
      <c r="AN19">
        <v>4500</v>
      </c>
      <c r="AS19">
        <v>4300</v>
      </c>
      <c r="AV19">
        <v>6500</v>
      </c>
      <c r="AW19">
        <v>5700</v>
      </c>
      <c r="AX19" t="s">
        <v>152</v>
      </c>
    </row>
    <row r="20" spans="1:50" x14ac:dyDescent="0.25">
      <c r="A20" t="str">
        <f>D1_ENERO_2025[[#This Row],[SUPER2]]</f>
        <v>JORGE</v>
      </c>
      <c r="B20" t="s">
        <v>117</v>
      </c>
      <c r="C20">
        <f>VLOOKUP(D1_ENERO_2025[[#This Row],[SUPER]],DATA_ENERO_2025[[SUPERVISOR]:[META]],3,0)</f>
        <v>22000</v>
      </c>
      <c r="D20">
        <f>D1_ENERO_2025[[#This Row],[RECUPERO]]/C20</f>
        <v>0.13309090909090909</v>
      </c>
      <c r="E20" t="s">
        <v>2</v>
      </c>
      <c r="F20" t="s">
        <v>117</v>
      </c>
      <c r="G20">
        <v>2928</v>
      </c>
      <c r="H20" t="s">
        <v>396</v>
      </c>
      <c r="I20" s="56">
        <v>45668</v>
      </c>
      <c r="J20" s="56" t="s">
        <v>501</v>
      </c>
      <c r="K20" s="56"/>
      <c r="M20" s="1">
        <f>DATA_ENERO_2025[[#This Row],[RECUPERO]]/DATA_ENERO_2025[[#This Row],[META]]</f>
        <v>0.65238095238095239</v>
      </c>
      <c r="N20" t="str" cm="1">
        <f t="array" ref="N20">IF(DATA_ENERO_2025[[#This Row],[ASER_]]="","",IFERROR(_xlfn.IFS(M20&gt;=100%,"&gt;100%",AND(M20&lt;100%,M20&gt;=70%),"&gt;70%",AND(M20&lt;70%,M20&gt;=40%),"&gt;40%",AND(M20&lt;40%,M20&gt;=0%),"&gt;0%"),""))</f>
        <v>&gt;40%</v>
      </c>
      <c r="O20" t="s">
        <v>6</v>
      </c>
      <c r="P20">
        <f>SUM(DATA_ENERO_2025[[#This Row],[1]:[31]])</f>
        <v>13700</v>
      </c>
      <c r="Q20">
        <v>21000</v>
      </c>
      <c r="R20" t="s">
        <v>19</v>
      </c>
      <c r="X20">
        <v>2000</v>
      </c>
      <c r="Z20">
        <v>500</v>
      </c>
      <c r="AC20">
        <v>100</v>
      </c>
      <c r="AF20">
        <v>250</v>
      </c>
      <c r="AG20">
        <v>350</v>
      </c>
      <c r="AM20">
        <v>3500</v>
      </c>
      <c r="AV20">
        <v>7000</v>
      </c>
      <c r="AX20" t="s">
        <v>152</v>
      </c>
    </row>
    <row r="21" spans="1:50" x14ac:dyDescent="0.25">
      <c r="A21" t="str">
        <f>D1_ENERO_2025[[#This Row],[SUPER2]]</f>
        <v>JORGE</v>
      </c>
      <c r="B21" t="s">
        <v>78</v>
      </c>
      <c r="C21">
        <f>VLOOKUP(D1_ENERO_2025[[#This Row],[SUPER]],DATA_ENERO_2025[[SUPERVISOR]:[META]],3,0)</f>
        <v>22000</v>
      </c>
      <c r="D21">
        <f>D1_ENERO_2025[[#This Row],[RECUPERO]]/C21</f>
        <v>0.36845454545454548</v>
      </c>
      <c r="E21" t="s">
        <v>2</v>
      </c>
      <c r="F21" t="s">
        <v>78</v>
      </c>
      <c r="G21">
        <v>8106</v>
      </c>
      <c r="H21" t="s">
        <v>397</v>
      </c>
      <c r="I21" s="56">
        <v>44945</v>
      </c>
      <c r="J21" s="56" t="s">
        <v>501</v>
      </c>
      <c r="K21" s="56"/>
      <c r="M21" s="1">
        <f>DATA_ENERO_2025[[#This Row],[RECUPERO]]/DATA_ENERO_2025[[#This Row],[META]]</f>
        <v>0.30009090909090907</v>
      </c>
      <c r="N21" t="str" cm="1">
        <f t="array" ref="N21">IF(DATA_ENERO_2025[[#This Row],[ASER_]]="","",IFERROR(_xlfn.IFS(M21&gt;=100%,"&gt;100%",AND(M21&lt;100%,M21&gt;=70%),"&gt;70%",AND(M21&lt;70%,M21&gt;=40%),"&gt;40%",AND(M21&lt;40%,M21&gt;=0%),"&gt;0%"),""))</f>
        <v>&gt;0%</v>
      </c>
      <c r="O21" t="s">
        <v>2</v>
      </c>
      <c r="P21">
        <f>SUM(DATA_ENERO_2025[[#This Row],[1]:[31]])</f>
        <v>6602</v>
      </c>
      <c r="Q21">
        <v>22000</v>
      </c>
      <c r="R21" t="s">
        <v>41</v>
      </c>
      <c r="AA21">
        <v>1000</v>
      </c>
      <c r="AF21">
        <v>1200</v>
      </c>
      <c r="AG21">
        <v>200</v>
      </c>
      <c r="AJ21">
        <v>150</v>
      </c>
      <c r="AL21">
        <v>950</v>
      </c>
      <c r="AM21">
        <v>1800</v>
      </c>
      <c r="AS21">
        <v>400</v>
      </c>
      <c r="AT21">
        <v>450</v>
      </c>
      <c r="AW21">
        <v>452</v>
      </c>
      <c r="AX21" t="s">
        <v>151</v>
      </c>
    </row>
    <row r="22" spans="1:50" x14ac:dyDescent="0.25">
      <c r="A22" t="str">
        <f>D1_ENERO_2025[[#This Row],[SUPER2]]</f>
        <v>KENNETH</v>
      </c>
      <c r="B22" t="s">
        <v>118</v>
      </c>
      <c r="C22">
        <f>VLOOKUP(D1_ENERO_2025[[#This Row],[SUPER]],DATA_ENERO_2025[[SUPERVISOR]:[META]],3,0)</f>
        <v>21000</v>
      </c>
      <c r="D22">
        <f>D1_ENERO_2025[[#This Row],[RECUPERO]]/C22</f>
        <v>1.611904761904762</v>
      </c>
      <c r="E22" t="s">
        <v>6</v>
      </c>
      <c r="F22" t="s">
        <v>118</v>
      </c>
      <c r="G22">
        <v>33850</v>
      </c>
      <c r="H22" t="s">
        <v>398</v>
      </c>
      <c r="I22" s="56">
        <v>44357</v>
      </c>
      <c r="J22" s="56" t="s">
        <v>501</v>
      </c>
      <c r="K22" s="56"/>
      <c r="L22" s="56"/>
      <c r="M22" s="1">
        <f>DATA_ENERO_2025[[#This Row],[RECUPERO]]/DATA_ENERO_2025[[#This Row],[META]]</f>
        <v>0</v>
      </c>
      <c r="N22" t="str" cm="1">
        <f t="array" ref="N22">IF(DATA_ENERO_2025[[#This Row],[ASER_]]="","",IFERROR(_xlfn.IFS(M22&gt;=100%,"&gt;100%",AND(M22&lt;100%,M22&gt;=70%),"&gt;70%",AND(M22&lt;70%,M22&gt;=40%),"&gt;40%",AND(M22&lt;40%,M22&gt;=0%),"&gt;0%"),""))</f>
        <v>&gt;0%</v>
      </c>
      <c r="O22" t="s">
        <v>9</v>
      </c>
      <c r="P22">
        <f>SUM(DATA_ENERO_2025[[#This Row],[1]:[31]])</f>
        <v>0</v>
      </c>
      <c r="Q22">
        <v>21000</v>
      </c>
      <c r="R22" t="s">
        <v>61</v>
      </c>
      <c r="AX22" t="s">
        <v>153</v>
      </c>
    </row>
    <row r="23" spans="1:50" x14ac:dyDescent="0.25">
      <c r="A23" t="str">
        <f>D1_ENERO_2025[[#This Row],[SUPER2]]</f>
        <v>KENNETH</v>
      </c>
      <c r="B23" t="s">
        <v>19</v>
      </c>
      <c r="C23">
        <f>VLOOKUP(D1_ENERO_2025[[#This Row],[SUPER]],DATA_ENERO_2025[[SUPERVISOR]:[META]],3,0)</f>
        <v>21000</v>
      </c>
      <c r="D23">
        <f>D1_ENERO_2025[[#This Row],[RECUPERO]]/C23</f>
        <v>0.65238095238095239</v>
      </c>
      <c r="E23" t="s">
        <v>6</v>
      </c>
      <c r="F23" t="s">
        <v>19</v>
      </c>
      <c r="G23">
        <v>13700</v>
      </c>
      <c r="H23" t="s">
        <v>399</v>
      </c>
      <c r="I23" s="56">
        <v>44673</v>
      </c>
      <c r="J23" s="56" t="s">
        <v>501</v>
      </c>
      <c r="K23" s="56"/>
      <c r="L23" s="56"/>
      <c r="M23" s="1">
        <f>DATA_ENERO_2025[[#This Row],[RECUPERO]]/DATA_ENERO_2025[[#This Row],[META]]</f>
        <v>1.196</v>
      </c>
      <c r="N23" t="str" cm="1">
        <f t="array" ref="N23">IF(DATA_ENERO_2025[[#This Row],[ASER_]]="","",IFERROR(_xlfn.IFS(M23&gt;=100%,"&gt;100%",AND(M23&lt;100%,M23&gt;=70%),"&gt;70%",AND(M23&lt;70%,M23&gt;=40%),"&gt;40%",AND(M23&lt;40%,M23&gt;=0%),"&gt;0%"),""))</f>
        <v>&gt;100%</v>
      </c>
      <c r="O23" t="s">
        <v>115</v>
      </c>
      <c r="P23">
        <f>SUM(DATA_ENERO_2025[[#This Row],[1]:[31]])</f>
        <v>19734</v>
      </c>
      <c r="Q23">
        <v>16500</v>
      </c>
      <c r="R23" t="s">
        <v>80</v>
      </c>
      <c r="T23">
        <v>100</v>
      </c>
      <c r="U23">
        <v>547</v>
      </c>
      <c r="X23">
        <v>1300</v>
      </c>
      <c r="Z23">
        <v>550</v>
      </c>
      <c r="AB23">
        <v>1652</v>
      </c>
      <c r="AF23">
        <v>174</v>
      </c>
      <c r="AI23">
        <v>1000</v>
      </c>
      <c r="AJ23">
        <v>236</v>
      </c>
      <c r="AL23">
        <v>847</v>
      </c>
      <c r="AM23">
        <v>280</v>
      </c>
      <c r="AN23">
        <v>1207</v>
      </c>
      <c r="AO23">
        <v>844</v>
      </c>
      <c r="AP23">
        <v>1300</v>
      </c>
      <c r="AS23">
        <v>2650</v>
      </c>
      <c r="AT23">
        <v>1553</v>
      </c>
      <c r="AU23">
        <v>279</v>
      </c>
      <c r="AV23">
        <v>1501</v>
      </c>
      <c r="AW23">
        <v>3714</v>
      </c>
      <c r="AX23" t="s">
        <v>151</v>
      </c>
    </row>
    <row r="24" spans="1:50" x14ac:dyDescent="0.25">
      <c r="A24" t="str">
        <f>D1_ENERO_2025[[#This Row],[SUPER2]]</f>
        <v>KENNETH</v>
      </c>
      <c r="B24" t="s">
        <v>37</v>
      </c>
      <c r="C24">
        <f>VLOOKUP(D1_ENERO_2025[[#This Row],[SUPER]],DATA_ENERO_2025[[SUPERVISOR]:[META]],3,0)</f>
        <v>21000</v>
      </c>
      <c r="D24">
        <f>D1_ENERO_2025[[#This Row],[RECUPERO]]/C24</f>
        <v>1.0635238095238095</v>
      </c>
      <c r="E24" t="s">
        <v>6</v>
      </c>
      <c r="F24" t="s">
        <v>37</v>
      </c>
      <c r="G24">
        <v>22334</v>
      </c>
      <c r="H24" t="s">
        <v>400</v>
      </c>
      <c r="I24" s="56">
        <v>43132</v>
      </c>
      <c r="J24" s="56" t="s">
        <v>501</v>
      </c>
      <c r="K24" s="56"/>
      <c r="L24" s="56"/>
      <c r="M24" s="1">
        <f>DATA_ENERO_2025[[#This Row],[RECUPERO]]/DATA_ENERO_2025[[#This Row],[META]]</f>
        <v>0.37945879310344827</v>
      </c>
      <c r="N24" t="str" cm="1">
        <f t="array" ref="N24">IF(DATA_ENERO_2025[[#This Row],[ASER_]]="","",IFERROR(_xlfn.IFS(M24&gt;=100%,"&gt;100%",AND(M24&lt;100%,M24&gt;=70%),"&gt;70%",AND(M24&lt;70%,M24&gt;=40%),"&gt;40%",AND(M24&lt;40%,M24&gt;=0%),"&gt;0%"),""))</f>
        <v>&gt;0%</v>
      </c>
      <c r="O24" t="s">
        <v>4</v>
      </c>
      <c r="P24">
        <f>SUM(DATA_ENERO_2025[[#This Row],[1]:[31]])</f>
        <v>22008.61</v>
      </c>
      <c r="Q24">
        <v>58000</v>
      </c>
      <c r="R24" t="s">
        <v>40</v>
      </c>
      <c r="T24">
        <v>721.75</v>
      </c>
      <c r="AA24">
        <v>130</v>
      </c>
      <c r="AG24">
        <v>4666.8600000000006</v>
      </c>
      <c r="AP24">
        <v>2390</v>
      </c>
      <c r="AS24">
        <v>7600</v>
      </c>
      <c r="AT24">
        <v>1500</v>
      </c>
      <c r="AV24">
        <v>5000</v>
      </c>
      <c r="AX24" t="s">
        <v>150</v>
      </c>
    </row>
    <row r="25" spans="1:50" x14ac:dyDescent="0.25">
      <c r="A25" t="str">
        <f>D1_ENERO_2025[[#This Row],[SUPER2]]</f>
        <v>KENNETH</v>
      </c>
      <c r="B25" t="s">
        <v>35</v>
      </c>
      <c r="C25">
        <f>VLOOKUP(D1_ENERO_2025[[#This Row],[SUPER]],DATA_ENERO_2025[[SUPERVISOR]:[META]],3,0)</f>
        <v>21000</v>
      </c>
      <c r="D25">
        <f>D1_ENERO_2025[[#This Row],[RECUPERO]]/C25</f>
        <v>1.0185714285714285</v>
      </c>
      <c r="E25" t="s">
        <v>6</v>
      </c>
      <c r="F25" t="s">
        <v>35</v>
      </c>
      <c r="G25">
        <v>21390</v>
      </c>
      <c r="H25" t="s">
        <v>401</v>
      </c>
      <c r="I25" s="56">
        <v>44748</v>
      </c>
      <c r="J25" s="56" t="s">
        <v>501</v>
      </c>
      <c r="K25" s="56"/>
      <c r="L25" s="56"/>
      <c r="M25" s="1">
        <f>DATA_ENERO_2025[[#This Row],[RECUPERO]]/DATA_ENERO_2025[[#This Row],[META]]</f>
        <v>0.40105172413793105</v>
      </c>
      <c r="N25" t="str" cm="1">
        <f t="array" ref="N25">IF(DATA_ENERO_2025[[#This Row],[ASER_]]="","",IFERROR(_xlfn.IFS(M25&gt;=100%,"&gt;100%",AND(M25&lt;100%,M25&gt;=70%),"&gt;70%",AND(M25&lt;70%,M25&gt;=40%),"&gt;40%",AND(M25&lt;40%,M25&gt;=0%),"&gt;0%"),""))</f>
        <v>&gt;40%</v>
      </c>
      <c r="O25" t="s">
        <v>4</v>
      </c>
      <c r="P25">
        <f>SUM(DATA_ENERO_2025[[#This Row],[1]:[31]])</f>
        <v>23261</v>
      </c>
      <c r="Q25">
        <v>58000</v>
      </c>
      <c r="R25" t="s">
        <v>81</v>
      </c>
      <c r="Z25">
        <v>50</v>
      </c>
      <c r="AF25">
        <v>10000</v>
      </c>
      <c r="AG25">
        <v>337</v>
      </c>
      <c r="AH25">
        <v>274</v>
      </c>
      <c r="AM25">
        <v>4000</v>
      </c>
      <c r="AN25">
        <v>7000</v>
      </c>
      <c r="AO25">
        <v>1000</v>
      </c>
      <c r="AQ25">
        <v>600</v>
      </c>
      <c r="AX25" t="s">
        <v>150</v>
      </c>
    </row>
    <row r="26" spans="1:50" x14ac:dyDescent="0.25">
      <c r="A26" t="str">
        <f>D1_ENERO_2025[[#This Row],[SUPER2]]</f>
        <v>KENNETH</v>
      </c>
      <c r="B26" t="s">
        <v>50</v>
      </c>
      <c r="C26">
        <f>VLOOKUP(D1_ENERO_2025[[#This Row],[SUPER]],DATA_ENERO_2025[[SUPERVISOR]:[META]],3,0)</f>
        <v>21000</v>
      </c>
      <c r="D26">
        <f>D1_ENERO_2025[[#This Row],[RECUPERO]]/C26</f>
        <v>0.24771428571428572</v>
      </c>
      <c r="E26" t="s">
        <v>6</v>
      </c>
      <c r="F26" t="s">
        <v>50</v>
      </c>
      <c r="G26">
        <v>5202</v>
      </c>
      <c r="H26" t="s">
        <v>402</v>
      </c>
      <c r="I26" s="56">
        <v>45523</v>
      </c>
      <c r="J26" s="56" t="s">
        <v>501</v>
      </c>
      <c r="K26" s="56"/>
      <c r="L26" s="56"/>
      <c r="M26" s="1">
        <f>DATA_ENERO_2025[[#This Row],[RECUPERO]]/DATA_ENERO_2025[[#This Row],[META]]</f>
        <v>0</v>
      </c>
      <c r="N26" t="str" cm="1">
        <f t="array" ref="N26">IF(DATA_ENERO_2025[[#This Row],[ASER_]]="","",IFERROR(_xlfn.IFS(M26&gt;=100%,"&gt;100%",AND(M26&lt;100%,M26&gt;=70%),"&gt;70%",AND(M26&lt;70%,M26&gt;=40%),"&gt;40%",AND(M26&lt;40%,M26&gt;=0%),"&gt;0%"),""))</f>
        <v>&gt;0%</v>
      </c>
      <c r="O26" t="s">
        <v>3</v>
      </c>
      <c r="P26">
        <f>SUM(DATA_ENERO_2025[[#This Row],[1]:[31]])</f>
        <v>0</v>
      </c>
      <c r="Q26">
        <v>58000</v>
      </c>
      <c r="R26" t="s">
        <v>22</v>
      </c>
      <c r="AX26" t="s">
        <v>150</v>
      </c>
    </row>
    <row r="27" spans="1:50" x14ac:dyDescent="0.25">
      <c r="A27" t="str">
        <f>D1_ENERO_2025[[#This Row],[SUPER2]]</f>
        <v>KENNETH</v>
      </c>
      <c r="B27" t="s">
        <v>31</v>
      </c>
      <c r="C27">
        <f>VLOOKUP(D1_ENERO_2025[[#This Row],[SUPER]],DATA_ENERO_2025[[SUPERVISOR]:[META]],3,0)</f>
        <v>21000</v>
      </c>
      <c r="D27">
        <f>D1_ENERO_2025[[#This Row],[RECUPERO]]/C27</f>
        <v>1.1061904761904762</v>
      </c>
      <c r="E27" t="s">
        <v>6</v>
      </c>
      <c r="F27" t="s">
        <v>31</v>
      </c>
      <c r="G27">
        <v>23230</v>
      </c>
      <c r="H27" t="s">
        <v>403</v>
      </c>
      <c r="I27" s="56">
        <v>45334</v>
      </c>
      <c r="J27" s="56" t="s">
        <v>501</v>
      </c>
      <c r="K27" s="56"/>
      <c r="L27" s="56"/>
      <c r="M27" s="1">
        <f>DATA_ENERO_2025[[#This Row],[RECUPERO]]/DATA_ENERO_2025[[#This Row],[META]]</f>
        <v>0</v>
      </c>
      <c r="N27" t="str" cm="1">
        <f t="array" ref="N27">IF(DATA_ENERO_2025[[#This Row],[ASER_]]="","",IFERROR(_xlfn.IFS(M27&gt;=100%,"&gt;100%",AND(M27&lt;100%,M27&gt;=70%),"&gt;70%",AND(M27&lt;70%,M27&gt;=40%),"&gt;40%",AND(M27&lt;40%,M27&gt;=0%),"&gt;0%"),""))</f>
        <v>&gt;0%</v>
      </c>
      <c r="O27" t="s">
        <v>115</v>
      </c>
      <c r="P27">
        <f>SUM(DATA_ENERO_2025[[#This Row],[1]:[31]])</f>
        <v>0</v>
      </c>
      <c r="Q27">
        <v>16500</v>
      </c>
      <c r="R27" t="s">
        <v>24</v>
      </c>
      <c r="AX27" t="s">
        <v>151</v>
      </c>
    </row>
    <row r="28" spans="1:50" x14ac:dyDescent="0.25">
      <c r="A28" t="str">
        <f>D1_ENERO_2025[[#This Row],[SUPER2]]</f>
        <v>KENNETH</v>
      </c>
      <c r="B28" t="s">
        <v>119</v>
      </c>
      <c r="C28">
        <f>VLOOKUP(D1_ENERO_2025[[#This Row],[SUPER]],DATA_ENERO_2025[[SUPERVISOR]:[META]],3,0)</f>
        <v>21000</v>
      </c>
      <c r="D28">
        <f>D1_ENERO_2025[[#This Row],[RECUPERO]]/C28</f>
        <v>1.7141904761904763</v>
      </c>
      <c r="E28" t="s">
        <v>6</v>
      </c>
      <c r="F28" t="s">
        <v>119</v>
      </c>
      <c r="G28">
        <v>35998</v>
      </c>
      <c r="H28" t="s">
        <v>404</v>
      </c>
      <c r="I28" s="56">
        <v>45441</v>
      </c>
      <c r="J28" s="56" t="s">
        <v>501</v>
      </c>
      <c r="K28" s="56"/>
      <c r="L28" s="56"/>
      <c r="M28" s="1">
        <f>DATA_ENERO_2025[[#This Row],[RECUPERO]]/DATA_ENERO_2025[[#This Row],[META]]</f>
        <v>0.50140909090909092</v>
      </c>
      <c r="N28" t="str" cm="1">
        <f t="array" ref="N28">IF(DATA_ENERO_2025[[#This Row],[ASER_]]="","",IFERROR(_xlfn.IFS(M28&gt;=100%,"&gt;100%",AND(M28&lt;100%,M28&gt;=70%),"&gt;70%",AND(M28&lt;70%,M28&gt;=40%),"&gt;40%",AND(M28&lt;40%,M28&gt;=0%),"&gt;0%"),""))</f>
        <v>&gt;40%</v>
      </c>
      <c r="O28" t="s">
        <v>2</v>
      </c>
      <c r="P28">
        <f>SUM(DATA_ENERO_2025[[#This Row],[1]:[31]])</f>
        <v>11031</v>
      </c>
      <c r="Q28">
        <v>22000</v>
      </c>
      <c r="R28" t="s">
        <v>16</v>
      </c>
      <c r="T28">
        <v>500</v>
      </c>
      <c r="U28">
        <v>1600</v>
      </c>
      <c r="Y28">
        <v>500</v>
      </c>
      <c r="AA28">
        <v>200</v>
      </c>
      <c r="AB28">
        <v>700</v>
      </c>
      <c r="AE28">
        <v>800</v>
      </c>
      <c r="AF28">
        <v>100</v>
      </c>
      <c r="AI28">
        <v>410</v>
      </c>
      <c r="AL28">
        <v>1100</v>
      </c>
      <c r="AM28">
        <v>1100</v>
      </c>
      <c r="AN28">
        <v>300</v>
      </c>
      <c r="AS28">
        <v>2611</v>
      </c>
      <c r="AT28">
        <v>50</v>
      </c>
      <c r="AU28">
        <v>260</v>
      </c>
      <c r="AW28">
        <v>800</v>
      </c>
      <c r="AX28" t="s">
        <v>151</v>
      </c>
    </row>
    <row r="29" spans="1:50" x14ac:dyDescent="0.25">
      <c r="A29" t="str">
        <f>D1_ENERO_2025[[#This Row],[SUPER2]]</f>
        <v>KENNETH</v>
      </c>
      <c r="B29" t="s">
        <v>120</v>
      </c>
      <c r="C29">
        <f>VLOOKUP(D1_ENERO_2025[[#This Row],[SUPER]],DATA_ENERO_2025[[SUPERVISOR]:[META]],3,0)</f>
        <v>21000</v>
      </c>
      <c r="D29">
        <f>D1_ENERO_2025[[#This Row],[RECUPERO]]/C29</f>
        <v>1.1242857142857143</v>
      </c>
      <c r="E29" t="s">
        <v>6</v>
      </c>
      <c r="F29" t="s">
        <v>120</v>
      </c>
      <c r="G29">
        <v>23610</v>
      </c>
      <c r="H29" t="s">
        <v>405</v>
      </c>
      <c r="I29" s="56">
        <v>45471</v>
      </c>
      <c r="J29" s="56" t="s">
        <v>501</v>
      </c>
      <c r="K29" s="56"/>
      <c r="L29" s="56"/>
      <c r="M29" s="1">
        <f>DATA_ENERO_2025[[#This Row],[RECUPERO]]/DATA_ENERO_2025[[#This Row],[META]]</f>
        <v>6.1904761904761907E-2</v>
      </c>
      <c r="N29" t="str" cm="1">
        <f t="array" ref="N29">IF(DATA_ENERO_2025[[#This Row],[ASER_]]="","",IFERROR(_xlfn.IFS(M29&gt;=100%,"&gt;100%",AND(M29&lt;100%,M29&gt;=70%),"&gt;70%",AND(M29&lt;70%,M29&gt;=40%),"&gt;40%",AND(M29&lt;40%,M29&gt;=0%),"&gt;0%"),""))</f>
        <v>&gt;0%</v>
      </c>
      <c r="O29" t="s">
        <v>9</v>
      </c>
      <c r="P29">
        <f>SUM(DATA_ENERO_2025[[#This Row],[1]:[31]])</f>
        <v>1300</v>
      </c>
      <c r="Q29">
        <v>21000</v>
      </c>
      <c r="R29" t="s">
        <v>27</v>
      </c>
      <c r="AO29">
        <v>100</v>
      </c>
      <c r="AT29">
        <v>200</v>
      </c>
      <c r="AV29">
        <v>1000</v>
      </c>
      <c r="AX29" t="s">
        <v>153</v>
      </c>
    </row>
    <row r="30" spans="1:50" x14ac:dyDescent="0.25">
      <c r="A30" t="str">
        <f>D1_ENERO_2025[[#This Row],[SUPER2]]</f>
        <v>KENNETH</v>
      </c>
      <c r="B30" t="s">
        <v>36</v>
      </c>
      <c r="C30">
        <f>VLOOKUP(D1_ENERO_2025[[#This Row],[SUPER]],DATA_ENERO_2025[[SUPERVISOR]:[META]],3,0)</f>
        <v>21000</v>
      </c>
      <c r="D30">
        <f>D1_ENERO_2025[[#This Row],[RECUPERO]]/C30</f>
        <v>1.0646666666666667</v>
      </c>
      <c r="E30" t="s">
        <v>6</v>
      </c>
      <c r="F30" t="s">
        <v>36</v>
      </c>
      <c r="G30">
        <v>22358</v>
      </c>
      <c r="H30" t="s">
        <v>406</v>
      </c>
      <c r="I30" s="56">
        <v>44941</v>
      </c>
      <c r="J30" s="56" t="s">
        <v>501</v>
      </c>
      <c r="K30" s="56"/>
      <c r="L30" s="56"/>
      <c r="M30" s="1">
        <f>DATA_ENERO_2025[[#This Row],[RECUPERO]]/DATA_ENERO_2025[[#This Row],[META]]</f>
        <v>1.0436363636363637</v>
      </c>
      <c r="N30" t="str" cm="1">
        <f t="array" ref="N30">IF(DATA_ENERO_2025[[#This Row],[ASER_]]="","",IFERROR(_xlfn.IFS(M30&gt;=100%,"&gt;100%",AND(M30&lt;100%,M30&gt;=70%),"&gt;70%",AND(M30&lt;70%,M30&gt;=40%),"&gt;40%",AND(M30&lt;40%,M30&gt;=0%),"&gt;0%"),""))</f>
        <v>&gt;100%</v>
      </c>
      <c r="O30" t="s">
        <v>2</v>
      </c>
      <c r="P30">
        <f>SUM(DATA_ENERO_2025[[#This Row],[1]:[31]])</f>
        <v>22960</v>
      </c>
      <c r="Q30">
        <v>22000</v>
      </c>
      <c r="R30" t="s">
        <v>12</v>
      </c>
      <c r="T30">
        <v>200</v>
      </c>
      <c r="X30">
        <v>50</v>
      </c>
      <c r="Y30">
        <v>250</v>
      </c>
      <c r="Z30">
        <v>998</v>
      </c>
      <c r="AA30">
        <v>2400</v>
      </c>
      <c r="AB30">
        <v>200</v>
      </c>
      <c r="AC30">
        <v>420</v>
      </c>
      <c r="AF30">
        <v>400</v>
      </c>
      <c r="AH30">
        <v>500</v>
      </c>
      <c r="AI30">
        <v>270</v>
      </c>
      <c r="AJ30">
        <v>70</v>
      </c>
      <c r="AL30">
        <v>120</v>
      </c>
      <c r="AM30">
        <v>380</v>
      </c>
      <c r="AN30">
        <v>80</v>
      </c>
      <c r="AS30">
        <v>5200</v>
      </c>
      <c r="AT30">
        <v>1096</v>
      </c>
      <c r="AV30">
        <v>2650</v>
      </c>
      <c r="AW30">
        <v>7676</v>
      </c>
      <c r="AX30" t="s">
        <v>151</v>
      </c>
    </row>
    <row r="31" spans="1:50" x14ac:dyDescent="0.25">
      <c r="A31" t="str">
        <f>D1_ENERO_2025[[#This Row],[SUPER2]]</f>
        <v>KENNETH</v>
      </c>
      <c r="B31" t="s">
        <v>34</v>
      </c>
      <c r="C31">
        <f>VLOOKUP(D1_ENERO_2025[[#This Row],[SUPER]],DATA_ENERO_2025[[SUPERVISOR]:[META]],3,0)</f>
        <v>21000</v>
      </c>
      <c r="D31">
        <f>D1_ENERO_2025[[#This Row],[RECUPERO]]/C31</f>
        <v>0.74604761904761907</v>
      </c>
      <c r="E31" t="s">
        <v>6</v>
      </c>
      <c r="F31" t="s">
        <v>34</v>
      </c>
      <c r="G31">
        <v>15667</v>
      </c>
      <c r="H31" t="s">
        <v>407</v>
      </c>
      <c r="I31" s="56">
        <v>45175</v>
      </c>
      <c r="J31" s="56" t="s">
        <v>501</v>
      </c>
      <c r="K31" s="56"/>
      <c r="L31" s="56"/>
      <c r="M31" s="1">
        <f>DATA_ENERO_2025[[#This Row],[RECUPERO]]/DATA_ENERO_2025[[#This Row],[META]]</f>
        <v>7.6190476190476197E-2</v>
      </c>
      <c r="N31" t="str" cm="1">
        <f t="array" ref="N31">IF(DATA_ENERO_2025[[#This Row],[ASER_]]="","",IFERROR(_xlfn.IFS(M31&gt;=100%,"&gt;100%",AND(M31&lt;100%,M31&gt;=70%),"&gt;70%",AND(M31&lt;70%,M31&gt;=40%),"&gt;40%",AND(M31&lt;40%,M31&gt;=0%),"&gt;0%"),""))</f>
        <v>&gt;0%</v>
      </c>
      <c r="O31" t="s">
        <v>9</v>
      </c>
      <c r="P31">
        <f>SUM(DATA_ENERO_2025[[#This Row],[1]:[31]])</f>
        <v>1600</v>
      </c>
      <c r="Q31">
        <v>21000</v>
      </c>
      <c r="R31" t="s">
        <v>51</v>
      </c>
      <c r="AN31">
        <v>400</v>
      </c>
      <c r="AV31">
        <v>800</v>
      </c>
      <c r="AW31">
        <v>400</v>
      </c>
      <c r="AX31" t="s">
        <v>153</v>
      </c>
    </row>
    <row r="32" spans="1:50" x14ac:dyDescent="0.25">
      <c r="A32" t="str">
        <f>D1_ENERO_2025[[#This Row],[SUPER2]]</f>
        <v>KENNETH</v>
      </c>
      <c r="B32" t="s">
        <v>76</v>
      </c>
      <c r="C32">
        <f>VLOOKUP(D1_ENERO_2025[[#This Row],[SUPER]],DATA_ENERO_2025[[SUPERVISOR]:[META]],3,0)</f>
        <v>21000</v>
      </c>
      <c r="D32">
        <f>D1_ENERO_2025[[#This Row],[RECUPERO]]/C32</f>
        <v>0</v>
      </c>
      <c r="E32" t="s">
        <v>6</v>
      </c>
      <c r="F32" t="s">
        <v>76</v>
      </c>
      <c r="G32">
        <v>0</v>
      </c>
      <c r="H32" t="s">
        <v>408</v>
      </c>
      <c r="I32" s="56">
        <v>44819</v>
      </c>
      <c r="J32" s="56" t="s">
        <v>501</v>
      </c>
      <c r="K32" s="56"/>
      <c r="L32" s="56"/>
      <c r="M32" s="1">
        <f>DATA_ENERO_2025[[#This Row],[RECUPERO]]/DATA_ENERO_2025[[#This Row],[META]]</f>
        <v>0.85236206896551725</v>
      </c>
      <c r="N32" t="str" cm="1">
        <f t="array" ref="N32">IF(DATA_ENERO_2025[[#This Row],[ASER_]]="","",IFERROR(_xlfn.IFS(M32&gt;=100%,"&gt;100%",AND(M32&lt;100%,M32&gt;=70%),"&gt;70%",AND(M32&lt;70%,M32&gt;=40%),"&gt;40%",AND(M32&lt;40%,M32&gt;=0%),"&gt;0%"),""))</f>
        <v>&gt;70%</v>
      </c>
      <c r="O32" t="s">
        <v>5</v>
      </c>
      <c r="P32">
        <f>SUM(DATA_ENERO_2025[[#This Row],[1]:[31]])</f>
        <v>49437</v>
      </c>
      <c r="Q32">
        <v>58000</v>
      </c>
      <c r="R32" t="s">
        <v>13</v>
      </c>
      <c r="T32">
        <v>300</v>
      </c>
      <c r="Y32">
        <v>3000</v>
      </c>
      <c r="Z32">
        <v>1850</v>
      </c>
      <c r="AA32">
        <v>530</v>
      </c>
      <c r="AF32">
        <v>5000</v>
      </c>
      <c r="AH32">
        <v>1000</v>
      </c>
      <c r="AM32">
        <v>592</v>
      </c>
      <c r="AN32">
        <v>700</v>
      </c>
      <c r="AO32">
        <v>10060</v>
      </c>
      <c r="AP32">
        <v>10200</v>
      </c>
      <c r="AQ32">
        <v>1000</v>
      </c>
      <c r="AT32">
        <v>300</v>
      </c>
      <c r="AU32">
        <v>6730</v>
      </c>
      <c r="AV32">
        <v>5825</v>
      </c>
      <c r="AW32">
        <v>2350</v>
      </c>
      <c r="AX32" t="s">
        <v>150</v>
      </c>
    </row>
    <row r="33" spans="1:50" x14ac:dyDescent="0.25">
      <c r="A33" t="str">
        <f>D1_ENERO_2025[[#This Row],[SUPER2]]</f>
        <v>LUIS</v>
      </c>
      <c r="B33" t="s">
        <v>21</v>
      </c>
      <c r="C33">
        <f>VLOOKUP(D1_ENERO_2025[[#This Row],[SUPER]],DATA_ENERO_2025[[SUPERVISOR]:[META]],3,0)</f>
        <v>21000</v>
      </c>
      <c r="D33">
        <f>D1_ENERO_2025[[#This Row],[RECUPERO]]/C33</f>
        <v>0.47914285714285715</v>
      </c>
      <c r="E33" t="s">
        <v>9</v>
      </c>
      <c r="F33" t="s">
        <v>21</v>
      </c>
      <c r="G33">
        <v>10062</v>
      </c>
      <c r="H33" t="s">
        <v>409</v>
      </c>
      <c r="I33" s="56">
        <v>44301</v>
      </c>
      <c r="J33" s="56" t="s">
        <v>501</v>
      </c>
      <c r="K33" s="56"/>
      <c r="L33" s="56"/>
      <c r="M33" s="1">
        <f>DATA_ENERO_2025[[#This Row],[RECUPERO]]/DATA_ENERO_2025[[#This Row],[META]]</f>
        <v>0.54387272727272729</v>
      </c>
      <c r="N33" t="str" cm="1">
        <f t="array" ref="N33">IF(DATA_ENERO_2025[[#This Row],[ASER_]]="","",IFERROR(_xlfn.IFS(M33&gt;=100%,"&gt;100%",AND(M33&lt;100%,M33&gt;=70%),"&gt;70%",AND(M33&lt;70%,M33&gt;=40%),"&gt;40%",AND(M33&lt;40%,M33&gt;=0%),"&gt;0%"),""))</f>
        <v>&gt;40%</v>
      </c>
      <c r="O33" t="s">
        <v>2</v>
      </c>
      <c r="P33">
        <f>SUM(DATA_ENERO_2025[[#This Row],[1]:[31]])</f>
        <v>11965.2</v>
      </c>
      <c r="Q33">
        <v>22000</v>
      </c>
      <c r="R33" t="s">
        <v>32</v>
      </c>
      <c r="T33">
        <v>200</v>
      </c>
      <c r="U33">
        <v>200</v>
      </c>
      <c r="X33">
        <v>2400</v>
      </c>
      <c r="Z33">
        <v>300</v>
      </c>
      <c r="AG33">
        <v>200</v>
      </c>
      <c r="AL33">
        <v>400</v>
      </c>
      <c r="AN33">
        <v>600</v>
      </c>
      <c r="AO33">
        <v>880</v>
      </c>
      <c r="AP33">
        <v>1200</v>
      </c>
      <c r="AT33">
        <v>100</v>
      </c>
      <c r="AU33">
        <v>3585.2</v>
      </c>
      <c r="AV33">
        <v>1600</v>
      </c>
      <c r="AW33">
        <v>300</v>
      </c>
      <c r="AX33" t="s">
        <v>151</v>
      </c>
    </row>
    <row r="34" spans="1:50" x14ac:dyDescent="0.25">
      <c r="A34" t="str">
        <f>D1_ENERO_2025[[#This Row],[SUPER2]]</f>
        <v>LUIS</v>
      </c>
      <c r="B34" t="s">
        <v>15</v>
      </c>
      <c r="C34">
        <f>VLOOKUP(D1_ENERO_2025[[#This Row],[SUPER]],DATA_ENERO_2025[[SUPERVISOR]:[META]],3,0)</f>
        <v>21000</v>
      </c>
      <c r="D34">
        <f>D1_ENERO_2025[[#This Row],[RECUPERO]]/C34</f>
        <v>0.61953809523809522</v>
      </c>
      <c r="E34" t="s">
        <v>9</v>
      </c>
      <c r="F34" t="s">
        <v>15</v>
      </c>
      <c r="G34">
        <v>13010.3</v>
      </c>
      <c r="H34" t="s">
        <v>410</v>
      </c>
      <c r="I34" s="56">
        <v>44735</v>
      </c>
      <c r="J34" s="56" t="s">
        <v>501</v>
      </c>
      <c r="K34" s="56"/>
      <c r="L34" s="56"/>
      <c r="M34" s="1">
        <f>DATA_ENERO_2025[[#This Row],[RECUPERO]]/DATA_ENERO_2025[[#This Row],[META]]</f>
        <v>0.74841379310344824</v>
      </c>
      <c r="N34" t="str" cm="1">
        <f t="array" ref="N34">IF(DATA_ENERO_2025[[#This Row],[ASER_]]="","",IFERROR(_xlfn.IFS(M34&gt;=100%,"&gt;100%",AND(M34&lt;100%,M34&gt;=70%),"&gt;70%",AND(M34&lt;70%,M34&gt;=40%),"&gt;40%",AND(M34&lt;40%,M34&gt;=0%),"&gt;0%"),""))</f>
        <v>&gt;70%</v>
      </c>
      <c r="O34" t="s">
        <v>5</v>
      </c>
      <c r="P34">
        <f>SUM(DATA_ENERO_2025[[#This Row],[1]:[31]])</f>
        <v>43408</v>
      </c>
      <c r="Q34">
        <v>58000</v>
      </c>
      <c r="R34" t="s">
        <v>66</v>
      </c>
      <c r="AL34">
        <v>9500</v>
      </c>
      <c r="AN34">
        <v>2500</v>
      </c>
      <c r="AP34">
        <v>3000</v>
      </c>
      <c r="AT34">
        <v>16000</v>
      </c>
      <c r="AV34">
        <v>798</v>
      </c>
      <c r="AW34">
        <v>11610</v>
      </c>
      <c r="AX34" t="s">
        <v>150</v>
      </c>
    </row>
    <row r="35" spans="1:50" x14ac:dyDescent="0.25">
      <c r="A35" t="str">
        <f>D1_ENERO_2025[[#This Row],[SUPER2]]</f>
        <v>LUIS</v>
      </c>
      <c r="B35" t="s">
        <v>61</v>
      </c>
      <c r="C35">
        <f>VLOOKUP(D1_ENERO_2025[[#This Row],[SUPER]],DATA_ENERO_2025[[SUPERVISOR]:[META]],3,0)</f>
        <v>21000</v>
      </c>
      <c r="D35">
        <f>D1_ENERO_2025[[#This Row],[RECUPERO]]/C35</f>
        <v>0</v>
      </c>
      <c r="E35" t="s">
        <v>9</v>
      </c>
      <c r="F35" t="s">
        <v>61</v>
      </c>
      <c r="G35">
        <v>0</v>
      </c>
      <c r="H35" t="s">
        <v>411</v>
      </c>
      <c r="I35" s="56">
        <v>44909</v>
      </c>
      <c r="J35" s="56" t="s">
        <v>501</v>
      </c>
      <c r="K35" s="56"/>
      <c r="L35" s="56"/>
      <c r="M35" s="1">
        <f>DATA_ENERO_2025[[#This Row],[RECUPERO]]/DATA_ENERO_2025[[#This Row],[META]]</f>
        <v>0.9167333333333334</v>
      </c>
      <c r="N35" t="str" cm="1">
        <f t="array" ref="N35">IF(DATA_ENERO_2025[[#This Row],[ASER_]]="","",IFERROR(_xlfn.IFS(M35&gt;=100%,"&gt;100%",AND(M35&lt;100%,M35&gt;=70%),"&gt;70%",AND(M35&lt;70%,M35&gt;=40%),"&gt;40%",AND(M35&lt;40%,M35&gt;=0%),"&gt;0%"),""))</f>
        <v>&gt;70%</v>
      </c>
      <c r="O35" t="s">
        <v>9</v>
      </c>
      <c r="P35">
        <f>SUM(DATA_ENERO_2025[[#This Row],[1]:[31]])</f>
        <v>19251.400000000001</v>
      </c>
      <c r="Q35">
        <v>21000</v>
      </c>
      <c r="R35" t="s">
        <v>71</v>
      </c>
      <c r="T35">
        <v>500</v>
      </c>
      <c r="U35">
        <v>200</v>
      </c>
      <c r="Y35">
        <v>450</v>
      </c>
      <c r="Z35">
        <v>1000</v>
      </c>
      <c r="AA35">
        <v>200</v>
      </c>
      <c r="AB35">
        <v>1196.4000000000001</v>
      </c>
      <c r="AE35">
        <v>805</v>
      </c>
      <c r="AG35">
        <v>800</v>
      </c>
      <c r="AH35">
        <v>600</v>
      </c>
      <c r="AI35">
        <v>1500</v>
      </c>
      <c r="AL35">
        <v>5700</v>
      </c>
      <c r="AN35">
        <v>200</v>
      </c>
      <c r="AS35">
        <v>2700</v>
      </c>
      <c r="AV35">
        <v>2000</v>
      </c>
      <c r="AW35">
        <v>1400</v>
      </c>
      <c r="AX35" t="s">
        <v>153</v>
      </c>
    </row>
    <row r="36" spans="1:50" x14ac:dyDescent="0.25">
      <c r="A36" t="str">
        <f>D1_ENERO_2025[[#This Row],[SUPER2]]</f>
        <v>LUIS</v>
      </c>
      <c r="B36" t="s">
        <v>27</v>
      </c>
      <c r="C36">
        <f>VLOOKUP(D1_ENERO_2025[[#This Row],[SUPER]],DATA_ENERO_2025[[SUPERVISOR]:[META]],3,0)</f>
        <v>21000</v>
      </c>
      <c r="D36">
        <f>D1_ENERO_2025[[#This Row],[RECUPERO]]/C36</f>
        <v>6.1904761904761907E-2</v>
      </c>
      <c r="E36" t="s">
        <v>9</v>
      </c>
      <c r="F36" t="s">
        <v>27</v>
      </c>
      <c r="G36">
        <v>1300</v>
      </c>
      <c r="H36" t="s">
        <v>412</v>
      </c>
      <c r="I36" s="56">
        <v>45675</v>
      </c>
      <c r="J36" s="56" t="s">
        <v>501</v>
      </c>
      <c r="K36" s="56"/>
      <c r="L36" s="56"/>
      <c r="M36" s="1">
        <f>DATA_ENERO_2025[[#This Row],[RECUPERO]]/DATA_ENERO_2025[[#This Row],[META]]</f>
        <v>0.50987142857142853</v>
      </c>
      <c r="N36" t="str" cm="1">
        <f t="array" ref="N36">IF(DATA_ENERO_2025[[#This Row],[ASER_]]="","",IFERROR(_xlfn.IFS(M36&gt;=100%,"&gt;100%",AND(M36&lt;100%,M36&gt;=70%),"&gt;70%",AND(M36&lt;70%,M36&gt;=40%),"&gt;40%",AND(M36&lt;40%,M36&gt;=0%),"&gt;0%"),""))</f>
        <v>&gt;40%</v>
      </c>
      <c r="O36" t="s">
        <v>9</v>
      </c>
      <c r="P36">
        <f>SUM(DATA_ENERO_2025[[#This Row],[1]:[31]])</f>
        <v>10707.3</v>
      </c>
      <c r="Q36">
        <v>21000</v>
      </c>
      <c r="R36" t="s">
        <v>42</v>
      </c>
      <c r="T36">
        <v>3055</v>
      </c>
      <c r="Y36">
        <v>1507.3</v>
      </c>
      <c r="Z36">
        <v>645</v>
      </c>
      <c r="AG36">
        <v>1250</v>
      </c>
      <c r="AH36">
        <v>1170</v>
      </c>
      <c r="AM36">
        <v>300</v>
      </c>
      <c r="AO36">
        <v>500</v>
      </c>
      <c r="AP36">
        <v>600</v>
      </c>
      <c r="AQ36">
        <v>1000</v>
      </c>
      <c r="AS36">
        <v>180</v>
      </c>
      <c r="AW36">
        <v>500</v>
      </c>
      <c r="AX36" t="s">
        <v>153</v>
      </c>
    </row>
    <row r="37" spans="1:50" x14ac:dyDescent="0.25">
      <c r="A37" t="str">
        <f>D1_ENERO_2025[[#This Row],[SUPER2]]</f>
        <v>LUIS</v>
      </c>
      <c r="B37" t="s">
        <v>51</v>
      </c>
      <c r="C37">
        <f>VLOOKUP(D1_ENERO_2025[[#This Row],[SUPER]],DATA_ENERO_2025[[SUPERVISOR]:[META]],3,0)</f>
        <v>21000</v>
      </c>
      <c r="D37">
        <f>D1_ENERO_2025[[#This Row],[RECUPERO]]/C37</f>
        <v>7.6190476190476197E-2</v>
      </c>
      <c r="E37" t="s">
        <v>9</v>
      </c>
      <c r="F37" t="s">
        <v>51</v>
      </c>
      <c r="G37">
        <v>1600</v>
      </c>
      <c r="H37" t="s">
        <v>413</v>
      </c>
      <c r="I37" s="56">
        <v>45674</v>
      </c>
      <c r="J37" s="56" t="s">
        <v>501</v>
      </c>
      <c r="K37" s="56"/>
      <c r="L37" s="56"/>
      <c r="M37" s="1">
        <f>DATA_ENERO_2025[[#This Row],[RECUPERO]]/DATA_ENERO_2025[[#This Row],[META]]</f>
        <v>0.86575757575757573</v>
      </c>
      <c r="N37" t="str" cm="1">
        <f t="array" ref="N37">IF(DATA_ENERO_2025[[#This Row],[ASER_]]="","",IFERROR(_xlfn.IFS(M37&gt;=100%,"&gt;100%",AND(M37&lt;100%,M37&gt;=70%),"&gt;70%",AND(M37&lt;70%,M37&gt;=40%),"&gt;40%",AND(M37&lt;40%,M37&gt;=0%),"&gt;0%"),""))</f>
        <v>&gt;70%</v>
      </c>
      <c r="O37" t="s">
        <v>115</v>
      </c>
      <c r="P37">
        <f>SUM(DATA_ENERO_2025[[#This Row],[1]:[31]])</f>
        <v>14285</v>
      </c>
      <c r="Q37">
        <v>16500</v>
      </c>
      <c r="R37" t="s">
        <v>83</v>
      </c>
      <c r="U37">
        <v>180</v>
      </c>
      <c r="V37">
        <v>186</v>
      </c>
      <c r="Z37">
        <v>105</v>
      </c>
      <c r="AB37">
        <v>220</v>
      </c>
      <c r="AE37">
        <v>184</v>
      </c>
      <c r="AF37">
        <v>1210</v>
      </c>
      <c r="AG37">
        <v>150</v>
      </c>
      <c r="AH37">
        <v>457</v>
      </c>
      <c r="AI37">
        <v>550</v>
      </c>
      <c r="AL37">
        <v>437</v>
      </c>
      <c r="AM37">
        <v>324</v>
      </c>
      <c r="AN37">
        <v>961</v>
      </c>
      <c r="AO37">
        <v>2408</v>
      </c>
      <c r="AP37">
        <v>1013</v>
      </c>
      <c r="AS37">
        <v>2200</v>
      </c>
      <c r="AT37">
        <v>1835</v>
      </c>
      <c r="AU37">
        <v>395</v>
      </c>
      <c r="AV37">
        <v>955</v>
      </c>
      <c r="AW37">
        <v>515</v>
      </c>
      <c r="AX37" t="s">
        <v>151</v>
      </c>
    </row>
    <row r="38" spans="1:50" x14ac:dyDescent="0.25">
      <c r="A38" t="str">
        <f>D1_ENERO_2025[[#This Row],[SUPER2]]</f>
        <v>LUIS</v>
      </c>
      <c r="B38" t="s">
        <v>71</v>
      </c>
      <c r="C38">
        <f>VLOOKUP(D1_ENERO_2025[[#This Row],[SUPER]],DATA_ENERO_2025[[SUPERVISOR]:[META]],3,0)</f>
        <v>21000</v>
      </c>
      <c r="D38">
        <f>D1_ENERO_2025[[#This Row],[RECUPERO]]/C38</f>
        <v>0.9167333333333334</v>
      </c>
      <c r="E38" t="s">
        <v>9</v>
      </c>
      <c r="F38" t="s">
        <v>71</v>
      </c>
      <c r="G38">
        <v>19251.400000000001</v>
      </c>
      <c r="H38" t="s">
        <v>414</v>
      </c>
      <c r="I38" s="56">
        <v>45423</v>
      </c>
      <c r="J38" s="56" t="s">
        <v>501</v>
      </c>
      <c r="K38" s="56"/>
      <c r="L38" s="56"/>
      <c r="M38" s="1">
        <f>DATA_ENERO_2025[[#This Row],[RECUPERO]]/DATA_ENERO_2025[[#This Row],[META]]</f>
        <v>0.63682241379310345</v>
      </c>
      <c r="N38" t="str" cm="1">
        <f t="array" ref="N38">IF(DATA_ENERO_2025[[#This Row],[ASER_]]="","",IFERROR(_xlfn.IFS(M38&gt;=100%,"&gt;100%",AND(M38&lt;100%,M38&gt;=70%),"&gt;70%",AND(M38&lt;70%,M38&gt;=40%),"&gt;40%",AND(M38&lt;40%,M38&gt;=0%),"&gt;0%"),""))</f>
        <v>&gt;40%</v>
      </c>
      <c r="O38" t="s">
        <v>3</v>
      </c>
      <c r="P38">
        <f>SUM(DATA_ENERO_2025[[#This Row],[1]:[31]])</f>
        <v>36935.699999999997</v>
      </c>
      <c r="Q38">
        <v>58000</v>
      </c>
      <c r="R38" t="s">
        <v>57</v>
      </c>
      <c r="T38">
        <v>2800</v>
      </c>
      <c r="V38">
        <v>1043</v>
      </c>
      <c r="X38">
        <v>1000</v>
      </c>
      <c r="Y38">
        <v>666</v>
      </c>
      <c r="Z38">
        <v>2262.6999999999998</v>
      </c>
      <c r="AF38">
        <v>3100</v>
      </c>
      <c r="AN38">
        <v>332</v>
      </c>
      <c r="AO38">
        <v>4000</v>
      </c>
      <c r="AP38">
        <v>3068</v>
      </c>
      <c r="AQ38">
        <v>3472</v>
      </c>
      <c r="AS38">
        <v>1200</v>
      </c>
      <c r="AT38">
        <v>2377</v>
      </c>
      <c r="AU38">
        <v>260</v>
      </c>
      <c r="AV38">
        <v>9104</v>
      </c>
      <c r="AW38">
        <v>2251</v>
      </c>
      <c r="AX38" t="s">
        <v>150</v>
      </c>
    </row>
    <row r="39" spans="1:50" x14ac:dyDescent="0.25">
      <c r="A39" t="str">
        <f>D1_ENERO_2025[[#This Row],[SUPER2]]</f>
        <v>LUIS</v>
      </c>
      <c r="B39" t="s">
        <v>42</v>
      </c>
      <c r="C39">
        <f>VLOOKUP(D1_ENERO_2025[[#This Row],[SUPER]],DATA_ENERO_2025[[SUPERVISOR]:[META]],3,0)</f>
        <v>21000</v>
      </c>
      <c r="D39">
        <f>D1_ENERO_2025[[#This Row],[RECUPERO]]/C39</f>
        <v>0.50987142857142853</v>
      </c>
      <c r="E39" t="s">
        <v>9</v>
      </c>
      <c r="F39" t="s">
        <v>42</v>
      </c>
      <c r="G39">
        <v>10707.3</v>
      </c>
      <c r="H39" t="s">
        <v>415</v>
      </c>
      <c r="I39" s="56">
        <v>45399</v>
      </c>
      <c r="J39" s="56" t="s">
        <v>501</v>
      </c>
      <c r="K39" s="56"/>
      <c r="L39" s="56"/>
      <c r="M39" s="1">
        <f>DATA_ENERO_2025[[#This Row],[RECUPERO]]/DATA_ENERO_2025[[#This Row],[META]]</f>
        <v>1.1492121212121211</v>
      </c>
      <c r="N39" t="str" cm="1">
        <f t="array" ref="N39">IF(DATA_ENERO_2025[[#This Row],[ASER_]]="","",IFERROR(_xlfn.IFS(M39&gt;=100%,"&gt;100%",AND(M39&lt;100%,M39&gt;=70%),"&gt;70%",AND(M39&lt;70%,M39&gt;=40%),"&gt;40%",AND(M39&lt;40%,M39&gt;=0%),"&gt;0%"),""))</f>
        <v>&gt;100%</v>
      </c>
      <c r="O39" t="s">
        <v>115</v>
      </c>
      <c r="P39">
        <f>SUM(DATA_ENERO_2025[[#This Row],[1]:[31]])</f>
        <v>18962</v>
      </c>
      <c r="Q39">
        <v>16500</v>
      </c>
      <c r="R39" t="s">
        <v>49</v>
      </c>
      <c r="T39">
        <v>590</v>
      </c>
      <c r="U39">
        <v>250</v>
      </c>
      <c r="Y39">
        <v>300</v>
      </c>
      <c r="Z39">
        <v>450</v>
      </c>
      <c r="AA39">
        <v>5000</v>
      </c>
      <c r="AE39">
        <v>470</v>
      </c>
      <c r="AF39">
        <v>1010</v>
      </c>
      <c r="AG39">
        <v>2142</v>
      </c>
      <c r="AH39">
        <v>1100</v>
      </c>
      <c r="AL39">
        <v>100</v>
      </c>
      <c r="AM39">
        <v>5900</v>
      </c>
      <c r="AP39">
        <v>650</v>
      </c>
      <c r="AQ39">
        <v>350</v>
      </c>
      <c r="AS39">
        <v>300</v>
      </c>
      <c r="AV39">
        <v>150</v>
      </c>
      <c r="AW39">
        <v>200</v>
      </c>
      <c r="AX39" t="s">
        <v>151</v>
      </c>
    </row>
    <row r="40" spans="1:50" x14ac:dyDescent="0.25">
      <c r="A40" t="str">
        <f>D1_ENERO_2025[[#This Row],[SUPER2]]</f>
        <v>LUIS</v>
      </c>
      <c r="B40" t="s">
        <v>29</v>
      </c>
      <c r="C40">
        <f>VLOOKUP(D1_ENERO_2025[[#This Row],[SUPER]],DATA_ENERO_2025[[SUPERVISOR]:[META]],3,0)</f>
        <v>21000</v>
      </c>
      <c r="D40">
        <f>D1_ENERO_2025[[#This Row],[RECUPERO]]/C40</f>
        <v>1.2143095238095238</v>
      </c>
      <c r="E40" t="s">
        <v>9</v>
      </c>
      <c r="F40" t="s">
        <v>29</v>
      </c>
      <c r="G40">
        <v>25500.5</v>
      </c>
      <c r="H40" t="s">
        <v>416</v>
      </c>
      <c r="I40" s="56">
        <v>44687</v>
      </c>
      <c r="J40" s="56" t="s">
        <v>501</v>
      </c>
      <c r="K40" s="56"/>
      <c r="L40" s="56"/>
      <c r="M40" s="1">
        <f>DATA_ENERO_2025[[#This Row],[RECUPERO]]/DATA_ENERO_2025[[#This Row],[META]]</f>
        <v>1.1077272727272727</v>
      </c>
      <c r="N40" t="str" cm="1">
        <f t="array" ref="N40">IF(DATA_ENERO_2025[[#This Row],[ASER_]]="","",IFERROR(_xlfn.IFS(M40&gt;=100%,"&gt;100%",AND(M40&lt;100%,M40&gt;=70%),"&gt;70%",AND(M40&lt;70%,M40&gt;=40%),"&gt;40%",AND(M40&lt;40%,M40&gt;=0%),"&gt;0%"),""))</f>
        <v>&gt;100%</v>
      </c>
      <c r="O40" t="s">
        <v>2</v>
      </c>
      <c r="P40">
        <f>SUM(DATA_ENERO_2025[[#This Row],[1]:[31]])</f>
        <v>24370</v>
      </c>
      <c r="Q40">
        <v>22000</v>
      </c>
      <c r="R40" t="s">
        <v>26</v>
      </c>
      <c r="T40">
        <v>580</v>
      </c>
      <c r="V40">
        <v>350</v>
      </c>
      <c r="X40">
        <v>370</v>
      </c>
      <c r="Y40">
        <v>4000</v>
      </c>
      <c r="Z40">
        <v>2200</v>
      </c>
      <c r="AB40">
        <v>550</v>
      </c>
      <c r="AF40">
        <v>1110</v>
      </c>
      <c r="AG40">
        <v>1050</v>
      </c>
      <c r="AH40">
        <v>1360</v>
      </c>
      <c r="AJ40">
        <v>310</v>
      </c>
      <c r="AL40">
        <v>1700</v>
      </c>
      <c r="AN40">
        <v>150</v>
      </c>
      <c r="AP40">
        <v>1000</v>
      </c>
      <c r="AS40">
        <v>2430</v>
      </c>
      <c r="AT40">
        <v>2200</v>
      </c>
      <c r="AU40">
        <v>1000</v>
      </c>
      <c r="AV40">
        <v>1850</v>
      </c>
      <c r="AW40">
        <v>2160</v>
      </c>
      <c r="AX40" t="s">
        <v>151</v>
      </c>
    </row>
    <row r="41" spans="1:50" x14ac:dyDescent="0.25">
      <c r="A41" t="str">
        <f>D1_ENERO_2025[[#This Row],[SUPER2]]</f>
        <v>LUIS</v>
      </c>
      <c r="B41" t="s">
        <v>121</v>
      </c>
      <c r="C41">
        <f>VLOOKUP(D1_ENERO_2025[[#This Row],[SUPER]],DATA_ENERO_2025[[SUPERVISOR]:[META]],3,0)</f>
        <v>21000</v>
      </c>
      <c r="D41">
        <f>D1_ENERO_2025[[#This Row],[RECUPERO]]/C41</f>
        <v>0</v>
      </c>
      <c r="E41" t="s">
        <v>9</v>
      </c>
      <c r="F41" t="s">
        <v>121</v>
      </c>
      <c r="G41">
        <v>0</v>
      </c>
      <c r="H41" t="s">
        <v>417</v>
      </c>
      <c r="I41" s="56">
        <v>44510</v>
      </c>
      <c r="J41" s="56" t="s">
        <v>501</v>
      </c>
      <c r="K41" s="56"/>
      <c r="L41" s="56"/>
      <c r="M41" s="1">
        <f>DATA_ENERO_2025[[#This Row],[RECUPERO]]/DATA_ENERO_2025[[#This Row],[META]]</f>
        <v>0.8398736206896551</v>
      </c>
      <c r="N41" t="str" cm="1">
        <f t="array" ref="N41">IF(DATA_ENERO_2025[[#This Row],[ASER_]]="","",IFERROR(_xlfn.IFS(M41&gt;=100%,"&gt;100%",AND(M41&lt;100%,M41&gt;=70%),"&gt;70%",AND(M41&lt;70%,M41&gt;=40%),"&gt;40%",AND(M41&lt;40%,M41&gt;=0%),"&gt;0%"),""))</f>
        <v>&gt;70%</v>
      </c>
      <c r="O41" t="s">
        <v>4</v>
      </c>
      <c r="P41">
        <f>SUM(DATA_ENERO_2025[[#This Row],[1]:[31]])</f>
        <v>48712.67</v>
      </c>
      <c r="Q41">
        <v>58000</v>
      </c>
      <c r="R41" t="s">
        <v>122</v>
      </c>
      <c r="U41">
        <v>0</v>
      </c>
      <c r="V41">
        <v>4065</v>
      </c>
      <c r="AF41">
        <v>11800</v>
      </c>
      <c r="AG41">
        <v>10337.67</v>
      </c>
      <c r="AH41">
        <v>600</v>
      </c>
      <c r="AL41">
        <v>3000</v>
      </c>
      <c r="AM41">
        <v>1870</v>
      </c>
      <c r="AP41">
        <v>2000</v>
      </c>
      <c r="AS41">
        <v>2540</v>
      </c>
      <c r="AT41">
        <v>2200</v>
      </c>
      <c r="AV41">
        <v>1000</v>
      </c>
      <c r="AW41">
        <v>9300</v>
      </c>
      <c r="AX41" t="s">
        <v>150</v>
      </c>
    </row>
    <row r="42" spans="1:50" x14ac:dyDescent="0.25">
      <c r="A42" t="str">
        <f>D1_ENERO_2025[[#This Row],[SUPER2]]</f>
        <v>LUIS</v>
      </c>
      <c r="B42" t="s">
        <v>70</v>
      </c>
      <c r="C42">
        <f>VLOOKUP(D1_ENERO_2025[[#This Row],[SUPER]],DATA_ENERO_2025[[SUPERVISOR]:[META]],3,0)</f>
        <v>21000</v>
      </c>
      <c r="D42">
        <f>D1_ENERO_2025[[#This Row],[RECUPERO]]/C42</f>
        <v>0.82548095238095232</v>
      </c>
      <c r="E42" t="s">
        <v>9</v>
      </c>
      <c r="F42" t="s">
        <v>70</v>
      </c>
      <c r="G42">
        <v>17335.099999999999</v>
      </c>
      <c r="H42" t="s">
        <v>418</v>
      </c>
      <c r="I42" s="56">
        <v>44971</v>
      </c>
      <c r="J42" s="56" t="s">
        <v>501</v>
      </c>
      <c r="K42" s="56"/>
      <c r="L42" s="56"/>
      <c r="M42" s="1">
        <f>DATA_ENERO_2025[[#This Row],[RECUPERO]]/DATA_ENERO_2025[[#This Row],[META]]</f>
        <v>0.65124137931034487</v>
      </c>
      <c r="N42" t="str" cm="1">
        <f t="array" ref="N42">IF(DATA_ENERO_2025[[#This Row],[ASER_]]="","",IFERROR(_xlfn.IFS(M42&gt;=100%,"&gt;100%",AND(M42&lt;100%,M42&gt;=70%),"&gt;70%",AND(M42&lt;70%,M42&gt;=40%),"&gt;40%",AND(M42&lt;40%,M42&gt;=0%),"&gt;0%"),""))</f>
        <v>&gt;40%</v>
      </c>
      <c r="O42" t="s">
        <v>5</v>
      </c>
      <c r="P42">
        <f>SUM(DATA_ENERO_2025[[#This Row],[1]:[31]])</f>
        <v>37772</v>
      </c>
      <c r="Q42">
        <v>58000</v>
      </c>
      <c r="R42" t="s">
        <v>116</v>
      </c>
      <c r="W42">
        <v>700</v>
      </c>
      <c r="AA42">
        <v>852</v>
      </c>
      <c r="AH42">
        <v>500</v>
      </c>
      <c r="AI42">
        <v>450</v>
      </c>
      <c r="AJ42">
        <v>6000</v>
      </c>
      <c r="AP42">
        <v>1000</v>
      </c>
      <c r="AT42">
        <v>800</v>
      </c>
      <c r="AU42">
        <v>9000</v>
      </c>
      <c r="AV42">
        <v>12470</v>
      </c>
      <c r="AW42">
        <v>6000</v>
      </c>
      <c r="AX42" t="s">
        <v>150</v>
      </c>
    </row>
    <row r="43" spans="1:50" x14ac:dyDescent="0.25">
      <c r="A43" t="str">
        <f>D1_ENERO_2025[[#This Row],[SUPER2]]</f>
        <v>LUIS</v>
      </c>
      <c r="B43" t="s">
        <v>103</v>
      </c>
      <c r="C43">
        <f>VLOOKUP(D1_ENERO_2025[[#This Row],[SUPER]],DATA_ENERO_2025[[SUPERVISOR]:[META]],3,0)</f>
        <v>21000</v>
      </c>
      <c r="D43">
        <f>D1_ENERO_2025[[#This Row],[RECUPERO]]/C43</f>
        <v>0.56958571428571425</v>
      </c>
      <c r="E43" t="s">
        <v>9</v>
      </c>
      <c r="F43" t="s">
        <v>103</v>
      </c>
      <c r="G43">
        <v>11961.3</v>
      </c>
      <c r="H43" t="s">
        <v>419</v>
      </c>
      <c r="I43" s="56">
        <v>45451</v>
      </c>
      <c r="J43" s="56" t="s">
        <v>501</v>
      </c>
      <c r="K43" s="56"/>
      <c r="L43" s="56"/>
      <c r="M43" s="1">
        <f>DATA_ENERO_2025[[#This Row],[RECUPERO]]/DATA_ENERO_2025[[#This Row],[META]]</f>
        <v>0.57030303030303031</v>
      </c>
      <c r="N43" t="str" cm="1">
        <f t="array" ref="N43">IF(DATA_ENERO_2025[[#This Row],[ASER_]]="","",IFERROR(_xlfn.IFS(M43&gt;=100%,"&gt;100%",AND(M43&lt;100%,M43&gt;=70%),"&gt;70%",AND(M43&lt;70%,M43&gt;=40%),"&gt;40%",AND(M43&lt;40%,M43&gt;=0%),"&gt;0%"),""))</f>
        <v>&gt;40%</v>
      </c>
      <c r="O43" t="s">
        <v>115</v>
      </c>
      <c r="P43">
        <f>SUM(DATA_ENERO_2025[[#This Row],[1]:[31]])</f>
        <v>9410</v>
      </c>
      <c r="Q43">
        <v>16500</v>
      </c>
      <c r="R43" t="s">
        <v>96</v>
      </c>
      <c r="AB43">
        <v>100</v>
      </c>
      <c r="AE43">
        <v>300</v>
      </c>
      <c r="AG43">
        <v>1260</v>
      </c>
      <c r="AH43">
        <v>3050</v>
      </c>
      <c r="AI43">
        <v>400</v>
      </c>
      <c r="AJ43">
        <v>320</v>
      </c>
      <c r="AL43">
        <v>182</v>
      </c>
      <c r="AM43">
        <v>1300</v>
      </c>
      <c r="AO43">
        <v>985</v>
      </c>
      <c r="AT43">
        <v>1113</v>
      </c>
      <c r="AW43">
        <v>400</v>
      </c>
      <c r="AX43" t="s">
        <v>151</v>
      </c>
    </row>
    <row r="44" spans="1:50" x14ac:dyDescent="0.25">
      <c r="A44" t="str">
        <f>D1_ENERO_2025[[#This Row],[SUPER2]]</f>
        <v>LUIS</v>
      </c>
      <c r="B44" t="s">
        <v>73</v>
      </c>
      <c r="C44">
        <f>VLOOKUP(D1_ENERO_2025[[#This Row],[SUPER]],DATA_ENERO_2025[[SUPERVISOR]:[META]],3,0)</f>
        <v>21000</v>
      </c>
      <c r="D44">
        <f>D1_ENERO_2025[[#This Row],[RECUPERO]]/C44</f>
        <v>0.42004761904761906</v>
      </c>
      <c r="E44" t="s">
        <v>9</v>
      </c>
      <c r="F44" t="s">
        <v>73</v>
      </c>
      <c r="G44">
        <v>8821</v>
      </c>
      <c r="H44" t="s">
        <v>420</v>
      </c>
      <c r="I44" s="56">
        <v>45145</v>
      </c>
      <c r="J44" s="56" t="s">
        <v>501</v>
      </c>
      <c r="K44" s="56"/>
      <c r="L44" s="56"/>
      <c r="M44" s="1">
        <f>DATA_ENERO_2025[[#This Row],[RECUPERO]]/DATA_ENERO_2025[[#This Row],[META]]</f>
        <v>0.15939393939393939</v>
      </c>
      <c r="N44" t="str" cm="1">
        <f t="array" ref="N44">IF(DATA_ENERO_2025[[#This Row],[ASER_]]="","",IFERROR(_xlfn.IFS(M44&gt;=100%,"&gt;100%",AND(M44&lt;100%,M44&gt;=70%),"&gt;70%",AND(M44&lt;70%,M44&gt;=40%),"&gt;40%",AND(M44&lt;40%,M44&gt;=0%),"&gt;0%"),""))</f>
        <v>&gt;0%</v>
      </c>
      <c r="O44" t="s">
        <v>115</v>
      </c>
      <c r="P44">
        <f>SUM(DATA_ENERO_2025[[#This Row],[1]:[31]])</f>
        <v>2630</v>
      </c>
      <c r="Q44">
        <v>16500</v>
      </c>
      <c r="R44" t="s">
        <v>65</v>
      </c>
      <c r="AF44">
        <v>1105</v>
      </c>
      <c r="AG44">
        <v>175</v>
      </c>
      <c r="AN44">
        <v>200</v>
      </c>
      <c r="AS44">
        <v>250</v>
      </c>
      <c r="AT44">
        <v>150</v>
      </c>
      <c r="AV44">
        <v>55</v>
      </c>
      <c r="AW44">
        <v>695</v>
      </c>
      <c r="AX44" t="s">
        <v>151</v>
      </c>
    </row>
    <row r="45" spans="1:50" x14ac:dyDescent="0.25">
      <c r="A45" t="str">
        <f>D1_ENERO_2025[[#This Row],[SUPER2]]</f>
        <v>LUIS</v>
      </c>
      <c r="B45" t="s">
        <v>48</v>
      </c>
      <c r="C45">
        <f>VLOOKUP(D1_ENERO_2025[[#This Row],[SUPER]],DATA_ENERO_2025[[SUPERVISOR]:[META]],3,0)</f>
        <v>21000</v>
      </c>
      <c r="D45">
        <f>D1_ENERO_2025[[#This Row],[RECUPERO]]/C45</f>
        <v>0.44082380952380951</v>
      </c>
      <c r="E45" t="s">
        <v>9</v>
      </c>
      <c r="F45" t="s">
        <v>48</v>
      </c>
      <c r="G45">
        <v>9257.2999999999993</v>
      </c>
      <c r="H45" t="s">
        <v>421</v>
      </c>
      <c r="I45" s="56">
        <v>44748</v>
      </c>
      <c r="J45" s="56" t="s">
        <v>501</v>
      </c>
      <c r="K45" s="56"/>
      <c r="L45" s="56"/>
      <c r="M45" s="1">
        <f>DATA_ENERO_2025[[#This Row],[RECUPERO]]/DATA_ENERO_2025[[#This Row],[META]]</f>
        <v>0.41710189655172414</v>
      </c>
      <c r="N45" t="str" cm="1">
        <f t="array" ref="N45">IF(DATA_ENERO_2025[[#This Row],[ASER_]]="","",IFERROR(_xlfn.IFS(M45&gt;=100%,"&gt;100%",AND(M45&lt;100%,M45&gt;=70%),"&gt;70%",AND(M45&lt;70%,M45&gt;=40%),"&gt;40%",AND(M45&lt;40%,M45&gt;=0%),"&gt;0%"),""))</f>
        <v>&gt;40%</v>
      </c>
      <c r="O45" t="s">
        <v>4</v>
      </c>
      <c r="P45">
        <f>SUM(DATA_ENERO_2025[[#This Row],[1]:[31]])</f>
        <v>24191.91</v>
      </c>
      <c r="Q45">
        <v>58000</v>
      </c>
      <c r="R45" t="s">
        <v>20</v>
      </c>
      <c r="T45">
        <v>590</v>
      </c>
      <c r="X45">
        <v>554</v>
      </c>
      <c r="Y45">
        <v>1100</v>
      </c>
      <c r="AE45">
        <v>14600</v>
      </c>
      <c r="AG45">
        <v>1632.91</v>
      </c>
      <c r="AM45">
        <v>200</v>
      </c>
      <c r="AP45">
        <v>3800</v>
      </c>
      <c r="AT45">
        <v>115</v>
      </c>
      <c r="AV45">
        <v>1600</v>
      </c>
      <c r="AX45" t="s">
        <v>150</v>
      </c>
    </row>
    <row r="46" spans="1:50" x14ac:dyDescent="0.25">
      <c r="A46" t="str">
        <f>D1_ENERO_2025[[#This Row],[SUPER2]]</f>
        <v>MELINA</v>
      </c>
      <c r="B46" t="s">
        <v>109</v>
      </c>
      <c r="C46">
        <f>VLOOKUP(D1_ENERO_2025[[#This Row],[SUPER]],DATA_ENERO_2025[[SUPERVISOR]:[META]],3,0)</f>
        <v>58000</v>
      </c>
      <c r="D46">
        <f>D1_ENERO_2025[[#This Row],[RECUPERO]]/C46</f>
        <v>0</v>
      </c>
      <c r="E46" t="s">
        <v>4</v>
      </c>
      <c r="F46" t="s">
        <v>109</v>
      </c>
      <c r="G46">
        <v>0</v>
      </c>
      <c r="H46" t="s">
        <v>422</v>
      </c>
      <c r="I46" s="56">
        <v>45334</v>
      </c>
      <c r="J46" s="56" t="s">
        <v>501</v>
      </c>
      <c r="K46" s="56"/>
      <c r="L46" s="56"/>
      <c r="M46" s="1">
        <f>DATA_ENERO_2025[[#This Row],[RECUPERO]]/DATA_ENERO_2025[[#This Row],[META]]</f>
        <v>1.0635238095238095</v>
      </c>
      <c r="N46" t="str" cm="1">
        <f t="array" ref="N46">IF(DATA_ENERO_2025[[#This Row],[ASER_]]="","",IFERROR(_xlfn.IFS(M46&gt;=100%,"&gt;100%",AND(M46&lt;100%,M46&gt;=70%),"&gt;70%",AND(M46&lt;70%,M46&gt;=40%),"&gt;40%",AND(M46&lt;40%,M46&gt;=0%),"&gt;0%"),""))</f>
        <v>&gt;100%</v>
      </c>
      <c r="O46" t="s">
        <v>6</v>
      </c>
      <c r="P46">
        <f>SUM(DATA_ENERO_2025[[#This Row],[1]:[31]])</f>
        <v>22334</v>
      </c>
      <c r="Q46">
        <v>21000</v>
      </c>
      <c r="R46" t="s">
        <v>37</v>
      </c>
      <c r="T46">
        <v>100</v>
      </c>
      <c r="U46">
        <v>4000</v>
      </c>
      <c r="X46">
        <v>1150</v>
      </c>
      <c r="Y46">
        <v>1700</v>
      </c>
      <c r="Z46">
        <v>284</v>
      </c>
      <c r="AA46">
        <v>308</v>
      </c>
      <c r="AC46">
        <v>50</v>
      </c>
      <c r="AE46">
        <v>397</v>
      </c>
      <c r="AG46">
        <v>6927</v>
      </c>
      <c r="AM46">
        <v>3300</v>
      </c>
      <c r="AP46">
        <v>390</v>
      </c>
      <c r="AQ46">
        <v>578</v>
      </c>
      <c r="AW46">
        <v>3150</v>
      </c>
      <c r="AX46" t="s">
        <v>152</v>
      </c>
    </row>
    <row r="47" spans="1:50" x14ac:dyDescent="0.25">
      <c r="A47" t="str">
        <f>D1_ENERO_2025[[#This Row],[SUPER2]]</f>
        <v>MELINA</v>
      </c>
      <c r="B47" t="s">
        <v>60</v>
      </c>
      <c r="C47">
        <f>VLOOKUP(D1_ENERO_2025[[#This Row],[SUPER]],DATA_ENERO_2025[[SUPERVISOR]:[META]],3,0)</f>
        <v>58000</v>
      </c>
      <c r="D47">
        <f>D1_ENERO_2025[[#This Row],[RECUPERO]]/C47</f>
        <v>1.3566206896551725</v>
      </c>
      <c r="E47" t="s">
        <v>4</v>
      </c>
      <c r="F47" t="s">
        <v>60</v>
      </c>
      <c r="G47">
        <v>78684</v>
      </c>
      <c r="H47" t="s">
        <v>423</v>
      </c>
      <c r="I47" s="56">
        <v>45323</v>
      </c>
      <c r="J47" s="56" t="s">
        <v>501</v>
      </c>
      <c r="K47" s="56"/>
      <c r="L47" s="56"/>
      <c r="M47" s="1">
        <f>DATA_ENERO_2025[[#This Row],[RECUPERO]]/DATA_ENERO_2025[[#This Row],[META]]</f>
        <v>0.65109090909090905</v>
      </c>
      <c r="N47" t="str" cm="1">
        <f t="array" ref="N47">IF(DATA_ENERO_2025[[#This Row],[ASER_]]="","",IFERROR(_xlfn.IFS(M47&gt;=100%,"&gt;100%",AND(M47&lt;100%,M47&gt;=70%),"&gt;70%",AND(M47&lt;70%,M47&gt;=40%),"&gt;40%",AND(M47&lt;40%,M47&gt;=0%),"&gt;0%"),""))</f>
        <v>&gt;40%</v>
      </c>
      <c r="O47" t="s">
        <v>2</v>
      </c>
      <c r="P47">
        <f>SUM(DATA_ENERO_2025[[#This Row],[1]:[31]])</f>
        <v>14324</v>
      </c>
      <c r="Q47">
        <v>22000</v>
      </c>
      <c r="R47" t="s">
        <v>106</v>
      </c>
      <c r="T47">
        <v>1300</v>
      </c>
      <c r="Y47">
        <v>330</v>
      </c>
      <c r="Z47">
        <v>600</v>
      </c>
      <c r="AE47">
        <v>315</v>
      </c>
      <c r="AI47">
        <v>232</v>
      </c>
      <c r="AJ47">
        <v>286</v>
      </c>
      <c r="AN47">
        <v>210</v>
      </c>
      <c r="AO47">
        <v>500</v>
      </c>
      <c r="AP47">
        <v>252</v>
      </c>
      <c r="AS47">
        <v>1200</v>
      </c>
      <c r="AT47">
        <v>799</v>
      </c>
      <c r="AU47">
        <v>800</v>
      </c>
      <c r="AV47">
        <v>650</v>
      </c>
      <c r="AW47">
        <v>6850</v>
      </c>
      <c r="AX47" t="s">
        <v>151</v>
      </c>
    </row>
    <row r="48" spans="1:50" x14ac:dyDescent="0.25">
      <c r="A48" t="str">
        <f>D1_ENERO_2025[[#This Row],[SUPER2]]</f>
        <v>MELINA</v>
      </c>
      <c r="B48" t="s">
        <v>40</v>
      </c>
      <c r="C48">
        <f>VLOOKUP(D1_ENERO_2025[[#This Row],[SUPER]],DATA_ENERO_2025[[SUPERVISOR]:[META]],3,0)</f>
        <v>58000</v>
      </c>
      <c r="D48">
        <f>D1_ENERO_2025[[#This Row],[RECUPERO]]/C48</f>
        <v>0.37945879310344827</v>
      </c>
      <c r="E48" t="s">
        <v>4</v>
      </c>
      <c r="F48" t="s">
        <v>40</v>
      </c>
      <c r="G48">
        <v>22008.61</v>
      </c>
      <c r="H48" t="s">
        <v>424</v>
      </c>
      <c r="I48" s="56">
        <v>45429</v>
      </c>
      <c r="J48" s="56" t="s">
        <v>501</v>
      </c>
      <c r="K48" s="56"/>
      <c r="L48" s="56"/>
      <c r="M48" s="1">
        <f>DATA_ENERO_2025[[#This Row],[RECUPERO]]/DATA_ENERO_2025[[#This Row],[META]]</f>
        <v>0.15022413793103448</v>
      </c>
      <c r="N48" t="str" cm="1">
        <f t="array" ref="N48">IF(DATA_ENERO_2025[[#This Row],[ASER_]]="","",IFERROR(_xlfn.IFS(M48&gt;=100%,"&gt;100%",AND(M48&lt;100%,M48&gt;=70%),"&gt;70%",AND(M48&lt;70%,M48&gt;=40%),"&gt;40%",AND(M48&lt;40%,M48&gt;=0%),"&gt;0%"),""))</f>
        <v>&gt;0%</v>
      </c>
      <c r="O48" t="s">
        <v>3</v>
      </c>
      <c r="P48">
        <f>SUM(DATA_ENERO_2025[[#This Row],[1]:[31]])</f>
        <v>8713</v>
      </c>
      <c r="Q48">
        <v>58000</v>
      </c>
      <c r="R48" t="s">
        <v>123</v>
      </c>
      <c r="U48">
        <v>600</v>
      </c>
      <c r="AG48">
        <v>800</v>
      </c>
      <c r="AL48">
        <v>0</v>
      </c>
      <c r="AN48">
        <v>1410</v>
      </c>
      <c r="AP48">
        <v>5000</v>
      </c>
      <c r="AS48">
        <v>0</v>
      </c>
      <c r="AV48">
        <v>400</v>
      </c>
      <c r="AW48">
        <v>503</v>
      </c>
      <c r="AX48" t="s">
        <v>150</v>
      </c>
    </row>
    <row r="49" spans="1:50" x14ac:dyDescent="0.25">
      <c r="A49" t="str">
        <f>D1_ENERO_2025[[#This Row],[SUPER2]]</f>
        <v>MELINA</v>
      </c>
      <c r="B49" t="s">
        <v>81</v>
      </c>
      <c r="C49">
        <f>VLOOKUP(D1_ENERO_2025[[#This Row],[SUPER]],DATA_ENERO_2025[[SUPERVISOR]:[META]],3,0)</f>
        <v>58000</v>
      </c>
      <c r="D49">
        <f>D1_ENERO_2025[[#This Row],[RECUPERO]]/C49</f>
        <v>0.40105172413793105</v>
      </c>
      <c r="E49" t="s">
        <v>4</v>
      </c>
      <c r="F49" t="s">
        <v>81</v>
      </c>
      <c r="G49">
        <v>23261</v>
      </c>
      <c r="H49" t="s">
        <v>425</v>
      </c>
      <c r="I49" s="56">
        <v>45506</v>
      </c>
      <c r="J49" s="56" t="s">
        <v>501</v>
      </c>
      <c r="K49" s="56"/>
      <c r="L49" s="56"/>
      <c r="M49" s="1">
        <f>DATA_ENERO_2025[[#This Row],[RECUPERO]]/DATA_ENERO_2025[[#This Row],[META]]</f>
        <v>0.57263636363636361</v>
      </c>
      <c r="N49" t="str" cm="1">
        <f t="array" ref="N49">IF(DATA_ENERO_2025[[#This Row],[ASER_]]="","",IFERROR(_xlfn.IFS(M49&gt;=100%,"&gt;100%",AND(M49&lt;100%,M49&gt;=70%),"&gt;70%",AND(M49&lt;70%,M49&gt;=40%),"&gt;40%",AND(M49&lt;40%,M49&gt;=0%),"&gt;0%"),""))</f>
        <v>&gt;40%</v>
      </c>
      <c r="O49" t="s">
        <v>2</v>
      </c>
      <c r="P49">
        <f>SUM(DATA_ENERO_2025[[#This Row],[1]:[31]])</f>
        <v>12598</v>
      </c>
      <c r="Q49">
        <v>22000</v>
      </c>
      <c r="R49" t="s">
        <v>77</v>
      </c>
      <c r="X49">
        <v>266</v>
      </c>
      <c r="Y49">
        <v>1000</v>
      </c>
      <c r="AH49">
        <v>1100</v>
      </c>
      <c r="AI49">
        <v>234</v>
      </c>
      <c r="AL49">
        <v>1000</v>
      </c>
      <c r="AN49">
        <v>500</v>
      </c>
      <c r="AO49">
        <v>330</v>
      </c>
      <c r="AQ49">
        <v>100</v>
      </c>
      <c r="AS49">
        <v>620</v>
      </c>
      <c r="AT49">
        <v>448</v>
      </c>
      <c r="AU49">
        <v>2597</v>
      </c>
      <c r="AW49">
        <v>4403</v>
      </c>
      <c r="AX49" t="s">
        <v>151</v>
      </c>
    </row>
    <row r="50" spans="1:50" x14ac:dyDescent="0.25">
      <c r="A50" t="str">
        <f>D1_ENERO_2025[[#This Row],[SUPER2]]</f>
        <v>MELINA</v>
      </c>
      <c r="B50" t="s">
        <v>122</v>
      </c>
      <c r="C50">
        <f>VLOOKUP(D1_ENERO_2025[[#This Row],[SUPER]],DATA_ENERO_2025[[SUPERVISOR]:[META]],3,0)</f>
        <v>58000</v>
      </c>
      <c r="D50">
        <f>D1_ENERO_2025[[#This Row],[RECUPERO]]/C50</f>
        <v>0.8398736206896551</v>
      </c>
      <c r="E50" t="s">
        <v>4</v>
      </c>
      <c r="F50" t="s">
        <v>122</v>
      </c>
      <c r="G50">
        <v>48712.67</v>
      </c>
      <c r="H50" t="s">
        <v>426</v>
      </c>
      <c r="I50" s="56">
        <v>45082</v>
      </c>
      <c r="J50" s="56" t="s">
        <v>501</v>
      </c>
      <c r="K50" s="56"/>
      <c r="L50" s="56"/>
      <c r="M50" s="1">
        <f>DATA_ENERO_2025[[#This Row],[RECUPERO]]/DATA_ENERO_2025[[#This Row],[META]]</f>
        <v>1.0185714285714285</v>
      </c>
      <c r="N50" t="str" cm="1">
        <f t="array" ref="N50">IF(DATA_ENERO_2025[[#This Row],[ASER_]]="","",IFERROR(_xlfn.IFS(M50&gt;=100%,"&gt;100%",AND(M50&lt;100%,M50&gt;=70%),"&gt;70%",AND(M50&lt;70%,M50&gt;=40%),"&gt;40%",AND(M50&lt;40%,M50&gt;=0%),"&gt;0%"),""))</f>
        <v>&gt;100%</v>
      </c>
      <c r="O50" t="s">
        <v>6</v>
      </c>
      <c r="P50">
        <f>SUM(DATA_ENERO_2025[[#This Row],[1]:[31]])</f>
        <v>21390</v>
      </c>
      <c r="Q50">
        <v>21000</v>
      </c>
      <c r="R50" t="s">
        <v>35</v>
      </c>
      <c r="Z50">
        <v>8000</v>
      </c>
      <c r="AB50">
        <v>400</v>
      </c>
      <c r="AE50">
        <v>1350</v>
      </c>
      <c r="AG50">
        <v>900</v>
      </c>
      <c r="AH50">
        <v>400</v>
      </c>
      <c r="AI50">
        <v>1600</v>
      </c>
      <c r="AL50">
        <v>3000</v>
      </c>
      <c r="AN50">
        <v>2100</v>
      </c>
      <c r="AS50">
        <v>1800</v>
      </c>
      <c r="AV50">
        <v>300</v>
      </c>
      <c r="AW50">
        <v>1540</v>
      </c>
      <c r="AX50" t="s">
        <v>152</v>
      </c>
    </row>
    <row r="51" spans="1:50" x14ac:dyDescent="0.25">
      <c r="A51" t="str">
        <f>D1_ENERO_2025[[#This Row],[SUPER2]]</f>
        <v>MELINA</v>
      </c>
      <c r="B51" t="s">
        <v>20</v>
      </c>
      <c r="C51">
        <f>VLOOKUP(D1_ENERO_2025[[#This Row],[SUPER]],DATA_ENERO_2025[[SUPERVISOR]:[META]],3,0)</f>
        <v>58000</v>
      </c>
      <c r="D51">
        <f>D1_ENERO_2025[[#This Row],[RECUPERO]]/C51</f>
        <v>0.41710189655172414</v>
      </c>
      <c r="E51" t="s">
        <v>4</v>
      </c>
      <c r="F51" t="s">
        <v>20</v>
      </c>
      <c r="G51">
        <v>24191.91</v>
      </c>
      <c r="H51" t="s">
        <v>427</v>
      </c>
      <c r="I51" s="56">
        <v>45142</v>
      </c>
      <c r="J51" s="56" t="s">
        <v>501</v>
      </c>
      <c r="K51" s="56"/>
      <c r="L51" s="56"/>
      <c r="M51" s="1">
        <f>DATA_ENERO_2025[[#This Row],[RECUPERO]]/DATA_ENERO_2025[[#This Row],[META]]</f>
        <v>0.38954545454545453</v>
      </c>
      <c r="N51" t="str" cm="1">
        <f t="array" ref="N51">IF(DATA_ENERO_2025[[#This Row],[ASER_]]="","",IFERROR(_xlfn.IFS(M51&gt;=100%,"&gt;100%",AND(M51&lt;100%,M51&gt;=70%),"&gt;70%",AND(M51&lt;70%,M51&gt;=40%),"&gt;40%",AND(M51&lt;40%,M51&gt;=0%),"&gt;0%"),""))</f>
        <v>&gt;0%</v>
      </c>
      <c r="O51" t="s">
        <v>2</v>
      </c>
      <c r="P51">
        <f>SUM(DATA_ENERO_2025[[#This Row],[1]:[31]])</f>
        <v>8570</v>
      </c>
      <c r="Q51">
        <v>22000</v>
      </c>
      <c r="R51" t="s">
        <v>46</v>
      </c>
      <c r="AA51">
        <v>250</v>
      </c>
      <c r="AB51">
        <v>1500</v>
      </c>
      <c r="AG51">
        <v>570</v>
      </c>
      <c r="AO51">
        <v>4000</v>
      </c>
      <c r="AS51">
        <v>500</v>
      </c>
      <c r="AU51">
        <v>200</v>
      </c>
      <c r="AV51">
        <v>550</v>
      </c>
      <c r="AW51">
        <v>1000</v>
      </c>
      <c r="AX51" t="s">
        <v>151</v>
      </c>
    </row>
    <row r="52" spans="1:50" x14ac:dyDescent="0.25">
      <c r="A52" t="str">
        <f>D1_ENERO_2025[[#This Row],[SUPER2]]</f>
        <v>MELINA</v>
      </c>
      <c r="B52" t="s">
        <v>75</v>
      </c>
      <c r="C52">
        <f>VLOOKUP(D1_ENERO_2025[[#This Row],[SUPER]],DATA_ENERO_2025[[SUPERVISOR]:[META]],3,0)</f>
        <v>58000</v>
      </c>
      <c r="D52">
        <f>D1_ENERO_2025[[#This Row],[RECUPERO]]/C52</f>
        <v>1.4346522413793104</v>
      </c>
      <c r="E52" t="s">
        <v>4</v>
      </c>
      <c r="F52" t="s">
        <v>75</v>
      </c>
      <c r="G52">
        <v>83209.83</v>
      </c>
      <c r="H52" t="s">
        <v>428</v>
      </c>
      <c r="I52" s="56">
        <v>44716</v>
      </c>
      <c r="J52" s="56" t="s">
        <v>501</v>
      </c>
      <c r="K52" s="56"/>
      <c r="L52" s="56"/>
      <c r="M52" s="1">
        <f>DATA_ENERO_2025[[#This Row],[RECUPERO]]/DATA_ENERO_2025[[#This Row],[META]]</f>
        <v>0.24771428571428572</v>
      </c>
      <c r="N52" t="str" cm="1">
        <f t="array" ref="N52">IF(DATA_ENERO_2025[[#This Row],[ASER_]]="","",IFERROR(_xlfn.IFS(M52&gt;=100%,"&gt;100%",AND(M52&lt;100%,M52&gt;=70%),"&gt;70%",AND(M52&lt;70%,M52&gt;=40%),"&gt;40%",AND(M52&lt;40%,M52&gt;=0%),"&gt;0%"),""))</f>
        <v>&gt;0%</v>
      </c>
      <c r="O52" t="s">
        <v>6</v>
      </c>
      <c r="P52">
        <f>SUM(DATA_ENERO_2025[[#This Row],[1]:[31]])</f>
        <v>5202</v>
      </c>
      <c r="Q52">
        <v>21000</v>
      </c>
      <c r="R52" t="s">
        <v>50</v>
      </c>
      <c r="Y52">
        <v>532</v>
      </c>
      <c r="Z52">
        <v>850</v>
      </c>
      <c r="AA52">
        <v>300</v>
      </c>
      <c r="AL52">
        <v>1000</v>
      </c>
      <c r="AN52">
        <v>270</v>
      </c>
      <c r="AO52">
        <v>1350</v>
      </c>
      <c r="AS52">
        <v>400</v>
      </c>
      <c r="AV52">
        <v>500</v>
      </c>
      <c r="AX52" t="s">
        <v>152</v>
      </c>
    </row>
    <row r="53" spans="1:50" x14ac:dyDescent="0.25">
      <c r="A53" t="str">
        <f>D1_ENERO_2025[[#This Row],[SUPER2]]</f>
        <v>MELINA</v>
      </c>
      <c r="B53" t="s">
        <v>11</v>
      </c>
      <c r="C53">
        <f>VLOOKUP(D1_ENERO_2025[[#This Row],[SUPER]],DATA_ENERO_2025[[SUPERVISOR]:[META]],3,0)</f>
        <v>58000</v>
      </c>
      <c r="D53">
        <f>D1_ENERO_2025[[#This Row],[RECUPERO]]/C53</f>
        <v>0.82920689655172419</v>
      </c>
      <c r="E53" t="s">
        <v>4</v>
      </c>
      <c r="F53" t="s">
        <v>11</v>
      </c>
      <c r="G53">
        <v>48094</v>
      </c>
      <c r="H53" t="s">
        <v>429</v>
      </c>
      <c r="I53" s="56">
        <v>45371</v>
      </c>
      <c r="J53" s="56" t="s">
        <v>501</v>
      </c>
      <c r="K53" s="56"/>
      <c r="L53" s="56"/>
      <c r="M53" s="1">
        <f>DATA_ENERO_2025[[#This Row],[RECUPERO]]/DATA_ENERO_2025[[#This Row],[META]]</f>
        <v>0.7518424242424242</v>
      </c>
      <c r="N53" t="str" cm="1">
        <f t="array" ref="N53">IF(DATA_ENERO_2025[[#This Row],[ASER_]]="","",IFERROR(_xlfn.IFS(M53&gt;=100%,"&gt;100%",AND(M53&lt;100%,M53&gt;=70%),"&gt;70%",AND(M53&lt;70%,M53&gt;=40%),"&gt;40%",AND(M53&lt;40%,M53&gt;=0%),"&gt;0%"),""))</f>
        <v>&gt;70%</v>
      </c>
      <c r="O53" t="s">
        <v>115</v>
      </c>
      <c r="P53">
        <f>SUM(DATA_ENERO_2025[[#This Row],[1]:[31]])</f>
        <v>12405.4</v>
      </c>
      <c r="Q53">
        <v>16500</v>
      </c>
      <c r="R53" t="s">
        <v>33</v>
      </c>
      <c r="Y53">
        <v>610</v>
      </c>
      <c r="AB53">
        <v>540</v>
      </c>
      <c r="AE53">
        <v>708.4</v>
      </c>
      <c r="AF53">
        <v>1300</v>
      </c>
      <c r="AG53">
        <v>850</v>
      </c>
      <c r="AH53">
        <v>210</v>
      </c>
      <c r="AI53">
        <v>516</v>
      </c>
      <c r="AJ53">
        <v>194</v>
      </c>
      <c r="AL53">
        <v>1950</v>
      </c>
      <c r="AM53">
        <v>600</v>
      </c>
      <c r="AO53">
        <v>1000</v>
      </c>
      <c r="AP53">
        <v>1377</v>
      </c>
      <c r="AQ53">
        <v>1600</v>
      </c>
      <c r="AU53">
        <v>450</v>
      </c>
      <c r="AV53">
        <v>500</v>
      </c>
      <c r="AX53" t="s">
        <v>151</v>
      </c>
    </row>
    <row r="54" spans="1:50" x14ac:dyDescent="0.25">
      <c r="A54" t="str">
        <f>D1_ENERO_2025[[#This Row],[SUPER2]]</f>
        <v>MELINA</v>
      </c>
      <c r="B54" t="s">
        <v>59</v>
      </c>
      <c r="C54">
        <f>VLOOKUP(D1_ENERO_2025[[#This Row],[SUPER]],DATA_ENERO_2025[[SUPERVISOR]:[META]],3,0)</f>
        <v>58000</v>
      </c>
      <c r="D54">
        <f>D1_ENERO_2025[[#This Row],[RECUPERO]]/C54</f>
        <v>1.9124344827586206</v>
      </c>
      <c r="E54" t="s">
        <v>4</v>
      </c>
      <c r="F54" t="s">
        <v>59</v>
      </c>
      <c r="G54">
        <v>110921.2</v>
      </c>
      <c r="H54" t="s">
        <v>430</v>
      </c>
      <c r="I54" s="56">
        <v>45348</v>
      </c>
      <c r="J54" s="56" t="s">
        <v>501</v>
      </c>
      <c r="K54" s="56"/>
      <c r="L54" s="56"/>
      <c r="M54" s="1">
        <f>DATA_ENERO_2025[[#This Row],[RECUPERO]]/DATA_ENERO_2025[[#This Row],[META]]</f>
        <v>3.4913793103448276E-2</v>
      </c>
      <c r="N54" t="str" cm="1">
        <f t="array" ref="N54">IF(DATA_ENERO_2025[[#This Row],[ASER_]]="","",IFERROR(_xlfn.IFS(M54&gt;=100%,"&gt;100%",AND(M54&lt;100%,M54&gt;=70%),"&gt;70%",AND(M54&lt;70%,M54&gt;=40%),"&gt;40%",AND(M54&lt;40%,M54&gt;=0%),"&gt;0%"),""))</f>
        <v>&gt;0%</v>
      </c>
      <c r="O54" t="s">
        <v>5</v>
      </c>
      <c r="P54">
        <f>SUM(DATA_ENERO_2025[[#This Row],[1]:[31]])</f>
        <v>2025</v>
      </c>
      <c r="Q54">
        <v>58000</v>
      </c>
      <c r="R54" t="s">
        <v>541</v>
      </c>
      <c r="U54">
        <v>72</v>
      </c>
      <c r="AA54">
        <v>800</v>
      </c>
      <c r="AE54">
        <v>120</v>
      </c>
      <c r="AG54">
        <v>450</v>
      </c>
      <c r="AT54">
        <v>360</v>
      </c>
      <c r="AU54">
        <v>223</v>
      </c>
      <c r="AX54" t="s">
        <v>150</v>
      </c>
    </row>
    <row r="55" spans="1:50" x14ac:dyDescent="0.25">
      <c r="A55" t="str">
        <f>D1_ENERO_2025[[#This Row],[SUPER2]]</f>
        <v>MELITA</v>
      </c>
      <c r="B55" t="s">
        <v>18</v>
      </c>
      <c r="C55">
        <f>VLOOKUP(D1_ENERO_2025[[#This Row],[SUPER]],DATA_ENERO_2025[[SUPERVISOR]:[META]],3,0)</f>
        <v>16500</v>
      </c>
      <c r="D55">
        <f>D1_ENERO_2025[[#This Row],[RECUPERO]]/C55</f>
        <v>1.1067878787878789</v>
      </c>
      <c r="E55" t="s">
        <v>115</v>
      </c>
      <c r="F55" t="s">
        <v>18</v>
      </c>
      <c r="G55">
        <v>18262</v>
      </c>
      <c r="H55" t="s">
        <v>431</v>
      </c>
      <c r="I55" s="56">
        <v>45133</v>
      </c>
      <c r="J55" s="56" t="s">
        <v>501</v>
      </c>
      <c r="K55" s="56"/>
      <c r="L55" s="56"/>
      <c r="M55" s="1">
        <f>DATA_ENERO_2025[[#This Row],[RECUPERO]]/DATA_ENERO_2025[[#This Row],[META]]</f>
        <v>1.2074137931034483</v>
      </c>
      <c r="N55" t="str" cm="1">
        <f t="array" ref="N55">IF(DATA_ENERO_2025[[#This Row],[ASER_]]="","",IFERROR(_xlfn.IFS(M55&gt;=100%,"&gt;100%",AND(M55&lt;100%,M55&gt;=70%),"&gt;70%",AND(M55&lt;70%,M55&gt;=40%),"&gt;40%",AND(M55&lt;40%,M55&gt;=0%),"&gt;0%"),""))</f>
        <v>&gt;100%</v>
      </c>
      <c r="O55" t="s">
        <v>3</v>
      </c>
      <c r="P55">
        <f>SUM(DATA_ENERO_2025[[#This Row],[1]:[31]])</f>
        <v>70030</v>
      </c>
      <c r="Q55">
        <v>58000</v>
      </c>
      <c r="R55" t="s">
        <v>23</v>
      </c>
      <c r="S55">
        <v>480</v>
      </c>
      <c r="T55">
        <v>4200</v>
      </c>
      <c r="U55">
        <v>10340</v>
      </c>
      <c r="Z55">
        <v>259</v>
      </c>
      <c r="AA55">
        <v>7000</v>
      </c>
      <c r="AB55">
        <v>385</v>
      </c>
      <c r="AE55">
        <v>180</v>
      </c>
      <c r="AF55">
        <v>800</v>
      </c>
      <c r="AG55">
        <v>10900</v>
      </c>
      <c r="AH55">
        <v>205</v>
      </c>
      <c r="AI55">
        <v>220</v>
      </c>
      <c r="AL55">
        <v>4000</v>
      </c>
      <c r="AM55">
        <v>6500</v>
      </c>
      <c r="AN55">
        <v>2000</v>
      </c>
      <c r="AO55">
        <v>3223</v>
      </c>
      <c r="AP55">
        <v>1150</v>
      </c>
      <c r="AS55">
        <v>625</v>
      </c>
      <c r="AT55">
        <v>1500</v>
      </c>
      <c r="AU55">
        <v>600</v>
      </c>
      <c r="AV55">
        <v>4472</v>
      </c>
      <c r="AW55">
        <v>10991</v>
      </c>
      <c r="AX55" t="s">
        <v>150</v>
      </c>
    </row>
    <row r="56" spans="1:50" x14ac:dyDescent="0.25">
      <c r="A56" t="str">
        <f>D1_ENERO_2025[[#This Row],[SUPER2]]</f>
        <v>MELITA</v>
      </c>
      <c r="B56" t="s">
        <v>14</v>
      </c>
      <c r="C56">
        <f>VLOOKUP(D1_ENERO_2025[[#This Row],[SUPER]],DATA_ENERO_2025[[SUPERVISOR]:[META]],3,0)</f>
        <v>16500</v>
      </c>
      <c r="D56">
        <f>D1_ENERO_2025[[#This Row],[RECUPERO]]/C56</f>
        <v>1.1386666666666667</v>
      </c>
      <c r="E56" t="s">
        <v>115</v>
      </c>
      <c r="F56" t="s">
        <v>14</v>
      </c>
      <c r="G56">
        <v>18788</v>
      </c>
      <c r="H56" t="s">
        <v>432</v>
      </c>
      <c r="I56" s="56">
        <v>45133</v>
      </c>
      <c r="J56" s="56" t="s">
        <v>501</v>
      </c>
      <c r="K56" s="56"/>
      <c r="L56" s="56"/>
      <c r="M56" s="1">
        <f>DATA_ENERO_2025[[#This Row],[RECUPERO]]/DATA_ENERO_2025[[#This Row],[META]]</f>
        <v>1.0626060606060606</v>
      </c>
      <c r="N56" t="str" cm="1">
        <f t="array" ref="N56">IF(DATA_ENERO_2025[[#This Row],[ASER_]]="","",IFERROR(_xlfn.IFS(M56&gt;=100%,"&gt;100%",AND(M56&lt;100%,M56&gt;=70%),"&gt;70%",AND(M56&lt;70%,M56&gt;=40%),"&gt;40%",AND(M56&lt;40%,M56&gt;=0%),"&gt;0%"),""))</f>
        <v>&gt;100%</v>
      </c>
      <c r="O56" t="s">
        <v>115</v>
      </c>
      <c r="P56">
        <f>SUM(DATA_ENERO_2025[[#This Row],[1]:[31]])</f>
        <v>17533</v>
      </c>
      <c r="Q56">
        <v>16500</v>
      </c>
      <c r="R56" t="s">
        <v>68</v>
      </c>
      <c r="T56">
        <v>50</v>
      </c>
      <c r="U56">
        <v>800</v>
      </c>
      <c r="Z56">
        <v>285</v>
      </c>
      <c r="AA56">
        <v>500</v>
      </c>
      <c r="AB56">
        <v>200</v>
      </c>
      <c r="AE56">
        <v>500</v>
      </c>
      <c r="AG56">
        <v>400</v>
      </c>
      <c r="AH56">
        <v>1703.5</v>
      </c>
      <c r="AI56">
        <v>194</v>
      </c>
      <c r="AJ56">
        <v>159</v>
      </c>
      <c r="AL56">
        <v>708</v>
      </c>
      <c r="AM56">
        <v>500</v>
      </c>
      <c r="AN56">
        <v>200</v>
      </c>
      <c r="AO56">
        <v>1256</v>
      </c>
      <c r="AP56">
        <v>2422</v>
      </c>
      <c r="AT56">
        <v>3800</v>
      </c>
      <c r="AU56">
        <v>360</v>
      </c>
      <c r="AV56">
        <v>350</v>
      </c>
      <c r="AW56">
        <v>3145.5</v>
      </c>
      <c r="AX56" t="s">
        <v>151</v>
      </c>
    </row>
    <row r="57" spans="1:50" x14ac:dyDescent="0.25">
      <c r="A57" t="str">
        <f>D1_ENERO_2025[[#This Row],[SUPER2]]</f>
        <v>MELITA</v>
      </c>
      <c r="B57" t="s">
        <v>80</v>
      </c>
      <c r="C57">
        <f>VLOOKUP(D1_ENERO_2025[[#This Row],[SUPER]],DATA_ENERO_2025[[SUPERVISOR]:[META]],3,0)</f>
        <v>16500</v>
      </c>
      <c r="D57">
        <f>D1_ENERO_2025[[#This Row],[RECUPERO]]/C57</f>
        <v>1.196</v>
      </c>
      <c r="E57" t="s">
        <v>115</v>
      </c>
      <c r="F57" t="s">
        <v>80</v>
      </c>
      <c r="G57">
        <v>19734</v>
      </c>
      <c r="H57" t="s">
        <v>433</v>
      </c>
      <c r="I57" s="56">
        <v>45285</v>
      </c>
      <c r="J57" s="56" t="s">
        <v>501</v>
      </c>
      <c r="K57" s="56"/>
      <c r="L57" s="56"/>
      <c r="M57" s="1">
        <f>DATA_ENERO_2025[[#This Row],[RECUPERO]]/DATA_ENERO_2025[[#This Row],[META]]</f>
        <v>1.1061904761904762</v>
      </c>
      <c r="N57" t="str" cm="1">
        <f t="array" ref="N57">IF(DATA_ENERO_2025[[#This Row],[ASER_]]="","",IFERROR(_xlfn.IFS(M57&gt;=100%,"&gt;100%",AND(M57&lt;100%,M57&gt;=70%),"&gt;70%",AND(M57&lt;70%,M57&gt;=40%),"&gt;40%",AND(M57&lt;40%,M57&gt;=0%),"&gt;0%"),""))</f>
        <v>&gt;100%</v>
      </c>
      <c r="O57" t="s">
        <v>6</v>
      </c>
      <c r="P57">
        <f>SUM(DATA_ENERO_2025[[#This Row],[1]:[31]])</f>
        <v>23230</v>
      </c>
      <c r="Q57">
        <v>21000</v>
      </c>
      <c r="R57" t="s">
        <v>31</v>
      </c>
      <c r="T57">
        <v>3000</v>
      </c>
      <c r="Z57">
        <v>2000</v>
      </c>
      <c r="AA57">
        <v>3500</v>
      </c>
      <c r="AB57">
        <v>350</v>
      </c>
      <c r="AE57">
        <v>1400</v>
      </c>
      <c r="AF57">
        <v>600</v>
      </c>
      <c r="AG57">
        <v>4700</v>
      </c>
      <c r="AH57">
        <v>500</v>
      </c>
      <c r="AS57">
        <v>580</v>
      </c>
      <c r="AT57">
        <v>400</v>
      </c>
      <c r="AV57">
        <v>2500</v>
      </c>
      <c r="AW57">
        <v>3700</v>
      </c>
      <c r="AX57" t="s">
        <v>152</v>
      </c>
    </row>
    <row r="58" spans="1:50" x14ac:dyDescent="0.25">
      <c r="A58" t="str">
        <f>D1_ENERO_2025[[#This Row],[SUPER2]]</f>
        <v>MELITA</v>
      </c>
      <c r="B58" t="s">
        <v>24</v>
      </c>
      <c r="C58">
        <f>VLOOKUP(D1_ENERO_2025[[#This Row],[SUPER]],DATA_ENERO_2025[[SUPERVISOR]:[META]],3,0)</f>
        <v>16500</v>
      </c>
      <c r="D58">
        <f>D1_ENERO_2025[[#This Row],[RECUPERO]]/C58</f>
        <v>0</v>
      </c>
      <c r="E58" t="s">
        <v>115</v>
      </c>
      <c r="F58" t="s">
        <v>24</v>
      </c>
      <c r="G58">
        <v>0</v>
      </c>
      <c r="H58" t="s">
        <v>434</v>
      </c>
      <c r="I58" s="56">
        <v>45334</v>
      </c>
      <c r="J58" s="56" t="s">
        <v>501</v>
      </c>
      <c r="K58" s="56"/>
      <c r="L58" s="56"/>
      <c r="M58" s="1">
        <f>DATA_ENERO_2025[[#This Row],[RECUPERO]]/DATA_ENERO_2025[[#This Row],[META]]</f>
        <v>1.2143095238095238</v>
      </c>
      <c r="N58" t="str" cm="1">
        <f t="array" ref="N58">IF(DATA_ENERO_2025[[#This Row],[ASER_]]="","",IFERROR(_xlfn.IFS(M58&gt;=100%,"&gt;100%",AND(M58&lt;100%,M58&gt;=70%),"&gt;70%",AND(M58&lt;70%,M58&gt;=40%),"&gt;40%",AND(M58&lt;40%,M58&gt;=0%),"&gt;0%"),""))</f>
        <v>&gt;100%</v>
      </c>
      <c r="O58" t="s">
        <v>9</v>
      </c>
      <c r="P58">
        <f>SUM(DATA_ENERO_2025[[#This Row],[1]:[31]])</f>
        <v>25500.5</v>
      </c>
      <c r="Q58">
        <v>21000</v>
      </c>
      <c r="R58" t="s">
        <v>29</v>
      </c>
      <c r="T58">
        <v>200</v>
      </c>
      <c r="U58">
        <v>1430</v>
      </c>
      <c r="X58">
        <v>200</v>
      </c>
      <c r="AA58">
        <v>2000</v>
      </c>
      <c r="AB58">
        <v>2250</v>
      </c>
      <c r="AE58">
        <v>300</v>
      </c>
      <c r="AG58">
        <v>600</v>
      </c>
      <c r="AH58">
        <v>500</v>
      </c>
      <c r="AI58">
        <v>100</v>
      </c>
      <c r="AJ58">
        <v>200</v>
      </c>
      <c r="AL58">
        <v>2675</v>
      </c>
      <c r="AM58">
        <v>1500</v>
      </c>
      <c r="AO58">
        <v>400</v>
      </c>
      <c r="AP58">
        <v>200</v>
      </c>
      <c r="AQ58">
        <v>700</v>
      </c>
      <c r="AS58">
        <v>1360</v>
      </c>
      <c r="AT58">
        <v>1450</v>
      </c>
      <c r="AU58">
        <v>1240</v>
      </c>
      <c r="AV58">
        <v>4810</v>
      </c>
      <c r="AW58">
        <v>3385.5</v>
      </c>
      <c r="AX58" t="s">
        <v>153</v>
      </c>
    </row>
    <row r="59" spans="1:50" x14ac:dyDescent="0.25">
      <c r="A59" t="str">
        <f>D1_ENERO_2025[[#This Row],[SUPER2]]</f>
        <v>MELITA</v>
      </c>
      <c r="B59" t="s">
        <v>83</v>
      </c>
      <c r="C59">
        <f>VLOOKUP(D1_ENERO_2025[[#This Row],[SUPER]],DATA_ENERO_2025[[SUPERVISOR]:[META]],3,0)</f>
        <v>16500</v>
      </c>
      <c r="D59">
        <f>D1_ENERO_2025[[#This Row],[RECUPERO]]/C59</f>
        <v>0.86575757575757573</v>
      </c>
      <c r="E59" t="s">
        <v>115</v>
      </c>
      <c r="F59" t="s">
        <v>83</v>
      </c>
      <c r="G59">
        <v>14285</v>
      </c>
      <c r="H59" t="s">
        <v>435</v>
      </c>
      <c r="I59" s="56">
        <v>44937</v>
      </c>
      <c r="J59" s="56" t="s">
        <v>501</v>
      </c>
      <c r="K59" s="56"/>
      <c r="L59" s="56"/>
      <c r="M59" s="1">
        <f>DATA_ENERO_2025[[#This Row],[RECUPERO]]/DATA_ENERO_2025[[#This Row],[META]]</f>
        <v>0.91737931034482756</v>
      </c>
      <c r="N59" t="str" cm="1">
        <f t="array" ref="N59">IF(DATA_ENERO_2025[[#This Row],[ASER_]]="","",IFERROR(_xlfn.IFS(M59&gt;=100%,"&gt;100%",AND(M59&lt;100%,M59&gt;=70%),"&gt;70%",AND(M59&lt;70%,M59&gt;=40%),"&gt;40%",AND(M59&lt;40%,M59&gt;=0%),"&gt;0%"),""))</f>
        <v>&gt;70%</v>
      </c>
      <c r="O59" t="s">
        <v>3</v>
      </c>
      <c r="P59">
        <f>SUM(DATA_ENERO_2025[[#This Row],[1]:[31]])</f>
        <v>53208</v>
      </c>
      <c r="Q59">
        <v>58000</v>
      </c>
      <c r="R59" t="s">
        <v>25</v>
      </c>
      <c r="S59">
        <v>370</v>
      </c>
      <c r="T59">
        <v>5310</v>
      </c>
      <c r="U59">
        <v>2000</v>
      </c>
      <c r="X59">
        <v>2500</v>
      </c>
      <c r="Y59">
        <v>1600</v>
      </c>
      <c r="Z59">
        <v>699</v>
      </c>
      <c r="AA59">
        <v>8800</v>
      </c>
      <c r="AB59">
        <v>4600</v>
      </c>
      <c r="AE59">
        <v>5500</v>
      </c>
      <c r="AH59">
        <v>928</v>
      </c>
      <c r="AM59">
        <v>3507</v>
      </c>
      <c r="AN59">
        <v>1500</v>
      </c>
      <c r="AO59">
        <v>1000</v>
      </c>
      <c r="AP59">
        <v>1650</v>
      </c>
      <c r="AQ59">
        <v>537</v>
      </c>
      <c r="AR59">
        <v>300</v>
      </c>
      <c r="AS59">
        <v>1100</v>
      </c>
      <c r="AT59">
        <v>1300</v>
      </c>
      <c r="AU59">
        <v>500</v>
      </c>
      <c r="AV59">
        <v>3302</v>
      </c>
      <c r="AW59">
        <v>6205</v>
      </c>
      <c r="AX59" t="s">
        <v>150</v>
      </c>
    </row>
    <row r="60" spans="1:50" x14ac:dyDescent="0.25">
      <c r="A60" t="str">
        <f>D1_ENERO_2025[[#This Row],[SUPER2]]</f>
        <v>MELITA</v>
      </c>
      <c r="B60" t="s">
        <v>49</v>
      </c>
      <c r="C60">
        <f>VLOOKUP(D1_ENERO_2025[[#This Row],[SUPER]],DATA_ENERO_2025[[SUPERVISOR]:[META]],3,0)</f>
        <v>16500</v>
      </c>
      <c r="D60">
        <f>D1_ENERO_2025[[#This Row],[RECUPERO]]/C60</f>
        <v>1.1492121212121211</v>
      </c>
      <c r="E60" t="s">
        <v>115</v>
      </c>
      <c r="F60" t="s">
        <v>49</v>
      </c>
      <c r="G60">
        <v>18962</v>
      </c>
      <c r="H60" t="s">
        <v>436</v>
      </c>
      <c r="I60" s="56">
        <v>42814</v>
      </c>
      <c r="J60" s="56" t="s">
        <v>501</v>
      </c>
      <c r="K60" s="56"/>
      <c r="L60" s="56"/>
      <c r="M60" s="1">
        <f>DATA_ENERO_2025[[#This Row],[RECUPERO]]/DATA_ENERO_2025[[#This Row],[META]]</f>
        <v>0</v>
      </c>
      <c r="N60" t="str" cm="1">
        <f t="array" ref="N60">IF(DATA_ENERO_2025[[#This Row],[ASER_]]="","",IFERROR(_xlfn.IFS(M60&gt;=100%,"&gt;100%",AND(M60&lt;100%,M60&gt;=70%),"&gt;70%",AND(M60&lt;70%,M60&gt;=40%),"&gt;40%",AND(M60&lt;40%,M60&gt;=0%),"&gt;0%"),""))</f>
        <v>&gt;0%</v>
      </c>
      <c r="O60" t="s">
        <v>9</v>
      </c>
      <c r="P60">
        <f>SUM(DATA_ENERO_2025[[#This Row],[1]:[31]])</f>
        <v>0</v>
      </c>
      <c r="Q60">
        <v>21000</v>
      </c>
      <c r="R60" t="s">
        <v>121</v>
      </c>
      <c r="AX60" t="s">
        <v>153</v>
      </c>
    </row>
    <row r="61" spans="1:50" x14ac:dyDescent="0.25">
      <c r="A61" t="str">
        <f>D1_ENERO_2025[[#This Row],[SUPER2]]</f>
        <v>MELITA</v>
      </c>
      <c r="B61" t="s">
        <v>96</v>
      </c>
      <c r="C61">
        <f>VLOOKUP(D1_ENERO_2025[[#This Row],[SUPER]],DATA_ENERO_2025[[SUPERVISOR]:[META]],3,0)</f>
        <v>16500</v>
      </c>
      <c r="D61">
        <f>D1_ENERO_2025[[#This Row],[RECUPERO]]/C61</f>
        <v>0.57030303030303031</v>
      </c>
      <c r="E61" t="s">
        <v>115</v>
      </c>
      <c r="F61" t="s">
        <v>96</v>
      </c>
      <c r="G61">
        <v>9410</v>
      </c>
      <c r="H61" t="s">
        <v>437</v>
      </c>
      <c r="I61" s="56">
        <v>45671</v>
      </c>
      <c r="J61" s="56" t="s">
        <v>501</v>
      </c>
      <c r="K61" s="56"/>
      <c r="L61" s="56"/>
      <c r="M61" s="1">
        <f>DATA_ENERO_2025[[#This Row],[RECUPERO]]/DATA_ENERO_2025[[#This Row],[META]]</f>
        <v>0.71658620689655173</v>
      </c>
      <c r="N61" t="str" cm="1">
        <f t="array" ref="N61">IF(DATA_ENERO_2025[[#This Row],[ASER_]]="","",IFERROR(_xlfn.IFS(M61&gt;=100%,"&gt;100%",AND(M61&lt;100%,M61&gt;=70%),"&gt;70%",AND(M61&lt;70%,M61&gt;=40%),"&gt;40%",AND(M61&lt;40%,M61&gt;=0%),"&gt;0%"),""))</f>
        <v>&gt;70%</v>
      </c>
      <c r="O61" t="s">
        <v>5</v>
      </c>
      <c r="P61">
        <f>SUM(DATA_ENERO_2025[[#This Row],[1]:[31]])</f>
        <v>41562</v>
      </c>
      <c r="Q61">
        <v>58000</v>
      </c>
      <c r="R61" t="s">
        <v>17</v>
      </c>
      <c r="S61">
        <v>300</v>
      </c>
      <c r="U61">
        <v>7162</v>
      </c>
      <c r="AB61">
        <v>1000</v>
      </c>
      <c r="AG61">
        <v>1600</v>
      </c>
      <c r="AN61">
        <v>3500</v>
      </c>
      <c r="AO61">
        <v>6000</v>
      </c>
      <c r="AQ61">
        <v>3500</v>
      </c>
      <c r="AS61">
        <v>3000</v>
      </c>
      <c r="AU61">
        <v>14600</v>
      </c>
      <c r="AV61">
        <v>600</v>
      </c>
      <c r="AW61">
        <v>300</v>
      </c>
      <c r="AX61" t="s">
        <v>150</v>
      </c>
    </row>
    <row r="62" spans="1:50" x14ac:dyDescent="0.25">
      <c r="A62" t="str">
        <f>D1_ENERO_2025[[#This Row],[SUPER2]]</f>
        <v>MELITA</v>
      </c>
      <c r="B62" t="s">
        <v>65</v>
      </c>
      <c r="C62">
        <f>VLOOKUP(D1_ENERO_2025[[#This Row],[SUPER]],DATA_ENERO_2025[[SUPERVISOR]:[META]],3,0)</f>
        <v>16500</v>
      </c>
      <c r="D62">
        <f>D1_ENERO_2025[[#This Row],[RECUPERO]]/C62</f>
        <v>0.15939393939393939</v>
      </c>
      <c r="E62" t="s">
        <v>115</v>
      </c>
      <c r="F62" t="s">
        <v>65</v>
      </c>
      <c r="G62">
        <v>2630</v>
      </c>
      <c r="H62" t="s">
        <v>438</v>
      </c>
      <c r="I62" s="56">
        <v>45021</v>
      </c>
      <c r="J62" s="56" t="s">
        <v>501</v>
      </c>
      <c r="K62" s="56"/>
      <c r="L62" s="56"/>
      <c r="M62" s="1">
        <f>DATA_ENERO_2025[[#This Row],[RECUPERO]]/DATA_ENERO_2025[[#This Row],[META]]</f>
        <v>1.7141904761904763</v>
      </c>
      <c r="N62" t="str" cm="1">
        <f t="array" ref="N62">IF(DATA_ENERO_2025[[#This Row],[ASER_]]="","",IFERROR(_xlfn.IFS(M62&gt;=100%,"&gt;100%",AND(M62&lt;100%,M62&gt;=70%),"&gt;70%",AND(M62&lt;70%,M62&gt;=40%),"&gt;40%",AND(M62&lt;40%,M62&gt;=0%),"&gt;0%"),""))</f>
        <v>&gt;100%</v>
      </c>
      <c r="O62" t="s">
        <v>6</v>
      </c>
      <c r="P62">
        <f>SUM(DATA_ENERO_2025[[#This Row],[1]:[31]])</f>
        <v>35998</v>
      </c>
      <c r="Q62">
        <v>21000</v>
      </c>
      <c r="R62" t="s">
        <v>119</v>
      </c>
      <c r="X62">
        <v>450</v>
      </c>
      <c r="Y62">
        <v>3200</v>
      </c>
      <c r="Z62">
        <v>298</v>
      </c>
      <c r="AA62">
        <v>2500</v>
      </c>
      <c r="AF62">
        <v>300</v>
      </c>
      <c r="AL62">
        <v>3000</v>
      </c>
      <c r="AN62">
        <v>20600</v>
      </c>
      <c r="AT62">
        <v>5200</v>
      </c>
      <c r="AU62">
        <v>450</v>
      </c>
      <c r="AX62" t="s">
        <v>152</v>
      </c>
    </row>
    <row r="63" spans="1:50" x14ac:dyDescent="0.25">
      <c r="A63" t="str">
        <f>D1_ENERO_2025[[#This Row],[SUPER2]]</f>
        <v>MELITA</v>
      </c>
      <c r="B63" t="s">
        <v>33</v>
      </c>
      <c r="C63">
        <f>VLOOKUP(D1_ENERO_2025[[#This Row],[SUPER]],DATA_ENERO_2025[[SUPERVISOR]:[META]],3,0)</f>
        <v>16500</v>
      </c>
      <c r="D63">
        <f>D1_ENERO_2025[[#This Row],[RECUPERO]]/C63</f>
        <v>0.7518424242424242</v>
      </c>
      <c r="E63" t="s">
        <v>115</v>
      </c>
      <c r="F63" t="s">
        <v>33</v>
      </c>
      <c r="G63">
        <v>12405.4</v>
      </c>
      <c r="H63" t="s">
        <v>439</v>
      </c>
      <c r="I63" s="56">
        <v>44869</v>
      </c>
      <c r="J63" s="56" t="s">
        <v>501</v>
      </c>
      <c r="K63" s="56"/>
      <c r="L63" s="56"/>
      <c r="M63" s="1">
        <f>DATA_ENERO_2025[[#This Row],[RECUPERO]]/DATA_ENERO_2025[[#This Row],[META]]</f>
        <v>1.4346522413793104</v>
      </c>
      <c r="N63" t="str" cm="1">
        <f t="array" ref="N63">IF(DATA_ENERO_2025[[#This Row],[ASER_]]="","",IFERROR(_xlfn.IFS(M63&gt;=100%,"&gt;100%",AND(M63&lt;100%,M63&gt;=70%),"&gt;70%",AND(M63&lt;70%,M63&gt;=40%),"&gt;40%",AND(M63&lt;40%,M63&gt;=0%),"&gt;0%"),""))</f>
        <v>&gt;100%</v>
      </c>
      <c r="O63" t="s">
        <v>4</v>
      </c>
      <c r="P63">
        <f>SUM(DATA_ENERO_2025[[#This Row],[1]:[31]])</f>
        <v>83209.83</v>
      </c>
      <c r="Q63">
        <v>58000</v>
      </c>
      <c r="R63" t="s">
        <v>75</v>
      </c>
      <c r="T63">
        <v>600</v>
      </c>
      <c r="U63">
        <v>2100</v>
      </c>
      <c r="X63">
        <v>4000</v>
      </c>
      <c r="Y63">
        <v>200</v>
      </c>
      <c r="Z63">
        <v>450</v>
      </c>
      <c r="AF63">
        <v>59</v>
      </c>
      <c r="AG63">
        <v>680</v>
      </c>
      <c r="AH63">
        <v>2900</v>
      </c>
      <c r="AI63">
        <v>7500</v>
      </c>
      <c r="AL63">
        <v>14600.05</v>
      </c>
      <c r="AM63">
        <v>992</v>
      </c>
      <c r="AN63">
        <v>700</v>
      </c>
      <c r="AO63">
        <v>5000</v>
      </c>
      <c r="AP63">
        <v>17000</v>
      </c>
      <c r="AQ63">
        <v>2000</v>
      </c>
      <c r="AS63">
        <v>1000.08</v>
      </c>
      <c r="AT63">
        <v>400</v>
      </c>
      <c r="AU63">
        <v>600</v>
      </c>
      <c r="AV63">
        <v>6158.7</v>
      </c>
      <c r="AW63">
        <v>16270</v>
      </c>
      <c r="AX63" t="s">
        <v>150</v>
      </c>
    </row>
    <row r="64" spans="1:50" x14ac:dyDescent="0.25">
      <c r="A64" t="str">
        <f>D1_ENERO_2025[[#This Row],[SUPER2]]</f>
        <v>MELITA</v>
      </c>
      <c r="B64" t="s">
        <v>68</v>
      </c>
      <c r="C64">
        <f>VLOOKUP(D1_ENERO_2025[[#This Row],[SUPER]],DATA_ENERO_2025[[SUPERVISOR]:[META]],3,0)</f>
        <v>16500</v>
      </c>
      <c r="D64">
        <f>D1_ENERO_2025[[#This Row],[RECUPERO]]/C64</f>
        <v>1.0626060606060606</v>
      </c>
      <c r="E64" t="s">
        <v>115</v>
      </c>
      <c r="F64" t="s">
        <v>68</v>
      </c>
      <c r="G64">
        <v>17533</v>
      </c>
      <c r="H64" t="s">
        <v>440</v>
      </c>
      <c r="I64" s="56">
        <v>45364</v>
      </c>
      <c r="J64" s="56" t="s">
        <v>501</v>
      </c>
      <c r="K64" s="56"/>
      <c r="L64" s="56"/>
      <c r="M64" s="1">
        <f>DATA_ENERO_2025[[#This Row],[RECUPERO]]/DATA_ENERO_2025[[#This Row],[META]]</f>
        <v>0.5896818181818182</v>
      </c>
      <c r="N64" t="str" cm="1">
        <f t="array" ref="N64">IF(DATA_ENERO_2025[[#This Row],[ASER_]]="","",IFERROR(_xlfn.IFS(M64&gt;=100%,"&gt;100%",AND(M64&lt;100%,M64&gt;=70%),"&gt;70%",AND(M64&lt;70%,M64&gt;=40%),"&gt;40%",AND(M64&lt;40%,M64&gt;=0%),"&gt;0%"),""))</f>
        <v>&gt;40%</v>
      </c>
      <c r="O64" t="s">
        <v>2</v>
      </c>
      <c r="P64">
        <f>SUM(DATA_ENERO_2025[[#This Row],[1]:[31]])</f>
        <v>12973</v>
      </c>
      <c r="Q64">
        <v>22000</v>
      </c>
      <c r="R64" t="s">
        <v>537</v>
      </c>
      <c r="T64">
        <v>2400</v>
      </c>
      <c r="AB64">
        <v>200</v>
      </c>
      <c r="AC64">
        <v>3000</v>
      </c>
      <c r="AF64">
        <v>0</v>
      </c>
      <c r="AH64">
        <v>1791</v>
      </c>
      <c r="AM64">
        <v>300</v>
      </c>
      <c r="AN64">
        <v>250</v>
      </c>
      <c r="AP64">
        <v>222</v>
      </c>
      <c r="AS64">
        <v>3000</v>
      </c>
      <c r="AT64">
        <v>1810</v>
      </c>
      <c r="AX64" t="s">
        <v>151</v>
      </c>
    </row>
    <row r="65" spans="1:50" x14ac:dyDescent="0.25">
      <c r="A65" t="str">
        <f>D1_ENERO_2025[[#This Row],[SUPER2]]</f>
        <v>SANDY</v>
      </c>
      <c r="B65" t="s">
        <v>58</v>
      </c>
      <c r="C65">
        <f>VLOOKUP(D1_ENERO_2025[[#This Row],[SUPER]],DATA_ENERO_2025[[SUPERVISOR]:[META]],3,0)</f>
        <v>58000</v>
      </c>
      <c r="D65">
        <f>D1_ENERO_2025[[#This Row],[RECUPERO]]/C65</f>
        <v>0.59640517241379309</v>
      </c>
      <c r="E65" t="s">
        <v>3</v>
      </c>
      <c r="F65" t="s">
        <v>58</v>
      </c>
      <c r="G65">
        <v>34591.5</v>
      </c>
      <c r="H65" t="s">
        <v>441</v>
      </c>
      <c r="I65" s="56">
        <v>43035</v>
      </c>
      <c r="J65" s="56" t="s">
        <v>501</v>
      </c>
      <c r="K65" s="56"/>
      <c r="L65" s="56"/>
      <c r="M65" s="1">
        <f>DATA_ENERO_2025[[#This Row],[RECUPERO]]/DATA_ENERO_2025[[#This Row],[META]]</f>
        <v>1.1242857142857143</v>
      </c>
      <c r="N65" t="str" cm="1">
        <f t="array" ref="N65">IF(DATA_ENERO_2025[[#This Row],[ASER_]]="","",IFERROR(_xlfn.IFS(M65&gt;=100%,"&gt;100%",AND(M65&lt;100%,M65&gt;=70%),"&gt;70%",AND(M65&lt;70%,M65&gt;=40%),"&gt;40%",AND(M65&lt;40%,M65&gt;=0%),"&gt;0%"),""))</f>
        <v>&gt;100%</v>
      </c>
      <c r="O65" t="s">
        <v>6</v>
      </c>
      <c r="P65">
        <f>SUM(DATA_ENERO_2025[[#This Row],[1]:[31]])</f>
        <v>23610</v>
      </c>
      <c r="Q65">
        <v>21000</v>
      </c>
      <c r="R65" t="s">
        <v>120</v>
      </c>
      <c r="U65">
        <v>1000</v>
      </c>
      <c r="X65">
        <v>500</v>
      </c>
      <c r="Z65">
        <v>4200</v>
      </c>
      <c r="AG65">
        <v>500</v>
      </c>
      <c r="AM65">
        <v>400</v>
      </c>
      <c r="AN65">
        <v>2000</v>
      </c>
      <c r="AO65">
        <v>3000</v>
      </c>
      <c r="AV65">
        <v>2010</v>
      </c>
      <c r="AW65">
        <v>10000</v>
      </c>
      <c r="AX65" t="s">
        <v>152</v>
      </c>
    </row>
    <row r="66" spans="1:50" x14ac:dyDescent="0.25">
      <c r="A66" t="str">
        <f>D1_ENERO_2025[[#This Row],[SUPER2]]</f>
        <v>SANDY</v>
      </c>
      <c r="B66" t="s">
        <v>22</v>
      </c>
      <c r="C66">
        <f>VLOOKUP(D1_ENERO_2025[[#This Row],[SUPER]],DATA_ENERO_2025[[SUPERVISOR]:[META]],3,0)</f>
        <v>58000</v>
      </c>
      <c r="D66">
        <f>D1_ENERO_2025[[#This Row],[RECUPERO]]/C66</f>
        <v>0</v>
      </c>
      <c r="E66" t="s">
        <v>3</v>
      </c>
      <c r="F66" t="s">
        <v>22</v>
      </c>
      <c r="G66">
        <v>0</v>
      </c>
      <c r="H66" t="s">
        <v>442</v>
      </c>
      <c r="I66" s="56">
        <v>45299</v>
      </c>
      <c r="J66" s="56" t="s">
        <v>501</v>
      </c>
      <c r="K66" s="56"/>
      <c r="L66" s="56"/>
      <c r="M66" s="1">
        <f>DATA_ENERO_2025[[#This Row],[RECUPERO]]/DATA_ENERO_2025[[#This Row],[META]]</f>
        <v>1.0646666666666667</v>
      </c>
      <c r="N66" t="str" cm="1">
        <f t="array" ref="N66">IF(DATA_ENERO_2025[[#This Row],[ASER_]]="","",IFERROR(_xlfn.IFS(M66&gt;=100%,"&gt;100%",AND(M66&lt;100%,M66&gt;=70%),"&gt;70%",AND(M66&lt;70%,M66&gt;=40%),"&gt;40%",AND(M66&lt;40%,M66&gt;=0%),"&gt;0%"),""))</f>
        <v>&gt;100%</v>
      </c>
      <c r="O66" t="s">
        <v>6</v>
      </c>
      <c r="P66">
        <f>SUM(DATA_ENERO_2025[[#This Row],[1]:[31]])</f>
        <v>22358</v>
      </c>
      <c r="Q66">
        <v>21000</v>
      </c>
      <c r="R66" t="s">
        <v>36</v>
      </c>
      <c r="T66">
        <v>600</v>
      </c>
      <c r="X66">
        <v>300</v>
      </c>
      <c r="AA66">
        <v>10000</v>
      </c>
      <c r="AC66">
        <v>250</v>
      </c>
      <c r="AG66">
        <v>798</v>
      </c>
      <c r="AH66">
        <v>6000</v>
      </c>
      <c r="AL66">
        <v>500</v>
      </c>
      <c r="AM66">
        <v>500</v>
      </c>
      <c r="AT66">
        <v>300</v>
      </c>
      <c r="AU66">
        <v>1900</v>
      </c>
      <c r="AV66">
        <v>1210</v>
      </c>
      <c r="AX66" t="s">
        <v>152</v>
      </c>
    </row>
    <row r="67" spans="1:50" x14ac:dyDescent="0.25">
      <c r="A67" t="str">
        <f>D1_ENERO_2025[[#This Row],[SUPER2]]</f>
        <v>SANDY</v>
      </c>
      <c r="B67" t="s">
        <v>57</v>
      </c>
      <c r="C67">
        <f>VLOOKUP(D1_ENERO_2025[[#This Row],[SUPER]],DATA_ENERO_2025[[SUPERVISOR]:[META]],3,0)</f>
        <v>58000</v>
      </c>
      <c r="D67">
        <f>D1_ENERO_2025[[#This Row],[RECUPERO]]/C67</f>
        <v>0.63682241379310345</v>
      </c>
      <c r="E67" t="s">
        <v>3</v>
      </c>
      <c r="F67" t="s">
        <v>57</v>
      </c>
      <c r="G67">
        <v>36935.699999999997</v>
      </c>
      <c r="H67" t="s">
        <v>443</v>
      </c>
      <c r="I67" s="56">
        <v>45590</v>
      </c>
      <c r="J67" s="56" t="s">
        <v>501</v>
      </c>
      <c r="K67" s="56"/>
      <c r="L67" s="56"/>
      <c r="M67" s="1">
        <f>DATA_ENERO_2025[[#This Row],[RECUPERO]]/DATA_ENERO_2025[[#This Row],[META]]</f>
        <v>1.0109827586206896</v>
      </c>
      <c r="N67" t="str" cm="1">
        <f t="array" ref="N67">IF(DATA_ENERO_2025[[#This Row],[ASER_]]="","",IFERROR(_xlfn.IFS(M67&gt;=100%,"&gt;100%",AND(M67&lt;100%,M67&gt;=70%),"&gt;70%",AND(M67&lt;70%,M67&gt;=40%),"&gt;40%",AND(M67&lt;40%,M67&gt;=0%),"&gt;0%"),""))</f>
        <v>&gt;100%</v>
      </c>
      <c r="O67" t="s">
        <v>5</v>
      </c>
      <c r="P67">
        <f>SUM(DATA_ENERO_2025[[#This Row],[1]:[31]])</f>
        <v>58637</v>
      </c>
      <c r="Q67">
        <v>58000</v>
      </c>
      <c r="R67" t="s">
        <v>62</v>
      </c>
      <c r="S67">
        <v>935</v>
      </c>
      <c r="U67">
        <v>700</v>
      </c>
      <c r="X67">
        <v>600</v>
      </c>
      <c r="Y67">
        <v>6800</v>
      </c>
      <c r="AI67">
        <v>810</v>
      </c>
      <c r="AM67">
        <v>376</v>
      </c>
      <c r="AN67">
        <v>611</v>
      </c>
      <c r="AO67">
        <v>205</v>
      </c>
      <c r="AP67">
        <v>25600</v>
      </c>
      <c r="AS67">
        <v>3500</v>
      </c>
      <c r="AU67">
        <v>10400</v>
      </c>
      <c r="AV67">
        <v>700</v>
      </c>
      <c r="AW67">
        <v>7400</v>
      </c>
      <c r="AX67" t="s">
        <v>150</v>
      </c>
    </row>
    <row r="68" spans="1:50" x14ac:dyDescent="0.25">
      <c r="A68" t="str">
        <f>D1_ENERO_2025[[#This Row],[SUPER2]]</f>
        <v>SANDY</v>
      </c>
      <c r="B68" t="s">
        <v>123</v>
      </c>
      <c r="C68">
        <f>VLOOKUP(D1_ENERO_2025[[#This Row],[SUPER]],DATA_ENERO_2025[[SUPERVISOR]:[META]],3,0)</f>
        <v>58000</v>
      </c>
      <c r="D68">
        <f>D1_ENERO_2025[[#This Row],[RECUPERO]]/C68</f>
        <v>0.15022413793103448</v>
      </c>
      <c r="E68" t="s">
        <v>3</v>
      </c>
      <c r="F68" t="s">
        <v>123</v>
      </c>
      <c r="G68">
        <v>8713</v>
      </c>
      <c r="H68" t="s">
        <v>444</v>
      </c>
      <c r="I68" s="56">
        <v>0</v>
      </c>
      <c r="J68" s="56" t="s">
        <v>501</v>
      </c>
      <c r="K68" s="56"/>
      <c r="L68" s="56"/>
      <c r="M68" s="1">
        <f>DATA_ENERO_2025[[#This Row],[RECUPERO]]/DATA_ENERO_2025[[#This Row],[META]]</f>
        <v>0.82548095238095232</v>
      </c>
      <c r="N68" t="str" cm="1">
        <f t="array" ref="N68">IF(DATA_ENERO_2025[[#This Row],[ASER_]]="","",IFERROR(_xlfn.IFS(M68&gt;=100%,"&gt;100%",AND(M68&lt;100%,M68&gt;=70%),"&gt;70%",AND(M68&lt;70%,M68&gt;=40%),"&gt;40%",AND(M68&lt;40%,M68&gt;=0%),"&gt;0%"),""))</f>
        <v>&gt;70%</v>
      </c>
      <c r="O68" t="s">
        <v>9</v>
      </c>
      <c r="P68">
        <f>SUM(DATA_ENERO_2025[[#This Row],[1]:[31]])</f>
        <v>17335.099999999999</v>
      </c>
      <c r="Q68">
        <v>21000</v>
      </c>
      <c r="R68" t="s">
        <v>70</v>
      </c>
      <c r="T68">
        <v>450</v>
      </c>
      <c r="V68">
        <v>200</v>
      </c>
      <c r="X68">
        <v>720</v>
      </c>
      <c r="AA68">
        <v>830</v>
      </c>
      <c r="AE68">
        <v>500</v>
      </c>
      <c r="AF68">
        <v>3800</v>
      </c>
      <c r="AG68">
        <v>200</v>
      </c>
      <c r="AH68">
        <v>553</v>
      </c>
      <c r="AL68">
        <v>600</v>
      </c>
      <c r="AN68">
        <v>1230</v>
      </c>
      <c r="AO68">
        <v>200</v>
      </c>
      <c r="AP68">
        <v>1900.1</v>
      </c>
      <c r="AQ68">
        <v>350</v>
      </c>
      <c r="AS68">
        <v>3602</v>
      </c>
      <c r="AU68">
        <v>200</v>
      </c>
      <c r="AV68">
        <v>300</v>
      </c>
      <c r="AW68">
        <v>1700</v>
      </c>
      <c r="AX68" t="s">
        <v>153</v>
      </c>
    </row>
    <row r="69" spans="1:50" x14ac:dyDescent="0.25">
      <c r="A69" t="str">
        <f>D1_ENERO_2025[[#This Row],[SUPER2]]</f>
        <v>SANDY</v>
      </c>
      <c r="B69" t="s">
        <v>23</v>
      </c>
      <c r="C69">
        <f>VLOOKUP(D1_ENERO_2025[[#This Row],[SUPER]],DATA_ENERO_2025[[SUPERVISOR]:[META]],3,0)</f>
        <v>58000</v>
      </c>
      <c r="D69">
        <f>D1_ENERO_2025[[#This Row],[RECUPERO]]/C69</f>
        <v>1.2074137931034483</v>
      </c>
      <c r="E69" t="s">
        <v>3</v>
      </c>
      <c r="F69" t="s">
        <v>23</v>
      </c>
      <c r="G69">
        <v>70030</v>
      </c>
      <c r="H69" t="s">
        <v>445</v>
      </c>
      <c r="I69" s="56">
        <v>44111</v>
      </c>
      <c r="J69" s="56" t="s">
        <v>501</v>
      </c>
      <c r="K69" s="56"/>
      <c r="L69" s="56"/>
      <c r="M69" s="1">
        <f>DATA_ENERO_2025[[#This Row],[RECUPERO]]/DATA_ENERO_2025[[#This Row],[META]]</f>
        <v>0.82920689655172419</v>
      </c>
      <c r="N69" t="str" cm="1">
        <f t="array" ref="N69">IF(DATA_ENERO_2025[[#This Row],[ASER_]]="","",IFERROR(_xlfn.IFS(M69&gt;=100%,"&gt;100%",AND(M69&lt;100%,M69&gt;=70%),"&gt;70%",AND(M69&lt;70%,M69&gt;=40%),"&gt;40%",AND(M69&lt;40%,M69&gt;=0%),"&gt;0%"),""))</f>
        <v>&gt;70%</v>
      </c>
      <c r="O69" t="s">
        <v>4</v>
      </c>
      <c r="P69">
        <f>SUM(DATA_ENERO_2025[[#This Row],[1]:[31]])</f>
        <v>48094</v>
      </c>
      <c r="Q69">
        <v>58000</v>
      </c>
      <c r="R69" t="s">
        <v>11</v>
      </c>
      <c r="T69">
        <v>2700</v>
      </c>
      <c r="U69">
        <v>14430</v>
      </c>
      <c r="Y69">
        <v>5000</v>
      </c>
      <c r="Z69">
        <v>523</v>
      </c>
      <c r="AA69">
        <v>1220</v>
      </c>
      <c r="AE69">
        <v>84</v>
      </c>
      <c r="AF69">
        <v>12000</v>
      </c>
      <c r="AG69">
        <v>809</v>
      </c>
      <c r="AH69">
        <v>300</v>
      </c>
      <c r="AJ69">
        <v>650</v>
      </c>
      <c r="AM69">
        <v>1990</v>
      </c>
      <c r="AP69">
        <v>1200</v>
      </c>
      <c r="AS69">
        <v>905</v>
      </c>
      <c r="AU69">
        <v>3885</v>
      </c>
      <c r="AV69">
        <v>498</v>
      </c>
      <c r="AW69">
        <v>1900</v>
      </c>
      <c r="AX69" t="s">
        <v>150</v>
      </c>
    </row>
    <row r="70" spans="1:50" x14ac:dyDescent="0.25">
      <c r="A70" t="str">
        <f>D1_ENERO_2025[[#This Row],[SUPER2]]</f>
        <v>SANDY</v>
      </c>
      <c r="B70" t="s">
        <v>25</v>
      </c>
      <c r="C70">
        <f>VLOOKUP(D1_ENERO_2025[[#This Row],[SUPER]],DATA_ENERO_2025[[SUPERVISOR]:[META]],3,0)</f>
        <v>58000</v>
      </c>
      <c r="D70">
        <f>D1_ENERO_2025[[#This Row],[RECUPERO]]/C70</f>
        <v>0.91737931034482756</v>
      </c>
      <c r="E70" t="s">
        <v>3</v>
      </c>
      <c r="F70" t="s">
        <v>25</v>
      </c>
      <c r="G70">
        <v>53208</v>
      </c>
      <c r="H70" t="s">
        <v>446</v>
      </c>
      <c r="I70" s="56">
        <v>44820</v>
      </c>
      <c r="J70" s="56" t="s">
        <v>501</v>
      </c>
      <c r="K70" s="56"/>
      <c r="L70" s="56"/>
      <c r="M70" s="1">
        <f>DATA_ENERO_2025[[#This Row],[RECUPERO]]/DATA_ENERO_2025[[#This Row],[META]]</f>
        <v>0.35457272727272726</v>
      </c>
      <c r="N70" t="str" cm="1">
        <f t="array" ref="N70">IF(DATA_ENERO_2025[[#This Row],[ASER_]]="","",IFERROR(_xlfn.IFS(M70&gt;=100%,"&gt;100%",AND(M70&lt;100%,M70&gt;=70%),"&gt;70%",AND(M70&lt;70%,M70&gt;=40%),"&gt;40%",AND(M70&lt;40%,M70&gt;=0%),"&gt;0%"),""))</f>
        <v>&gt;0%</v>
      </c>
      <c r="O70" t="s">
        <v>2</v>
      </c>
      <c r="P70">
        <f>SUM(DATA_ENERO_2025[[#This Row],[1]:[31]])</f>
        <v>7800.6</v>
      </c>
      <c r="Q70">
        <v>22000</v>
      </c>
      <c r="R70" t="s">
        <v>74</v>
      </c>
      <c r="T70">
        <v>200</v>
      </c>
      <c r="V70">
        <v>210</v>
      </c>
      <c r="Y70">
        <v>200</v>
      </c>
      <c r="AB70">
        <v>300</v>
      </c>
      <c r="AC70">
        <v>241</v>
      </c>
      <c r="AF70">
        <v>2045</v>
      </c>
      <c r="AG70">
        <v>350</v>
      </c>
      <c r="AH70">
        <v>605</v>
      </c>
      <c r="AL70">
        <v>400</v>
      </c>
      <c r="AO70">
        <v>1009.6</v>
      </c>
      <c r="AP70">
        <v>360</v>
      </c>
      <c r="AQ70">
        <v>400</v>
      </c>
      <c r="AU70">
        <v>200</v>
      </c>
      <c r="AV70">
        <v>500</v>
      </c>
      <c r="AW70">
        <v>780</v>
      </c>
      <c r="AX70" t="s">
        <v>151</v>
      </c>
    </row>
    <row r="71" spans="1:50" x14ac:dyDescent="0.25">
      <c r="A71" t="str">
        <f>D1_ENERO_2025[[#This Row],[SUPER2]]</f>
        <v>SANDY</v>
      </c>
      <c r="B71" t="s">
        <v>63</v>
      </c>
      <c r="C71">
        <f>VLOOKUP(D1_ENERO_2025[[#This Row],[SUPER]],DATA_ENERO_2025[[SUPERVISOR]:[META]],3,0)</f>
        <v>58000</v>
      </c>
      <c r="D71">
        <f>D1_ENERO_2025[[#This Row],[RECUPERO]]/C71</f>
        <v>0.86987758620689659</v>
      </c>
      <c r="E71" t="s">
        <v>3</v>
      </c>
      <c r="F71" t="s">
        <v>63</v>
      </c>
      <c r="G71">
        <v>50452.9</v>
      </c>
      <c r="H71" t="s">
        <v>447</v>
      </c>
      <c r="I71" s="56">
        <v>45316</v>
      </c>
      <c r="J71" s="56" t="s">
        <v>501</v>
      </c>
      <c r="K71" s="56"/>
      <c r="L71" s="56"/>
      <c r="M71" s="1">
        <f>DATA_ENERO_2025[[#This Row],[RECUPERO]]/DATA_ENERO_2025[[#This Row],[META]]</f>
        <v>0.13309090909090909</v>
      </c>
      <c r="N71" t="str" cm="1">
        <f t="array" ref="N71">IF(DATA_ENERO_2025[[#This Row],[ASER_]]="","",IFERROR(_xlfn.IFS(M71&gt;=100%,"&gt;100%",AND(M71&lt;100%,M71&gt;=70%),"&gt;70%",AND(M71&lt;70%,M71&gt;=40%),"&gt;40%",AND(M71&lt;40%,M71&gt;=0%),"&gt;0%"),""))</f>
        <v>&gt;0%</v>
      </c>
      <c r="O71" t="s">
        <v>2</v>
      </c>
      <c r="P71">
        <f>SUM(DATA_ENERO_2025[[#This Row],[1]:[31]])</f>
        <v>2928</v>
      </c>
      <c r="Q71">
        <v>22000</v>
      </c>
      <c r="R71" t="s">
        <v>117</v>
      </c>
      <c r="AM71">
        <v>200</v>
      </c>
      <c r="AS71">
        <v>500</v>
      </c>
      <c r="AU71">
        <v>1638</v>
      </c>
      <c r="AW71">
        <v>590</v>
      </c>
      <c r="AX71" t="s">
        <v>151</v>
      </c>
    </row>
    <row r="72" spans="1:50" x14ac:dyDescent="0.25">
      <c r="A72" t="str">
        <f>D1_ENERO_2025[[#This Row],[SUPER2]]</f>
        <v>SANDY</v>
      </c>
      <c r="B72" t="s">
        <v>30</v>
      </c>
      <c r="C72">
        <f>VLOOKUP(D1_ENERO_2025[[#This Row],[SUPER]],DATA_ENERO_2025[[SUPERVISOR]:[META]],3,0)</f>
        <v>58000</v>
      </c>
      <c r="D72">
        <f>D1_ENERO_2025[[#This Row],[RECUPERO]]/C72</f>
        <v>0.57218965517241382</v>
      </c>
      <c r="E72" t="s">
        <v>3</v>
      </c>
      <c r="F72" t="s">
        <v>30</v>
      </c>
      <c r="G72">
        <v>33187</v>
      </c>
      <c r="H72" t="s">
        <v>448</v>
      </c>
      <c r="I72" s="56">
        <v>45399</v>
      </c>
      <c r="J72" s="56" t="s">
        <v>501</v>
      </c>
      <c r="K72" s="56"/>
      <c r="L72" s="56"/>
      <c r="M72" s="1">
        <f>DATA_ENERO_2025[[#This Row],[RECUPERO]]/DATA_ENERO_2025[[#This Row],[META]]</f>
        <v>0.15571428571428572</v>
      </c>
      <c r="N72" t="str" cm="1">
        <f t="array" ref="N72">IF(DATA_ENERO_2025[[#This Row],[ASER_]]="","",IFERROR(_xlfn.IFS(M72&gt;=100%,"&gt;100%",AND(M72&lt;100%,M72&gt;=70%),"&gt;70%",AND(M72&lt;70%,M72&gt;=40%),"&gt;40%",AND(M72&lt;40%,M72&gt;=0%),"&gt;0%"),""))</f>
        <v>&gt;0%</v>
      </c>
      <c r="O72" t="s">
        <v>9</v>
      </c>
      <c r="P72">
        <f>SUM(DATA_ENERO_2025[[#This Row],[1]:[31]])</f>
        <v>3270</v>
      </c>
      <c r="Q72">
        <v>21000</v>
      </c>
      <c r="R72" t="s">
        <v>538</v>
      </c>
      <c r="X72">
        <v>500</v>
      </c>
      <c r="AE72">
        <v>800</v>
      </c>
      <c r="AI72">
        <v>400</v>
      </c>
      <c r="AQ72">
        <v>150</v>
      </c>
      <c r="AS72">
        <v>720</v>
      </c>
      <c r="AU72">
        <v>500</v>
      </c>
      <c r="AV72">
        <v>200</v>
      </c>
      <c r="AX72" t="s">
        <v>153</v>
      </c>
    </row>
    <row r="73" spans="1:50" x14ac:dyDescent="0.25">
      <c r="A73" t="str">
        <f>D1_ENERO_2025[[#This Row],[SUPER2]]</f>
        <v>SANDY</v>
      </c>
      <c r="B73" t="s">
        <v>10</v>
      </c>
      <c r="C73">
        <f>VLOOKUP(D1_ENERO_2025[[#This Row],[SUPER]],DATA_ENERO_2025[[SUPERVISOR]:[META]],3,0)</f>
        <v>58000</v>
      </c>
      <c r="D73">
        <f>D1_ENERO_2025[[#This Row],[RECUPERO]]/C73</f>
        <v>0.58684482758620693</v>
      </c>
      <c r="E73" t="s">
        <v>3</v>
      </c>
      <c r="F73" t="s">
        <v>10</v>
      </c>
      <c r="G73">
        <v>34037</v>
      </c>
      <c r="H73" t="s">
        <v>449</v>
      </c>
      <c r="I73" s="56">
        <v>44706</v>
      </c>
      <c r="J73" s="56" t="s">
        <v>501</v>
      </c>
      <c r="K73" s="56"/>
      <c r="L73" s="56"/>
      <c r="M73" s="1">
        <f>DATA_ENERO_2025[[#This Row],[RECUPERO]]/DATA_ENERO_2025[[#This Row],[META]]</f>
        <v>1.9124344827586206</v>
      </c>
      <c r="N73" t="str" cm="1">
        <f t="array" ref="N73">IF(DATA_ENERO_2025[[#This Row],[ASER_]]="","",IFERROR(_xlfn.IFS(M73&gt;=100%,"&gt;100%",AND(M73&lt;100%,M73&gt;=70%),"&gt;70%",AND(M73&lt;70%,M73&gt;=40%),"&gt;40%",AND(M73&lt;40%,M73&gt;=0%),"&gt;0%"),""))</f>
        <v>&gt;100%</v>
      </c>
      <c r="O73" t="s">
        <v>4</v>
      </c>
      <c r="P73">
        <f>SUM(DATA_ENERO_2025[[#This Row],[1]:[31]])</f>
        <v>110921.2</v>
      </c>
      <c r="Q73">
        <v>58000</v>
      </c>
      <c r="R73" t="s">
        <v>59</v>
      </c>
      <c r="T73">
        <v>265</v>
      </c>
      <c r="Y73">
        <v>1000.1</v>
      </c>
      <c r="Z73">
        <v>3600</v>
      </c>
      <c r="AA73">
        <v>0</v>
      </c>
      <c r="AB73">
        <v>19589</v>
      </c>
      <c r="AC73">
        <v>1155</v>
      </c>
      <c r="AF73">
        <v>1000.1</v>
      </c>
      <c r="AG73">
        <v>3500</v>
      </c>
      <c r="AH73">
        <v>2100</v>
      </c>
      <c r="AI73">
        <v>6800</v>
      </c>
      <c r="AL73">
        <v>312</v>
      </c>
      <c r="AM73">
        <v>20000</v>
      </c>
      <c r="AN73">
        <v>200</v>
      </c>
      <c r="AO73">
        <v>10000</v>
      </c>
      <c r="AS73">
        <v>6000</v>
      </c>
      <c r="AT73">
        <v>1850</v>
      </c>
      <c r="AU73">
        <v>6700</v>
      </c>
      <c r="AV73">
        <v>9600</v>
      </c>
      <c r="AW73">
        <v>17250</v>
      </c>
      <c r="AX73" t="s">
        <v>150</v>
      </c>
    </row>
    <row r="74" spans="1:50" x14ac:dyDescent="0.25">
      <c r="A74" t="str">
        <f>D1_ENERO_2025[[#This Row],[SUPER2]]</f>
        <v>JORGE</v>
      </c>
      <c r="B74" t="s">
        <v>537</v>
      </c>
      <c r="C74">
        <f>VLOOKUP(D1_ENERO_2025[[#This Row],[SUPER]],DATA_ENERO_2025[[SUPERVISOR]:[META]],3,0)</f>
        <v>22000</v>
      </c>
      <c r="D74">
        <f>D1_ENERO_2025[[#This Row],[RECUPERO]]/C74</f>
        <v>0.5896818181818182</v>
      </c>
      <c r="E74" t="s">
        <v>2</v>
      </c>
      <c r="F74" t="s">
        <v>537</v>
      </c>
      <c r="G74">
        <v>12973</v>
      </c>
      <c r="H74" t="s">
        <v>539</v>
      </c>
      <c r="I74" s="56">
        <v>44716</v>
      </c>
      <c r="J74" s="56" t="s">
        <v>501</v>
      </c>
      <c r="M74" s="1">
        <f>DATA_ENERO_2025[[#This Row],[RECUPERO]]/DATA_ENERO_2025[[#This Row],[META]]</f>
        <v>0.86987758620689659</v>
      </c>
      <c r="N74" t="str" cm="1">
        <f t="array" ref="N74">IF(DATA_ENERO_2025[[#This Row],[ASER_]]="","",IFERROR(_xlfn.IFS(M74&gt;=100%,"&gt;100%",AND(M74&lt;100%,M74&gt;=70%),"&gt;70%",AND(M74&lt;70%,M74&gt;=40%),"&gt;40%",AND(M74&lt;40%,M74&gt;=0%),"&gt;0%"),""))</f>
        <v>&gt;70%</v>
      </c>
      <c r="O74" t="s">
        <v>3</v>
      </c>
      <c r="P74">
        <f>SUM(DATA_ENERO_2025[[#This Row],[1]:[31]])</f>
        <v>50452.9</v>
      </c>
      <c r="Q74">
        <v>58000</v>
      </c>
      <c r="R74" t="s">
        <v>63</v>
      </c>
      <c r="U74">
        <v>880</v>
      </c>
      <c r="X74">
        <v>310</v>
      </c>
      <c r="Y74">
        <v>262</v>
      </c>
      <c r="Z74">
        <v>1680</v>
      </c>
      <c r="AA74">
        <v>12000</v>
      </c>
      <c r="AB74">
        <v>600</v>
      </c>
      <c r="AF74">
        <v>3785</v>
      </c>
      <c r="AG74">
        <v>5907</v>
      </c>
      <c r="AH74">
        <v>3800</v>
      </c>
      <c r="AI74">
        <v>380</v>
      </c>
      <c r="AJ74">
        <v>150</v>
      </c>
      <c r="AL74">
        <v>6500</v>
      </c>
      <c r="AP74">
        <v>600</v>
      </c>
      <c r="AQ74">
        <v>1040.9000000000001</v>
      </c>
      <c r="AT74">
        <v>1000</v>
      </c>
      <c r="AV74">
        <v>6221</v>
      </c>
      <c r="AW74">
        <v>5337</v>
      </c>
      <c r="AX74" t="s">
        <v>150</v>
      </c>
    </row>
    <row r="75" spans="1:50" x14ac:dyDescent="0.25">
      <c r="A75" t="str">
        <f>D1_ENERO_2025[[#This Row],[SUPER2]]</f>
        <v>LUIS</v>
      </c>
      <c r="B75" t="s">
        <v>538</v>
      </c>
      <c r="C75">
        <f>VLOOKUP(D1_ENERO_2025[[#This Row],[SUPER]],DATA_ENERO_2025[[SUPERVISOR]:[META]],3,0)</f>
        <v>21000</v>
      </c>
      <c r="D75">
        <f>D1_ENERO_2025[[#This Row],[RECUPERO]]/C75</f>
        <v>0.15571428571428572</v>
      </c>
      <c r="E75" t="s">
        <v>9</v>
      </c>
      <c r="F75" t="s">
        <v>538</v>
      </c>
      <c r="G75">
        <v>3270</v>
      </c>
      <c r="H75" t="s">
        <v>540</v>
      </c>
      <c r="I75" s="56">
        <v>45343</v>
      </c>
      <c r="J75" s="56" t="s">
        <v>501</v>
      </c>
      <c r="M75" s="1">
        <f>DATA_ENERO_2025[[#This Row],[RECUPERO]]/DATA_ENERO_2025[[#This Row],[META]]</f>
        <v>0.56958571428571425</v>
      </c>
      <c r="N75" t="str" cm="1">
        <f t="array" ref="N75">IF(DATA_ENERO_2025[[#This Row],[ASER_]]="","",IFERROR(_xlfn.IFS(M75&gt;=100%,"&gt;100%",AND(M75&lt;100%,M75&gt;=70%),"&gt;70%",AND(M75&lt;70%,M75&gt;=40%),"&gt;40%",AND(M75&lt;40%,M75&gt;=0%),"&gt;0%"),""))</f>
        <v>&gt;40%</v>
      </c>
      <c r="O75" t="s">
        <v>9</v>
      </c>
      <c r="P75">
        <f>SUM(DATA_ENERO_2025[[#This Row],[1]:[31]])</f>
        <v>11961.3</v>
      </c>
      <c r="Q75">
        <v>21000</v>
      </c>
      <c r="R75" t="s">
        <v>103</v>
      </c>
      <c r="T75">
        <v>270</v>
      </c>
      <c r="X75">
        <v>400</v>
      </c>
      <c r="AC75">
        <v>3200</v>
      </c>
      <c r="AF75">
        <v>434</v>
      </c>
      <c r="AI75">
        <v>1007.3</v>
      </c>
      <c r="AJ75">
        <v>1500</v>
      </c>
      <c r="AL75">
        <v>1200</v>
      </c>
      <c r="AM75">
        <v>1000</v>
      </c>
      <c r="AO75">
        <v>550</v>
      </c>
      <c r="AT75">
        <v>1200</v>
      </c>
      <c r="AU75">
        <v>430</v>
      </c>
      <c r="AV75">
        <v>500</v>
      </c>
      <c r="AW75">
        <v>270</v>
      </c>
      <c r="AX75" t="s">
        <v>153</v>
      </c>
    </row>
    <row r="76" spans="1:50" x14ac:dyDescent="0.25">
      <c r="A76" t="str">
        <f>D1_ENERO_2025[[#This Row],[SUPER2]]</f>
        <v>JORDAN</v>
      </c>
      <c r="B76" t="s">
        <v>541</v>
      </c>
      <c r="C76">
        <f>VLOOKUP(D1_ENERO_2025[[#This Row],[SUPER]],DATA_ENERO_2025[[SUPERVISOR]:[META]],3,0)</f>
        <v>58000</v>
      </c>
      <c r="D76">
        <f>D1_ENERO_2025[[#This Row],[RECUPERO]]/C76</f>
        <v>3.4913793103448276E-2</v>
      </c>
      <c r="E76" t="s">
        <v>5</v>
      </c>
      <c r="F76" t="s">
        <v>541</v>
      </c>
      <c r="G76">
        <v>2025</v>
      </c>
      <c r="H76" t="s">
        <v>542</v>
      </c>
      <c r="I76" s="56">
        <v>45131</v>
      </c>
      <c r="J76" s="56" t="s">
        <v>501</v>
      </c>
      <c r="M76" s="1">
        <f>DATA_ENERO_2025[[#This Row],[RECUPERO]]/DATA_ENERO_2025[[#This Row],[META]]</f>
        <v>0.42004761904761906</v>
      </c>
      <c r="N76" t="str" cm="1">
        <f t="array" ref="N76">IF(DATA_ENERO_2025[[#This Row],[ASER_]]="","",IFERROR(_xlfn.IFS(M76&gt;=100%,"&gt;100%",AND(M76&lt;100%,M76&gt;=70%),"&gt;70%",AND(M76&lt;70%,M76&gt;=40%),"&gt;40%",AND(M76&lt;40%,M76&gt;=0%),"&gt;0%"),""))</f>
        <v>&gt;40%</v>
      </c>
      <c r="O76" t="s">
        <v>9</v>
      </c>
      <c r="P76">
        <f>SUM(DATA_ENERO_2025[[#This Row],[1]:[31]])</f>
        <v>8821</v>
      </c>
      <c r="Q76">
        <v>21000</v>
      </c>
      <c r="R76" t="s">
        <v>73</v>
      </c>
      <c r="T76">
        <v>250</v>
      </c>
      <c r="Z76">
        <v>200</v>
      </c>
      <c r="AE76">
        <v>220</v>
      </c>
      <c r="AF76">
        <v>200</v>
      </c>
      <c r="AG76">
        <v>150</v>
      </c>
      <c r="AH76">
        <v>1000</v>
      </c>
      <c r="AI76">
        <v>2301</v>
      </c>
      <c r="AL76">
        <v>850</v>
      </c>
      <c r="AO76">
        <v>500</v>
      </c>
      <c r="AP76">
        <v>400</v>
      </c>
      <c r="AS76">
        <v>1200</v>
      </c>
      <c r="AT76">
        <v>150</v>
      </c>
      <c r="AU76">
        <v>200</v>
      </c>
      <c r="AV76">
        <v>50</v>
      </c>
      <c r="AW76">
        <v>1150</v>
      </c>
      <c r="AX76" t="s">
        <v>153</v>
      </c>
    </row>
    <row r="77" spans="1:50" x14ac:dyDescent="0.25">
      <c r="M77" s="1">
        <f>DATA_ENERO_2025[[#This Row],[RECUPERO]]/DATA_ENERO_2025[[#This Row],[META]]</f>
        <v>0.74604761904761907</v>
      </c>
      <c r="N77" t="str" cm="1">
        <f t="array" ref="N77">IF(DATA_ENERO_2025[[#This Row],[ASER_]]="","",IFERROR(_xlfn.IFS(M77&gt;=100%,"&gt;100%",AND(M77&lt;100%,M77&gt;=70%),"&gt;70%",AND(M77&lt;70%,M77&gt;=40%),"&gt;40%",AND(M77&lt;40%,M77&gt;=0%),"&gt;0%"),""))</f>
        <v>&gt;70%</v>
      </c>
      <c r="O77" t="s">
        <v>6</v>
      </c>
      <c r="P77">
        <f>SUM(DATA_ENERO_2025[[#This Row],[1]:[31]])</f>
        <v>15667</v>
      </c>
      <c r="Q77">
        <v>21000</v>
      </c>
      <c r="R77" t="s">
        <v>34</v>
      </c>
      <c r="T77">
        <v>1000</v>
      </c>
      <c r="U77">
        <v>700</v>
      </c>
      <c r="X77">
        <v>2300</v>
      </c>
      <c r="Y77">
        <v>500</v>
      </c>
      <c r="Z77">
        <v>267</v>
      </c>
      <c r="AA77">
        <v>1000</v>
      </c>
      <c r="AG77">
        <v>250</v>
      </c>
      <c r="AL77">
        <v>900</v>
      </c>
      <c r="AO77">
        <v>1900</v>
      </c>
      <c r="AQ77">
        <v>1000</v>
      </c>
      <c r="AT77">
        <v>4700</v>
      </c>
      <c r="AV77">
        <v>350</v>
      </c>
      <c r="AW77">
        <v>800</v>
      </c>
      <c r="AX77" t="s">
        <v>152</v>
      </c>
    </row>
    <row r="78" spans="1:50" x14ac:dyDescent="0.25">
      <c r="M78" s="1">
        <f>DATA_ENERO_2025[[#This Row],[RECUPERO]]/DATA_ENERO_2025[[#This Row],[META]]</f>
        <v>0.57218965517241382</v>
      </c>
      <c r="N78" t="str" cm="1">
        <f t="array" ref="N78">IF(DATA_ENERO_2025[[#This Row],[ASER_]]="","",IFERROR(_xlfn.IFS(M78&gt;=100%,"&gt;100%",AND(M78&lt;100%,M78&gt;=70%),"&gt;70%",AND(M78&lt;70%,M78&gt;=40%),"&gt;40%",AND(M78&lt;40%,M78&gt;=0%),"&gt;0%"),""))</f>
        <v>&gt;40%</v>
      </c>
      <c r="O78" t="s">
        <v>3</v>
      </c>
      <c r="P78">
        <f>SUM(DATA_ENERO_2025[[#This Row],[1]:[31]])</f>
        <v>33187</v>
      </c>
      <c r="Q78">
        <v>58000</v>
      </c>
      <c r="R78" t="s">
        <v>30</v>
      </c>
      <c r="T78">
        <v>6100</v>
      </c>
      <c r="U78">
        <v>340</v>
      </c>
      <c r="V78">
        <v>570</v>
      </c>
      <c r="Y78">
        <v>1255</v>
      </c>
      <c r="AA78">
        <v>1100</v>
      </c>
      <c r="AB78">
        <v>600</v>
      </c>
      <c r="AG78">
        <v>3600</v>
      </c>
      <c r="AM78">
        <v>5000</v>
      </c>
      <c r="AO78">
        <v>1375</v>
      </c>
      <c r="AP78">
        <v>700</v>
      </c>
      <c r="AS78">
        <v>6300</v>
      </c>
      <c r="AT78">
        <v>2437</v>
      </c>
      <c r="AW78">
        <v>3810</v>
      </c>
      <c r="AX78" t="s">
        <v>150</v>
      </c>
    </row>
    <row r="79" spans="1:50" x14ac:dyDescent="0.25">
      <c r="M79" s="1">
        <f>DATA_ENERO_2025[[#This Row],[RECUPERO]]/DATA_ENERO_2025[[#This Row],[META]]</f>
        <v>0.36845454545454548</v>
      </c>
      <c r="N79" t="str" cm="1">
        <f t="array" ref="N79">IF(DATA_ENERO_2025[[#This Row],[ASER_]]="","",IFERROR(_xlfn.IFS(M79&gt;=100%,"&gt;100%",AND(M79&lt;100%,M79&gt;=70%),"&gt;70%",AND(M79&lt;70%,M79&gt;=40%),"&gt;40%",AND(M79&lt;40%,M79&gt;=0%),"&gt;0%"),""))</f>
        <v>&gt;0%</v>
      </c>
      <c r="O79" t="s">
        <v>2</v>
      </c>
      <c r="P79">
        <f>SUM(DATA_ENERO_2025[[#This Row],[1]:[31]])</f>
        <v>8106</v>
      </c>
      <c r="Q79">
        <v>22000</v>
      </c>
      <c r="R79" t="s">
        <v>78</v>
      </c>
      <c r="X79">
        <v>1700</v>
      </c>
      <c r="Z79">
        <v>250</v>
      </c>
      <c r="AA79">
        <v>200</v>
      </c>
      <c r="AB79">
        <v>530</v>
      </c>
      <c r="AF79">
        <v>750</v>
      </c>
      <c r="AG79">
        <v>626</v>
      </c>
      <c r="AL79">
        <v>200</v>
      </c>
      <c r="AS79">
        <v>615</v>
      </c>
      <c r="AV79">
        <v>1615</v>
      </c>
      <c r="AW79">
        <v>1620</v>
      </c>
      <c r="AX79" t="s">
        <v>151</v>
      </c>
    </row>
    <row r="80" spans="1:50" x14ac:dyDescent="0.25">
      <c r="M80" s="1">
        <f>DATA_ENERO_2025[[#This Row],[RECUPERO]]/DATA_ENERO_2025[[#This Row],[META]]</f>
        <v>0.44082380952380951</v>
      </c>
      <c r="N80" t="str" cm="1">
        <f t="array" ref="N80">IF(DATA_ENERO_2025[[#This Row],[ASER_]]="","",IFERROR(_xlfn.IFS(M80&gt;=100%,"&gt;100%",AND(M80&lt;100%,M80&gt;=70%),"&gt;70%",AND(M80&lt;70%,M80&gt;=40%),"&gt;40%",AND(M80&lt;40%,M80&gt;=0%),"&gt;0%"),""))</f>
        <v>&gt;40%</v>
      </c>
      <c r="O80" t="s">
        <v>9</v>
      </c>
      <c r="P80">
        <f>SUM(DATA_ENERO_2025[[#This Row],[1]:[31]])</f>
        <v>9257.2999999999993</v>
      </c>
      <c r="Q80">
        <v>21000</v>
      </c>
      <c r="R80" t="s">
        <v>48</v>
      </c>
      <c r="T80">
        <v>200</v>
      </c>
      <c r="X80">
        <v>300</v>
      </c>
      <c r="Z80">
        <v>3000</v>
      </c>
      <c r="AB80">
        <v>3200</v>
      </c>
      <c r="AI80">
        <v>200</v>
      </c>
      <c r="AJ80">
        <v>150</v>
      </c>
      <c r="AL80">
        <v>657.3</v>
      </c>
      <c r="AO80">
        <v>1000</v>
      </c>
      <c r="AV80">
        <v>200</v>
      </c>
      <c r="AW80">
        <v>350</v>
      </c>
      <c r="AX80" t="s">
        <v>153</v>
      </c>
    </row>
    <row r="81" spans="13:50" x14ac:dyDescent="0.25">
      <c r="M81" s="1">
        <f>DATA_ENERO_2025[[#This Row],[RECUPERO]]/DATA_ENERO_2025[[#This Row],[META]]</f>
        <v>0.58684482758620693</v>
      </c>
      <c r="N81" t="str" cm="1">
        <f t="array" ref="N81">IF(DATA_ENERO_2025[[#This Row],[ASER_]]="","",IFERROR(_xlfn.IFS(M81&gt;=100%,"&gt;100%",AND(M81&lt;100%,M81&gt;=70%),"&gt;70%",AND(M81&lt;70%,M81&gt;=40%),"&gt;40%",AND(M81&lt;40%,M81&gt;=0%),"&gt;0%"),""))</f>
        <v>&gt;40%</v>
      </c>
      <c r="O81" t="s">
        <v>3</v>
      </c>
      <c r="P81">
        <f>SUM(DATA_ENERO_2025[[#This Row],[1]:[31]])</f>
        <v>34037</v>
      </c>
      <c r="Q81">
        <v>58000</v>
      </c>
      <c r="R81" t="s">
        <v>10</v>
      </c>
      <c r="U81">
        <v>1221</v>
      </c>
      <c r="V81">
        <v>675</v>
      </c>
      <c r="X81">
        <v>1262</v>
      </c>
      <c r="Y81">
        <v>4350</v>
      </c>
      <c r="AA81">
        <v>4790</v>
      </c>
      <c r="AG81">
        <v>210</v>
      </c>
      <c r="AI81">
        <v>324</v>
      </c>
      <c r="AO81">
        <v>600</v>
      </c>
      <c r="AP81">
        <v>3200</v>
      </c>
      <c r="AQ81">
        <v>5870</v>
      </c>
      <c r="AS81">
        <v>4150</v>
      </c>
      <c r="AT81">
        <v>485</v>
      </c>
      <c r="AV81">
        <v>4000</v>
      </c>
      <c r="AW81">
        <v>2900</v>
      </c>
      <c r="AX81" t="s">
        <v>150</v>
      </c>
    </row>
    <row r="82" spans="13:50" x14ac:dyDescent="0.25">
      <c r="M82" s="1">
        <f>DATA_ENERO_2025[[#This Row],[RECUPERO]]/DATA_ENERO_2025[[#This Row],[META]]</f>
        <v>0</v>
      </c>
      <c r="N82" t="str" cm="1">
        <f t="array" ref="N82">IF(DATA_ENERO_2025[[#This Row],[ASER_]]="","",IFERROR(_xlfn.IFS(M82&gt;=100%,"&gt;100%",AND(M82&lt;100%,M82&gt;=70%),"&gt;70%",AND(M82&lt;70%,M82&gt;=40%),"&gt;40%",AND(M82&lt;40%,M82&gt;=0%),"&gt;0%"),""))</f>
        <v>&gt;0%</v>
      </c>
      <c r="O82" t="s">
        <v>6</v>
      </c>
      <c r="P82">
        <f>SUM(DATA_ENERO_2025[[#This Row],[1]:[31]])</f>
        <v>0</v>
      </c>
      <c r="Q82">
        <v>21000</v>
      </c>
      <c r="R82" t="s">
        <v>76</v>
      </c>
      <c r="AX82" t="s">
        <v>152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F067-5D57-4517-A902-3CBF7ADCC840}">
  <dimension ref="A1:CI78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9.28515625" customWidth="1"/>
    <col min="2" max="3" width="22.7109375" customWidth="1"/>
    <col min="4" max="5" width="13.42578125" customWidth="1"/>
    <col min="6" max="6" width="12" customWidth="1"/>
    <col min="7" max="7" width="10.28515625" customWidth="1"/>
    <col min="8" max="12" width="11.42578125" customWidth="1"/>
    <col min="13" max="13" width="10" customWidth="1"/>
    <col min="14" max="14" width="16.42578125" bestFit="1" customWidth="1"/>
    <col min="15" max="15" width="22.7109375" customWidth="1"/>
    <col min="16" max="16" width="11.42578125" customWidth="1"/>
    <col min="18" max="18" width="27.28515625" bestFit="1" customWidth="1"/>
    <col min="19" max="19" width="6" bestFit="1" customWidth="1"/>
    <col min="20" max="27" width="6.42578125" bestFit="1" customWidth="1"/>
    <col min="28" max="28" width="7.42578125" bestFit="1" customWidth="1"/>
    <col min="29" max="29" width="7.140625" bestFit="1" customWidth="1"/>
    <col min="30" max="37" width="7.42578125" bestFit="1" customWidth="1"/>
    <col min="38" max="38" width="7.85546875" bestFit="1" customWidth="1"/>
    <col min="39" max="39" width="7.42578125" bestFit="1" customWidth="1"/>
    <col min="40" max="48" width="7.85546875" bestFit="1" customWidth="1"/>
    <col min="49" max="49" width="7.42578125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t="str">
        <f>D1_FEBRERO_2025[[#This Row],[SUPER2]]</f>
        <v>SANDY</v>
      </c>
      <c r="B3" t="s">
        <v>58</v>
      </c>
      <c r="C3">
        <f>VLOOKUP(D1_FEBRERO_2025[[#This Row],[SUPER]],DATA_FEBRERO_2025[[SUPERVISOR]:[META]],3,0)</f>
        <v>58000</v>
      </c>
      <c r="D3">
        <f>D1_FEBRERO_2025[[#This Row],[RECUPERO]]/C3</f>
        <v>0.56788793103448276</v>
      </c>
      <c r="E3" t="s">
        <v>3</v>
      </c>
      <c r="F3" t="s">
        <v>58</v>
      </c>
      <c r="G3">
        <v>32937.5</v>
      </c>
      <c r="H3" t="s">
        <v>441</v>
      </c>
      <c r="I3" s="56">
        <v>43035</v>
      </c>
      <c r="J3" t="s">
        <v>501</v>
      </c>
      <c r="L3" s="56"/>
      <c r="M3" s="33">
        <v>2025</v>
      </c>
      <c r="N3" s="33" t="s">
        <v>140</v>
      </c>
      <c r="O3" s="33">
        <v>20</v>
      </c>
    </row>
    <row r="4" spans="1:87" x14ac:dyDescent="0.25">
      <c r="A4" t="str">
        <f>D1_FEBRERO_2025[[#This Row],[SUPER2]]</f>
        <v>SANDY</v>
      </c>
      <c r="B4" t="s">
        <v>72</v>
      </c>
      <c r="C4">
        <f>VLOOKUP(D1_FEBRERO_2025[[#This Row],[SUPER]],DATA_FEBRERO_2025[[SUPERVISOR]:[META]],3,0)</f>
        <v>58000</v>
      </c>
      <c r="D4">
        <f>D1_FEBRERO_2025[[#This Row],[RECUPERO]]/C4</f>
        <v>0.63732758620689656</v>
      </c>
      <c r="E4" t="s">
        <v>3</v>
      </c>
      <c r="F4" t="s">
        <v>72</v>
      </c>
      <c r="G4">
        <v>36965</v>
      </c>
      <c r="H4" t="s">
        <v>450</v>
      </c>
      <c r="I4" s="56">
        <v>45084</v>
      </c>
      <c r="J4" t="s">
        <v>501</v>
      </c>
      <c r="L4" s="56"/>
    </row>
    <row r="5" spans="1:87" x14ac:dyDescent="0.25">
      <c r="A5" t="str">
        <f>D1_FEBRERO_2025[[#This Row],[SUPER2]]</f>
        <v>SANDY</v>
      </c>
      <c r="B5" t="s">
        <v>22</v>
      </c>
      <c r="C5">
        <f>VLOOKUP(D1_FEBRERO_2025[[#This Row],[SUPER]],DATA_FEBRERO_2025[[SUPERVISOR]:[META]],3,0)</f>
        <v>58000</v>
      </c>
      <c r="D5">
        <f>D1_FEBRERO_2025[[#This Row],[RECUPERO]]/C5</f>
        <v>1.2610482758620689</v>
      </c>
      <c r="E5" t="s">
        <v>3</v>
      </c>
      <c r="F5" t="s">
        <v>22</v>
      </c>
      <c r="G5">
        <v>73140.800000000003</v>
      </c>
      <c r="H5" t="s">
        <v>442</v>
      </c>
      <c r="I5" s="56">
        <v>45299</v>
      </c>
      <c r="J5" t="s">
        <v>501</v>
      </c>
      <c r="L5" s="56"/>
    </row>
    <row r="6" spans="1:87" x14ac:dyDescent="0.25">
      <c r="A6" t="str">
        <f>D1_FEBRERO_2025[[#This Row],[SUPER2]]</f>
        <v>SANDY</v>
      </c>
      <c r="B6" t="s">
        <v>57</v>
      </c>
      <c r="C6">
        <f>VLOOKUP(D1_FEBRERO_2025[[#This Row],[SUPER]],DATA_FEBRERO_2025[[SUPERVISOR]:[META]],3,0)</f>
        <v>58000</v>
      </c>
      <c r="D6">
        <f>D1_FEBRERO_2025[[#This Row],[RECUPERO]]/C6</f>
        <v>0.85294827586206901</v>
      </c>
      <c r="E6" t="s">
        <v>3</v>
      </c>
      <c r="F6" t="s">
        <v>57</v>
      </c>
      <c r="G6">
        <v>49471</v>
      </c>
      <c r="H6" t="s">
        <v>443</v>
      </c>
      <c r="I6" s="56">
        <v>45590</v>
      </c>
      <c r="J6" t="s">
        <v>501</v>
      </c>
      <c r="L6" s="56"/>
    </row>
    <row r="7" spans="1:87" x14ac:dyDescent="0.25">
      <c r="A7" t="str">
        <f>D1_FEBRERO_2025[[#This Row],[SUPER2]]</f>
        <v>SANDY</v>
      </c>
      <c r="B7" t="s">
        <v>23</v>
      </c>
      <c r="C7">
        <f>VLOOKUP(D1_FEBRERO_2025[[#This Row],[SUPER]],DATA_FEBRERO_2025[[SUPERVISOR]:[META]],3,0)</f>
        <v>58000</v>
      </c>
      <c r="D7">
        <f>D1_FEBRERO_2025[[#This Row],[RECUPERO]]/C7</f>
        <v>1.9456465517241379</v>
      </c>
      <c r="E7" t="s">
        <v>3</v>
      </c>
      <c r="F7" t="s">
        <v>23</v>
      </c>
      <c r="G7">
        <v>112847.5</v>
      </c>
      <c r="H7" t="s">
        <v>445</v>
      </c>
      <c r="I7" s="56">
        <v>44111</v>
      </c>
      <c r="J7" t="s">
        <v>501</v>
      </c>
      <c r="L7" s="56"/>
    </row>
    <row r="8" spans="1:87" x14ac:dyDescent="0.25">
      <c r="A8" t="str">
        <f>D1_FEBRERO_2025[[#This Row],[SUPER2]]</f>
        <v>SANDY</v>
      </c>
      <c r="B8" t="s">
        <v>63</v>
      </c>
      <c r="C8">
        <f>VLOOKUP(D1_FEBRERO_2025[[#This Row],[SUPER]],DATA_FEBRERO_2025[[SUPERVISOR]:[META]],3,0)</f>
        <v>58000</v>
      </c>
      <c r="D8">
        <f>D1_FEBRERO_2025[[#This Row],[RECUPERO]]/C8</f>
        <v>0.62852931034482751</v>
      </c>
      <c r="E8" t="s">
        <v>3</v>
      </c>
      <c r="F8" t="s">
        <v>63</v>
      </c>
      <c r="G8">
        <v>36454.699999999997</v>
      </c>
      <c r="H8" t="s">
        <v>447</v>
      </c>
      <c r="I8" s="56">
        <v>45316</v>
      </c>
      <c r="J8" t="s">
        <v>501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tr">
        <f>D1_FEBRERO_2025[[#This Row],[SUPER2]]</f>
        <v>SANDY</v>
      </c>
      <c r="B9" t="s">
        <v>30</v>
      </c>
      <c r="C9">
        <f>VLOOKUP(D1_FEBRERO_2025[[#This Row],[SUPER]],DATA_FEBRERO_2025[[SUPERVISOR]:[META]],3,0)</f>
        <v>58000</v>
      </c>
      <c r="D9">
        <f>D1_FEBRERO_2025[[#This Row],[RECUPERO]]/C9</f>
        <v>0.52382758620689651</v>
      </c>
      <c r="E9" t="s">
        <v>3</v>
      </c>
      <c r="F9" t="s">
        <v>30</v>
      </c>
      <c r="G9">
        <v>30382</v>
      </c>
      <c r="H9" t="s">
        <v>448</v>
      </c>
      <c r="I9" s="56">
        <v>45399</v>
      </c>
      <c r="J9" t="s">
        <v>501</v>
      </c>
      <c r="L9" s="56"/>
      <c r="M9" s="1">
        <f>DATA_FEBRERO_2025[[#This Row],[RECUPERO]]/DATA_FEBRERO_2025[[#This Row],[META]]</f>
        <v>1.1286060606060606</v>
      </c>
      <c r="N9" t="str" cm="1">
        <f t="array" ref="N9">IF(DATA_FEBRERO_2025[[#This Row],[ASER_]]="","",IFERROR(_xlfn.IFS(M9&gt;=100%,"&gt;100%",AND(M9&lt;100%,M9&gt;=70%),"&gt;70%",AND(M9&lt;70%,M9&gt;=40%),"&gt;40%",AND(M9&lt;40%,M9&gt;=0%),"&gt;0%"),""))</f>
        <v>&gt;100%</v>
      </c>
      <c r="O9" t="s">
        <v>115</v>
      </c>
      <c r="P9">
        <f>SUM(DATA_FEBRERO_2025[[#This Row],[1]:[31]])</f>
        <v>18622</v>
      </c>
      <c r="Q9">
        <v>16500</v>
      </c>
      <c r="R9" t="s">
        <v>18</v>
      </c>
      <c r="U9">
        <v>600</v>
      </c>
      <c r="V9">
        <v>733</v>
      </c>
      <c r="W9">
        <v>1336</v>
      </c>
      <c r="AB9">
        <v>1038</v>
      </c>
      <c r="AD9">
        <v>2100</v>
      </c>
      <c r="AE9">
        <v>702</v>
      </c>
      <c r="AF9">
        <v>435</v>
      </c>
      <c r="AI9">
        <v>264</v>
      </c>
      <c r="AJ9">
        <v>3327</v>
      </c>
      <c r="AK9">
        <v>1507</v>
      </c>
      <c r="AL9">
        <v>400</v>
      </c>
      <c r="AN9">
        <v>380</v>
      </c>
      <c r="AP9">
        <v>500</v>
      </c>
      <c r="AS9">
        <v>3800</v>
      </c>
      <c r="AT9">
        <v>1500</v>
      </c>
      <c r="AX9" t="s">
        <v>154</v>
      </c>
      <c r="AZ9">
        <v>499600</v>
      </c>
      <c r="BA9" s="11">
        <f>MAX(DITE_FEBRERO_2025[[#This Row],[1]:[31]])</f>
        <v>389069.42</v>
      </c>
      <c r="BB9" s="17">
        <f>DITE_FEBRERO_2025[[#This Row],[RECUPERO SUPERVISOR]]/DITE_FEBRERO_2025[[#This Row],[META SUPER]]</f>
        <v>0.7787618494795836</v>
      </c>
      <c r="BC9" t="s">
        <v>5</v>
      </c>
      <c r="BD9">
        <v>1090</v>
      </c>
      <c r="BE9">
        <v>2490</v>
      </c>
      <c r="BF9">
        <v>19461</v>
      </c>
      <c r="BG9">
        <v>26790</v>
      </c>
      <c r="BH9">
        <v>48721</v>
      </c>
      <c r="BI9">
        <v>59361</v>
      </c>
      <c r="BJ9">
        <v>61961</v>
      </c>
      <c r="BK9">
        <v>63961</v>
      </c>
      <c r="BL9">
        <v>63961</v>
      </c>
      <c r="BM9">
        <v>84401</v>
      </c>
      <c r="BN9">
        <v>91401</v>
      </c>
      <c r="BO9">
        <v>101016.5</v>
      </c>
      <c r="BP9">
        <v>131978.5</v>
      </c>
      <c r="BQ9">
        <v>148290.5</v>
      </c>
      <c r="BR9">
        <v>150180.5</v>
      </c>
      <c r="BS9">
        <v>150180.5</v>
      </c>
      <c r="BT9">
        <v>161917.5</v>
      </c>
      <c r="BU9">
        <v>174107.5</v>
      </c>
      <c r="BV9">
        <v>206605.5</v>
      </c>
      <c r="BW9">
        <v>221005.5</v>
      </c>
      <c r="BX9">
        <v>230245.5</v>
      </c>
      <c r="BY9">
        <v>234007.5</v>
      </c>
      <c r="BZ9">
        <v>234007.5</v>
      </c>
      <c r="CA9">
        <v>244197.5</v>
      </c>
      <c r="CB9">
        <v>279242.89</v>
      </c>
      <c r="CC9">
        <v>318542.89</v>
      </c>
      <c r="CD9">
        <v>339960.32000000001</v>
      </c>
      <c r="CE9">
        <v>389069.42</v>
      </c>
      <c r="CF9">
        <v>389069.42</v>
      </c>
      <c r="CG9">
        <v>389069.42</v>
      </c>
      <c r="CH9">
        <v>389069.42</v>
      </c>
      <c r="CI9" s="11" t="s">
        <v>150</v>
      </c>
    </row>
    <row r="10" spans="1:87" x14ac:dyDescent="0.25">
      <c r="A10" t="str">
        <f>D1_FEBRERO_2025[[#This Row],[SUPER2]]</f>
        <v>SANDY</v>
      </c>
      <c r="B10" t="s">
        <v>10</v>
      </c>
      <c r="C10">
        <f>VLOOKUP(D1_FEBRERO_2025[[#This Row],[SUPER]],DATA_FEBRERO_2025[[SUPERVISOR]:[META]],3,0)</f>
        <v>58000</v>
      </c>
      <c r="D10">
        <f>D1_FEBRERO_2025[[#This Row],[RECUPERO]]/C10</f>
        <v>0.60139655172413797</v>
      </c>
      <c r="E10" t="s">
        <v>3</v>
      </c>
      <c r="F10" t="s">
        <v>10</v>
      </c>
      <c r="G10">
        <v>34881</v>
      </c>
      <c r="H10" t="s">
        <v>449</v>
      </c>
      <c r="I10" s="56">
        <v>44706</v>
      </c>
      <c r="J10" t="s">
        <v>501</v>
      </c>
      <c r="L10" s="56"/>
      <c r="M10" s="1">
        <f>DATA_FEBRERO_2025[[#This Row],[RECUPERO]]/DATA_FEBRERO_2025[[#This Row],[META]]</f>
        <v>0.68619047619047624</v>
      </c>
      <c r="N10" t="str" cm="1">
        <f t="array" ref="N10">IF(DATA_FEBRERO_2025[[#This Row],[ASER_]]="","",IFERROR(_xlfn.IFS(M10&gt;=100%,"&gt;100%",AND(M10&lt;100%,M10&gt;=70%),"&gt;70%",AND(M10&lt;70%,M10&gt;=40%),"&gt;40%",AND(M10&lt;40%,M10&gt;=0%),"&gt;0%"),""))</f>
        <v>&gt;40%</v>
      </c>
      <c r="O10" t="s">
        <v>9</v>
      </c>
      <c r="P10">
        <f>SUM(DATA_FEBRERO_2025[[#This Row],[1]:[31]])</f>
        <v>14410</v>
      </c>
      <c r="Q10">
        <v>21000</v>
      </c>
      <c r="R10" t="s">
        <v>21</v>
      </c>
      <c r="U10">
        <v>740</v>
      </c>
      <c r="AD10">
        <v>100</v>
      </c>
      <c r="AG10">
        <v>400</v>
      </c>
      <c r="AK10">
        <v>1400</v>
      </c>
      <c r="AL10">
        <v>400</v>
      </c>
      <c r="AM10">
        <v>1000</v>
      </c>
      <c r="AP10">
        <v>300</v>
      </c>
      <c r="AQ10">
        <v>540</v>
      </c>
      <c r="AR10">
        <v>200</v>
      </c>
      <c r="AS10">
        <v>6130</v>
      </c>
      <c r="AT10">
        <v>3200</v>
      </c>
      <c r="AX10" t="s">
        <v>153</v>
      </c>
      <c r="AZ10">
        <v>174200</v>
      </c>
      <c r="BA10" s="11">
        <f>MAX(DITE_FEBRERO_2025[[#This Row],[1]:[31]])</f>
        <v>152761.60000000001</v>
      </c>
      <c r="BB10" s="17">
        <f>DITE_FEBRERO_2025[[#This Row],[RECUPERO SUPERVISOR]]/DITE_FEBRERO_2025[[#This Row],[META SUPER]]</f>
        <v>0.8769322617680827</v>
      </c>
      <c r="BC10" t="s">
        <v>2</v>
      </c>
      <c r="BD10">
        <v>726</v>
      </c>
      <c r="BE10">
        <v>1076</v>
      </c>
      <c r="BF10">
        <v>2886</v>
      </c>
      <c r="BG10">
        <v>6275</v>
      </c>
      <c r="BH10">
        <v>10501</v>
      </c>
      <c r="BI10">
        <v>18388</v>
      </c>
      <c r="BJ10">
        <v>29078</v>
      </c>
      <c r="BK10">
        <v>29619</v>
      </c>
      <c r="BL10">
        <v>29619</v>
      </c>
      <c r="BM10">
        <v>39939</v>
      </c>
      <c r="BN10">
        <v>55438</v>
      </c>
      <c r="BO10">
        <v>56538</v>
      </c>
      <c r="BP10">
        <v>60604.800000000003</v>
      </c>
      <c r="BQ10">
        <v>75908.800000000003</v>
      </c>
      <c r="BR10">
        <v>76208.800000000003</v>
      </c>
      <c r="BS10">
        <v>76208.800000000003</v>
      </c>
      <c r="BT10">
        <v>82613</v>
      </c>
      <c r="BU10">
        <v>84366.8</v>
      </c>
      <c r="BV10">
        <v>85986.8</v>
      </c>
      <c r="BW10">
        <v>90780.800000000003</v>
      </c>
      <c r="BX10">
        <v>101917</v>
      </c>
      <c r="BY10">
        <v>104087</v>
      </c>
      <c r="BZ10">
        <v>104087</v>
      </c>
      <c r="CA10">
        <v>108723.6</v>
      </c>
      <c r="CB10">
        <v>114790.6</v>
      </c>
      <c r="CC10">
        <v>121215.6</v>
      </c>
      <c r="CD10">
        <v>130239.6</v>
      </c>
      <c r="CE10">
        <v>152761.60000000001</v>
      </c>
      <c r="CF10">
        <v>152761.60000000001</v>
      </c>
      <c r="CG10">
        <v>152761.60000000001</v>
      </c>
      <c r="CH10">
        <v>152761.60000000001</v>
      </c>
      <c r="CI10" s="11" t="s">
        <v>151</v>
      </c>
    </row>
    <row r="11" spans="1:87" x14ac:dyDescent="0.25">
      <c r="A11" t="str">
        <f>D1_FEBRERO_2025[[#This Row],[SUPER2]]</f>
        <v>SANDY</v>
      </c>
      <c r="B11" t="s">
        <v>76</v>
      </c>
      <c r="C11">
        <f>VLOOKUP(D1_FEBRERO_2025[[#This Row],[SUPER]],DATA_FEBRERO_2025[[SUPERVISOR]:[META]],3,0)</f>
        <v>58000</v>
      </c>
      <c r="D11">
        <f>D1_FEBRERO_2025[[#This Row],[RECUPERO]]/C11</f>
        <v>1.1860344827586207</v>
      </c>
      <c r="E11" t="s">
        <v>3</v>
      </c>
      <c r="F11" t="s">
        <v>76</v>
      </c>
      <c r="G11">
        <v>68790</v>
      </c>
      <c r="H11" t="s">
        <v>408</v>
      </c>
      <c r="I11" s="56">
        <v>44819</v>
      </c>
      <c r="J11" t="s">
        <v>501</v>
      </c>
      <c r="L11" s="56"/>
      <c r="M11" s="1">
        <f>DATA_FEBRERO_2025[[#This Row],[RECUPERO]]/DATA_FEBRERO_2025[[#This Row],[META]]</f>
        <v>0.56788793103448276</v>
      </c>
      <c r="N11" t="str" cm="1">
        <f t="array" ref="N11">IF(DATA_FEBRERO_2025[[#This Row],[ASER_]]="","",IFERROR(_xlfn.IFS(M11&gt;=100%,"&gt;100%",AND(M11&lt;100%,M11&gt;=70%),"&gt;70%",AND(M11&lt;70%,M11&gt;=40%),"&gt;40%",AND(M11&lt;40%,M11&gt;=0%),"&gt;0%"),""))</f>
        <v>&gt;40%</v>
      </c>
      <c r="O11" t="s">
        <v>3</v>
      </c>
      <c r="P11">
        <f>SUM(DATA_FEBRERO_2025[[#This Row],[1]:[31]])</f>
        <v>32937.5</v>
      </c>
      <c r="Q11">
        <v>58000</v>
      </c>
      <c r="R11" t="s">
        <v>58</v>
      </c>
      <c r="V11">
        <v>250</v>
      </c>
      <c r="W11">
        <v>3500</v>
      </c>
      <c r="AB11">
        <v>700</v>
      </c>
      <c r="AC11">
        <v>7015.25</v>
      </c>
      <c r="AE11">
        <v>1015.25</v>
      </c>
      <c r="AF11">
        <v>700</v>
      </c>
      <c r="AJ11">
        <v>240</v>
      </c>
      <c r="AL11">
        <v>637</v>
      </c>
      <c r="AM11">
        <v>5000</v>
      </c>
      <c r="AN11">
        <v>1500</v>
      </c>
      <c r="AP11">
        <v>4600</v>
      </c>
      <c r="AQ11">
        <v>5000</v>
      </c>
      <c r="AR11">
        <v>2000</v>
      </c>
      <c r="AT11">
        <v>780</v>
      </c>
      <c r="AX11" t="s">
        <v>150</v>
      </c>
      <c r="AZ11">
        <v>209900</v>
      </c>
      <c r="BA11" s="11">
        <f>MAX(DITE_FEBRERO_2025[[#This Row],[1]:[31]])</f>
        <v>154755.32</v>
      </c>
      <c r="BB11" s="17">
        <f>DITE_FEBRERO_2025[[#This Row],[RECUPERO SUPERVISOR]]/DITE_FEBRERO_2025[[#This Row],[META SUPER]]</f>
        <v>0.73728118151500721</v>
      </c>
      <c r="BC11" t="s">
        <v>6</v>
      </c>
      <c r="BD11">
        <v>700</v>
      </c>
      <c r="BE11">
        <v>700</v>
      </c>
      <c r="BF11">
        <v>8400</v>
      </c>
      <c r="BG11">
        <v>10400</v>
      </c>
      <c r="BH11">
        <v>14000</v>
      </c>
      <c r="BI11">
        <v>18811</v>
      </c>
      <c r="BJ11">
        <v>21908</v>
      </c>
      <c r="BK11">
        <v>22229</v>
      </c>
      <c r="BL11">
        <v>22229</v>
      </c>
      <c r="BM11">
        <v>30229</v>
      </c>
      <c r="BN11">
        <v>32079</v>
      </c>
      <c r="BO11">
        <v>36341.5</v>
      </c>
      <c r="BP11">
        <v>38971.5</v>
      </c>
      <c r="BQ11">
        <v>46661.5</v>
      </c>
      <c r="BR11">
        <v>48761.5</v>
      </c>
      <c r="BS11">
        <v>48761.5</v>
      </c>
      <c r="BT11">
        <v>57611.5</v>
      </c>
      <c r="BU11">
        <v>68841.5</v>
      </c>
      <c r="BV11">
        <v>81741.5</v>
      </c>
      <c r="BW11">
        <v>100241.5</v>
      </c>
      <c r="BX11">
        <v>104441.5</v>
      </c>
      <c r="BY11">
        <v>109385.32</v>
      </c>
      <c r="BZ11">
        <v>109385.32</v>
      </c>
      <c r="CA11">
        <v>110425.32</v>
      </c>
      <c r="CB11">
        <v>114025.32</v>
      </c>
      <c r="CC11">
        <v>132025.32</v>
      </c>
      <c r="CD11">
        <v>147905.32</v>
      </c>
      <c r="CE11">
        <v>154755.32</v>
      </c>
      <c r="CF11">
        <v>154755.32</v>
      </c>
      <c r="CG11">
        <v>154755.32</v>
      </c>
      <c r="CH11">
        <v>154755.32</v>
      </c>
      <c r="CI11" s="11" t="s">
        <v>152</v>
      </c>
    </row>
    <row r="12" spans="1:87" x14ac:dyDescent="0.25">
      <c r="A12" t="str">
        <f>D1_FEBRERO_2025[[#This Row],[SUPER2]]</f>
        <v>MELINA</v>
      </c>
      <c r="B12" t="s">
        <v>109</v>
      </c>
      <c r="C12">
        <f>VLOOKUP(D1_FEBRERO_2025[[#This Row],[SUPER]],DATA_FEBRERO_2025[[SUPERVISOR]:[META]],3,0)</f>
        <v>58000</v>
      </c>
      <c r="D12">
        <f>D1_FEBRERO_2025[[#This Row],[RECUPERO]]/C12</f>
        <v>0.3851551724137931</v>
      </c>
      <c r="E12" t="s">
        <v>4</v>
      </c>
      <c r="F12" t="s">
        <v>109</v>
      </c>
      <c r="G12">
        <v>22339</v>
      </c>
      <c r="H12" t="s">
        <v>422</v>
      </c>
      <c r="I12" s="56">
        <v>45334</v>
      </c>
      <c r="J12" t="s">
        <v>501</v>
      </c>
      <c r="L12" s="56"/>
      <c r="M12" s="1">
        <f>DATA_FEBRERO_2025[[#This Row],[RECUPERO]]/DATA_FEBRERO_2025[[#This Row],[META]]</f>
        <v>0.3851551724137931</v>
      </c>
      <c r="N12" t="str" cm="1">
        <f t="array" ref="N12">IF(DATA_FEBRERO_2025[[#This Row],[ASER_]]="","",IFERROR(_xlfn.IFS(M12&gt;=100%,"&gt;100%",AND(M12&lt;100%,M12&gt;=70%),"&gt;70%",AND(M12&lt;70%,M12&gt;=40%),"&gt;40%",AND(M12&lt;40%,M12&gt;=0%),"&gt;0%"),""))</f>
        <v>&gt;0%</v>
      </c>
      <c r="O12" t="s">
        <v>4</v>
      </c>
      <c r="P12">
        <f>SUM(DATA_FEBRERO_2025[[#This Row],[1]:[31]])</f>
        <v>22339</v>
      </c>
      <c r="Q12">
        <v>58000</v>
      </c>
      <c r="R12" t="s">
        <v>109</v>
      </c>
      <c r="AD12">
        <v>8500</v>
      </c>
      <c r="AI12">
        <v>274</v>
      </c>
      <c r="AK12">
        <v>1300</v>
      </c>
      <c r="AM12">
        <v>400</v>
      </c>
      <c r="AN12">
        <v>1000</v>
      </c>
      <c r="AP12">
        <v>665</v>
      </c>
      <c r="AR12">
        <v>6000</v>
      </c>
      <c r="AT12">
        <v>4200</v>
      </c>
      <c r="AX12" t="s">
        <v>150</v>
      </c>
      <c r="AZ12">
        <v>200500</v>
      </c>
      <c r="BA12" s="11">
        <f>MAX(DITE_FEBRERO_2025[[#This Row],[1]:[31]])</f>
        <v>135252.25</v>
      </c>
      <c r="BB12" s="17">
        <f>DITE_FEBRERO_2025[[#This Row],[RECUPERO SUPERVISOR]]/DITE_FEBRERO_2025[[#This Row],[META SUPER]]</f>
        <v>0.67457481296758104</v>
      </c>
      <c r="BC12" t="s">
        <v>9</v>
      </c>
      <c r="BD12">
        <v>400</v>
      </c>
      <c r="BE12">
        <v>400</v>
      </c>
      <c r="BF12">
        <v>2540</v>
      </c>
      <c r="BG12">
        <v>4240</v>
      </c>
      <c r="BH12">
        <v>5808</v>
      </c>
      <c r="BI12">
        <v>21432</v>
      </c>
      <c r="BJ12">
        <v>25812</v>
      </c>
      <c r="BK12">
        <v>27228</v>
      </c>
      <c r="BL12">
        <v>27428</v>
      </c>
      <c r="BM12">
        <v>29928</v>
      </c>
      <c r="BN12">
        <v>31678</v>
      </c>
      <c r="BO12">
        <v>36072</v>
      </c>
      <c r="BP12">
        <v>48872.05</v>
      </c>
      <c r="BQ12">
        <v>61123.05</v>
      </c>
      <c r="BR12">
        <v>61523.05</v>
      </c>
      <c r="BS12">
        <v>61523.05</v>
      </c>
      <c r="BT12">
        <v>68257.05</v>
      </c>
      <c r="BU12">
        <v>71588.05</v>
      </c>
      <c r="BV12">
        <v>79570.05</v>
      </c>
      <c r="BW12">
        <v>87070.05</v>
      </c>
      <c r="BX12">
        <v>96433.150000000009</v>
      </c>
      <c r="BY12">
        <v>97645.150000000009</v>
      </c>
      <c r="BZ12">
        <v>97645.150000000009</v>
      </c>
      <c r="CA12">
        <v>102845.15000000001</v>
      </c>
      <c r="CB12">
        <v>105465.15000000001</v>
      </c>
      <c r="CC12">
        <v>108132.25000000001</v>
      </c>
      <c r="CD12">
        <v>116512.25000000001</v>
      </c>
      <c r="CE12">
        <v>135252.25</v>
      </c>
      <c r="CF12">
        <v>135252.25</v>
      </c>
      <c r="CG12">
        <v>135252.25</v>
      </c>
      <c r="CH12">
        <v>135252.25</v>
      </c>
      <c r="CI12" s="11" t="s">
        <v>153</v>
      </c>
    </row>
    <row r="13" spans="1:87" x14ac:dyDescent="0.25">
      <c r="A13" t="str">
        <f>D1_FEBRERO_2025[[#This Row],[SUPER2]]</f>
        <v>MELINA</v>
      </c>
      <c r="B13" t="s">
        <v>60</v>
      </c>
      <c r="C13">
        <f>VLOOKUP(D1_FEBRERO_2025[[#This Row],[SUPER]],DATA_FEBRERO_2025[[SUPERVISOR]:[META]],3,0)</f>
        <v>58000</v>
      </c>
      <c r="D13">
        <f>D1_FEBRERO_2025[[#This Row],[RECUPERO]]/C13</f>
        <v>0.66041379310344828</v>
      </c>
      <c r="E13" t="s">
        <v>4</v>
      </c>
      <c r="F13" t="s">
        <v>60</v>
      </c>
      <c r="G13">
        <v>38304</v>
      </c>
      <c r="H13" t="s">
        <v>423</v>
      </c>
      <c r="I13" s="56">
        <v>45323</v>
      </c>
      <c r="J13" t="s">
        <v>501</v>
      </c>
      <c r="L13" s="56"/>
      <c r="M13" s="1">
        <f>DATA_FEBRERO_2025[[#This Row],[RECUPERO]]/DATA_FEBRERO_2025[[#This Row],[META]]</f>
        <v>0.66041379310344828</v>
      </c>
      <c r="N13" t="str" cm="1">
        <f t="array" ref="N13">IF(DATA_FEBRERO_2025[[#This Row],[ASER_]]="","",IFERROR(_xlfn.IFS(M13&gt;=100%,"&gt;100%",AND(M13&lt;100%,M13&gt;=70%),"&gt;70%",AND(M13&lt;70%,M13&gt;=40%),"&gt;40%",AND(M13&lt;40%,M13&gt;=0%),"&gt;0%"),""))</f>
        <v>&gt;40%</v>
      </c>
      <c r="O13" t="s">
        <v>4</v>
      </c>
      <c r="P13">
        <f>SUM(DATA_FEBRERO_2025[[#This Row],[1]:[31]])</f>
        <v>38304</v>
      </c>
      <c r="Q13">
        <v>58000</v>
      </c>
      <c r="R13" t="s">
        <v>60</v>
      </c>
      <c r="AD13">
        <v>1000</v>
      </c>
      <c r="AF13">
        <v>62</v>
      </c>
      <c r="AG13">
        <v>500</v>
      </c>
      <c r="AJ13">
        <v>14150</v>
      </c>
      <c r="AK13">
        <v>3500</v>
      </c>
      <c r="AL13">
        <v>371</v>
      </c>
      <c r="AP13">
        <v>6900</v>
      </c>
      <c r="AQ13">
        <v>246</v>
      </c>
      <c r="AR13">
        <v>4800</v>
      </c>
      <c r="AT13">
        <v>6775</v>
      </c>
      <c r="AX13" t="s">
        <v>150</v>
      </c>
      <c r="AZ13">
        <v>499600</v>
      </c>
      <c r="BA13" s="11">
        <f>MAX(DITE_FEBRERO_2025[[#This Row],[1]:[31]])</f>
        <v>321457.37</v>
      </c>
      <c r="BB13" s="17">
        <f>DITE_FEBRERO_2025[[#This Row],[RECUPERO SUPERVISOR]]/DITE_FEBRERO_2025[[#This Row],[META SUPER]]</f>
        <v>0.64342948358686947</v>
      </c>
      <c r="BC13" t="s">
        <v>4</v>
      </c>
      <c r="BD13">
        <v>320</v>
      </c>
      <c r="BE13">
        <v>320</v>
      </c>
      <c r="BF13">
        <v>6586</v>
      </c>
      <c r="BG13">
        <v>15176</v>
      </c>
      <c r="BH13">
        <v>17676</v>
      </c>
      <c r="BI13">
        <v>20176</v>
      </c>
      <c r="BJ13">
        <v>51776</v>
      </c>
      <c r="BK13">
        <v>51776</v>
      </c>
      <c r="BL13">
        <v>51776</v>
      </c>
      <c r="BM13">
        <v>71622</v>
      </c>
      <c r="BN13">
        <v>72227</v>
      </c>
      <c r="BO13">
        <v>84777</v>
      </c>
      <c r="BP13">
        <v>90127</v>
      </c>
      <c r="BQ13">
        <v>107110.75</v>
      </c>
      <c r="BR13">
        <v>114210.75</v>
      </c>
      <c r="BS13">
        <v>114210.75</v>
      </c>
      <c r="BT13">
        <v>143664.75</v>
      </c>
      <c r="BU13">
        <v>166445.75</v>
      </c>
      <c r="BV13">
        <v>186515.85</v>
      </c>
      <c r="BW13">
        <v>192686.85</v>
      </c>
      <c r="BX13">
        <v>198911.85</v>
      </c>
      <c r="BY13">
        <v>202011.85</v>
      </c>
      <c r="BZ13">
        <v>202011.85</v>
      </c>
      <c r="CA13">
        <v>226086.85</v>
      </c>
      <c r="CB13">
        <v>246513.85</v>
      </c>
      <c r="CC13">
        <v>269213.84999999998</v>
      </c>
      <c r="CD13">
        <v>280464.84999999998</v>
      </c>
      <c r="CE13">
        <v>321457.37</v>
      </c>
      <c r="CF13">
        <v>321457.37</v>
      </c>
      <c r="CG13">
        <v>321457.37</v>
      </c>
      <c r="CH13">
        <v>321457.37</v>
      </c>
      <c r="CI13" s="11" t="s">
        <v>150</v>
      </c>
    </row>
    <row r="14" spans="1:87" x14ac:dyDescent="0.25">
      <c r="A14" t="str">
        <f>D1_FEBRERO_2025[[#This Row],[SUPER2]]</f>
        <v>MELINA</v>
      </c>
      <c r="B14" t="s">
        <v>40</v>
      </c>
      <c r="C14">
        <f>VLOOKUP(D1_FEBRERO_2025[[#This Row],[SUPER]],DATA_FEBRERO_2025[[SUPERVISOR]:[META]],3,0)</f>
        <v>58000</v>
      </c>
      <c r="D14">
        <f>D1_FEBRERO_2025[[#This Row],[RECUPERO]]/C14</f>
        <v>0.40197844827586204</v>
      </c>
      <c r="E14" t="s">
        <v>4</v>
      </c>
      <c r="F14" t="s">
        <v>40</v>
      </c>
      <c r="G14">
        <v>23314.75</v>
      </c>
      <c r="H14" t="s">
        <v>424</v>
      </c>
      <c r="I14" s="56">
        <v>45429</v>
      </c>
      <c r="J14" t="s">
        <v>501</v>
      </c>
      <c r="L14" s="56"/>
      <c r="M14" s="1">
        <f>DATA_FEBRERO_2025[[#This Row],[RECUPERO]]/DATA_FEBRERO_2025[[#This Row],[META]]</f>
        <v>0.79371428571428571</v>
      </c>
      <c r="N14" t="str" cm="1">
        <f t="array" ref="N14">IF(DATA_FEBRERO_2025[[#This Row],[ASER_]]="","",IFERROR(_xlfn.IFS(M14&gt;=100%,"&gt;100%",AND(M14&lt;100%,M14&gt;=70%),"&gt;70%",AND(M14&lt;70%,M14&gt;=40%),"&gt;40%",AND(M14&lt;40%,M14&gt;=0%),"&gt;0%"),""))</f>
        <v>&gt;70%</v>
      </c>
      <c r="O14" t="s">
        <v>9</v>
      </c>
      <c r="P14">
        <f>SUM(DATA_FEBRERO_2025[[#This Row],[1]:[31]])</f>
        <v>16668</v>
      </c>
      <c r="Q14">
        <v>21000</v>
      </c>
      <c r="R14" t="s">
        <v>15</v>
      </c>
      <c r="W14">
        <v>368</v>
      </c>
      <c r="X14">
        <v>280</v>
      </c>
      <c r="Z14">
        <v>1000</v>
      </c>
      <c r="AF14">
        <v>4200</v>
      </c>
      <c r="AK14">
        <v>4620</v>
      </c>
      <c r="AM14">
        <v>5000</v>
      </c>
      <c r="AN14">
        <v>200</v>
      </c>
      <c r="AR14">
        <v>150</v>
      </c>
      <c r="AS14">
        <v>850</v>
      </c>
      <c r="AX14" t="s">
        <v>153</v>
      </c>
      <c r="AZ14">
        <v>108600</v>
      </c>
      <c r="BA14" s="11">
        <f>MAX(DITE_FEBRERO_2025[[#This Row],[1]:[31]])</f>
        <v>111163.13</v>
      </c>
      <c r="BB14" s="17">
        <f>DITE_FEBRERO_2025[[#This Row],[RECUPERO SUPERVISOR]]/DITE_FEBRERO_2025[[#This Row],[META SUPER]]</f>
        <v>1.0236015653775323</v>
      </c>
      <c r="BC14" t="s">
        <v>115</v>
      </c>
      <c r="BD14">
        <v>655</v>
      </c>
      <c r="BE14">
        <v>655</v>
      </c>
      <c r="BF14">
        <v>3182</v>
      </c>
      <c r="BG14">
        <v>5831</v>
      </c>
      <c r="BH14">
        <v>8949</v>
      </c>
      <c r="BI14">
        <v>13164</v>
      </c>
      <c r="BJ14">
        <v>18382</v>
      </c>
      <c r="BK14">
        <v>18494</v>
      </c>
      <c r="BL14">
        <v>18494</v>
      </c>
      <c r="BM14">
        <v>26231</v>
      </c>
      <c r="BN14">
        <v>26741</v>
      </c>
      <c r="BO14">
        <v>32985</v>
      </c>
      <c r="BP14">
        <v>35061.83</v>
      </c>
      <c r="BQ14">
        <v>40695.83</v>
      </c>
      <c r="BR14">
        <v>40700.83</v>
      </c>
      <c r="BS14">
        <v>40700.83</v>
      </c>
      <c r="BT14">
        <v>46621.83</v>
      </c>
      <c r="BU14">
        <v>51307.83</v>
      </c>
      <c r="BV14">
        <v>57239.83</v>
      </c>
      <c r="BW14">
        <v>61704.33</v>
      </c>
      <c r="BX14">
        <v>62388.33</v>
      </c>
      <c r="BY14">
        <v>63876.73</v>
      </c>
      <c r="BZ14">
        <v>64026.73</v>
      </c>
      <c r="CA14">
        <v>69026.73000000001</v>
      </c>
      <c r="CB14">
        <v>73785.73000000001</v>
      </c>
      <c r="CC14">
        <v>77634.13</v>
      </c>
      <c r="CD14">
        <v>88753.13</v>
      </c>
      <c r="CE14">
        <v>111163.13</v>
      </c>
      <c r="CF14">
        <v>111163.13</v>
      </c>
      <c r="CG14">
        <v>111163.13</v>
      </c>
      <c r="CH14">
        <v>111163.13</v>
      </c>
      <c r="CI14" s="11" t="s">
        <v>154</v>
      </c>
    </row>
    <row r="15" spans="1:87" x14ac:dyDescent="0.25">
      <c r="A15" t="str">
        <f>D1_FEBRERO_2025[[#This Row],[SUPER2]]</f>
        <v>MELINA</v>
      </c>
      <c r="B15" t="s">
        <v>81</v>
      </c>
      <c r="C15">
        <f>VLOOKUP(D1_FEBRERO_2025[[#This Row],[SUPER]],DATA_FEBRERO_2025[[SUPERVISOR]:[META]],3,0)</f>
        <v>58000</v>
      </c>
      <c r="D15">
        <f>D1_FEBRERO_2025[[#This Row],[RECUPERO]]/C15</f>
        <v>0.19591379310344828</v>
      </c>
      <c r="E15" t="s">
        <v>4</v>
      </c>
      <c r="F15" t="s">
        <v>81</v>
      </c>
      <c r="G15">
        <v>11363</v>
      </c>
      <c r="H15" t="s">
        <v>425</v>
      </c>
      <c r="I15" s="56">
        <v>45506</v>
      </c>
      <c r="J15" t="s">
        <v>501</v>
      </c>
      <c r="L15" s="56"/>
      <c r="M15" s="1">
        <f>DATA_FEBRERO_2025[[#This Row],[RECUPERO]]/DATA_FEBRERO_2025[[#This Row],[META]]</f>
        <v>1.1166982758620689</v>
      </c>
      <c r="N15" t="str" cm="1">
        <f t="array" ref="N15">IF(DATA_FEBRERO_2025[[#This Row],[ASER_]]="","",IFERROR(_xlfn.IFS(M15&gt;=100%,"&gt;100%",AND(M15&lt;100%,M15&gt;=70%),"&gt;70%",AND(M15&lt;70%,M15&gt;=40%),"&gt;40%",AND(M15&lt;40%,M15&gt;=0%),"&gt;0%"),""))</f>
        <v>&gt;100%</v>
      </c>
      <c r="O15" t="s">
        <v>5</v>
      </c>
      <c r="P15">
        <f>SUM(DATA_FEBRERO_2025[[#This Row],[1]:[31]])</f>
        <v>64768.5</v>
      </c>
      <c r="Q15">
        <v>58000</v>
      </c>
      <c r="R15" t="s">
        <v>85</v>
      </c>
      <c r="T15">
        <v>1400</v>
      </c>
      <c r="U15">
        <v>33</v>
      </c>
      <c r="V15">
        <v>1175</v>
      </c>
      <c r="W15">
        <v>2050</v>
      </c>
      <c r="X15">
        <v>440</v>
      </c>
      <c r="AB15">
        <v>4500</v>
      </c>
      <c r="AC15">
        <v>650</v>
      </c>
      <c r="AD15">
        <v>2117.5</v>
      </c>
      <c r="AE15">
        <v>20782</v>
      </c>
      <c r="AF15">
        <v>1480</v>
      </c>
      <c r="AG15">
        <v>265</v>
      </c>
      <c r="AI15">
        <v>279</v>
      </c>
      <c r="AJ15">
        <v>600</v>
      </c>
      <c r="AK15">
        <v>4150</v>
      </c>
      <c r="AL15">
        <v>5000</v>
      </c>
      <c r="AP15">
        <v>3190</v>
      </c>
      <c r="AQ15">
        <v>1480</v>
      </c>
      <c r="AR15">
        <v>1300</v>
      </c>
      <c r="AS15">
        <v>1962</v>
      </c>
      <c r="AT15">
        <v>11915</v>
      </c>
      <c r="AX15" t="s">
        <v>150</v>
      </c>
      <c r="AZ15">
        <v>499600</v>
      </c>
      <c r="BA15" s="11">
        <f>MAX(DITE_FEBRERO_2025[[#This Row],[1]:[31]])</f>
        <v>490869.5</v>
      </c>
      <c r="BB15" s="17">
        <f>DITE_FEBRERO_2025[[#This Row],[RECUPERO SUPERVISOR]]/DITE_FEBRERO_2025[[#This Row],[META SUPER]]</f>
        <v>0.98252502001601283</v>
      </c>
      <c r="BC15" t="s">
        <v>3</v>
      </c>
      <c r="BD15">
        <v>5530</v>
      </c>
      <c r="BE15">
        <v>5530</v>
      </c>
      <c r="BF15">
        <v>11648</v>
      </c>
      <c r="BG15">
        <v>14138</v>
      </c>
      <c r="BH15">
        <v>50013.1</v>
      </c>
      <c r="BI15">
        <v>59985.1</v>
      </c>
      <c r="BJ15">
        <v>64720.1</v>
      </c>
      <c r="BK15">
        <v>64720.1</v>
      </c>
      <c r="BL15">
        <v>64720.1</v>
      </c>
      <c r="BM15">
        <v>73633.100000000006</v>
      </c>
      <c r="BN15">
        <v>104213.05</v>
      </c>
      <c r="BO15">
        <v>112213.05</v>
      </c>
      <c r="BP15">
        <v>130778.3</v>
      </c>
      <c r="BQ15">
        <v>157283.29999999999</v>
      </c>
      <c r="BR15">
        <v>157976.29999999999</v>
      </c>
      <c r="BS15">
        <v>158302.29999999999</v>
      </c>
      <c r="BT15">
        <v>174852.3</v>
      </c>
      <c r="BU15">
        <v>187274.3</v>
      </c>
      <c r="BV15">
        <v>209624.3</v>
      </c>
      <c r="BW15">
        <v>228615.3</v>
      </c>
      <c r="BX15">
        <v>266477.3</v>
      </c>
      <c r="BY15">
        <v>271077.3</v>
      </c>
      <c r="BZ15">
        <v>272027.3</v>
      </c>
      <c r="CA15">
        <v>306672.8</v>
      </c>
      <c r="CB15">
        <v>360845.8</v>
      </c>
      <c r="CC15">
        <v>396706.8</v>
      </c>
      <c r="CD15">
        <v>421848.8</v>
      </c>
      <c r="CE15">
        <v>490869.5</v>
      </c>
      <c r="CF15">
        <v>490869.5</v>
      </c>
      <c r="CG15">
        <v>490869.5</v>
      </c>
      <c r="CH15">
        <v>490869.5</v>
      </c>
      <c r="CI15" s="11" t="s">
        <v>150</v>
      </c>
    </row>
    <row r="16" spans="1:87" x14ac:dyDescent="0.25">
      <c r="A16" t="str">
        <f>D1_FEBRERO_2025[[#This Row],[SUPER2]]</f>
        <v>MELINA</v>
      </c>
      <c r="B16" t="s">
        <v>20</v>
      </c>
      <c r="C16">
        <f>VLOOKUP(D1_FEBRERO_2025[[#This Row],[SUPER]],DATA_FEBRERO_2025[[SUPERVISOR]:[META]],3,0)</f>
        <v>58000</v>
      </c>
      <c r="D16">
        <f>D1_FEBRERO_2025[[#This Row],[RECUPERO]]/C16</f>
        <v>0.2413793103448276</v>
      </c>
      <c r="E16" t="s">
        <v>4</v>
      </c>
      <c r="F16" t="s">
        <v>20</v>
      </c>
      <c r="G16">
        <v>14000</v>
      </c>
      <c r="H16" t="s">
        <v>427</v>
      </c>
      <c r="I16" s="56">
        <v>45142</v>
      </c>
      <c r="J16" t="s">
        <v>501</v>
      </c>
      <c r="L16" s="56"/>
      <c r="M16" s="1">
        <f>DATA_FEBRERO_2025[[#This Row],[RECUPERO]]/DATA_FEBRERO_2025[[#This Row],[META]]</f>
        <v>1.0160862068965517</v>
      </c>
      <c r="N16" t="str" cm="1">
        <f t="array" ref="N16">IF(DATA_FEBRERO_2025[[#This Row],[ASER_]]="","",IFERROR(_xlfn.IFS(M16&gt;=100%,"&gt;100%",AND(M16&lt;100%,M16&gt;=70%),"&gt;70%",AND(M16&lt;70%,M16&gt;=40%),"&gt;40%",AND(M16&lt;40%,M16&gt;=0%),"&gt;0%"),""))</f>
        <v>&gt;100%</v>
      </c>
      <c r="O16" t="s">
        <v>5</v>
      </c>
      <c r="P16">
        <f>SUM(DATA_FEBRERO_2025[[#This Row],[1]:[31]])</f>
        <v>58933</v>
      </c>
      <c r="Q16">
        <v>58000</v>
      </c>
      <c r="R16" t="s">
        <v>67</v>
      </c>
      <c r="W16">
        <v>935</v>
      </c>
      <c r="X16">
        <v>4200</v>
      </c>
      <c r="Z16">
        <v>2000</v>
      </c>
      <c r="AB16">
        <v>1380</v>
      </c>
      <c r="AC16">
        <v>2300</v>
      </c>
      <c r="AD16">
        <v>6000</v>
      </c>
      <c r="AE16">
        <v>600</v>
      </c>
      <c r="AF16">
        <v>3400</v>
      </c>
      <c r="AI16">
        <v>353</v>
      </c>
      <c r="AK16">
        <v>2000</v>
      </c>
      <c r="AM16">
        <v>3100</v>
      </c>
      <c r="AP16">
        <v>400</v>
      </c>
      <c r="AQ16">
        <v>8000</v>
      </c>
      <c r="AR16">
        <v>2000</v>
      </c>
      <c r="AS16">
        <v>9520</v>
      </c>
      <c r="AT16">
        <v>12745</v>
      </c>
      <c r="AX16" t="s">
        <v>150</v>
      </c>
    </row>
    <row r="17" spans="1:50" x14ac:dyDescent="0.25">
      <c r="A17" t="str">
        <f>D1_FEBRERO_2025[[#This Row],[SUPER2]]</f>
        <v>MELINA</v>
      </c>
      <c r="B17" t="s">
        <v>29</v>
      </c>
      <c r="C17">
        <f>VLOOKUP(D1_FEBRERO_2025[[#This Row],[SUPER]],DATA_FEBRERO_2025[[SUPERVISOR]:[META]],3,0)</f>
        <v>58000</v>
      </c>
      <c r="D17">
        <f>D1_FEBRERO_2025[[#This Row],[RECUPERO]]/C17</f>
        <v>0.4911224137931034</v>
      </c>
      <c r="E17" t="s">
        <v>4</v>
      </c>
      <c r="F17" t="s">
        <v>29</v>
      </c>
      <c r="G17">
        <v>28485.1</v>
      </c>
      <c r="H17" t="s">
        <v>416</v>
      </c>
      <c r="I17" s="56">
        <v>44687</v>
      </c>
      <c r="J17" t="s">
        <v>501</v>
      </c>
      <c r="L17" s="56"/>
      <c r="M17" s="1">
        <f>DATA_FEBRERO_2025[[#This Row],[RECUPERO]]/DATA_FEBRERO_2025[[#This Row],[META]]</f>
        <v>1.1507878787878787</v>
      </c>
      <c r="N17" t="str" cm="1">
        <f t="array" ref="N17">IF(DATA_FEBRERO_2025[[#This Row],[ASER_]]="","",IFERROR(_xlfn.IFS(M17&gt;=100%,"&gt;100%",AND(M17&lt;100%,M17&gt;=70%),"&gt;70%",AND(M17&lt;70%,M17&gt;=40%),"&gt;40%",AND(M17&lt;40%,M17&gt;=0%),"&gt;0%"),""))</f>
        <v>&gt;100%</v>
      </c>
      <c r="O17" t="s">
        <v>115</v>
      </c>
      <c r="P17">
        <f>SUM(DATA_FEBRERO_2025[[#This Row],[1]:[31]])</f>
        <v>18988</v>
      </c>
      <c r="Q17">
        <v>16500</v>
      </c>
      <c r="R17" t="s">
        <v>14</v>
      </c>
      <c r="S17">
        <v>655</v>
      </c>
      <c r="V17">
        <v>200</v>
      </c>
      <c r="X17">
        <v>50</v>
      </c>
      <c r="Y17">
        <v>2272</v>
      </c>
      <c r="Z17">
        <v>112</v>
      </c>
      <c r="AB17">
        <v>2901</v>
      </c>
      <c r="AC17">
        <v>150</v>
      </c>
      <c r="AF17">
        <v>150</v>
      </c>
      <c r="AG17">
        <v>5</v>
      </c>
      <c r="AI17">
        <v>468</v>
      </c>
      <c r="AJ17">
        <v>429</v>
      </c>
      <c r="AK17">
        <v>1667</v>
      </c>
      <c r="AL17">
        <v>1310</v>
      </c>
      <c r="AM17">
        <v>40</v>
      </c>
      <c r="AN17">
        <v>100</v>
      </c>
      <c r="AP17">
        <v>1940</v>
      </c>
      <c r="AQ17">
        <v>390</v>
      </c>
      <c r="AR17">
        <v>475</v>
      </c>
      <c r="AS17">
        <v>1460</v>
      </c>
      <c r="AT17">
        <v>4214</v>
      </c>
      <c r="AX17" t="s">
        <v>154</v>
      </c>
    </row>
    <row r="18" spans="1:50" x14ac:dyDescent="0.25">
      <c r="A18" t="str">
        <f>D1_FEBRERO_2025[[#This Row],[SUPER2]]</f>
        <v>MELINA</v>
      </c>
      <c r="B18" t="s">
        <v>75</v>
      </c>
      <c r="C18">
        <f>VLOOKUP(D1_FEBRERO_2025[[#This Row],[SUPER]],DATA_FEBRERO_2025[[SUPERVISOR]:[META]],3,0)</f>
        <v>58000</v>
      </c>
      <c r="D18">
        <f>D1_FEBRERO_2025[[#This Row],[RECUPERO]]/C18</f>
        <v>0.89168965517241383</v>
      </c>
      <c r="E18" t="s">
        <v>4</v>
      </c>
      <c r="F18" t="s">
        <v>75</v>
      </c>
      <c r="G18">
        <v>51718</v>
      </c>
      <c r="H18" t="s">
        <v>428</v>
      </c>
      <c r="I18" s="56">
        <v>44716</v>
      </c>
      <c r="J18" t="s">
        <v>501</v>
      </c>
      <c r="L18" s="56"/>
      <c r="M18" s="1">
        <f>DATA_FEBRERO_2025[[#This Row],[RECUPERO]]/DATA_FEBRERO_2025[[#This Row],[META]]</f>
        <v>0.8</v>
      </c>
      <c r="N18" t="str" cm="1">
        <f t="array" ref="N18">IF(DATA_FEBRERO_2025[[#This Row],[ASER_]]="","",IFERROR(_xlfn.IFS(M18&gt;=100%,"&gt;100%",AND(M18&lt;100%,M18&gt;=70%),"&gt;70%",AND(M18&lt;70%,M18&gt;=40%),"&gt;40%",AND(M18&lt;40%,M18&gt;=0%),"&gt;0%"),""))</f>
        <v>&gt;70%</v>
      </c>
      <c r="O18" t="s">
        <v>6</v>
      </c>
      <c r="P18">
        <f>SUM(DATA_FEBRERO_2025[[#This Row],[1]:[31]])</f>
        <v>16800</v>
      </c>
      <c r="Q18">
        <v>21000</v>
      </c>
      <c r="R18" t="s">
        <v>118</v>
      </c>
      <c r="U18">
        <v>300</v>
      </c>
      <c r="AF18">
        <v>400</v>
      </c>
      <c r="AG18">
        <v>600</v>
      </c>
      <c r="AJ18">
        <v>2500</v>
      </c>
      <c r="AK18">
        <v>100</v>
      </c>
      <c r="AL18">
        <v>3500</v>
      </c>
      <c r="AQ18">
        <v>3200</v>
      </c>
      <c r="AR18">
        <v>3000</v>
      </c>
      <c r="AT18">
        <v>3200</v>
      </c>
      <c r="AX18" t="s">
        <v>152</v>
      </c>
    </row>
    <row r="19" spans="1:50" x14ac:dyDescent="0.25">
      <c r="A19" t="str">
        <f>D1_FEBRERO_2025[[#This Row],[SUPER2]]</f>
        <v>MELINA</v>
      </c>
      <c r="B19" t="s">
        <v>11</v>
      </c>
      <c r="C19">
        <f>VLOOKUP(D1_FEBRERO_2025[[#This Row],[SUPER]],DATA_FEBRERO_2025[[SUPERVISOR]:[META]],3,0)</f>
        <v>58000</v>
      </c>
      <c r="D19">
        <f>D1_FEBRERO_2025[[#This Row],[RECUPERO]]/C19</f>
        <v>0.84617241379310348</v>
      </c>
      <c r="E19" t="s">
        <v>4</v>
      </c>
      <c r="F19" t="s">
        <v>11</v>
      </c>
      <c r="G19">
        <v>49078</v>
      </c>
      <c r="H19" t="s">
        <v>429</v>
      </c>
      <c r="I19" s="56">
        <v>45371</v>
      </c>
      <c r="J19" t="s">
        <v>501</v>
      </c>
      <c r="L19" s="56"/>
      <c r="M19" s="1">
        <f>DATA_FEBRERO_2025[[#This Row],[RECUPERO]]/DATA_FEBRERO_2025[[#This Row],[META]]</f>
        <v>0.1672121212121212</v>
      </c>
      <c r="N19" t="str" cm="1">
        <f t="array" ref="N19">IF(DATA_FEBRERO_2025[[#This Row],[ASER_]]="","",IFERROR(_xlfn.IFS(M19&gt;=100%,"&gt;100%",AND(M19&lt;100%,M19&gt;=70%),"&gt;70%",AND(M19&lt;70%,M19&gt;=40%),"&gt;40%",AND(M19&lt;40%,M19&gt;=0%),"&gt;0%"),""))</f>
        <v>&gt;0%</v>
      </c>
      <c r="O19" t="s">
        <v>115</v>
      </c>
      <c r="P19">
        <f>SUM(DATA_FEBRERO_2025[[#This Row],[1]:[31]])</f>
        <v>2759</v>
      </c>
      <c r="Q19">
        <v>16500</v>
      </c>
      <c r="R19" t="s">
        <v>104</v>
      </c>
      <c r="AF19">
        <v>1800</v>
      </c>
      <c r="AI19">
        <v>209</v>
      </c>
      <c r="AJ19">
        <v>300</v>
      </c>
      <c r="AT19">
        <v>450</v>
      </c>
      <c r="AX19" t="s">
        <v>154</v>
      </c>
    </row>
    <row r="20" spans="1:50" x14ac:dyDescent="0.25">
      <c r="A20" t="str">
        <f>D1_FEBRERO_2025[[#This Row],[SUPER2]]</f>
        <v>MELINA</v>
      </c>
      <c r="B20" t="s">
        <v>59</v>
      </c>
      <c r="C20">
        <f>VLOOKUP(D1_FEBRERO_2025[[#This Row],[SUPER]],DATA_FEBRERO_2025[[SUPERVISOR]:[META]],3,0)</f>
        <v>58000</v>
      </c>
      <c r="D20">
        <f>D1_FEBRERO_2025[[#This Row],[RECUPERO]]/C20</f>
        <v>1.0940606896551726</v>
      </c>
      <c r="E20" t="s">
        <v>4</v>
      </c>
      <c r="F20" t="s">
        <v>59</v>
      </c>
      <c r="G20">
        <v>63455.520000000004</v>
      </c>
      <c r="H20" t="s">
        <v>430</v>
      </c>
      <c r="I20" s="56">
        <v>45348</v>
      </c>
      <c r="J20" t="s">
        <v>501</v>
      </c>
      <c r="L20" s="56"/>
      <c r="M20" s="1">
        <f>DATA_FEBRERO_2025[[#This Row],[RECUPERO]]/DATA_FEBRERO_2025[[#This Row],[META]]</f>
        <v>1.2687533333333334</v>
      </c>
      <c r="N20" t="str" cm="1">
        <f t="array" ref="N20">IF(DATA_FEBRERO_2025[[#This Row],[ASER_]]="","",IFERROR(_xlfn.IFS(M20&gt;=100%,"&gt;100%",AND(M20&lt;100%,M20&gt;=70%),"&gt;70%",AND(M20&lt;70%,M20&gt;=40%),"&gt;40%",AND(M20&lt;40%,M20&gt;=0%),"&gt;0%"),""))</f>
        <v>&gt;100%</v>
      </c>
      <c r="O20" t="s">
        <v>6</v>
      </c>
      <c r="P20">
        <f>SUM(DATA_FEBRERO_2025[[#This Row],[1]:[31]])</f>
        <v>26643.82</v>
      </c>
      <c r="Q20">
        <v>21000</v>
      </c>
      <c r="R20" t="s">
        <v>19</v>
      </c>
      <c r="AB20">
        <v>4500</v>
      </c>
      <c r="AC20">
        <v>100</v>
      </c>
      <c r="AD20">
        <v>3000</v>
      </c>
      <c r="AG20">
        <v>600</v>
      </c>
      <c r="AL20">
        <v>10000</v>
      </c>
      <c r="AN20">
        <v>4943.82</v>
      </c>
      <c r="AR20">
        <v>3000</v>
      </c>
      <c r="AS20">
        <v>500</v>
      </c>
      <c r="AX20" t="s">
        <v>152</v>
      </c>
    </row>
    <row r="21" spans="1:50" x14ac:dyDescent="0.25">
      <c r="A21" t="str">
        <f>D1_FEBRERO_2025[[#This Row],[SUPER2]]</f>
        <v>JORGE</v>
      </c>
      <c r="B21" t="s">
        <v>41</v>
      </c>
      <c r="C21">
        <f>VLOOKUP(D1_FEBRERO_2025[[#This Row],[SUPER]],DATA_FEBRERO_2025[[SUPERVISOR]:[META]],3,0)</f>
        <v>22000</v>
      </c>
      <c r="D21">
        <f>D1_FEBRERO_2025[[#This Row],[RECUPERO]]/C21</f>
        <v>0.62618181818181817</v>
      </c>
      <c r="E21" t="s">
        <v>2</v>
      </c>
      <c r="F21" t="s">
        <v>41</v>
      </c>
      <c r="G21">
        <v>13776</v>
      </c>
      <c r="H21" t="s">
        <v>387</v>
      </c>
      <c r="I21" s="56">
        <v>45304</v>
      </c>
      <c r="J21" t="s">
        <v>501</v>
      </c>
      <c r="L21" s="56"/>
      <c r="M21" s="1">
        <f>DATA_FEBRERO_2025[[#This Row],[RECUPERO]]/DATA_FEBRERO_2025[[#This Row],[META]]</f>
        <v>0.62618181818181817</v>
      </c>
      <c r="N21" t="str" cm="1">
        <f t="array" ref="N21">IF(DATA_FEBRERO_2025[[#This Row],[ASER_]]="","",IFERROR(_xlfn.IFS(M21&gt;=100%,"&gt;100%",AND(M21&lt;100%,M21&gt;=70%),"&gt;70%",AND(M21&lt;70%,M21&gt;=40%),"&gt;40%",AND(M21&lt;40%,M21&gt;=0%),"&gt;0%"),""))</f>
        <v>&gt;40%</v>
      </c>
      <c r="O21" t="s">
        <v>2</v>
      </c>
      <c r="P21">
        <f>SUM(DATA_FEBRERO_2025[[#This Row],[1]:[31]])</f>
        <v>13776</v>
      </c>
      <c r="Q21">
        <v>22000</v>
      </c>
      <c r="R21" t="s">
        <v>41</v>
      </c>
      <c r="S21">
        <v>268</v>
      </c>
      <c r="W21">
        <v>300</v>
      </c>
      <c r="X21">
        <v>300</v>
      </c>
      <c r="Y21">
        <v>1300</v>
      </c>
      <c r="AD21">
        <v>500</v>
      </c>
      <c r="AF21">
        <v>400</v>
      </c>
      <c r="AI21">
        <v>200</v>
      </c>
      <c r="AJ21">
        <v>995</v>
      </c>
      <c r="AM21">
        <v>3850</v>
      </c>
      <c r="AP21">
        <v>1278</v>
      </c>
      <c r="AQ21">
        <v>800</v>
      </c>
      <c r="AR21">
        <v>2280</v>
      </c>
      <c r="AT21">
        <v>1305</v>
      </c>
      <c r="AX21" t="s">
        <v>151</v>
      </c>
    </row>
    <row r="22" spans="1:50" x14ac:dyDescent="0.25">
      <c r="A22" t="str">
        <f>D1_FEBRERO_2025[[#This Row],[SUPER2]]</f>
        <v>JORGE</v>
      </c>
      <c r="B22" t="s">
        <v>16</v>
      </c>
      <c r="C22">
        <f>VLOOKUP(D1_FEBRERO_2025[[#This Row],[SUPER]],DATA_FEBRERO_2025[[SUPERVISOR]:[META]],3,0)</f>
        <v>22000</v>
      </c>
      <c r="D22">
        <f>D1_FEBRERO_2025[[#This Row],[RECUPERO]]/C22</f>
        <v>1.3257272727272726</v>
      </c>
      <c r="E22" t="s">
        <v>2</v>
      </c>
      <c r="F22" t="s">
        <v>16</v>
      </c>
      <c r="G22">
        <v>29166</v>
      </c>
      <c r="H22" t="s">
        <v>388</v>
      </c>
      <c r="I22" s="56">
        <v>45334</v>
      </c>
      <c r="J22" t="s">
        <v>501</v>
      </c>
      <c r="L22" s="56"/>
      <c r="M22" s="1">
        <f>DATA_FEBRERO_2025[[#This Row],[RECUPERO]]/DATA_FEBRERO_2025[[#This Row],[META]]</f>
        <v>0.38085714285714284</v>
      </c>
      <c r="N22" t="str" cm="1">
        <f t="array" ref="N22">IF(DATA_FEBRERO_2025[[#This Row],[ASER_]]="","",IFERROR(_xlfn.IFS(M22&gt;=100%,"&gt;100%",AND(M22&lt;100%,M22&gt;=70%),"&gt;70%",AND(M22&lt;70%,M22&gt;=40%),"&gt;40%",AND(M22&lt;40%,M22&gt;=0%),"&gt;0%"),""))</f>
        <v>&gt;0%</v>
      </c>
      <c r="O22" t="s">
        <v>9</v>
      </c>
      <c r="P22">
        <f>SUM(DATA_FEBRERO_2025[[#This Row],[1]:[31]])</f>
        <v>7998</v>
      </c>
      <c r="Q22">
        <v>21000</v>
      </c>
      <c r="R22" t="s">
        <v>61</v>
      </c>
      <c r="Z22">
        <v>416</v>
      </c>
      <c r="AB22">
        <v>200</v>
      </c>
      <c r="AD22">
        <v>200</v>
      </c>
      <c r="AE22">
        <v>4000</v>
      </c>
      <c r="AI22">
        <v>217</v>
      </c>
      <c r="AR22">
        <v>365</v>
      </c>
      <c r="AS22">
        <v>200</v>
      </c>
      <c r="AT22">
        <v>2400</v>
      </c>
      <c r="AX22" t="s">
        <v>153</v>
      </c>
    </row>
    <row r="23" spans="1:50" x14ac:dyDescent="0.25">
      <c r="A23" t="str">
        <f>D1_FEBRERO_2025[[#This Row],[SUPER2]]</f>
        <v>JORGE</v>
      </c>
      <c r="B23" t="s">
        <v>12</v>
      </c>
      <c r="C23">
        <f>VLOOKUP(D1_FEBRERO_2025[[#This Row],[SUPER]],DATA_FEBRERO_2025[[SUPERVISOR]:[META]],3,0)</f>
        <v>22000</v>
      </c>
      <c r="D23">
        <f>D1_FEBRERO_2025[[#This Row],[RECUPERO]]/C23</f>
        <v>1.0019363636363636</v>
      </c>
      <c r="E23" t="s">
        <v>2</v>
      </c>
      <c r="F23" t="s">
        <v>12</v>
      </c>
      <c r="G23">
        <v>22042.6</v>
      </c>
      <c r="H23" t="s">
        <v>389</v>
      </c>
      <c r="I23" s="56">
        <v>44870</v>
      </c>
      <c r="J23" t="s">
        <v>501</v>
      </c>
      <c r="L23" s="56"/>
      <c r="M23" s="1">
        <f>DATA_FEBRERO_2025[[#This Row],[RECUPERO]]/DATA_FEBRERO_2025[[#This Row],[META]]</f>
        <v>1.2287878787878788</v>
      </c>
      <c r="N23" t="str" cm="1">
        <f t="array" ref="N23">IF(DATA_FEBRERO_2025[[#This Row],[ASER_]]="","",IFERROR(_xlfn.IFS(M23&gt;=100%,"&gt;100%",AND(M23&lt;100%,M23&gt;=70%),"&gt;70%",AND(M23&lt;70%,M23&gt;=40%),"&gt;40%",AND(M23&lt;40%,M23&gt;=0%),"&gt;0%"),""))</f>
        <v>&gt;100%</v>
      </c>
      <c r="O23" t="s">
        <v>115</v>
      </c>
      <c r="P23">
        <f>SUM(DATA_FEBRERO_2025[[#This Row],[1]:[31]])</f>
        <v>20275</v>
      </c>
      <c r="Q23">
        <v>16500</v>
      </c>
      <c r="R23" t="s">
        <v>80</v>
      </c>
      <c r="V23">
        <v>680</v>
      </c>
      <c r="W23">
        <v>282</v>
      </c>
      <c r="X23">
        <v>2147</v>
      </c>
      <c r="Y23">
        <v>736</v>
      </c>
      <c r="AB23">
        <v>3348</v>
      </c>
      <c r="AD23">
        <v>2000</v>
      </c>
      <c r="AF23">
        <v>1899</v>
      </c>
      <c r="AJ23">
        <v>230</v>
      </c>
      <c r="AK23">
        <v>450</v>
      </c>
      <c r="AL23">
        <v>647</v>
      </c>
      <c r="AM23">
        <v>222</v>
      </c>
      <c r="AN23">
        <v>800</v>
      </c>
      <c r="AP23">
        <v>560</v>
      </c>
      <c r="AQ23">
        <v>1135</v>
      </c>
      <c r="AS23">
        <v>1909</v>
      </c>
      <c r="AT23">
        <v>3230</v>
      </c>
      <c r="AX23" t="s">
        <v>154</v>
      </c>
    </row>
    <row r="24" spans="1:50" x14ac:dyDescent="0.25">
      <c r="A24" t="str">
        <f>D1_FEBRERO_2025[[#This Row],[SUPER2]]</f>
        <v>JORGE</v>
      </c>
      <c r="B24" t="s">
        <v>32</v>
      </c>
      <c r="C24">
        <f>VLOOKUP(D1_FEBRERO_2025[[#This Row],[SUPER]],DATA_FEBRERO_2025[[SUPERVISOR]:[META]],3,0)</f>
        <v>22000</v>
      </c>
      <c r="D24">
        <f>D1_FEBRERO_2025[[#This Row],[RECUPERO]]/C24</f>
        <v>0.56200000000000006</v>
      </c>
      <c r="E24" t="s">
        <v>2</v>
      </c>
      <c r="F24" t="s">
        <v>32</v>
      </c>
      <c r="G24">
        <v>12364</v>
      </c>
      <c r="H24" t="s">
        <v>390</v>
      </c>
      <c r="I24" s="56">
        <v>45530</v>
      </c>
      <c r="J24" t="s">
        <v>501</v>
      </c>
      <c r="L24" s="56"/>
      <c r="M24" s="1">
        <f>DATA_FEBRERO_2025[[#This Row],[RECUPERO]]/DATA_FEBRERO_2025[[#This Row],[META]]</f>
        <v>0.40197844827586204</v>
      </c>
      <c r="N24" t="str" cm="1">
        <f t="array" ref="N24">IF(DATA_FEBRERO_2025[[#This Row],[ASER_]]="","",IFERROR(_xlfn.IFS(M24&gt;=100%,"&gt;100%",AND(M24&lt;100%,M24&gt;=70%),"&gt;70%",AND(M24&lt;70%,M24&gt;=40%),"&gt;40%",AND(M24&lt;40%,M24&gt;=0%),"&gt;0%"),""))</f>
        <v>&gt;40%</v>
      </c>
      <c r="O24" t="s">
        <v>4</v>
      </c>
      <c r="P24">
        <f>SUM(DATA_FEBRERO_2025[[#This Row],[1]:[31]])</f>
        <v>23314.75</v>
      </c>
      <c r="Q24">
        <v>58000</v>
      </c>
      <c r="R24" t="s">
        <v>40</v>
      </c>
      <c r="AB24">
        <v>18323</v>
      </c>
      <c r="AC24">
        <v>350</v>
      </c>
      <c r="AE24">
        <v>550</v>
      </c>
      <c r="AF24">
        <v>721.75</v>
      </c>
      <c r="AM24">
        <v>354</v>
      </c>
      <c r="AN24">
        <v>1500</v>
      </c>
      <c r="AQ24">
        <v>600</v>
      </c>
      <c r="AS24">
        <v>916</v>
      </c>
      <c r="AX24" t="s">
        <v>150</v>
      </c>
    </row>
    <row r="25" spans="1:50" x14ac:dyDescent="0.25">
      <c r="A25" t="str">
        <f>D1_FEBRERO_2025[[#This Row],[SUPER2]]</f>
        <v>JORGE</v>
      </c>
      <c r="B25" t="s">
        <v>26</v>
      </c>
      <c r="C25">
        <f>VLOOKUP(D1_FEBRERO_2025[[#This Row],[SUPER]],DATA_FEBRERO_2025[[SUPERVISOR]:[META]],3,0)</f>
        <v>22000</v>
      </c>
      <c r="D25">
        <f>D1_FEBRERO_2025[[#This Row],[RECUPERO]]/C25</f>
        <v>0.87387272727272736</v>
      </c>
      <c r="E25" t="s">
        <v>2</v>
      </c>
      <c r="F25" t="s">
        <v>26</v>
      </c>
      <c r="G25">
        <v>19225.2</v>
      </c>
      <c r="H25" t="s">
        <v>391</v>
      </c>
      <c r="I25" s="56">
        <v>44259</v>
      </c>
      <c r="J25" t="s">
        <v>501</v>
      </c>
      <c r="L25" s="56"/>
      <c r="M25" s="1">
        <f>DATA_FEBRERO_2025[[#This Row],[RECUPERO]]/DATA_FEBRERO_2025[[#This Row],[META]]</f>
        <v>0.19591379310344828</v>
      </c>
      <c r="N25" t="str" cm="1">
        <f t="array" ref="N25">IF(DATA_FEBRERO_2025[[#This Row],[ASER_]]="","",IFERROR(_xlfn.IFS(M25&gt;=100%,"&gt;100%",AND(M25&lt;100%,M25&gt;=70%),"&gt;70%",AND(M25&lt;70%,M25&gt;=40%),"&gt;40%",AND(M25&lt;40%,M25&gt;=0%),"&gt;0%"),""))</f>
        <v>&gt;0%</v>
      </c>
      <c r="O25" t="s">
        <v>4</v>
      </c>
      <c r="P25">
        <f>SUM(DATA_FEBRERO_2025[[#This Row],[1]:[31]])</f>
        <v>11363</v>
      </c>
      <c r="Q25">
        <v>58000</v>
      </c>
      <c r="R25" t="s">
        <v>81</v>
      </c>
      <c r="AJ25">
        <v>650</v>
      </c>
      <c r="AM25">
        <v>3171</v>
      </c>
      <c r="AN25">
        <v>600</v>
      </c>
      <c r="AQ25">
        <v>600</v>
      </c>
      <c r="AT25">
        <v>6342</v>
      </c>
      <c r="AX25" t="s">
        <v>150</v>
      </c>
    </row>
    <row r="26" spans="1:50" x14ac:dyDescent="0.25">
      <c r="A26" t="str">
        <f>D1_FEBRERO_2025[[#This Row],[SUPER2]]</f>
        <v>JORGE</v>
      </c>
      <c r="B26" t="s">
        <v>77</v>
      </c>
      <c r="C26">
        <f>VLOOKUP(D1_FEBRERO_2025[[#This Row],[SUPER]],DATA_FEBRERO_2025[[SUPERVISOR]:[META]],3,0)</f>
        <v>22000</v>
      </c>
      <c r="D26">
        <f>D1_FEBRERO_2025[[#This Row],[RECUPERO]]/C26</f>
        <v>0.49286363636363634</v>
      </c>
      <c r="E26" t="s">
        <v>2</v>
      </c>
      <c r="F26" t="s">
        <v>77</v>
      </c>
      <c r="G26">
        <v>10843</v>
      </c>
      <c r="H26" t="s">
        <v>393</v>
      </c>
      <c r="I26" s="56">
        <v>44840</v>
      </c>
      <c r="J26" t="s">
        <v>501</v>
      </c>
      <c r="L26" s="56"/>
      <c r="M26" s="1">
        <f>DATA_FEBRERO_2025[[#This Row],[RECUPERO]]/DATA_FEBRERO_2025[[#This Row],[META]]</f>
        <v>0.63732758620689656</v>
      </c>
      <c r="N26" t="str" cm="1">
        <f t="array" ref="N26">IF(DATA_FEBRERO_2025[[#This Row],[ASER_]]="","",IFERROR(_xlfn.IFS(M26&gt;=100%,"&gt;100%",AND(M26&lt;100%,M26&gt;=70%),"&gt;70%",AND(M26&lt;70%,M26&gt;=40%),"&gt;40%",AND(M26&lt;40%,M26&gt;=0%),"&gt;0%"),""))</f>
        <v>&gt;40%</v>
      </c>
      <c r="O26" t="s">
        <v>3</v>
      </c>
      <c r="P26">
        <f>SUM(DATA_FEBRERO_2025[[#This Row],[1]:[31]])</f>
        <v>36965</v>
      </c>
      <c r="Q26">
        <v>58000</v>
      </c>
      <c r="R26" t="s">
        <v>72</v>
      </c>
      <c r="W26">
        <v>2000</v>
      </c>
      <c r="AF26">
        <v>600</v>
      </c>
      <c r="AK26">
        <v>7632</v>
      </c>
      <c r="AM26">
        <v>10000</v>
      </c>
      <c r="AR26">
        <v>600</v>
      </c>
      <c r="AS26">
        <v>2500</v>
      </c>
      <c r="AT26">
        <v>13633</v>
      </c>
      <c r="AX26" t="s">
        <v>150</v>
      </c>
    </row>
    <row r="27" spans="1:50" x14ac:dyDescent="0.25">
      <c r="A27" t="str">
        <f>D1_FEBRERO_2025[[#This Row],[SUPER2]]</f>
        <v>JORGE</v>
      </c>
      <c r="B27" t="s">
        <v>46</v>
      </c>
      <c r="C27">
        <f>VLOOKUP(D1_FEBRERO_2025[[#This Row],[SUPER]],DATA_FEBRERO_2025[[SUPERVISOR]:[META]],3,0)</f>
        <v>22000</v>
      </c>
      <c r="D27">
        <f>D1_FEBRERO_2025[[#This Row],[RECUPERO]]/C27</f>
        <v>0.1</v>
      </c>
      <c r="E27" t="s">
        <v>2</v>
      </c>
      <c r="F27" t="s">
        <v>46</v>
      </c>
      <c r="G27">
        <v>2200</v>
      </c>
      <c r="H27" t="s">
        <v>394</v>
      </c>
      <c r="I27" s="56">
        <v>45344</v>
      </c>
      <c r="J27" t="s">
        <v>501</v>
      </c>
      <c r="L27" s="56"/>
      <c r="M27" s="1">
        <f>DATA_FEBRERO_2025[[#This Row],[RECUPERO]]/DATA_FEBRERO_2025[[#This Row],[META]]</f>
        <v>1.2610482758620689</v>
      </c>
      <c r="N27" t="str" cm="1">
        <f t="array" ref="N27">IF(DATA_FEBRERO_2025[[#This Row],[ASER_]]="","",IFERROR(_xlfn.IFS(M27&gt;=100%,"&gt;100%",AND(M27&lt;100%,M27&gt;=70%),"&gt;70%",AND(M27&lt;70%,M27&gt;=40%),"&gt;40%",AND(M27&lt;40%,M27&gt;=0%),"&gt;0%"),""))</f>
        <v>&gt;100%</v>
      </c>
      <c r="O27" t="s">
        <v>3</v>
      </c>
      <c r="P27">
        <f>SUM(DATA_FEBRERO_2025[[#This Row],[1]:[31]])</f>
        <v>73140.800000000003</v>
      </c>
      <c r="Q27">
        <v>58000</v>
      </c>
      <c r="R27" t="s">
        <v>22</v>
      </c>
      <c r="S27">
        <v>1250</v>
      </c>
      <c r="U27">
        <v>2050</v>
      </c>
      <c r="W27">
        <v>1370.1</v>
      </c>
      <c r="X27">
        <v>700</v>
      </c>
      <c r="Y27">
        <v>1878</v>
      </c>
      <c r="AB27">
        <v>503</v>
      </c>
      <c r="AC27">
        <v>6554.7</v>
      </c>
      <c r="AE27">
        <v>6500</v>
      </c>
      <c r="AF27">
        <v>10000</v>
      </c>
      <c r="AJ27">
        <v>3402</v>
      </c>
      <c r="AK27">
        <v>5550</v>
      </c>
      <c r="AL27">
        <v>2886</v>
      </c>
      <c r="AM27">
        <v>1332</v>
      </c>
      <c r="AO27">
        <v>950</v>
      </c>
      <c r="AP27">
        <v>2068</v>
      </c>
      <c r="AQ27">
        <v>8450</v>
      </c>
      <c r="AR27">
        <v>7941</v>
      </c>
      <c r="AS27">
        <v>1886</v>
      </c>
      <c r="AT27">
        <v>7870</v>
      </c>
      <c r="AX27" t="s">
        <v>150</v>
      </c>
    </row>
    <row r="28" spans="1:50" x14ac:dyDescent="0.25">
      <c r="A28" t="str">
        <f>D1_FEBRERO_2025[[#This Row],[SUPER2]]</f>
        <v>JORGE</v>
      </c>
      <c r="B28" t="s">
        <v>74</v>
      </c>
      <c r="C28">
        <f>VLOOKUP(D1_FEBRERO_2025[[#This Row],[SUPER]],DATA_FEBRERO_2025[[SUPERVISOR]:[META]],3,0)</f>
        <v>22000</v>
      </c>
      <c r="D28">
        <f>D1_FEBRERO_2025[[#This Row],[RECUPERO]]/C28</f>
        <v>0.67694545454545452</v>
      </c>
      <c r="E28" t="s">
        <v>2</v>
      </c>
      <c r="F28" t="s">
        <v>74</v>
      </c>
      <c r="G28">
        <v>14892.8</v>
      </c>
      <c r="H28" t="s">
        <v>395</v>
      </c>
      <c r="I28" s="56">
        <v>44470</v>
      </c>
      <c r="J28" t="s">
        <v>501</v>
      </c>
      <c r="L28" s="56"/>
      <c r="M28" s="1">
        <f>DATA_FEBRERO_2025[[#This Row],[RECUPERO]]/DATA_FEBRERO_2025[[#This Row],[META]]</f>
        <v>0.48145454545454547</v>
      </c>
      <c r="N28" t="str" cm="1">
        <f t="array" ref="N28">IF(DATA_FEBRERO_2025[[#This Row],[ASER_]]="","",IFERROR(_xlfn.IFS(M28&gt;=100%,"&gt;100%",AND(M28&lt;100%,M28&gt;=70%),"&gt;70%",AND(M28&lt;70%,M28&gt;=40%),"&gt;40%",AND(M28&lt;40%,M28&gt;=0%),"&gt;0%"),""))</f>
        <v>&gt;40%</v>
      </c>
      <c r="O28" t="s">
        <v>115</v>
      </c>
      <c r="P28">
        <f>SUM(DATA_FEBRERO_2025[[#This Row],[1]:[31]])</f>
        <v>7944</v>
      </c>
      <c r="Q28">
        <v>16500</v>
      </c>
      <c r="R28" t="s">
        <v>24</v>
      </c>
      <c r="U28">
        <v>300</v>
      </c>
      <c r="V28">
        <v>200</v>
      </c>
      <c r="W28">
        <v>400</v>
      </c>
      <c r="X28">
        <v>1000</v>
      </c>
      <c r="AD28">
        <v>1014</v>
      </c>
      <c r="AE28">
        <v>410</v>
      </c>
      <c r="AI28">
        <v>300</v>
      </c>
      <c r="AK28">
        <v>250</v>
      </c>
      <c r="AL28">
        <v>1670</v>
      </c>
      <c r="AM28">
        <v>150</v>
      </c>
      <c r="AP28">
        <v>200</v>
      </c>
      <c r="AQ28">
        <v>955</v>
      </c>
      <c r="AS28">
        <v>400</v>
      </c>
      <c r="AT28">
        <v>695</v>
      </c>
      <c r="AX28" t="s">
        <v>154</v>
      </c>
    </row>
    <row r="29" spans="1:50" x14ac:dyDescent="0.25">
      <c r="A29" t="str">
        <f>D1_FEBRERO_2025[[#This Row],[SUPER2]]</f>
        <v>JORGE</v>
      </c>
      <c r="B29" t="s">
        <v>126</v>
      </c>
      <c r="C29">
        <f>VLOOKUP(D1_FEBRERO_2025[[#This Row],[SUPER]],DATA_FEBRERO_2025[[SUPERVISOR]:[META]],3,0)</f>
        <v>22000</v>
      </c>
      <c r="D29">
        <f>D1_FEBRERO_2025[[#This Row],[RECUPERO]]/C29</f>
        <v>2.7272727272727271E-2</v>
      </c>
      <c r="E29" t="s">
        <v>2</v>
      </c>
      <c r="F29" t="s">
        <v>126</v>
      </c>
      <c r="G29">
        <v>600</v>
      </c>
      <c r="H29" t="s">
        <v>451</v>
      </c>
      <c r="I29" s="56">
        <v>45714</v>
      </c>
      <c r="J29" t="s">
        <v>501</v>
      </c>
      <c r="L29" s="56"/>
      <c r="M29" s="1">
        <f>DATA_FEBRERO_2025[[#This Row],[RECUPERO]]/DATA_FEBRERO_2025[[#This Row],[META]]</f>
        <v>1.3257272727272726</v>
      </c>
      <c r="N29" t="str" cm="1">
        <f t="array" ref="N29">IF(DATA_FEBRERO_2025[[#This Row],[ASER_]]="","",IFERROR(_xlfn.IFS(M29&gt;=100%,"&gt;100%",AND(M29&lt;100%,M29&gt;=70%),"&gt;70%",AND(M29&lt;70%,M29&gt;=40%),"&gt;40%",AND(M29&lt;40%,M29&gt;=0%),"&gt;0%"),""))</f>
        <v>&gt;100%</v>
      </c>
      <c r="O29" t="s">
        <v>2</v>
      </c>
      <c r="P29">
        <f>SUM(DATA_FEBRERO_2025[[#This Row],[1]:[31]])</f>
        <v>29166</v>
      </c>
      <c r="Q29">
        <v>22000</v>
      </c>
      <c r="R29" t="s">
        <v>16</v>
      </c>
      <c r="U29">
        <v>1000</v>
      </c>
      <c r="W29">
        <v>600</v>
      </c>
      <c r="X29">
        <v>1100</v>
      </c>
      <c r="AB29">
        <v>200</v>
      </c>
      <c r="AC29">
        <v>10366</v>
      </c>
      <c r="AD29">
        <v>500</v>
      </c>
      <c r="AF29">
        <v>50</v>
      </c>
      <c r="AG29">
        <v>100</v>
      </c>
      <c r="AI29">
        <v>2000</v>
      </c>
      <c r="AL29">
        <v>400</v>
      </c>
      <c r="AP29">
        <v>600</v>
      </c>
      <c r="AQ29">
        <v>400</v>
      </c>
      <c r="AR29">
        <v>600</v>
      </c>
      <c r="AS29">
        <v>2300</v>
      </c>
      <c r="AT29">
        <v>8950</v>
      </c>
      <c r="AX29" t="s">
        <v>151</v>
      </c>
    </row>
    <row r="30" spans="1:50" x14ac:dyDescent="0.25">
      <c r="A30" t="str">
        <f>D1_FEBRERO_2025[[#This Row],[SUPER2]]</f>
        <v>JORGE</v>
      </c>
      <c r="B30" t="s">
        <v>117</v>
      </c>
      <c r="C30">
        <f>VLOOKUP(D1_FEBRERO_2025[[#This Row],[SUPER]],DATA_FEBRERO_2025[[SUPERVISOR]:[META]],3,0)</f>
        <v>22000</v>
      </c>
      <c r="D30">
        <f>D1_FEBRERO_2025[[#This Row],[RECUPERO]]/C30</f>
        <v>0.35418181818181821</v>
      </c>
      <c r="E30" t="s">
        <v>2</v>
      </c>
      <c r="F30" t="s">
        <v>117</v>
      </c>
      <c r="G30">
        <v>7792</v>
      </c>
      <c r="H30" t="s">
        <v>396</v>
      </c>
      <c r="I30" s="56">
        <v>45668</v>
      </c>
      <c r="J30" t="s">
        <v>501</v>
      </c>
      <c r="L30" s="56"/>
      <c r="M30" s="1">
        <f>DATA_FEBRERO_2025[[#This Row],[RECUPERO]]/DATA_FEBRERO_2025[[#This Row],[META]]</f>
        <v>0.4819761904761905</v>
      </c>
      <c r="N30" t="str" cm="1">
        <f t="array" ref="N30">IF(DATA_FEBRERO_2025[[#This Row],[ASER_]]="","",IFERROR(_xlfn.IFS(M30&gt;=100%,"&gt;100%",AND(M30&lt;100%,M30&gt;=70%),"&gt;70%",AND(M30&lt;70%,M30&gt;=40%),"&gt;40%",AND(M30&lt;40%,M30&gt;=0%),"&gt;0%"),""))</f>
        <v>&gt;40%</v>
      </c>
      <c r="O30" t="s">
        <v>9</v>
      </c>
      <c r="P30">
        <f>SUM(DATA_FEBRERO_2025[[#This Row],[1]:[31]])</f>
        <v>10121.5</v>
      </c>
      <c r="Q30">
        <v>21000</v>
      </c>
      <c r="R30" t="s">
        <v>27</v>
      </c>
      <c r="S30">
        <v>400</v>
      </c>
      <c r="U30">
        <v>200</v>
      </c>
      <c r="W30">
        <v>0</v>
      </c>
      <c r="AA30">
        <v>200</v>
      </c>
      <c r="AC30">
        <v>250</v>
      </c>
      <c r="AD30">
        <v>3000</v>
      </c>
      <c r="AI30">
        <v>3117</v>
      </c>
      <c r="AL30">
        <v>1300</v>
      </c>
      <c r="AT30">
        <v>1654.5</v>
      </c>
      <c r="AX30" t="s">
        <v>153</v>
      </c>
    </row>
    <row r="31" spans="1:50" x14ac:dyDescent="0.25">
      <c r="A31" t="str">
        <f>D1_FEBRERO_2025[[#This Row],[SUPER2]]</f>
        <v>JORGE</v>
      </c>
      <c r="B31" t="s">
        <v>78</v>
      </c>
      <c r="C31">
        <f>VLOOKUP(D1_FEBRERO_2025[[#This Row],[SUPER]],DATA_FEBRERO_2025[[SUPERVISOR]:[META]],3,0)</f>
        <v>22000</v>
      </c>
      <c r="D31">
        <f>D1_FEBRERO_2025[[#This Row],[RECUPERO]]/C31</f>
        <v>0.70727272727272728</v>
      </c>
      <c r="E31" t="s">
        <v>2</v>
      </c>
      <c r="F31" t="s">
        <v>78</v>
      </c>
      <c r="G31">
        <v>15560</v>
      </c>
      <c r="H31" t="s">
        <v>397</v>
      </c>
      <c r="I31" s="56">
        <v>44945</v>
      </c>
      <c r="J31" t="s">
        <v>501</v>
      </c>
      <c r="L31" s="56"/>
      <c r="M31" s="1">
        <f>DATA_FEBRERO_2025[[#This Row],[RECUPERO]]/DATA_FEBRERO_2025[[#This Row],[META]]</f>
        <v>1.0019363636363636</v>
      </c>
      <c r="N31" t="str" cm="1">
        <f t="array" ref="N31">IF(DATA_FEBRERO_2025[[#This Row],[ASER_]]="","",IFERROR(_xlfn.IFS(M31&gt;=100%,"&gt;100%",AND(M31&lt;100%,M31&gt;=70%),"&gt;70%",AND(M31&lt;70%,M31&gt;=40%),"&gt;40%",AND(M31&lt;40%,M31&gt;=0%),"&gt;0%"),""))</f>
        <v>&gt;100%</v>
      </c>
      <c r="O31" t="s">
        <v>2</v>
      </c>
      <c r="P31">
        <f>SUM(DATA_FEBRERO_2025[[#This Row],[1]:[31]])</f>
        <v>22042.6</v>
      </c>
      <c r="Q31">
        <v>22000</v>
      </c>
      <c r="R31" t="s">
        <v>12</v>
      </c>
      <c r="S31">
        <v>200</v>
      </c>
      <c r="V31">
        <v>307</v>
      </c>
      <c r="W31">
        <v>450</v>
      </c>
      <c r="AC31">
        <v>100</v>
      </c>
      <c r="AF31">
        <v>10250</v>
      </c>
      <c r="AI31">
        <v>691</v>
      </c>
      <c r="AL31">
        <v>300</v>
      </c>
      <c r="AM31">
        <v>405</v>
      </c>
      <c r="AP31">
        <v>708.6</v>
      </c>
      <c r="AQ31">
        <v>1867</v>
      </c>
      <c r="AR31">
        <v>2120</v>
      </c>
      <c r="AS31">
        <v>3000</v>
      </c>
      <c r="AT31">
        <v>1644</v>
      </c>
      <c r="AX31" t="s">
        <v>151</v>
      </c>
    </row>
    <row r="32" spans="1:50" x14ac:dyDescent="0.25">
      <c r="A32" t="str">
        <f>D1_FEBRERO_2025[[#This Row],[SUPER2]]</f>
        <v>JORGE</v>
      </c>
      <c r="B32" t="s">
        <v>39</v>
      </c>
      <c r="C32">
        <f>VLOOKUP(D1_FEBRERO_2025[[#This Row],[SUPER]],DATA_FEBRERO_2025[[SUPERVISOR]:[META]],3,0)</f>
        <v>22000</v>
      </c>
      <c r="D32">
        <f>D1_FEBRERO_2025[[#This Row],[RECUPERO]]/C32</f>
        <v>0.19545454545454546</v>
      </c>
      <c r="E32" t="s">
        <v>2</v>
      </c>
      <c r="F32" t="s">
        <v>39</v>
      </c>
      <c r="G32">
        <v>4300</v>
      </c>
      <c r="H32" t="s">
        <v>452</v>
      </c>
      <c r="I32" s="56">
        <v>44951</v>
      </c>
      <c r="J32" t="s">
        <v>501</v>
      </c>
      <c r="L32" s="56"/>
      <c r="M32" s="1">
        <f>DATA_FEBRERO_2025[[#This Row],[RECUPERO]]/DATA_FEBRERO_2025[[#This Row],[META]]</f>
        <v>0.30476190476190479</v>
      </c>
      <c r="N32" t="str" cm="1">
        <f t="array" ref="N32">IF(DATA_FEBRERO_2025[[#This Row],[ASER_]]="","",IFERROR(_xlfn.IFS(M32&gt;=100%,"&gt;100%",AND(M32&lt;100%,M32&gt;=70%),"&gt;70%",AND(M32&lt;70%,M32&gt;=40%),"&gt;40%",AND(M32&lt;40%,M32&gt;=0%),"&gt;0%"),""))</f>
        <v>&gt;0%</v>
      </c>
      <c r="O32" t="s">
        <v>9</v>
      </c>
      <c r="P32">
        <f>SUM(DATA_FEBRERO_2025[[#This Row],[1]:[31]])</f>
        <v>6400</v>
      </c>
      <c r="Q32">
        <v>21000</v>
      </c>
      <c r="R32" t="s">
        <v>51</v>
      </c>
      <c r="W32">
        <v>100</v>
      </c>
      <c r="Y32">
        <v>150</v>
      </c>
      <c r="AC32">
        <v>500</v>
      </c>
      <c r="AD32">
        <v>700</v>
      </c>
      <c r="AF32">
        <v>700</v>
      </c>
      <c r="AJ32">
        <v>2500</v>
      </c>
      <c r="AK32">
        <v>700</v>
      </c>
      <c r="AL32">
        <v>400</v>
      </c>
      <c r="AP32">
        <v>100</v>
      </c>
      <c r="AS32">
        <v>250</v>
      </c>
      <c r="AT32">
        <v>300</v>
      </c>
      <c r="AX32" t="s">
        <v>153</v>
      </c>
    </row>
    <row r="33" spans="1:50" x14ac:dyDescent="0.25">
      <c r="A33" t="str">
        <f>D1_FEBRERO_2025[[#This Row],[SUPER2]]</f>
        <v>JORDAN</v>
      </c>
      <c r="B33" t="s">
        <v>85</v>
      </c>
      <c r="C33">
        <f>VLOOKUP(D1_FEBRERO_2025[[#This Row],[SUPER]],DATA_FEBRERO_2025[[SUPERVISOR]:[META]],3,0)</f>
        <v>58000</v>
      </c>
      <c r="D33">
        <f>D1_FEBRERO_2025[[#This Row],[RECUPERO]]/C33</f>
        <v>1.1166982758620689</v>
      </c>
      <c r="E33" t="s">
        <v>5</v>
      </c>
      <c r="F33" t="s">
        <v>85</v>
      </c>
      <c r="G33">
        <v>64768.5</v>
      </c>
      <c r="H33" t="s">
        <v>380</v>
      </c>
      <c r="I33" s="56">
        <v>44811</v>
      </c>
      <c r="J33" t="s">
        <v>501</v>
      </c>
      <c r="L33" s="56"/>
      <c r="M33" s="1">
        <f>DATA_FEBRERO_2025[[#This Row],[RECUPERO]]/DATA_FEBRERO_2025[[#This Row],[META]]</f>
        <v>0.8280936206896552</v>
      </c>
      <c r="N33" t="str" cm="1">
        <f t="array" ref="N33">IF(DATA_FEBRERO_2025[[#This Row],[ASER_]]="","",IFERROR(_xlfn.IFS(M33&gt;=100%,"&gt;100%",AND(M33&lt;100%,M33&gt;=70%),"&gt;70%",AND(M33&lt;70%,M33&gt;=40%),"&gt;40%",AND(M33&lt;40%,M33&gt;=0%),"&gt;0%"),""))</f>
        <v>&gt;70%</v>
      </c>
      <c r="O33" t="s">
        <v>5</v>
      </c>
      <c r="P33">
        <f>SUM(DATA_FEBRERO_2025[[#This Row],[1]:[31]])</f>
        <v>48029.43</v>
      </c>
      <c r="Q33">
        <v>58000</v>
      </c>
      <c r="R33" t="s">
        <v>13</v>
      </c>
      <c r="V33">
        <v>4007</v>
      </c>
      <c r="W33">
        <v>500</v>
      </c>
      <c r="Y33">
        <v>1000</v>
      </c>
      <c r="AB33">
        <v>7420</v>
      </c>
      <c r="AD33">
        <v>1498</v>
      </c>
      <c r="AI33">
        <v>1600</v>
      </c>
      <c r="AJ33">
        <v>730</v>
      </c>
      <c r="AL33">
        <v>700</v>
      </c>
      <c r="AM33">
        <v>500</v>
      </c>
      <c r="AP33">
        <v>1200</v>
      </c>
      <c r="AQ33">
        <v>13000</v>
      </c>
      <c r="AR33">
        <v>5000</v>
      </c>
      <c r="AS33">
        <v>4928.43</v>
      </c>
      <c r="AT33">
        <v>5946</v>
      </c>
      <c r="AX33" t="s">
        <v>150</v>
      </c>
    </row>
    <row r="34" spans="1:50" x14ac:dyDescent="0.25">
      <c r="A34" t="str">
        <f>D1_FEBRERO_2025[[#This Row],[SUPER2]]</f>
        <v>JORDAN</v>
      </c>
      <c r="B34" t="s">
        <v>67</v>
      </c>
      <c r="C34">
        <f>VLOOKUP(D1_FEBRERO_2025[[#This Row],[SUPER]],DATA_FEBRERO_2025[[SUPERVISOR]:[META]],3,0)</f>
        <v>58000</v>
      </c>
      <c r="D34">
        <f>D1_FEBRERO_2025[[#This Row],[RECUPERO]]/C34</f>
        <v>1.0160862068965517</v>
      </c>
      <c r="E34" t="s">
        <v>5</v>
      </c>
      <c r="F34" t="s">
        <v>67</v>
      </c>
      <c r="G34">
        <v>58933</v>
      </c>
      <c r="H34" t="s">
        <v>381</v>
      </c>
      <c r="I34" s="56">
        <v>44811</v>
      </c>
      <c r="J34" t="s">
        <v>501</v>
      </c>
      <c r="L34" s="56"/>
      <c r="M34" s="1">
        <f>DATA_FEBRERO_2025[[#This Row],[RECUPERO]]/DATA_FEBRERO_2025[[#This Row],[META]]</f>
        <v>0.56200000000000006</v>
      </c>
      <c r="N34" t="str" cm="1">
        <f t="array" ref="N34">IF(DATA_FEBRERO_2025[[#This Row],[ASER_]]="","",IFERROR(_xlfn.IFS(M34&gt;=100%,"&gt;100%",AND(M34&lt;100%,M34&gt;=70%),"&gt;70%",AND(M34&lt;70%,M34&gt;=40%),"&gt;40%",AND(M34&lt;40%,M34&gt;=0%),"&gt;0%"),""))</f>
        <v>&gt;40%</v>
      </c>
      <c r="O34" t="s">
        <v>2</v>
      </c>
      <c r="P34">
        <f>SUM(DATA_FEBRERO_2025[[#This Row],[1]:[31]])</f>
        <v>12364</v>
      </c>
      <c r="Q34">
        <v>22000</v>
      </c>
      <c r="R34" t="s">
        <v>32</v>
      </c>
      <c r="V34">
        <v>500</v>
      </c>
      <c r="W34">
        <v>150</v>
      </c>
      <c r="X34">
        <v>200</v>
      </c>
      <c r="Y34">
        <v>1200</v>
      </c>
      <c r="AB34">
        <v>4700</v>
      </c>
      <c r="AI34">
        <v>200</v>
      </c>
      <c r="AK34">
        <v>920</v>
      </c>
      <c r="AL34">
        <v>1094</v>
      </c>
      <c r="AQ34">
        <v>1700</v>
      </c>
      <c r="AT34">
        <v>1700</v>
      </c>
      <c r="AX34" t="s">
        <v>151</v>
      </c>
    </row>
    <row r="35" spans="1:50" x14ac:dyDescent="0.25">
      <c r="A35" t="str">
        <f>D1_FEBRERO_2025[[#This Row],[SUPER2]]</f>
        <v>JORDAN</v>
      </c>
      <c r="B35" t="s">
        <v>13</v>
      </c>
      <c r="C35">
        <f>VLOOKUP(D1_FEBRERO_2025[[#This Row],[SUPER]],DATA_FEBRERO_2025[[SUPERVISOR]:[META]],3,0)</f>
        <v>58000</v>
      </c>
      <c r="D35">
        <f>D1_FEBRERO_2025[[#This Row],[RECUPERO]]/C35</f>
        <v>0.8280936206896552</v>
      </c>
      <c r="E35" t="s">
        <v>5</v>
      </c>
      <c r="F35" t="s">
        <v>13</v>
      </c>
      <c r="G35">
        <v>48029.43</v>
      </c>
      <c r="H35" t="s">
        <v>382</v>
      </c>
      <c r="I35" s="56">
        <v>44811</v>
      </c>
      <c r="J35" t="s">
        <v>501</v>
      </c>
      <c r="L35" s="56"/>
      <c r="M35" s="1">
        <f>DATA_FEBRERO_2025[[#This Row],[RECUPERO]]/DATA_FEBRERO_2025[[#This Row],[META]]</f>
        <v>0.68544827586206891</v>
      </c>
      <c r="N35" t="str" cm="1">
        <f t="array" ref="N35">IF(DATA_FEBRERO_2025[[#This Row],[ASER_]]="","",IFERROR(_xlfn.IFS(M35&gt;=100%,"&gt;100%",AND(M35&lt;100%,M35&gt;=70%),"&gt;70%",AND(M35&lt;70%,M35&gt;=40%),"&gt;40%",AND(M35&lt;40%,M35&gt;=0%),"&gt;0%"),""))</f>
        <v>&gt;40%</v>
      </c>
      <c r="O35" t="s">
        <v>5</v>
      </c>
      <c r="P35">
        <f>SUM(DATA_FEBRERO_2025[[#This Row],[1]:[31]])</f>
        <v>39756</v>
      </c>
      <c r="Q35">
        <v>58000</v>
      </c>
      <c r="R35" t="s">
        <v>66</v>
      </c>
      <c r="U35">
        <v>6261</v>
      </c>
      <c r="AJ35">
        <v>4100</v>
      </c>
      <c r="AK35">
        <v>19415</v>
      </c>
      <c r="AL35">
        <v>7000</v>
      </c>
      <c r="AM35">
        <v>1013</v>
      </c>
      <c r="AS35">
        <v>807</v>
      </c>
      <c r="AT35">
        <v>1160</v>
      </c>
      <c r="AX35" t="s">
        <v>150</v>
      </c>
    </row>
    <row r="36" spans="1:50" x14ac:dyDescent="0.25">
      <c r="A36" t="str">
        <f>D1_FEBRERO_2025[[#This Row],[SUPER2]]</f>
        <v>JORDAN</v>
      </c>
      <c r="B36" t="s">
        <v>66</v>
      </c>
      <c r="C36">
        <f>VLOOKUP(D1_FEBRERO_2025[[#This Row],[SUPER]],DATA_FEBRERO_2025[[SUPERVISOR]:[META]],3,0)</f>
        <v>58000</v>
      </c>
      <c r="D36">
        <f>D1_FEBRERO_2025[[#This Row],[RECUPERO]]/C36</f>
        <v>0.68544827586206891</v>
      </c>
      <c r="E36" t="s">
        <v>5</v>
      </c>
      <c r="F36" t="s">
        <v>66</v>
      </c>
      <c r="G36">
        <v>39756</v>
      </c>
      <c r="H36" t="s">
        <v>383</v>
      </c>
      <c r="I36" s="56">
        <v>45457</v>
      </c>
      <c r="J36" t="s">
        <v>501</v>
      </c>
      <c r="L36" s="56"/>
      <c r="M36" s="1">
        <f>DATA_FEBRERO_2025[[#This Row],[RECUPERO]]/DATA_FEBRERO_2025[[#This Row],[META]]</f>
        <v>0.4204761904761905</v>
      </c>
      <c r="N36" t="str" cm="1">
        <f t="array" ref="N36">IF(DATA_FEBRERO_2025[[#This Row],[ASER_]]="","",IFERROR(_xlfn.IFS(M36&gt;=100%,"&gt;100%",AND(M36&lt;100%,M36&gt;=70%),"&gt;70%",AND(M36&lt;70%,M36&gt;=40%),"&gt;40%",AND(M36&lt;40%,M36&gt;=0%),"&gt;0%"),""))</f>
        <v>&gt;40%</v>
      </c>
      <c r="O36" t="s">
        <v>9</v>
      </c>
      <c r="P36">
        <f>SUM(DATA_FEBRERO_2025[[#This Row],[1]:[31]])</f>
        <v>8830</v>
      </c>
      <c r="Q36">
        <v>21000</v>
      </c>
      <c r="R36" t="s">
        <v>71</v>
      </c>
      <c r="U36">
        <v>800</v>
      </c>
      <c r="V36">
        <v>500</v>
      </c>
      <c r="Y36">
        <v>150</v>
      </c>
      <c r="AB36">
        <v>250</v>
      </c>
      <c r="AE36">
        <v>800</v>
      </c>
      <c r="AF36">
        <v>650</v>
      </c>
      <c r="AI36">
        <v>1300</v>
      </c>
      <c r="AN36">
        <v>330</v>
      </c>
      <c r="AP36">
        <v>700</v>
      </c>
      <c r="AQ36">
        <v>200</v>
      </c>
      <c r="AS36">
        <v>200</v>
      </c>
      <c r="AT36">
        <v>2950</v>
      </c>
      <c r="AX36" t="s">
        <v>153</v>
      </c>
    </row>
    <row r="37" spans="1:50" x14ac:dyDescent="0.25">
      <c r="A37" t="str">
        <f>D1_FEBRERO_2025[[#This Row],[SUPER2]]</f>
        <v>JORDAN</v>
      </c>
      <c r="B37" t="s">
        <v>116</v>
      </c>
      <c r="C37">
        <f>VLOOKUP(D1_FEBRERO_2025[[#This Row],[SUPER]],DATA_FEBRERO_2025[[SUPERVISOR]:[META]],3,0)</f>
        <v>58000</v>
      </c>
      <c r="D37">
        <f>D1_FEBRERO_2025[[#This Row],[RECUPERO]]/C37</f>
        <v>0.42706896551724138</v>
      </c>
      <c r="E37" t="s">
        <v>5</v>
      </c>
      <c r="F37" t="s">
        <v>116</v>
      </c>
      <c r="G37">
        <v>24770</v>
      </c>
      <c r="H37" t="s">
        <v>384</v>
      </c>
      <c r="I37" s="56">
        <v>45075</v>
      </c>
      <c r="J37" t="s">
        <v>501</v>
      </c>
      <c r="L37" s="56"/>
      <c r="M37" s="1">
        <f>DATA_FEBRERO_2025[[#This Row],[RECUPERO]]/DATA_FEBRERO_2025[[#This Row],[META]]</f>
        <v>0.30840714285714288</v>
      </c>
      <c r="N37" t="str" cm="1">
        <f t="array" ref="N37">IF(DATA_FEBRERO_2025[[#This Row],[ASER_]]="","",IFERROR(_xlfn.IFS(M37&gt;=100%,"&gt;100%",AND(M37&lt;100%,M37&gt;=70%),"&gt;70%",AND(M37&lt;70%,M37&gt;=40%),"&gt;40%",AND(M37&lt;40%,M37&gt;=0%),"&gt;0%"),""))</f>
        <v>&gt;0%</v>
      </c>
      <c r="O37" t="s">
        <v>9</v>
      </c>
      <c r="P37">
        <f>SUM(DATA_FEBRERO_2025[[#This Row],[1]:[31]])</f>
        <v>6476.55</v>
      </c>
      <c r="Q37">
        <v>21000</v>
      </c>
      <c r="R37" t="s">
        <v>42</v>
      </c>
      <c r="Y37">
        <v>500</v>
      </c>
      <c r="AC37">
        <v>800</v>
      </c>
      <c r="AE37">
        <v>2000.05</v>
      </c>
      <c r="AF37">
        <v>1000</v>
      </c>
      <c r="AJ37">
        <v>281</v>
      </c>
      <c r="AM37">
        <v>863</v>
      </c>
      <c r="AT37">
        <v>1032.5</v>
      </c>
      <c r="AX37" t="s">
        <v>153</v>
      </c>
    </row>
    <row r="38" spans="1:50" x14ac:dyDescent="0.25">
      <c r="A38" t="str">
        <f>D1_FEBRERO_2025[[#This Row],[SUPER2]]</f>
        <v>JORDAN</v>
      </c>
      <c r="B38" t="s">
        <v>106</v>
      </c>
      <c r="C38">
        <f>VLOOKUP(D1_FEBRERO_2025[[#This Row],[SUPER]],DATA_FEBRERO_2025[[SUPERVISOR]:[META]],3,0)</f>
        <v>58000</v>
      </c>
      <c r="D38">
        <f>D1_FEBRERO_2025[[#This Row],[RECUPERO]]/C38</f>
        <v>0.44837931034482759</v>
      </c>
      <c r="E38" t="s">
        <v>5</v>
      </c>
      <c r="F38" t="s">
        <v>106</v>
      </c>
      <c r="G38">
        <v>26006</v>
      </c>
      <c r="H38" t="s">
        <v>392</v>
      </c>
      <c r="I38" s="56">
        <v>44748</v>
      </c>
      <c r="J38" t="s">
        <v>501</v>
      </c>
      <c r="L38" s="56"/>
      <c r="M38" s="1">
        <f>DATA_FEBRERO_2025[[#This Row],[RECUPERO]]/DATA_FEBRERO_2025[[#This Row],[META]]</f>
        <v>0.41769696969696968</v>
      </c>
      <c r="N38" t="str" cm="1">
        <f t="array" ref="N38">IF(DATA_FEBRERO_2025[[#This Row],[ASER_]]="","",IFERROR(_xlfn.IFS(M38&gt;=100%,"&gt;100%",AND(M38&lt;100%,M38&gt;=70%),"&gt;70%",AND(M38&lt;70%,M38&gt;=40%),"&gt;40%",AND(M38&lt;40%,M38&gt;=0%),"&gt;0%"),""))</f>
        <v>&gt;40%</v>
      </c>
      <c r="O38" t="s">
        <v>115</v>
      </c>
      <c r="P38">
        <f>SUM(DATA_FEBRERO_2025[[#This Row],[1]:[31]])</f>
        <v>6892</v>
      </c>
      <c r="Q38">
        <v>16500</v>
      </c>
      <c r="R38" t="s">
        <v>83</v>
      </c>
      <c r="U38">
        <v>1127</v>
      </c>
      <c r="V38">
        <v>336</v>
      </c>
      <c r="W38">
        <v>650</v>
      </c>
      <c r="AI38">
        <v>184</v>
      </c>
      <c r="AJ38">
        <v>300</v>
      </c>
      <c r="AK38">
        <v>500</v>
      </c>
      <c r="AO38">
        <v>150</v>
      </c>
      <c r="AP38">
        <v>1000</v>
      </c>
      <c r="AQ38">
        <v>150</v>
      </c>
      <c r="AR38">
        <v>485</v>
      </c>
      <c r="AS38">
        <v>650</v>
      </c>
      <c r="AT38">
        <v>1360</v>
      </c>
      <c r="AX38" t="s">
        <v>154</v>
      </c>
    </row>
    <row r="39" spans="1:50" x14ac:dyDescent="0.25">
      <c r="A39" t="str">
        <f>D1_FEBRERO_2025[[#This Row],[SUPER2]]</f>
        <v>JORDAN</v>
      </c>
      <c r="B39" t="s">
        <v>17</v>
      </c>
      <c r="C39">
        <f>VLOOKUP(D1_FEBRERO_2025[[#This Row],[SUPER]],DATA_FEBRERO_2025[[SUPERVISOR]:[META]],3,0)</f>
        <v>58000</v>
      </c>
      <c r="D39">
        <f>D1_FEBRERO_2025[[#This Row],[RECUPERO]]/C39</f>
        <v>0.53391379310344833</v>
      </c>
      <c r="E39" t="s">
        <v>5</v>
      </c>
      <c r="F39" t="s">
        <v>17</v>
      </c>
      <c r="G39">
        <v>30967</v>
      </c>
      <c r="H39" t="s">
        <v>385</v>
      </c>
      <c r="I39" s="56">
        <v>44888</v>
      </c>
      <c r="J39" t="s">
        <v>501</v>
      </c>
      <c r="L39" s="56"/>
      <c r="M39" s="1">
        <f>DATA_FEBRERO_2025[[#This Row],[RECUPERO]]/DATA_FEBRERO_2025[[#This Row],[META]]</f>
        <v>0.85294827586206901</v>
      </c>
      <c r="N39" t="str" cm="1">
        <f t="array" ref="N39">IF(DATA_FEBRERO_2025[[#This Row],[ASER_]]="","",IFERROR(_xlfn.IFS(M39&gt;=100%,"&gt;100%",AND(M39&lt;100%,M39&gt;=70%),"&gt;70%",AND(M39&lt;70%,M39&gt;=40%),"&gt;40%",AND(M39&lt;40%,M39&gt;=0%),"&gt;0%"),""))</f>
        <v>&gt;70%</v>
      </c>
      <c r="O39" t="s">
        <v>3</v>
      </c>
      <c r="P39">
        <f>SUM(DATA_FEBRERO_2025[[#This Row],[1]:[31]])</f>
        <v>49471</v>
      </c>
      <c r="Q39">
        <v>58000</v>
      </c>
      <c r="R39" t="s">
        <v>57</v>
      </c>
      <c r="Y39">
        <v>275</v>
      </c>
      <c r="AB39">
        <v>5500</v>
      </c>
      <c r="AC39">
        <v>1103</v>
      </c>
      <c r="AD39">
        <v>5000</v>
      </c>
      <c r="AF39">
        <v>8100</v>
      </c>
      <c r="AJ39">
        <v>5730</v>
      </c>
      <c r="AM39">
        <v>530</v>
      </c>
      <c r="AQ39">
        <v>8563</v>
      </c>
      <c r="AR39">
        <v>2270</v>
      </c>
      <c r="AS39">
        <v>7600</v>
      </c>
      <c r="AT39">
        <v>4800</v>
      </c>
      <c r="AX39" t="s">
        <v>150</v>
      </c>
    </row>
    <row r="40" spans="1:50" x14ac:dyDescent="0.25">
      <c r="A40" t="str">
        <f>D1_FEBRERO_2025[[#This Row],[SUPER2]]</f>
        <v>JORDAN</v>
      </c>
      <c r="B40" t="s">
        <v>62</v>
      </c>
      <c r="C40">
        <f>VLOOKUP(D1_FEBRERO_2025[[#This Row],[SUPER]],DATA_FEBRERO_2025[[SUPERVISOR]:[META]],3,0)</f>
        <v>58000</v>
      </c>
      <c r="D40">
        <f>D1_FEBRERO_2025[[#This Row],[RECUPERO]]/C40</f>
        <v>0.77317241379310342</v>
      </c>
      <c r="E40" t="s">
        <v>5</v>
      </c>
      <c r="F40" t="s">
        <v>62</v>
      </c>
      <c r="G40">
        <v>44844</v>
      </c>
      <c r="H40" t="s">
        <v>386</v>
      </c>
      <c r="I40" s="56">
        <v>45334</v>
      </c>
      <c r="J40" t="s">
        <v>501</v>
      </c>
      <c r="L40" s="56"/>
      <c r="M40" s="1">
        <f>DATA_FEBRERO_2025[[#This Row],[RECUPERO]]/DATA_FEBRERO_2025[[#This Row],[META]]</f>
        <v>0.7533333333333333</v>
      </c>
      <c r="N40" t="str" cm="1">
        <f t="array" ref="N40">IF(DATA_FEBRERO_2025[[#This Row],[ASER_]]="","",IFERROR(_xlfn.IFS(M40&gt;=100%,"&gt;100%",AND(M40&lt;100%,M40&gt;=70%),"&gt;70%",AND(M40&lt;70%,M40&gt;=40%),"&gt;40%",AND(M40&lt;40%,M40&gt;=0%),"&gt;0%"),""))</f>
        <v>&gt;70%</v>
      </c>
      <c r="O40" t="s">
        <v>115</v>
      </c>
      <c r="P40">
        <f>SUM(DATA_FEBRERO_2025[[#This Row],[1]:[31]])</f>
        <v>12430</v>
      </c>
      <c r="Q40">
        <v>16500</v>
      </c>
      <c r="R40" t="s">
        <v>49</v>
      </c>
      <c r="U40">
        <v>500</v>
      </c>
      <c r="X40">
        <v>250</v>
      </c>
      <c r="Y40">
        <v>600</v>
      </c>
      <c r="AB40">
        <v>350</v>
      </c>
      <c r="AD40">
        <v>1130</v>
      </c>
      <c r="AF40">
        <v>200</v>
      </c>
      <c r="AI40">
        <v>1700</v>
      </c>
      <c r="AL40">
        <v>100</v>
      </c>
      <c r="AP40">
        <v>800</v>
      </c>
      <c r="AQ40">
        <v>1500</v>
      </c>
      <c r="AS40">
        <v>2300</v>
      </c>
      <c r="AT40">
        <v>3000</v>
      </c>
      <c r="AX40" t="s">
        <v>154</v>
      </c>
    </row>
    <row r="41" spans="1:50" x14ac:dyDescent="0.25">
      <c r="A41" t="str">
        <f>D1_FEBRERO_2025[[#This Row],[SUPER2]]</f>
        <v>JORDAN</v>
      </c>
      <c r="B41" t="s">
        <v>79</v>
      </c>
      <c r="C41">
        <f>VLOOKUP(D1_FEBRERO_2025[[#This Row],[SUPER]],DATA_FEBRERO_2025[[SUPERVISOR]:[META]],3,0)</f>
        <v>58000</v>
      </c>
      <c r="D41">
        <f>D1_FEBRERO_2025[[#This Row],[RECUPERO]]/C41</f>
        <v>0.71406017241379305</v>
      </c>
      <c r="E41" t="s">
        <v>5</v>
      </c>
      <c r="F41" t="s">
        <v>79</v>
      </c>
      <c r="G41">
        <v>41415.49</v>
      </c>
      <c r="H41" t="s">
        <v>453</v>
      </c>
      <c r="I41" s="56">
        <v>44566</v>
      </c>
      <c r="J41" t="s">
        <v>501</v>
      </c>
      <c r="L41" s="56"/>
      <c r="M41" s="1">
        <f>DATA_FEBRERO_2025[[#This Row],[RECUPERO]]/DATA_FEBRERO_2025[[#This Row],[META]]</f>
        <v>0.87387272727272736</v>
      </c>
      <c r="N41" t="str" cm="1">
        <f t="array" ref="N41">IF(DATA_FEBRERO_2025[[#This Row],[ASER_]]="","",IFERROR(_xlfn.IFS(M41&gt;=100%,"&gt;100%",AND(M41&lt;100%,M41&gt;=70%),"&gt;70%",AND(M41&lt;70%,M41&gt;=40%),"&gt;40%",AND(M41&lt;40%,M41&gt;=0%),"&gt;0%"),""))</f>
        <v>&gt;70%</v>
      </c>
      <c r="O41" t="s">
        <v>2</v>
      </c>
      <c r="P41">
        <f>SUM(DATA_FEBRERO_2025[[#This Row],[1]:[31]])</f>
        <v>19225.2</v>
      </c>
      <c r="Q41">
        <v>22000</v>
      </c>
      <c r="R41" t="s">
        <v>26</v>
      </c>
      <c r="T41">
        <v>350</v>
      </c>
      <c r="V41">
        <v>1000</v>
      </c>
      <c r="X41">
        <v>200</v>
      </c>
      <c r="Y41">
        <v>3480</v>
      </c>
      <c r="AB41">
        <v>1480</v>
      </c>
      <c r="AC41">
        <v>2300</v>
      </c>
      <c r="AE41">
        <v>410</v>
      </c>
      <c r="AI41">
        <v>400</v>
      </c>
      <c r="AK41">
        <v>200</v>
      </c>
      <c r="AM41">
        <v>4480.2</v>
      </c>
      <c r="AP41">
        <v>230</v>
      </c>
      <c r="AQ41">
        <v>350</v>
      </c>
      <c r="AR41">
        <v>315</v>
      </c>
      <c r="AS41">
        <v>1780</v>
      </c>
      <c r="AT41">
        <v>2250</v>
      </c>
      <c r="AX41" t="s">
        <v>151</v>
      </c>
    </row>
    <row r="42" spans="1:50" x14ac:dyDescent="0.25">
      <c r="A42" t="str">
        <f>D1_FEBRERO_2025[[#This Row],[SUPER2]]</f>
        <v>KENNETH</v>
      </c>
      <c r="B42" t="s">
        <v>118</v>
      </c>
      <c r="C42">
        <f>VLOOKUP(D1_FEBRERO_2025[[#This Row],[SUPER]],DATA_FEBRERO_2025[[SUPERVISOR]:[META]],3,0)</f>
        <v>21000</v>
      </c>
      <c r="D42">
        <f>D1_FEBRERO_2025[[#This Row],[RECUPERO]]/C42</f>
        <v>0.8</v>
      </c>
      <c r="E42" t="s">
        <v>6</v>
      </c>
      <c r="F42" t="s">
        <v>118</v>
      </c>
      <c r="G42">
        <v>16800</v>
      </c>
      <c r="H42" t="s">
        <v>398</v>
      </c>
      <c r="I42" s="56">
        <v>44357</v>
      </c>
      <c r="J42" t="s">
        <v>501</v>
      </c>
      <c r="L42" s="56"/>
      <c r="M42" s="1">
        <f>DATA_FEBRERO_2025[[#This Row],[RECUPERO]]/DATA_FEBRERO_2025[[#This Row],[META]]</f>
        <v>0.42706896551724138</v>
      </c>
      <c r="N42" t="str" cm="1">
        <f t="array" ref="N42">IF(DATA_FEBRERO_2025[[#This Row],[ASER_]]="","",IFERROR(_xlfn.IFS(M42&gt;=100%,"&gt;100%",AND(M42&lt;100%,M42&gt;=70%),"&gt;70%",AND(M42&lt;70%,M42&gt;=40%),"&gt;40%",AND(M42&lt;40%,M42&gt;=0%),"&gt;0%"),""))</f>
        <v>&gt;40%</v>
      </c>
      <c r="O42" t="s">
        <v>5</v>
      </c>
      <c r="P42">
        <f>SUM(DATA_FEBRERO_2025[[#This Row],[1]:[31]])</f>
        <v>24770</v>
      </c>
      <c r="Q42">
        <v>58000</v>
      </c>
      <c r="R42" t="s">
        <v>116</v>
      </c>
      <c r="W42">
        <v>3200</v>
      </c>
      <c r="X42">
        <v>2500</v>
      </c>
      <c r="AC42">
        <v>1250</v>
      </c>
      <c r="AF42">
        <v>9000</v>
      </c>
      <c r="AG42">
        <v>700</v>
      </c>
      <c r="AI42">
        <v>700</v>
      </c>
      <c r="AJ42">
        <v>450</v>
      </c>
      <c r="AM42">
        <v>3000</v>
      </c>
      <c r="AQ42">
        <v>1000</v>
      </c>
      <c r="AT42">
        <v>2970</v>
      </c>
      <c r="AX42" t="s">
        <v>150</v>
      </c>
    </row>
    <row r="43" spans="1:50" x14ac:dyDescent="0.25">
      <c r="A43" t="str">
        <f>D1_FEBRERO_2025[[#This Row],[SUPER2]]</f>
        <v>KENNETH</v>
      </c>
      <c r="B43" t="s">
        <v>19</v>
      </c>
      <c r="C43">
        <f>VLOOKUP(D1_FEBRERO_2025[[#This Row],[SUPER]],DATA_FEBRERO_2025[[SUPERVISOR]:[META]],3,0)</f>
        <v>21000</v>
      </c>
      <c r="D43">
        <f>D1_FEBRERO_2025[[#This Row],[RECUPERO]]/C43</f>
        <v>1.2687533333333334</v>
      </c>
      <c r="E43" t="s">
        <v>6</v>
      </c>
      <c r="F43" t="s">
        <v>19</v>
      </c>
      <c r="G43">
        <v>26643.82</v>
      </c>
      <c r="H43" t="s">
        <v>399</v>
      </c>
      <c r="I43" s="56">
        <v>44673</v>
      </c>
      <c r="J43" t="s">
        <v>501</v>
      </c>
      <c r="L43" s="56"/>
      <c r="M43" s="1">
        <f>DATA_FEBRERO_2025[[#This Row],[RECUPERO]]/DATA_FEBRERO_2025[[#This Row],[META]]</f>
        <v>0.29459575757575757</v>
      </c>
      <c r="N43" t="str" cm="1">
        <f t="array" ref="N43">IF(DATA_FEBRERO_2025[[#This Row],[ASER_]]="","",IFERROR(_xlfn.IFS(M43&gt;=100%,"&gt;100%",AND(M43&lt;100%,M43&gt;=70%),"&gt;70%",AND(M43&lt;70%,M43&gt;=40%),"&gt;40%",AND(M43&lt;40%,M43&gt;=0%),"&gt;0%"),""))</f>
        <v>&gt;0%</v>
      </c>
      <c r="O43" t="s">
        <v>115</v>
      </c>
      <c r="P43">
        <f>SUM(DATA_FEBRERO_2025[[#This Row],[1]:[31]])</f>
        <v>4860.83</v>
      </c>
      <c r="Q43">
        <v>16500</v>
      </c>
      <c r="R43" t="s">
        <v>96</v>
      </c>
      <c r="X43">
        <v>628</v>
      </c>
      <c r="AB43">
        <v>100</v>
      </c>
      <c r="AC43">
        <v>260</v>
      </c>
      <c r="AE43">
        <v>964.82999999999993</v>
      </c>
      <c r="AF43">
        <v>550</v>
      </c>
      <c r="AI43">
        <v>600</v>
      </c>
      <c r="AK43">
        <v>378</v>
      </c>
      <c r="AR43">
        <v>450</v>
      </c>
      <c r="AS43">
        <v>500</v>
      </c>
      <c r="AT43">
        <v>430</v>
      </c>
      <c r="AX43" t="s">
        <v>154</v>
      </c>
    </row>
    <row r="44" spans="1:50" x14ac:dyDescent="0.25">
      <c r="A44" t="str">
        <f>D1_FEBRERO_2025[[#This Row],[SUPER2]]</f>
        <v>KENNETH</v>
      </c>
      <c r="B44" t="s">
        <v>37</v>
      </c>
      <c r="C44">
        <f>VLOOKUP(D1_FEBRERO_2025[[#This Row],[SUPER]],DATA_FEBRERO_2025[[SUPERVISOR]:[META]],3,0)</f>
        <v>21000</v>
      </c>
      <c r="D44">
        <f>D1_FEBRERO_2025[[#This Row],[RECUPERO]]/C44</f>
        <v>0.40904761904761905</v>
      </c>
      <c r="E44" t="s">
        <v>6</v>
      </c>
      <c r="F44" t="s">
        <v>37</v>
      </c>
      <c r="G44">
        <v>8590</v>
      </c>
      <c r="H44" t="s">
        <v>400</v>
      </c>
      <c r="I44" s="56">
        <v>43132</v>
      </c>
      <c r="J44" t="s">
        <v>501</v>
      </c>
      <c r="L44" s="56"/>
      <c r="M44" s="1">
        <f>DATA_FEBRERO_2025[[#This Row],[RECUPERO]]/DATA_FEBRERO_2025[[#This Row],[META]]</f>
        <v>0.2413793103448276</v>
      </c>
      <c r="N44" t="str" cm="1">
        <f t="array" ref="N44">IF(DATA_FEBRERO_2025[[#This Row],[ASER_]]="","",IFERROR(_xlfn.IFS(M44&gt;=100%,"&gt;100%",AND(M44&lt;100%,M44&gt;=70%),"&gt;70%",AND(M44&lt;70%,M44&gt;=40%),"&gt;40%",AND(M44&lt;40%,M44&gt;=0%),"&gt;0%"),""))</f>
        <v>&gt;0%</v>
      </c>
      <c r="O44" t="s">
        <v>4</v>
      </c>
      <c r="P44">
        <f>SUM(DATA_FEBRERO_2025[[#This Row],[1]:[31]])</f>
        <v>14000</v>
      </c>
      <c r="Q44">
        <v>58000</v>
      </c>
      <c r="R44" t="s">
        <v>20</v>
      </c>
      <c r="V44">
        <v>590</v>
      </c>
      <c r="AF44">
        <v>8000</v>
      </c>
      <c r="AI44">
        <v>800</v>
      </c>
      <c r="AK44">
        <v>3000</v>
      </c>
      <c r="AP44">
        <v>510</v>
      </c>
      <c r="AQ44">
        <v>300</v>
      </c>
      <c r="AT44">
        <v>800</v>
      </c>
      <c r="AX44" t="s">
        <v>150</v>
      </c>
    </row>
    <row r="45" spans="1:50" x14ac:dyDescent="0.25">
      <c r="A45" t="str">
        <f>D1_FEBRERO_2025[[#This Row],[SUPER2]]</f>
        <v>KENNETH</v>
      </c>
      <c r="B45" t="s">
        <v>35</v>
      </c>
      <c r="C45">
        <f>VLOOKUP(D1_FEBRERO_2025[[#This Row],[SUPER]],DATA_FEBRERO_2025[[SUPERVISOR]:[META]],3,0)</f>
        <v>21000</v>
      </c>
      <c r="D45">
        <f>D1_FEBRERO_2025[[#This Row],[RECUPERO]]/C45</f>
        <v>0.3638095238095238</v>
      </c>
      <c r="E45" t="s">
        <v>6</v>
      </c>
      <c r="F45" t="s">
        <v>35</v>
      </c>
      <c r="G45">
        <v>7640</v>
      </c>
      <c r="H45" t="s">
        <v>401</v>
      </c>
      <c r="I45" s="56">
        <v>44748</v>
      </c>
      <c r="J45" t="s">
        <v>501</v>
      </c>
      <c r="L45" s="56"/>
      <c r="M45" s="1">
        <f>DATA_FEBRERO_2025[[#This Row],[RECUPERO]]/DATA_FEBRERO_2025[[#This Row],[META]]</f>
        <v>0.40904761904761905</v>
      </c>
      <c r="N45" t="str" cm="1">
        <f t="array" ref="N45">IF(DATA_FEBRERO_2025[[#This Row],[ASER_]]="","",IFERROR(_xlfn.IFS(M45&gt;=100%,"&gt;100%",AND(M45&lt;100%,M45&gt;=70%),"&gt;70%",AND(M45&lt;70%,M45&gt;=40%),"&gt;40%",AND(M45&lt;40%,M45&gt;=0%),"&gt;0%"),""))</f>
        <v>&gt;40%</v>
      </c>
      <c r="O45" t="s">
        <v>6</v>
      </c>
      <c r="P45">
        <f>SUM(DATA_FEBRERO_2025[[#This Row],[1]:[31]])</f>
        <v>8590</v>
      </c>
      <c r="Q45">
        <v>21000</v>
      </c>
      <c r="R45" t="s">
        <v>37</v>
      </c>
      <c r="V45">
        <v>500</v>
      </c>
      <c r="W45">
        <v>700</v>
      </c>
      <c r="AJ45">
        <v>600</v>
      </c>
      <c r="AK45">
        <v>5000</v>
      </c>
      <c r="AL45">
        <v>500</v>
      </c>
      <c r="AM45">
        <v>900</v>
      </c>
      <c r="AP45">
        <v>240</v>
      </c>
      <c r="AT45">
        <v>150</v>
      </c>
      <c r="AX45" t="s">
        <v>152</v>
      </c>
    </row>
    <row r="46" spans="1:50" x14ac:dyDescent="0.25">
      <c r="A46" t="str">
        <f>D1_FEBRERO_2025[[#This Row],[SUPER2]]</f>
        <v>KENNETH</v>
      </c>
      <c r="B46" t="s">
        <v>31</v>
      </c>
      <c r="C46">
        <f>VLOOKUP(D1_FEBRERO_2025[[#This Row],[SUPER]],DATA_FEBRERO_2025[[SUPERVISOR]:[META]],3,0)</f>
        <v>21000</v>
      </c>
      <c r="D46">
        <f>D1_FEBRERO_2025[[#This Row],[RECUPERO]]/C46</f>
        <v>0.77047619047619043</v>
      </c>
      <c r="E46" t="s">
        <v>6</v>
      </c>
      <c r="F46" t="s">
        <v>31</v>
      </c>
      <c r="G46">
        <v>16180</v>
      </c>
      <c r="H46" t="s">
        <v>403</v>
      </c>
      <c r="I46" s="56">
        <v>45334</v>
      </c>
      <c r="J46" t="s">
        <v>501</v>
      </c>
      <c r="L46" s="56"/>
      <c r="M46" s="1">
        <f>DATA_FEBRERO_2025[[#This Row],[RECUPERO]]/DATA_FEBRERO_2025[[#This Row],[META]]</f>
        <v>0.44837931034482759</v>
      </c>
      <c r="N46" t="str" cm="1">
        <f t="array" ref="N46">IF(DATA_FEBRERO_2025[[#This Row],[ASER_]]="","",IFERROR(_xlfn.IFS(M46&gt;=100%,"&gt;100%",AND(M46&lt;100%,M46&gt;=70%),"&gt;70%",AND(M46&lt;70%,M46&gt;=40%),"&gt;40%",AND(M46&lt;40%,M46&gt;=0%),"&gt;0%"),""))</f>
        <v>&gt;40%</v>
      </c>
      <c r="O46" t="s">
        <v>5</v>
      </c>
      <c r="P46">
        <f>SUM(DATA_FEBRERO_2025[[#This Row],[1]:[31]])</f>
        <v>26006</v>
      </c>
      <c r="Q46">
        <v>58000</v>
      </c>
      <c r="R46" t="s">
        <v>106</v>
      </c>
      <c r="U46">
        <v>2100</v>
      </c>
      <c r="V46">
        <v>600</v>
      </c>
      <c r="AB46">
        <v>1660</v>
      </c>
      <c r="AF46">
        <v>740</v>
      </c>
      <c r="AG46">
        <v>475</v>
      </c>
      <c r="AI46">
        <v>600</v>
      </c>
      <c r="AJ46">
        <v>6000</v>
      </c>
      <c r="AM46">
        <v>370</v>
      </c>
      <c r="AN46">
        <v>261</v>
      </c>
      <c r="AP46">
        <v>1000</v>
      </c>
      <c r="AQ46">
        <v>850</v>
      </c>
      <c r="AR46">
        <v>7700</v>
      </c>
      <c r="AT46">
        <v>3650</v>
      </c>
      <c r="AX46" t="s">
        <v>150</v>
      </c>
    </row>
    <row r="47" spans="1:50" x14ac:dyDescent="0.25">
      <c r="A47" t="str">
        <f>D1_FEBRERO_2025[[#This Row],[SUPER2]]</f>
        <v>KENNETH</v>
      </c>
      <c r="B47" t="s">
        <v>110</v>
      </c>
      <c r="C47">
        <f>VLOOKUP(D1_FEBRERO_2025[[#This Row],[SUPER]],DATA_FEBRERO_2025[[SUPERVISOR]:[META]],3,0)</f>
        <v>21000</v>
      </c>
      <c r="D47">
        <f>D1_FEBRERO_2025[[#This Row],[RECUPERO]]/C47</f>
        <v>0.38476190476190475</v>
      </c>
      <c r="E47" t="s">
        <v>6</v>
      </c>
      <c r="F47" t="s">
        <v>110</v>
      </c>
      <c r="G47">
        <v>8080</v>
      </c>
      <c r="H47" t="s">
        <v>454</v>
      </c>
      <c r="I47" s="56">
        <v>44993</v>
      </c>
      <c r="J47" t="s">
        <v>501</v>
      </c>
      <c r="L47" s="56"/>
      <c r="M47" s="1">
        <f>DATA_FEBRERO_2025[[#This Row],[RECUPERO]]/DATA_FEBRERO_2025[[#This Row],[META]]</f>
        <v>0.49286363636363634</v>
      </c>
      <c r="N47" t="str" cm="1">
        <f t="array" ref="N47">IF(DATA_FEBRERO_2025[[#This Row],[ASER_]]="","",IFERROR(_xlfn.IFS(M47&gt;=100%,"&gt;100%",AND(M47&lt;100%,M47&gt;=70%),"&gt;70%",AND(M47&lt;70%,M47&gt;=40%),"&gt;40%",AND(M47&lt;40%,M47&gt;=0%),"&gt;0%"),""))</f>
        <v>&gt;40%</v>
      </c>
      <c r="O47" t="s">
        <v>2</v>
      </c>
      <c r="P47">
        <f>SUM(DATA_FEBRERO_2025[[#This Row],[1]:[31]])</f>
        <v>10843</v>
      </c>
      <c r="Q47">
        <v>22000</v>
      </c>
      <c r="R47" t="s">
        <v>77</v>
      </c>
      <c r="V47">
        <v>732</v>
      </c>
      <c r="W47">
        <v>526</v>
      </c>
      <c r="X47">
        <v>5000</v>
      </c>
      <c r="AC47">
        <v>780</v>
      </c>
      <c r="AF47">
        <v>328</v>
      </c>
      <c r="AP47">
        <v>220</v>
      </c>
      <c r="AQ47">
        <v>950</v>
      </c>
      <c r="AR47">
        <v>300</v>
      </c>
      <c r="AS47">
        <v>650</v>
      </c>
      <c r="AT47">
        <v>1357</v>
      </c>
      <c r="AX47" t="s">
        <v>151</v>
      </c>
    </row>
    <row r="48" spans="1:50" x14ac:dyDescent="0.25">
      <c r="A48" t="str">
        <f>D1_FEBRERO_2025[[#This Row],[SUPER2]]</f>
        <v>KENNETH</v>
      </c>
      <c r="B48" t="s">
        <v>119</v>
      </c>
      <c r="C48">
        <f>VLOOKUP(D1_FEBRERO_2025[[#This Row],[SUPER]],DATA_FEBRERO_2025[[SUPERVISOR]:[META]],3,0)</f>
        <v>21000</v>
      </c>
      <c r="D48">
        <f>D1_FEBRERO_2025[[#This Row],[RECUPERO]]/C48</f>
        <v>0.14345238095238094</v>
      </c>
      <c r="E48" t="s">
        <v>6</v>
      </c>
      <c r="F48" t="s">
        <v>119</v>
      </c>
      <c r="G48">
        <v>3012.5</v>
      </c>
      <c r="H48" t="s">
        <v>404</v>
      </c>
      <c r="I48" s="56">
        <v>45441</v>
      </c>
      <c r="J48" t="s">
        <v>501</v>
      </c>
      <c r="L48" s="56"/>
      <c r="M48" s="1">
        <f>DATA_FEBRERO_2025[[#This Row],[RECUPERO]]/DATA_FEBRERO_2025[[#This Row],[META]]</f>
        <v>0.3638095238095238</v>
      </c>
      <c r="N48" t="str" cm="1">
        <f t="array" ref="N48">IF(DATA_FEBRERO_2025[[#This Row],[ASER_]]="","",IFERROR(_xlfn.IFS(M48&gt;=100%,"&gt;100%",AND(M48&lt;100%,M48&gt;=70%),"&gt;70%",AND(M48&lt;70%,M48&gt;=40%),"&gt;40%",AND(M48&lt;40%,M48&gt;=0%),"&gt;0%"),""))</f>
        <v>&gt;0%</v>
      </c>
      <c r="O48" t="s">
        <v>6</v>
      </c>
      <c r="P48">
        <f>SUM(DATA_FEBRERO_2025[[#This Row],[1]:[31]])</f>
        <v>7640</v>
      </c>
      <c r="Q48">
        <v>21000</v>
      </c>
      <c r="R48" t="s">
        <v>35</v>
      </c>
      <c r="U48">
        <v>400</v>
      </c>
      <c r="V48">
        <v>1200</v>
      </c>
      <c r="Y48">
        <v>100</v>
      </c>
      <c r="AB48">
        <v>2600</v>
      </c>
      <c r="AF48">
        <v>290</v>
      </c>
      <c r="AI48">
        <v>400</v>
      </c>
      <c r="AJ48">
        <v>1400</v>
      </c>
      <c r="AS48">
        <v>300</v>
      </c>
      <c r="AT48">
        <v>950</v>
      </c>
      <c r="AX48" t="s">
        <v>152</v>
      </c>
    </row>
    <row r="49" spans="1:50" x14ac:dyDescent="0.25">
      <c r="A49" t="str">
        <f>D1_FEBRERO_2025[[#This Row],[SUPER2]]</f>
        <v>KENNETH</v>
      </c>
      <c r="B49" t="s">
        <v>120</v>
      </c>
      <c r="C49">
        <f>VLOOKUP(D1_FEBRERO_2025[[#This Row],[SUPER]],DATA_FEBRERO_2025[[SUPERVISOR]:[META]],3,0)</f>
        <v>21000</v>
      </c>
      <c r="D49">
        <f>D1_FEBRERO_2025[[#This Row],[RECUPERO]]/C49</f>
        <v>1.5892857142857142</v>
      </c>
      <c r="E49" t="s">
        <v>6</v>
      </c>
      <c r="F49" t="s">
        <v>120</v>
      </c>
      <c r="G49">
        <v>33375</v>
      </c>
      <c r="H49" t="s">
        <v>405</v>
      </c>
      <c r="I49" s="56">
        <v>45471</v>
      </c>
      <c r="J49" t="s">
        <v>501</v>
      </c>
      <c r="L49" s="56"/>
      <c r="M49" s="1">
        <f>DATA_FEBRERO_2025[[#This Row],[RECUPERO]]/DATA_FEBRERO_2025[[#This Row],[META]]</f>
        <v>0.1</v>
      </c>
      <c r="N49" t="str" cm="1">
        <f t="array" ref="N49">IF(DATA_FEBRERO_2025[[#This Row],[ASER_]]="","",IFERROR(_xlfn.IFS(M49&gt;=100%,"&gt;100%",AND(M49&lt;100%,M49&gt;=70%),"&gt;70%",AND(M49&lt;70%,M49&gt;=40%),"&gt;40%",AND(M49&lt;40%,M49&gt;=0%),"&gt;0%"),""))</f>
        <v>&gt;0%</v>
      </c>
      <c r="O49" t="s">
        <v>2</v>
      </c>
      <c r="P49">
        <f>SUM(DATA_FEBRERO_2025[[#This Row],[1]:[31]])</f>
        <v>2200</v>
      </c>
      <c r="Q49">
        <v>22000</v>
      </c>
      <c r="R49" t="s">
        <v>46</v>
      </c>
      <c r="U49">
        <v>500</v>
      </c>
      <c r="Y49">
        <v>350</v>
      </c>
      <c r="Z49">
        <v>300</v>
      </c>
      <c r="AB49">
        <v>1050</v>
      </c>
      <c r="AX49" t="s">
        <v>151</v>
      </c>
    </row>
    <row r="50" spans="1:50" x14ac:dyDescent="0.25">
      <c r="A50" t="str">
        <f>D1_FEBRERO_2025[[#This Row],[SUPER2]]</f>
        <v>KENNETH</v>
      </c>
      <c r="B50" t="s">
        <v>64</v>
      </c>
      <c r="C50">
        <f>VLOOKUP(D1_FEBRERO_2025[[#This Row],[SUPER]],DATA_FEBRERO_2025[[SUPERVISOR]:[META]],3,0)</f>
        <v>21000</v>
      </c>
      <c r="D50">
        <f>D1_FEBRERO_2025[[#This Row],[RECUPERO]]/C50</f>
        <v>0.38571428571428573</v>
      </c>
      <c r="E50" t="s">
        <v>6</v>
      </c>
      <c r="F50" t="s">
        <v>64</v>
      </c>
      <c r="G50">
        <v>8100</v>
      </c>
      <c r="H50" t="s">
        <v>455</v>
      </c>
      <c r="I50" s="56">
        <v>45700</v>
      </c>
      <c r="J50" t="s">
        <v>501</v>
      </c>
      <c r="L50" s="56"/>
      <c r="M50" s="1">
        <f>DATA_FEBRERO_2025[[#This Row],[RECUPERO]]/DATA_FEBRERO_2025[[#This Row],[META]]</f>
        <v>0.4498060606060606</v>
      </c>
      <c r="N50" t="str" cm="1">
        <f t="array" ref="N50">IF(DATA_FEBRERO_2025[[#This Row],[ASER_]]="","",IFERROR(_xlfn.IFS(M50&gt;=100%,"&gt;100%",AND(M50&lt;100%,M50&gt;=70%),"&gt;70%",AND(M50&lt;70%,M50&gt;=40%),"&gt;40%",AND(M50&lt;40%,M50&gt;=0%),"&gt;0%"),""))</f>
        <v>&gt;40%</v>
      </c>
      <c r="O50" t="s">
        <v>115</v>
      </c>
      <c r="P50">
        <f>SUM(DATA_FEBRERO_2025[[#This Row],[1]:[31]])</f>
        <v>7421.8</v>
      </c>
      <c r="Q50">
        <v>16500</v>
      </c>
      <c r="R50" t="s">
        <v>33</v>
      </c>
      <c r="U50">
        <v>0</v>
      </c>
      <c r="W50">
        <v>450</v>
      </c>
      <c r="X50">
        <v>140</v>
      </c>
      <c r="Y50">
        <v>1610</v>
      </c>
      <c r="AF50">
        <v>200</v>
      </c>
      <c r="AI50">
        <v>700</v>
      </c>
      <c r="AK50">
        <v>180</v>
      </c>
      <c r="AL50">
        <v>150</v>
      </c>
      <c r="AN50">
        <v>108.4</v>
      </c>
      <c r="AQ50">
        <v>100</v>
      </c>
      <c r="AR50">
        <v>583.4</v>
      </c>
      <c r="AS50">
        <v>100</v>
      </c>
      <c r="AT50">
        <v>3100</v>
      </c>
      <c r="AX50" t="s">
        <v>154</v>
      </c>
    </row>
    <row r="51" spans="1:50" x14ac:dyDescent="0.25">
      <c r="A51" t="str">
        <f>D1_FEBRERO_2025[[#This Row],[SUPER2]]</f>
        <v>KENNETH</v>
      </c>
      <c r="B51" t="s">
        <v>34</v>
      </c>
      <c r="C51">
        <f>VLOOKUP(D1_FEBRERO_2025[[#This Row],[SUPER]],DATA_FEBRERO_2025[[SUPERVISOR]:[META]],3,0)</f>
        <v>21000</v>
      </c>
      <c r="D51">
        <f>D1_FEBRERO_2025[[#This Row],[RECUPERO]]/C51</f>
        <v>0.97723809523809524</v>
      </c>
      <c r="E51" t="s">
        <v>6</v>
      </c>
      <c r="F51" t="s">
        <v>34</v>
      </c>
      <c r="G51">
        <v>20522</v>
      </c>
      <c r="H51" t="s">
        <v>407</v>
      </c>
      <c r="I51" s="56">
        <v>45175</v>
      </c>
      <c r="J51" t="s">
        <v>501</v>
      </c>
      <c r="L51" s="56"/>
      <c r="M51" s="1">
        <f>DATA_FEBRERO_2025[[#This Row],[RECUPERO]]/DATA_FEBRERO_2025[[#This Row],[META]]</f>
        <v>1.9456465517241379</v>
      </c>
      <c r="N51" t="str" cm="1">
        <f t="array" ref="N51">IF(DATA_FEBRERO_2025[[#This Row],[ASER_]]="","",IFERROR(_xlfn.IFS(M51&gt;=100%,"&gt;100%",AND(M51&lt;100%,M51&gt;=70%),"&gt;70%",AND(M51&lt;70%,M51&gt;=40%),"&gt;40%",AND(M51&lt;40%,M51&gt;=0%),"&gt;0%"),""))</f>
        <v>&gt;100%</v>
      </c>
      <c r="O51" t="s">
        <v>3</v>
      </c>
      <c r="P51">
        <f>SUM(DATA_FEBRERO_2025[[#This Row],[1]:[31]])</f>
        <v>112847.5</v>
      </c>
      <c r="Q51">
        <v>58000</v>
      </c>
      <c r="R51" t="s">
        <v>23</v>
      </c>
      <c r="S51">
        <v>3605</v>
      </c>
      <c r="U51">
        <v>687</v>
      </c>
      <c r="W51">
        <v>28100</v>
      </c>
      <c r="X51">
        <v>1000</v>
      </c>
      <c r="AB51">
        <v>385</v>
      </c>
      <c r="AE51">
        <v>2050</v>
      </c>
      <c r="AF51">
        <v>1045</v>
      </c>
      <c r="AG51">
        <v>368</v>
      </c>
      <c r="AH51">
        <v>326</v>
      </c>
      <c r="AI51">
        <v>4750</v>
      </c>
      <c r="AJ51">
        <v>2000</v>
      </c>
      <c r="AK51">
        <v>595</v>
      </c>
      <c r="AL51">
        <v>5700</v>
      </c>
      <c r="AM51">
        <v>21000</v>
      </c>
      <c r="AN51">
        <v>1600</v>
      </c>
      <c r="AP51">
        <v>428.5</v>
      </c>
      <c r="AQ51">
        <v>13068</v>
      </c>
      <c r="AS51">
        <v>556</v>
      </c>
      <c r="AT51">
        <v>25584</v>
      </c>
      <c r="AX51" t="s">
        <v>150</v>
      </c>
    </row>
    <row r="52" spans="1:50" x14ac:dyDescent="0.25">
      <c r="A52" t="str">
        <f>D1_FEBRERO_2025[[#This Row],[SUPER2]]</f>
        <v>MELITA</v>
      </c>
      <c r="B52" t="s">
        <v>18</v>
      </c>
      <c r="C52">
        <f>VLOOKUP(D1_FEBRERO_2025[[#This Row],[SUPER]],DATA_FEBRERO_2025[[SUPERVISOR]:[META]],3,0)</f>
        <v>16500</v>
      </c>
      <c r="D52">
        <f>D1_FEBRERO_2025[[#This Row],[RECUPERO]]/C52</f>
        <v>1.1286060606060606</v>
      </c>
      <c r="E52" t="s">
        <v>115</v>
      </c>
      <c r="F52" t="s">
        <v>18</v>
      </c>
      <c r="G52">
        <v>18622</v>
      </c>
      <c r="H52" t="s">
        <v>431</v>
      </c>
      <c r="I52" s="56">
        <v>45133</v>
      </c>
      <c r="J52" t="s">
        <v>501</v>
      </c>
      <c r="L52" s="56"/>
      <c r="M52" s="1">
        <f>DATA_FEBRERO_2025[[#This Row],[RECUPERO]]/DATA_FEBRERO_2025[[#This Row],[META]]</f>
        <v>0.66487878787878785</v>
      </c>
      <c r="N52" t="str" cm="1">
        <f t="array" ref="N52">IF(DATA_FEBRERO_2025[[#This Row],[ASER_]]="","",IFERROR(_xlfn.IFS(M52&gt;=100%,"&gt;100%",AND(M52&lt;100%,M52&gt;=70%),"&gt;70%",AND(M52&lt;70%,M52&gt;=40%),"&gt;40%",AND(M52&lt;40%,M52&gt;=0%),"&gt;0%"),""))</f>
        <v>&gt;40%</v>
      </c>
      <c r="O52" t="s">
        <v>115</v>
      </c>
      <c r="P52">
        <f>SUM(DATA_FEBRERO_2025[[#This Row],[1]:[31]])</f>
        <v>10970.5</v>
      </c>
      <c r="Q52">
        <v>16500</v>
      </c>
      <c r="R52" t="s">
        <v>68</v>
      </c>
      <c r="V52">
        <v>500</v>
      </c>
      <c r="AC52">
        <v>100</v>
      </c>
      <c r="AF52">
        <v>400</v>
      </c>
      <c r="AI52">
        <v>1496</v>
      </c>
      <c r="AJ52">
        <v>100</v>
      </c>
      <c r="AK52">
        <v>1000</v>
      </c>
      <c r="AL52">
        <v>187.5</v>
      </c>
      <c r="AM52">
        <v>272</v>
      </c>
      <c r="AN52">
        <v>100</v>
      </c>
      <c r="AQ52">
        <v>529</v>
      </c>
      <c r="AR52">
        <v>1855</v>
      </c>
      <c r="AT52">
        <v>4431</v>
      </c>
      <c r="AX52" t="s">
        <v>154</v>
      </c>
    </row>
    <row r="53" spans="1:50" x14ac:dyDescent="0.25">
      <c r="A53" t="str">
        <f>D1_FEBRERO_2025[[#This Row],[SUPER2]]</f>
        <v>MELITA</v>
      </c>
      <c r="B53" t="s">
        <v>14</v>
      </c>
      <c r="C53">
        <f>VLOOKUP(D1_FEBRERO_2025[[#This Row],[SUPER]],DATA_FEBRERO_2025[[SUPERVISOR]:[META]],3,0)</f>
        <v>16500</v>
      </c>
      <c r="D53">
        <f>D1_FEBRERO_2025[[#This Row],[RECUPERO]]/C53</f>
        <v>1.1507878787878787</v>
      </c>
      <c r="E53" t="s">
        <v>115</v>
      </c>
      <c r="F53" t="s">
        <v>14</v>
      </c>
      <c r="G53">
        <v>18988</v>
      </c>
      <c r="H53" t="s">
        <v>432</v>
      </c>
      <c r="I53" s="56">
        <v>45133</v>
      </c>
      <c r="J53" t="s">
        <v>501</v>
      </c>
      <c r="L53" s="56"/>
      <c r="M53" s="1">
        <f>DATA_FEBRERO_2025[[#This Row],[RECUPERO]]/DATA_FEBRERO_2025[[#This Row],[META]]</f>
        <v>0.77047619047619043</v>
      </c>
      <c r="N53" t="str" cm="1">
        <f t="array" ref="N53">IF(DATA_FEBRERO_2025[[#This Row],[ASER_]]="","",IFERROR(_xlfn.IFS(M53&gt;=100%,"&gt;100%",AND(M53&lt;100%,M53&gt;=70%),"&gt;70%",AND(M53&lt;70%,M53&gt;=40%),"&gt;40%",AND(M53&lt;40%,M53&gt;=0%),"&gt;0%"),""))</f>
        <v>&gt;70%</v>
      </c>
      <c r="O53" t="s">
        <v>6</v>
      </c>
      <c r="P53">
        <f>SUM(DATA_FEBRERO_2025[[#This Row],[1]:[31]])</f>
        <v>16180</v>
      </c>
      <c r="Q53">
        <v>21000</v>
      </c>
      <c r="R53" t="s">
        <v>31</v>
      </c>
      <c r="W53">
        <v>1000</v>
      </c>
      <c r="Y53">
        <v>1600</v>
      </c>
      <c r="AE53">
        <v>250</v>
      </c>
      <c r="AF53">
        <v>500</v>
      </c>
      <c r="AG53">
        <v>500</v>
      </c>
      <c r="AI53">
        <v>2500</v>
      </c>
      <c r="AJ53">
        <v>5000</v>
      </c>
      <c r="AS53">
        <v>4580</v>
      </c>
      <c r="AT53">
        <v>250</v>
      </c>
      <c r="AX53" t="s">
        <v>152</v>
      </c>
    </row>
    <row r="54" spans="1:50" x14ac:dyDescent="0.25">
      <c r="A54" t="str">
        <f>D1_FEBRERO_2025[[#This Row],[SUPER2]]</f>
        <v>MELITA</v>
      </c>
      <c r="B54" t="s">
        <v>104</v>
      </c>
      <c r="C54">
        <f>VLOOKUP(D1_FEBRERO_2025[[#This Row],[SUPER]],DATA_FEBRERO_2025[[SUPERVISOR]:[META]],3,0)</f>
        <v>16500</v>
      </c>
      <c r="D54">
        <f>D1_FEBRERO_2025[[#This Row],[RECUPERO]]/C54</f>
        <v>0.1672121212121212</v>
      </c>
      <c r="E54" t="s">
        <v>115</v>
      </c>
      <c r="F54" t="s">
        <v>104</v>
      </c>
      <c r="G54">
        <v>2759</v>
      </c>
      <c r="H54" t="s">
        <v>456</v>
      </c>
      <c r="I54" s="56">
        <v>44104</v>
      </c>
      <c r="J54" t="s">
        <v>501</v>
      </c>
      <c r="L54" s="56"/>
      <c r="M54" s="1">
        <f>DATA_FEBRERO_2025[[#This Row],[RECUPERO]]/DATA_FEBRERO_2025[[#This Row],[META]]</f>
        <v>0.4911224137931034</v>
      </c>
      <c r="N54" t="str" cm="1">
        <f t="array" ref="N54">IF(DATA_FEBRERO_2025[[#This Row],[ASER_]]="","",IFERROR(_xlfn.IFS(M54&gt;=100%,"&gt;100%",AND(M54&lt;100%,M54&gt;=70%),"&gt;70%",AND(M54&lt;70%,M54&gt;=40%),"&gt;40%",AND(M54&lt;40%,M54&gt;=0%),"&gt;0%"),""))</f>
        <v>&gt;40%</v>
      </c>
      <c r="O54" t="s">
        <v>4</v>
      </c>
      <c r="P54">
        <f>SUM(DATA_FEBRERO_2025[[#This Row],[1]:[31]])</f>
        <v>28485.1</v>
      </c>
      <c r="Q54">
        <v>58000</v>
      </c>
      <c r="R54" t="s">
        <v>29</v>
      </c>
      <c r="S54">
        <v>320</v>
      </c>
      <c r="AE54">
        <v>1500</v>
      </c>
      <c r="AF54">
        <v>1200</v>
      </c>
      <c r="AG54">
        <v>0</v>
      </c>
      <c r="AI54">
        <v>5900</v>
      </c>
      <c r="AJ54">
        <v>2000</v>
      </c>
      <c r="AK54">
        <v>1170.0999999999999</v>
      </c>
      <c r="AL54">
        <v>5000</v>
      </c>
      <c r="AM54">
        <v>1500</v>
      </c>
      <c r="AQ54">
        <v>6700</v>
      </c>
      <c r="AR54">
        <v>1000</v>
      </c>
      <c r="AS54">
        <v>335</v>
      </c>
      <c r="AT54">
        <v>1860</v>
      </c>
      <c r="AX54" t="s">
        <v>150</v>
      </c>
    </row>
    <row r="55" spans="1:50" x14ac:dyDescent="0.25">
      <c r="A55" t="str">
        <f>D1_FEBRERO_2025[[#This Row],[SUPER2]]</f>
        <v>MELITA</v>
      </c>
      <c r="B55" t="s">
        <v>80</v>
      </c>
      <c r="C55">
        <f>VLOOKUP(D1_FEBRERO_2025[[#This Row],[SUPER]],DATA_FEBRERO_2025[[SUPERVISOR]:[META]],3,0)</f>
        <v>16500</v>
      </c>
      <c r="D55">
        <f>D1_FEBRERO_2025[[#This Row],[RECUPERO]]/C55</f>
        <v>1.2287878787878788</v>
      </c>
      <c r="E55" t="s">
        <v>115</v>
      </c>
      <c r="F55" t="s">
        <v>80</v>
      </c>
      <c r="G55">
        <v>20275</v>
      </c>
      <c r="H55" t="s">
        <v>433</v>
      </c>
      <c r="I55" s="56">
        <v>45285</v>
      </c>
      <c r="J55" t="s">
        <v>501</v>
      </c>
      <c r="L55" s="56"/>
      <c r="M55" s="1">
        <f>DATA_FEBRERO_2025[[#This Row],[RECUPERO]]/DATA_FEBRERO_2025[[#This Row],[META]]</f>
        <v>0.74561904761904763</v>
      </c>
      <c r="N55" t="str" cm="1">
        <f t="array" ref="N55">IF(DATA_FEBRERO_2025[[#This Row],[ASER_]]="","",IFERROR(_xlfn.IFS(M55&gt;=100%,"&gt;100%",AND(M55&lt;100%,M55&gt;=70%),"&gt;70%",AND(M55&lt;70%,M55&gt;=40%),"&gt;40%",AND(M55&lt;40%,M55&gt;=0%),"&gt;0%"),""))</f>
        <v>&gt;70%</v>
      </c>
      <c r="O55" t="s">
        <v>9</v>
      </c>
      <c r="P55">
        <f>SUM(DATA_FEBRERO_2025[[#This Row],[1]:[31]])</f>
        <v>15658</v>
      </c>
      <c r="Q55">
        <v>21000</v>
      </c>
      <c r="R55" t="s">
        <v>121</v>
      </c>
      <c r="U55">
        <v>200</v>
      </c>
      <c r="W55">
        <v>300</v>
      </c>
      <c r="Y55">
        <v>180</v>
      </c>
      <c r="AD55">
        <v>160</v>
      </c>
      <c r="AF55">
        <v>5351</v>
      </c>
      <c r="AI55">
        <v>900</v>
      </c>
      <c r="AJ55">
        <v>200</v>
      </c>
      <c r="AK55">
        <v>180</v>
      </c>
      <c r="AL55">
        <v>2000</v>
      </c>
      <c r="AN55">
        <v>682</v>
      </c>
      <c r="AP55">
        <v>2200</v>
      </c>
      <c r="AR55">
        <v>602</v>
      </c>
      <c r="AS55">
        <v>750</v>
      </c>
      <c r="AT55">
        <v>1953</v>
      </c>
      <c r="AX55" t="s">
        <v>153</v>
      </c>
    </row>
    <row r="56" spans="1:50" x14ac:dyDescent="0.25">
      <c r="A56" t="str">
        <f>D1_FEBRERO_2025[[#This Row],[SUPER2]]</f>
        <v>MELITA</v>
      </c>
      <c r="B56" t="s">
        <v>24</v>
      </c>
      <c r="C56">
        <f>VLOOKUP(D1_FEBRERO_2025[[#This Row],[SUPER]],DATA_FEBRERO_2025[[SUPERVISOR]:[META]],3,0)</f>
        <v>16500</v>
      </c>
      <c r="D56">
        <f>D1_FEBRERO_2025[[#This Row],[RECUPERO]]/C56</f>
        <v>0.48145454545454547</v>
      </c>
      <c r="E56" t="s">
        <v>115</v>
      </c>
      <c r="F56" t="s">
        <v>24</v>
      </c>
      <c r="G56">
        <v>7944</v>
      </c>
      <c r="H56" t="s">
        <v>434</v>
      </c>
      <c r="I56" s="56">
        <v>45334</v>
      </c>
      <c r="J56" t="s">
        <v>501</v>
      </c>
      <c r="L56" s="56"/>
      <c r="M56" s="1">
        <f>DATA_FEBRERO_2025[[#This Row],[RECUPERO]]/DATA_FEBRERO_2025[[#This Row],[META]]</f>
        <v>0.38476190476190475</v>
      </c>
      <c r="N56" t="str" cm="1">
        <f t="array" ref="N56">IF(DATA_FEBRERO_2025[[#This Row],[ASER_]]="","",IFERROR(_xlfn.IFS(M56&gt;=100%,"&gt;100%",AND(M56&lt;100%,M56&gt;=70%),"&gt;70%",AND(M56&lt;70%,M56&gt;=40%),"&gt;40%",AND(M56&lt;40%,M56&gt;=0%),"&gt;0%"),""))</f>
        <v>&gt;0%</v>
      </c>
      <c r="O56" t="s">
        <v>6</v>
      </c>
      <c r="P56">
        <f>SUM(DATA_FEBRERO_2025[[#This Row],[1]:[31]])</f>
        <v>8080</v>
      </c>
      <c r="Q56">
        <v>21000</v>
      </c>
      <c r="R56" t="s">
        <v>110</v>
      </c>
      <c r="AE56">
        <v>380</v>
      </c>
      <c r="AI56">
        <v>5000</v>
      </c>
      <c r="AK56">
        <v>2300</v>
      </c>
      <c r="AQ56">
        <v>400</v>
      </c>
      <c r="AX56" t="s">
        <v>152</v>
      </c>
    </row>
    <row r="57" spans="1:50" x14ac:dyDescent="0.25">
      <c r="A57" t="str">
        <f>D1_FEBRERO_2025[[#This Row],[SUPER2]]</f>
        <v>MELITA</v>
      </c>
      <c r="B57" t="s">
        <v>83</v>
      </c>
      <c r="C57">
        <f>VLOOKUP(D1_FEBRERO_2025[[#This Row],[SUPER]],DATA_FEBRERO_2025[[SUPERVISOR]:[META]],3,0)</f>
        <v>16500</v>
      </c>
      <c r="D57">
        <f>D1_FEBRERO_2025[[#This Row],[RECUPERO]]/C57</f>
        <v>0.41769696969696968</v>
      </c>
      <c r="E57" t="s">
        <v>115</v>
      </c>
      <c r="F57" t="s">
        <v>83</v>
      </c>
      <c r="G57">
        <v>6892</v>
      </c>
      <c r="H57" t="s">
        <v>435</v>
      </c>
      <c r="I57" s="56">
        <v>44937</v>
      </c>
      <c r="J57" t="s">
        <v>501</v>
      </c>
      <c r="L57" s="56"/>
      <c r="M57" s="1">
        <f>DATA_FEBRERO_2025[[#This Row],[RECUPERO]]/DATA_FEBRERO_2025[[#This Row],[META]]</f>
        <v>0.53391379310344833</v>
      </c>
      <c r="N57" t="str" cm="1">
        <f t="array" ref="N57">IF(DATA_FEBRERO_2025[[#This Row],[ASER_]]="","",IFERROR(_xlfn.IFS(M57&gt;=100%,"&gt;100%",AND(M57&lt;100%,M57&gt;=70%),"&gt;70%",AND(M57&lt;70%,M57&gt;=40%),"&gt;40%",AND(M57&lt;40%,M57&gt;=0%),"&gt;0%"),""))</f>
        <v>&gt;40%</v>
      </c>
      <c r="O57" t="s">
        <v>5</v>
      </c>
      <c r="P57">
        <f>SUM(DATA_FEBRERO_2025[[#This Row],[1]:[31]])</f>
        <v>30967</v>
      </c>
      <c r="Q57">
        <v>58000</v>
      </c>
      <c r="R57" t="s">
        <v>17</v>
      </c>
      <c r="U57">
        <v>3700</v>
      </c>
      <c r="V57">
        <v>1441</v>
      </c>
      <c r="X57">
        <v>3500</v>
      </c>
      <c r="AB57">
        <v>4000</v>
      </c>
      <c r="AF57">
        <v>692</v>
      </c>
      <c r="AI57">
        <v>4000</v>
      </c>
      <c r="AK57">
        <v>1333</v>
      </c>
      <c r="AL57">
        <v>1000</v>
      </c>
      <c r="AM57">
        <v>600</v>
      </c>
      <c r="AN57">
        <v>3501</v>
      </c>
      <c r="AR57">
        <v>3800</v>
      </c>
      <c r="AS57">
        <v>2200</v>
      </c>
      <c r="AT57">
        <v>1200</v>
      </c>
      <c r="AX57" t="s">
        <v>150</v>
      </c>
    </row>
    <row r="58" spans="1:50" x14ac:dyDescent="0.25">
      <c r="A58" t="str">
        <f>D1_FEBRERO_2025[[#This Row],[SUPER2]]</f>
        <v>MELITA</v>
      </c>
      <c r="B58" t="s">
        <v>49</v>
      </c>
      <c r="C58">
        <f>VLOOKUP(D1_FEBRERO_2025[[#This Row],[SUPER]],DATA_FEBRERO_2025[[SUPERVISOR]:[META]],3,0)</f>
        <v>16500</v>
      </c>
      <c r="D58">
        <f>D1_FEBRERO_2025[[#This Row],[RECUPERO]]/C58</f>
        <v>0.7533333333333333</v>
      </c>
      <c r="E58" t="s">
        <v>115</v>
      </c>
      <c r="F58" t="s">
        <v>49</v>
      </c>
      <c r="G58">
        <v>12430</v>
      </c>
      <c r="H58" t="s">
        <v>436</v>
      </c>
      <c r="I58" s="56">
        <v>42814</v>
      </c>
      <c r="J58" t="s">
        <v>501</v>
      </c>
      <c r="L58" s="56"/>
      <c r="M58" s="1">
        <f>DATA_FEBRERO_2025[[#This Row],[RECUPERO]]/DATA_FEBRERO_2025[[#This Row],[META]]</f>
        <v>0.14345238095238094</v>
      </c>
      <c r="N58" t="str" cm="1">
        <f t="array" ref="N58">IF(DATA_FEBRERO_2025[[#This Row],[ASER_]]="","",IFERROR(_xlfn.IFS(M58&gt;=100%,"&gt;100%",AND(M58&lt;100%,M58&gt;=70%),"&gt;70%",AND(M58&lt;70%,M58&gt;=40%),"&gt;40%",AND(M58&lt;40%,M58&gt;=0%),"&gt;0%"),""))</f>
        <v>&gt;0%</v>
      </c>
      <c r="O58" t="s">
        <v>6</v>
      </c>
      <c r="P58">
        <f>SUM(DATA_FEBRERO_2025[[#This Row],[1]:[31]])</f>
        <v>3012.5</v>
      </c>
      <c r="Q58">
        <v>21000</v>
      </c>
      <c r="R58" t="s">
        <v>119</v>
      </c>
      <c r="W58">
        <v>300</v>
      </c>
      <c r="X58">
        <v>450</v>
      </c>
      <c r="AB58">
        <v>400</v>
      </c>
      <c r="AC58">
        <v>700</v>
      </c>
      <c r="AD58">
        <v>862.5</v>
      </c>
      <c r="AF58">
        <v>300</v>
      </c>
      <c r="AX58" t="s">
        <v>152</v>
      </c>
    </row>
    <row r="59" spans="1:50" x14ac:dyDescent="0.25">
      <c r="A59" t="str">
        <f>D1_FEBRERO_2025[[#This Row],[SUPER2]]</f>
        <v>MELITA</v>
      </c>
      <c r="B59" t="s">
        <v>96</v>
      </c>
      <c r="C59">
        <f>VLOOKUP(D1_FEBRERO_2025[[#This Row],[SUPER]],DATA_FEBRERO_2025[[SUPERVISOR]:[META]],3,0)</f>
        <v>16500</v>
      </c>
      <c r="D59">
        <f>D1_FEBRERO_2025[[#This Row],[RECUPERO]]/C59</f>
        <v>0.29459575757575757</v>
      </c>
      <c r="E59" t="s">
        <v>115</v>
      </c>
      <c r="F59" t="s">
        <v>96</v>
      </c>
      <c r="G59">
        <v>4860.83</v>
      </c>
      <c r="H59" t="s">
        <v>437</v>
      </c>
      <c r="I59" s="56">
        <v>45671</v>
      </c>
      <c r="J59" t="s">
        <v>501</v>
      </c>
      <c r="L59" s="56"/>
      <c r="M59" s="1">
        <f>DATA_FEBRERO_2025[[#This Row],[RECUPERO]]/DATA_FEBRERO_2025[[#This Row],[META]]</f>
        <v>0.89168965517241383</v>
      </c>
      <c r="N59" t="str" cm="1">
        <f t="array" ref="N59">IF(DATA_FEBRERO_2025[[#This Row],[ASER_]]="","",IFERROR(_xlfn.IFS(M59&gt;=100%,"&gt;100%",AND(M59&lt;100%,M59&gt;=70%),"&gt;70%",AND(M59&lt;70%,M59&gt;=40%),"&gt;40%",AND(M59&lt;40%,M59&gt;=0%),"&gt;0%"),""))</f>
        <v>&gt;70%</v>
      </c>
      <c r="O59" t="s">
        <v>4</v>
      </c>
      <c r="P59">
        <f>SUM(DATA_FEBRERO_2025[[#This Row],[1]:[31]])</f>
        <v>51718</v>
      </c>
      <c r="Q59">
        <v>58000</v>
      </c>
      <c r="R59" t="s">
        <v>75</v>
      </c>
      <c r="U59">
        <v>1001</v>
      </c>
      <c r="V59">
        <v>6500</v>
      </c>
      <c r="AB59">
        <v>1000</v>
      </c>
      <c r="AD59">
        <v>500</v>
      </c>
      <c r="AE59">
        <v>1300</v>
      </c>
      <c r="AF59">
        <v>2000</v>
      </c>
      <c r="AI59">
        <v>19680</v>
      </c>
      <c r="AJ59">
        <v>992</v>
      </c>
      <c r="AK59">
        <v>400</v>
      </c>
      <c r="AL59">
        <v>800</v>
      </c>
      <c r="AP59">
        <v>3200</v>
      </c>
      <c r="AQ59">
        <v>320</v>
      </c>
      <c r="AS59">
        <v>7000</v>
      </c>
      <c r="AT59">
        <v>7025</v>
      </c>
      <c r="AX59" t="s">
        <v>150</v>
      </c>
    </row>
    <row r="60" spans="1:50" x14ac:dyDescent="0.25">
      <c r="A60" t="str">
        <f>D1_FEBRERO_2025[[#This Row],[SUPER2]]</f>
        <v>MELITA</v>
      </c>
      <c r="B60" t="s">
        <v>33</v>
      </c>
      <c r="C60">
        <f>VLOOKUP(D1_FEBRERO_2025[[#This Row],[SUPER]],DATA_FEBRERO_2025[[SUPERVISOR]:[META]],3,0)</f>
        <v>16500</v>
      </c>
      <c r="D60">
        <f>D1_FEBRERO_2025[[#This Row],[RECUPERO]]/C60</f>
        <v>0.4498060606060606</v>
      </c>
      <c r="E60" t="s">
        <v>115</v>
      </c>
      <c r="F60" t="s">
        <v>33</v>
      </c>
      <c r="G60">
        <v>7421.8</v>
      </c>
      <c r="H60" t="s">
        <v>439</v>
      </c>
      <c r="I60" s="56">
        <v>44869</v>
      </c>
      <c r="J60" t="s">
        <v>501</v>
      </c>
      <c r="L60" s="56"/>
      <c r="M60" s="1">
        <f>DATA_FEBRERO_2025[[#This Row],[RECUPERO]]/DATA_FEBRERO_2025[[#This Row],[META]]</f>
        <v>1.5892857142857142</v>
      </c>
      <c r="N60" t="str" cm="1">
        <f t="array" ref="N60">IF(DATA_FEBRERO_2025[[#This Row],[ASER_]]="","",IFERROR(_xlfn.IFS(M60&gt;=100%,"&gt;100%",AND(M60&lt;100%,M60&gt;=70%),"&gt;70%",AND(M60&lt;70%,M60&gt;=40%),"&gt;40%",AND(M60&lt;40%,M60&gt;=0%),"&gt;0%"),""))</f>
        <v>&gt;100%</v>
      </c>
      <c r="O60" t="s">
        <v>6</v>
      </c>
      <c r="P60">
        <f>SUM(DATA_FEBRERO_2025[[#This Row],[1]:[31]])</f>
        <v>33375</v>
      </c>
      <c r="Q60">
        <v>21000</v>
      </c>
      <c r="R60" t="s">
        <v>120</v>
      </c>
      <c r="W60">
        <v>500</v>
      </c>
      <c r="Y60">
        <v>575</v>
      </c>
      <c r="AD60">
        <v>400</v>
      </c>
      <c r="AF60">
        <v>2200</v>
      </c>
      <c r="AG60">
        <v>400</v>
      </c>
      <c r="AK60">
        <v>5500</v>
      </c>
      <c r="AL60">
        <v>1000</v>
      </c>
      <c r="AM60">
        <v>3300</v>
      </c>
      <c r="AR60">
        <v>9000</v>
      </c>
      <c r="AS60">
        <v>10000</v>
      </c>
      <c r="AT60">
        <v>500</v>
      </c>
      <c r="AX60" t="s">
        <v>152</v>
      </c>
    </row>
    <row r="61" spans="1:50" x14ac:dyDescent="0.25">
      <c r="A61" t="str">
        <f>D1_FEBRERO_2025[[#This Row],[SUPER2]]</f>
        <v>MELITA</v>
      </c>
      <c r="B61" t="s">
        <v>68</v>
      </c>
      <c r="C61">
        <f>VLOOKUP(D1_FEBRERO_2025[[#This Row],[SUPER]],DATA_FEBRERO_2025[[SUPERVISOR]:[META]],3,0)</f>
        <v>16500</v>
      </c>
      <c r="D61">
        <f>D1_FEBRERO_2025[[#This Row],[RECUPERO]]/C61</f>
        <v>0.66487878787878785</v>
      </c>
      <c r="E61" t="s">
        <v>115</v>
      </c>
      <c r="F61" t="s">
        <v>68</v>
      </c>
      <c r="G61">
        <v>10970.5</v>
      </c>
      <c r="H61" t="s">
        <v>440</v>
      </c>
      <c r="I61" s="56">
        <v>45364</v>
      </c>
      <c r="J61" t="s">
        <v>501</v>
      </c>
      <c r="L61" s="56"/>
      <c r="M61" s="1">
        <f>DATA_FEBRERO_2025[[#This Row],[RECUPERO]]/DATA_FEBRERO_2025[[#This Row],[META]]</f>
        <v>0.77317241379310342</v>
      </c>
      <c r="N61" t="str" cm="1">
        <f t="array" ref="N61">IF(DATA_FEBRERO_2025[[#This Row],[ASER_]]="","",IFERROR(_xlfn.IFS(M61&gt;=100%,"&gt;100%",AND(M61&lt;100%,M61&gt;=70%),"&gt;70%",AND(M61&lt;70%,M61&gt;=40%),"&gt;40%",AND(M61&lt;40%,M61&gt;=0%),"&gt;0%"),""))</f>
        <v>&gt;70%</v>
      </c>
      <c r="O61" t="s">
        <v>5</v>
      </c>
      <c r="P61">
        <f>SUM(DATA_FEBRERO_2025[[#This Row],[1]:[31]])</f>
        <v>44844</v>
      </c>
      <c r="Q61">
        <v>58000</v>
      </c>
      <c r="R61" t="s">
        <v>62</v>
      </c>
      <c r="S61">
        <v>1090</v>
      </c>
      <c r="U61">
        <v>4877</v>
      </c>
      <c r="V61">
        <v>106</v>
      </c>
      <c r="W61">
        <v>15246</v>
      </c>
      <c r="Y61">
        <v>1600</v>
      </c>
      <c r="AB61">
        <v>1480</v>
      </c>
      <c r="AG61">
        <v>450</v>
      </c>
      <c r="AI61">
        <v>205</v>
      </c>
      <c r="AJ61">
        <v>310</v>
      </c>
      <c r="AK61">
        <v>5600</v>
      </c>
      <c r="AL61">
        <v>600</v>
      </c>
      <c r="AM61">
        <v>657</v>
      </c>
      <c r="AP61">
        <v>1300</v>
      </c>
      <c r="AR61">
        <v>4500</v>
      </c>
      <c r="AS61">
        <v>2000</v>
      </c>
      <c r="AT61">
        <v>4823</v>
      </c>
      <c r="AX61" t="s">
        <v>150</v>
      </c>
    </row>
    <row r="62" spans="1:50" x14ac:dyDescent="0.25">
      <c r="A62" t="str">
        <f>D1_FEBRERO_2025[[#This Row],[SUPER2]]</f>
        <v>LUIS</v>
      </c>
      <c r="B62" t="s">
        <v>21</v>
      </c>
      <c r="C62">
        <f>VLOOKUP(D1_FEBRERO_2025[[#This Row],[SUPER]],DATA_FEBRERO_2025[[SUPERVISOR]:[META]],3,0)</f>
        <v>21000</v>
      </c>
      <c r="D62">
        <f>D1_FEBRERO_2025[[#This Row],[RECUPERO]]/C62</f>
        <v>0.68619047619047624</v>
      </c>
      <c r="E62" t="s">
        <v>9</v>
      </c>
      <c r="F62" t="s">
        <v>21</v>
      </c>
      <c r="G62">
        <v>14410</v>
      </c>
      <c r="H62" t="s">
        <v>409</v>
      </c>
      <c r="I62" s="56">
        <v>44301</v>
      </c>
      <c r="J62" t="s">
        <v>501</v>
      </c>
      <c r="L62" s="56"/>
      <c r="M62" s="1">
        <f>DATA_FEBRERO_2025[[#This Row],[RECUPERO]]/DATA_FEBRERO_2025[[#This Row],[META]]</f>
        <v>0.38571428571428573</v>
      </c>
      <c r="N62" t="str" cm="1">
        <f t="array" ref="N62">IF(DATA_FEBRERO_2025[[#This Row],[ASER_]]="","",IFERROR(_xlfn.IFS(M62&gt;=100%,"&gt;100%",AND(M62&lt;100%,M62&gt;=70%),"&gt;70%",AND(M62&lt;70%,M62&gt;=40%),"&gt;40%",AND(M62&lt;40%,M62&gt;=0%),"&gt;0%"),""))</f>
        <v>&gt;0%</v>
      </c>
      <c r="O62" t="s">
        <v>6</v>
      </c>
      <c r="P62">
        <f>SUM(DATA_FEBRERO_2025[[#This Row],[1]:[31]])</f>
        <v>8100</v>
      </c>
      <c r="Q62">
        <v>21000</v>
      </c>
      <c r="R62" t="s">
        <v>64</v>
      </c>
      <c r="AC62">
        <v>800</v>
      </c>
      <c r="AE62">
        <v>2000</v>
      </c>
      <c r="AF62">
        <v>3000</v>
      </c>
      <c r="AI62">
        <v>800</v>
      </c>
      <c r="AJ62">
        <v>1500</v>
      </c>
      <c r="AX62" t="s">
        <v>152</v>
      </c>
    </row>
    <row r="63" spans="1:50" x14ac:dyDescent="0.25">
      <c r="A63" t="str">
        <f>D1_FEBRERO_2025[[#This Row],[SUPER2]]</f>
        <v>LUIS</v>
      </c>
      <c r="B63" t="s">
        <v>15</v>
      </c>
      <c r="C63">
        <f>VLOOKUP(D1_FEBRERO_2025[[#This Row],[SUPER]],DATA_FEBRERO_2025[[SUPERVISOR]:[META]],3,0)</f>
        <v>21000</v>
      </c>
      <c r="D63">
        <f>D1_FEBRERO_2025[[#This Row],[RECUPERO]]/C63</f>
        <v>0.79371428571428571</v>
      </c>
      <c r="E63" t="s">
        <v>9</v>
      </c>
      <c r="F63" t="s">
        <v>15</v>
      </c>
      <c r="G63">
        <v>16668</v>
      </c>
      <c r="H63" t="s">
        <v>410</v>
      </c>
      <c r="I63" s="56">
        <v>44735</v>
      </c>
      <c r="J63" t="s">
        <v>501</v>
      </c>
      <c r="L63" s="56"/>
      <c r="M63" s="1">
        <f>DATA_FEBRERO_2025[[#This Row],[RECUPERO]]/DATA_FEBRERO_2025[[#This Row],[META]]</f>
        <v>0.84617241379310348</v>
      </c>
      <c r="N63" t="str" cm="1">
        <f t="array" ref="N63">IF(DATA_FEBRERO_2025[[#This Row],[ASER_]]="","",IFERROR(_xlfn.IFS(M63&gt;=100%,"&gt;100%",AND(M63&lt;100%,M63&gt;=70%),"&gt;70%",AND(M63&lt;70%,M63&gt;=40%),"&gt;40%",AND(M63&lt;40%,M63&gt;=0%),"&gt;0%"),""))</f>
        <v>&gt;70%</v>
      </c>
      <c r="O63" t="s">
        <v>4</v>
      </c>
      <c r="P63">
        <f>SUM(DATA_FEBRERO_2025[[#This Row],[1]:[31]])</f>
        <v>49078</v>
      </c>
      <c r="Q63">
        <v>58000</v>
      </c>
      <c r="R63" t="s">
        <v>11</v>
      </c>
      <c r="U63">
        <v>5000</v>
      </c>
      <c r="V63">
        <v>1500</v>
      </c>
      <c r="Y63">
        <v>20500</v>
      </c>
      <c r="AB63">
        <v>523</v>
      </c>
      <c r="AC63">
        <v>255</v>
      </c>
      <c r="AD63">
        <v>1150</v>
      </c>
      <c r="AE63">
        <v>2000</v>
      </c>
      <c r="AG63">
        <v>600</v>
      </c>
      <c r="AI63">
        <v>300</v>
      </c>
      <c r="AJ63">
        <v>3489</v>
      </c>
      <c r="AK63">
        <v>700</v>
      </c>
      <c r="AP63">
        <v>2800</v>
      </c>
      <c r="AQ63">
        <v>7261</v>
      </c>
      <c r="AR63">
        <v>900</v>
      </c>
      <c r="AT63">
        <v>2100</v>
      </c>
      <c r="AX63" t="s">
        <v>150</v>
      </c>
    </row>
    <row r="64" spans="1:50" x14ac:dyDescent="0.25">
      <c r="A64" t="str">
        <f>D1_FEBRERO_2025[[#This Row],[SUPER2]]</f>
        <v>LUIS</v>
      </c>
      <c r="B64" t="s">
        <v>61</v>
      </c>
      <c r="C64">
        <f>VLOOKUP(D1_FEBRERO_2025[[#This Row],[SUPER]],DATA_FEBRERO_2025[[SUPERVISOR]:[META]],3,0)</f>
        <v>21000</v>
      </c>
      <c r="D64">
        <f>D1_FEBRERO_2025[[#This Row],[RECUPERO]]/C64</f>
        <v>0.38085714285714284</v>
      </c>
      <c r="E64" t="s">
        <v>9</v>
      </c>
      <c r="F64" t="s">
        <v>61</v>
      </c>
      <c r="G64">
        <v>7998</v>
      </c>
      <c r="H64" t="s">
        <v>411</v>
      </c>
      <c r="I64" s="56">
        <v>44909</v>
      </c>
      <c r="J64" t="s">
        <v>501</v>
      </c>
      <c r="L64" s="56"/>
      <c r="M64" s="1">
        <f>DATA_FEBRERO_2025[[#This Row],[RECUPERO]]/DATA_FEBRERO_2025[[#This Row],[META]]</f>
        <v>0.67694545454545452</v>
      </c>
      <c r="N64" t="str" cm="1">
        <f t="array" ref="N64">IF(DATA_FEBRERO_2025[[#This Row],[ASER_]]="","",IFERROR(_xlfn.IFS(M64&gt;=100%,"&gt;100%",AND(M64&lt;100%,M64&gt;=70%),"&gt;70%",AND(M64&lt;70%,M64&gt;=40%),"&gt;40%",AND(M64&lt;40%,M64&gt;=0%),"&gt;0%"),""))</f>
        <v>&gt;40%</v>
      </c>
      <c r="O64" t="s">
        <v>2</v>
      </c>
      <c r="P64">
        <f>SUM(DATA_FEBRERO_2025[[#This Row],[1]:[31]])</f>
        <v>14892.8</v>
      </c>
      <c r="Q64">
        <v>22000</v>
      </c>
      <c r="R64" t="s">
        <v>74</v>
      </c>
      <c r="S64">
        <v>258</v>
      </c>
      <c r="U64">
        <v>210</v>
      </c>
      <c r="V64">
        <v>550</v>
      </c>
      <c r="X64">
        <v>892</v>
      </c>
      <c r="Y64">
        <v>2036</v>
      </c>
      <c r="Z64">
        <v>241</v>
      </c>
      <c r="AB64">
        <v>210</v>
      </c>
      <c r="AC64">
        <v>950</v>
      </c>
      <c r="AE64">
        <v>2505.8000000000002</v>
      </c>
      <c r="AF64">
        <v>500</v>
      </c>
      <c r="AI64">
        <v>950</v>
      </c>
      <c r="AL64">
        <v>2800</v>
      </c>
      <c r="AP64">
        <v>1600</v>
      </c>
      <c r="AR64">
        <v>210</v>
      </c>
      <c r="AT64">
        <v>980</v>
      </c>
      <c r="AX64" t="s">
        <v>151</v>
      </c>
    </row>
    <row r="65" spans="1:50" x14ac:dyDescent="0.25">
      <c r="A65" t="str">
        <f>D1_FEBRERO_2025[[#This Row],[SUPER2]]</f>
        <v>LUIS</v>
      </c>
      <c r="B65" t="s">
        <v>27</v>
      </c>
      <c r="C65">
        <f>VLOOKUP(D1_FEBRERO_2025[[#This Row],[SUPER]],DATA_FEBRERO_2025[[SUPERVISOR]:[META]],3,0)</f>
        <v>21000</v>
      </c>
      <c r="D65">
        <f>D1_FEBRERO_2025[[#This Row],[RECUPERO]]/C65</f>
        <v>0.4819761904761905</v>
      </c>
      <c r="E65" t="s">
        <v>9</v>
      </c>
      <c r="F65" t="s">
        <v>27</v>
      </c>
      <c r="G65">
        <v>10121.5</v>
      </c>
      <c r="H65" t="s">
        <v>412</v>
      </c>
      <c r="I65" s="56">
        <v>45675</v>
      </c>
      <c r="J65" t="s">
        <v>501</v>
      </c>
      <c r="L65" s="56"/>
      <c r="M65" s="1">
        <f>DATA_FEBRERO_2025[[#This Row],[RECUPERO]]/DATA_FEBRERO_2025[[#This Row],[META]]</f>
        <v>0.71406017241379305</v>
      </c>
      <c r="N65" t="str" cm="1">
        <f t="array" ref="N65">IF(DATA_FEBRERO_2025[[#This Row],[ASER_]]="","",IFERROR(_xlfn.IFS(M65&gt;=100%,"&gt;100%",AND(M65&lt;100%,M65&gt;=70%),"&gt;70%",AND(M65&lt;70%,M65&gt;=40%),"&gt;40%",AND(M65&lt;40%,M65&gt;=0%),"&gt;0%"),""))</f>
        <v>&gt;70%</v>
      </c>
      <c r="O65" t="s">
        <v>5</v>
      </c>
      <c r="P65">
        <f>SUM(DATA_FEBRERO_2025[[#This Row],[1]:[31]])</f>
        <v>41415.49</v>
      </c>
      <c r="Q65">
        <v>58000</v>
      </c>
      <c r="R65" t="s">
        <v>79</v>
      </c>
      <c r="AC65">
        <v>2800</v>
      </c>
      <c r="AF65">
        <v>1000</v>
      </c>
      <c r="AI65">
        <v>4000</v>
      </c>
      <c r="AL65">
        <v>100</v>
      </c>
      <c r="AP65">
        <v>3100</v>
      </c>
      <c r="AQ65">
        <v>10715.39</v>
      </c>
      <c r="AR65">
        <v>15000</v>
      </c>
      <c r="AT65">
        <v>4700.1000000000004</v>
      </c>
      <c r="AX65" t="s">
        <v>150</v>
      </c>
    </row>
    <row r="66" spans="1:50" x14ac:dyDescent="0.25">
      <c r="A66" t="str">
        <f>D1_FEBRERO_2025[[#This Row],[SUPER2]]</f>
        <v>LUIS</v>
      </c>
      <c r="B66" t="s">
        <v>51</v>
      </c>
      <c r="C66">
        <f>VLOOKUP(D1_FEBRERO_2025[[#This Row],[SUPER]],DATA_FEBRERO_2025[[SUPERVISOR]:[META]],3,0)</f>
        <v>21000</v>
      </c>
      <c r="D66">
        <f>D1_FEBRERO_2025[[#This Row],[RECUPERO]]/C66</f>
        <v>0.30476190476190479</v>
      </c>
      <c r="E66" t="s">
        <v>9</v>
      </c>
      <c r="F66" t="s">
        <v>51</v>
      </c>
      <c r="G66">
        <v>6400</v>
      </c>
      <c r="H66" t="s">
        <v>413</v>
      </c>
      <c r="I66" s="56">
        <v>45674</v>
      </c>
      <c r="J66" t="s">
        <v>501</v>
      </c>
      <c r="L66" s="56"/>
      <c r="M66" s="1">
        <f>DATA_FEBRERO_2025[[#This Row],[RECUPERO]]/DATA_FEBRERO_2025[[#This Row],[META]]</f>
        <v>2.7272727272727271E-2</v>
      </c>
      <c r="N66" t="str" cm="1">
        <f t="array" ref="N66">IF(DATA_FEBRERO_2025[[#This Row],[ASER_]]="","",IFERROR(_xlfn.IFS(M66&gt;=100%,"&gt;100%",AND(M66&lt;100%,M66&gt;=70%),"&gt;70%",AND(M66&lt;70%,M66&gt;=40%),"&gt;40%",AND(M66&lt;40%,M66&gt;=0%),"&gt;0%"),""))</f>
        <v>&gt;0%</v>
      </c>
      <c r="O66" t="s">
        <v>2</v>
      </c>
      <c r="P66">
        <f>SUM(DATA_FEBRERO_2025[[#This Row],[1]:[31]])</f>
        <v>600</v>
      </c>
      <c r="Q66">
        <v>22000</v>
      </c>
      <c r="R66" t="s">
        <v>126</v>
      </c>
      <c r="AR66">
        <v>600</v>
      </c>
      <c r="AX66" t="s">
        <v>151</v>
      </c>
    </row>
    <row r="67" spans="1:50" x14ac:dyDescent="0.25">
      <c r="A67" t="str">
        <f>D1_FEBRERO_2025[[#This Row],[SUPER2]]</f>
        <v>LUIS</v>
      </c>
      <c r="B67" t="s">
        <v>71</v>
      </c>
      <c r="C67">
        <f>VLOOKUP(D1_FEBRERO_2025[[#This Row],[SUPER]],DATA_FEBRERO_2025[[SUPERVISOR]:[META]],3,0)</f>
        <v>21000</v>
      </c>
      <c r="D67">
        <f>D1_FEBRERO_2025[[#This Row],[RECUPERO]]/C67</f>
        <v>0.4204761904761905</v>
      </c>
      <c r="E67" t="s">
        <v>9</v>
      </c>
      <c r="F67" t="s">
        <v>71</v>
      </c>
      <c r="G67">
        <v>8830</v>
      </c>
      <c r="H67" t="s">
        <v>414</v>
      </c>
      <c r="I67" s="56">
        <v>45423</v>
      </c>
      <c r="J67" t="s">
        <v>501</v>
      </c>
      <c r="L67" s="56"/>
      <c r="M67" s="1">
        <f>DATA_FEBRERO_2025[[#This Row],[RECUPERO]]/DATA_FEBRERO_2025[[#This Row],[META]]</f>
        <v>0.35418181818181821</v>
      </c>
      <c r="N67" t="str" cm="1">
        <f t="array" ref="N67">IF(DATA_FEBRERO_2025[[#This Row],[ASER_]]="","",IFERROR(_xlfn.IFS(M67&gt;=100%,"&gt;100%",AND(M67&lt;100%,M67&gt;=70%),"&gt;70%",AND(M67&lt;70%,M67&gt;=40%),"&gt;40%",AND(M67&lt;40%,M67&gt;=0%),"&gt;0%"),""))</f>
        <v>&gt;0%</v>
      </c>
      <c r="O67" t="s">
        <v>2</v>
      </c>
      <c r="P67">
        <f>SUM(DATA_FEBRERO_2025[[#This Row],[1]:[31]])</f>
        <v>7792</v>
      </c>
      <c r="Q67">
        <v>22000</v>
      </c>
      <c r="R67" t="s">
        <v>117</v>
      </c>
      <c r="U67">
        <v>100</v>
      </c>
      <c r="W67">
        <v>2200</v>
      </c>
      <c r="X67">
        <v>195</v>
      </c>
      <c r="Y67">
        <v>2324</v>
      </c>
      <c r="AB67">
        <v>600</v>
      </c>
      <c r="AC67">
        <v>803</v>
      </c>
      <c r="AD67">
        <v>100</v>
      </c>
      <c r="AF67">
        <v>800</v>
      </c>
      <c r="AN67">
        <v>670</v>
      </c>
      <c r="AX67" t="s">
        <v>151</v>
      </c>
    </row>
    <row r="68" spans="1:50" x14ac:dyDescent="0.25">
      <c r="A68" t="str">
        <f>D1_FEBRERO_2025[[#This Row],[SUPER2]]</f>
        <v>LUIS</v>
      </c>
      <c r="B68" t="s">
        <v>42</v>
      </c>
      <c r="C68">
        <f>VLOOKUP(D1_FEBRERO_2025[[#This Row],[SUPER]],DATA_FEBRERO_2025[[SUPERVISOR]:[META]],3,0)</f>
        <v>21000</v>
      </c>
      <c r="D68">
        <f>D1_FEBRERO_2025[[#This Row],[RECUPERO]]/C68</f>
        <v>0.30840714285714288</v>
      </c>
      <c r="E68" t="s">
        <v>9</v>
      </c>
      <c r="F68" t="s">
        <v>42</v>
      </c>
      <c r="G68">
        <v>6476.55</v>
      </c>
      <c r="H68" t="s">
        <v>415</v>
      </c>
      <c r="I68" s="56">
        <v>45399</v>
      </c>
      <c r="J68" t="s">
        <v>501</v>
      </c>
      <c r="L68" s="56"/>
      <c r="M68" s="1">
        <f>DATA_FEBRERO_2025[[#This Row],[RECUPERO]]/DATA_FEBRERO_2025[[#This Row],[META]]</f>
        <v>1.0940606896551726</v>
      </c>
      <c r="N68" t="str" cm="1">
        <f t="array" ref="N68">IF(DATA_FEBRERO_2025[[#This Row],[ASER_]]="","",IFERROR(_xlfn.IFS(M68&gt;=100%,"&gt;100%",AND(M68&lt;100%,M68&gt;=70%),"&gt;70%",AND(M68&lt;70%,M68&gt;=40%),"&gt;40%",AND(M68&lt;40%,M68&gt;=0%),"&gt;0%"),""))</f>
        <v>&gt;100%</v>
      </c>
      <c r="O68" t="s">
        <v>4</v>
      </c>
      <c r="P68">
        <f>SUM(DATA_FEBRERO_2025[[#This Row],[1]:[31]])</f>
        <v>63455.520000000004</v>
      </c>
      <c r="Q68">
        <v>58000</v>
      </c>
      <c r="R68" t="s">
        <v>59</v>
      </c>
      <c r="U68">
        <v>265</v>
      </c>
      <c r="W68">
        <v>2500</v>
      </c>
      <c r="X68">
        <v>2500</v>
      </c>
      <c r="Y68">
        <v>6100</v>
      </c>
      <c r="AD68">
        <v>1400</v>
      </c>
      <c r="AF68">
        <v>5000</v>
      </c>
      <c r="AG68">
        <v>6000</v>
      </c>
      <c r="AI68">
        <v>2500</v>
      </c>
      <c r="AJ68">
        <v>1500</v>
      </c>
      <c r="AK68">
        <v>10000</v>
      </c>
      <c r="AM68">
        <v>800</v>
      </c>
      <c r="AR68">
        <v>10000</v>
      </c>
      <c r="AS68">
        <v>3000</v>
      </c>
      <c r="AT68">
        <v>11890.52</v>
      </c>
      <c r="AX68" t="s">
        <v>150</v>
      </c>
    </row>
    <row r="69" spans="1:50" x14ac:dyDescent="0.25">
      <c r="A69" t="str">
        <f>D1_FEBRERO_2025[[#This Row],[SUPER2]]</f>
        <v>LUIS</v>
      </c>
      <c r="B69" t="s">
        <v>121</v>
      </c>
      <c r="C69">
        <f>VLOOKUP(D1_FEBRERO_2025[[#This Row],[SUPER]],DATA_FEBRERO_2025[[SUPERVISOR]:[META]],3,0)</f>
        <v>21000</v>
      </c>
      <c r="D69">
        <f>D1_FEBRERO_2025[[#This Row],[RECUPERO]]/C69</f>
        <v>0.74561904761904763</v>
      </c>
      <c r="E69" t="s">
        <v>9</v>
      </c>
      <c r="F69" t="s">
        <v>121</v>
      </c>
      <c r="G69">
        <v>15658</v>
      </c>
      <c r="H69" t="s">
        <v>417</v>
      </c>
      <c r="I69" s="56">
        <v>44510</v>
      </c>
      <c r="J69" t="s">
        <v>501</v>
      </c>
      <c r="L69" s="56"/>
      <c r="M69" s="1">
        <f>DATA_FEBRERO_2025[[#This Row],[RECUPERO]]/DATA_FEBRERO_2025[[#This Row],[META]]</f>
        <v>0.62852931034482751</v>
      </c>
      <c r="N69" t="str" cm="1">
        <f t="array" ref="N69">IF(DATA_FEBRERO_2025[[#This Row],[ASER_]]="","",IFERROR(_xlfn.IFS(M69&gt;=100%,"&gt;100%",AND(M69&lt;100%,M69&gt;=70%),"&gt;70%",AND(M69&lt;70%,M69&gt;=40%),"&gt;40%",AND(M69&lt;40%,M69&gt;=0%),"&gt;0%"),""))</f>
        <v>&gt;40%</v>
      </c>
      <c r="O69" t="s">
        <v>3</v>
      </c>
      <c r="P69">
        <f>SUM(DATA_FEBRERO_2025[[#This Row],[1]:[31]])</f>
        <v>36454.699999999997</v>
      </c>
      <c r="Q69">
        <v>58000</v>
      </c>
      <c r="R69" t="s">
        <v>63</v>
      </c>
      <c r="U69">
        <v>2120</v>
      </c>
      <c r="V69">
        <v>1270</v>
      </c>
      <c r="X69">
        <v>1110</v>
      </c>
      <c r="Y69">
        <v>262</v>
      </c>
      <c r="AB69">
        <v>225</v>
      </c>
      <c r="AC69">
        <v>907</v>
      </c>
      <c r="AE69">
        <v>5000</v>
      </c>
      <c r="AF69">
        <v>460</v>
      </c>
      <c r="AG69">
        <v>325</v>
      </c>
      <c r="AK69">
        <v>7973</v>
      </c>
      <c r="AP69">
        <v>674</v>
      </c>
      <c r="AQ69">
        <v>4870</v>
      </c>
      <c r="AR69">
        <v>7115</v>
      </c>
      <c r="AT69">
        <v>4143.7</v>
      </c>
      <c r="AX69" t="s">
        <v>150</v>
      </c>
    </row>
    <row r="70" spans="1:50" x14ac:dyDescent="0.25">
      <c r="A70" t="str">
        <f>D1_FEBRERO_2025[[#This Row],[SUPER2]]</f>
        <v>LUIS</v>
      </c>
      <c r="B70" t="s">
        <v>103</v>
      </c>
      <c r="C70">
        <f>VLOOKUP(D1_FEBRERO_2025[[#This Row],[SUPER]],DATA_FEBRERO_2025[[SUPERVISOR]:[META]],3,0)</f>
        <v>21000</v>
      </c>
      <c r="D70">
        <f>D1_FEBRERO_2025[[#This Row],[RECUPERO]]/C70</f>
        <v>0.46733809523809527</v>
      </c>
      <c r="E70" t="s">
        <v>9</v>
      </c>
      <c r="F70" t="s">
        <v>103</v>
      </c>
      <c r="G70">
        <v>9814.1</v>
      </c>
      <c r="H70" t="s">
        <v>419</v>
      </c>
      <c r="I70" s="56">
        <v>45451</v>
      </c>
      <c r="J70" t="s">
        <v>501</v>
      </c>
      <c r="L70" s="56"/>
      <c r="M70" s="1">
        <f>DATA_FEBRERO_2025[[#This Row],[RECUPERO]]/DATA_FEBRERO_2025[[#This Row],[META]]</f>
        <v>0.46733809523809527</v>
      </c>
      <c r="N70" t="str" cm="1">
        <f t="array" ref="N70">IF(DATA_FEBRERO_2025[[#This Row],[ASER_]]="","",IFERROR(_xlfn.IFS(M70&gt;=100%,"&gt;100%",AND(M70&lt;100%,M70&gt;=70%),"&gt;70%",AND(M70&lt;70%,M70&gt;=40%),"&gt;40%",AND(M70&lt;40%,M70&gt;=0%),"&gt;0%"),""))</f>
        <v>&gt;40%</v>
      </c>
      <c r="O70" t="s">
        <v>9</v>
      </c>
      <c r="P70">
        <f>SUM(DATA_FEBRERO_2025[[#This Row],[1]:[31]])</f>
        <v>9814.1</v>
      </c>
      <c r="Q70">
        <v>21000</v>
      </c>
      <c r="R70" t="s">
        <v>103</v>
      </c>
      <c r="V70">
        <v>1000</v>
      </c>
      <c r="W70">
        <v>300</v>
      </c>
      <c r="AD70">
        <v>234</v>
      </c>
      <c r="AF70">
        <v>350</v>
      </c>
      <c r="AJ70">
        <v>350</v>
      </c>
      <c r="AK70">
        <v>500</v>
      </c>
      <c r="AL70">
        <v>400</v>
      </c>
      <c r="AM70">
        <v>2000.1</v>
      </c>
      <c r="AP70">
        <v>1500</v>
      </c>
      <c r="AQ70">
        <v>700</v>
      </c>
      <c r="AR70">
        <v>550</v>
      </c>
      <c r="AT70">
        <v>1930</v>
      </c>
      <c r="AX70" t="s">
        <v>153</v>
      </c>
    </row>
    <row r="71" spans="1:50" x14ac:dyDescent="0.25">
      <c r="A71" t="str">
        <f>D1_FEBRERO_2025[[#This Row],[SUPER2]]</f>
        <v>LUIS</v>
      </c>
      <c r="B71" t="s">
        <v>73</v>
      </c>
      <c r="C71">
        <f>VLOOKUP(D1_FEBRERO_2025[[#This Row],[SUPER]],DATA_FEBRERO_2025[[SUPERVISOR]:[META]],3,0)</f>
        <v>21000</v>
      </c>
      <c r="D71">
        <f>D1_FEBRERO_2025[[#This Row],[RECUPERO]]/C71</f>
        <v>0.40857142857142859</v>
      </c>
      <c r="E71" t="s">
        <v>9</v>
      </c>
      <c r="F71" t="s">
        <v>73</v>
      </c>
      <c r="G71">
        <v>8580</v>
      </c>
      <c r="H71" t="s">
        <v>420</v>
      </c>
      <c r="I71" s="56">
        <v>45145</v>
      </c>
      <c r="J71" t="s">
        <v>501</v>
      </c>
      <c r="L71" s="56"/>
      <c r="M71" s="1">
        <f>DATA_FEBRERO_2025[[#This Row],[RECUPERO]]/DATA_FEBRERO_2025[[#This Row],[META]]</f>
        <v>0.40857142857142859</v>
      </c>
      <c r="N71" t="str" cm="1">
        <f t="array" ref="N71">IF(DATA_FEBRERO_2025[[#This Row],[ASER_]]="","",IFERROR(_xlfn.IFS(M71&gt;=100%,"&gt;100%",AND(M71&lt;100%,M71&gt;=70%),"&gt;70%",AND(M71&lt;70%,M71&gt;=40%),"&gt;40%",AND(M71&lt;40%,M71&gt;=0%),"&gt;0%"),""))</f>
        <v>&gt;40%</v>
      </c>
      <c r="O71" t="s">
        <v>9</v>
      </c>
      <c r="P71">
        <f>SUM(DATA_FEBRERO_2025[[#This Row],[1]:[31]])</f>
        <v>8580</v>
      </c>
      <c r="Q71">
        <v>21000</v>
      </c>
      <c r="R71" t="s">
        <v>73</v>
      </c>
      <c r="U71">
        <v>200</v>
      </c>
      <c r="AB71">
        <v>2050</v>
      </c>
      <c r="AI71">
        <v>1000</v>
      </c>
      <c r="AK71">
        <v>250</v>
      </c>
      <c r="AL71">
        <v>1000</v>
      </c>
      <c r="AP71">
        <v>400</v>
      </c>
      <c r="AQ71">
        <v>1180</v>
      </c>
      <c r="AR71">
        <v>500</v>
      </c>
      <c r="AT71">
        <v>2000</v>
      </c>
      <c r="AX71" t="s">
        <v>153</v>
      </c>
    </row>
    <row r="72" spans="1:50" x14ac:dyDescent="0.25">
      <c r="A72" t="str">
        <f>D1_FEBRERO_2025[[#This Row],[SUPER2]]</f>
        <v>LUIS</v>
      </c>
      <c r="B72" t="s">
        <v>48</v>
      </c>
      <c r="C72">
        <f>VLOOKUP(D1_FEBRERO_2025[[#This Row],[SUPER]],DATA_FEBRERO_2025[[SUPERVISOR]:[META]],3,0)</f>
        <v>21000</v>
      </c>
      <c r="D72">
        <f>D1_FEBRERO_2025[[#This Row],[RECUPERO]]/C72</f>
        <v>0.27714285714285714</v>
      </c>
      <c r="E72" t="s">
        <v>9</v>
      </c>
      <c r="F72" t="s">
        <v>48</v>
      </c>
      <c r="G72">
        <v>5820</v>
      </c>
      <c r="H72" t="s">
        <v>421</v>
      </c>
      <c r="I72" s="56">
        <v>44748</v>
      </c>
      <c r="J72" t="s">
        <v>501</v>
      </c>
      <c r="L72" s="56"/>
      <c r="M72" s="1">
        <f>DATA_FEBRERO_2025[[#This Row],[RECUPERO]]/DATA_FEBRERO_2025[[#This Row],[META]]</f>
        <v>0.97723809523809524</v>
      </c>
      <c r="N72" t="str" cm="1">
        <f t="array" ref="N72">IF(DATA_FEBRERO_2025[[#This Row],[ASER_]]="","",IFERROR(_xlfn.IFS(M72&gt;=100%,"&gt;100%",AND(M72&lt;100%,M72&gt;=70%),"&gt;70%",AND(M72&lt;70%,M72&gt;=40%),"&gt;40%",AND(M72&lt;40%,M72&gt;=0%),"&gt;0%"),""))</f>
        <v>&gt;70%</v>
      </c>
      <c r="O72" t="s">
        <v>6</v>
      </c>
      <c r="P72">
        <f>SUM(DATA_FEBRERO_2025[[#This Row],[1]:[31]])</f>
        <v>20522</v>
      </c>
      <c r="Q72">
        <v>21000</v>
      </c>
      <c r="R72" t="s">
        <v>34</v>
      </c>
      <c r="U72">
        <v>7000</v>
      </c>
      <c r="W72">
        <v>1100</v>
      </c>
      <c r="X72">
        <v>500</v>
      </c>
      <c r="Y72">
        <v>822</v>
      </c>
      <c r="AB72">
        <v>500</v>
      </c>
      <c r="AF72">
        <v>1000</v>
      </c>
      <c r="AL72">
        <v>3500</v>
      </c>
      <c r="AP72">
        <v>800</v>
      </c>
      <c r="AR72">
        <v>3000</v>
      </c>
      <c r="AS72">
        <v>500</v>
      </c>
      <c r="AT72">
        <v>1800</v>
      </c>
      <c r="AX72" t="s">
        <v>152</v>
      </c>
    </row>
    <row r="73" spans="1:50" x14ac:dyDescent="0.25">
      <c r="M73" s="1">
        <f>DATA_FEBRERO_2025[[#This Row],[RECUPERO]]/DATA_FEBRERO_2025[[#This Row],[META]]</f>
        <v>0.52382758620689651</v>
      </c>
      <c r="N73" t="str" cm="1">
        <f t="array" ref="N73">IF(DATA_FEBRERO_2025[[#This Row],[ASER_]]="","",IFERROR(_xlfn.IFS(M73&gt;=100%,"&gt;100%",AND(M73&lt;100%,M73&gt;=70%),"&gt;70%",AND(M73&lt;70%,M73&gt;=40%),"&gt;40%",AND(M73&lt;40%,M73&gt;=0%),"&gt;0%"),""))</f>
        <v>&gt;40%</v>
      </c>
      <c r="O73" t="s">
        <v>3</v>
      </c>
      <c r="P73">
        <f>SUM(DATA_FEBRERO_2025[[#This Row],[1]:[31]])</f>
        <v>30382</v>
      </c>
      <c r="Q73">
        <v>58000</v>
      </c>
      <c r="R73" t="s">
        <v>30</v>
      </c>
      <c r="U73">
        <v>340</v>
      </c>
      <c r="W73">
        <v>905</v>
      </c>
      <c r="Y73">
        <v>1100</v>
      </c>
      <c r="AF73">
        <v>0</v>
      </c>
      <c r="AJ73">
        <v>700</v>
      </c>
      <c r="AL73">
        <v>9500</v>
      </c>
      <c r="AP73">
        <v>575</v>
      </c>
      <c r="AQ73">
        <v>5852</v>
      </c>
      <c r="AR73">
        <v>1500</v>
      </c>
      <c r="AS73">
        <v>2600</v>
      </c>
      <c r="AT73">
        <v>7310</v>
      </c>
      <c r="AX73" t="s">
        <v>150</v>
      </c>
    </row>
    <row r="74" spans="1:50" x14ac:dyDescent="0.25">
      <c r="M74" s="1">
        <f>DATA_FEBRERO_2025[[#This Row],[RECUPERO]]/DATA_FEBRERO_2025[[#This Row],[META]]</f>
        <v>0.70727272727272728</v>
      </c>
      <c r="N74" t="str" cm="1">
        <f t="array" ref="N74">IF(DATA_FEBRERO_2025[[#This Row],[ASER_]]="","",IFERROR(_xlfn.IFS(M74&gt;=100%,"&gt;100%",AND(M74&lt;100%,M74&gt;=70%),"&gt;70%",AND(M74&lt;70%,M74&gt;=40%),"&gt;40%",AND(M74&lt;40%,M74&gt;=0%),"&gt;0%"),""))</f>
        <v>&gt;70%</v>
      </c>
      <c r="O74" t="s">
        <v>2</v>
      </c>
      <c r="P74">
        <f>SUM(DATA_FEBRERO_2025[[#This Row],[1]:[31]])</f>
        <v>15560</v>
      </c>
      <c r="Q74">
        <v>22000</v>
      </c>
      <c r="R74" t="s">
        <v>78</v>
      </c>
      <c r="V74">
        <v>300</v>
      </c>
      <c r="AB74">
        <v>2080</v>
      </c>
      <c r="AC74">
        <v>200</v>
      </c>
      <c r="AE74">
        <v>1151</v>
      </c>
      <c r="AF74">
        <v>2976</v>
      </c>
      <c r="AG74">
        <v>200</v>
      </c>
      <c r="AI74">
        <v>1963.2</v>
      </c>
      <c r="AJ74">
        <v>758.8</v>
      </c>
      <c r="AK74">
        <v>500</v>
      </c>
      <c r="AM74">
        <v>2201</v>
      </c>
      <c r="AN74">
        <v>1500</v>
      </c>
      <c r="AS74">
        <v>310</v>
      </c>
      <c r="AT74">
        <v>1420</v>
      </c>
      <c r="AX74" t="s">
        <v>151</v>
      </c>
    </row>
    <row r="75" spans="1:50" x14ac:dyDescent="0.25">
      <c r="M75" s="1">
        <f>DATA_FEBRERO_2025[[#This Row],[RECUPERO]]/DATA_FEBRERO_2025[[#This Row],[META]]</f>
        <v>0.27714285714285714</v>
      </c>
      <c r="N75" t="str" cm="1">
        <f t="array" ref="N75">IF(DATA_FEBRERO_2025[[#This Row],[ASER_]]="","",IFERROR(_xlfn.IFS(M75&gt;=100%,"&gt;100%",AND(M75&lt;100%,M75&gt;=70%),"&gt;70%",AND(M75&lt;70%,M75&gt;=40%),"&gt;40%",AND(M75&lt;40%,M75&gt;=0%),"&gt;0%"),""))</f>
        <v>&gt;0%</v>
      </c>
      <c r="O75" t="s">
        <v>9</v>
      </c>
      <c r="P75">
        <f>SUM(DATA_FEBRERO_2025[[#This Row],[1]:[31]])</f>
        <v>5820</v>
      </c>
      <c r="Q75">
        <v>21000</v>
      </c>
      <c r="R75" t="s">
        <v>48</v>
      </c>
      <c r="V75">
        <v>200</v>
      </c>
      <c r="Y75">
        <v>3400</v>
      </c>
      <c r="AC75">
        <v>200</v>
      </c>
      <c r="AI75">
        <v>200</v>
      </c>
      <c r="AM75">
        <v>500</v>
      </c>
      <c r="AT75">
        <v>1320</v>
      </c>
      <c r="AX75" t="s">
        <v>153</v>
      </c>
    </row>
    <row r="76" spans="1:50" x14ac:dyDescent="0.25">
      <c r="M76" s="1">
        <f>DATA_FEBRERO_2025[[#This Row],[RECUPERO]]/DATA_FEBRERO_2025[[#This Row],[META]]</f>
        <v>0.60139655172413797</v>
      </c>
      <c r="N76" t="str" cm="1">
        <f t="array" ref="N76">IF(DATA_FEBRERO_2025[[#This Row],[ASER_]]="","",IFERROR(_xlfn.IFS(M76&gt;=100%,"&gt;100%",AND(M76&lt;100%,M76&gt;=70%),"&gt;70%",AND(M76&lt;70%,M76&gt;=40%),"&gt;40%",AND(M76&lt;40%,M76&gt;=0%),"&gt;0%"),""))</f>
        <v>&gt;40%</v>
      </c>
      <c r="O76" t="s">
        <v>3</v>
      </c>
      <c r="P76">
        <f>SUM(DATA_FEBRERO_2025[[#This Row],[1]:[31]])</f>
        <v>34881</v>
      </c>
      <c r="Q76">
        <v>58000</v>
      </c>
      <c r="R76" t="s">
        <v>10</v>
      </c>
      <c r="S76">
        <v>675</v>
      </c>
      <c r="U76">
        <v>521</v>
      </c>
      <c r="X76">
        <v>1262</v>
      </c>
      <c r="AD76">
        <v>2000</v>
      </c>
      <c r="AE76">
        <v>4000</v>
      </c>
      <c r="AF76">
        <v>5600</v>
      </c>
      <c r="AI76">
        <v>8000</v>
      </c>
      <c r="AJ76">
        <v>350</v>
      </c>
      <c r="AL76">
        <v>268</v>
      </c>
      <c r="AN76">
        <v>1500</v>
      </c>
      <c r="AP76">
        <v>2300</v>
      </c>
      <c r="AQ76">
        <v>5370</v>
      </c>
      <c r="AR76">
        <v>1435</v>
      </c>
      <c r="AT76">
        <v>1600</v>
      </c>
      <c r="AX76" t="s">
        <v>150</v>
      </c>
    </row>
    <row r="77" spans="1:50" x14ac:dyDescent="0.25">
      <c r="M77" s="1">
        <f>DATA_FEBRERO_2025[[#This Row],[RECUPERO]]/DATA_FEBRERO_2025[[#This Row],[META]]</f>
        <v>1.1860344827586207</v>
      </c>
      <c r="N77" t="str" cm="1">
        <f t="array" ref="N77">IF(DATA_FEBRERO_2025[[#This Row],[ASER_]]="","",IFERROR(_xlfn.IFS(M77&gt;=100%,"&gt;100%",AND(M77&lt;100%,M77&gt;=70%),"&gt;70%",AND(M77&lt;70%,M77&gt;=40%),"&gt;40%",AND(M77&lt;40%,M77&gt;=0%),"&gt;0%"),""))</f>
        <v>&gt;100%</v>
      </c>
      <c r="O77" t="s">
        <v>3</v>
      </c>
      <c r="P77">
        <f>SUM(DATA_FEBRERO_2025[[#This Row],[1]:[31]])</f>
        <v>68790</v>
      </c>
      <c r="Q77">
        <v>58000</v>
      </c>
      <c r="R77" t="s">
        <v>76</v>
      </c>
      <c r="U77">
        <v>400</v>
      </c>
      <c r="V77">
        <v>970</v>
      </c>
      <c r="X77">
        <v>5900</v>
      </c>
      <c r="Y77">
        <v>1220</v>
      </c>
      <c r="AB77">
        <v>1600</v>
      </c>
      <c r="AD77">
        <v>1000</v>
      </c>
      <c r="AI77">
        <v>3800</v>
      </c>
      <c r="AK77">
        <v>600</v>
      </c>
      <c r="AP77">
        <v>24000</v>
      </c>
      <c r="AQ77">
        <v>3000</v>
      </c>
      <c r="AR77">
        <v>13000</v>
      </c>
      <c r="AS77">
        <v>10000</v>
      </c>
      <c r="AT77">
        <v>3300</v>
      </c>
      <c r="AX77" t="s">
        <v>150</v>
      </c>
    </row>
    <row r="78" spans="1:50" x14ac:dyDescent="0.25">
      <c r="M78" s="1">
        <f>DATA_FEBRERO_2025[[#This Row],[RECUPERO]]/DATA_FEBRERO_2025[[#This Row],[META]]</f>
        <v>0.19545454545454546</v>
      </c>
      <c r="N78" t="str" cm="1">
        <f t="array" ref="N78">IF(DATA_FEBRERO_2025[[#This Row],[ASER_]]="","",IFERROR(_xlfn.IFS(M78&gt;=100%,"&gt;100%",AND(M78&lt;100%,M78&gt;=70%),"&gt;70%",AND(M78&lt;70%,M78&gt;=40%),"&gt;40%",AND(M78&lt;40%,M78&gt;=0%),"&gt;0%"),""))</f>
        <v>&gt;0%</v>
      </c>
      <c r="O78" t="s">
        <v>2</v>
      </c>
      <c r="P78">
        <f>SUM(DATA_FEBRERO_2025[[#This Row],[1]:[31]])</f>
        <v>4300</v>
      </c>
      <c r="Q78">
        <v>22000</v>
      </c>
      <c r="R78" t="s">
        <v>39</v>
      </c>
      <c r="AL78">
        <v>200</v>
      </c>
      <c r="AM78">
        <v>200</v>
      </c>
      <c r="AS78">
        <v>984</v>
      </c>
      <c r="AT78">
        <v>2916</v>
      </c>
      <c r="AX78" t="s">
        <v>151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5A01-4B55-4884-A85D-3AD0FA031401}">
  <dimension ref="A2:CI85"/>
  <sheetViews>
    <sheetView zoomScale="55" zoomScaleNormal="55" workbookViewId="0">
      <selection activeCell="K2" sqref="K2"/>
    </sheetView>
  </sheetViews>
  <sheetFormatPr baseColWidth="10" defaultRowHeight="15" x14ac:dyDescent="0.25"/>
  <cols>
    <col min="1" max="1" width="9.28515625" customWidth="1"/>
    <col min="2" max="3" width="22.7109375" customWidth="1"/>
    <col min="4" max="5" width="13.42578125" customWidth="1"/>
    <col min="6" max="6" width="27.28515625" bestFit="1" customWidth="1"/>
    <col min="7" max="7" width="10.28515625" customWidth="1"/>
    <col min="8" max="8" width="11.140625" bestFit="1" customWidth="1"/>
    <col min="9" max="9" width="27.85546875" bestFit="1" customWidth="1"/>
    <col min="10" max="12" width="27.85546875" customWidth="1"/>
    <col min="13" max="13" width="10" customWidth="1"/>
    <col min="14" max="14" width="13.140625" bestFit="1" customWidth="1"/>
    <col min="15" max="15" width="19.85546875" customWidth="1"/>
    <col min="16" max="16" width="22.7109375" customWidth="1"/>
    <col min="17" max="17" width="11.42578125" customWidth="1"/>
    <col min="18" max="18" width="27.28515625" bestFit="1" customWidth="1"/>
    <col min="19" max="19" width="6" bestFit="1" customWidth="1"/>
    <col min="20" max="20" width="12.42578125" bestFit="1" customWidth="1"/>
    <col min="21" max="27" width="6.42578125" bestFit="1" customWidth="1"/>
    <col min="28" max="28" width="7.42578125" bestFit="1" customWidth="1"/>
    <col min="29" max="29" width="7.140625" bestFit="1" customWidth="1"/>
    <col min="30" max="37" width="7.42578125" bestFit="1" customWidth="1"/>
    <col min="38" max="38" width="7.85546875" bestFit="1" customWidth="1"/>
    <col min="39" max="39" width="7.42578125" bestFit="1" customWidth="1"/>
    <col min="40" max="48" width="7.85546875" bestFit="1" customWidth="1"/>
    <col min="49" max="49" width="7.42578125" bestFit="1" customWidth="1"/>
  </cols>
  <sheetData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M2" s="32" t="s">
        <v>166</v>
      </c>
      <c r="N2" s="32" t="s">
        <v>136</v>
      </c>
      <c r="O2" s="32" t="s">
        <v>205</v>
      </c>
    </row>
    <row r="3" spans="1:87" ht="26.25" x14ac:dyDescent="0.4">
      <c r="A3" t="s">
        <v>3</v>
      </c>
      <c r="B3" t="s">
        <v>58</v>
      </c>
      <c r="C3">
        <f>VLOOKUP(D1_MARZO_2025[[#This Row],[SUPER]],DATA_MARZO_2025[[SUPERVISOR]:[META]],3,0)</f>
        <v>62000</v>
      </c>
      <c r="D3">
        <f>D1_MARZO_2025[[#This Row],[RECUPERO]]/D1_MARZO_2025[[#This Row],[META]]</f>
        <v>0</v>
      </c>
      <c r="E3" t="s">
        <v>3</v>
      </c>
      <c r="F3" t="s">
        <v>58</v>
      </c>
      <c r="G3">
        <v>0</v>
      </c>
      <c r="H3" t="s">
        <v>441</v>
      </c>
      <c r="I3" s="56">
        <v>43035</v>
      </c>
      <c r="J3" t="s">
        <v>501</v>
      </c>
      <c r="K3" s="74"/>
      <c r="L3" s="56"/>
      <c r="M3" s="33">
        <v>2025</v>
      </c>
      <c r="N3" s="33" t="s">
        <v>141</v>
      </c>
      <c r="O3" s="33">
        <v>21</v>
      </c>
    </row>
    <row r="4" spans="1:87" x14ac:dyDescent="0.25">
      <c r="A4" t="s">
        <v>3</v>
      </c>
      <c r="B4" t="s">
        <v>53</v>
      </c>
      <c r="C4">
        <f>VLOOKUP(D1_MARZO_2025[[#This Row],[SUPER]],DATA_MARZO_2025[[SUPERVISOR]:[META]],3,0)</f>
        <v>62000</v>
      </c>
      <c r="D4">
        <f>D1_MARZO_2025[[#This Row],[RECUPERO]]/D1_MARZO_2025[[#This Row],[META]]</f>
        <v>0.45325806451612904</v>
      </c>
      <c r="E4" t="s">
        <v>3</v>
      </c>
      <c r="F4" t="s">
        <v>53</v>
      </c>
      <c r="G4">
        <v>28102</v>
      </c>
      <c r="H4" t="s">
        <v>457</v>
      </c>
      <c r="I4" s="56">
        <v>45727</v>
      </c>
      <c r="J4" t="s">
        <v>501</v>
      </c>
      <c r="L4" s="56"/>
    </row>
    <row r="5" spans="1:87" x14ac:dyDescent="0.25">
      <c r="A5" t="s">
        <v>3</v>
      </c>
      <c r="B5" t="s">
        <v>72</v>
      </c>
      <c r="C5">
        <f>VLOOKUP(D1_MARZO_2025[[#This Row],[SUPER]],DATA_MARZO_2025[[SUPERVISOR]:[META]],3,0)</f>
        <v>62000</v>
      </c>
      <c r="D5">
        <f>D1_MARZO_2025[[#This Row],[RECUPERO]]/D1_MARZO_2025[[#This Row],[META]]</f>
        <v>0.69497580645161294</v>
      </c>
      <c r="E5" t="s">
        <v>3</v>
      </c>
      <c r="F5" t="s">
        <v>72</v>
      </c>
      <c r="G5">
        <v>43088.5</v>
      </c>
      <c r="H5" t="s">
        <v>450</v>
      </c>
      <c r="I5" s="56">
        <v>45084</v>
      </c>
      <c r="J5" t="s">
        <v>501</v>
      </c>
      <c r="L5" s="56"/>
    </row>
    <row r="6" spans="1:87" x14ac:dyDescent="0.25">
      <c r="A6" t="s">
        <v>3</v>
      </c>
      <c r="B6" t="s">
        <v>22</v>
      </c>
      <c r="C6">
        <f>VLOOKUP(D1_MARZO_2025[[#This Row],[SUPER]],DATA_MARZO_2025[[SUPERVISOR]:[META]],3,0)</f>
        <v>62000</v>
      </c>
      <c r="D6">
        <f>D1_MARZO_2025[[#This Row],[RECUPERO]]/D1_MARZO_2025[[#This Row],[META]]</f>
        <v>1.3166403225806451</v>
      </c>
      <c r="E6" t="s">
        <v>3</v>
      </c>
      <c r="F6" t="s">
        <v>22</v>
      </c>
      <c r="G6">
        <v>81631.7</v>
      </c>
      <c r="H6" t="s">
        <v>442</v>
      </c>
      <c r="I6" s="56">
        <v>45299</v>
      </c>
      <c r="J6" t="s">
        <v>501</v>
      </c>
      <c r="L6" s="56"/>
    </row>
    <row r="7" spans="1:87" x14ac:dyDescent="0.25">
      <c r="A7" t="s">
        <v>3</v>
      </c>
      <c r="B7" t="s">
        <v>57</v>
      </c>
      <c r="C7">
        <f>VLOOKUP(D1_MARZO_2025[[#This Row],[SUPER]],DATA_MARZO_2025[[SUPERVISOR]:[META]],3,0)</f>
        <v>62000</v>
      </c>
      <c r="D7">
        <f>D1_MARZO_2025[[#This Row],[RECUPERO]]/D1_MARZO_2025[[#This Row],[META]]</f>
        <v>0.85046774193548391</v>
      </c>
      <c r="E7" t="s">
        <v>3</v>
      </c>
      <c r="F7" t="s">
        <v>57</v>
      </c>
      <c r="G7">
        <v>52729</v>
      </c>
      <c r="H7" t="s">
        <v>443</v>
      </c>
      <c r="I7" s="56">
        <v>45590</v>
      </c>
      <c r="J7" t="s">
        <v>501</v>
      </c>
      <c r="L7" s="56"/>
    </row>
    <row r="8" spans="1:87" x14ac:dyDescent="0.25">
      <c r="A8" t="s">
        <v>3</v>
      </c>
      <c r="B8" t="s">
        <v>23</v>
      </c>
      <c r="C8">
        <f>VLOOKUP(D1_MARZO_2025[[#This Row],[SUPER]],DATA_MARZO_2025[[SUPERVISOR]:[META]],3,0)</f>
        <v>62000</v>
      </c>
      <c r="D8">
        <f>D1_MARZO_2025[[#This Row],[RECUPERO]]/D1_MARZO_2025[[#This Row],[META]]</f>
        <v>2.134415322580645</v>
      </c>
      <c r="E8" t="s">
        <v>3</v>
      </c>
      <c r="F8" t="s">
        <v>23</v>
      </c>
      <c r="G8">
        <v>132333.75</v>
      </c>
      <c r="H8" t="s">
        <v>445</v>
      </c>
      <c r="I8" s="56">
        <v>44111</v>
      </c>
      <c r="J8" t="s">
        <v>501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">
        <v>3</v>
      </c>
      <c r="B9" t="s">
        <v>25</v>
      </c>
      <c r="C9">
        <f>VLOOKUP(D1_MARZO_2025[[#This Row],[SUPER]],DATA_MARZO_2025[[SUPERVISOR]:[META]],3,0)</f>
        <v>62000</v>
      </c>
      <c r="D9">
        <f>D1_MARZO_2025[[#This Row],[RECUPERO]]/D1_MARZO_2025[[#This Row],[META]]</f>
        <v>0</v>
      </c>
      <c r="E9" t="s">
        <v>3</v>
      </c>
      <c r="F9" t="s">
        <v>25</v>
      </c>
      <c r="G9">
        <v>0</v>
      </c>
      <c r="H9" t="s">
        <v>446</v>
      </c>
      <c r="I9" s="56">
        <v>44820</v>
      </c>
      <c r="J9" t="s">
        <v>501</v>
      </c>
      <c r="L9" s="56"/>
      <c r="M9" s="1">
        <f>DATA_MARZO_2025[[#This Row],[RECUPERO]]/DATA_MARZO_2025[[#This Row],[META]]</f>
        <v>1.2612121212121212</v>
      </c>
      <c r="N9" t="str" cm="1">
        <f t="array" ref="N9">IF(DATA_MARZO_2025[[#This Row],[ASER_]]="","",IFERROR(_xlfn.IFS(M9&gt;=100%,"&gt;100%",AND(M9&lt;100%,M9&gt;=70%),"&gt;70%",AND(M9&lt;70%,M9&gt;=40%),"&gt;40%",AND(M9&lt;40%,M9&gt;=0%),"&gt;0%"),""))</f>
        <v>&gt;100%</v>
      </c>
      <c r="O9" t="s">
        <v>115</v>
      </c>
      <c r="P9">
        <f>SUM(DATA_MARZO_2025[[#This Row],[1]:[31]])</f>
        <v>20810</v>
      </c>
      <c r="Q9">
        <v>16500</v>
      </c>
      <c r="R9" t="s">
        <v>18</v>
      </c>
      <c r="S9">
        <v>200</v>
      </c>
      <c r="U9">
        <v>4506</v>
      </c>
      <c r="V9">
        <v>900</v>
      </c>
      <c r="W9">
        <v>1456</v>
      </c>
      <c r="X9">
        <v>1020</v>
      </c>
      <c r="AB9">
        <v>590</v>
      </c>
      <c r="AC9">
        <v>500</v>
      </c>
      <c r="AD9">
        <v>1321</v>
      </c>
      <c r="AF9">
        <v>632</v>
      </c>
      <c r="AI9">
        <v>1100</v>
      </c>
      <c r="AJ9">
        <v>350</v>
      </c>
      <c r="AK9">
        <v>400</v>
      </c>
      <c r="AL9">
        <v>2500</v>
      </c>
      <c r="AM9">
        <v>900</v>
      </c>
      <c r="AQ9">
        <v>300</v>
      </c>
      <c r="AR9">
        <v>2890</v>
      </c>
      <c r="AS9">
        <v>845</v>
      </c>
      <c r="AW9">
        <v>400</v>
      </c>
      <c r="AX9" t="s">
        <v>154</v>
      </c>
      <c r="AZ9">
        <v>531100</v>
      </c>
      <c r="BA9" s="11">
        <f>MAX(DITE_MARZO_2025[[#This Row],[1]:[31]])</f>
        <v>422359.64</v>
      </c>
      <c r="BB9" s="17">
        <f>DITE_MARZO_2025[[#This Row],[RECUPERO SUPERVISOR]]/DITE_MARZO_2025[[#This Row],[META SUPER]]</f>
        <v>0.79525445302202979</v>
      </c>
      <c r="BC9" t="s">
        <v>5</v>
      </c>
      <c r="BD9">
        <v>981</v>
      </c>
      <c r="BE9">
        <v>981</v>
      </c>
      <c r="BF9">
        <v>4104</v>
      </c>
      <c r="BG9">
        <v>10739</v>
      </c>
      <c r="BH9">
        <v>18777</v>
      </c>
      <c r="BI9">
        <v>27917</v>
      </c>
      <c r="BJ9">
        <v>56459</v>
      </c>
      <c r="BK9">
        <v>57659</v>
      </c>
      <c r="BL9">
        <v>60309</v>
      </c>
      <c r="BM9">
        <v>64785</v>
      </c>
      <c r="BN9">
        <v>78285</v>
      </c>
      <c r="BO9">
        <v>92567</v>
      </c>
      <c r="BP9">
        <v>104317.1</v>
      </c>
      <c r="BQ9">
        <v>169169.65000000002</v>
      </c>
      <c r="BR9">
        <v>178152.55000000002</v>
      </c>
      <c r="BS9">
        <v>179060.55000000002</v>
      </c>
      <c r="BT9">
        <v>193956.55000000002</v>
      </c>
      <c r="BU9">
        <v>203156.55000000002</v>
      </c>
      <c r="BV9">
        <v>223295.64</v>
      </c>
      <c r="BW9">
        <v>236371.64</v>
      </c>
      <c r="BX9">
        <v>247396.64</v>
      </c>
      <c r="BY9">
        <v>247749.64</v>
      </c>
      <c r="BZ9">
        <v>247749.64</v>
      </c>
      <c r="CA9">
        <v>257239.64</v>
      </c>
      <c r="CB9">
        <v>293381.64</v>
      </c>
      <c r="CC9">
        <v>313861.64</v>
      </c>
      <c r="CD9">
        <v>328605.64</v>
      </c>
      <c r="CE9">
        <v>344807.14</v>
      </c>
      <c r="CF9">
        <v>358322.14</v>
      </c>
      <c r="CG9">
        <v>358322.14</v>
      </c>
      <c r="CH9">
        <v>422359.64</v>
      </c>
      <c r="CI9" s="11" t="s">
        <v>150</v>
      </c>
    </row>
    <row r="10" spans="1:87" x14ac:dyDescent="0.25">
      <c r="A10" t="s">
        <v>3</v>
      </c>
      <c r="B10" t="s">
        <v>107</v>
      </c>
      <c r="C10">
        <f>VLOOKUP(D1_MARZO_2025[[#This Row],[SUPER]],DATA_MARZO_2025[[SUPERVISOR]:[META]],3,0)</f>
        <v>62000</v>
      </c>
      <c r="D10">
        <f>D1_MARZO_2025[[#This Row],[RECUPERO]]/D1_MARZO_2025[[#This Row],[META]]</f>
        <v>0.12419354838709677</v>
      </c>
      <c r="E10" t="s">
        <v>3</v>
      </c>
      <c r="F10" t="s">
        <v>107</v>
      </c>
      <c r="G10">
        <v>7700</v>
      </c>
      <c r="H10" t="s">
        <v>458</v>
      </c>
      <c r="I10" s="56">
        <v>45727</v>
      </c>
      <c r="J10" t="s">
        <v>501</v>
      </c>
      <c r="L10" s="56"/>
      <c r="M10" s="1">
        <f>DATA_MARZO_2025[[#This Row],[RECUPERO]]/DATA_MARZO_2025[[#This Row],[META]]</f>
        <v>0.69114285714285717</v>
      </c>
      <c r="N10" t="str" cm="1">
        <f t="array" ref="N10">IF(DATA_MARZO_2025[[#This Row],[ASER_]]="","",IFERROR(_xlfn.IFS(M10&gt;=100%,"&gt;100%",AND(M10&lt;100%,M10&gt;=70%),"&gt;70%",AND(M10&lt;70%,M10&gt;=40%),"&gt;40%",AND(M10&lt;40%,M10&gt;=0%),"&gt;0%"),""))</f>
        <v>&gt;40%</v>
      </c>
      <c r="O10" t="s">
        <v>9</v>
      </c>
      <c r="P10">
        <f>SUM(DATA_MARZO_2025[[#This Row],[1]:[31]])</f>
        <v>14514</v>
      </c>
      <c r="Q10">
        <v>21000</v>
      </c>
      <c r="R10" t="s">
        <v>21</v>
      </c>
      <c r="U10">
        <v>600</v>
      </c>
      <c r="V10">
        <v>150</v>
      </c>
      <c r="W10">
        <v>1000</v>
      </c>
      <c r="Y10">
        <v>500</v>
      </c>
      <c r="Z10">
        <v>1400</v>
      </c>
      <c r="AB10">
        <v>200</v>
      </c>
      <c r="AJ10">
        <v>564</v>
      </c>
      <c r="AK10">
        <v>2200</v>
      </c>
      <c r="AL10">
        <v>200</v>
      </c>
      <c r="AN10">
        <v>200</v>
      </c>
      <c r="AP10">
        <v>400</v>
      </c>
      <c r="AQ10">
        <v>200</v>
      </c>
      <c r="AR10">
        <v>200</v>
      </c>
      <c r="AS10">
        <v>2100</v>
      </c>
      <c r="AT10">
        <v>500</v>
      </c>
      <c r="AW10">
        <v>4100</v>
      </c>
      <c r="AX10" t="s">
        <v>153</v>
      </c>
      <c r="AZ10">
        <v>174200</v>
      </c>
      <c r="BA10" s="11">
        <f>MAX(DITE_MARZO_2025[[#This Row],[1]:[31]])</f>
        <v>101864</v>
      </c>
      <c r="BB10" s="17">
        <f>DITE_MARZO_2025[[#This Row],[RECUPERO SUPERVISOR]]/DITE_MARZO_2025[[#This Row],[META SUPER]]</f>
        <v>0.58475315729047073</v>
      </c>
      <c r="BC10" t="s">
        <v>2</v>
      </c>
      <c r="BD10">
        <v>200</v>
      </c>
      <c r="BE10">
        <v>200</v>
      </c>
      <c r="BF10">
        <v>3061</v>
      </c>
      <c r="BG10">
        <v>4978</v>
      </c>
      <c r="BH10">
        <v>8744</v>
      </c>
      <c r="BI10">
        <v>13423</v>
      </c>
      <c r="BJ10">
        <v>15398</v>
      </c>
      <c r="BK10">
        <v>16248</v>
      </c>
      <c r="BL10">
        <v>16548</v>
      </c>
      <c r="BM10">
        <v>23267</v>
      </c>
      <c r="BN10">
        <v>31527</v>
      </c>
      <c r="BO10">
        <v>33305</v>
      </c>
      <c r="BP10">
        <v>34295</v>
      </c>
      <c r="BQ10">
        <v>38145</v>
      </c>
      <c r="BR10">
        <v>38395</v>
      </c>
      <c r="BS10">
        <v>38395</v>
      </c>
      <c r="BT10">
        <v>44756</v>
      </c>
      <c r="BU10">
        <v>46256</v>
      </c>
      <c r="BV10">
        <v>48246</v>
      </c>
      <c r="BW10">
        <v>51696</v>
      </c>
      <c r="BX10">
        <v>54413</v>
      </c>
      <c r="BY10">
        <v>54413</v>
      </c>
      <c r="BZ10">
        <v>54413</v>
      </c>
      <c r="CA10">
        <v>59644</v>
      </c>
      <c r="CB10">
        <v>61944</v>
      </c>
      <c r="CC10">
        <v>66544</v>
      </c>
      <c r="CD10">
        <v>71388</v>
      </c>
      <c r="CE10">
        <v>82415</v>
      </c>
      <c r="CF10">
        <v>83565</v>
      </c>
      <c r="CG10">
        <v>84265</v>
      </c>
      <c r="CH10">
        <v>101864</v>
      </c>
      <c r="CI10" s="11" t="s">
        <v>151</v>
      </c>
    </row>
    <row r="11" spans="1:87" x14ac:dyDescent="0.25">
      <c r="A11" t="s">
        <v>3</v>
      </c>
      <c r="B11" t="s">
        <v>63</v>
      </c>
      <c r="C11">
        <f>VLOOKUP(D1_MARZO_2025[[#This Row],[SUPER]],DATA_MARZO_2025[[SUPERVISOR]:[META]],3,0)</f>
        <v>62000</v>
      </c>
      <c r="D11">
        <f>D1_MARZO_2025[[#This Row],[RECUPERO]]/D1_MARZO_2025[[#This Row],[META]]</f>
        <v>1.1488274193548387</v>
      </c>
      <c r="E11" t="s">
        <v>3</v>
      </c>
      <c r="F11" t="s">
        <v>63</v>
      </c>
      <c r="G11">
        <v>71227.3</v>
      </c>
      <c r="H11" t="s">
        <v>447</v>
      </c>
      <c r="I11" s="56">
        <v>45316</v>
      </c>
      <c r="J11" t="s">
        <v>501</v>
      </c>
      <c r="L11" s="56"/>
      <c r="M11" s="1">
        <f>DATA_MARZO_2025[[#This Row],[RECUPERO]]/DATA_MARZO_2025[[#This Row],[META]]</f>
        <v>0</v>
      </c>
      <c r="N11" t="str" cm="1">
        <f t="array" ref="N11">IF(DATA_MARZO_2025[[#This Row],[ASER_]]="","",IFERROR(_xlfn.IFS(M11&gt;=100%,"&gt;100%",AND(M11&lt;100%,M11&gt;=70%),"&gt;70%",AND(M11&lt;70%,M11&gt;=40%),"&gt;40%",AND(M11&lt;40%,M11&gt;=0%),"&gt;0%"),""))</f>
        <v>&gt;0%</v>
      </c>
      <c r="O11" t="s">
        <v>3</v>
      </c>
      <c r="P11">
        <f>SUM(DATA_MARZO_2025[[#This Row],[1]:[31]])</f>
        <v>0</v>
      </c>
      <c r="Q11">
        <v>62000</v>
      </c>
      <c r="R11" t="s">
        <v>58</v>
      </c>
      <c r="AX11" t="s">
        <v>150</v>
      </c>
      <c r="AZ11">
        <v>209900</v>
      </c>
      <c r="BA11" s="11">
        <f>MAX(DITE_MARZO_2025[[#This Row],[1]:[31]])</f>
        <v>166576</v>
      </c>
      <c r="BB11" s="17">
        <f>DITE_MARZO_2025[[#This Row],[RECUPERO SUPERVISOR]]/DITE_MARZO_2025[[#This Row],[META SUPER]]</f>
        <v>0.79359695092901383</v>
      </c>
      <c r="BC11" t="s">
        <v>6</v>
      </c>
      <c r="BD11">
        <v>337</v>
      </c>
      <c r="BE11">
        <v>337</v>
      </c>
      <c r="BF11">
        <v>1377</v>
      </c>
      <c r="BG11">
        <v>14557</v>
      </c>
      <c r="BH11">
        <v>18424</v>
      </c>
      <c r="BI11">
        <v>25114</v>
      </c>
      <c r="BJ11">
        <v>29114</v>
      </c>
      <c r="BK11">
        <v>29614</v>
      </c>
      <c r="BL11">
        <v>29614</v>
      </c>
      <c r="BM11">
        <v>35114</v>
      </c>
      <c r="BN11">
        <v>41964</v>
      </c>
      <c r="BO11">
        <v>49114</v>
      </c>
      <c r="BP11">
        <v>59824</v>
      </c>
      <c r="BQ11">
        <v>68524</v>
      </c>
      <c r="BR11">
        <v>68524</v>
      </c>
      <c r="BS11">
        <v>68524</v>
      </c>
      <c r="BT11">
        <v>94154</v>
      </c>
      <c r="BU11">
        <v>95954</v>
      </c>
      <c r="BV11">
        <v>98054</v>
      </c>
      <c r="BW11">
        <v>99254</v>
      </c>
      <c r="BX11">
        <v>100254</v>
      </c>
      <c r="BY11">
        <v>100254</v>
      </c>
      <c r="BZ11">
        <v>100254</v>
      </c>
      <c r="CA11">
        <v>124914</v>
      </c>
      <c r="CB11">
        <v>125614</v>
      </c>
      <c r="CC11">
        <v>131016</v>
      </c>
      <c r="CD11">
        <v>153846</v>
      </c>
      <c r="CE11">
        <v>155596</v>
      </c>
      <c r="CF11">
        <v>156296</v>
      </c>
      <c r="CG11">
        <v>156846</v>
      </c>
      <c r="CH11">
        <v>166576</v>
      </c>
      <c r="CI11" s="11" t="s">
        <v>152</v>
      </c>
    </row>
    <row r="12" spans="1:87" x14ac:dyDescent="0.25">
      <c r="A12" t="s">
        <v>3</v>
      </c>
      <c r="B12" t="s">
        <v>10</v>
      </c>
      <c r="C12">
        <f>VLOOKUP(D1_MARZO_2025[[#This Row],[SUPER]],DATA_MARZO_2025[[SUPERVISOR]:[META]],3,0)</f>
        <v>62000</v>
      </c>
      <c r="D12">
        <f>D1_MARZO_2025[[#This Row],[RECUPERO]]/D1_MARZO_2025[[#This Row],[META]]</f>
        <v>0.57990322580645159</v>
      </c>
      <c r="E12" t="s">
        <v>3</v>
      </c>
      <c r="F12" t="s">
        <v>10</v>
      </c>
      <c r="G12">
        <v>35954</v>
      </c>
      <c r="H12" t="s">
        <v>449</v>
      </c>
      <c r="I12" s="56">
        <v>44706</v>
      </c>
      <c r="J12" t="s">
        <v>501</v>
      </c>
      <c r="L12" s="56"/>
      <c r="M12" s="1">
        <f>DATA_MARZO_2025[[#This Row],[RECUPERO]]/DATA_MARZO_2025[[#This Row],[META]]</f>
        <v>0.40633870967741936</v>
      </c>
      <c r="N12" t="str" cm="1">
        <f t="array" ref="N12">IF(DATA_MARZO_2025[[#This Row],[ASER_]]="","",IFERROR(_xlfn.IFS(M12&gt;=100%,"&gt;100%",AND(M12&lt;100%,M12&gt;=70%),"&gt;70%",AND(M12&lt;70%,M12&gt;=40%),"&gt;40%",AND(M12&lt;40%,M12&gt;=0%),"&gt;0%"),""))</f>
        <v>&gt;40%</v>
      </c>
      <c r="O12" t="s">
        <v>4</v>
      </c>
      <c r="P12">
        <f>SUM(DATA_MARZO_2025[[#This Row],[1]:[31]])</f>
        <v>25193</v>
      </c>
      <c r="Q12">
        <v>62000</v>
      </c>
      <c r="R12" t="s">
        <v>109</v>
      </c>
      <c r="AG12">
        <v>274</v>
      </c>
      <c r="AI12">
        <v>8000</v>
      </c>
      <c r="AL12">
        <v>7500</v>
      </c>
      <c r="AM12">
        <v>7165</v>
      </c>
      <c r="AN12">
        <v>600</v>
      </c>
      <c r="AQ12">
        <v>1000</v>
      </c>
      <c r="AR12">
        <v>654</v>
      </c>
      <c r="AX12" t="s">
        <v>150</v>
      </c>
      <c r="AZ12">
        <v>200500</v>
      </c>
      <c r="BA12" s="11">
        <f>MAX(DITE_MARZO_2025[[#This Row],[1]:[31]])</f>
        <v>127003.4</v>
      </c>
      <c r="BB12" s="17">
        <f>DITE_MARZO_2025[[#This Row],[RECUPERO SUPERVISOR]]/DITE_MARZO_2025[[#This Row],[META SUPER]]</f>
        <v>0.63343341645885287</v>
      </c>
      <c r="BC12" t="s">
        <v>9</v>
      </c>
      <c r="BD12">
        <v>150</v>
      </c>
      <c r="BE12">
        <v>150</v>
      </c>
      <c r="BF12">
        <v>5339</v>
      </c>
      <c r="BG12">
        <v>6954</v>
      </c>
      <c r="BH12">
        <v>11534</v>
      </c>
      <c r="BI12">
        <v>13444</v>
      </c>
      <c r="BJ12">
        <v>19644</v>
      </c>
      <c r="BK12">
        <v>21244</v>
      </c>
      <c r="BL12">
        <v>21244</v>
      </c>
      <c r="BM12">
        <v>25344</v>
      </c>
      <c r="BN12">
        <v>25744</v>
      </c>
      <c r="BO12">
        <v>27494</v>
      </c>
      <c r="BP12">
        <v>32370</v>
      </c>
      <c r="BQ12">
        <v>40780</v>
      </c>
      <c r="BR12">
        <v>41180</v>
      </c>
      <c r="BS12">
        <v>41180</v>
      </c>
      <c r="BT12">
        <v>45126</v>
      </c>
      <c r="BU12">
        <v>49365</v>
      </c>
      <c r="BV12">
        <v>58565</v>
      </c>
      <c r="BW12">
        <v>63745</v>
      </c>
      <c r="BX12">
        <v>66545</v>
      </c>
      <c r="BY12">
        <v>66945</v>
      </c>
      <c r="BZ12">
        <v>66945</v>
      </c>
      <c r="CA12">
        <v>73700</v>
      </c>
      <c r="CB12">
        <v>78236</v>
      </c>
      <c r="CC12">
        <v>82722</v>
      </c>
      <c r="CD12">
        <v>87072</v>
      </c>
      <c r="CE12">
        <v>91442</v>
      </c>
      <c r="CF12">
        <v>96401</v>
      </c>
      <c r="CG12">
        <v>96801</v>
      </c>
      <c r="CH12">
        <v>127003.4</v>
      </c>
      <c r="CI12" s="11" t="s">
        <v>153</v>
      </c>
    </row>
    <row r="13" spans="1:87" x14ac:dyDescent="0.25">
      <c r="A13" t="s">
        <v>3</v>
      </c>
      <c r="B13" t="s">
        <v>76</v>
      </c>
      <c r="C13">
        <f>VLOOKUP(D1_MARZO_2025[[#This Row],[SUPER]],DATA_MARZO_2025[[SUPERVISOR]:[META]],3,0)</f>
        <v>62000</v>
      </c>
      <c r="D13">
        <f>D1_MARZO_2025[[#This Row],[RECUPERO]]/D1_MARZO_2025[[#This Row],[META]]</f>
        <v>1.4439354838709677</v>
      </c>
      <c r="E13" t="s">
        <v>3</v>
      </c>
      <c r="F13" t="s">
        <v>76</v>
      </c>
      <c r="G13">
        <v>89524</v>
      </c>
      <c r="H13" t="s">
        <v>408</v>
      </c>
      <c r="I13" s="56">
        <v>44819</v>
      </c>
      <c r="J13" t="s">
        <v>501</v>
      </c>
      <c r="L13" s="56"/>
      <c r="M13" s="1">
        <f>DATA_MARZO_2025[[#This Row],[RECUPERO]]/DATA_MARZO_2025[[#This Row],[META]]</f>
        <v>0.59080645161290324</v>
      </c>
      <c r="N13" t="str" cm="1">
        <f t="array" ref="N13">IF(DATA_MARZO_2025[[#This Row],[ASER_]]="","",IFERROR(_xlfn.IFS(M13&gt;=100%,"&gt;100%",AND(M13&lt;100%,M13&gt;=70%),"&gt;70%",AND(M13&lt;70%,M13&gt;=40%),"&gt;40%",AND(M13&lt;40%,M13&gt;=0%),"&gt;0%"),""))</f>
        <v>&gt;40%</v>
      </c>
      <c r="O13" t="s">
        <v>4</v>
      </c>
      <c r="P13">
        <f>SUM(DATA_MARZO_2025[[#This Row],[1]:[31]])</f>
        <v>36630</v>
      </c>
      <c r="Q13">
        <v>62000</v>
      </c>
      <c r="R13" t="s">
        <v>60</v>
      </c>
      <c r="U13">
        <v>271</v>
      </c>
      <c r="X13">
        <v>4000</v>
      </c>
      <c r="Y13">
        <v>1500</v>
      </c>
      <c r="AB13">
        <v>523</v>
      </c>
      <c r="AD13">
        <v>35</v>
      </c>
      <c r="AE13">
        <v>13762</v>
      </c>
      <c r="AF13">
        <v>6000</v>
      </c>
      <c r="AI13">
        <v>800</v>
      </c>
      <c r="AJ13">
        <v>60</v>
      </c>
      <c r="AQ13">
        <v>586</v>
      </c>
      <c r="AS13">
        <v>600</v>
      </c>
      <c r="AT13">
        <v>2000</v>
      </c>
      <c r="AU13">
        <v>800</v>
      </c>
      <c r="AW13">
        <v>5693</v>
      </c>
      <c r="AX13" t="s">
        <v>150</v>
      </c>
      <c r="AZ13">
        <v>531100</v>
      </c>
      <c r="BA13" s="11">
        <f>MAX(DITE_MARZO_2025[[#This Row],[1]:[31]])</f>
        <v>333396.75</v>
      </c>
      <c r="BB13" s="17">
        <f>DITE_MARZO_2025[[#This Row],[RECUPERO SUPERVISOR]]/DITE_MARZO_2025[[#This Row],[META SUPER]]</f>
        <v>0.62774759932216151</v>
      </c>
      <c r="BC13" t="s">
        <v>4</v>
      </c>
      <c r="BD13">
        <v>2184</v>
      </c>
      <c r="BE13">
        <v>2184</v>
      </c>
      <c r="BF13">
        <v>2455</v>
      </c>
      <c r="BG13">
        <v>3825</v>
      </c>
      <c r="BH13">
        <v>4979</v>
      </c>
      <c r="BI13">
        <v>9979</v>
      </c>
      <c r="BJ13">
        <v>17534</v>
      </c>
      <c r="BK13">
        <v>17534</v>
      </c>
      <c r="BL13">
        <v>17534</v>
      </c>
      <c r="BM13">
        <v>28157</v>
      </c>
      <c r="BN13">
        <v>29730</v>
      </c>
      <c r="BO13">
        <v>48865</v>
      </c>
      <c r="BP13">
        <v>67627</v>
      </c>
      <c r="BQ13">
        <v>92957</v>
      </c>
      <c r="BR13">
        <v>94631</v>
      </c>
      <c r="BS13">
        <v>95031</v>
      </c>
      <c r="BT13">
        <v>107368</v>
      </c>
      <c r="BU13">
        <v>122320</v>
      </c>
      <c r="BV13">
        <v>136420</v>
      </c>
      <c r="BW13">
        <v>150562</v>
      </c>
      <c r="BX13">
        <v>196652</v>
      </c>
      <c r="BY13">
        <v>200852</v>
      </c>
      <c r="BZ13">
        <v>202352</v>
      </c>
      <c r="CA13">
        <v>208152</v>
      </c>
      <c r="CB13">
        <v>237076</v>
      </c>
      <c r="CC13">
        <v>250442</v>
      </c>
      <c r="CD13">
        <v>256098.75</v>
      </c>
      <c r="CE13">
        <v>275290.75</v>
      </c>
      <c r="CF13">
        <v>288890.75</v>
      </c>
      <c r="CG13">
        <v>289490.75</v>
      </c>
      <c r="CH13">
        <v>333396.75</v>
      </c>
      <c r="CI13" s="11" t="s">
        <v>150</v>
      </c>
    </row>
    <row r="14" spans="1:87" x14ac:dyDescent="0.25">
      <c r="A14" t="s">
        <v>4</v>
      </c>
      <c r="B14" t="s">
        <v>109</v>
      </c>
      <c r="C14">
        <f>VLOOKUP(D1_MARZO_2025[[#This Row],[SUPER]],DATA_MARZO_2025[[SUPERVISOR]:[META]],3,0)</f>
        <v>62000</v>
      </c>
      <c r="D14">
        <f>D1_MARZO_2025[[#This Row],[RECUPERO]]/D1_MARZO_2025[[#This Row],[META]]</f>
        <v>0.40633870967741936</v>
      </c>
      <c r="E14" t="s">
        <v>4</v>
      </c>
      <c r="F14" t="s">
        <v>109</v>
      </c>
      <c r="G14">
        <v>25193</v>
      </c>
      <c r="H14" t="s">
        <v>422</v>
      </c>
      <c r="I14" s="56">
        <v>45334</v>
      </c>
      <c r="J14" t="s">
        <v>501</v>
      </c>
      <c r="L14" s="56"/>
      <c r="M14" s="1">
        <f>DATA_MARZO_2025[[#This Row],[RECUPERO]]/DATA_MARZO_2025[[#This Row],[META]]</f>
        <v>0</v>
      </c>
      <c r="N14" t="str" cm="1">
        <f t="array" ref="N14">IF(DATA_MARZO_2025[[#This Row],[ASER_]]="","",IFERROR(_xlfn.IFS(M14&gt;=100%,"&gt;100%",AND(M14&lt;100%,M14&gt;=70%),"&gt;70%",AND(M14&lt;70%,M14&gt;=40%),"&gt;40%",AND(M14&lt;40%,M14&gt;=0%),"&gt;0%"),""))</f>
        <v>&gt;0%</v>
      </c>
      <c r="O14" t="s">
        <v>9</v>
      </c>
      <c r="P14">
        <f>SUM(DATA_MARZO_2025[[#This Row],[1]:[31]])</f>
        <v>0</v>
      </c>
      <c r="Q14">
        <v>21000</v>
      </c>
      <c r="R14" t="s">
        <v>15</v>
      </c>
      <c r="AX14" t="s">
        <v>153</v>
      </c>
      <c r="AZ14">
        <v>108600</v>
      </c>
      <c r="BA14" s="11">
        <f>MAX(DITE_MARZO_2025[[#This Row],[1]:[31]])</f>
        <v>119608.9</v>
      </c>
      <c r="BB14" s="17">
        <f>DITE_MARZO_2025[[#This Row],[RECUPERO SUPERVISOR]]/DITE_MARZO_2025[[#This Row],[META SUPER]]</f>
        <v>1.1013710865561694</v>
      </c>
      <c r="BC14" t="s">
        <v>115</v>
      </c>
      <c r="BD14">
        <v>2550</v>
      </c>
      <c r="BE14">
        <v>2800</v>
      </c>
      <c r="BF14">
        <v>8536</v>
      </c>
      <c r="BG14">
        <v>12352</v>
      </c>
      <c r="BH14">
        <v>17938.5</v>
      </c>
      <c r="BI14">
        <v>22592.5</v>
      </c>
      <c r="BJ14">
        <v>24931.5</v>
      </c>
      <c r="BK14">
        <v>25399.5</v>
      </c>
      <c r="BL14">
        <v>25399.5</v>
      </c>
      <c r="BM14">
        <v>31459.5</v>
      </c>
      <c r="BN14">
        <v>34906.5</v>
      </c>
      <c r="BO14">
        <v>41612.5</v>
      </c>
      <c r="BP14">
        <v>45212.5</v>
      </c>
      <c r="BQ14">
        <v>47756.5</v>
      </c>
      <c r="BR14">
        <v>47756.5</v>
      </c>
      <c r="BS14">
        <v>47906.5</v>
      </c>
      <c r="BT14">
        <v>53642.5</v>
      </c>
      <c r="BU14">
        <v>58730.5</v>
      </c>
      <c r="BV14">
        <v>60827.5</v>
      </c>
      <c r="BW14">
        <v>66171.5</v>
      </c>
      <c r="BX14">
        <v>74982.5</v>
      </c>
      <c r="BY14">
        <v>76282.5</v>
      </c>
      <c r="BZ14">
        <v>76282.5</v>
      </c>
      <c r="CA14">
        <v>83435.5</v>
      </c>
      <c r="CB14">
        <v>87425.5</v>
      </c>
      <c r="CC14">
        <v>95543.9</v>
      </c>
      <c r="CD14">
        <v>103633.9</v>
      </c>
      <c r="CE14">
        <v>111352.9</v>
      </c>
      <c r="CF14">
        <v>113180.9</v>
      </c>
      <c r="CG14">
        <v>113180.9</v>
      </c>
      <c r="CH14">
        <v>119608.9</v>
      </c>
      <c r="CI14" s="11" t="s">
        <v>154</v>
      </c>
    </row>
    <row r="15" spans="1:87" x14ac:dyDescent="0.25">
      <c r="A15" t="s">
        <v>4</v>
      </c>
      <c r="B15" t="s">
        <v>40</v>
      </c>
      <c r="C15">
        <f>VLOOKUP(D1_MARZO_2025[[#This Row],[SUPER]],DATA_MARZO_2025[[SUPERVISOR]:[META]],3,0)</f>
        <v>62000</v>
      </c>
      <c r="D15">
        <f>D1_MARZO_2025[[#This Row],[RECUPERO]]/D1_MARZO_2025[[#This Row],[META]]</f>
        <v>0.44693548387096776</v>
      </c>
      <c r="E15" t="s">
        <v>4</v>
      </c>
      <c r="F15" t="s">
        <v>40</v>
      </c>
      <c r="G15">
        <v>27710</v>
      </c>
      <c r="H15" t="s">
        <v>424</v>
      </c>
      <c r="I15" s="56">
        <v>45429</v>
      </c>
      <c r="J15" t="s">
        <v>501</v>
      </c>
      <c r="L15" s="56"/>
      <c r="M15" s="1">
        <f>DATA_MARZO_2025[[#This Row],[RECUPERO]]/DATA_MARZO_2025[[#This Row],[META]]</f>
        <v>0.65578225806451618</v>
      </c>
      <c r="N15" t="str" cm="1">
        <f t="array" ref="N15">IF(DATA_MARZO_2025[[#This Row],[ASER_]]="","",IFERROR(_xlfn.IFS(M15&gt;=100%,"&gt;100%",AND(M15&lt;100%,M15&gt;=70%),"&gt;70%",AND(M15&lt;70%,M15&gt;=40%),"&gt;40%",AND(M15&lt;40%,M15&gt;=0%),"&gt;0%"),""))</f>
        <v>&gt;40%</v>
      </c>
      <c r="O15" t="s">
        <v>5</v>
      </c>
      <c r="P15">
        <f>SUM(DATA_MARZO_2025[[#This Row],[1]:[31]])</f>
        <v>40658.5</v>
      </c>
      <c r="Q15">
        <v>62000</v>
      </c>
      <c r="R15" t="s">
        <v>85</v>
      </c>
      <c r="V15">
        <v>3500</v>
      </c>
      <c r="W15">
        <v>1490</v>
      </c>
      <c r="X15">
        <v>440</v>
      </c>
      <c r="Y15">
        <v>342</v>
      </c>
      <c r="AA15">
        <v>650</v>
      </c>
      <c r="AB15">
        <v>2600</v>
      </c>
      <c r="AD15">
        <v>1282</v>
      </c>
      <c r="AF15">
        <v>6310</v>
      </c>
      <c r="AG15">
        <v>132.5</v>
      </c>
      <c r="AI15">
        <v>1279</v>
      </c>
      <c r="AK15">
        <v>10000</v>
      </c>
      <c r="AM15">
        <v>600</v>
      </c>
      <c r="AQ15">
        <v>2282</v>
      </c>
      <c r="AS15">
        <v>280</v>
      </c>
      <c r="AT15">
        <v>1742.5</v>
      </c>
      <c r="AW15">
        <v>7728.5</v>
      </c>
      <c r="AX15" t="s">
        <v>150</v>
      </c>
      <c r="AZ15">
        <v>531100</v>
      </c>
      <c r="BA15" s="11">
        <f>MAX(DITE_MARZO_2025[[#This Row],[1]:[31]])</f>
        <v>552290.25</v>
      </c>
      <c r="BB15" s="17">
        <f>DITE_MARZO_2025[[#This Row],[RECUPERO SUPERVISOR]]/DITE_MARZO_2025[[#This Row],[META SUPER]]</f>
        <v>1.0398987949538694</v>
      </c>
      <c r="BC15" t="s">
        <v>3</v>
      </c>
      <c r="BD15">
        <v>748</v>
      </c>
      <c r="BE15">
        <v>1445.3</v>
      </c>
      <c r="BF15">
        <v>24385.3</v>
      </c>
      <c r="BG15">
        <v>32953.300000000003</v>
      </c>
      <c r="BH15">
        <v>69075.3</v>
      </c>
      <c r="BI15">
        <v>137915.29999999999</v>
      </c>
      <c r="BJ15">
        <v>147338.79999999999</v>
      </c>
      <c r="BK15">
        <v>153920.79999999999</v>
      </c>
      <c r="BL15">
        <v>153920.79999999999</v>
      </c>
      <c r="BM15">
        <v>167684.79999999999</v>
      </c>
      <c r="BN15">
        <v>171020.5</v>
      </c>
      <c r="BO15">
        <v>206377.5</v>
      </c>
      <c r="BP15">
        <v>218308</v>
      </c>
      <c r="BQ15">
        <v>241266</v>
      </c>
      <c r="BR15">
        <v>242392</v>
      </c>
      <c r="BS15">
        <v>242392</v>
      </c>
      <c r="BT15">
        <v>271723</v>
      </c>
      <c r="BU15">
        <v>290873.25</v>
      </c>
      <c r="BV15">
        <v>350199.25</v>
      </c>
      <c r="BW15">
        <v>361136.25</v>
      </c>
      <c r="BX15">
        <v>380703.25</v>
      </c>
      <c r="BY15">
        <v>392462.25</v>
      </c>
      <c r="BZ15">
        <v>392462.25</v>
      </c>
      <c r="CA15">
        <v>398092.25</v>
      </c>
      <c r="CB15">
        <v>409999.25</v>
      </c>
      <c r="CC15">
        <v>434677.25</v>
      </c>
      <c r="CD15">
        <v>470998.25</v>
      </c>
      <c r="CE15">
        <v>498681.25</v>
      </c>
      <c r="CF15">
        <v>507573.25</v>
      </c>
      <c r="CG15">
        <v>509279.25</v>
      </c>
      <c r="CH15">
        <v>552290.25</v>
      </c>
      <c r="CI15" s="11" t="s">
        <v>150</v>
      </c>
    </row>
    <row r="16" spans="1:87" x14ac:dyDescent="0.25">
      <c r="A16" t="s">
        <v>4</v>
      </c>
      <c r="B16" t="s">
        <v>20</v>
      </c>
      <c r="C16">
        <f>VLOOKUP(D1_MARZO_2025[[#This Row],[SUPER]],DATA_MARZO_2025[[SUPERVISOR]:[META]],3,0)</f>
        <v>62000</v>
      </c>
      <c r="D16">
        <f>D1_MARZO_2025[[#This Row],[RECUPERO]]/D1_MARZO_2025[[#This Row],[META]]</f>
        <v>0.2983064516129032</v>
      </c>
      <c r="E16" t="s">
        <v>4</v>
      </c>
      <c r="F16" t="s">
        <v>20</v>
      </c>
      <c r="G16">
        <v>18495</v>
      </c>
      <c r="H16" t="s">
        <v>427</v>
      </c>
      <c r="I16" s="56">
        <v>45142</v>
      </c>
      <c r="J16" t="s">
        <v>501</v>
      </c>
      <c r="L16" s="56"/>
      <c r="M16" s="1">
        <f>DATA_MARZO_2025[[#This Row],[RECUPERO]]/DATA_MARZO_2025[[#This Row],[META]]</f>
        <v>1.6418725806451613</v>
      </c>
      <c r="N16" t="str" cm="1">
        <f t="array" ref="N16">IF(DATA_MARZO_2025[[#This Row],[ASER_]]="","",IFERROR(_xlfn.IFS(M16&gt;=100%,"&gt;100%",AND(M16&lt;100%,M16&gt;=70%),"&gt;70%",AND(M16&lt;70%,M16&gt;=40%),"&gt;40%",AND(M16&lt;40%,M16&gt;=0%),"&gt;0%"),""))</f>
        <v>&gt;100%</v>
      </c>
      <c r="O16" t="s">
        <v>5</v>
      </c>
      <c r="P16">
        <f>SUM(DATA_MARZO_2025[[#This Row],[1]:[31]])</f>
        <v>101796.1</v>
      </c>
      <c r="Q16">
        <v>62000</v>
      </c>
      <c r="R16" t="s">
        <v>67</v>
      </c>
      <c r="S16">
        <v>521</v>
      </c>
      <c r="U16">
        <v>498</v>
      </c>
      <c r="V16">
        <v>935</v>
      </c>
      <c r="X16">
        <v>700</v>
      </c>
      <c r="Y16">
        <v>5000</v>
      </c>
      <c r="AA16">
        <v>2000</v>
      </c>
      <c r="AB16">
        <v>500</v>
      </c>
      <c r="AC16">
        <v>8500</v>
      </c>
      <c r="AF16">
        <v>15800.7</v>
      </c>
      <c r="AG16">
        <v>8000.4</v>
      </c>
      <c r="AI16">
        <v>8957</v>
      </c>
      <c r="AJ16">
        <v>300</v>
      </c>
      <c r="AK16">
        <v>2500</v>
      </c>
      <c r="AL16">
        <v>3000</v>
      </c>
      <c r="AM16">
        <v>1920</v>
      </c>
      <c r="AN16">
        <v>353</v>
      </c>
      <c r="AR16">
        <v>2000</v>
      </c>
      <c r="AS16">
        <v>2498</v>
      </c>
      <c r="AT16">
        <v>4000</v>
      </c>
      <c r="AU16">
        <v>4820</v>
      </c>
      <c r="AW16">
        <v>28993</v>
      </c>
      <c r="AX16" t="s">
        <v>150</v>
      </c>
    </row>
    <row r="17" spans="1:50" x14ac:dyDescent="0.25">
      <c r="A17" t="s">
        <v>4</v>
      </c>
      <c r="B17" t="s">
        <v>29</v>
      </c>
      <c r="C17">
        <f>VLOOKUP(D1_MARZO_2025[[#This Row],[SUPER]],DATA_MARZO_2025[[SUPERVISOR]:[META]],3,0)</f>
        <v>62000</v>
      </c>
      <c r="D17">
        <f>D1_MARZO_2025[[#This Row],[RECUPERO]]/D1_MARZO_2025[[#This Row],[META]]</f>
        <v>0.35506048387096772</v>
      </c>
      <c r="E17" t="s">
        <v>4</v>
      </c>
      <c r="F17" t="s">
        <v>29</v>
      </c>
      <c r="G17">
        <v>22013.75</v>
      </c>
      <c r="H17" t="s">
        <v>416</v>
      </c>
      <c r="I17" s="56">
        <v>44687</v>
      </c>
      <c r="J17" t="s">
        <v>501</v>
      </c>
      <c r="L17" s="56"/>
      <c r="M17" s="1">
        <f>DATA_MARZO_2025[[#This Row],[RECUPERO]]/DATA_MARZO_2025[[#This Row],[META]]</f>
        <v>1.2121212121212121E-2</v>
      </c>
      <c r="N17" t="str" cm="1">
        <f t="array" ref="N17">IF(DATA_MARZO_2025[[#This Row],[ASER_]]="","",IFERROR(_xlfn.IFS(M17&gt;=100%,"&gt;100%",AND(M17&lt;100%,M17&gt;=70%),"&gt;70%",AND(M17&lt;70%,M17&gt;=40%),"&gt;40%",AND(M17&lt;40%,M17&gt;=0%),"&gt;0%"),""))</f>
        <v>&gt;0%</v>
      </c>
      <c r="O17" t="s">
        <v>115</v>
      </c>
      <c r="P17">
        <f>SUM(DATA_MARZO_2025[[#This Row],[1]:[31]])</f>
        <v>200</v>
      </c>
      <c r="Q17">
        <v>16500</v>
      </c>
      <c r="R17" t="s">
        <v>14</v>
      </c>
      <c r="S17">
        <v>200</v>
      </c>
      <c r="AX17" t="s">
        <v>154</v>
      </c>
    </row>
    <row r="18" spans="1:50" x14ac:dyDescent="0.25">
      <c r="A18" t="s">
        <v>4</v>
      </c>
      <c r="B18" t="s">
        <v>75</v>
      </c>
      <c r="C18">
        <f>VLOOKUP(D1_MARZO_2025[[#This Row],[SUPER]],DATA_MARZO_2025[[SUPERVISOR]:[META]],3,0)</f>
        <v>62000</v>
      </c>
      <c r="D18">
        <f>D1_MARZO_2025[[#This Row],[RECUPERO]]/D1_MARZO_2025[[#This Row],[META]]</f>
        <v>1.1865483870967741</v>
      </c>
      <c r="E18" t="s">
        <v>4</v>
      </c>
      <c r="F18" t="s">
        <v>75</v>
      </c>
      <c r="G18">
        <v>73566</v>
      </c>
      <c r="H18" t="s">
        <v>428</v>
      </c>
      <c r="I18" s="56">
        <v>44716</v>
      </c>
      <c r="J18" t="s">
        <v>501</v>
      </c>
      <c r="L18" s="56"/>
      <c r="M18" s="1">
        <f>DATA_MARZO_2025[[#This Row],[RECUPERO]]/DATA_MARZO_2025[[#This Row],[META]]</f>
        <v>1.0904761904761904</v>
      </c>
      <c r="N18" t="str" cm="1">
        <f t="array" ref="N18">IF(DATA_MARZO_2025[[#This Row],[ASER_]]="","",IFERROR(_xlfn.IFS(M18&gt;=100%,"&gt;100%",AND(M18&lt;100%,M18&gt;=70%),"&gt;70%",AND(M18&lt;70%,M18&gt;=40%),"&gt;40%",AND(M18&lt;40%,M18&gt;=0%),"&gt;0%"),""))</f>
        <v>&gt;100%</v>
      </c>
      <c r="O18" t="s">
        <v>6</v>
      </c>
      <c r="P18">
        <f>SUM(DATA_MARZO_2025[[#This Row],[1]:[31]])</f>
        <v>22900</v>
      </c>
      <c r="Q18">
        <v>21000</v>
      </c>
      <c r="R18" t="s">
        <v>118</v>
      </c>
      <c r="X18">
        <v>1000</v>
      </c>
      <c r="AC18">
        <v>3000</v>
      </c>
      <c r="AD18">
        <v>5000</v>
      </c>
      <c r="AE18">
        <v>400</v>
      </c>
      <c r="AF18">
        <v>1750</v>
      </c>
      <c r="AI18">
        <v>850</v>
      </c>
      <c r="AS18">
        <v>3250</v>
      </c>
      <c r="AT18">
        <v>300</v>
      </c>
      <c r="AW18">
        <v>7350</v>
      </c>
      <c r="AX18" t="s">
        <v>152</v>
      </c>
    </row>
    <row r="19" spans="1:50" x14ac:dyDescent="0.25">
      <c r="A19" t="s">
        <v>4</v>
      </c>
      <c r="B19" t="s">
        <v>64</v>
      </c>
      <c r="C19">
        <f>VLOOKUP(D1_MARZO_2025[[#This Row],[SUPER]],DATA_MARZO_2025[[SUPERVISOR]:[META]],3,0)</f>
        <v>62000</v>
      </c>
      <c r="D19">
        <f>D1_MARZO_2025[[#This Row],[RECUPERO]]/D1_MARZO_2025[[#This Row],[META]]</f>
        <v>0.29919354838709677</v>
      </c>
      <c r="E19" t="s">
        <v>4</v>
      </c>
      <c r="F19" t="s">
        <v>64</v>
      </c>
      <c r="G19">
        <v>18550</v>
      </c>
      <c r="H19" t="s">
        <v>455</v>
      </c>
      <c r="I19" s="56">
        <v>45700</v>
      </c>
      <c r="J19" t="s">
        <v>501</v>
      </c>
      <c r="L19" s="56"/>
      <c r="M19" s="1">
        <f>DATA_MARZO_2025[[#This Row],[RECUPERO]]/DATA_MARZO_2025[[#This Row],[META]]</f>
        <v>0.48303030303030303</v>
      </c>
      <c r="N19" t="str" cm="1">
        <f t="array" ref="N19">IF(DATA_MARZO_2025[[#This Row],[ASER_]]="","",IFERROR(_xlfn.IFS(M19&gt;=100%,"&gt;100%",AND(M19&lt;100%,M19&gt;=70%),"&gt;70%",AND(M19&lt;70%,M19&gt;=40%),"&gt;40%",AND(M19&lt;40%,M19&gt;=0%),"&gt;0%"),""))</f>
        <v>&gt;40%</v>
      </c>
      <c r="O19" t="s">
        <v>115</v>
      </c>
      <c r="P19">
        <f>SUM(DATA_MARZO_2025[[#This Row],[1]:[31]])</f>
        <v>7970</v>
      </c>
      <c r="Q19">
        <v>16500</v>
      </c>
      <c r="R19" t="s">
        <v>104</v>
      </c>
      <c r="V19">
        <v>90</v>
      </c>
      <c r="AB19">
        <v>175</v>
      </c>
      <c r="AE19">
        <v>850</v>
      </c>
      <c r="AF19">
        <v>300</v>
      </c>
      <c r="AI19">
        <v>2000</v>
      </c>
      <c r="AJ19">
        <v>550</v>
      </c>
      <c r="AK19">
        <v>650</v>
      </c>
      <c r="AL19">
        <v>35</v>
      </c>
      <c r="AP19">
        <v>900</v>
      </c>
      <c r="AR19">
        <v>420</v>
      </c>
      <c r="AS19">
        <v>1250</v>
      </c>
      <c r="AT19">
        <v>650</v>
      </c>
      <c r="AW19">
        <v>100</v>
      </c>
      <c r="AX19" t="s">
        <v>154</v>
      </c>
    </row>
    <row r="20" spans="1:50" x14ac:dyDescent="0.25">
      <c r="A20" t="s">
        <v>4</v>
      </c>
      <c r="B20" t="s">
        <v>11</v>
      </c>
      <c r="C20">
        <f>VLOOKUP(D1_MARZO_2025[[#This Row],[SUPER]],DATA_MARZO_2025[[SUPERVISOR]:[META]],3,0)</f>
        <v>62000</v>
      </c>
      <c r="D20">
        <f>D1_MARZO_2025[[#This Row],[RECUPERO]]/D1_MARZO_2025[[#This Row],[META]]</f>
        <v>0</v>
      </c>
      <c r="E20" t="s">
        <v>4</v>
      </c>
      <c r="F20" t="s">
        <v>11</v>
      </c>
      <c r="G20">
        <v>0</v>
      </c>
      <c r="H20" t="s">
        <v>429</v>
      </c>
      <c r="I20" s="56">
        <v>45371</v>
      </c>
      <c r="J20" t="s">
        <v>501</v>
      </c>
      <c r="L20" s="56"/>
      <c r="M20" s="1">
        <f>DATA_MARZO_2025[[#This Row],[RECUPERO]]/DATA_MARZO_2025[[#This Row],[META]]</f>
        <v>1.8139047619047619</v>
      </c>
      <c r="N20" t="str" cm="1">
        <f t="array" ref="N20">IF(DATA_MARZO_2025[[#This Row],[ASER_]]="","",IFERROR(_xlfn.IFS(M20&gt;=100%,"&gt;100%",AND(M20&lt;100%,M20&gt;=70%),"&gt;70%",AND(M20&lt;70%,M20&gt;=40%),"&gt;40%",AND(M20&lt;40%,M20&gt;=0%),"&gt;0%"),""))</f>
        <v>&gt;100%</v>
      </c>
      <c r="O20" t="s">
        <v>6</v>
      </c>
      <c r="P20">
        <f>SUM(DATA_MARZO_2025[[#This Row],[1]:[31]])</f>
        <v>38092</v>
      </c>
      <c r="Q20">
        <v>21000</v>
      </c>
      <c r="R20" t="s">
        <v>19</v>
      </c>
      <c r="V20">
        <v>1000</v>
      </c>
      <c r="Z20">
        <v>500</v>
      </c>
      <c r="AD20">
        <v>100</v>
      </c>
      <c r="AE20">
        <v>8710</v>
      </c>
      <c r="AI20">
        <v>600</v>
      </c>
      <c r="AK20">
        <v>1000</v>
      </c>
      <c r="AP20">
        <v>20000</v>
      </c>
      <c r="AR20">
        <v>1182</v>
      </c>
      <c r="AS20">
        <v>5000</v>
      </c>
      <c r="AX20" t="s">
        <v>152</v>
      </c>
    </row>
    <row r="21" spans="1:50" x14ac:dyDescent="0.25">
      <c r="A21" t="s">
        <v>4</v>
      </c>
      <c r="B21" t="s">
        <v>59</v>
      </c>
      <c r="C21">
        <f>VLOOKUP(D1_MARZO_2025[[#This Row],[SUPER]],DATA_MARZO_2025[[SUPERVISOR]:[META]],3,0)</f>
        <v>62000</v>
      </c>
      <c r="D21">
        <f>D1_MARZO_2025[[#This Row],[RECUPERO]]/D1_MARZO_2025[[#This Row],[META]]</f>
        <v>1.4399354838709677</v>
      </c>
      <c r="E21" t="s">
        <v>4</v>
      </c>
      <c r="F21" t="s">
        <v>59</v>
      </c>
      <c r="G21">
        <v>89276</v>
      </c>
      <c r="H21" t="s">
        <v>430</v>
      </c>
      <c r="I21" s="56">
        <v>45348</v>
      </c>
      <c r="J21" t="s">
        <v>501</v>
      </c>
      <c r="L21" s="56"/>
      <c r="M21" s="1">
        <f>DATA_MARZO_2025[[#This Row],[RECUPERO]]/DATA_MARZO_2025[[#This Row],[META]]</f>
        <v>0.45325806451612904</v>
      </c>
      <c r="N21" t="str" cm="1">
        <f t="array" ref="N21">IF(DATA_MARZO_2025[[#This Row],[ASER_]]="","",IFERROR(_xlfn.IFS(M21&gt;=100%,"&gt;100%",AND(M21&lt;100%,M21&gt;=70%),"&gt;70%",AND(M21&lt;70%,M21&gt;=40%),"&gt;40%",AND(M21&lt;40%,M21&gt;=0%),"&gt;0%"),""))</f>
        <v>&gt;40%</v>
      </c>
      <c r="O21" t="s">
        <v>3</v>
      </c>
      <c r="P21">
        <f>SUM(DATA_MARZO_2025[[#This Row],[1]:[31]])</f>
        <v>28102</v>
      </c>
      <c r="Q21">
        <v>62000</v>
      </c>
      <c r="R21" t="s">
        <v>53</v>
      </c>
      <c r="AB21">
        <v>700</v>
      </c>
      <c r="AF21">
        <v>4000</v>
      </c>
      <c r="AK21">
        <v>10300</v>
      </c>
      <c r="AM21">
        <v>600</v>
      </c>
      <c r="AR21">
        <v>1500</v>
      </c>
      <c r="AU21">
        <v>4002</v>
      </c>
      <c r="AW21">
        <v>7000</v>
      </c>
      <c r="AX21" t="s">
        <v>150</v>
      </c>
    </row>
    <row r="22" spans="1:50" x14ac:dyDescent="0.25">
      <c r="A22" t="s">
        <v>2</v>
      </c>
      <c r="B22" t="s">
        <v>41</v>
      </c>
      <c r="C22">
        <f>VLOOKUP(D1_MARZO_2025[[#This Row],[SUPER]],DATA_MARZO_2025[[SUPERVISOR]:[META]],3,0)</f>
        <v>24000</v>
      </c>
      <c r="D22">
        <f>D1_MARZO_2025[[#This Row],[RECUPERO]]/D1_MARZO_2025[[#This Row],[META]]</f>
        <v>0.25620833333333332</v>
      </c>
      <c r="E22" t="s">
        <v>2</v>
      </c>
      <c r="F22" t="s">
        <v>41</v>
      </c>
      <c r="G22">
        <v>6149</v>
      </c>
      <c r="H22" t="s">
        <v>387</v>
      </c>
      <c r="I22" s="56">
        <v>45304</v>
      </c>
      <c r="J22" t="s">
        <v>501</v>
      </c>
      <c r="L22" s="56"/>
      <c r="M22" s="1">
        <f>DATA_MARZO_2025[[#This Row],[RECUPERO]]/DATA_MARZO_2025[[#This Row],[META]]</f>
        <v>0.25620833333333332</v>
      </c>
      <c r="N22" t="str" cm="1">
        <f t="array" ref="N22">IF(DATA_MARZO_2025[[#This Row],[ASER_]]="","",IFERROR(_xlfn.IFS(M22&gt;=100%,"&gt;100%",AND(M22&lt;100%,M22&gt;=70%),"&gt;70%",AND(M22&lt;70%,M22&gt;=40%),"&gt;40%",AND(M22&lt;40%,M22&gt;=0%),"&gt;0%"),""))</f>
        <v>&gt;0%</v>
      </c>
      <c r="O22" t="s">
        <v>2</v>
      </c>
      <c r="P22">
        <f>SUM(DATA_MARZO_2025[[#This Row],[1]:[31]])</f>
        <v>6149</v>
      </c>
      <c r="Q22">
        <v>24000</v>
      </c>
      <c r="R22" t="s">
        <v>41</v>
      </c>
      <c r="U22">
        <v>300</v>
      </c>
      <c r="V22">
        <v>150</v>
      </c>
      <c r="W22">
        <v>160</v>
      </c>
      <c r="AB22">
        <v>869</v>
      </c>
      <c r="AC22">
        <v>100</v>
      </c>
      <c r="AF22">
        <v>1000</v>
      </c>
      <c r="AJ22">
        <v>300</v>
      </c>
      <c r="AK22">
        <v>860</v>
      </c>
      <c r="AP22">
        <v>150</v>
      </c>
      <c r="AQ22">
        <v>550</v>
      </c>
      <c r="AR22">
        <v>1000</v>
      </c>
      <c r="AT22">
        <v>160</v>
      </c>
      <c r="AU22">
        <v>350</v>
      </c>
      <c r="AW22">
        <v>200</v>
      </c>
      <c r="AX22" t="s">
        <v>151</v>
      </c>
    </row>
    <row r="23" spans="1:50" x14ac:dyDescent="0.25">
      <c r="A23" t="s">
        <v>2</v>
      </c>
      <c r="B23" t="s">
        <v>16</v>
      </c>
      <c r="C23">
        <f>VLOOKUP(D1_MARZO_2025[[#This Row],[SUPER]],DATA_MARZO_2025[[SUPERVISOR]:[META]],3,0)</f>
        <v>24000</v>
      </c>
      <c r="D23">
        <f>D1_MARZO_2025[[#This Row],[RECUPERO]]/D1_MARZO_2025[[#This Row],[META]]</f>
        <v>0.21875</v>
      </c>
      <c r="E23" t="s">
        <v>2</v>
      </c>
      <c r="F23" t="s">
        <v>16</v>
      </c>
      <c r="G23">
        <v>5250</v>
      </c>
      <c r="H23" t="s">
        <v>388</v>
      </c>
      <c r="I23" s="56">
        <v>45334</v>
      </c>
      <c r="J23" t="s">
        <v>501</v>
      </c>
      <c r="L23" s="56"/>
      <c r="M23" s="1">
        <f>DATA_MARZO_2025[[#This Row],[RECUPERO]]/DATA_MARZO_2025[[#This Row],[META]]</f>
        <v>0.51538095238095238</v>
      </c>
      <c r="N23" t="str" cm="1">
        <f t="array" ref="N23">IF(DATA_MARZO_2025[[#This Row],[ASER_]]="","",IFERROR(_xlfn.IFS(M23&gt;=100%,"&gt;100%",AND(M23&lt;100%,M23&gt;=70%),"&gt;70%",AND(M23&lt;70%,M23&gt;=40%),"&gt;40%",AND(M23&lt;40%,M23&gt;=0%),"&gt;0%"),""))</f>
        <v>&gt;40%</v>
      </c>
      <c r="O23" t="s">
        <v>9</v>
      </c>
      <c r="P23">
        <f>SUM(DATA_MARZO_2025[[#This Row],[1]:[31]])</f>
        <v>10823</v>
      </c>
      <c r="Q23">
        <v>21000</v>
      </c>
      <c r="R23" t="s">
        <v>61</v>
      </c>
      <c r="U23">
        <v>321</v>
      </c>
      <c r="V23">
        <v>400</v>
      </c>
      <c r="W23">
        <v>130</v>
      </c>
      <c r="X23">
        <v>900</v>
      </c>
      <c r="AD23">
        <v>400</v>
      </c>
      <c r="AE23">
        <v>800</v>
      </c>
      <c r="AF23">
        <v>200</v>
      </c>
      <c r="AI23">
        <v>217</v>
      </c>
      <c r="AJ23">
        <v>370</v>
      </c>
      <c r="AK23">
        <v>1000</v>
      </c>
      <c r="AL23">
        <v>500</v>
      </c>
      <c r="AP23">
        <v>850</v>
      </c>
      <c r="AQ23">
        <v>1000</v>
      </c>
      <c r="AR23">
        <v>635</v>
      </c>
      <c r="AS23">
        <v>500</v>
      </c>
      <c r="AT23">
        <v>400</v>
      </c>
      <c r="AV23">
        <v>400</v>
      </c>
      <c r="AW23">
        <v>1800</v>
      </c>
      <c r="AX23" t="s">
        <v>153</v>
      </c>
    </row>
    <row r="24" spans="1:50" x14ac:dyDescent="0.25">
      <c r="A24" t="s">
        <v>2</v>
      </c>
      <c r="B24" t="s">
        <v>12</v>
      </c>
      <c r="C24">
        <f>VLOOKUP(D1_MARZO_2025[[#This Row],[SUPER]],DATA_MARZO_2025[[SUPERVISOR]:[META]],3,0)</f>
        <v>24000</v>
      </c>
      <c r="D24">
        <f>D1_MARZO_2025[[#This Row],[RECUPERO]]/D1_MARZO_2025[[#This Row],[META]]</f>
        <v>0.45379166666666665</v>
      </c>
      <c r="E24" t="s">
        <v>2</v>
      </c>
      <c r="F24" t="s">
        <v>12</v>
      </c>
      <c r="G24">
        <v>10891</v>
      </c>
      <c r="H24" t="s">
        <v>389</v>
      </c>
      <c r="I24" s="56">
        <v>44870</v>
      </c>
      <c r="J24" t="s">
        <v>501</v>
      </c>
      <c r="L24" s="56"/>
      <c r="M24" s="1">
        <f>DATA_MARZO_2025[[#This Row],[RECUPERO]]/DATA_MARZO_2025[[#This Row],[META]]</f>
        <v>1.2472121212121212</v>
      </c>
      <c r="N24" t="str" cm="1">
        <f t="array" ref="N24">IF(DATA_MARZO_2025[[#This Row],[ASER_]]="","",IFERROR(_xlfn.IFS(M24&gt;=100%,"&gt;100%",AND(M24&lt;100%,M24&gt;=70%),"&gt;70%",AND(M24&lt;70%,M24&gt;=40%),"&gt;40%",AND(M24&lt;40%,M24&gt;=0%),"&gt;0%"),""))</f>
        <v>&gt;100%</v>
      </c>
      <c r="O24" t="s">
        <v>115</v>
      </c>
      <c r="P24">
        <f>SUM(DATA_MARZO_2025[[#This Row],[1]:[31]])</f>
        <v>20579</v>
      </c>
      <c r="Q24">
        <v>16500</v>
      </c>
      <c r="R24" t="s">
        <v>80</v>
      </c>
      <c r="V24">
        <v>350</v>
      </c>
      <c r="W24">
        <v>2312</v>
      </c>
      <c r="X24">
        <v>2644</v>
      </c>
      <c r="AB24">
        <v>2551</v>
      </c>
      <c r="AC24">
        <v>450</v>
      </c>
      <c r="AF24">
        <v>160</v>
      </c>
      <c r="AI24">
        <v>1300</v>
      </c>
      <c r="AJ24">
        <v>2500</v>
      </c>
      <c r="AL24">
        <v>547</v>
      </c>
      <c r="AM24">
        <v>2500</v>
      </c>
      <c r="AP24">
        <v>1160</v>
      </c>
      <c r="AR24">
        <v>700</v>
      </c>
      <c r="AS24">
        <v>875</v>
      </c>
      <c r="AT24">
        <v>2100</v>
      </c>
      <c r="AU24">
        <v>100</v>
      </c>
      <c r="AW24">
        <v>330</v>
      </c>
      <c r="AX24" t="s">
        <v>154</v>
      </c>
    </row>
    <row r="25" spans="1:50" x14ac:dyDescent="0.25">
      <c r="A25" t="s">
        <v>2</v>
      </c>
      <c r="B25" t="s">
        <v>32</v>
      </c>
      <c r="C25">
        <f>VLOOKUP(D1_MARZO_2025[[#This Row],[SUPER]],DATA_MARZO_2025[[SUPERVISOR]:[META]],3,0)</f>
        <v>24000</v>
      </c>
      <c r="D25">
        <f>D1_MARZO_2025[[#This Row],[RECUPERO]]/D1_MARZO_2025[[#This Row],[META]]</f>
        <v>0.22791666666666666</v>
      </c>
      <c r="E25" t="s">
        <v>2</v>
      </c>
      <c r="F25" t="s">
        <v>32</v>
      </c>
      <c r="G25">
        <v>5470</v>
      </c>
      <c r="H25" t="s">
        <v>390</v>
      </c>
      <c r="I25" s="56">
        <v>45530</v>
      </c>
      <c r="J25" t="s">
        <v>501</v>
      </c>
      <c r="L25" s="56"/>
      <c r="M25" s="1">
        <f>DATA_MARZO_2025[[#This Row],[RECUPERO]]/DATA_MARZO_2025[[#This Row],[META]]</f>
        <v>0.44693548387096776</v>
      </c>
      <c r="N25" t="str" cm="1">
        <f t="array" ref="N25">IF(DATA_MARZO_2025[[#This Row],[ASER_]]="","",IFERROR(_xlfn.IFS(M25&gt;=100%,"&gt;100%",AND(M25&lt;100%,M25&gt;=70%),"&gt;70%",AND(M25&lt;70%,M25&gt;=40%),"&gt;40%",AND(M25&lt;40%,M25&gt;=0%),"&gt;0%"),""))</f>
        <v>&gt;40%</v>
      </c>
      <c r="O25" t="s">
        <v>4</v>
      </c>
      <c r="P25">
        <f>SUM(DATA_MARZO_2025[[#This Row],[1]:[31]])</f>
        <v>27710</v>
      </c>
      <c r="Q25">
        <v>62000</v>
      </c>
      <c r="R25" t="s">
        <v>40</v>
      </c>
      <c r="V25">
        <v>780</v>
      </c>
      <c r="W25">
        <v>354</v>
      </c>
      <c r="Y25">
        <v>4200</v>
      </c>
      <c r="AC25">
        <v>323</v>
      </c>
      <c r="AF25">
        <v>280</v>
      </c>
      <c r="AI25">
        <v>937</v>
      </c>
      <c r="AJ25">
        <v>650</v>
      </c>
      <c r="AK25">
        <v>4800</v>
      </c>
      <c r="AL25">
        <v>1000</v>
      </c>
      <c r="AM25">
        <v>8000</v>
      </c>
      <c r="AP25">
        <v>1300</v>
      </c>
      <c r="AQ25">
        <v>2700</v>
      </c>
      <c r="AR25">
        <v>200</v>
      </c>
      <c r="AT25">
        <v>609</v>
      </c>
      <c r="AW25">
        <v>1577</v>
      </c>
      <c r="AX25" t="s">
        <v>150</v>
      </c>
    </row>
    <row r="26" spans="1:50" x14ac:dyDescent="0.25">
      <c r="A26" t="s">
        <v>2</v>
      </c>
      <c r="B26" t="s">
        <v>127</v>
      </c>
      <c r="C26">
        <f>VLOOKUP(D1_MARZO_2025[[#This Row],[SUPER]],DATA_MARZO_2025[[SUPERVISOR]:[META]],3,0)</f>
        <v>24000</v>
      </c>
      <c r="D26">
        <f>D1_MARZO_2025[[#This Row],[RECUPERO]]/D1_MARZO_2025[[#This Row],[META]]</f>
        <v>0.110625</v>
      </c>
      <c r="E26" t="s">
        <v>2</v>
      </c>
      <c r="F26" t="s">
        <v>127</v>
      </c>
      <c r="G26">
        <v>2655</v>
      </c>
      <c r="H26" t="s">
        <v>459</v>
      </c>
      <c r="I26" s="56">
        <v>45721</v>
      </c>
      <c r="J26" t="s">
        <v>501</v>
      </c>
      <c r="L26" s="56"/>
      <c r="M26" s="1">
        <f>DATA_MARZO_2025[[#This Row],[RECUPERO]]/DATA_MARZO_2025[[#This Row],[META]]</f>
        <v>0.74128571428571433</v>
      </c>
      <c r="N26" t="str" cm="1">
        <f t="array" ref="N26">IF(DATA_MARZO_2025[[#This Row],[ASER_]]="","",IFERROR(_xlfn.IFS(M26&gt;=100%,"&gt;100%",AND(M26&lt;100%,M26&gt;=70%),"&gt;70%",AND(M26&lt;70%,M26&gt;=40%),"&gt;40%",AND(M26&lt;40%,M26&gt;=0%),"&gt;0%"),""))</f>
        <v>&gt;70%</v>
      </c>
      <c r="O26" t="s">
        <v>6</v>
      </c>
      <c r="P26">
        <f>SUM(DATA_MARZO_2025[[#This Row],[1]:[31]])</f>
        <v>15567</v>
      </c>
      <c r="Q26">
        <v>21000</v>
      </c>
      <c r="R26" t="s">
        <v>81</v>
      </c>
      <c r="S26">
        <v>337</v>
      </c>
      <c r="AD26">
        <v>300</v>
      </c>
      <c r="AI26">
        <v>13500</v>
      </c>
      <c r="AJ26">
        <v>250</v>
      </c>
      <c r="AP26">
        <v>350</v>
      </c>
      <c r="AS26">
        <v>580</v>
      </c>
      <c r="AW26">
        <v>250</v>
      </c>
      <c r="AX26" t="s">
        <v>152</v>
      </c>
    </row>
    <row r="27" spans="1:50" x14ac:dyDescent="0.25">
      <c r="A27" t="s">
        <v>2</v>
      </c>
      <c r="B27" t="s">
        <v>26</v>
      </c>
      <c r="C27">
        <f>VLOOKUP(D1_MARZO_2025[[#This Row],[SUPER]],DATA_MARZO_2025[[SUPERVISOR]:[META]],3,0)</f>
        <v>24000</v>
      </c>
      <c r="D27">
        <f>D1_MARZO_2025[[#This Row],[RECUPERO]]/D1_MARZO_2025[[#This Row],[META]]</f>
        <v>0.77920833333333328</v>
      </c>
      <c r="E27" t="s">
        <v>2</v>
      </c>
      <c r="F27" t="s">
        <v>26</v>
      </c>
      <c r="G27">
        <v>18701</v>
      </c>
      <c r="H27" t="s">
        <v>391</v>
      </c>
      <c r="I27" s="56">
        <v>44259</v>
      </c>
      <c r="J27" t="s">
        <v>501</v>
      </c>
      <c r="L27" s="56"/>
      <c r="M27" s="1">
        <f>DATA_MARZO_2025[[#This Row],[RECUPERO]]/DATA_MARZO_2025[[#This Row],[META]]</f>
        <v>0.27395238095238095</v>
      </c>
      <c r="N27" t="str" cm="1">
        <f t="array" ref="N27">IF(DATA_MARZO_2025[[#This Row],[ASER_]]="","",IFERROR(_xlfn.IFS(M27&gt;=100%,"&gt;100%",AND(M27&lt;100%,M27&gt;=70%),"&gt;70%",AND(M27&lt;70%,M27&gt;=40%),"&gt;40%",AND(M27&lt;40%,M27&gt;=0%),"&gt;0%"),""))</f>
        <v>&gt;0%</v>
      </c>
      <c r="O27" t="s">
        <v>9</v>
      </c>
      <c r="P27">
        <f>SUM(DATA_MARZO_2025[[#This Row],[1]:[31]])</f>
        <v>5753</v>
      </c>
      <c r="Q27">
        <v>21000</v>
      </c>
      <c r="R27" t="s">
        <v>129</v>
      </c>
      <c r="AJ27">
        <v>338</v>
      </c>
      <c r="AK27">
        <v>1450</v>
      </c>
      <c r="AL27">
        <v>400</v>
      </c>
      <c r="AP27">
        <v>1065</v>
      </c>
      <c r="AT27">
        <v>2500</v>
      </c>
      <c r="AX27" t="s">
        <v>153</v>
      </c>
    </row>
    <row r="28" spans="1:50" x14ac:dyDescent="0.25">
      <c r="A28" t="s">
        <v>2</v>
      </c>
      <c r="B28" t="s">
        <v>77</v>
      </c>
      <c r="C28">
        <f>VLOOKUP(D1_MARZO_2025[[#This Row],[SUPER]],DATA_MARZO_2025[[SUPERVISOR]:[META]],3,0)</f>
        <v>24000</v>
      </c>
      <c r="D28">
        <f>D1_MARZO_2025[[#This Row],[RECUPERO]]/D1_MARZO_2025[[#This Row],[META]]</f>
        <v>0.43883333333333335</v>
      </c>
      <c r="E28" t="s">
        <v>2</v>
      </c>
      <c r="F28" t="s">
        <v>77</v>
      </c>
      <c r="G28">
        <v>10532</v>
      </c>
      <c r="H28" t="s">
        <v>393</v>
      </c>
      <c r="I28" s="56">
        <v>44840</v>
      </c>
      <c r="J28" t="s">
        <v>501</v>
      </c>
      <c r="L28" s="56"/>
      <c r="M28" s="1">
        <f>DATA_MARZO_2025[[#This Row],[RECUPERO]]/DATA_MARZO_2025[[#This Row],[META]]</f>
        <v>0.69497580645161294</v>
      </c>
      <c r="N28" t="str" cm="1">
        <f t="array" ref="N28">IF(DATA_MARZO_2025[[#This Row],[ASER_]]="","",IFERROR(_xlfn.IFS(M28&gt;=100%,"&gt;100%",AND(M28&lt;100%,M28&gt;=70%),"&gt;70%",AND(M28&lt;70%,M28&gt;=40%),"&gt;40%",AND(M28&lt;40%,M28&gt;=0%),"&gt;0%"),""))</f>
        <v>&gt;40%</v>
      </c>
      <c r="O28" t="s">
        <v>3</v>
      </c>
      <c r="P28">
        <f>SUM(DATA_MARZO_2025[[#This Row],[1]:[31]])</f>
        <v>43088.5</v>
      </c>
      <c r="Q28">
        <v>62000</v>
      </c>
      <c r="R28" t="s">
        <v>72</v>
      </c>
      <c r="U28">
        <v>416</v>
      </c>
      <c r="W28">
        <v>292</v>
      </c>
      <c r="Y28">
        <v>6000</v>
      </c>
      <c r="Z28">
        <v>2000</v>
      </c>
      <c r="AB28">
        <v>400</v>
      </c>
      <c r="AE28">
        <v>7030.5</v>
      </c>
      <c r="AF28">
        <v>11000</v>
      </c>
      <c r="AI28">
        <v>352</v>
      </c>
      <c r="AJ28">
        <v>4500</v>
      </c>
      <c r="AL28">
        <v>0</v>
      </c>
      <c r="AM28">
        <v>5500</v>
      </c>
      <c r="AP28">
        <v>630</v>
      </c>
      <c r="AQ28">
        <v>600</v>
      </c>
      <c r="AS28">
        <v>2235</v>
      </c>
      <c r="AT28">
        <v>433</v>
      </c>
      <c r="AW28">
        <v>1700</v>
      </c>
      <c r="AX28" t="s">
        <v>150</v>
      </c>
    </row>
    <row r="29" spans="1:50" x14ac:dyDescent="0.25">
      <c r="A29" t="s">
        <v>2</v>
      </c>
      <c r="B29" t="s">
        <v>74</v>
      </c>
      <c r="C29">
        <f>VLOOKUP(D1_MARZO_2025[[#This Row],[SUPER]],DATA_MARZO_2025[[SUPERVISOR]:[META]],3,0)</f>
        <v>24000</v>
      </c>
      <c r="D29">
        <f>D1_MARZO_2025[[#This Row],[RECUPERO]]/D1_MARZO_2025[[#This Row],[META]]</f>
        <v>0.44091666666666668</v>
      </c>
      <c r="E29" t="s">
        <v>2</v>
      </c>
      <c r="F29" t="s">
        <v>74</v>
      </c>
      <c r="G29">
        <v>10582</v>
      </c>
      <c r="H29" t="s">
        <v>395</v>
      </c>
      <c r="I29" s="56">
        <v>44470</v>
      </c>
      <c r="J29" t="s">
        <v>501</v>
      </c>
      <c r="L29" s="56"/>
      <c r="M29" s="1">
        <f>DATA_MARZO_2025[[#This Row],[RECUPERO]]/DATA_MARZO_2025[[#This Row],[META]]</f>
        <v>1.3166403225806451</v>
      </c>
      <c r="N29" t="str" cm="1">
        <f t="array" ref="N29">IF(DATA_MARZO_2025[[#This Row],[ASER_]]="","",IFERROR(_xlfn.IFS(M29&gt;=100%,"&gt;100%",AND(M29&lt;100%,M29&gt;=70%),"&gt;70%",AND(M29&lt;70%,M29&gt;=40%),"&gt;40%",AND(M29&lt;40%,M29&gt;=0%),"&gt;0%"),""))</f>
        <v>&gt;100%</v>
      </c>
      <c r="O29" t="s">
        <v>3</v>
      </c>
      <c r="P29">
        <f>SUM(DATA_MARZO_2025[[#This Row],[1]:[31]])</f>
        <v>81631.7</v>
      </c>
      <c r="Q29">
        <v>62000</v>
      </c>
      <c r="R29" t="s">
        <v>22</v>
      </c>
      <c r="U29">
        <v>1224</v>
      </c>
      <c r="V29">
        <v>500</v>
      </c>
      <c r="W29">
        <v>20000</v>
      </c>
      <c r="Y29">
        <v>296</v>
      </c>
      <c r="Z29">
        <v>1582</v>
      </c>
      <c r="AB29">
        <v>503</v>
      </c>
      <c r="AC29">
        <v>554.70000000000005</v>
      </c>
      <c r="AD29">
        <v>7000</v>
      </c>
      <c r="AK29">
        <v>1126</v>
      </c>
      <c r="AM29">
        <v>1000</v>
      </c>
      <c r="AN29">
        <v>450</v>
      </c>
      <c r="AP29">
        <v>1400</v>
      </c>
      <c r="AQ29">
        <v>3000</v>
      </c>
      <c r="AR29">
        <v>8456</v>
      </c>
      <c r="AS29">
        <v>16636</v>
      </c>
      <c r="AT29">
        <v>11024</v>
      </c>
      <c r="AV29">
        <v>1706</v>
      </c>
      <c r="AW29">
        <v>5174</v>
      </c>
      <c r="AX29" t="s">
        <v>150</v>
      </c>
    </row>
    <row r="30" spans="1:50" x14ac:dyDescent="0.25">
      <c r="A30" t="s">
        <v>2</v>
      </c>
      <c r="B30" t="s">
        <v>78</v>
      </c>
      <c r="C30">
        <f>VLOOKUP(D1_MARZO_2025[[#This Row],[SUPER]],DATA_MARZO_2025[[SUPERVISOR]:[META]],3,0)</f>
        <v>24000</v>
      </c>
      <c r="D30">
        <f>D1_MARZO_2025[[#This Row],[RECUPERO]]/D1_MARZO_2025[[#This Row],[META]]</f>
        <v>0.36379166666666668</v>
      </c>
      <c r="E30" t="s">
        <v>2</v>
      </c>
      <c r="F30" t="s">
        <v>78</v>
      </c>
      <c r="G30">
        <v>8731</v>
      </c>
      <c r="H30" t="s">
        <v>397</v>
      </c>
      <c r="I30" s="56">
        <v>44945</v>
      </c>
      <c r="J30" t="s">
        <v>501</v>
      </c>
      <c r="L30" s="56"/>
      <c r="M30" s="1">
        <f>DATA_MARZO_2025[[#This Row],[RECUPERO]]/DATA_MARZO_2025[[#This Row],[META]]</f>
        <v>0.72109090909090912</v>
      </c>
      <c r="N30" t="str" cm="1">
        <f t="array" ref="N30">IF(DATA_MARZO_2025[[#This Row],[ASER_]]="","",IFERROR(_xlfn.IFS(M30&gt;=100%,"&gt;100%",AND(M30&lt;100%,M30&gt;=70%),"&gt;70%",AND(M30&lt;70%,M30&gt;=40%),"&gt;40%",AND(M30&lt;40%,M30&gt;=0%),"&gt;0%"),""))</f>
        <v>&gt;70%</v>
      </c>
      <c r="O30" t="s">
        <v>115</v>
      </c>
      <c r="P30">
        <f>SUM(DATA_MARZO_2025[[#This Row],[1]:[31]])</f>
        <v>11898</v>
      </c>
      <c r="Q30">
        <v>16500</v>
      </c>
      <c r="R30" t="s">
        <v>24</v>
      </c>
      <c r="AB30">
        <v>146</v>
      </c>
      <c r="AC30">
        <v>107</v>
      </c>
      <c r="AD30">
        <v>1823</v>
      </c>
      <c r="AE30">
        <v>2500</v>
      </c>
      <c r="AJ30">
        <v>600</v>
      </c>
      <c r="AK30">
        <v>436</v>
      </c>
      <c r="AM30">
        <v>2157</v>
      </c>
      <c r="AQ30">
        <v>2000</v>
      </c>
      <c r="AS30">
        <v>1150</v>
      </c>
      <c r="AT30">
        <v>479</v>
      </c>
      <c r="AW30">
        <v>500</v>
      </c>
      <c r="AX30" t="s">
        <v>154</v>
      </c>
    </row>
    <row r="31" spans="1:50" x14ac:dyDescent="0.25">
      <c r="A31" t="s">
        <v>2</v>
      </c>
      <c r="B31" t="s">
        <v>39</v>
      </c>
      <c r="C31">
        <f>VLOOKUP(D1_MARZO_2025[[#This Row],[SUPER]],DATA_MARZO_2025[[SUPERVISOR]:[META]],3,0)</f>
        <v>24000</v>
      </c>
      <c r="D31">
        <f>D1_MARZO_2025[[#This Row],[RECUPERO]]/D1_MARZO_2025[[#This Row],[META]]</f>
        <v>0.33024999999999999</v>
      </c>
      <c r="E31" t="s">
        <v>2</v>
      </c>
      <c r="F31" t="s">
        <v>39</v>
      </c>
      <c r="G31">
        <v>7926</v>
      </c>
      <c r="H31" t="s">
        <v>452</v>
      </c>
      <c r="I31" s="56">
        <v>44951</v>
      </c>
      <c r="J31" t="s">
        <v>501</v>
      </c>
      <c r="L31" s="56"/>
      <c r="M31" s="1">
        <f>DATA_MARZO_2025[[#This Row],[RECUPERO]]/DATA_MARZO_2025[[#This Row],[META]]</f>
        <v>0.21875</v>
      </c>
      <c r="N31" t="str" cm="1">
        <f t="array" ref="N31">IF(DATA_MARZO_2025[[#This Row],[ASER_]]="","",IFERROR(_xlfn.IFS(M31&gt;=100%,"&gt;100%",AND(M31&lt;100%,M31&gt;=70%),"&gt;70%",AND(M31&lt;70%,M31&gt;=40%),"&gt;40%",AND(M31&lt;40%,M31&gt;=0%),"&gt;0%"),""))</f>
        <v>&gt;0%</v>
      </c>
      <c r="O31" t="s">
        <v>2</v>
      </c>
      <c r="P31">
        <f>SUM(DATA_MARZO_2025[[#This Row],[1]:[31]])</f>
        <v>5250</v>
      </c>
      <c r="Q31">
        <v>24000</v>
      </c>
      <c r="R31" t="s">
        <v>16</v>
      </c>
      <c r="X31">
        <v>750</v>
      </c>
      <c r="AB31">
        <v>200</v>
      </c>
      <c r="AF31">
        <v>400</v>
      </c>
      <c r="AP31">
        <v>3100</v>
      </c>
      <c r="AQ31">
        <v>300</v>
      </c>
      <c r="AS31">
        <v>100</v>
      </c>
      <c r="AW31">
        <v>400</v>
      </c>
      <c r="AX31" t="s">
        <v>151</v>
      </c>
    </row>
    <row r="32" spans="1:50" x14ac:dyDescent="0.25">
      <c r="A32" t="s">
        <v>5</v>
      </c>
      <c r="B32" t="s">
        <v>85</v>
      </c>
      <c r="C32">
        <f>VLOOKUP(D1_MARZO_2025[[#This Row],[SUPER]],DATA_MARZO_2025[[SUPERVISOR]:[META]],3,0)</f>
        <v>62000</v>
      </c>
      <c r="D32">
        <f>D1_MARZO_2025[[#This Row],[RECUPERO]]/D1_MARZO_2025[[#This Row],[META]]</f>
        <v>0.65578225806451618</v>
      </c>
      <c r="E32" t="s">
        <v>5</v>
      </c>
      <c r="F32" t="s">
        <v>85</v>
      </c>
      <c r="G32">
        <v>40658.5</v>
      </c>
      <c r="H32" t="s">
        <v>380</v>
      </c>
      <c r="I32" s="56">
        <v>44811</v>
      </c>
      <c r="J32" t="s">
        <v>501</v>
      </c>
      <c r="L32" s="56"/>
      <c r="M32" s="1">
        <f>DATA_MARZO_2025[[#This Row],[RECUPERO]]/DATA_MARZO_2025[[#This Row],[META]]</f>
        <v>0.22504761904761905</v>
      </c>
      <c r="N32" t="str" cm="1">
        <f t="array" ref="N32">IF(DATA_MARZO_2025[[#This Row],[ASER_]]="","",IFERROR(_xlfn.IFS(M32&gt;=100%,"&gt;100%",AND(M32&lt;100%,M32&gt;=70%),"&gt;70%",AND(M32&lt;70%,M32&gt;=40%),"&gt;40%",AND(M32&lt;40%,M32&gt;=0%),"&gt;0%"),""))</f>
        <v>&gt;0%</v>
      </c>
      <c r="O32" t="s">
        <v>9</v>
      </c>
      <c r="P32">
        <f>SUM(DATA_MARZO_2025[[#This Row],[1]:[31]])</f>
        <v>4726</v>
      </c>
      <c r="Q32">
        <v>21000</v>
      </c>
      <c r="R32" t="s">
        <v>27</v>
      </c>
      <c r="W32">
        <v>500</v>
      </c>
      <c r="X32">
        <v>400</v>
      </c>
      <c r="AI32">
        <v>1200</v>
      </c>
      <c r="AJ32">
        <v>499</v>
      </c>
      <c r="AL32">
        <v>200</v>
      </c>
      <c r="AP32">
        <v>291</v>
      </c>
      <c r="AQ32">
        <v>386</v>
      </c>
      <c r="AU32">
        <v>1250</v>
      </c>
      <c r="AX32" t="s">
        <v>153</v>
      </c>
    </row>
    <row r="33" spans="1:50" x14ac:dyDescent="0.25">
      <c r="A33" t="s">
        <v>5</v>
      </c>
      <c r="B33" t="s">
        <v>67</v>
      </c>
      <c r="C33">
        <f>VLOOKUP(D1_MARZO_2025[[#This Row],[SUPER]],DATA_MARZO_2025[[SUPERVISOR]:[META]],3,0)</f>
        <v>62000</v>
      </c>
      <c r="D33">
        <f>D1_MARZO_2025[[#This Row],[RECUPERO]]/D1_MARZO_2025[[#This Row],[META]]</f>
        <v>1.6418725806451613</v>
      </c>
      <c r="E33" t="s">
        <v>5</v>
      </c>
      <c r="F33" t="s">
        <v>67</v>
      </c>
      <c r="G33">
        <v>101796.1</v>
      </c>
      <c r="H33" t="s">
        <v>381</v>
      </c>
      <c r="I33" s="56">
        <v>44811</v>
      </c>
      <c r="J33" t="s">
        <v>501</v>
      </c>
      <c r="L33" s="56"/>
      <c r="M33" s="1">
        <f>DATA_MARZO_2025[[#This Row],[RECUPERO]]/DATA_MARZO_2025[[#This Row],[META]]</f>
        <v>0.45379166666666665</v>
      </c>
      <c r="N33" t="str" cm="1">
        <f t="array" ref="N33">IF(DATA_MARZO_2025[[#This Row],[ASER_]]="","",IFERROR(_xlfn.IFS(M33&gt;=100%,"&gt;100%",AND(M33&lt;100%,M33&gt;=70%),"&gt;70%",AND(M33&lt;70%,M33&gt;=40%),"&gt;40%",AND(M33&lt;40%,M33&gt;=0%),"&gt;0%"),""))</f>
        <v>&gt;40%</v>
      </c>
      <c r="O33" t="s">
        <v>2</v>
      </c>
      <c r="P33">
        <f>SUM(DATA_MARZO_2025[[#This Row],[1]:[31]])</f>
        <v>10891</v>
      </c>
      <c r="Q33">
        <v>24000</v>
      </c>
      <c r="R33" t="s">
        <v>12</v>
      </c>
      <c r="S33">
        <v>200</v>
      </c>
      <c r="U33">
        <v>320</v>
      </c>
      <c r="W33">
        <v>2020</v>
      </c>
      <c r="X33">
        <v>731</v>
      </c>
      <c r="AB33">
        <v>500</v>
      </c>
      <c r="AD33">
        <v>202</v>
      </c>
      <c r="AF33">
        <v>100</v>
      </c>
      <c r="AG33">
        <v>250</v>
      </c>
      <c r="AI33">
        <v>250</v>
      </c>
      <c r="AM33">
        <v>717</v>
      </c>
      <c r="AP33">
        <v>400</v>
      </c>
      <c r="AQ33">
        <v>400</v>
      </c>
      <c r="AS33">
        <v>575</v>
      </c>
      <c r="AT33">
        <v>3500</v>
      </c>
      <c r="AW33">
        <v>726</v>
      </c>
      <c r="AX33" t="s">
        <v>151</v>
      </c>
    </row>
    <row r="34" spans="1:50" x14ac:dyDescent="0.25">
      <c r="A34" t="s">
        <v>5</v>
      </c>
      <c r="B34" t="s">
        <v>13</v>
      </c>
      <c r="C34">
        <f>VLOOKUP(D1_MARZO_2025[[#This Row],[SUPER]],DATA_MARZO_2025[[SUPERVISOR]:[META]],3,0)</f>
        <v>62000</v>
      </c>
      <c r="D34">
        <f>D1_MARZO_2025[[#This Row],[RECUPERO]]/D1_MARZO_2025[[#This Row],[META]]</f>
        <v>0.8414677419354839</v>
      </c>
      <c r="E34" t="s">
        <v>5</v>
      </c>
      <c r="F34" t="s">
        <v>13</v>
      </c>
      <c r="G34">
        <v>52171</v>
      </c>
      <c r="H34" t="s">
        <v>382</v>
      </c>
      <c r="I34" s="56">
        <v>44811</v>
      </c>
      <c r="J34" t="s">
        <v>501</v>
      </c>
      <c r="L34" s="56"/>
      <c r="M34" s="1">
        <f>DATA_MARZO_2025[[#This Row],[RECUPERO]]/DATA_MARZO_2025[[#This Row],[META]]</f>
        <v>0.33585714285714285</v>
      </c>
      <c r="N34" t="str" cm="1">
        <f t="array" ref="N34">IF(DATA_MARZO_2025[[#This Row],[ASER_]]="","",IFERROR(_xlfn.IFS(M34&gt;=100%,"&gt;100%",AND(M34&lt;100%,M34&gt;=70%),"&gt;70%",AND(M34&lt;70%,M34&gt;=40%),"&gt;40%",AND(M34&lt;40%,M34&gt;=0%),"&gt;0%"),""))</f>
        <v>&gt;0%</v>
      </c>
      <c r="O34" t="s">
        <v>9</v>
      </c>
      <c r="P34">
        <f>SUM(DATA_MARZO_2025[[#This Row],[1]:[31]])</f>
        <v>7053</v>
      </c>
      <c r="Q34">
        <v>21000</v>
      </c>
      <c r="R34" t="s">
        <v>51</v>
      </c>
      <c r="U34">
        <v>353</v>
      </c>
      <c r="Y34">
        <v>2200</v>
      </c>
      <c r="AE34">
        <v>500</v>
      </c>
      <c r="AF34">
        <v>350</v>
      </c>
      <c r="AM34">
        <v>300</v>
      </c>
      <c r="AP34">
        <v>100</v>
      </c>
      <c r="AQ34">
        <v>750</v>
      </c>
      <c r="AR34">
        <v>2500</v>
      </c>
      <c r="AX34" t="s">
        <v>153</v>
      </c>
    </row>
    <row r="35" spans="1:50" x14ac:dyDescent="0.25">
      <c r="A35" t="s">
        <v>5</v>
      </c>
      <c r="B35" t="s">
        <v>66</v>
      </c>
      <c r="C35">
        <f>VLOOKUP(D1_MARZO_2025[[#This Row],[SUPER]],DATA_MARZO_2025[[SUPERVISOR]:[META]],3,0)</f>
        <v>62000</v>
      </c>
      <c r="D35">
        <f>D1_MARZO_2025[[#This Row],[RECUPERO]]/D1_MARZO_2025[[#This Row],[META]]</f>
        <v>0.95954596774193546</v>
      </c>
      <c r="E35" t="s">
        <v>5</v>
      </c>
      <c r="F35" t="s">
        <v>66</v>
      </c>
      <c r="G35">
        <v>59491.85</v>
      </c>
      <c r="H35" t="s">
        <v>383</v>
      </c>
      <c r="I35" s="56">
        <v>45457</v>
      </c>
      <c r="J35" t="s">
        <v>501</v>
      </c>
      <c r="L35" s="56"/>
      <c r="M35" s="1">
        <f>DATA_MARZO_2025[[#This Row],[RECUPERO]]/DATA_MARZO_2025[[#This Row],[META]]</f>
        <v>0.8414677419354839</v>
      </c>
      <c r="N35" t="str" cm="1">
        <f t="array" ref="N35">IF(DATA_MARZO_2025[[#This Row],[ASER_]]="","",IFERROR(_xlfn.IFS(M35&gt;=100%,"&gt;100%",AND(M35&lt;100%,M35&gt;=70%),"&gt;70%",AND(M35&lt;70%,M35&gt;=40%),"&gt;40%",AND(M35&lt;40%,M35&gt;=0%),"&gt;0%"),""))</f>
        <v>&gt;70%</v>
      </c>
      <c r="O35" t="s">
        <v>5</v>
      </c>
      <c r="P35">
        <f>SUM(DATA_MARZO_2025[[#This Row],[1]:[31]])</f>
        <v>52171</v>
      </c>
      <c r="Q35">
        <v>62000</v>
      </c>
      <c r="R35" t="s">
        <v>13</v>
      </c>
      <c r="U35">
        <v>730</v>
      </c>
      <c r="V35">
        <v>1000</v>
      </c>
      <c r="W35">
        <v>2092</v>
      </c>
      <c r="AE35">
        <v>700</v>
      </c>
      <c r="AF35">
        <v>15350</v>
      </c>
      <c r="AH35">
        <v>908</v>
      </c>
      <c r="AI35">
        <v>1000</v>
      </c>
      <c r="AJ35">
        <v>1500</v>
      </c>
      <c r="AM35">
        <v>4700</v>
      </c>
      <c r="AP35">
        <v>590</v>
      </c>
      <c r="AQ35">
        <v>7960</v>
      </c>
      <c r="AR35">
        <v>1500</v>
      </c>
      <c r="AS35">
        <v>2016</v>
      </c>
      <c r="AT35">
        <v>3200</v>
      </c>
      <c r="AW35">
        <v>8925</v>
      </c>
      <c r="AX35" t="s">
        <v>150</v>
      </c>
    </row>
    <row r="36" spans="1:50" x14ac:dyDescent="0.25">
      <c r="A36" t="s">
        <v>5</v>
      </c>
      <c r="B36" t="s">
        <v>116</v>
      </c>
      <c r="C36">
        <f>VLOOKUP(D1_MARZO_2025[[#This Row],[SUPER]],DATA_MARZO_2025[[SUPERVISOR]:[META]],3,0)</f>
        <v>62000</v>
      </c>
      <c r="D36">
        <f>D1_MARZO_2025[[#This Row],[RECUPERO]]/D1_MARZO_2025[[#This Row],[META]]</f>
        <v>0</v>
      </c>
      <c r="E36" t="s">
        <v>5</v>
      </c>
      <c r="F36" t="s">
        <v>116</v>
      </c>
      <c r="G36">
        <v>0</v>
      </c>
      <c r="H36" t="s">
        <v>384</v>
      </c>
      <c r="I36" s="56">
        <v>45075</v>
      </c>
      <c r="J36" t="s">
        <v>501</v>
      </c>
      <c r="L36" s="56"/>
      <c r="M36" s="1">
        <f>DATA_MARZO_2025[[#This Row],[RECUPERO]]/DATA_MARZO_2025[[#This Row],[META]]</f>
        <v>0.22791666666666666</v>
      </c>
      <c r="N36" t="str" cm="1">
        <f t="array" ref="N36">IF(DATA_MARZO_2025[[#This Row],[ASER_]]="","",IFERROR(_xlfn.IFS(M36&gt;=100%,"&gt;100%",AND(M36&lt;100%,M36&gt;=70%),"&gt;70%",AND(M36&lt;70%,M36&gt;=40%),"&gt;40%",AND(M36&lt;40%,M36&gt;=0%),"&gt;0%"),""))</f>
        <v>&gt;0%</v>
      </c>
      <c r="O36" t="s">
        <v>2</v>
      </c>
      <c r="P36">
        <f>SUM(DATA_MARZO_2025[[#This Row],[1]:[31]])</f>
        <v>5470</v>
      </c>
      <c r="Q36">
        <v>24000</v>
      </c>
      <c r="R36" t="s">
        <v>32</v>
      </c>
      <c r="V36">
        <v>600</v>
      </c>
      <c r="W36">
        <v>400</v>
      </c>
      <c r="X36">
        <v>1820</v>
      </c>
      <c r="Y36">
        <v>100</v>
      </c>
      <c r="AC36">
        <v>700</v>
      </c>
      <c r="AI36">
        <v>350</v>
      </c>
      <c r="AK36">
        <v>500</v>
      </c>
      <c r="AM36">
        <v>300</v>
      </c>
      <c r="AW36">
        <v>700</v>
      </c>
      <c r="AX36" t="s">
        <v>151</v>
      </c>
    </row>
    <row r="37" spans="1:50" x14ac:dyDescent="0.25">
      <c r="A37" t="s">
        <v>5</v>
      </c>
      <c r="B37" t="s">
        <v>106</v>
      </c>
      <c r="C37">
        <f>VLOOKUP(D1_MARZO_2025[[#This Row],[SUPER]],DATA_MARZO_2025[[SUPERVISOR]:[META]],3,0)</f>
        <v>62000</v>
      </c>
      <c r="D37">
        <f>D1_MARZO_2025[[#This Row],[RECUPERO]]/D1_MARZO_2025[[#This Row],[META]]</f>
        <v>0.46983870967741936</v>
      </c>
      <c r="E37" t="s">
        <v>5</v>
      </c>
      <c r="F37" t="s">
        <v>106</v>
      </c>
      <c r="G37">
        <v>29130</v>
      </c>
      <c r="H37" t="s">
        <v>392</v>
      </c>
      <c r="I37" s="56">
        <v>44748</v>
      </c>
      <c r="J37" t="s">
        <v>501</v>
      </c>
      <c r="L37" s="56"/>
      <c r="M37" s="1">
        <f>DATA_MARZO_2025[[#This Row],[RECUPERO]]/DATA_MARZO_2025[[#This Row],[META]]</f>
        <v>0.95954596774193546</v>
      </c>
      <c r="N37" t="str" cm="1">
        <f t="array" ref="N37">IF(DATA_MARZO_2025[[#This Row],[ASER_]]="","",IFERROR(_xlfn.IFS(M37&gt;=100%,"&gt;100%",AND(M37&lt;100%,M37&gt;=70%),"&gt;70%",AND(M37&lt;70%,M37&gt;=40%),"&gt;40%",AND(M37&lt;40%,M37&gt;=0%),"&gt;0%"),""))</f>
        <v>&gt;70%</v>
      </c>
      <c r="O37" t="s">
        <v>5</v>
      </c>
      <c r="P37">
        <f>SUM(DATA_MARZO_2025[[#This Row],[1]:[31]])</f>
        <v>59491.85</v>
      </c>
      <c r="Q37">
        <v>62000</v>
      </c>
      <c r="R37" t="s">
        <v>66</v>
      </c>
      <c r="U37">
        <v>295</v>
      </c>
      <c r="W37">
        <v>3280</v>
      </c>
      <c r="X37">
        <v>800</v>
      </c>
      <c r="Y37">
        <v>8000</v>
      </c>
      <c r="AE37">
        <v>5000</v>
      </c>
      <c r="AF37">
        <v>17000.849999999999</v>
      </c>
      <c r="AI37">
        <v>1200</v>
      </c>
      <c r="AL37">
        <v>3500</v>
      </c>
      <c r="AR37">
        <v>12000</v>
      </c>
      <c r="AU37">
        <v>295</v>
      </c>
      <c r="AW37">
        <v>8121</v>
      </c>
      <c r="AX37" t="s">
        <v>150</v>
      </c>
    </row>
    <row r="38" spans="1:50" x14ac:dyDescent="0.25">
      <c r="A38" t="s">
        <v>5</v>
      </c>
      <c r="B38" t="s">
        <v>17</v>
      </c>
      <c r="C38">
        <f>VLOOKUP(D1_MARZO_2025[[#This Row],[SUPER]],DATA_MARZO_2025[[SUPERVISOR]:[META]],3,0)</f>
        <v>62000</v>
      </c>
      <c r="D38">
        <f>D1_MARZO_2025[[#This Row],[RECUPERO]]/D1_MARZO_2025[[#This Row],[META]]</f>
        <v>0.4863564516129032</v>
      </c>
      <c r="E38" t="s">
        <v>5</v>
      </c>
      <c r="F38" t="s">
        <v>17</v>
      </c>
      <c r="G38">
        <v>30154.1</v>
      </c>
      <c r="H38" t="s">
        <v>385</v>
      </c>
      <c r="I38" s="56">
        <v>44888</v>
      </c>
      <c r="J38" t="s">
        <v>501</v>
      </c>
      <c r="L38" s="56"/>
      <c r="M38" s="1">
        <f>DATA_MARZO_2025[[#This Row],[RECUPERO]]/DATA_MARZO_2025[[#This Row],[META]]</f>
        <v>0.31490476190476191</v>
      </c>
      <c r="N38" t="str" cm="1">
        <f t="array" ref="N38">IF(DATA_MARZO_2025[[#This Row],[ASER_]]="","",IFERROR(_xlfn.IFS(M38&gt;=100%,"&gt;100%",AND(M38&lt;100%,M38&gt;=70%),"&gt;70%",AND(M38&lt;70%,M38&gt;=40%),"&gt;40%",AND(M38&lt;40%,M38&gt;=0%),"&gt;0%"),""))</f>
        <v>&gt;0%</v>
      </c>
      <c r="O38" t="s">
        <v>9</v>
      </c>
      <c r="P38">
        <f>SUM(DATA_MARZO_2025[[#This Row],[1]:[31]])</f>
        <v>6613</v>
      </c>
      <c r="Q38">
        <v>21000</v>
      </c>
      <c r="R38" t="s">
        <v>71</v>
      </c>
      <c r="W38">
        <v>200</v>
      </c>
      <c r="Y38">
        <v>500</v>
      </c>
      <c r="AI38">
        <v>200</v>
      </c>
      <c r="AJ38">
        <v>2000</v>
      </c>
      <c r="AL38">
        <v>200</v>
      </c>
      <c r="AM38">
        <v>1500</v>
      </c>
      <c r="AP38">
        <v>813</v>
      </c>
      <c r="AR38">
        <v>200</v>
      </c>
      <c r="AS38">
        <v>200</v>
      </c>
      <c r="AU38">
        <v>200</v>
      </c>
      <c r="AW38">
        <v>600</v>
      </c>
      <c r="AX38" t="s">
        <v>153</v>
      </c>
    </row>
    <row r="39" spans="1:50" x14ac:dyDescent="0.25">
      <c r="A39" t="s">
        <v>5</v>
      </c>
      <c r="B39" t="s">
        <v>62</v>
      </c>
      <c r="C39">
        <f>VLOOKUP(D1_MARZO_2025[[#This Row],[SUPER]],DATA_MARZO_2025[[SUPERVISOR]:[META]],3,0)</f>
        <v>62000</v>
      </c>
      <c r="D39">
        <f>D1_MARZO_2025[[#This Row],[RECUPERO]]/D1_MARZO_2025[[#This Row],[META]]</f>
        <v>0.76293693548387087</v>
      </c>
      <c r="E39" t="s">
        <v>5</v>
      </c>
      <c r="F39" t="s">
        <v>62</v>
      </c>
      <c r="G39">
        <v>47302.09</v>
      </c>
      <c r="H39" t="s">
        <v>386</v>
      </c>
      <c r="I39" s="56">
        <v>45334</v>
      </c>
      <c r="J39" t="s">
        <v>501</v>
      </c>
      <c r="L39" s="56"/>
      <c r="M39" s="1">
        <f>DATA_MARZO_2025[[#This Row],[RECUPERO]]/DATA_MARZO_2025[[#This Row],[META]]</f>
        <v>0.110625</v>
      </c>
      <c r="N39" t="str" cm="1">
        <f t="array" ref="N39">IF(DATA_MARZO_2025[[#This Row],[ASER_]]="","",IFERROR(_xlfn.IFS(M39&gt;=100%,"&gt;100%",AND(M39&lt;100%,M39&gt;=70%),"&gt;70%",AND(M39&lt;70%,M39&gt;=40%),"&gt;40%",AND(M39&lt;40%,M39&gt;=0%),"&gt;0%"),""))</f>
        <v>&gt;0%</v>
      </c>
      <c r="O39" t="s">
        <v>2</v>
      </c>
      <c r="P39">
        <f>SUM(DATA_MARZO_2025[[#This Row],[1]:[31]])</f>
        <v>2655</v>
      </c>
      <c r="Q39">
        <v>24000</v>
      </c>
      <c r="R39" t="s">
        <v>127</v>
      </c>
      <c r="AA39">
        <v>300</v>
      </c>
      <c r="AB39">
        <v>800</v>
      </c>
      <c r="AI39">
        <v>480</v>
      </c>
      <c r="AK39">
        <v>375</v>
      </c>
      <c r="AT39">
        <v>700</v>
      </c>
      <c r="AX39" t="s">
        <v>151</v>
      </c>
    </row>
    <row r="40" spans="1:50" x14ac:dyDescent="0.25">
      <c r="A40" t="s">
        <v>5</v>
      </c>
      <c r="B40" t="s">
        <v>79</v>
      </c>
      <c r="C40">
        <f>VLOOKUP(D1_MARZO_2025[[#This Row],[SUPER]],DATA_MARZO_2025[[SUPERVISOR]:[META]],3,0)</f>
        <v>62000</v>
      </c>
      <c r="D40">
        <f>D1_MARZO_2025[[#This Row],[RECUPERO]]/D1_MARZO_2025[[#This Row],[META]]</f>
        <v>0.91170967741935482</v>
      </c>
      <c r="E40" t="s">
        <v>5</v>
      </c>
      <c r="F40" t="s">
        <v>79</v>
      </c>
      <c r="G40">
        <v>56526</v>
      </c>
      <c r="H40" t="s">
        <v>453</v>
      </c>
      <c r="I40" s="56">
        <v>44566</v>
      </c>
      <c r="J40" t="s">
        <v>501</v>
      </c>
      <c r="L40" s="56"/>
      <c r="M40" s="1">
        <f>DATA_MARZO_2025[[#This Row],[RECUPERO]]/DATA_MARZO_2025[[#This Row],[META]]</f>
        <v>0.29061904761904761</v>
      </c>
      <c r="N40" t="str" cm="1">
        <f t="array" ref="N40">IF(DATA_MARZO_2025[[#This Row],[ASER_]]="","",IFERROR(_xlfn.IFS(M40&gt;=100%,"&gt;100%",AND(M40&lt;100%,M40&gt;=70%),"&gt;70%",AND(M40&lt;70%,M40&gt;=40%),"&gt;40%",AND(M40&lt;40%,M40&gt;=0%),"&gt;0%"),""))</f>
        <v>&gt;0%</v>
      </c>
      <c r="O40" t="s">
        <v>9</v>
      </c>
      <c r="P40">
        <f>SUM(DATA_MARZO_2025[[#This Row],[1]:[31]])</f>
        <v>6103</v>
      </c>
      <c r="Q40">
        <v>21000</v>
      </c>
      <c r="R40" t="s">
        <v>42</v>
      </c>
      <c r="AD40">
        <v>400</v>
      </c>
      <c r="AE40">
        <v>476</v>
      </c>
      <c r="AF40">
        <v>400</v>
      </c>
      <c r="AI40">
        <v>435</v>
      </c>
      <c r="AJ40">
        <v>468</v>
      </c>
      <c r="AL40">
        <v>500</v>
      </c>
      <c r="AM40">
        <v>600</v>
      </c>
      <c r="AP40">
        <v>311</v>
      </c>
      <c r="AQ40">
        <v>500</v>
      </c>
      <c r="AU40">
        <v>1300</v>
      </c>
      <c r="AW40">
        <v>713</v>
      </c>
      <c r="AX40" t="s">
        <v>153</v>
      </c>
    </row>
    <row r="41" spans="1:50" x14ac:dyDescent="0.25">
      <c r="A41" t="s">
        <v>6</v>
      </c>
      <c r="B41" t="s">
        <v>118</v>
      </c>
      <c r="C41">
        <f>VLOOKUP(D1_MARZO_2025[[#This Row],[SUPER]],DATA_MARZO_2025[[SUPERVISOR]:[META]],3,0)</f>
        <v>21000</v>
      </c>
      <c r="D41">
        <f>D1_MARZO_2025[[#This Row],[RECUPERO]]/D1_MARZO_2025[[#This Row],[META]]</f>
        <v>1.0904761904761904</v>
      </c>
      <c r="E41" t="s">
        <v>6</v>
      </c>
      <c r="F41" t="s">
        <v>118</v>
      </c>
      <c r="G41">
        <v>22900</v>
      </c>
      <c r="H41" t="s">
        <v>398</v>
      </c>
      <c r="I41" s="56">
        <v>44357</v>
      </c>
      <c r="J41" t="s">
        <v>501</v>
      </c>
      <c r="L41" s="56"/>
      <c r="M41" s="1">
        <f>DATA_MARZO_2025[[#This Row],[RECUPERO]]/DATA_MARZO_2025[[#This Row],[META]]</f>
        <v>0.55709090909090908</v>
      </c>
      <c r="N41" t="str" cm="1">
        <f t="array" ref="N41">IF(DATA_MARZO_2025[[#This Row],[ASER_]]="","",IFERROR(_xlfn.IFS(M41&gt;=100%,"&gt;100%",AND(M41&lt;100%,M41&gt;=70%),"&gt;70%",AND(M41&lt;70%,M41&gt;=40%),"&gt;40%",AND(M41&lt;40%,M41&gt;=0%),"&gt;0%"),""))</f>
        <v>&gt;40%</v>
      </c>
      <c r="O41" t="s">
        <v>115</v>
      </c>
      <c r="P41">
        <f>SUM(DATA_MARZO_2025[[#This Row],[1]:[31]])</f>
        <v>9192</v>
      </c>
      <c r="Q41">
        <v>16500</v>
      </c>
      <c r="R41" t="s">
        <v>83</v>
      </c>
      <c r="U41">
        <v>150</v>
      </c>
      <c r="V41">
        <v>416</v>
      </c>
      <c r="X41">
        <v>100</v>
      </c>
      <c r="Y41">
        <v>669</v>
      </c>
      <c r="AC41">
        <v>250</v>
      </c>
      <c r="AD41">
        <v>112</v>
      </c>
      <c r="AE41">
        <v>250</v>
      </c>
      <c r="AJ41">
        <v>288</v>
      </c>
      <c r="AK41">
        <v>150</v>
      </c>
      <c r="AL41">
        <v>58</v>
      </c>
      <c r="AM41">
        <v>370</v>
      </c>
      <c r="AN41">
        <v>150</v>
      </c>
      <c r="AP41">
        <v>4000</v>
      </c>
      <c r="AR41">
        <v>400</v>
      </c>
      <c r="AT41">
        <v>150</v>
      </c>
      <c r="AU41">
        <v>774</v>
      </c>
      <c r="AW41">
        <v>905</v>
      </c>
      <c r="AX41" t="s">
        <v>154</v>
      </c>
    </row>
    <row r="42" spans="1:50" x14ac:dyDescent="0.25">
      <c r="A42" t="s">
        <v>6</v>
      </c>
      <c r="B42" t="s">
        <v>19</v>
      </c>
      <c r="C42">
        <f>VLOOKUP(D1_MARZO_2025[[#This Row],[SUPER]],DATA_MARZO_2025[[SUPERVISOR]:[META]],3,0)</f>
        <v>21000</v>
      </c>
      <c r="D42">
        <f>D1_MARZO_2025[[#This Row],[RECUPERO]]/D1_MARZO_2025[[#This Row],[META]]</f>
        <v>1.8139047619047619</v>
      </c>
      <c r="E42" t="s">
        <v>6</v>
      </c>
      <c r="F42" t="s">
        <v>19</v>
      </c>
      <c r="G42">
        <v>38092</v>
      </c>
      <c r="H42" t="s">
        <v>399</v>
      </c>
      <c r="I42" s="56">
        <v>44673</v>
      </c>
      <c r="J42" t="s">
        <v>501</v>
      </c>
      <c r="L42" s="56"/>
      <c r="M42" s="1">
        <f>DATA_MARZO_2025[[#This Row],[RECUPERO]]/DATA_MARZO_2025[[#This Row],[META]]</f>
        <v>0.85046774193548391</v>
      </c>
      <c r="N42" t="str" cm="1">
        <f t="array" ref="N42">IF(DATA_MARZO_2025[[#This Row],[ASER_]]="","",IFERROR(_xlfn.IFS(M42&gt;=100%,"&gt;100%",AND(M42&lt;100%,M42&gt;=70%),"&gt;70%",AND(M42&lt;70%,M42&gt;=40%),"&gt;40%",AND(M42&lt;40%,M42&gt;=0%),"&gt;0%"),""))</f>
        <v>&gt;70%</v>
      </c>
      <c r="O42" t="s">
        <v>3</v>
      </c>
      <c r="P42">
        <f>SUM(DATA_MARZO_2025[[#This Row],[1]:[31]])</f>
        <v>52729</v>
      </c>
      <c r="Q42">
        <v>62000</v>
      </c>
      <c r="R42" t="s">
        <v>57</v>
      </c>
      <c r="V42">
        <v>1000</v>
      </c>
      <c r="Y42">
        <v>275</v>
      </c>
      <c r="AC42">
        <v>1103</v>
      </c>
      <c r="AD42">
        <v>5000</v>
      </c>
      <c r="AE42">
        <v>0</v>
      </c>
      <c r="AI42">
        <v>7966</v>
      </c>
      <c r="AL42">
        <v>4000</v>
      </c>
      <c r="AN42">
        <v>7800</v>
      </c>
      <c r="AP42">
        <v>3500</v>
      </c>
      <c r="AQ42">
        <v>4737</v>
      </c>
      <c r="AR42">
        <v>270</v>
      </c>
      <c r="AS42">
        <v>10250</v>
      </c>
      <c r="AT42">
        <v>6563</v>
      </c>
      <c r="AU42">
        <v>265</v>
      </c>
      <c r="AX42" t="s">
        <v>150</v>
      </c>
    </row>
    <row r="43" spans="1:50" x14ac:dyDescent="0.25">
      <c r="A43" t="s">
        <v>6</v>
      </c>
      <c r="B43" t="s">
        <v>81</v>
      </c>
      <c r="C43">
        <f>VLOOKUP(D1_MARZO_2025[[#This Row],[SUPER]],DATA_MARZO_2025[[SUPERVISOR]:[META]],3,0)</f>
        <v>21000</v>
      </c>
      <c r="D43">
        <f>D1_MARZO_2025[[#This Row],[RECUPERO]]/D1_MARZO_2025[[#This Row],[META]]</f>
        <v>0.74128571428571433</v>
      </c>
      <c r="E43" t="s">
        <v>6</v>
      </c>
      <c r="F43" t="s">
        <v>81</v>
      </c>
      <c r="G43">
        <v>15567</v>
      </c>
      <c r="H43" t="s">
        <v>425</v>
      </c>
      <c r="I43" s="56">
        <v>45506</v>
      </c>
      <c r="J43" t="s">
        <v>501</v>
      </c>
      <c r="L43" s="56"/>
      <c r="M43" s="1">
        <f>DATA_MARZO_2025[[#This Row],[RECUPERO]]/DATA_MARZO_2025[[#This Row],[META]]</f>
        <v>0.52187878787878783</v>
      </c>
      <c r="N43" t="str" cm="1">
        <f t="array" ref="N43">IF(DATA_MARZO_2025[[#This Row],[ASER_]]="","",IFERROR(_xlfn.IFS(M43&gt;=100%,"&gt;100%",AND(M43&lt;100%,M43&gt;=70%),"&gt;70%",AND(M43&lt;70%,M43&gt;=40%),"&gt;40%",AND(M43&lt;40%,M43&gt;=0%),"&gt;0%"),""))</f>
        <v>&gt;40%</v>
      </c>
      <c r="O43" t="s">
        <v>115</v>
      </c>
      <c r="P43">
        <f>SUM(DATA_MARZO_2025[[#This Row],[1]:[31]])</f>
        <v>8611</v>
      </c>
      <c r="Q43">
        <v>16500</v>
      </c>
      <c r="R43" t="s">
        <v>49</v>
      </c>
      <c r="U43">
        <v>100</v>
      </c>
      <c r="V43">
        <v>250</v>
      </c>
      <c r="W43">
        <v>831</v>
      </c>
      <c r="X43">
        <v>600</v>
      </c>
      <c r="AC43">
        <v>1400</v>
      </c>
      <c r="AD43">
        <v>850</v>
      </c>
      <c r="AJ43">
        <v>600</v>
      </c>
      <c r="AM43">
        <v>200</v>
      </c>
      <c r="AP43">
        <v>300</v>
      </c>
      <c r="AR43">
        <v>2500</v>
      </c>
      <c r="AT43">
        <v>680</v>
      </c>
      <c r="AU43">
        <v>300</v>
      </c>
      <c r="AX43" t="s">
        <v>154</v>
      </c>
    </row>
    <row r="44" spans="1:50" x14ac:dyDescent="0.25">
      <c r="A44" t="s">
        <v>6</v>
      </c>
      <c r="B44" t="s">
        <v>37</v>
      </c>
      <c r="C44">
        <f>VLOOKUP(D1_MARZO_2025[[#This Row],[SUPER]],DATA_MARZO_2025[[SUPERVISOR]:[META]],3,0)</f>
        <v>21000</v>
      </c>
      <c r="D44">
        <f>D1_MARZO_2025[[#This Row],[RECUPERO]]/D1_MARZO_2025[[#This Row],[META]]</f>
        <v>0.28000000000000003</v>
      </c>
      <c r="E44" t="s">
        <v>6</v>
      </c>
      <c r="F44" t="s">
        <v>37</v>
      </c>
      <c r="G44">
        <v>5880</v>
      </c>
      <c r="H44" t="s">
        <v>400</v>
      </c>
      <c r="I44" s="56">
        <v>43132</v>
      </c>
      <c r="J44" t="s">
        <v>501</v>
      </c>
      <c r="L44" s="56"/>
      <c r="M44" s="1">
        <f>DATA_MARZO_2025[[#This Row],[RECUPERO]]/DATA_MARZO_2025[[#This Row],[META]]</f>
        <v>0.77920833333333328</v>
      </c>
      <c r="N44" t="str" cm="1">
        <f t="array" ref="N44">IF(DATA_MARZO_2025[[#This Row],[ASER_]]="","",IFERROR(_xlfn.IFS(M44&gt;=100%,"&gt;100%",AND(M44&lt;100%,M44&gt;=70%),"&gt;70%",AND(M44&lt;70%,M44&gt;=40%),"&gt;40%",AND(M44&lt;40%,M44&gt;=0%),"&gt;0%"),""))</f>
        <v>&gt;70%</v>
      </c>
      <c r="O44" t="s">
        <v>2</v>
      </c>
      <c r="P44">
        <f>SUM(DATA_MARZO_2025[[#This Row],[1]:[31]])</f>
        <v>18701</v>
      </c>
      <c r="Q44">
        <v>24000</v>
      </c>
      <c r="R44" t="s">
        <v>26</v>
      </c>
      <c r="U44">
        <v>2000</v>
      </c>
      <c r="V44">
        <v>507</v>
      </c>
      <c r="X44">
        <v>400</v>
      </c>
      <c r="Y44">
        <v>500</v>
      </c>
      <c r="Z44">
        <v>850</v>
      </c>
      <c r="AB44">
        <v>200</v>
      </c>
      <c r="AF44">
        <v>1500</v>
      </c>
      <c r="AI44">
        <v>3700</v>
      </c>
      <c r="AJ44">
        <v>200</v>
      </c>
      <c r="AM44">
        <v>700</v>
      </c>
      <c r="AP44">
        <v>200</v>
      </c>
      <c r="AQ44">
        <v>230</v>
      </c>
      <c r="AR44">
        <v>850</v>
      </c>
      <c r="AS44">
        <v>1614</v>
      </c>
      <c r="AT44">
        <v>2050</v>
      </c>
      <c r="AW44">
        <v>3200</v>
      </c>
      <c r="AX44" t="s">
        <v>151</v>
      </c>
    </row>
    <row r="45" spans="1:50" x14ac:dyDescent="0.25">
      <c r="A45" t="s">
        <v>6</v>
      </c>
      <c r="B45" t="s">
        <v>35</v>
      </c>
      <c r="C45">
        <f>VLOOKUP(D1_MARZO_2025[[#This Row],[SUPER]],DATA_MARZO_2025[[SUPERVISOR]:[META]],3,0)</f>
        <v>21000</v>
      </c>
      <c r="D45">
        <f>D1_MARZO_2025[[#This Row],[RECUPERO]]/D1_MARZO_2025[[#This Row],[META]]</f>
        <v>0.46619047619047621</v>
      </c>
      <c r="E45" t="s">
        <v>6</v>
      </c>
      <c r="F45" t="s">
        <v>35</v>
      </c>
      <c r="G45">
        <v>9790</v>
      </c>
      <c r="H45" t="s">
        <v>401</v>
      </c>
      <c r="I45" s="56">
        <v>44748</v>
      </c>
      <c r="J45" t="s">
        <v>501</v>
      </c>
      <c r="L45" s="56"/>
      <c r="M45" s="1">
        <f>DATA_MARZO_2025[[#This Row],[RECUPERO]]/DATA_MARZO_2025[[#This Row],[META]]</f>
        <v>0.30762903225806454</v>
      </c>
      <c r="N45" t="str" cm="1">
        <f t="array" ref="N45">IF(DATA_MARZO_2025[[#This Row],[ASER_]]="","",IFERROR(_xlfn.IFS(M45&gt;=100%,"&gt;100%",AND(M45&lt;100%,M45&gt;=70%),"&gt;70%",AND(M45&lt;70%,M45&gt;=40%),"&gt;40%",AND(M45&lt;40%,M45&gt;=0%),"&gt;0%"),""))</f>
        <v>&gt;0%</v>
      </c>
      <c r="O45" t="s">
        <v>4</v>
      </c>
      <c r="P45">
        <f>SUM(DATA_MARZO_2025[[#This Row],[1]:[31]])</f>
        <v>19073</v>
      </c>
      <c r="Q45">
        <v>62000</v>
      </c>
      <c r="R45" t="s">
        <v>122</v>
      </c>
      <c r="AB45">
        <v>1500</v>
      </c>
      <c r="AF45">
        <v>300</v>
      </c>
      <c r="AI45">
        <v>600</v>
      </c>
      <c r="AM45">
        <v>4670</v>
      </c>
      <c r="AN45">
        <v>1000</v>
      </c>
      <c r="AO45">
        <v>1500</v>
      </c>
      <c r="AR45">
        <v>7000</v>
      </c>
      <c r="AT45">
        <v>1203</v>
      </c>
      <c r="AW45">
        <v>1300</v>
      </c>
      <c r="AX45" t="s">
        <v>150</v>
      </c>
    </row>
    <row r="46" spans="1:50" x14ac:dyDescent="0.25">
      <c r="A46" t="s">
        <v>6</v>
      </c>
      <c r="B46" t="s">
        <v>31</v>
      </c>
      <c r="C46">
        <f>VLOOKUP(D1_MARZO_2025[[#This Row],[SUPER]],DATA_MARZO_2025[[SUPERVISOR]:[META]],3,0)</f>
        <v>21000</v>
      </c>
      <c r="D46">
        <f>D1_MARZO_2025[[#This Row],[RECUPERO]]/D1_MARZO_2025[[#This Row],[META]]</f>
        <v>0</v>
      </c>
      <c r="E46" t="s">
        <v>6</v>
      </c>
      <c r="F46" t="s">
        <v>31</v>
      </c>
      <c r="G46">
        <v>0</v>
      </c>
      <c r="H46" t="s">
        <v>403</v>
      </c>
      <c r="I46" s="56">
        <v>45334</v>
      </c>
      <c r="J46" t="s">
        <v>501</v>
      </c>
      <c r="L46" s="56"/>
      <c r="M46" s="1">
        <f>DATA_MARZO_2025[[#This Row],[RECUPERO]]/DATA_MARZO_2025[[#This Row],[META]]</f>
        <v>0</v>
      </c>
      <c r="N46" t="str" cm="1">
        <f t="array" ref="N46">IF(DATA_MARZO_2025[[#This Row],[ASER_]]="","",IFERROR(_xlfn.IFS(M46&gt;=100%,"&gt;100%",AND(M46&lt;100%,M46&gt;=70%),"&gt;70%",AND(M46&lt;70%,M46&gt;=40%),"&gt;40%",AND(M46&lt;40%,M46&gt;=0%),"&gt;0%"),""))</f>
        <v>&gt;0%</v>
      </c>
      <c r="O46" t="s">
        <v>5</v>
      </c>
      <c r="P46">
        <f>SUM(DATA_MARZO_2025[[#This Row],[1]:[31]])</f>
        <v>0</v>
      </c>
      <c r="Q46">
        <v>62000</v>
      </c>
      <c r="R46" t="s">
        <v>116</v>
      </c>
      <c r="AX46" t="s">
        <v>150</v>
      </c>
    </row>
    <row r="47" spans="1:50" x14ac:dyDescent="0.25">
      <c r="A47" t="s">
        <v>6</v>
      </c>
      <c r="B47" t="s">
        <v>110</v>
      </c>
      <c r="C47">
        <f>VLOOKUP(D1_MARZO_2025[[#This Row],[SUPER]],DATA_MARZO_2025[[SUPERVISOR]:[META]],3,0)</f>
        <v>21000</v>
      </c>
      <c r="D47">
        <f>D1_MARZO_2025[[#This Row],[RECUPERO]]/D1_MARZO_2025[[#This Row],[META]]</f>
        <v>0.44857142857142857</v>
      </c>
      <c r="E47" t="s">
        <v>6</v>
      </c>
      <c r="F47" t="s">
        <v>110</v>
      </c>
      <c r="G47">
        <v>9420</v>
      </c>
      <c r="H47" t="s">
        <v>454</v>
      </c>
      <c r="I47" s="56">
        <v>44993</v>
      </c>
      <c r="J47" t="s">
        <v>501</v>
      </c>
      <c r="L47" s="56"/>
      <c r="M47" s="1">
        <f>DATA_MARZO_2025[[#This Row],[RECUPERO]]/DATA_MARZO_2025[[#This Row],[META]]</f>
        <v>1.935483870967742E-2</v>
      </c>
      <c r="N47" t="str" cm="1">
        <f t="array" ref="N47">IF(DATA_MARZO_2025[[#This Row],[ASER_]]="","",IFERROR(_xlfn.IFS(M47&gt;=100%,"&gt;100%",AND(M47&lt;100%,M47&gt;=70%),"&gt;70%",AND(M47&lt;70%,M47&gt;=40%),"&gt;40%",AND(M47&lt;40%,M47&gt;=0%),"&gt;0%"),""))</f>
        <v>&gt;0%</v>
      </c>
      <c r="O47" t="s">
        <v>3</v>
      </c>
      <c r="P47">
        <f>SUM(DATA_MARZO_2025[[#This Row],[1]:[31]])</f>
        <v>1200</v>
      </c>
      <c r="Q47">
        <v>62000</v>
      </c>
      <c r="R47" t="s">
        <v>96</v>
      </c>
      <c r="U47">
        <v>600</v>
      </c>
      <c r="W47">
        <v>600</v>
      </c>
      <c r="AX47" t="s">
        <v>150</v>
      </c>
    </row>
    <row r="48" spans="1:50" x14ac:dyDescent="0.25">
      <c r="A48" t="s">
        <v>6</v>
      </c>
      <c r="B48" t="s">
        <v>119</v>
      </c>
      <c r="C48">
        <f>VLOOKUP(D1_MARZO_2025[[#This Row],[SUPER]],DATA_MARZO_2025[[SUPERVISOR]:[META]],3,0)</f>
        <v>21000</v>
      </c>
      <c r="D48">
        <f>D1_MARZO_2025[[#This Row],[RECUPERO]]/D1_MARZO_2025[[#This Row],[META]]</f>
        <v>0.73476190476190473</v>
      </c>
      <c r="E48" t="s">
        <v>6</v>
      </c>
      <c r="F48" t="s">
        <v>119</v>
      </c>
      <c r="G48">
        <v>15430</v>
      </c>
      <c r="H48" t="s">
        <v>404</v>
      </c>
      <c r="I48" s="56">
        <v>45441</v>
      </c>
      <c r="J48" t="s">
        <v>501</v>
      </c>
      <c r="L48" s="56"/>
      <c r="M48" s="1">
        <f>DATA_MARZO_2025[[#This Row],[RECUPERO]]/DATA_MARZO_2025[[#This Row],[META]]</f>
        <v>0.66200000000000003</v>
      </c>
      <c r="N48" t="str" cm="1">
        <f t="array" ref="N48">IF(DATA_MARZO_2025[[#This Row],[ASER_]]="","",IFERROR(_xlfn.IFS(M48&gt;=100%,"&gt;100%",AND(M48&lt;100%,M48&gt;=70%),"&gt;70%",AND(M48&lt;70%,M48&gt;=40%),"&gt;40%",AND(M48&lt;40%,M48&gt;=0%),"&gt;0%"),""))</f>
        <v>&gt;40%</v>
      </c>
      <c r="O48" t="s">
        <v>115</v>
      </c>
      <c r="P48">
        <f>SUM(DATA_MARZO_2025[[#This Row],[1]:[31]])</f>
        <v>10923</v>
      </c>
      <c r="Q48">
        <v>16500</v>
      </c>
      <c r="R48" t="s">
        <v>65</v>
      </c>
      <c r="U48">
        <v>650</v>
      </c>
      <c r="X48">
        <v>290</v>
      </c>
      <c r="Y48">
        <v>500</v>
      </c>
      <c r="Z48">
        <v>468</v>
      </c>
      <c r="AB48">
        <v>260</v>
      </c>
      <c r="AD48">
        <v>2600</v>
      </c>
      <c r="AF48">
        <v>487</v>
      </c>
      <c r="AJ48">
        <v>200</v>
      </c>
      <c r="AK48">
        <v>261</v>
      </c>
      <c r="AL48">
        <v>994</v>
      </c>
      <c r="AM48">
        <v>269</v>
      </c>
      <c r="AP48">
        <v>43</v>
      </c>
      <c r="AQ48">
        <v>690</v>
      </c>
      <c r="AR48">
        <v>593</v>
      </c>
      <c r="AS48">
        <v>500</v>
      </c>
      <c r="AT48">
        <v>660</v>
      </c>
      <c r="AU48">
        <v>529</v>
      </c>
      <c r="AW48">
        <v>929</v>
      </c>
      <c r="AX48" t="s">
        <v>154</v>
      </c>
    </row>
    <row r="49" spans="1:50" x14ac:dyDescent="0.25">
      <c r="A49" t="s">
        <v>6</v>
      </c>
      <c r="B49" t="s">
        <v>120</v>
      </c>
      <c r="C49">
        <f>VLOOKUP(D1_MARZO_2025[[#This Row],[SUPER]],DATA_MARZO_2025[[SUPERVISOR]:[META]],3,0)</f>
        <v>21000</v>
      </c>
      <c r="D49">
        <f>D1_MARZO_2025[[#This Row],[RECUPERO]]/D1_MARZO_2025[[#This Row],[META]]</f>
        <v>1.0309523809523808</v>
      </c>
      <c r="E49" t="s">
        <v>6</v>
      </c>
      <c r="F49" t="s">
        <v>120</v>
      </c>
      <c r="G49">
        <v>21650</v>
      </c>
      <c r="H49" t="s">
        <v>405</v>
      </c>
      <c r="I49" s="56">
        <v>45471</v>
      </c>
      <c r="J49" t="s">
        <v>501</v>
      </c>
      <c r="L49" s="56"/>
      <c r="M49" s="1">
        <f>DATA_MARZO_2025[[#This Row],[RECUPERO]]/DATA_MARZO_2025[[#This Row],[META]]</f>
        <v>0.2983064516129032</v>
      </c>
      <c r="N49" t="str" cm="1">
        <f t="array" ref="N49">IF(DATA_MARZO_2025[[#This Row],[ASER_]]="","",IFERROR(_xlfn.IFS(M49&gt;=100%,"&gt;100%",AND(M49&lt;100%,M49&gt;=70%),"&gt;70%",AND(M49&lt;70%,M49&gt;=40%),"&gt;40%",AND(M49&lt;40%,M49&gt;=0%),"&gt;0%"),""))</f>
        <v>&gt;0%</v>
      </c>
      <c r="O49" t="s">
        <v>4</v>
      </c>
      <c r="P49">
        <f>SUM(DATA_MARZO_2025[[#This Row],[1]:[31]])</f>
        <v>18495</v>
      </c>
      <c r="Q49">
        <v>62000</v>
      </c>
      <c r="R49" t="s">
        <v>20</v>
      </c>
      <c r="V49">
        <v>590</v>
      </c>
      <c r="W49">
        <v>800</v>
      </c>
      <c r="AB49">
        <v>200</v>
      </c>
      <c r="AJ49">
        <v>12600</v>
      </c>
      <c r="AR49">
        <v>4305</v>
      </c>
      <c r="AX49" t="s">
        <v>150</v>
      </c>
    </row>
    <row r="50" spans="1:50" x14ac:dyDescent="0.25">
      <c r="A50" t="s">
        <v>6</v>
      </c>
      <c r="B50" t="s">
        <v>36</v>
      </c>
      <c r="C50">
        <f>VLOOKUP(D1_MARZO_2025[[#This Row],[SUPER]],DATA_MARZO_2025[[SUPERVISOR]:[META]],3,0)</f>
        <v>21000</v>
      </c>
      <c r="D50">
        <f>D1_MARZO_2025[[#This Row],[RECUPERO]]/D1_MARZO_2025[[#This Row],[META]]</f>
        <v>0.26095238095238094</v>
      </c>
      <c r="E50" t="s">
        <v>6</v>
      </c>
      <c r="F50" t="s">
        <v>36</v>
      </c>
      <c r="G50">
        <v>5480</v>
      </c>
      <c r="H50" t="s">
        <v>406</v>
      </c>
      <c r="I50" s="56">
        <v>44941</v>
      </c>
      <c r="J50" t="s">
        <v>501</v>
      </c>
      <c r="L50" s="56"/>
      <c r="M50" s="1">
        <f>DATA_MARZO_2025[[#This Row],[RECUPERO]]/DATA_MARZO_2025[[#This Row],[META]]</f>
        <v>0.28000000000000003</v>
      </c>
      <c r="N50" t="str" cm="1">
        <f t="array" ref="N50">IF(DATA_MARZO_2025[[#This Row],[ASER_]]="","",IFERROR(_xlfn.IFS(M50&gt;=100%,"&gt;100%",AND(M50&lt;100%,M50&gt;=70%),"&gt;70%",AND(M50&lt;70%,M50&gt;=40%),"&gt;40%",AND(M50&lt;40%,M50&gt;=0%),"&gt;0%"),""))</f>
        <v>&gt;0%</v>
      </c>
      <c r="O50" t="s">
        <v>6</v>
      </c>
      <c r="P50">
        <f>SUM(DATA_MARZO_2025[[#This Row],[1]:[31]])</f>
        <v>5880</v>
      </c>
      <c r="Q50">
        <v>21000</v>
      </c>
      <c r="R50" t="s">
        <v>37</v>
      </c>
      <c r="V50">
        <v>1000</v>
      </c>
      <c r="X50">
        <v>190</v>
      </c>
      <c r="AB50">
        <v>500</v>
      </c>
      <c r="AC50">
        <v>1500</v>
      </c>
      <c r="AD50">
        <v>700</v>
      </c>
      <c r="AK50">
        <v>1100</v>
      </c>
      <c r="AP50">
        <v>590</v>
      </c>
      <c r="AR50">
        <v>300</v>
      </c>
      <c r="AX50" t="s">
        <v>152</v>
      </c>
    </row>
    <row r="51" spans="1:50" x14ac:dyDescent="0.25">
      <c r="A51" t="s">
        <v>6</v>
      </c>
      <c r="B51" t="s">
        <v>128</v>
      </c>
      <c r="C51">
        <f>VLOOKUP(D1_MARZO_2025[[#This Row],[SUPER]],DATA_MARZO_2025[[SUPERVISOR]:[META]],3,0)</f>
        <v>21000</v>
      </c>
      <c r="D51">
        <f>D1_MARZO_2025[[#This Row],[RECUPERO]]/D1_MARZO_2025[[#This Row],[META]]</f>
        <v>0.1761904761904762</v>
      </c>
      <c r="E51" t="s">
        <v>6</v>
      </c>
      <c r="F51" t="s">
        <v>128</v>
      </c>
      <c r="G51">
        <v>3700</v>
      </c>
      <c r="H51" t="s">
        <v>460</v>
      </c>
      <c r="I51" s="56">
        <v>45727</v>
      </c>
      <c r="J51" t="s">
        <v>501</v>
      </c>
      <c r="L51" s="56"/>
      <c r="M51" s="1">
        <f>DATA_MARZO_2025[[#This Row],[RECUPERO]]/DATA_MARZO_2025[[#This Row],[META]]</f>
        <v>0.46983870967741936</v>
      </c>
      <c r="N51" t="str" cm="1">
        <f t="array" ref="N51">IF(DATA_MARZO_2025[[#This Row],[ASER_]]="","",IFERROR(_xlfn.IFS(M51&gt;=100%,"&gt;100%",AND(M51&lt;100%,M51&gt;=70%),"&gt;70%",AND(M51&lt;70%,M51&gt;=40%),"&gt;40%",AND(M51&lt;40%,M51&gt;=0%),"&gt;0%"),""))</f>
        <v>&gt;40%</v>
      </c>
      <c r="O51" t="s">
        <v>5</v>
      </c>
      <c r="P51">
        <f>SUM(DATA_MARZO_2025[[#This Row],[1]:[31]])</f>
        <v>29130</v>
      </c>
      <c r="Q51">
        <v>62000</v>
      </c>
      <c r="R51" t="s">
        <v>106</v>
      </c>
      <c r="V51">
        <v>1200</v>
      </c>
      <c r="Y51">
        <v>7600</v>
      </c>
      <c r="Z51">
        <v>600</v>
      </c>
      <c r="AF51">
        <v>3100</v>
      </c>
      <c r="AG51">
        <v>400</v>
      </c>
      <c r="AI51">
        <v>2010</v>
      </c>
      <c r="AK51">
        <v>400</v>
      </c>
      <c r="AL51">
        <v>370</v>
      </c>
      <c r="AP51">
        <v>600</v>
      </c>
      <c r="AR51">
        <v>250</v>
      </c>
      <c r="AS51">
        <v>0</v>
      </c>
      <c r="AT51">
        <v>800</v>
      </c>
      <c r="AU51">
        <v>7000</v>
      </c>
      <c r="AW51">
        <v>4800</v>
      </c>
      <c r="AX51" t="s">
        <v>150</v>
      </c>
    </row>
    <row r="52" spans="1:50" x14ac:dyDescent="0.25">
      <c r="A52" t="s">
        <v>6</v>
      </c>
      <c r="B52" t="s">
        <v>34</v>
      </c>
      <c r="C52">
        <f>VLOOKUP(D1_MARZO_2025[[#This Row],[SUPER]],DATA_MARZO_2025[[SUPERVISOR]:[META]],3,0)</f>
        <v>21000</v>
      </c>
      <c r="D52">
        <f>D1_MARZO_2025[[#This Row],[RECUPERO]]/D1_MARZO_2025[[#This Row],[META]]</f>
        <v>0.22223809523809523</v>
      </c>
      <c r="E52" t="s">
        <v>6</v>
      </c>
      <c r="F52" t="s">
        <v>34</v>
      </c>
      <c r="G52">
        <v>4667</v>
      </c>
      <c r="H52" t="s">
        <v>407</v>
      </c>
      <c r="I52" s="56">
        <v>45175</v>
      </c>
      <c r="J52" t="s">
        <v>501</v>
      </c>
      <c r="L52" s="56"/>
      <c r="M52" s="1">
        <f>DATA_MARZO_2025[[#This Row],[RECUPERO]]/DATA_MARZO_2025[[#This Row],[META]]</f>
        <v>0.43883333333333335</v>
      </c>
      <c r="N52" t="str" cm="1">
        <f t="array" ref="N52">IF(DATA_MARZO_2025[[#This Row],[ASER_]]="","",IFERROR(_xlfn.IFS(M52&gt;=100%,"&gt;100%",AND(M52&lt;100%,M52&gt;=70%),"&gt;70%",AND(M52&lt;70%,M52&gt;=40%),"&gt;40%",AND(M52&lt;40%,M52&gt;=0%),"&gt;0%"),""))</f>
        <v>&gt;40%</v>
      </c>
      <c r="O52" t="s">
        <v>2</v>
      </c>
      <c r="P52">
        <f>SUM(DATA_MARZO_2025[[#This Row],[1]:[31]])</f>
        <v>10532</v>
      </c>
      <c r="Q52">
        <v>24000</v>
      </c>
      <c r="R52" t="s">
        <v>77</v>
      </c>
      <c r="W52">
        <v>886</v>
      </c>
      <c r="X52">
        <v>450</v>
      </c>
      <c r="AB52">
        <v>3600</v>
      </c>
      <c r="AD52">
        <v>466</v>
      </c>
      <c r="AE52">
        <v>190</v>
      </c>
      <c r="AF52">
        <v>250</v>
      </c>
      <c r="AL52">
        <v>350</v>
      </c>
      <c r="AQ52">
        <v>200</v>
      </c>
      <c r="AR52">
        <v>350</v>
      </c>
      <c r="AS52">
        <v>400</v>
      </c>
      <c r="AT52">
        <v>1877</v>
      </c>
      <c r="AW52">
        <v>1513</v>
      </c>
      <c r="AX52" t="s">
        <v>151</v>
      </c>
    </row>
    <row r="53" spans="1:50" x14ac:dyDescent="0.25">
      <c r="A53" t="s">
        <v>9</v>
      </c>
      <c r="B53" t="s">
        <v>21</v>
      </c>
      <c r="C53">
        <f>VLOOKUP(D1_MARZO_2025[[#This Row],[SUPER]],DATA_MARZO_2025[[SUPERVISOR]:[META]],3,0)</f>
        <v>21000</v>
      </c>
      <c r="D53">
        <f>D1_MARZO_2025[[#This Row],[RECUPERO]]/D1_MARZO_2025[[#This Row],[META]]</f>
        <v>0.69114285714285717</v>
      </c>
      <c r="E53" t="s">
        <v>9</v>
      </c>
      <c r="F53" t="s">
        <v>21</v>
      </c>
      <c r="G53">
        <v>14514</v>
      </c>
      <c r="H53" t="s">
        <v>409</v>
      </c>
      <c r="I53" s="56">
        <v>44301</v>
      </c>
      <c r="J53" t="s">
        <v>501</v>
      </c>
      <c r="L53" s="56"/>
      <c r="M53" s="1">
        <f>DATA_MARZO_2025[[#This Row],[RECUPERO]]/DATA_MARZO_2025[[#This Row],[META]]</f>
        <v>0.46619047619047621</v>
      </c>
      <c r="N53" t="str" cm="1">
        <f t="array" ref="N53">IF(DATA_MARZO_2025[[#This Row],[ASER_]]="","",IFERROR(_xlfn.IFS(M53&gt;=100%,"&gt;100%",AND(M53&lt;100%,M53&gt;=70%),"&gt;70%",AND(M53&lt;70%,M53&gt;=40%),"&gt;40%",AND(M53&lt;40%,M53&gt;=0%),"&gt;0%"),""))</f>
        <v>&gt;40%</v>
      </c>
      <c r="O53" t="s">
        <v>6</v>
      </c>
      <c r="P53">
        <f>SUM(DATA_MARZO_2025[[#This Row],[1]:[31]])</f>
        <v>9790</v>
      </c>
      <c r="Q53">
        <v>21000</v>
      </c>
      <c r="R53" t="s">
        <v>35</v>
      </c>
      <c r="U53">
        <v>240</v>
      </c>
      <c r="V53">
        <v>480</v>
      </c>
      <c r="W53">
        <v>400</v>
      </c>
      <c r="AB53">
        <v>500</v>
      </c>
      <c r="AD53">
        <v>300</v>
      </c>
      <c r="AE53">
        <v>350</v>
      </c>
      <c r="AF53">
        <v>4050</v>
      </c>
      <c r="AL53">
        <v>700</v>
      </c>
      <c r="AP53">
        <v>240</v>
      </c>
      <c r="AT53">
        <v>400</v>
      </c>
      <c r="AU53">
        <v>700</v>
      </c>
      <c r="AV53">
        <v>550</v>
      </c>
      <c r="AW53">
        <v>880</v>
      </c>
      <c r="AX53" t="s">
        <v>152</v>
      </c>
    </row>
    <row r="54" spans="1:50" x14ac:dyDescent="0.25">
      <c r="A54" t="s">
        <v>9</v>
      </c>
      <c r="B54" t="s">
        <v>15</v>
      </c>
      <c r="C54">
        <f>VLOOKUP(D1_MARZO_2025[[#This Row],[SUPER]],DATA_MARZO_2025[[SUPERVISOR]:[META]],3,0)</f>
        <v>21000</v>
      </c>
      <c r="D54">
        <f>D1_MARZO_2025[[#This Row],[RECUPERO]]/D1_MARZO_2025[[#This Row],[META]]</f>
        <v>0</v>
      </c>
      <c r="E54" t="s">
        <v>9</v>
      </c>
      <c r="F54" t="s">
        <v>15</v>
      </c>
      <c r="G54">
        <v>0</v>
      </c>
      <c r="H54" t="s">
        <v>410</v>
      </c>
      <c r="I54" s="56">
        <v>44735</v>
      </c>
      <c r="J54" t="s">
        <v>501</v>
      </c>
      <c r="L54" s="56"/>
      <c r="M54" s="1">
        <f>DATA_MARZO_2025[[#This Row],[RECUPERO]]/DATA_MARZO_2025[[#This Row],[META]]</f>
        <v>0.57875151515151513</v>
      </c>
      <c r="N54" t="str" cm="1">
        <f t="array" ref="N54">IF(DATA_MARZO_2025[[#This Row],[ASER_]]="","",IFERROR(_xlfn.IFS(M54&gt;=100%,"&gt;100%",AND(M54&lt;100%,M54&gt;=70%),"&gt;70%",AND(M54&lt;70%,M54&gt;=40%),"&gt;40%",AND(M54&lt;40%,M54&gt;=0%),"&gt;0%"),""))</f>
        <v>&gt;40%</v>
      </c>
      <c r="O54" t="s">
        <v>115</v>
      </c>
      <c r="P54">
        <f>SUM(DATA_MARZO_2025[[#This Row],[1]:[31]])</f>
        <v>9549.4</v>
      </c>
      <c r="Q54">
        <v>16500</v>
      </c>
      <c r="R54" t="s">
        <v>33</v>
      </c>
      <c r="V54">
        <v>1360</v>
      </c>
      <c r="Y54">
        <v>750</v>
      </c>
      <c r="AB54">
        <v>1000</v>
      </c>
      <c r="AF54">
        <v>480</v>
      </c>
      <c r="AH54">
        <v>150</v>
      </c>
      <c r="AK54">
        <v>200</v>
      </c>
      <c r="AM54">
        <v>801</v>
      </c>
      <c r="AN54">
        <v>1150</v>
      </c>
      <c r="AP54">
        <v>150</v>
      </c>
      <c r="AR54">
        <v>283.39999999999998</v>
      </c>
      <c r="AS54">
        <v>2300</v>
      </c>
      <c r="AW54">
        <v>925</v>
      </c>
      <c r="AX54" t="s">
        <v>154</v>
      </c>
    </row>
    <row r="55" spans="1:50" x14ac:dyDescent="0.25">
      <c r="A55" t="s">
        <v>9</v>
      </c>
      <c r="B55" t="s">
        <v>61</v>
      </c>
      <c r="C55">
        <f>VLOOKUP(D1_MARZO_2025[[#This Row],[SUPER]],DATA_MARZO_2025[[SUPERVISOR]:[META]],3,0)</f>
        <v>21000</v>
      </c>
      <c r="D55">
        <f>D1_MARZO_2025[[#This Row],[RECUPERO]]/D1_MARZO_2025[[#This Row],[META]]</f>
        <v>0.51538095238095238</v>
      </c>
      <c r="E55" t="s">
        <v>9</v>
      </c>
      <c r="F55" t="s">
        <v>61</v>
      </c>
      <c r="G55">
        <v>10823</v>
      </c>
      <c r="H55" t="s">
        <v>411</v>
      </c>
      <c r="I55" s="56">
        <v>44909</v>
      </c>
      <c r="J55" t="s">
        <v>501</v>
      </c>
      <c r="L55" s="56"/>
      <c r="M55" s="1">
        <f>DATA_MARZO_2025[[#This Row],[RECUPERO]]/DATA_MARZO_2025[[#This Row],[META]]</f>
        <v>2.134415322580645</v>
      </c>
      <c r="N55" t="str" cm="1">
        <f t="array" ref="N55">IF(DATA_MARZO_2025[[#This Row],[ASER_]]="","",IFERROR(_xlfn.IFS(M55&gt;=100%,"&gt;100%",AND(M55&lt;100%,M55&gt;=70%),"&gt;70%",AND(M55&lt;70%,M55&gt;=40%),"&gt;40%",AND(M55&lt;40%,M55&gt;=0%),"&gt;0%"),""))</f>
        <v>&gt;100%</v>
      </c>
      <c r="O55" t="s">
        <v>3</v>
      </c>
      <c r="P55">
        <f>SUM(DATA_MARZO_2025[[#This Row],[1]:[31]])</f>
        <v>132333.75</v>
      </c>
      <c r="Q55">
        <v>62000</v>
      </c>
      <c r="R55" t="s">
        <v>23</v>
      </c>
      <c r="S55">
        <v>480</v>
      </c>
      <c r="T55">
        <v>687</v>
      </c>
      <c r="U55">
        <v>5280</v>
      </c>
      <c r="W55">
        <v>1500</v>
      </c>
      <c r="X55">
        <v>2500</v>
      </c>
      <c r="Y55">
        <v>228.5</v>
      </c>
      <c r="AB55">
        <v>385</v>
      </c>
      <c r="AC55">
        <v>1678</v>
      </c>
      <c r="AD55">
        <v>12350</v>
      </c>
      <c r="AF55">
        <v>3007</v>
      </c>
      <c r="AG55">
        <v>1126</v>
      </c>
      <c r="AI55">
        <v>20146</v>
      </c>
      <c r="AJ55">
        <v>12540.25</v>
      </c>
      <c r="AK55">
        <v>47000</v>
      </c>
      <c r="AL55">
        <v>945</v>
      </c>
      <c r="AR55">
        <v>12032</v>
      </c>
      <c r="AT55">
        <v>2700</v>
      </c>
      <c r="AU55">
        <v>2500</v>
      </c>
      <c r="AW55">
        <v>5249</v>
      </c>
      <c r="AX55" t="s">
        <v>150</v>
      </c>
    </row>
    <row r="56" spans="1:50" x14ac:dyDescent="0.25">
      <c r="A56" t="s">
        <v>9</v>
      </c>
      <c r="B56" t="s">
        <v>129</v>
      </c>
      <c r="C56">
        <f>VLOOKUP(D1_MARZO_2025[[#This Row],[SUPER]],DATA_MARZO_2025[[SUPERVISOR]:[META]],3,0)</f>
        <v>21000</v>
      </c>
      <c r="D56">
        <f>D1_MARZO_2025[[#This Row],[RECUPERO]]/D1_MARZO_2025[[#This Row],[META]]</f>
        <v>0.27395238095238095</v>
      </c>
      <c r="E56" t="s">
        <v>9</v>
      </c>
      <c r="F56" t="s">
        <v>129</v>
      </c>
      <c r="G56">
        <v>5753</v>
      </c>
      <c r="H56" t="s">
        <v>461</v>
      </c>
      <c r="I56" s="56">
        <v>45727</v>
      </c>
      <c r="J56" t="s">
        <v>501</v>
      </c>
      <c r="L56" s="56"/>
      <c r="M56" s="1">
        <f>DATA_MARZO_2025[[#This Row],[RECUPERO]]/DATA_MARZO_2025[[#This Row],[META]]</f>
        <v>0.71172727272727276</v>
      </c>
      <c r="N56" t="str" cm="1">
        <f t="array" ref="N56">IF(DATA_MARZO_2025[[#This Row],[ASER_]]="","",IFERROR(_xlfn.IFS(M56&gt;=100%,"&gt;100%",AND(M56&lt;100%,M56&gt;=70%),"&gt;70%",AND(M56&lt;70%,M56&gt;=40%),"&gt;40%",AND(M56&lt;40%,M56&gt;=0%),"&gt;0%"),""))</f>
        <v>&gt;70%</v>
      </c>
      <c r="O56" t="s">
        <v>115</v>
      </c>
      <c r="P56">
        <f>SUM(DATA_MARZO_2025[[#This Row],[1]:[31]])</f>
        <v>11743.5</v>
      </c>
      <c r="Q56">
        <v>16500</v>
      </c>
      <c r="R56" t="s">
        <v>68</v>
      </c>
      <c r="T56">
        <v>250</v>
      </c>
      <c r="U56">
        <v>130</v>
      </c>
      <c r="V56">
        <v>450</v>
      </c>
      <c r="W56">
        <v>987.5</v>
      </c>
      <c r="AB56">
        <v>500</v>
      </c>
      <c r="AC56">
        <v>390</v>
      </c>
      <c r="AI56">
        <v>1336</v>
      </c>
      <c r="AL56">
        <v>500</v>
      </c>
      <c r="AM56">
        <v>1614</v>
      </c>
      <c r="AP56">
        <v>600</v>
      </c>
      <c r="AR56">
        <v>332</v>
      </c>
      <c r="AS56">
        <v>670</v>
      </c>
      <c r="AT56">
        <v>3000</v>
      </c>
      <c r="AU56">
        <v>125</v>
      </c>
      <c r="AW56">
        <v>859</v>
      </c>
      <c r="AX56" t="s">
        <v>154</v>
      </c>
    </row>
    <row r="57" spans="1:50" x14ac:dyDescent="0.25">
      <c r="A57" t="s">
        <v>9</v>
      </c>
      <c r="B57" t="s">
        <v>27</v>
      </c>
      <c r="C57">
        <f>VLOOKUP(D1_MARZO_2025[[#This Row],[SUPER]],DATA_MARZO_2025[[SUPERVISOR]:[META]],3,0)</f>
        <v>21000</v>
      </c>
      <c r="D57">
        <f>D1_MARZO_2025[[#This Row],[RECUPERO]]/D1_MARZO_2025[[#This Row],[META]]</f>
        <v>0.22504761904761905</v>
      </c>
      <c r="E57" t="s">
        <v>9</v>
      </c>
      <c r="F57" t="s">
        <v>27</v>
      </c>
      <c r="G57">
        <v>4726</v>
      </c>
      <c r="H57" t="s">
        <v>412</v>
      </c>
      <c r="I57" s="56">
        <v>45675</v>
      </c>
      <c r="J57" t="s">
        <v>501</v>
      </c>
      <c r="L57" s="56"/>
      <c r="M57" s="1">
        <f>DATA_MARZO_2025[[#This Row],[RECUPERO]]/DATA_MARZO_2025[[#This Row],[META]]</f>
        <v>0</v>
      </c>
      <c r="N57" t="str" cm="1">
        <f t="array" ref="N57">IF(DATA_MARZO_2025[[#This Row],[ASER_]]="","",IFERROR(_xlfn.IFS(M57&gt;=100%,"&gt;100%",AND(M57&lt;100%,M57&gt;=70%),"&gt;70%",AND(M57&lt;70%,M57&gt;=40%),"&gt;40%",AND(M57&lt;40%,M57&gt;=0%),"&gt;0%"),""))</f>
        <v>&gt;0%</v>
      </c>
      <c r="O57" t="s">
        <v>6</v>
      </c>
      <c r="P57">
        <f>SUM(DATA_MARZO_2025[[#This Row],[1]:[31]])</f>
        <v>0</v>
      </c>
      <c r="Q57">
        <v>21000</v>
      </c>
      <c r="R57" t="s">
        <v>31</v>
      </c>
      <c r="AX57" t="s">
        <v>152</v>
      </c>
    </row>
    <row r="58" spans="1:50" x14ac:dyDescent="0.25">
      <c r="A58" t="s">
        <v>9</v>
      </c>
      <c r="B58" t="s">
        <v>51</v>
      </c>
      <c r="C58">
        <f>VLOOKUP(D1_MARZO_2025[[#This Row],[SUPER]],DATA_MARZO_2025[[SUPERVISOR]:[META]],3,0)</f>
        <v>21000</v>
      </c>
      <c r="D58">
        <f>D1_MARZO_2025[[#This Row],[RECUPERO]]/D1_MARZO_2025[[#This Row],[META]]</f>
        <v>0.33585714285714285</v>
      </c>
      <c r="E58" t="s">
        <v>9</v>
      </c>
      <c r="F58" t="s">
        <v>51</v>
      </c>
      <c r="G58">
        <v>7053</v>
      </c>
      <c r="H58" t="s">
        <v>413</v>
      </c>
      <c r="I58" s="56">
        <v>45674</v>
      </c>
      <c r="J58" t="s">
        <v>501</v>
      </c>
      <c r="L58" s="56"/>
      <c r="M58" s="1">
        <f>DATA_MARZO_2025[[#This Row],[RECUPERO]]/DATA_MARZO_2025[[#This Row],[META]]</f>
        <v>0.35506048387096772</v>
      </c>
      <c r="N58" t="str" cm="1">
        <f t="array" ref="N58">IF(DATA_MARZO_2025[[#This Row],[ASER_]]="","",IFERROR(_xlfn.IFS(M58&gt;=100%,"&gt;100%",AND(M58&lt;100%,M58&gt;=70%),"&gt;70%",AND(M58&lt;70%,M58&gt;=40%),"&gt;40%",AND(M58&lt;40%,M58&gt;=0%),"&gt;0%"),""))</f>
        <v>&gt;0%</v>
      </c>
      <c r="O58" t="s">
        <v>4</v>
      </c>
      <c r="P58">
        <f>SUM(DATA_MARZO_2025[[#This Row],[1]:[31]])</f>
        <v>22013.75</v>
      </c>
      <c r="Q58">
        <v>62000</v>
      </c>
      <c r="R58" t="s">
        <v>29</v>
      </c>
      <c r="AF58">
        <v>600</v>
      </c>
      <c r="AG58">
        <v>800</v>
      </c>
      <c r="AJ58">
        <v>250</v>
      </c>
      <c r="AK58">
        <v>9300</v>
      </c>
      <c r="AM58">
        <v>3200</v>
      </c>
      <c r="AP58">
        <v>600</v>
      </c>
      <c r="AR58">
        <v>1207</v>
      </c>
      <c r="AS58">
        <v>1056.75</v>
      </c>
      <c r="AW58">
        <v>5000</v>
      </c>
      <c r="AX58" t="s">
        <v>150</v>
      </c>
    </row>
    <row r="59" spans="1:50" x14ac:dyDescent="0.25">
      <c r="A59" t="s">
        <v>9</v>
      </c>
      <c r="B59" t="s">
        <v>71</v>
      </c>
      <c r="C59">
        <f>VLOOKUP(D1_MARZO_2025[[#This Row],[SUPER]],DATA_MARZO_2025[[SUPERVISOR]:[META]],3,0)</f>
        <v>21000</v>
      </c>
      <c r="D59">
        <f>D1_MARZO_2025[[#This Row],[RECUPERO]]/D1_MARZO_2025[[#This Row],[META]]</f>
        <v>0.31490476190476191</v>
      </c>
      <c r="E59" t="s">
        <v>9</v>
      </c>
      <c r="F59" t="s">
        <v>71</v>
      </c>
      <c r="G59">
        <v>6613</v>
      </c>
      <c r="H59" t="s">
        <v>414</v>
      </c>
      <c r="I59" s="56">
        <v>45423</v>
      </c>
      <c r="J59" t="s">
        <v>501</v>
      </c>
      <c r="L59" s="56"/>
      <c r="M59" s="1">
        <f>DATA_MARZO_2025[[#This Row],[RECUPERO]]/DATA_MARZO_2025[[#This Row],[META]]</f>
        <v>0</v>
      </c>
      <c r="N59" t="str" cm="1">
        <f t="array" ref="N59">IF(DATA_MARZO_2025[[#This Row],[ASER_]]="","",IFERROR(_xlfn.IFS(M59&gt;=100%,"&gt;100%",AND(M59&lt;100%,M59&gt;=70%),"&gt;70%",AND(M59&lt;70%,M59&gt;=40%),"&gt;40%",AND(M59&lt;40%,M59&gt;=0%),"&gt;0%"),""))</f>
        <v>&gt;0%</v>
      </c>
      <c r="O59" t="s">
        <v>3</v>
      </c>
      <c r="P59">
        <f>SUM(DATA_MARZO_2025[[#This Row],[1]:[31]])</f>
        <v>0</v>
      </c>
      <c r="Q59">
        <v>62000</v>
      </c>
      <c r="R59" t="s">
        <v>25</v>
      </c>
      <c r="AX59" t="s">
        <v>150</v>
      </c>
    </row>
    <row r="60" spans="1:50" x14ac:dyDescent="0.25">
      <c r="A60" t="s">
        <v>9</v>
      </c>
      <c r="B60" t="s">
        <v>42</v>
      </c>
      <c r="C60">
        <f>VLOOKUP(D1_MARZO_2025[[#This Row],[SUPER]],DATA_MARZO_2025[[SUPERVISOR]:[META]],3,0)</f>
        <v>21000</v>
      </c>
      <c r="D60">
        <f>D1_MARZO_2025[[#This Row],[RECUPERO]]/D1_MARZO_2025[[#This Row],[META]]</f>
        <v>0.29061904761904761</v>
      </c>
      <c r="E60" t="s">
        <v>9</v>
      </c>
      <c r="F60" t="s">
        <v>42</v>
      </c>
      <c r="G60">
        <v>6103</v>
      </c>
      <c r="H60" t="s">
        <v>415</v>
      </c>
      <c r="I60" s="56">
        <v>45399</v>
      </c>
      <c r="J60" t="s">
        <v>501</v>
      </c>
      <c r="L60" s="56"/>
      <c r="M60" s="1">
        <f>DATA_MARZO_2025[[#This Row],[RECUPERO]]/DATA_MARZO_2025[[#This Row],[META]]</f>
        <v>0.21728571428571428</v>
      </c>
      <c r="N60" t="str" cm="1">
        <f t="array" ref="N60">IF(DATA_MARZO_2025[[#This Row],[ASER_]]="","",IFERROR(_xlfn.IFS(M60&gt;=100%,"&gt;100%",AND(M60&lt;100%,M60&gt;=70%),"&gt;70%",AND(M60&lt;70%,M60&gt;=40%),"&gt;40%",AND(M60&lt;40%,M60&gt;=0%),"&gt;0%"),""))</f>
        <v>&gt;0%</v>
      </c>
      <c r="O60" t="s">
        <v>9</v>
      </c>
      <c r="P60">
        <f>SUM(DATA_MARZO_2025[[#This Row],[1]:[31]])</f>
        <v>4563</v>
      </c>
      <c r="Q60">
        <v>21000</v>
      </c>
      <c r="R60" t="s">
        <v>121</v>
      </c>
      <c r="U60">
        <v>3500</v>
      </c>
      <c r="V60">
        <v>600</v>
      </c>
      <c r="AU60">
        <v>200</v>
      </c>
      <c r="AW60">
        <v>263</v>
      </c>
      <c r="AX60" t="s">
        <v>153</v>
      </c>
    </row>
    <row r="61" spans="1:50" x14ac:dyDescent="0.25">
      <c r="A61" t="s">
        <v>9</v>
      </c>
      <c r="B61" t="s">
        <v>70</v>
      </c>
      <c r="C61">
        <f>VLOOKUP(D1_MARZO_2025[[#This Row],[SUPER]],DATA_MARZO_2025[[SUPERVISOR]:[META]],3,0)</f>
        <v>21000</v>
      </c>
      <c r="D61">
        <f>D1_MARZO_2025[[#This Row],[RECUPERO]]/D1_MARZO_2025[[#This Row],[META]]</f>
        <v>1.0463333333333333</v>
      </c>
      <c r="E61" t="s">
        <v>9</v>
      </c>
      <c r="F61" t="s">
        <v>70</v>
      </c>
      <c r="G61">
        <v>21973</v>
      </c>
      <c r="H61" t="s">
        <v>418</v>
      </c>
      <c r="I61" s="56">
        <v>44971</v>
      </c>
      <c r="J61" t="s">
        <v>501</v>
      </c>
      <c r="L61" s="56"/>
      <c r="M61" s="1">
        <f>DATA_MARZO_2025[[#This Row],[RECUPERO]]/DATA_MARZO_2025[[#This Row],[META]]</f>
        <v>0.44857142857142857</v>
      </c>
      <c r="N61" t="str" cm="1">
        <f t="array" ref="N61">IF(DATA_MARZO_2025[[#This Row],[ASER_]]="","",IFERROR(_xlfn.IFS(M61&gt;=100%,"&gt;100%",AND(M61&lt;100%,M61&gt;=70%),"&gt;70%",AND(M61&lt;70%,M61&gt;=40%),"&gt;40%",AND(M61&lt;40%,M61&gt;=0%),"&gt;0%"),""))</f>
        <v>&gt;40%</v>
      </c>
      <c r="O61" t="s">
        <v>6</v>
      </c>
      <c r="P61">
        <f>SUM(DATA_MARZO_2025[[#This Row],[1]:[31]])</f>
        <v>9420</v>
      </c>
      <c r="Q61">
        <v>21000</v>
      </c>
      <c r="R61" t="s">
        <v>110</v>
      </c>
      <c r="V61">
        <v>1500</v>
      </c>
      <c r="W61">
        <v>300</v>
      </c>
      <c r="X61">
        <v>1500</v>
      </c>
      <c r="AC61">
        <v>1000</v>
      </c>
      <c r="AI61">
        <v>2000</v>
      </c>
      <c r="AR61">
        <v>1920</v>
      </c>
      <c r="AT61">
        <v>700</v>
      </c>
      <c r="AW61">
        <v>500</v>
      </c>
      <c r="AX61" t="s">
        <v>152</v>
      </c>
    </row>
    <row r="62" spans="1:50" x14ac:dyDescent="0.25">
      <c r="A62" t="s">
        <v>9</v>
      </c>
      <c r="B62" t="s">
        <v>103</v>
      </c>
      <c r="C62">
        <f>VLOOKUP(D1_MARZO_2025[[#This Row],[SUPER]],DATA_MARZO_2025[[SUPERVISOR]:[META]],3,0)</f>
        <v>21000</v>
      </c>
      <c r="D62">
        <f>D1_MARZO_2025[[#This Row],[RECUPERO]]/D1_MARZO_2025[[#This Row],[META]]</f>
        <v>0.45595714285714289</v>
      </c>
      <c r="E62" t="s">
        <v>9</v>
      </c>
      <c r="F62" t="s">
        <v>103</v>
      </c>
      <c r="G62">
        <v>9575.1</v>
      </c>
      <c r="H62" t="s">
        <v>419</v>
      </c>
      <c r="I62" s="56">
        <v>45451</v>
      </c>
      <c r="J62" t="s">
        <v>501</v>
      </c>
      <c r="L62" s="56"/>
      <c r="M62" s="1">
        <f>DATA_MARZO_2025[[#This Row],[RECUPERO]]/DATA_MARZO_2025[[#This Row],[META]]</f>
        <v>0.4863564516129032</v>
      </c>
      <c r="N62" t="str" cm="1">
        <f t="array" ref="N62">IF(DATA_MARZO_2025[[#This Row],[ASER_]]="","",IFERROR(_xlfn.IFS(M62&gt;=100%,"&gt;100%",AND(M62&lt;100%,M62&gt;=70%),"&gt;70%",AND(M62&lt;70%,M62&gt;=40%),"&gt;40%",AND(M62&lt;40%,M62&gt;=0%),"&gt;0%"),""))</f>
        <v>&gt;40%</v>
      </c>
      <c r="O62" t="s">
        <v>5</v>
      </c>
      <c r="P62">
        <f>SUM(DATA_MARZO_2025[[#This Row],[1]:[31]])</f>
        <v>30154.1</v>
      </c>
      <c r="Q62">
        <v>62000</v>
      </c>
      <c r="R62" t="s">
        <v>17</v>
      </c>
      <c r="X62">
        <v>3100</v>
      </c>
      <c r="AB62">
        <v>600</v>
      </c>
      <c r="AE62">
        <v>2000.1</v>
      </c>
      <c r="AF62">
        <v>791</v>
      </c>
      <c r="AI62">
        <v>450</v>
      </c>
      <c r="AJ62">
        <v>7000</v>
      </c>
      <c r="AK62">
        <v>3833</v>
      </c>
      <c r="AM62">
        <v>600</v>
      </c>
      <c r="AQ62">
        <v>4000</v>
      </c>
      <c r="AR62">
        <v>4130</v>
      </c>
      <c r="AS62">
        <v>950</v>
      </c>
      <c r="AT62">
        <v>1500</v>
      </c>
      <c r="AU62">
        <v>600</v>
      </c>
      <c r="AW62">
        <v>600</v>
      </c>
      <c r="AX62" t="s">
        <v>150</v>
      </c>
    </row>
    <row r="63" spans="1:50" x14ac:dyDescent="0.25">
      <c r="A63" t="s">
        <v>9</v>
      </c>
      <c r="B63" t="s">
        <v>73</v>
      </c>
      <c r="C63">
        <f>VLOOKUP(D1_MARZO_2025[[#This Row],[SUPER]],DATA_MARZO_2025[[SUPERVISOR]:[META]],3,0)</f>
        <v>21000</v>
      </c>
      <c r="D63">
        <f>D1_MARZO_2025[[#This Row],[RECUPERO]]/D1_MARZO_2025[[#This Row],[META]]</f>
        <v>0.39166666666666666</v>
      </c>
      <c r="E63" t="s">
        <v>9</v>
      </c>
      <c r="F63" t="s">
        <v>73</v>
      </c>
      <c r="G63">
        <v>8225</v>
      </c>
      <c r="H63" t="s">
        <v>420</v>
      </c>
      <c r="I63" s="56">
        <v>45145</v>
      </c>
      <c r="J63" t="s">
        <v>501</v>
      </c>
      <c r="L63" s="56"/>
      <c r="M63" s="1">
        <f>DATA_MARZO_2025[[#This Row],[RECUPERO]]/DATA_MARZO_2025[[#This Row],[META]]</f>
        <v>0.73476190476190473</v>
      </c>
      <c r="N63" t="str" cm="1">
        <f t="array" ref="N63">IF(DATA_MARZO_2025[[#This Row],[ASER_]]="","",IFERROR(_xlfn.IFS(M63&gt;=100%,"&gt;100%",AND(M63&lt;100%,M63&gt;=70%),"&gt;70%",AND(M63&lt;70%,M63&gt;=40%),"&gt;40%",AND(M63&lt;40%,M63&gt;=0%),"&gt;0%"),""))</f>
        <v>&gt;70%</v>
      </c>
      <c r="O63" t="s">
        <v>6</v>
      </c>
      <c r="P63">
        <f>SUM(DATA_MARZO_2025[[#This Row],[1]:[31]])</f>
        <v>15430</v>
      </c>
      <c r="Q63">
        <v>21000</v>
      </c>
      <c r="R63" t="s">
        <v>119</v>
      </c>
      <c r="V63">
        <v>8500</v>
      </c>
      <c r="AF63">
        <v>2500</v>
      </c>
      <c r="AI63">
        <v>4000</v>
      </c>
      <c r="AP63">
        <v>430</v>
      </c>
      <c r="AX63" t="s">
        <v>152</v>
      </c>
    </row>
    <row r="64" spans="1:50" x14ac:dyDescent="0.25">
      <c r="A64" t="s">
        <v>9</v>
      </c>
      <c r="B64" t="s">
        <v>48</v>
      </c>
      <c r="C64">
        <f>VLOOKUP(D1_MARZO_2025[[#This Row],[SUPER]],DATA_MARZO_2025[[SUPERVISOR]:[META]],3,0)</f>
        <v>21000</v>
      </c>
      <c r="D64">
        <f>D1_MARZO_2025[[#This Row],[RECUPERO]]/D1_MARZO_2025[[#This Row],[META]]</f>
        <v>0.38772857142857142</v>
      </c>
      <c r="E64" t="s">
        <v>9</v>
      </c>
      <c r="F64" t="s">
        <v>48</v>
      </c>
      <c r="G64">
        <v>8142.3</v>
      </c>
      <c r="H64" t="s">
        <v>421</v>
      </c>
      <c r="I64" s="56">
        <v>44748</v>
      </c>
      <c r="J64" t="s">
        <v>501</v>
      </c>
      <c r="L64" s="56"/>
      <c r="M64" s="1">
        <f>DATA_MARZO_2025[[#This Row],[RECUPERO]]/DATA_MARZO_2025[[#This Row],[META]]</f>
        <v>1.1865483870967741</v>
      </c>
      <c r="N64" t="str" cm="1">
        <f t="array" ref="N64">IF(DATA_MARZO_2025[[#This Row],[ASER_]]="","",IFERROR(_xlfn.IFS(M64&gt;=100%,"&gt;100%",AND(M64&lt;100%,M64&gt;=70%),"&gt;70%",AND(M64&lt;70%,M64&gt;=40%),"&gt;40%",AND(M64&lt;40%,M64&gt;=0%),"&gt;0%"),""))</f>
        <v>&gt;100%</v>
      </c>
      <c r="O64" t="s">
        <v>4</v>
      </c>
      <c r="P64">
        <f>SUM(DATA_MARZO_2025[[#This Row],[1]:[31]])</f>
        <v>73566</v>
      </c>
      <c r="Q64">
        <v>62000</v>
      </c>
      <c r="R64" t="s">
        <v>75</v>
      </c>
      <c r="S64">
        <v>2184</v>
      </c>
      <c r="Y64">
        <v>700</v>
      </c>
      <c r="AB64">
        <v>700</v>
      </c>
      <c r="AC64">
        <v>1250</v>
      </c>
      <c r="AD64">
        <v>12100</v>
      </c>
      <c r="AF64">
        <v>6850</v>
      </c>
      <c r="AH64">
        <v>400</v>
      </c>
      <c r="AJ64">
        <v>1392</v>
      </c>
      <c r="AL64">
        <v>505</v>
      </c>
      <c r="AM64">
        <v>705</v>
      </c>
      <c r="AP64">
        <v>3000</v>
      </c>
      <c r="AQ64">
        <v>11120</v>
      </c>
      <c r="AS64">
        <v>500</v>
      </c>
      <c r="AT64">
        <v>4980</v>
      </c>
      <c r="AU64">
        <v>9000</v>
      </c>
      <c r="AW64">
        <v>18180</v>
      </c>
      <c r="AX64" t="s">
        <v>150</v>
      </c>
    </row>
    <row r="65" spans="1:50" x14ac:dyDescent="0.25">
      <c r="A65" t="s">
        <v>115</v>
      </c>
      <c r="B65" t="s">
        <v>18</v>
      </c>
      <c r="C65">
        <f>VLOOKUP(D1_MARZO_2025[[#This Row],[SUPER]],DATA_MARZO_2025[[SUPERVISOR]:[META]],3,0)</f>
        <v>16500</v>
      </c>
      <c r="D65">
        <f>D1_MARZO_2025[[#This Row],[RECUPERO]]/D1_MARZO_2025[[#This Row],[META]]</f>
        <v>1.2612121212121212</v>
      </c>
      <c r="E65" t="s">
        <v>115</v>
      </c>
      <c r="F65" t="s">
        <v>18</v>
      </c>
      <c r="G65">
        <v>20810</v>
      </c>
      <c r="H65" t="s">
        <v>431</v>
      </c>
      <c r="I65" s="56">
        <v>45133</v>
      </c>
      <c r="J65" t="s">
        <v>501</v>
      </c>
      <c r="L65" s="56"/>
      <c r="M65" s="1">
        <f>DATA_MARZO_2025[[#This Row],[RECUPERO]]/DATA_MARZO_2025[[#This Row],[META]]</f>
        <v>1.0309523809523808</v>
      </c>
      <c r="N65" t="str" cm="1">
        <f t="array" ref="N65">IF(DATA_MARZO_2025[[#This Row],[ASER_]]="","",IFERROR(_xlfn.IFS(M65&gt;=100%,"&gt;100%",AND(M65&lt;100%,M65&gt;=70%),"&gt;70%",AND(M65&lt;70%,M65&gt;=40%),"&gt;40%",AND(M65&lt;40%,M65&gt;=0%),"&gt;0%"),""))</f>
        <v>&gt;100%</v>
      </c>
      <c r="O65" t="s">
        <v>6</v>
      </c>
      <c r="P65">
        <f>SUM(DATA_MARZO_2025[[#This Row],[1]:[31]])</f>
        <v>21650</v>
      </c>
      <c r="Q65">
        <v>21000</v>
      </c>
      <c r="R65" t="s">
        <v>120</v>
      </c>
      <c r="W65">
        <v>500</v>
      </c>
      <c r="X65">
        <v>3500</v>
      </c>
      <c r="Y65">
        <v>4000</v>
      </c>
      <c r="AB65">
        <v>3500</v>
      </c>
      <c r="AD65">
        <v>200</v>
      </c>
      <c r="AF65">
        <v>400</v>
      </c>
      <c r="AI65">
        <v>3000</v>
      </c>
      <c r="AJ65">
        <v>1550</v>
      </c>
      <c r="AP65">
        <v>2500</v>
      </c>
      <c r="AR65">
        <v>2000</v>
      </c>
      <c r="AW65">
        <v>500</v>
      </c>
      <c r="AX65" t="s">
        <v>152</v>
      </c>
    </row>
    <row r="66" spans="1:50" x14ac:dyDescent="0.25">
      <c r="A66" t="s">
        <v>115</v>
      </c>
      <c r="B66" t="s">
        <v>14</v>
      </c>
      <c r="C66">
        <f>VLOOKUP(D1_MARZO_2025[[#This Row],[SUPER]],DATA_MARZO_2025[[SUPERVISOR]:[META]],3,0)</f>
        <v>16500</v>
      </c>
      <c r="D66">
        <f>D1_MARZO_2025[[#This Row],[RECUPERO]]/D1_MARZO_2025[[#This Row],[META]]</f>
        <v>1.2121212121212121E-2</v>
      </c>
      <c r="E66" t="s">
        <v>115</v>
      </c>
      <c r="F66" t="s">
        <v>14</v>
      </c>
      <c r="G66">
        <v>200</v>
      </c>
      <c r="H66" t="s">
        <v>432</v>
      </c>
      <c r="I66" s="56">
        <v>45133</v>
      </c>
      <c r="J66" t="s">
        <v>501</v>
      </c>
      <c r="L66" s="56"/>
      <c r="M66" s="1">
        <f>DATA_MARZO_2025[[#This Row],[RECUPERO]]/DATA_MARZO_2025[[#This Row],[META]]</f>
        <v>0.26095238095238094</v>
      </c>
      <c r="N66" t="str" cm="1">
        <f t="array" ref="N66">IF(DATA_MARZO_2025[[#This Row],[ASER_]]="","",IFERROR(_xlfn.IFS(M66&gt;=100%,"&gt;100%",AND(M66&lt;100%,M66&gt;=70%),"&gt;70%",AND(M66&lt;70%,M66&gt;=40%),"&gt;40%",AND(M66&lt;40%,M66&gt;=0%),"&gt;0%"),""))</f>
        <v>&gt;0%</v>
      </c>
      <c r="O66" t="s">
        <v>6</v>
      </c>
      <c r="P66">
        <f>SUM(DATA_MARZO_2025[[#This Row],[1]:[31]])</f>
        <v>5480</v>
      </c>
      <c r="Q66">
        <v>21000</v>
      </c>
      <c r="R66" t="s">
        <v>36</v>
      </c>
      <c r="U66">
        <v>800</v>
      </c>
      <c r="V66">
        <v>700</v>
      </c>
      <c r="W66">
        <v>1000</v>
      </c>
      <c r="AC66">
        <v>650</v>
      </c>
      <c r="AE66">
        <v>1000</v>
      </c>
      <c r="AI66">
        <v>430</v>
      </c>
      <c r="AP66">
        <v>550</v>
      </c>
      <c r="AT66">
        <v>350</v>
      </c>
      <c r="AX66" t="s">
        <v>152</v>
      </c>
    </row>
    <row r="67" spans="1:50" x14ac:dyDescent="0.25">
      <c r="A67" t="s">
        <v>115</v>
      </c>
      <c r="B67" t="s">
        <v>104</v>
      </c>
      <c r="C67">
        <f>VLOOKUP(D1_MARZO_2025[[#This Row],[SUPER]],DATA_MARZO_2025[[SUPERVISOR]:[META]],3,0)</f>
        <v>16500</v>
      </c>
      <c r="D67">
        <f>D1_MARZO_2025[[#This Row],[RECUPERO]]/D1_MARZO_2025[[#This Row],[META]]</f>
        <v>0.48303030303030303</v>
      </c>
      <c r="E67" t="s">
        <v>115</v>
      </c>
      <c r="F67" t="s">
        <v>104</v>
      </c>
      <c r="G67">
        <v>7970</v>
      </c>
      <c r="H67" t="s">
        <v>456</v>
      </c>
      <c r="I67" s="56">
        <v>44104</v>
      </c>
      <c r="J67" t="s">
        <v>501</v>
      </c>
      <c r="L67" s="56"/>
      <c r="M67" s="1">
        <f>DATA_MARZO_2025[[#This Row],[RECUPERO]]/DATA_MARZO_2025[[#This Row],[META]]</f>
        <v>0.76293693548387087</v>
      </c>
      <c r="N67" t="str" cm="1">
        <f t="array" ref="N67">IF(DATA_MARZO_2025[[#This Row],[ASER_]]="","",IFERROR(_xlfn.IFS(M67&gt;=100%,"&gt;100%",AND(M67&lt;100%,M67&gt;=70%),"&gt;70%",AND(M67&lt;70%,M67&gt;=40%),"&gt;40%",AND(M67&lt;40%,M67&gt;=0%),"&gt;0%"),""))</f>
        <v>&gt;70%</v>
      </c>
      <c r="O67" t="s">
        <v>5</v>
      </c>
      <c r="P67">
        <f>SUM(DATA_MARZO_2025[[#This Row],[1]:[31]])</f>
        <v>47302.09</v>
      </c>
      <c r="Q67">
        <v>62000</v>
      </c>
      <c r="R67" t="s">
        <v>62</v>
      </c>
      <c r="S67">
        <v>460</v>
      </c>
      <c r="U67">
        <v>600</v>
      </c>
      <c r="W67">
        <v>1046</v>
      </c>
      <c r="X67">
        <v>1000</v>
      </c>
      <c r="Z67">
        <v>600</v>
      </c>
      <c r="AB67">
        <v>776</v>
      </c>
      <c r="AE67">
        <v>3350</v>
      </c>
      <c r="AG67">
        <v>450</v>
      </c>
      <c r="AK67">
        <v>3306.09</v>
      </c>
      <c r="AM67">
        <v>205</v>
      </c>
      <c r="AP67">
        <v>8300</v>
      </c>
      <c r="AQ67">
        <v>19350</v>
      </c>
      <c r="AR67">
        <v>600</v>
      </c>
      <c r="AT67">
        <v>4959</v>
      </c>
      <c r="AU67">
        <v>800</v>
      </c>
      <c r="AW67">
        <v>1500</v>
      </c>
      <c r="AX67" t="s">
        <v>150</v>
      </c>
    </row>
    <row r="68" spans="1:50" x14ac:dyDescent="0.25">
      <c r="A68" t="s">
        <v>115</v>
      </c>
      <c r="B68" t="s">
        <v>80</v>
      </c>
      <c r="C68">
        <f>VLOOKUP(D1_MARZO_2025[[#This Row],[SUPER]],DATA_MARZO_2025[[SUPERVISOR]:[META]],3,0)</f>
        <v>16500</v>
      </c>
      <c r="D68">
        <f>D1_MARZO_2025[[#This Row],[RECUPERO]]/D1_MARZO_2025[[#This Row],[META]]</f>
        <v>1.2472121212121212</v>
      </c>
      <c r="E68" t="s">
        <v>115</v>
      </c>
      <c r="F68" t="s">
        <v>80</v>
      </c>
      <c r="G68">
        <v>20579</v>
      </c>
      <c r="H68" t="s">
        <v>433</v>
      </c>
      <c r="I68" s="56">
        <v>45285</v>
      </c>
      <c r="J68" t="s">
        <v>501</v>
      </c>
      <c r="L68" s="56"/>
      <c r="M68" s="1">
        <f>DATA_MARZO_2025[[#This Row],[RECUPERO]]/DATA_MARZO_2025[[#This Row],[META]]</f>
        <v>1.0463333333333333</v>
      </c>
      <c r="N68" t="str" cm="1">
        <f t="array" ref="N68">IF(DATA_MARZO_2025[[#This Row],[ASER_]]="","",IFERROR(_xlfn.IFS(M68&gt;=100%,"&gt;100%",AND(M68&lt;100%,M68&gt;=70%),"&gt;70%",AND(M68&lt;70%,M68&gt;=40%),"&gt;40%",AND(M68&lt;40%,M68&gt;=0%),"&gt;0%"),""))</f>
        <v>&gt;100%</v>
      </c>
      <c r="O68" t="s">
        <v>9</v>
      </c>
      <c r="P68">
        <f>SUM(DATA_MARZO_2025[[#This Row],[1]:[31]])</f>
        <v>21973</v>
      </c>
      <c r="Q68">
        <v>21000</v>
      </c>
      <c r="R68" t="s">
        <v>70</v>
      </c>
      <c r="U68">
        <v>200</v>
      </c>
      <c r="V68">
        <v>215</v>
      </c>
      <c r="Y68">
        <v>3000</v>
      </c>
      <c r="AC68">
        <v>300</v>
      </c>
      <c r="AD68">
        <v>950</v>
      </c>
      <c r="AF68">
        <v>5360</v>
      </c>
      <c r="AI68">
        <v>1524</v>
      </c>
      <c r="AK68">
        <v>3400</v>
      </c>
      <c r="AL68">
        <v>2200</v>
      </c>
      <c r="AN68">
        <v>200</v>
      </c>
      <c r="AP68">
        <v>1300</v>
      </c>
      <c r="AR68">
        <v>150</v>
      </c>
      <c r="AS68">
        <v>1550</v>
      </c>
      <c r="AW68">
        <v>1624</v>
      </c>
      <c r="AX68" t="s">
        <v>153</v>
      </c>
    </row>
    <row r="69" spans="1:50" x14ac:dyDescent="0.25">
      <c r="A69" t="s">
        <v>115</v>
      </c>
      <c r="B69" t="s">
        <v>24</v>
      </c>
      <c r="C69">
        <f>VLOOKUP(D1_MARZO_2025[[#This Row],[SUPER]],DATA_MARZO_2025[[SUPERVISOR]:[META]],3,0)</f>
        <v>16500</v>
      </c>
      <c r="D69">
        <f>D1_MARZO_2025[[#This Row],[RECUPERO]]/D1_MARZO_2025[[#This Row],[META]]</f>
        <v>0.72109090909090912</v>
      </c>
      <c r="E69" t="s">
        <v>115</v>
      </c>
      <c r="F69" t="s">
        <v>24</v>
      </c>
      <c r="G69">
        <v>11898</v>
      </c>
      <c r="H69" t="s">
        <v>434</v>
      </c>
      <c r="I69" s="56">
        <v>45334</v>
      </c>
      <c r="J69" t="s">
        <v>501</v>
      </c>
      <c r="L69" s="56"/>
      <c r="M69" s="1">
        <f>DATA_MARZO_2025[[#This Row],[RECUPERO]]/DATA_MARZO_2025[[#This Row],[META]]</f>
        <v>0.29919354838709677</v>
      </c>
      <c r="N69" t="str" cm="1">
        <f t="array" ref="N69">IF(DATA_MARZO_2025[[#This Row],[ASER_]]="","",IFERROR(_xlfn.IFS(M69&gt;=100%,"&gt;100%",AND(M69&lt;100%,M69&gt;=70%),"&gt;70%",AND(M69&lt;70%,M69&gt;=40%),"&gt;40%",AND(M69&lt;40%,M69&gt;=0%),"&gt;0%"),""))</f>
        <v>&gt;0%</v>
      </c>
      <c r="O69" t="s">
        <v>4</v>
      </c>
      <c r="P69">
        <f>SUM(DATA_MARZO_2025[[#This Row],[1]:[31]])</f>
        <v>18550</v>
      </c>
      <c r="Q69">
        <v>62000</v>
      </c>
      <c r="R69" t="s">
        <v>64</v>
      </c>
      <c r="AB69">
        <v>2700</v>
      </c>
      <c r="AE69">
        <v>500</v>
      </c>
      <c r="AF69">
        <v>11300</v>
      </c>
      <c r="AM69">
        <v>2750</v>
      </c>
      <c r="AP69">
        <v>300</v>
      </c>
      <c r="AQ69">
        <v>1000</v>
      </c>
      <c r="AX69" t="s">
        <v>150</v>
      </c>
    </row>
    <row r="70" spans="1:50" x14ac:dyDescent="0.25">
      <c r="A70" t="s">
        <v>115</v>
      </c>
      <c r="B70" t="s">
        <v>83</v>
      </c>
      <c r="C70">
        <f>VLOOKUP(D1_MARZO_2025[[#This Row],[SUPER]],DATA_MARZO_2025[[SUPERVISOR]:[META]],3,0)</f>
        <v>16500</v>
      </c>
      <c r="D70">
        <f>D1_MARZO_2025[[#This Row],[RECUPERO]]/D1_MARZO_2025[[#This Row],[META]]</f>
        <v>0.55709090909090908</v>
      </c>
      <c r="E70" t="s">
        <v>115</v>
      </c>
      <c r="F70" t="s">
        <v>83</v>
      </c>
      <c r="G70">
        <v>9192</v>
      </c>
      <c r="H70" t="s">
        <v>435</v>
      </c>
      <c r="I70" s="56">
        <v>44937</v>
      </c>
      <c r="J70" t="s">
        <v>501</v>
      </c>
      <c r="L70" s="56"/>
      <c r="M70" s="1">
        <f>DATA_MARZO_2025[[#This Row],[RECUPERO]]/DATA_MARZO_2025[[#This Row],[META]]</f>
        <v>0.12419354838709677</v>
      </c>
      <c r="N70" t="str" cm="1">
        <f t="array" ref="N70">IF(DATA_MARZO_2025[[#This Row],[ASER_]]="","",IFERROR(_xlfn.IFS(M70&gt;=100%,"&gt;100%",AND(M70&lt;100%,M70&gt;=70%),"&gt;70%",AND(M70&lt;70%,M70&gt;=40%),"&gt;40%",AND(M70&lt;40%,M70&gt;=0%),"&gt;0%"),""))</f>
        <v>&gt;0%</v>
      </c>
      <c r="O70" t="s">
        <v>3</v>
      </c>
      <c r="P70">
        <f>SUM(DATA_MARZO_2025[[#This Row],[1]:[31]])</f>
        <v>7700</v>
      </c>
      <c r="Q70">
        <v>62000</v>
      </c>
      <c r="R70" t="s">
        <v>107</v>
      </c>
      <c r="AE70">
        <v>500</v>
      </c>
      <c r="AF70">
        <v>3000</v>
      </c>
      <c r="AL70">
        <v>300</v>
      </c>
      <c r="AR70">
        <v>2000</v>
      </c>
      <c r="AS70">
        <v>700</v>
      </c>
      <c r="AW70">
        <v>1200</v>
      </c>
      <c r="AX70" t="s">
        <v>150</v>
      </c>
    </row>
    <row r="71" spans="1:50" x14ac:dyDescent="0.25">
      <c r="A71" t="s">
        <v>115</v>
      </c>
      <c r="B71" t="s">
        <v>49</v>
      </c>
      <c r="C71">
        <f>VLOOKUP(D1_MARZO_2025[[#This Row],[SUPER]],DATA_MARZO_2025[[SUPERVISOR]:[META]],3,0)</f>
        <v>16500</v>
      </c>
      <c r="D71">
        <f>D1_MARZO_2025[[#This Row],[RECUPERO]]/D1_MARZO_2025[[#This Row],[META]]</f>
        <v>0.52187878787878783</v>
      </c>
      <c r="E71" t="s">
        <v>115</v>
      </c>
      <c r="F71" t="s">
        <v>49</v>
      </c>
      <c r="G71">
        <v>8611</v>
      </c>
      <c r="H71" t="s">
        <v>436</v>
      </c>
      <c r="I71" s="56">
        <v>42814</v>
      </c>
      <c r="J71" t="s">
        <v>501</v>
      </c>
      <c r="L71" s="56"/>
      <c r="M71" s="1">
        <f>DATA_MARZO_2025[[#This Row],[RECUPERO]]/DATA_MARZO_2025[[#This Row],[META]]</f>
        <v>0</v>
      </c>
      <c r="N71" t="str" cm="1">
        <f t="array" ref="N71">IF(DATA_MARZO_2025[[#This Row],[ASER_]]="","",IFERROR(_xlfn.IFS(M71&gt;=100%,"&gt;100%",AND(M71&lt;100%,M71&gt;=70%),"&gt;70%",AND(M71&lt;70%,M71&gt;=40%),"&gt;40%",AND(M71&lt;40%,M71&gt;=0%),"&gt;0%"),""))</f>
        <v>&gt;0%</v>
      </c>
      <c r="O71" t="s">
        <v>4</v>
      </c>
      <c r="P71">
        <f>SUM(DATA_MARZO_2025[[#This Row],[1]:[31]])</f>
        <v>0</v>
      </c>
      <c r="Q71">
        <v>62000</v>
      </c>
      <c r="R71" t="s">
        <v>11</v>
      </c>
      <c r="AX71" t="s">
        <v>150</v>
      </c>
    </row>
    <row r="72" spans="1:50" x14ac:dyDescent="0.25">
      <c r="A72" t="s">
        <v>115</v>
      </c>
      <c r="B72" t="s">
        <v>65</v>
      </c>
      <c r="C72">
        <f>VLOOKUP(D1_MARZO_2025[[#This Row],[SUPER]],DATA_MARZO_2025[[SUPERVISOR]:[META]],3,0)</f>
        <v>16500</v>
      </c>
      <c r="D72">
        <f>D1_MARZO_2025[[#This Row],[RECUPERO]]/D1_MARZO_2025[[#This Row],[META]]</f>
        <v>0.66200000000000003</v>
      </c>
      <c r="E72" t="s">
        <v>115</v>
      </c>
      <c r="F72" t="s">
        <v>65</v>
      </c>
      <c r="G72">
        <v>10923</v>
      </c>
      <c r="H72" t="s">
        <v>438</v>
      </c>
      <c r="I72" s="56">
        <v>45021</v>
      </c>
      <c r="J72" t="s">
        <v>501</v>
      </c>
      <c r="L72" s="56"/>
      <c r="M72" s="1">
        <f>DATA_MARZO_2025[[#This Row],[RECUPERO]]/DATA_MARZO_2025[[#This Row],[META]]</f>
        <v>0.44091666666666668</v>
      </c>
      <c r="N72" t="str" cm="1">
        <f t="array" ref="N72">IF(DATA_MARZO_2025[[#This Row],[ASER_]]="","",IFERROR(_xlfn.IFS(M72&gt;=100%,"&gt;100%",AND(M72&lt;100%,M72&gt;=70%),"&gt;70%",AND(M72&lt;70%,M72&gt;=40%),"&gt;40%",AND(M72&lt;40%,M72&gt;=0%),"&gt;0%"),""))</f>
        <v>&gt;40%</v>
      </c>
      <c r="O72" t="s">
        <v>2</v>
      </c>
      <c r="P72">
        <f>SUM(DATA_MARZO_2025[[#This Row],[1]:[31]])</f>
        <v>10582</v>
      </c>
      <c r="Q72">
        <v>24000</v>
      </c>
      <c r="R72" t="s">
        <v>74</v>
      </c>
      <c r="U72">
        <v>241</v>
      </c>
      <c r="V72">
        <v>460</v>
      </c>
      <c r="Y72">
        <v>636</v>
      </c>
      <c r="AB72">
        <v>250</v>
      </c>
      <c r="AF72">
        <v>250</v>
      </c>
      <c r="AI72">
        <v>200</v>
      </c>
      <c r="AK72">
        <v>155</v>
      </c>
      <c r="AL72">
        <v>200</v>
      </c>
      <c r="AM72">
        <v>400</v>
      </c>
      <c r="AR72">
        <v>200</v>
      </c>
      <c r="AS72">
        <v>400</v>
      </c>
      <c r="AT72">
        <v>1720</v>
      </c>
      <c r="AW72">
        <v>5470</v>
      </c>
      <c r="AX72" t="s">
        <v>151</v>
      </c>
    </row>
    <row r="73" spans="1:50" x14ac:dyDescent="0.25">
      <c r="A73" t="s">
        <v>115</v>
      </c>
      <c r="B73" t="s">
        <v>33</v>
      </c>
      <c r="C73">
        <f>VLOOKUP(D1_MARZO_2025[[#This Row],[SUPER]],DATA_MARZO_2025[[SUPERVISOR]:[META]],3,0)</f>
        <v>16500</v>
      </c>
      <c r="D73">
        <f>D1_MARZO_2025[[#This Row],[RECUPERO]]/D1_MARZO_2025[[#This Row],[META]]</f>
        <v>0.57875151515151513</v>
      </c>
      <c r="E73" t="s">
        <v>115</v>
      </c>
      <c r="F73" t="s">
        <v>33</v>
      </c>
      <c r="G73">
        <v>9549.4</v>
      </c>
      <c r="H73" t="s">
        <v>439</v>
      </c>
      <c r="I73" s="56">
        <v>44869</v>
      </c>
      <c r="J73" t="s">
        <v>501</v>
      </c>
      <c r="L73" s="56"/>
      <c r="M73" s="1">
        <f>DATA_MARZO_2025[[#This Row],[RECUPERO]]/DATA_MARZO_2025[[#This Row],[META]]</f>
        <v>0.91170967741935482</v>
      </c>
      <c r="N73" t="str" cm="1">
        <f t="array" ref="N73">IF(DATA_MARZO_2025[[#This Row],[ASER_]]="","",IFERROR(_xlfn.IFS(M73&gt;=100%,"&gt;100%",AND(M73&lt;100%,M73&gt;=70%),"&gt;70%",AND(M73&lt;70%,M73&gt;=40%),"&gt;40%",AND(M73&lt;40%,M73&gt;=0%),"&gt;0%"),""))</f>
        <v>&gt;70%</v>
      </c>
      <c r="O73" t="s">
        <v>5</v>
      </c>
      <c r="P73">
        <f>SUM(DATA_MARZO_2025[[#This Row],[1]:[31]])</f>
        <v>56526</v>
      </c>
      <c r="Q73">
        <v>62000</v>
      </c>
      <c r="R73" t="s">
        <v>79</v>
      </c>
      <c r="U73">
        <v>1000</v>
      </c>
      <c r="X73">
        <v>3100</v>
      </c>
      <c r="Y73">
        <v>7600</v>
      </c>
      <c r="AC73">
        <v>5000</v>
      </c>
      <c r="AD73">
        <v>13000</v>
      </c>
      <c r="AE73">
        <v>700</v>
      </c>
      <c r="AF73">
        <v>1500</v>
      </c>
      <c r="AJ73">
        <v>400</v>
      </c>
      <c r="AK73">
        <v>100</v>
      </c>
      <c r="AL73">
        <v>6206</v>
      </c>
      <c r="AM73">
        <v>3000</v>
      </c>
      <c r="AQ73">
        <v>2550</v>
      </c>
      <c r="AS73">
        <v>9000</v>
      </c>
      <c r="AW73">
        <v>3370</v>
      </c>
      <c r="AX73" t="s">
        <v>150</v>
      </c>
    </row>
    <row r="74" spans="1:50" x14ac:dyDescent="0.25">
      <c r="A74" t="s">
        <v>115</v>
      </c>
      <c r="B74" t="s">
        <v>68</v>
      </c>
      <c r="C74">
        <f>VLOOKUP(D1_MARZO_2025[[#This Row],[SUPER]],DATA_MARZO_2025[[SUPERVISOR]:[META]],3,0)</f>
        <v>16500</v>
      </c>
      <c r="D74">
        <f>D1_MARZO_2025[[#This Row],[RECUPERO]]/D1_MARZO_2025[[#This Row],[META]]</f>
        <v>0.71172727272727276</v>
      </c>
      <c r="E74" t="s">
        <v>115</v>
      </c>
      <c r="F74" t="s">
        <v>68</v>
      </c>
      <c r="G74">
        <v>11743.5</v>
      </c>
      <c r="H74" t="s">
        <v>440</v>
      </c>
      <c r="I74" s="56">
        <v>45364</v>
      </c>
      <c r="J74" t="s">
        <v>501</v>
      </c>
      <c r="L74" s="56"/>
      <c r="M74" s="1">
        <f>DATA_MARZO_2025[[#This Row],[RECUPERO]]/DATA_MARZO_2025[[#This Row],[META]]</f>
        <v>6.1124999999999999E-2</v>
      </c>
      <c r="N74" t="str" cm="1">
        <f t="array" ref="N74">IF(DATA_MARZO_2025[[#This Row],[ASER_]]="","",IFERROR(_xlfn.IFS(M74&gt;=100%,"&gt;100%",AND(M74&lt;100%,M74&gt;=70%),"&gt;70%",AND(M74&lt;70%,M74&gt;=40%),"&gt;40%",AND(M74&lt;40%,M74&gt;=0%),"&gt;0%"),""))</f>
        <v>&gt;0%</v>
      </c>
      <c r="O74" t="s">
        <v>2</v>
      </c>
      <c r="P74">
        <f>SUM(DATA_MARZO_2025[[#This Row],[1]:[31]])</f>
        <v>1467</v>
      </c>
      <c r="Q74">
        <v>24000</v>
      </c>
      <c r="R74" t="s">
        <v>117</v>
      </c>
      <c r="V74">
        <v>200</v>
      </c>
      <c r="X74">
        <v>528</v>
      </c>
      <c r="Y74">
        <v>739</v>
      </c>
      <c r="AX74" t="s">
        <v>151</v>
      </c>
    </row>
    <row r="75" spans="1:50" x14ac:dyDescent="0.25">
      <c r="A75" t="s">
        <v>4</v>
      </c>
      <c r="B75" t="str">
        <f>D1_MARZO_2025[[#This Row],[ASESOR]]</f>
        <v>ANALUCIA PONCE</v>
      </c>
      <c r="C75">
        <f>VLOOKUP(D1_MARZO_2025[[#This Row],[SUPER]],DATA_MARZO_2025[[SUPERVISOR]:[META]],3,0)</f>
        <v>62000</v>
      </c>
      <c r="D75">
        <f>D1_MARZO_2025[[#This Row],[RECUPERO]]/D1_MARZO_2025[[#This Row],[META]]</f>
        <v>0.59080645161290324</v>
      </c>
      <c r="E75" t="s">
        <v>4</v>
      </c>
      <c r="F75" t="s">
        <v>60</v>
      </c>
      <c r="G75">
        <v>36630</v>
      </c>
      <c r="H75" t="s">
        <v>423</v>
      </c>
      <c r="I75" s="56">
        <v>45323</v>
      </c>
      <c r="J75" t="s">
        <v>501</v>
      </c>
      <c r="M75" s="1">
        <f>DATA_MARZO_2025[[#This Row],[RECUPERO]]/DATA_MARZO_2025[[#This Row],[META]]</f>
        <v>1.4399354838709677</v>
      </c>
      <c r="N75" t="str" cm="1">
        <f t="array" ref="N75">IF(DATA_MARZO_2025[[#This Row],[ASER_]]="","",IFERROR(_xlfn.IFS(M75&gt;=100%,"&gt;100%",AND(M75&lt;100%,M75&gt;=70%),"&gt;70%",AND(M75&lt;70%,M75&gt;=40%),"&gt;40%",AND(M75&lt;40%,M75&gt;=0%),"&gt;0%"),""))</f>
        <v>&gt;100%</v>
      </c>
      <c r="O75" t="s">
        <v>4</v>
      </c>
      <c r="P75">
        <f>SUM(DATA_MARZO_2025[[#This Row],[1]:[31]])</f>
        <v>89276</v>
      </c>
      <c r="Q75">
        <v>62000</v>
      </c>
      <c r="R75" t="s">
        <v>59</v>
      </c>
      <c r="X75">
        <v>1000</v>
      </c>
      <c r="Y75">
        <v>1155</v>
      </c>
      <c r="AB75">
        <v>5000</v>
      </c>
      <c r="AD75">
        <v>7000</v>
      </c>
      <c r="AE75">
        <v>4500</v>
      </c>
      <c r="AG75">
        <v>600</v>
      </c>
      <c r="AI75">
        <v>2000</v>
      </c>
      <c r="AL75">
        <v>4765</v>
      </c>
      <c r="AM75">
        <v>19600</v>
      </c>
      <c r="AN75">
        <v>2600</v>
      </c>
      <c r="AP75">
        <v>600</v>
      </c>
      <c r="AQ75">
        <v>10000</v>
      </c>
      <c r="AS75">
        <v>3500</v>
      </c>
      <c r="AT75">
        <v>10400</v>
      </c>
      <c r="AU75">
        <v>3800</v>
      </c>
      <c r="AV75">
        <v>600</v>
      </c>
      <c r="AW75">
        <v>12156</v>
      </c>
      <c r="AX75" t="s">
        <v>150</v>
      </c>
    </row>
    <row r="76" spans="1:50" x14ac:dyDescent="0.25">
      <c r="A76" t="str">
        <f>D1_MARZO_2025[[#This Row],[SUPER2]]</f>
        <v>SANDY</v>
      </c>
      <c r="B76" t="str">
        <f>D1_MARZO_2025[[#This Row],[ASESOR]]</f>
        <v>JESSICA MELGAREJO</v>
      </c>
      <c r="C76">
        <f>VLOOKUP(D1_MARZO_2025[[#This Row],[SUPER]],DATA_MARZO_2025[[SUPERVISOR]:[META]],3,0)</f>
        <v>62000</v>
      </c>
      <c r="D76">
        <f>D1_MARZO_2025[[#This Row],[RECUPERO]]/D1_MARZO_2025[[#This Row],[META]]</f>
        <v>1.935483870967742E-2</v>
      </c>
      <c r="E76" t="s">
        <v>3</v>
      </c>
      <c r="F76" t="s">
        <v>96</v>
      </c>
      <c r="G76">
        <v>1200</v>
      </c>
      <c r="H76" t="s">
        <v>437</v>
      </c>
      <c r="I76" s="56">
        <v>45671</v>
      </c>
      <c r="J76" t="s">
        <v>501</v>
      </c>
      <c r="M76" s="1">
        <f>DATA_MARZO_2025[[#This Row],[RECUPERO]]/DATA_MARZO_2025[[#This Row],[META]]</f>
        <v>1.1488274193548387</v>
      </c>
      <c r="N76" t="str" cm="1">
        <f t="array" ref="N76">IF(DATA_MARZO_2025[[#This Row],[ASER_]]="","",IFERROR(_xlfn.IFS(M76&gt;=100%,"&gt;100%",AND(M76&lt;100%,M76&gt;=70%),"&gt;70%",AND(M76&lt;70%,M76&gt;=40%),"&gt;40%",AND(M76&lt;40%,M76&gt;=0%),"&gt;0%"),""))</f>
        <v>&gt;100%</v>
      </c>
      <c r="O76" t="s">
        <v>3</v>
      </c>
      <c r="P76">
        <f>SUM(DATA_MARZO_2025[[#This Row],[1]:[31]])</f>
        <v>71227.3</v>
      </c>
      <c r="Q76">
        <v>62000</v>
      </c>
      <c r="R76" t="s">
        <v>63</v>
      </c>
      <c r="S76">
        <v>268</v>
      </c>
      <c r="T76">
        <v>10.3</v>
      </c>
      <c r="U76">
        <v>2200</v>
      </c>
      <c r="V76">
        <v>868</v>
      </c>
      <c r="W76">
        <v>600</v>
      </c>
      <c r="X76">
        <v>50340</v>
      </c>
      <c r="Y76">
        <v>262</v>
      </c>
      <c r="AB76">
        <v>3498</v>
      </c>
      <c r="AE76">
        <v>1000</v>
      </c>
      <c r="AF76">
        <v>951</v>
      </c>
      <c r="AI76">
        <v>867</v>
      </c>
      <c r="AJ76">
        <v>460</v>
      </c>
      <c r="AK76">
        <v>300</v>
      </c>
      <c r="AL76">
        <v>424</v>
      </c>
      <c r="AM76">
        <v>987</v>
      </c>
      <c r="AN76">
        <v>509</v>
      </c>
      <c r="AP76">
        <v>100</v>
      </c>
      <c r="AQ76">
        <v>200</v>
      </c>
      <c r="AT76">
        <v>5178</v>
      </c>
      <c r="AU76">
        <v>1265</v>
      </c>
      <c r="AW76">
        <v>940</v>
      </c>
      <c r="AX76" t="s">
        <v>150</v>
      </c>
    </row>
    <row r="77" spans="1:50" x14ac:dyDescent="0.25">
      <c r="A77" t="str">
        <f>D1_MARZO_2025[[#This Row],[SUPER2]]</f>
        <v>LUIS</v>
      </c>
      <c r="B77" t="str">
        <f>D1_MARZO_2025[[#This Row],[ASESOR]]</f>
        <v>MARCELIT LOPEZ</v>
      </c>
      <c r="C77">
        <f>VLOOKUP(D1_MARZO_2025[[#This Row],[SUPER]],DATA_MARZO_2025[[SUPERVISOR]:[META]],3,0)</f>
        <v>21000</v>
      </c>
      <c r="D77">
        <f>D1_MARZO_2025[[#This Row],[RECUPERO]]/D1_MARZO_2025[[#This Row],[META]]</f>
        <v>0.21728571428571428</v>
      </c>
      <c r="E77" t="s">
        <v>9</v>
      </c>
      <c r="F77" t="s">
        <v>121</v>
      </c>
      <c r="G77">
        <v>4563</v>
      </c>
      <c r="H77" t="s">
        <v>417</v>
      </c>
      <c r="I77" s="56">
        <v>44510</v>
      </c>
      <c r="J77" t="s">
        <v>501</v>
      </c>
      <c r="M77" s="1">
        <f>DATA_MARZO_2025[[#This Row],[RECUPERO]]/DATA_MARZO_2025[[#This Row],[META]]</f>
        <v>0.45595714285714289</v>
      </c>
      <c r="N77" t="str" cm="1">
        <f t="array" ref="N77">IF(DATA_MARZO_2025[[#This Row],[ASER_]]="","",IFERROR(_xlfn.IFS(M77&gt;=100%,"&gt;100%",AND(M77&lt;100%,M77&gt;=70%),"&gt;70%",AND(M77&lt;70%,M77&gt;=40%),"&gt;40%",AND(M77&lt;40%,M77&gt;=0%),"&gt;0%"),""))</f>
        <v>&gt;40%</v>
      </c>
      <c r="O77" t="s">
        <v>9</v>
      </c>
      <c r="P77">
        <f>SUM(DATA_MARZO_2025[[#This Row],[1]:[31]])</f>
        <v>9575.1</v>
      </c>
      <c r="Q77">
        <v>21000</v>
      </c>
      <c r="R77" t="s">
        <v>103</v>
      </c>
      <c r="S77">
        <v>150</v>
      </c>
      <c r="V77">
        <v>200</v>
      </c>
      <c r="W77">
        <v>1800</v>
      </c>
      <c r="X77">
        <v>300</v>
      </c>
      <c r="AB77">
        <v>500</v>
      </c>
      <c r="AF77">
        <v>300</v>
      </c>
      <c r="AK77">
        <v>150</v>
      </c>
      <c r="AP77">
        <v>1200</v>
      </c>
      <c r="AT77">
        <v>500</v>
      </c>
      <c r="AW77">
        <v>4475.1000000000004</v>
      </c>
      <c r="AX77" t="s">
        <v>153</v>
      </c>
    </row>
    <row r="78" spans="1:50" x14ac:dyDescent="0.25">
      <c r="A78" t="str">
        <f>D1_MARZO_2025[[#This Row],[SUPER2]]</f>
        <v>JORGE</v>
      </c>
      <c r="B78" t="str">
        <f>D1_MARZO_2025[[#This Row],[ASESOR]]</f>
        <v>PAMELA ALBITES</v>
      </c>
      <c r="C78">
        <f>VLOOKUP(D1_MARZO_2025[[#This Row],[SUPER]],DATA_MARZO_2025[[SUPERVISOR]:[META]],3,0)</f>
        <v>24000</v>
      </c>
      <c r="D78">
        <f>D1_MARZO_2025[[#This Row],[RECUPERO]]/D1_MARZO_2025[[#This Row],[META]]</f>
        <v>6.1124999999999999E-2</v>
      </c>
      <c r="E78" t="s">
        <v>2</v>
      </c>
      <c r="F78" t="s">
        <v>117</v>
      </c>
      <c r="G78">
        <v>1467</v>
      </c>
      <c r="H78" t="s">
        <v>396</v>
      </c>
      <c r="I78" s="56">
        <v>45668</v>
      </c>
      <c r="J78" t="s">
        <v>501</v>
      </c>
      <c r="M78" s="1">
        <f>DATA_MARZO_2025[[#This Row],[RECUPERO]]/DATA_MARZO_2025[[#This Row],[META]]</f>
        <v>0.1761904761904762</v>
      </c>
      <c r="N78" t="str" cm="1">
        <f t="array" ref="N78">IF(DATA_MARZO_2025[[#This Row],[ASER_]]="","",IFERROR(_xlfn.IFS(M78&gt;=100%,"&gt;100%",AND(M78&lt;100%,M78&gt;=70%),"&gt;70%",AND(M78&lt;70%,M78&gt;=40%),"&gt;40%",AND(M78&lt;40%,M78&gt;=0%),"&gt;0%"),""))</f>
        <v>&gt;0%</v>
      </c>
      <c r="O78" t="s">
        <v>6</v>
      </c>
      <c r="P78">
        <f>SUM(DATA_MARZO_2025[[#This Row],[1]:[31]])</f>
        <v>3700</v>
      </c>
      <c r="Q78">
        <v>21000</v>
      </c>
      <c r="R78" t="s">
        <v>128</v>
      </c>
      <c r="AC78">
        <v>700</v>
      </c>
      <c r="AD78">
        <v>550</v>
      </c>
      <c r="AI78">
        <v>750</v>
      </c>
      <c r="AM78">
        <v>1000</v>
      </c>
      <c r="AQ78">
        <v>700</v>
      </c>
      <c r="AX78" t="s">
        <v>152</v>
      </c>
    </row>
    <row r="79" spans="1:50" x14ac:dyDescent="0.25">
      <c r="A79" t="str">
        <f>D1_MARZO_2025[[#This Row],[SUPER2]]</f>
        <v>MELINA</v>
      </c>
      <c r="B79" t="str">
        <f>D1_MARZO_2025[[#This Row],[ASESOR]]</f>
        <v>JEREMIAS ROJAS</v>
      </c>
      <c r="C79">
        <f>VLOOKUP(D1_MARZO_2025[[#This Row],[SUPER]],DATA_MARZO_2025[[SUPERVISOR]:[META]],3,0)</f>
        <v>62000</v>
      </c>
      <c r="D79">
        <f>D1_MARZO_2025[[#This Row],[RECUPERO]]/D1_MARZO_2025[[#This Row],[META]]</f>
        <v>0.30762903225806454</v>
      </c>
      <c r="E79" t="s">
        <v>4</v>
      </c>
      <c r="F79" t="s">
        <v>122</v>
      </c>
      <c r="G79">
        <v>19073</v>
      </c>
      <c r="H79" t="s">
        <v>426</v>
      </c>
      <c r="I79" s="56">
        <v>45082</v>
      </c>
      <c r="J79" t="s">
        <v>501</v>
      </c>
      <c r="M79" s="1">
        <f>DATA_MARZO_2025[[#This Row],[RECUPERO]]/DATA_MARZO_2025[[#This Row],[META]]</f>
        <v>0.39166666666666666</v>
      </c>
      <c r="N79" t="str" cm="1">
        <f t="array" ref="N79">IF(DATA_MARZO_2025[[#This Row],[ASER_]]="","",IFERROR(_xlfn.IFS(M79&gt;=100%,"&gt;100%",AND(M79&lt;100%,M79&gt;=70%),"&gt;70%",AND(M79&lt;70%,M79&gt;=40%),"&gt;40%",AND(M79&lt;40%,M79&gt;=0%),"&gt;0%"),""))</f>
        <v>&gt;0%</v>
      </c>
      <c r="O79" t="s">
        <v>9</v>
      </c>
      <c r="P79">
        <f>SUM(DATA_MARZO_2025[[#This Row],[1]:[31]])</f>
        <v>8225</v>
      </c>
      <c r="Q79">
        <v>21000</v>
      </c>
      <c r="R79" t="s">
        <v>73</v>
      </c>
      <c r="U79">
        <v>215</v>
      </c>
      <c r="V79">
        <v>50</v>
      </c>
      <c r="W79">
        <v>430</v>
      </c>
      <c r="X79">
        <v>310</v>
      </c>
      <c r="Z79">
        <v>200</v>
      </c>
      <c r="AB79">
        <v>1400</v>
      </c>
      <c r="AC79">
        <v>100</v>
      </c>
      <c r="AE79">
        <v>500</v>
      </c>
      <c r="AG79">
        <v>400</v>
      </c>
      <c r="AI79">
        <v>170</v>
      </c>
      <c r="AK79">
        <v>500</v>
      </c>
      <c r="AL79">
        <v>400</v>
      </c>
      <c r="AP79">
        <v>200</v>
      </c>
      <c r="AQ79">
        <v>1700</v>
      </c>
      <c r="AT79">
        <v>400</v>
      </c>
      <c r="AW79">
        <v>1250</v>
      </c>
      <c r="AX79" t="s">
        <v>153</v>
      </c>
    </row>
    <row r="80" spans="1:50" x14ac:dyDescent="0.25">
      <c r="M80" s="1">
        <f>DATA_MARZO_2025[[#This Row],[RECUPERO]]/DATA_MARZO_2025[[#This Row],[META]]</f>
        <v>0.22223809523809523</v>
      </c>
      <c r="N80" t="str" cm="1">
        <f t="array" ref="N80">IF(DATA_MARZO_2025[[#This Row],[ASER_]]="","",IFERROR(_xlfn.IFS(M80&gt;=100%,"&gt;100%",AND(M80&lt;100%,M80&gt;=70%),"&gt;70%",AND(M80&lt;70%,M80&gt;=40%),"&gt;40%",AND(M80&lt;40%,M80&gt;=0%),"&gt;0%"),""))</f>
        <v>&gt;0%</v>
      </c>
      <c r="O80" t="s">
        <v>6</v>
      </c>
      <c r="P80">
        <f>SUM(DATA_MARZO_2025[[#This Row],[1]:[31]])</f>
        <v>4667</v>
      </c>
      <c r="Q80">
        <v>21000</v>
      </c>
      <c r="R80" t="s">
        <v>34</v>
      </c>
      <c r="W80">
        <v>1667</v>
      </c>
      <c r="X80">
        <v>500</v>
      </c>
      <c r="AB80">
        <v>1000</v>
      </c>
      <c r="AE80">
        <v>250</v>
      </c>
      <c r="AL80">
        <v>500</v>
      </c>
      <c r="AS80">
        <v>500</v>
      </c>
      <c r="AW80">
        <v>250</v>
      </c>
      <c r="AX80" t="s">
        <v>152</v>
      </c>
    </row>
    <row r="81" spans="13:50" x14ac:dyDescent="0.25">
      <c r="M81" s="1">
        <f>DATA_MARZO_2025[[#This Row],[RECUPERO]]/DATA_MARZO_2025[[#This Row],[META]]</f>
        <v>0.36379166666666668</v>
      </c>
      <c r="N81" t="str" cm="1">
        <f t="array" ref="N81">IF(DATA_MARZO_2025[[#This Row],[ASER_]]="","",IFERROR(_xlfn.IFS(M81&gt;=100%,"&gt;100%",AND(M81&lt;100%,M81&gt;=70%),"&gt;70%",AND(M81&lt;70%,M81&gt;=40%),"&gt;40%",AND(M81&lt;40%,M81&gt;=0%),"&gt;0%"),""))</f>
        <v>&gt;0%</v>
      </c>
      <c r="O81" t="s">
        <v>2</v>
      </c>
      <c r="P81">
        <f>SUM(DATA_MARZO_2025[[#This Row],[1]:[31]])</f>
        <v>8731</v>
      </c>
      <c r="Q81">
        <v>24000</v>
      </c>
      <c r="R81" t="s">
        <v>78</v>
      </c>
      <c r="AC81">
        <v>1460</v>
      </c>
      <c r="AD81">
        <v>600</v>
      </c>
      <c r="AE81">
        <v>800</v>
      </c>
      <c r="AF81">
        <v>300</v>
      </c>
      <c r="AI81">
        <v>226</v>
      </c>
      <c r="AK81">
        <v>100</v>
      </c>
      <c r="AL81">
        <v>100</v>
      </c>
      <c r="AM81">
        <v>600</v>
      </c>
      <c r="AQ81">
        <v>510</v>
      </c>
      <c r="AS81">
        <v>1105</v>
      </c>
      <c r="AT81">
        <v>820</v>
      </c>
      <c r="AU81">
        <v>800</v>
      </c>
      <c r="AV81">
        <v>700</v>
      </c>
      <c r="AW81">
        <v>610</v>
      </c>
      <c r="AX81" t="s">
        <v>151</v>
      </c>
    </row>
    <row r="82" spans="13:50" x14ac:dyDescent="0.25">
      <c r="M82" s="1">
        <f>DATA_MARZO_2025[[#This Row],[RECUPERO]]/DATA_MARZO_2025[[#This Row],[META]]</f>
        <v>0.38772857142857142</v>
      </c>
      <c r="N82" t="str" cm="1">
        <f t="array" ref="N82">IF(DATA_MARZO_2025[[#This Row],[ASER_]]="","",IFERROR(_xlfn.IFS(M82&gt;=100%,"&gt;100%",AND(M82&lt;100%,M82&gt;=70%),"&gt;70%",AND(M82&lt;70%,M82&gt;=40%),"&gt;40%",AND(M82&lt;40%,M82&gt;=0%),"&gt;0%"),""))</f>
        <v>&gt;0%</v>
      </c>
      <c r="O82" t="s">
        <v>9</v>
      </c>
      <c r="P82">
        <f>SUM(DATA_MARZO_2025[[#This Row],[1]:[31]])</f>
        <v>8142.3</v>
      </c>
      <c r="Q82">
        <v>21000</v>
      </c>
      <c r="R82" t="s">
        <v>48</v>
      </c>
      <c r="AF82">
        <v>1800</v>
      </c>
      <c r="AI82">
        <v>200</v>
      </c>
      <c r="AK82">
        <v>500</v>
      </c>
      <c r="AL82">
        <v>580</v>
      </c>
      <c r="AP82">
        <v>225</v>
      </c>
      <c r="AR82">
        <v>451</v>
      </c>
      <c r="AU82">
        <v>2009</v>
      </c>
      <c r="AW82">
        <v>2377.3000000000002</v>
      </c>
      <c r="AX82" t="s">
        <v>153</v>
      </c>
    </row>
    <row r="83" spans="13:50" x14ac:dyDescent="0.25">
      <c r="M83" s="1">
        <f>DATA_MARZO_2025[[#This Row],[RECUPERO]]/DATA_MARZO_2025[[#This Row],[META]]</f>
        <v>0.57990322580645159</v>
      </c>
      <c r="N83" t="str" cm="1">
        <f t="array" ref="N83">IF(DATA_MARZO_2025[[#This Row],[ASER_]]="","",IFERROR(_xlfn.IFS(M83&gt;=100%,"&gt;100%",AND(M83&lt;100%,M83&gt;=70%),"&gt;70%",AND(M83&lt;70%,M83&gt;=40%),"&gt;40%",AND(M83&lt;40%,M83&gt;=0%),"&gt;0%"),""))</f>
        <v>&gt;40%</v>
      </c>
      <c r="O83" t="s">
        <v>3</v>
      </c>
      <c r="P83">
        <f>SUM(DATA_MARZO_2025[[#This Row],[1]:[31]])</f>
        <v>35954</v>
      </c>
      <c r="Q83">
        <v>62000</v>
      </c>
      <c r="R83" t="s">
        <v>10</v>
      </c>
      <c r="U83">
        <v>250</v>
      </c>
      <c r="W83">
        <v>521</v>
      </c>
      <c r="X83">
        <v>12000</v>
      </c>
      <c r="Y83">
        <v>1262</v>
      </c>
      <c r="AB83">
        <v>178</v>
      </c>
      <c r="AD83">
        <v>600</v>
      </c>
      <c r="AE83">
        <v>600</v>
      </c>
      <c r="AF83">
        <v>1000</v>
      </c>
      <c r="AJ83">
        <v>1650</v>
      </c>
      <c r="AK83">
        <v>600</v>
      </c>
      <c r="AL83">
        <v>5268</v>
      </c>
      <c r="AN83">
        <v>3000</v>
      </c>
      <c r="AQ83">
        <v>1970</v>
      </c>
      <c r="AS83">
        <v>500</v>
      </c>
      <c r="AT83">
        <v>1500</v>
      </c>
      <c r="AU83">
        <v>260</v>
      </c>
      <c r="AW83">
        <v>4795</v>
      </c>
      <c r="AX83" t="s">
        <v>150</v>
      </c>
    </row>
    <row r="84" spans="13:50" x14ac:dyDescent="0.25">
      <c r="M84" s="1">
        <f>DATA_MARZO_2025[[#This Row],[RECUPERO]]/DATA_MARZO_2025[[#This Row],[META]]</f>
        <v>1.4439354838709677</v>
      </c>
      <c r="N84" t="str" cm="1">
        <f t="array" ref="N84">IF(DATA_MARZO_2025[[#This Row],[ASER_]]="","",IFERROR(_xlfn.IFS(M84&gt;=100%,"&gt;100%",AND(M84&lt;100%,M84&gt;=70%),"&gt;70%",AND(M84&lt;70%,M84&gt;=40%),"&gt;40%",AND(M84&lt;40%,M84&gt;=0%),"&gt;0%"),""))</f>
        <v>&gt;100%</v>
      </c>
      <c r="O84" t="s">
        <v>3</v>
      </c>
      <c r="P84">
        <f>SUM(DATA_MARZO_2025[[#This Row],[1]:[31]])</f>
        <v>89524</v>
      </c>
      <c r="Q84">
        <v>62000</v>
      </c>
      <c r="R84" t="s">
        <v>76</v>
      </c>
      <c r="U84">
        <v>12970</v>
      </c>
      <c r="V84">
        <v>6200</v>
      </c>
      <c r="W84">
        <v>12609</v>
      </c>
      <c r="X84">
        <v>4000</v>
      </c>
      <c r="Y84">
        <v>1100</v>
      </c>
      <c r="Z84">
        <v>3000</v>
      </c>
      <c r="AB84">
        <v>8100</v>
      </c>
      <c r="AD84">
        <v>10407</v>
      </c>
      <c r="AE84">
        <v>2800</v>
      </c>
      <c r="AM84">
        <v>11320</v>
      </c>
      <c r="AQ84">
        <v>1400</v>
      </c>
      <c r="AR84">
        <v>420</v>
      </c>
      <c r="AT84">
        <v>285</v>
      </c>
      <c r="AU84">
        <v>600</v>
      </c>
      <c r="AW84">
        <v>14313</v>
      </c>
      <c r="AX84" t="s">
        <v>150</v>
      </c>
    </row>
    <row r="85" spans="13:50" x14ac:dyDescent="0.25">
      <c r="M85" s="1">
        <f>DATA_MARZO_2025[[#This Row],[RECUPERO]]/DATA_MARZO_2025[[#This Row],[META]]</f>
        <v>0.33024999999999999</v>
      </c>
      <c r="N85" t="str" cm="1">
        <f t="array" ref="N85">IF(DATA_MARZO_2025[[#This Row],[ASER_]]="","",IFERROR(_xlfn.IFS(M85&gt;=100%,"&gt;100%",AND(M85&lt;100%,M85&gt;=70%),"&gt;70%",AND(M85&lt;70%,M85&gt;=40%),"&gt;40%",AND(M85&lt;40%,M85&gt;=0%),"&gt;0%"),""))</f>
        <v>&gt;0%</v>
      </c>
      <c r="O85" t="s">
        <v>2</v>
      </c>
      <c r="P85">
        <f>SUM(DATA_MARZO_2025[[#This Row],[1]:[31]])</f>
        <v>7926</v>
      </c>
      <c r="Q85">
        <v>24000</v>
      </c>
      <c r="R85" t="s">
        <v>39</v>
      </c>
      <c r="W85">
        <v>300</v>
      </c>
      <c r="AB85">
        <v>300</v>
      </c>
      <c r="AF85">
        <v>50</v>
      </c>
      <c r="AI85">
        <v>1155</v>
      </c>
      <c r="AJ85">
        <v>1000</v>
      </c>
      <c r="AL85">
        <v>300</v>
      </c>
      <c r="AM85">
        <v>0</v>
      </c>
      <c r="AP85">
        <v>1381</v>
      </c>
      <c r="AQ85">
        <v>110</v>
      </c>
      <c r="AR85">
        <v>2200</v>
      </c>
      <c r="AS85">
        <v>650</v>
      </c>
      <c r="AT85">
        <v>200</v>
      </c>
      <c r="AW85">
        <v>280</v>
      </c>
      <c r="AX85" t="s">
        <v>151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8C21-15ED-4BE7-B21B-586F188A536D}">
  <dimension ref="A1:CI75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9.28515625" customWidth="1"/>
    <col min="2" max="3" width="22.7109375" customWidth="1"/>
    <col min="4" max="5" width="13.42578125" customWidth="1"/>
    <col min="6" max="6" width="12" customWidth="1"/>
    <col min="7" max="7" width="10.28515625" customWidth="1"/>
    <col min="8" max="8" width="11.140625" bestFit="1" customWidth="1"/>
    <col min="9" max="9" width="27.85546875" bestFit="1" customWidth="1"/>
    <col min="10" max="10" width="14.5703125" bestFit="1" customWidth="1"/>
    <col min="11" max="12" width="27.85546875" customWidth="1"/>
    <col min="13" max="13" width="10" customWidth="1"/>
    <col min="14" max="14" width="12.140625" bestFit="1" customWidth="1"/>
    <col min="15" max="15" width="22.7109375" customWidth="1"/>
    <col min="16" max="16" width="11.42578125" customWidth="1"/>
    <col min="18" max="18" width="26.7109375" bestFit="1" customWidth="1"/>
    <col min="19" max="19" width="6" bestFit="1" customWidth="1"/>
    <col min="20" max="27" width="6.42578125" bestFit="1" customWidth="1"/>
    <col min="28" max="28" width="7.42578125" bestFit="1" customWidth="1"/>
    <col min="29" max="29" width="7.140625" bestFit="1" customWidth="1"/>
    <col min="30" max="37" width="7.42578125" bestFit="1" customWidth="1"/>
    <col min="38" max="38" width="7.85546875" bestFit="1" customWidth="1"/>
    <col min="39" max="39" width="7.42578125" bestFit="1" customWidth="1"/>
    <col min="40" max="48" width="7.85546875" bestFit="1" customWidth="1"/>
    <col min="49" max="49" width="7.42578125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t="s">
        <v>3</v>
      </c>
      <c r="B3" t="s">
        <v>109</v>
      </c>
      <c r="C3">
        <f>VLOOKUP(D1_ABRIL_2025[[#This Row],[SUPER]],DATA_ABRIL_2025[[SUPERVISOR]:[META]],3,0)</f>
        <v>57000</v>
      </c>
      <c r="D3">
        <f>D1_ABRIL_2025[[#This Row],[RECUPERO]]/D1_ABRIL_2025[[#This Row],[META]]</f>
        <v>0.33740350877192982</v>
      </c>
      <c r="E3" t="s">
        <v>3</v>
      </c>
      <c r="F3" t="s">
        <v>109</v>
      </c>
      <c r="G3">
        <v>19232</v>
      </c>
      <c r="H3" t="s">
        <v>422</v>
      </c>
      <c r="I3" s="56">
        <v>45334</v>
      </c>
      <c r="J3" t="s">
        <v>501</v>
      </c>
      <c r="L3" s="56"/>
      <c r="M3" s="33">
        <v>2025</v>
      </c>
      <c r="N3" s="33" t="s">
        <v>142</v>
      </c>
      <c r="O3" s="33">
        <v>20</v>
      </c>
    </row>
    <row r="4" spans="1:87" x14ac:dyDescent="0.25">
      <c r="A4" t="s">
        <v>3</v>
      </c>
      <c r="B4" t="s">
        <v>53</v>
      </c>
      <c r="C4">
        <f>VLOOKUP(D1_ABRIL_2025[[#This Row],[SUPER]],DATA_ABRIL_2025[[SUPERVISOR]:[META]],3,0)</f>
        <v>57000</v>
      </c>
      <c r="D4">
        <f>D1_ABRIL_2025[[#This Row],[RECUPERO]]/D1_ABRIL_2025[[#This Row],[META]]</f>
        <v>0.33964912280701753</v>
      </c>
      <c r="E4" t="s">
        <v>3</v>
      </c>
      <c r="F4" t="s">
        <v>53</v>
      </c>
      <c r="G4">
        <v>19360</v>
      </c>
      <c r="H4" t="s">
        <v>457</v>
      </c>
      <c r="I4" s="56">
        <v>45727</v>
      </c>
      <c r="J4" t="s">
        <v>501</v>
      </c>
      <c r="L4" s="56"/>
    </row>
    <row r="5" spans="1:87" x14ac:dyDescent="0.25">
      <c r="A5" t="s">
        <v>3</v>
      </c>
      <c r="B5" t="s">
        <v>22</v>
      </c>
      <c r="C5">
        <f>VLOOKUP(D1_ABRIL_2025[[#This Row],[SUPER]],DATA_ABRIL_2025[[SUPERVISOR]:[META]],3,0)</f>
        <v>57000</v>
      </c>
      <c r="D5">
        <f>D1_ABRIL_2025[[#This Row],[RECUPERO]]/D1_ABRIL_2025[[#This Row],[META]]</f>
        <v>1.099661403508772</v>
      </c>
      <c r="E5" t="s">
        <v>3</v>
      </c>
      <c r="F5" t="s">
        <v>22</v>
      </c>
      <c r="G5">
        <v>62680.7</v>
      </c>
      <c r="H5" t="s">
        <v>442</v>
      </c>
      <c r="I5" s="56">
        <v>45299</v>
      </c>
      <c r="J5" t="s">
        <v>501</v>
      </c>
      <c r="L5" s="56"/>
    </row>
    <row r="6" spans="1:87" x14ac:dyDescent="0.25">
      <c r="A6" t="s">
        <v>3</v>
      </c>
      <c r="B6" t="s">
        <v>23</v>
      </c>
      <c r="C6">
        <f>VLOOKUP(D1_ABRIL_2025[[#This Row],[SUPER]],DATA_ABRIL_2025[[SUPERVISOR]:[META]],3,0)</f>
        <v>57000</v>
      </c>
      <c r="D6">
        <f>D1_ABRIL_2025[[#This Row],[RECUPERO]]/D1_ABRIL_2025[[#This Row],[META]]</f>
        <v>1.789719298245614</v>
      </c>
      <c r="E6" t="s">
        <v>3</v>
      </c>
      <c r="F6" t="s">
        <v>23</v>
      </c>
      <c r="G6">
        <v>102014</v>
      </c>
      <c r="H6" t="s">
        <v>445</v>
      </c>
      <c r="I6" s="56">
        <v>44111</v>
      </c>
      <c r="J6" t="s">
        <v>501</v>
      </c>
      <c r="L6" s="56"/>
    </row>
    <row r="7" spans="1:87" x14ac:dyDescent="0.25">
      <c r="A7" t="s">
        <v>3</v>
      </c>
      <c r="B7" t="s">
        <v>25</v>
      </c>
      <c r="C7">
        <f>VLOOKUP(D1_ABRIL_2025[[#This Row],[SUPER]],DATA_ABRIL_2025[[SUPERVISOR]:[META]],3,0)</f>
        <v>57000</v>
      </c>
      <c r="D7">
        <f>D1_ABRIL_2025[[#This Row],[RECUPERO]]/D1_ABRIL_2025[[#This Row],[META]]</f>
        <v>0.80991228070175436</v>
      </c>
      <c r="E7" t="s">
        <v>3</v>
      </c>
      <c r="F7" t="s">
        <v>25</v>
      </c>
      <c r="G7">
        <v>46165</v>
      </c>
      <c r="H7" t="s">
        <v>446</v>
      </c>
      <c r="I7" s="56">
        <v>44820</v>
      </c>
      <c r="J7" t="s">
        <v>501</v>
      </c>
      <c r="L7" s="56"/>
    </row>
    <row r="8" spans="1:87" x14ac:dyDescent="0.25">
      <c r="A8" t="s">
        <v>3</v>
      </c>
      <c r="B8" t="s">
        <v>107</v>
      </c>
      <c r="C8">
        <f>VLOOKUP(D1_ABRIL_2025[[#This Row],[SUPER]],DATA_ABRIL_2025[[SUPERVISOR]:[META]],3,0)</f>
        <v>57000</v>
      </c>
      <c r="D8">
        <f>D1_ABRIL_2025[[#This Row],[RECUPERO]]/D1_ABRIL_2025[[#This Row],[META]]</f>
        <v>0.26163157894736844</v>
      </c>
      <c r="E8" t="s">
        <v>3</v>
      </c>
      <c r="F8" t="s">
        <v>107</v>
      </c>
      <c r="G8">
        <v>14913</v>
      </c>
      <c r="H8" t="s">
        <v>458</v>
      </c>
      <c r="I8" s="56">
        <v>45727</v>
      </c>
      <c r="J8" t="s">
        <v>501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">
        <v>3</v>
      </c>
      <c r="B9" t="s">
        <v>103</v>
      </c>
      <c r="C9">
        <f>VLOOKUP(D1_ABRIL_2025[[#This Row],[SUPER]],DATA_ABRIL_2025[[SUPERVISOR]:[META]],3,0)</f>
        <v>57000</v>
      </c>
      <c r="D9">
        <f>D1_ABRIL_2025[[#This Row],[RECUPERO]]/D1_ABRIL_2025[[#This Row],[META]]</f>
        <v>0.31157894736842107</v>
      </c>
      <c r="E9" t="s">
        <v>3</v>
      </c>
      <c r="F9" t="s">
        <v>103</v>
      </c>
      <c r="G9">
        <v>17760</v>
      </c>
      <c r="H9" t="s">
        <v>419</v>
      </c>
      <c r="I9" s="56">
        <v>45451</v>
      </c>
      <c r="J9" t="s">
        <v>501</v>
      </c>
      <c r="L9" s="56"/>
      <c r="M9" s="1">
        <f>DATA_ABRIL_2025[[#This Row],[RECUPERO]]/DATA_ABRIL_2025[[#This Row],[META]]</f>
        <v>0.30588461538461537</v>
      </c>
      <c r="N9" t="str" cm="1">
        <f t="array" ref="N9">IF(DATA_ABRIL_2025[[#This Row],[ASER_]]="","",IFERROR(_xlfn.IFS(M9&gt;=100%,"&gt;100%",AND(M9&lt;100%,M9&gt;=70%),"&gt;70%",AND(M9&lt;70%,M9&gt;=40%),"&gt;40%",AND(M9&lt;40%,M9&gt;=0%),"&gt;0%"),""))</f>
        <v>&gt;0%</v>
      </c>
      <c r="O9" t="s">
        <v>6</v>
      </c>
      <c r="P9">
        <f>SUM(DATA_ABRIL_2025[[#This Row],[1]:[31]])</f>
        <v>7953</v>
      </c>
      <c r="Q9">
        <v>26000</v>
      </c>
      <c r="R9" t="s">
        <v>18</v>
      </c>
      <c r="Y9">
        <v>2112</v>
      </c>
      <c r="Z9">
        <v>250</v>
      </c>
      <c r="AA9">
        <v>187</v>
      </c>
      <c r="AB9">
        <v>100</v>
      </c>
      <c r="AC9">
        <v>2100</v>
      </c>
      <c r="AF9">
        <v>626</v>
      </c>
      <c r="AG9">
        <v>500</v>
      </c>
      <c r="AH9">
        <v>500</v>
      </c>
      <c r="AO9">
        <v>300</v>
      </c>
      <c r="AP9">
        <v>100</v>
      </c>
      <c r="AV9">
        <v>1178</v>
      </c>
      <c r="AX9" t="s">
        <v>152</v>
      </c>
      <c r="AZ9">
        <v>171900</v>
      </c>
      <c r="BA9" s="11">
        <f>MAX(DITE_ABRIL_2025[[#This Row],[1]:[31]])</f>
        <v>108935.8</v>
      </c>
      <c r="BB9" s="17">
        <f>BA9/DITE_ABRIL_2025[[#This Row],[META SUPER]]</f>
        <v>0.63371611401977901</v>
      </c>
      <c r="BC9" t="s">
        <v>8</v>
      </c>
      <c r="BD9">
        <v>2602</v>
      </c>
      <c r="BE9">
        <v>4242</v>
      </c>
      <c r="BF9">
        <v>6612</v>
      </c>
      <c r="BG9">
        <v>14048</v>
      </c>
      <c r="BH9">
        <v>14554</v>
      </c>
      <c r="BI9">
        <v>14554</v>
      </c>
      <c r="BJ9">
        <v>18554</v>
      </c>
      <c r="BK9">
        <v>19304</v>
      </c>
      <c r="BL9">
        <v>20486</v>
      </c>
      <c r="BM9">
        <v>27686</v>
      </c>
      <c r="BN9">
        <v>34297</v>
      </c>
      <c r="BO9">
        <v>34797</v>
      </c>
      <c r="BP9">
        <v>34797</v>
      </c>
      <c r="BQ9">
        <v>37777</v>
      </c>
      <c r="BR9">
        <v>42687</v>
      </c>
      <c r="BS9">
        <v>48027</v>
      </c>
      <c r="BT9">
        <v>48027</v>
      </c>
      <c r="BU9">
        <v>48027</v>
      </c>
      <c r="BV9">
        <v>48027</v>
      </c>
      <c r="BW9">
        <v>48227</v>
      </c>
      <c r="BX9">
        <v>71509</v>
      </c>
      <c r="BY9">
        <v>72309</v>
      </c>
      <c r="BZ9">
        <v>73050</v>
      </c>
      <c r="CA9">
        <v>75510</v>
      </c>
      <c r="CB9">
        <v>76822</v>
      </c>
      <c r="CC9">
        <v>78752</v>
      </c>
      <c r="CD9">
        <v>78952</v>
      </c>
      <c r="CE9">
        <v>88870</v>
      </c>
      <c r="CF9">
        <v>98585</v>
      </c>
      <c r="CG9">
        <v>108935.8</v>
      </c>
      <c r="CH9">
        <v>108935.8</v>
      </c>
      <c r="CI9" s="11" t="s">
        <v>153</v>
      </c>
    </row>
    <row r="10" spans="1:87" x14ac:dyDescent="0.25">
      <c r="A10" t="s">
        <v>3</v>
      </c>
      <c r="B10" t="s">
        <v>76</v>
      </c>
      <c r="C10">
        <f>VLOOKUP(D1_ABRIL_2025[[#This Row],[SUPER]],DATA_ABRIL_2025[[SUPERVISOR]:[META]],3,0)</f>
        <v>57000</v>
      </c>
      <c r="D10">
        <f>D1_ABRIL_2025[[#This Row],[RECUPERO]]/D1_ABRIL_2025[[#This Row],[META]]</f>
        <v>1.1149491228070174</v>
      </c>
      <c r="E10" t="s">
        <v>3</v>
      </c>
      <c r="F10" t="s">
        <v>76</v>
      </c>
      <c r="G10">
        <v>63552.1</v>
      </c>
      <c r="H10" t="s">
        <v>408</v>
      </c>
      <c r="I10" s="56">
        <v>44819</v>
      </c>
      <c r="J10" t="s">
        <v>501</v>
      </c>
      <c r="L10" s="56"/>
      <c r="M10" s="1">
        <f>DATA_ABRIL_2025[[#This Row],[RECUPERO]]/DATA_ABRIL_2025[[#This Row],[META]]</f>
        <v>0.86478536585365851</v>
      </c>
      <c r="N10" t="str" cm="1">
        <f t="array" ref="N10">IF(DATA_ABRIL_2025[[#This Row],[ASER_]]="","",IFERROR(_xlfn.IFS(M10&gt;=100%,"&gt;100%",AND(M10&lt;100%,M10&gt;=70%),"&gt;70%",AND(M10&lt;70%,M10&gt;=40%),"&gt;40%",AND(M10&lt;40%,M10&gt;=0%),"&gt;0%"),""))</f>
        <v>&gt;70%</v>
      </c>
      <c r="O10" t="s">
        <v>125</v>
      </c>
      <c r="P10">
        <f>SUM(DATA_ABRIL_2025[[#This Row],[1]:[31]])</f>
        <v>17728.099999999999</v>
      </c>
      <c r="Q10">
        <v>20500</v>
      </c>
      <c r="R10" t="s">
        <v>21</v>
      </c>
      <c r="T10">
        <v>500</v>
      </c>
      <c r="U10">
        <v>200</v>
      </c>
      <c r="V10">
        <v>2300.1</v>
      </c>
      <c r="Y10">
        <v>950</v>
      </c>
      <c r="Z10">
        <v>228</v>
      </c>
      <c r="AA10">
        <v>4000</v>
      </c>
      <c r="AB10">
        <v>350</v>
      </c>
      <c r="AC10">
        <v>3800</v>
      </c>
      <c r="AO10">
        <v>200</v>
      </c>
      <c r="AP10">
        <v>2300</v>
      </c>
      <c r="AQ10">
        <v>700</v>
      </c>
      <c r="AT10">
        <v>300</v>
      </c>
      <c r="AU10">
        <v>1700</v>
      </c>
      <c r="AV10">
        <v>200</v>
      </c>
      <c r="AX10" t="s">
        <v>153</v>
      </c>
      <c r="AZ10">
        <v>171900</v>
      </c>
      <c r="BA10" s="11">
        <f>MAX(DITE_ABRIL_2025[[#This Row],[1]:[31]])</f>
        <v>70751.8</v>
      </c>
      <c r="BB10" s="17">
        <f>BA10/DITE_ABRIL_2025[[#This Row],[META SUPER]]</f>
        <v>0.41158696916812104</v>
      </c>
      <c r="BC10" t="s">
        <v>124</v>
      </c>
      <c r="BD10">
        <v>2900</v>
      </c>
      <c r="BE10">
        <v>5400</v>
      </c>
      <c r="BF10">
        <v>7719</v>
      </c>
      <c r="BG10">
        <v>11333</v>
      </c>
      <c r="BH10">
        <v>11333</v>
      </c>
      <c r="BI10">
        <v>11638</v>
      </c>
      <c r="BJ10">
        <v>14259</v>
      </c>
      <c r="BK10">
        <v>15336</v>
      </c>
      <c r="BL10">
        <v>16846</v>
      </c>
      <c r="BM10">
        <v>20681</v>
      </c>
      <c r="BN10">
        <v>23381</v>
      </c>
      <c r="BO10">
        <v>23481</v>
      </c>
      <c r="BP10">
        <v>23481</v>
      </c>
      <c r="BQ10">
        <v>29026</v>
      </c>
      <c r="BR10">
        <v>34626</v>
      </c>
      <c r="BS10">
        <v>36201.300000000003</v>
      </c>
      <c r="BT10">
        <v>36201.300000000003</v>
      </c>
      <c r="BU10">
        <v>36418.300000000003</v>
      </c>
      <c r="BV10">
        <v>36418.300000000003</v>
      </c>
      <c r="BW10">
        <v>36418.300000000003</v>
      </c>
      <c r="BX10">
        <v>37640.300000000003</v>
      </c>
      <c r="BY10">
        <v>40598.300000000003</v>
      </c>
      <c r="BZ10">
        <v>41158.300000000003</v>
      </c>
      <c r="CA10">
        <v>44428.3</v>
      </c>
      <c r="CB10">
        <v>45648.3</v>
      </c>
      <c r="CC10">
        <v>46286.3</v>
      </c>
      <c r="CD10">
        <v>46486.3</v>
      </c>
      <c r="CE10">
        <v>47853.3</v>
      </c>
      <c r="CF10">
        <v>56830.8</v>
      </c>
      <c r="CG10">
        <v>70751.8</v>
      </c>
      <c r="CH10">
        <v>70751.8</v>
      </c>
      <c r="CI10" s="11" t="s">
        <v>153</v>
      </c>
    </row>
    <row r="11" spans="1:87" x14ac:dyDescent="0.25">
      <c r="A11" t="s">
        <v>9</v>
      </c>
      <c r="B11" t="s">
        <v>130</v>
      </c>
      <c r="C11">
        <f>VLOOKUP(D1_ABRIL_2025[[#This Row],[SUPER]],DATA_ABRIL_2025[[SUPERVISOR]:[META]],3,0)</f>
        <v>57000</v>
      </c>
      <c r="D11">
        <f>D1_ABRIL_2025[[#This Row],[RECUPERO]]/D1_ABRIL_2025[[#This Row],[META]]</f>
        <v>0</v>
      </c>
      <c r="E11" t="s">
        <v>9</v>
      </c>
      <c r="F11" t="s">
        <v>130</v>
      </c>
      <c r="G11">
        <v>0</v>
      </c>
      <c r="H11" t="s">
        <v>462</v>
      </c>
      <c r="I11" s="56">
        <v>45775</v>
      </c>
      <c r="J11" t="s">
        <v>501</v>
      </c>
      <c r="L11" s="56"/>
      <c r="M11" s="1">
        <f>DATA_ABRIL_2025[[#This Row],[RECUPERO]]/DATA_ABRIL_2025[[#This Row],[META]]</f>
        <v>0.7205789473684211</v>
      </c>
      <c r="N11" t="str" cm="1">
        <f t="array" ref="N11">IF(DATA_ABRIL_2025[[#This Row],[ASER_]]="","",IFERROR(_xlfn.IFS(M11&gt;=100%,"&gt;100%",AND(M11&lt;100%,M11&gt;=70%),"&gt;70%",AND(M11&lt;70%,M11&gt;=40%),"&gt;40%",AND(M11&lt;40%,M11&gt;=0%),"&gt;0%"),""))</f>
        <v>&gt;70%</v>
      </c>
      <c r="O11" t="s">
        <v>5</v>
      </c>
      <c r="P11">
        <f>SUM(DATA_ABRIL_2025[[#This Row],[1]:[31]])</f>
        <v>41073</v>
      </c>
      <c r="Q11">
        <v>57000</v>
      </c>
      <c r="R11" t="s">
        <v>58</v>
      </c>
      <c r="T11">
        <v>1687</v>
      </c>
      <c r="V11">
        <v>8500</v>
      </c>
      <c r="Z11">
        <v>400</v>
      </c>
      <c r="AB11">
        <v>873</v>
      </c>
      <c r="AF11">
        <v>5100</v>
      </c>
      <c r="AG11">
        <v>2000</v>
      </c>
      <c r="AH11">
        <v>240</v>
      </c>
      <c r="AM11">
        <v>300</v>
      </c>
      <c r="AO11">
        <v>2500</v>
      </c>
      <c r="AP11">
        <v>50</v>
      </c>
      <c r="AQ11">
        <v>3000</v>
      </c>
      <c r="AT11">
        <v>1500</v>
      </c>
      <c r="AU11">
        <v>12873</v>
      </c>
      <c r="AV11">
        <v>2050</v>
      </c>
      <c r="AX11" t="s">
        <v>150</v>
      </c>
      <c r="AZ11">
        <v>171900</v>
      </c>
      <c r="BA11" s="11">
        <f>MAX(DITE_ABRIL_2025[[#This Row],[1]:[31]])</f>
        <v>87182.6</v>
      </c>
      <c r="BB11" s="17">
        <f>BA11/DITE_ABRIL_2025[[#This Row],[META SUPER]]</f>
        <v>0.50717044793484589</v>
      </c>
      <c r="BC11" t="s">
        <v>125</v>
      </c>
      <c r="BD11">
        <v>3998</v>
      </c>
      <c r="BE11">
        <v>6198</v>
      </c>
      <c r="BF11">
        <v>8298</v>
      </c>
      <c r="BG11">
        <v>13369.1</v>
      </c>
      <c r="BH11">
        <v>13419.1</v>
      </c>
      <c r="BI11">
        <v>13419.1</v>
      </c>
      <c r="BJ11">
        <v>24799.1</v>
      </c>
      <c r="BK11">
        <v>25877.1</v>
      </c>
      <c r="BL11">
        <v>35077.1</v>
      </c>
      <c r="BM11">
        <v>37927.1</v>
      </c>
      <c r="BN11">
        <v>41927.1</v>
      </c>
      <c r="BO11">
        <v>41927.1</v>
      </c>
      <c r="BP11">
        <v>41927.1</v>
      </c>
      <c r="BQ11">
        <v>44444.1</v>
      </c>
      <c r="BR11">
        <v>47621.599999999999</v>
      </c>
      <c r="BS11">
        <v>48567.6</v>
      </c>
      <c r="BT11">
        <v>48567.6</v>
      </c>
      <c r="BU11">
        <v>48717.599999999999</v>
      </c>
      <c r="BV11">
        <v>48717.599999999999</v>
      </c>
      <c r="BW11">
        <v>48717.599999999999</v>
      </c>
      <c r="BX11">
        <v>52247.6</v>
      </c>
      <c r="BY11">
        <v>56467.6</v>
      </c>
      <c r="BZ11">
        <v>58567.6</v>
      </c>
      <c r="CA11">
        <v>62767.6</v>
      </c>
      <c r="CB11">
        <v>63648.6</v>
      </c>
      <c r="CC11">
        <v>64098.6</v>
      </c>
      <c r="CD11">
        <v>64098.6</v>
      </c>
      <c r="CE11">
        <v>68328.600000000006</v>
      </c>
      <c r="CF11">
        <v>75571.600000000006</v>
      </c>
      <c r="CG11">
        <v>87182.6</v>
      </c>
      <c r="CH11">
        <v>87182.6</v>
      </c>
      <c r="CI11" s="11" t="s">
        <v>153</v>
      </c>
    </row>
    <row r="12" spans="1:87" x14ac:dyDescent="0.25">
      <c r="A12" t="s">
        <v>9</v>
      </c>
      <c r="B12" t="s">
        <v>57</v>
      </c>
      <c r="C12">
        <f>VLOOKUP(D1_ABRIL_2025[[#This Row],[SUPER]],DATA_ABRIL_2025[[SUPERVISOR]:[META]],3,0)</f>
        <v>57000</v>
      </c>
      <c r="D12">
        <f>D1_ABRIL_2025[[#This Row],[RECUPERO]]/D1_ABRIL_2025[[#This Row],[META]]</f>
        <v>0.3453684210526316</v>
      </c>
      <c r="E12" t="s">
        <v>9</v>
      </c>
      <c r="F12" t="s">
        <v>57</v>
      </c>
      <c r="G12">
        <v>19686</v>
      </c>
      <c r="H12" t="s">
        <v>443</v>
      </c>
      <c r="I12" s="56">
        <v>45590</v>
      </c>
      <c r="J12" t="s">
        <v>501</v>
      </c>
      <c r="L12" s="56"/>
      <c r="M12" s="1">
        <f>DATA_ABRIL_2025[[#This Row],[RECUPERO]]/DATA_ABRIL_2025[[#This Row],[META]]</f>
        <v>0.33740350877192982</v>
      </c>
      <c r="N12" t="str" cm="1">
        <f t="array" ref="N12">IF(DATA_ABRIL_2025[[#This Row],[ASER_]]="","",IFERROR(_xlfn.IFS(M12&gt;=100%,"&gt;100%",AND(M12&lt;100%,M12&gt;=70%),"&gt;70%",AND(M12&lt;70%,M12&gt;=40%),"&gt;40%",AND(M12&lt;40%,M12&gt;=0%),"&gt;0%"),""))</f>
        <v>&gt;0%</v>
      </c>
      <c r="O12" t="s">
        <v>3</v>
      </c>
      <c r="P12">
        <f>SUM(DATA_ABRIL_2025[[#This Row],[1]:[31]])</f>
        <v>19232</v>
      </c>
      <c r="Q12">
        <v>57000</v>
      </c>
      <c r="R12" t="s">
        <v>109</v>
      </c>
      <c r="AG12">
        <v>770</v>
      </c>
      <c r="AM12">
        <v>362</v>
      </c>
      <c r="AN12">
        <v>3100</v>
      </c>
      <c r="AQ12">
        <v>8000</v>
      </c>
      <c r="AV12">
        <v>7000</v>
      </c>
      <c r="AX12" t="s">
        <v>150</v>
      </c>
      <c r="AZ12">
        <v>437325</v>
      </c>
      <c r="BA12" s="11">
        <f>MAX(DITE_ABRIL_2025[[#This Row],[1]:[31]])</f>
        <v>321643.17000000004</v>
      </c>
      <c r="BB12" s="17">
        <f>BA12/DITE_ABRIL_2025[[#This Row],[META SUPER]]</f>
        <v>0.73547858000343003</v>
      </c>
      <c r="BC12" t="s">
        <v>5</v>
      </c>
      <c r="BD12">
        <v>2662</v>
      </c>
      <c r="BE12">
        <v>6315</v>
      </c>
      <c r="BF12">
        <v>11590</v>
      </c>
      <c r="BG12">
        <v>20690</v>
      </c>
      <c r="BH12">
        <v>20690</v>
      </c>
      <c r="BI12">
        <v>21340</v>
      </c>
      <c r="BJ12">
        <v>26785</v>
      </c>
      <c r="BK12">
        <v>28863</v>
      </c>
      <c r="BL12">
        <v>39863</v>
      </c>
      <c r="BM12">
        <v>64560</v>
      </c>
      <c r="BN12">
        <v>96735</v>
      </c>
      <c r="BO12">
        <v>107335</v>
      </c>
      <c r="BP12">
        <v>107344.97</v>
      </c>
      <c r="BQ12">
        <v>127528.97</v>
      </c>
      <c r="BR12">
        <v>131431.97</v>
      </c>
      <c r="BS12">
        <v>149084.97</v>
      </c>
      <c r="BT12">
        <v>149084.97</v>
      </c>
      <c r="BU12">
        <v>149379.97</v>
      </c>
      <c r="BV12">
        <v>149379.97</v>
      </c>
      <c r="BW12">
        <v>149379.97</v>
      </c>
      <c r="BX12">
        <v>164305.17000000001</v>
      </c>
      <c r="BY12">
        <v>178243.17</v>
      </c>
      <c r="BZ12">
        <v>189050.17</v>
      </c>
      <c r="CA12">
        <v>197600.17</v>
      </c>
      <c r="CB12">
        <v>228530.17</v>
      </c>
      <c r="CC12">
        <v>232320.17</v>
      </c>
      <c r="CD12">
        <v>232320.17</v>
      </c>
      <c r="CE12">
        <v>247429.17</v>
      </c>
      <c r="CF12">
        <v>285865.17000000004</v>
      </c>
      <c r="CG12">
        <v>321643.17000000004</v>
      </c>
      <c r="CH12">
        <v>321643.17000000004</v>
      </c>
      <c r="CI12" s="11" t="s">
        <v>150</v>
      </c>
    </row>
    <row r="13" spans="1:87" x14ac:dyDescent="0.25">
      <c r="A13" t="s">
        <v>9</v>
      </c>
      <c r="B13" t="s">
        <v>65</v>
      </c>
      <c r="C13">
        <f>VLOOKUP(D1_ABRIL_2025[[#This Row],[SUPER]],DATA_ABRIL_2025[[SUPERVISOR]:[META]],3,0)</f>
        <v>57000</v>
      </c>
      <c r="D13">
        <f>D1_ABRIL_2025[[#This Row],[RECUPERO]]/D1_ABRIL_2025[[#This Row],[META]]</f>
        <v>0.31111403508771929</v>
      </c>
      <c r="E13" t="s">
        <v>9</v>
      </c>
      <c r="F13" t="s">
        <v>65</v>
      </c>
      <c r="G13">
        <v>17733.5</v>
      </c>
      <c r="H13" t="s">
        <v>438</v>
      </c>
      <c r="I13" s="56">
        <v>45021</v>
      </c>
      <c r="J13" t="s">
        <v>501</v>
      </c>
      <c r="L13" s="56"/>
      <c r="M13" s="1">
        <f>DATA_ABRIL_2025[[#This Row],[RECUPERO]]/DATA_ABRIL_2025[[#This Row],[META]]</f>
        <v>0.86068292682926828</v>
      </c>
      <c r="N13" t="str" cm="1">
        <f t="array" ref="N13">IF(DATA_ABRIL_2025[[#This Row],[ASER_]]="","",IFERROR(_xlfn.IFS(M13&gt;=100%,"&gt;100%",AND(M13&lt;100%,M13&gt;=70%),"&gt;70%",AND(M13&lt;70%,M13&gt;=40%),"&gt;40%",AND(M13&lt;40%,M13&gt;=0%),"&gt;0%"),""))</f>
        <v>&gt;70%</v>
      </c>
      <c r="O13" t="s">
        <v>125</v>
      </c>
      <c r="P13">
        <f>SUM(DATA_ABRIL_2025[[#This Row],[1]:[31]])</f>
        <v>17644</v>
      </c>
      <c r="Q13">
        <v>20500</v>
      </c>
      <c r="R13" t="s">
        <v>15</v>
      </c>
      <c r="S13">
        <v>1000</v>
      </c>
      <c r="Y13">
        <v>8000</v>
      </c>
      <c r="AA13">
        <v>950</v>
      </c>
      <c r="AB13">
        <v>550</v>
      </c>
      <c r="AF13">
        <v>497</v>
      </c>
      <c r="AG13">
        <v>500</v>
      </c>
      <c r="AM13">
        <v>1650</v>
      </c>
      <c r="AN13">
        <v>200</v>
      </c>
      <c r="AO13">
        <v>200</v>
      </c>
      <c r="AP13">
        <v>500</v>
      </c>
      <c r="AT13">
        <v>450</v>
      </c>
      <c r="AU13">
        <v>2847</v>
      </c>
      <c r="AV13">
        <v>300</v>
      </c>
      <c r="AX13" t="s">
        <v>153</v>
      </c>
      <c r="AZ13">
        <v>437325</v>
      </c>
      <c r="BA13" s="11">
        <f>MAX(DITE_ABRIL_2025[[#This Row],[1]:[31]])</f>
        <v>284381.75</v>
      </c>
      <c r="BB13" s="17">
        <f>BA13/DITE_ABRIL_2025[[#This Row],[META SUPER]]</f>
        <v>0.65027553878694333</v>
      </c>
      <c r="BC13" t="s">
        <v>2</v>
      </c>
      <c r="BD13">
        <v>3370</v>
      </c>
      <c r="BE13">
        <v>17470</v>
      </c>
      <c r="BF13">
        <v>25291</v>
      </c>
      <c r="BG13">
        <v>30709</v>
      </c>
      <c r="BH13">
        <v>32571</v>
      </c>
      <c r="BI13">
        <v>32571</v>
      </c>
      <c r="BJ13">
        <v>47594</v>
      </c>
      <c r="BK13">
        <v>85094</v>
      </c>
      <c r="BL13">
        <v>104099</v>
      </c>
      <c r="BM13">
        <v>122199</v>
      </c>
      <c r="BN13">
        <v>124299</v>
      </c>
      <c r="BO13">
        <v>125599</v>
      </c>
      <c r="BP13">
        <v>125599</v>
      </c>
      <c r="BQ13">
        <v>136098</v>
      </c>
      <c r="BR13">
        <v>143598</v>
      </c>
      <c r="BS13">
        <v>163590</v>
      </c>
      <c r="BT13">
        <v>164390</v>
      </c>
      <c r="BU13">
        <v>165590</v>
      </c>
      <c r="BV13">
        <v>165923</v>
      </c>
      <c r="BW13">
        <v>165923</v>
      </c>
      <c r="BX13">
        <v>178941</v>
      </c>
      <c r="BY13">
        <v>185907</v>
      </c>
      <c r="BZ13">
        <v>192557</v>
      </c>
      <c r="CA13">
        <v>197930</v>
      </c>
      <c r="CB13">
        <v>214749.75</v>
      </c>
      <c r="CC13">
        <v>218749.75</v>
      </c>
      <c r="CD13">
        <v>218749.75</v>
      </c>
      <c r="CE13">
        <v>235152.75</v>
      </c>
      <c r="CF13">
        <v>256611.75</v>
      </c>
      <c r="CG13">
        <v>284381.75</v>
      </c>
      <c r="CH13">
        <v>284381.75</v>
      </c>
      <c r="CI13" s="11" t="s">
        <v>150</v>
      </c>
    </row>
    <row r="14" spans="1:87" x14ac:dyDescent="0.25">
      <c r="A14" t="s">
        <v>9</v>
      </c>
      <c r="B14" t="s">
        <v>75</v>
      </c>
      <c r="C14">
        <f>VLOOKUP(D1_ABRIL_2025[[#This Row],[SUPER]],DATA_ABRIL_2025[[SUPERVISOR]:[META]],3,0)</f>
        <v>57000</v>
      </c>
      <c r="D14">
        <f>D1_ABRIL_2025[[#This Row],[RECUPERO]]/D1_ABRIL_2025[[#This Row],[META]]</f>
        <v>1.6714210526315789</v>
      </c>
      <c r="E14" t="s">
        <v>9</v>
      </c>
      <c r="F14" t="s">
        <v>75</v>
      </c>
      <c r="G14">
        <v>95271</v>
      </c>
      <c r="H14" t="s">
        <v>428</v>
      </c>
      <c r="I14" s="56">
        <v>44716</v>
      </c>
      <c r="J14" t="s">
        <v>501</v>
      </c>
      <c r="L14" s="56"/>
      <c r="M14" s="1">
        <f>DATA_ABRIL_2025[[#This Row],[RECUPERO]]/DATA_ABRIL_2025[[#This Row],[META]]</f>
        <v>0.46071929824561403</v>
      </c>
      <c r="N14" t="str" cm="1">
        <f t="array" ref="N14">IF(DATA_ABRIL_2025[[#This Row],[ASER_]]="","",IFERROR(_xlfn.IFS(M14&gt;=100%,"&gt;100%",AND(M14&lt;100%,M14&gt;=70%),"&gt;70%",AND(M14&lt;70%,M14&gt;=40%),"&gt;40%",AND(M14&lt;40%,M14&gt;=0%),"&gt;0%"),""))</f>
        <v>&gt;40%</v>
      </c>
      <c r="O14" t="s">
        <v>5</v>
      </c>
      <c r="P14">
        <f>SUM(DATA_ABRIL_2025[[#This Row],[1]:[31]])</f>
        <v>26261</v>
      </c>
      <c r="Q14">
        <v>57000</v>
      </c>
      <c r="R14" t="s">
        <v>85</v>
      </c>
      <c r="S14">
        <v>635</v>
      </c>
      <c r="X14">
        <v>650</v>
      </c>
      <c r="Y14">
        <v>440</v>
      </c>
      <c r="AC14">
        <v>15000</v>
      </c>
      <c r="AF14">
        <v>265</v>
      </c>
      <c r="AG14">
        <v>282</v>
      </c>
      <c r="AH14">
        <v>600</v>
      </c>
      <c r="AM14">
        <v>2600</v>
      </c>
      <c r="AN14">
        <v>1313</v>
      </c>
      <c r="AR14">
        <v>1280</v>
      </c>
      <c r="AT14">
        <v>982</v>
      </c>
      <c r="AU14">
        <v>530</v>
      </c>
      <c r="AV14">
        <v>1684</v>
      </c>
      <c r="AX14" t="s">
        <v>150</v>
      </c>
      <c r="AZ14">
        <v>257600</v>
      </c>
      <c r="BA14" s="11">
        <f>MAX(DITE_ABRIL_2025[[#This Row],[1]:[31]])</f>
        <v>128873.11</v>
      </c>
      <c r="BB14" s="17">
        <f>BA14/DITE_ABRIL_2025[[#This Row],[META SUPER]]</f>
        <v>0.50028381211180128</v>
      </c>
      <c r="BC14" t="s">
        <v>6</v>
      </c>
      <c r="BD14">
        <v>600</v>
      </c>
      <c r="BE14">
        <v>5500</v>
      </c>
      <c r="BF14">
        <v>6220</v>
      </c>
      <c r="BG14">
        <v>7586</v>
      </c>
      <c r="BH14">
        <v>8586</v>
      </c>
      <c r="BI14">
        <v>8586</v>
      </c>
      <c r="BJ14">
        <v>11868</v>
      </c>
      <c r="BK14">
        <v>20541</v>
      </c>
      <c r="BL14">
        <v>20728</v>
      </c>
      <c r="BM14">
        <v>29833</v>
      </c>
      <c r="BN14">
        <v>36523</v>
      </c>
      <c r="BO14">
        <v>36523</v>
      </c>
      <c r="BP14">
        <v>36923</v>
      </c>
      <c r="BQ14">
        <v>44249</v>
      </c>
      <c r="BR14">
        <v>51318</v>
      </c>
      <c r="BS14">
        <v>72129.11</v>
      </c>
      <c r="BT14">
        <v>72129.11</v>
      </c>
      <c r="BU14">
        <v>72379.11</v>
      </c>
      <c r="BV14">
        <v>72379.11</v>
      </c>
      <c r="BW14">
        <v>72379.11</v>
      </c>
      <c r="BX14">
        <v>88079.11</v>
      </c>
      <c r="BY14">
        <v>93780.11</v>
      </c>
      <c r="BZ14">
        <v>94230.11</v>
      </c>
      <c r="CA14">
        <v>99170.11</v>
      </c>
      <c r="CB14">
        <v>99295.11</v>
      </c>
      <c r="CC14">
        <v>99795.11</v>
      </c>
      <c r="CD14">
        <v>99795.11</v>
      </c>
      <c r="CE14">
        <v>109425.11</v>
      </c>
      <c r="CF14">
        <v>120175.11</v>
      </c>
      <c r="CG14">
        <v>128873.11</v>
      </c>
      <c r="CH14">
        <v>128873.11</v>
      </c>
      <c r="CI14" s="11" t="s">
        <v>152</v>
      </c>
    </row>
    <row r="15" spans="1:87" x14ac:dyDescent="0.25">
      <c r="A15" t="s">
        <v>9</v>
      </c>
      <c r="B15" t="s">
        <v>62</v>
      </c>
      <c r="C15">
        <f>VLOOKUP(D1_ABRIL_2025[[#This Row],[SUPER]],DATA_ABRIL_2025[[SUPERVISOR]:[META]],3,0)</f>
        <v>57000</v>
      </c>
      <c r="D15">
        <f>D1_ABRIL_2025[[#This Row],[RECUPERO]]/D1_ABRIL_2025[[#This Row],[META]]</f>
        <v>0.52330508771929829</v>
      </c>
      <c r="E15" t="s">
        <v>9</v>
      </c>
      <c r="F15" t="s">
        <v>62</v>
      </c>
      <c r="G15">
        <v>29828.39</v>
      </c>
      <c r="H15" t="s">
        <v>386</v>
      </c>
      <c r="I15" s="56">
        <v>45334</v>
      </c>
      <c r="J15" t="s">
        <v>501</v>
      </c>
      <c r="L15" s="56"/>
      <c r="M15" s="1">
        <f>DATA_ABRIL_2025[[#This Row],[RECUPERO]]/DATA_ABRIL_2025[[#This Row],[META]]</f>
        <v>0.99017894736842105</v>
      </c>
      <c r="N15" t="str" cm="1">
        <f t="array" ref="N15">IF(DATA_ABRIL_2025[[#This Row],[ASER_]]="","",IFERROR(_xlfn.IFS(M15&gt;=100%,"&gt;100%",AND(M15&lt;100%,M15&gt;=70%),"&gt;70%",AND(M15&lt;70%,M15&gt;=40%),"&gt;40%",AND(M15&lt;40%,M15&gt;=0%),"&gt;0%"),""))</f>
        <v>&gt;70%</v>
      </c>
      <c r="O15" t="s">
        <v>5</v>
      </c>
      <c r="P15">
        <f>SUM(DATA_ABRIL_2025[[#This Row],[1]:[31]])</f>
        <v>56440.2</v>
      </c>
      <c r="Q15">
        <v>57000</v>
      </c>
      <c r="R15" t="s">
        <v>67</v>
      </c>
      <c r="U15">
        <v>2935</v>
      </c>
      <c r="V15">
        <v>600</v>
      </c>
      <c r="Z15">
        <v>686</v>
      </c>
      <c r="AB15">
        <v>1624</v>
      </c>
      <c r="AC15">
        <v>1000</v>
      </c>
      <c r="AD15">
        <v>600</v>
      </c>
      <c r="AF15">
        <v>1200</v>
      </c>
      <c r="AH15">
        <v>290</v>
      </c>
      <c r="AM15">
        <v>8625.2000000000007</v>
      </c>
      <c r="AP15">
        <v>5200</v>
      </c>
      <c r="AQ15">
        <v>4600</v>
      </c>
      <c r="AR15">
        <v>2510</v>
      </c>
      <c r="AT15">
        <v>600</v>
      </c>
      <c r="AU15">
        <v>15500</v>
      </c>
      <c r="AV15">
        <v>10470</v>
      </c>
      <c r="AX15" t="s">
        <v>150</v>
      </c>
      <c r="AZ15">
        <v>437325</v>
      </c>
      <c r="BA15" s="11">
        <f>MAX(DITE_ABRIL_2025[[#This Row],[1]:[31]])</f>
        <v>313221.33999999997</v>
      </c>
      <c r="BB15" s="17">
        <f>BA15/DITE_ABRIL_2025[[#This Row],[META SUPER]]</f>
        <v>0.71622097982049959</v>
      </c>
      <c r="BC15" t="s">
        <v>9</v>
      </c>
      <c r="BD15">
        <v>4177</v>
      </c>
      <c r="BE15">
        <v>13216.939999999999</v>
      </c>
      <c r="BF15">
        <v>101074.94</v>
      </c>
      <c r="BG15">
        <v>102880.44</v>
      </c>
      <c r="BH15">
        <v>102880.44</v>
      </c>
      <c r="BI15">
        <v>103610.44</v>
      </c>
      <c r="BJ15">
        <v>105742.44</v>
      </c>
      <c r="BK15">
        <v>119542.44</v>
      </c>
      <c r="BL15">
        <v>120645.44</v>
      </c>
      <c r="BM15">
        <v>123623.44</v>
      </c>
      <c r="BN15">
        <v>134623.44</v>
      </c>
      <c r="BO15">
        <v>134623.44</v>
      </c>
      <c r="BP15">
        <v>134623.44</v>
      </c>
      <c r="BQ15">
        <v>137858.44</v>
      </c>
      <c r="BR15">
        <v>158848.85999999999</v>
      </c>
      <c r="BS15">
        <v>193847.33999999997</v>
      </c>
      <c r="BT15">
        <v>194847.33999999997</v>
      </c>
      <c r="BU15">
        <v>196347.33999999997</v>
      </c>
      <c r="BV15">
        <v>196807.33999999997</v>
      </c>
      <c r="BW15">
        <v>196807.33999999997</v>
      </c>
      <c r="BX15">
        <v>222248.33999999997</v>
      </c>
      <c r="BY15">
        <v>226948.33999999997</v>
      </c>
      <c r="BZ15">
        <v>235021.33999999997</v>
      </c>
      <c r="CA15">
        <v>239641.33999999997</v>
      </c>
      <c r="CB15">
        <v>245212.33999999997</v>
      </c>
      <c r="CC15">
        <v>246462.33999999997</v>
      </c>
      <c r="CD15">
        <v>246862.33999999997</v>
      </c>
      <c r="CE15">
        <v>264312.33999999997</v>
      </c>
      <c r="CF15">
        <v>287559.33999999997</v>
      </c>
      <c r="CG15">
        <v>313221.33999999997</v>
      </c>
      <c r="CH15">
        <v>313221.33999999997</v>
      </c>
      <c r="CI15" s="11" t="s">
        <v>150</v>
      </c>
    </row>
    <row r="16" spans="1:87" x14ac:dyDescent="0.25">
      <c r="A16" t="s">
        <v>9</v>
      </c>
      <c r="B16" t="s">
        <v>64</v>
      </c>
      <c r="C16">
        <f>VLOOKUP(D1_ABRIL_2025[[#This Row],[SUPER]],DATA_ABRIL_2025[[SUPERVISOR]:[META]],3,0)</f>
        <v>57000</v>
      </c>
      <c r="D16">
        <f>D1_ABRIL_2025[[#This Row],[RECUPERO]]/D1_ABRIL_2025[[#This Row],[META]]</f>
        <v>1.0634612280701754</v>
      </c>
      <c r="E16" t="s">
        <v>9</v>
      </c>
      <c r="F16" t="s">
        <v>64</v>
      </c>
      <c r="G16">
        <v>60617.29</v>
      </c>
      <c r="H16" t="s">
        <v>455</v>
      </c>
      <c r="I16" s="56">
        <v>45700</v>
      </c>
      <c r="J16" t="s">
        <v>501</v>
      </c>
      <c r="L16" s="56"/>
      <c r="M16" s="1">
        <f>DATA_ABRIL_2025[[#This Row],[RECUPERO]]/DATA_ABRIL_2025[[#This Row],[META]]</f>
        <v>0.32687804878048782</v>
      </c>
      <c r="N16" t="str" cm="1">
        <f t="array" ref="N16">IF(DATA_ABRIL_2025[[#This Row],[ASER_]]="","",IFERROR(_xlfn.IFS(M16&gt;=100%,"&gt;100%",AND(M16&lt;100%,M16&gt;=70%),"&gt;70%",AND(M16&lt;70%,M16&gt;=40%),"&gt;40%",AND(M16&lt;40%,M16&gt;=0%),"&gt;0%"),""))</f>
        <v>&gt;0%</v>
      </c>
      <c r="O16" t="s">
        <v>8</v>
      </c>
      <c r="P16">
        <f>SUM(DATA_ABRIL_2025[[#This Row],[1]:[31]])</f>
        <v>6701</v>
      </c>
      <c r="Q16">
        <v>20500</v>
      </c>
      <c r="R16" t="s">
        <v>14</v>
      </c>
      <c r="S16">
        <v>400</v>
      </c>
      <c r="T16">
        <v>550</v>
      </c>
      <c r="V16">
        <v>150</v>
      </c>
      <c r="Y16">
        <v>100</v>
      </c>
      <c r="AA16">
        <v>572</v>
      </c>
      <c r="AB16">
        <v>200</v>
      </c>
      <c r="AG16">
        <v>200</v>
      </c>
      <c r="AH16">
        <v>440</v>
      </c>
      <c r="AL16">
        <v>200</v>
      </c>
      <c r="AM16">
        <v>581</v>
      </c>
      <c r="AO16">
        <v>290</v>
      </c>
      <c r="AP16">
        <v>300</v>
      </c>
      <c r="AR16">
        <v>600</v>
      </c>
      <c r="AT16">
        <v>1138</v>
      </c>
      <c r="AU16">
        <v>150</v>
      </c>
      <c r="AV16">
        <v>830</v>
      </c>
      <c r="AX16" t="s">
        <v>153</v>
      </c>
      <c r="AZ16">
        <v>437325</v>
      </c>
      <c r="BA16" s="11">
        <f>MAX(DITE_ABRIL_2025[[#This Row],[1]:[31]])</f>
        <v>366419.38</v>
      </c>
      <c r="BB16" s="17">
        <f>BA16/DITE_ABRIL_2025[[#This Row],[META SUPER]]</f>
        <v>0.83786515749156809</v>
      </c>
      <c r="BC16" t="s">
        <v>3</v>
      </c>
      <c r="BD16">
        <v>21922</v>
      </c>
      <c r="BE16">
        <v>33012</v>
      </c>
      <c r="BF16">
        <v>37222</v>
      </c>
      <c r="BG16">
        <v>46052</v>
      </c>
      <c r="BH16">
        <v>46581</v>
      </c>
      <c r="BI16">
        <v>46581</v>
      </c>
      <c r="BJ16">
        <v>54059</v>
      </c>
      <c r="BK16">
        <v>56834</v>
      </c>
      <c r="BL16">
        <v>69134</v>
      </c>
      <c r="BM16">
        <v>84637</v>
      </c>
      <c r="BN16">
        <v>93776.7</v>
      </c>
      <c r="BO16">
        <v>112383.7</v>
      </c>
      <c r="BP16">
        <v>112383.7</v>
      </c>
      <c r="BQ16">
        <v>117283.7</v>
      </c>
      <c r="BR16">
        <v>144358.70000000001</v>
      </c>
      <c r="BS16">
        <v>153778.70000000001</v>
      </c>
      <c r="BT16">
        <v>153778.70000000001</v>
      </c>
      <c r="BU16">
        <v>153778.70000000001</v>
      </c>
      <c r="BV16">
        <v>155778.70000000001</v>
      </c>
      <c r="BW16">
        <v>155778.70000000001</v>
      </c>
      <c r="BX16">
        <v>170110.7</v>
      </c>
      <c r="BY16">
        <v>191052.7</v>
      </c>
      <c r="BZ16">
        <v>211032.7</v>
      </c>
      <c r="CA16">
        <v>218850.7</v>
      </c>
      <c r="CB16">
        <v>239709.28000000003</v>
      </c>
      <c r="CC16">
        <v>242638.28000000003</v>
      </c>
      <c r="CD16">
        <v>243062.28000000003</v>
      </c>
      <c r="CE16">
        <v>254705.28000000003</v>
      </c>
      <c r="CF16">
        <v>295212.28000000003</v>
      </c>
      <c r="CG16">
        <v>366419.38</v>
      </c>
      <c r="CH16">
        <v>366419.38</v>
      </c>
      <c r="CI16" s="11" t="s">
        <v>150</v>
      </c>
    </row>
    <row r="17" spans="1:50" x14ac:dyDescent="0.25">
      <c r="A17" t="s">
        <v>9</v>
      </c>
      <c r="B17" t="s">
        <v>59</v>
      </c>
      <c r="C17">
        <f>VLOOKUP(D1_ABRIL_2025[[#This Row],[SUPER]],DATA_ABRIL_2025[[SUPERVISOR]:[META]],3,0)</f>
        <v>57000</v>
      </c>
      <c r="D17">
        <f>D1_ABRIL_2025[[#This Row],[RECUPERO]]/D1_ABRIL_2025[[#This Row],[META]]</f>
        <v>0.79937982456140355</v>
      </c>
      <c r="E17" t="s">
        <v>9</v>
      </c>
      <c r="F17" t="s">
        <v>59</v>
      </c>
      <c r="G17">
        <v>45564.65</v>
      </c>
      <c r="H17" t="s">
        <v>430</v>
      </c>
      <c r="I17" s="56">
        <v>45348</v>
      </c>
      <c r="J17" t="s">
        <v>501</v>
      </c>
      <c r="L17" s="56"/>
      <c r="M17" s="1">
        <f>DATA_ABRIL_2025[[#This Row],[RECUPERO]]/DATA_ABRIL_2025[[#This Row],[META]]</f>
        <v>0.29565853658536584</v>
      </c>
      <c r="N17" t="str" cm="1">
        <f t="array" ref="N17">IF(DATA_ABRIL_2025[[#This Row],[ASER_]]="","",IFERROR(_xlfn.IFS(M17&gt;=100%,"&gt;100%",AND(M17&lt;100%,M17&gt;=70%),"&gt;70%",AND(M17&lt;70%,M17&gt;=40%),"&gt;40%",AND(M17&lt;40%,M17&gt;=0%),"&gt;0%"),""))</f>
        <v>&gt;0%</v>
      </c>
      <c r="O17" t="s">
        <v>125</v>
      </c>
      <c r="P17">
        <f>SUM(DATA_ABRIL_2025[[#This Row],[1]:[31]])</f>
        <v>6061</v>
      </c>
      <c r="Q17">
        <v>20500</v>
      </c>
      <c r="R17" t="s">
        <v>104</v>
      </c>
      <c r="U17">
        <v>750</v>
      </c>
      <c r="Y17">
        <v>730</v>
      </c>
      <c r="AA17">
        <v>2800</v>
      </c>
      <c r="AC17">
        <v>200</v>
      </c>
      <c r="AH17">
        <v>280</v>
      </c>
      <c r="AN17">
        <v>350</v>
      </c>
      <c r="AQ17">
        <v>181</v>
      </c>
      <c r="AU17">
        <v>420</v>
      </c>
      <c r="AV17">
        <v>350</v>
      </c>
      <c r="AX17" t="s">
        <v>153</v>
      </c>
    </row>
    <row r="18" spans="1:50" x14ac:dyDescent="0.25">
      <c r="A18" t="s">
        <v>9</v>
      </c>
      <c r="B18" t="s">
        <v>63</v>
      </c>
      <c r="C18">
        <f>VLOOKUP(D1_ABRIL_2025[[#This Row],[SUPER]],DATA_ABRIL_2025[[SUPERVISOR]:[META]],3,0)</f>
        <v>57000</v>
      </c>
      <c r="D18">
        <f>D1_ABRIL_2025[[#This Row],[RECUPERO]]/D1_ABRIL_2025[[#This Row],[META]]</f>
        <v>0.27421052631578946</v>
      </c>
      <c r="E18" t="s">
        <v>9</v>
      </c>
      <c r="F18" t="s">
        <v>63</v>
      </c>
      <c r="G18">
        <v>15630</v>
      </c>
      <c r="H18" t="s">
        <v>447</v>
      </c>
      <c r="I18" s="56">
        <v>45316</v>
      </c>
      <c r="J18" t="s">
        <v>501</v>
      </c>
      <c r="L18" s="56"/>
      <c r="M18" s="1">
        <f>DATA_ABRIL_2025[[#This Row],[RECUPERO]]/DATA_ABRIL_2025[[#This Row],[META]]</f>
        <v>0.33964912280701753</v>
      </c>
      <c r="N18" t="str" cm="1">
        <f t="array" ref="N18">IF(DATA_ABRIL_2025[[#This Row],[ASER_]]="","",IFERROR(_xlfn.IFS(M18&gt;=100%,"&gt;100%",AND(M18&lt;100%,M18&gt;=70%),"&gt;70%",AND(M18&lt;70%,M18&gt;=40%),"&gt;40%",AND(M18&lt;40%,M18&gt;=0%),"&gt;0%"),""))</f>
        <v>&gt;0%</v>
      </c>
      <c r="O18" t="s">
        <v>3</v>
      </c>
      <c r="P18">
        <f>SUM(DATA_ABRIL_2025[[#This Row],[1]:[31]])</f>
        <v>19360</v>
      </c>
      <c r="Q18">
        <v>57000</v>
      </c>
      <c r="R18" t="s">
        <v>53</v>
      </c>
      <c r="T18">
        <v>1370</v>
      </c>
      <c r="AG18">
        <v>5600</v>
      </c>
      <c r="AM18">
        <v>1190</v>
      </c>
      <c r="AT18">
        <v>1200</v>
      </c>
      <c r="AU18">
        <v>10000</v>
      </c>
      <c r="AX18" t="s">
        <v>150</v>
      </c>
    </row>
    <row r="19" spans="1:50" x14ac:dyDescent="0.25">
      <c r="A19" t="s">
        <v>2</v>
      </c>
      <c r="B19" t="s">
        <v>12</v>
      </c>
      <c r="C19">
        <f>VLOOKUP(D1_ABRIL_2025[[#This Row],[SUPER]],DATA_ABRIL_2025[[SUPERVISOR]:[META]],3,0)</f>
        <v>57000</v>
      </c>
      <c r="D19">
        <f>D1_ABRIL_2025[[#This Row],[RECUPERO]]/D1_ABRIL_2025[[#This Row],[META]]</f>
        <v>0.6333333333333333</v>
      </c>
      <c r="E19" t="s">
        <v>2</v>
      </c>
      <c r="F19" t="s">
        <v>12</v>
      </c>
      <c r="G19">
        <v>36100</v>
      </c>
      <c r="H19" t="s">
        <v>389</v>
      </c>
      <c r="I19" s="56">
        <v>44870</v>
      </c>
      <c r="J19" t="s">
        <v>501</v>
      </c>
      <c r="L19" s="56"/>
      <c r="M19" s="1">
        <f>DATA_ABRIL_2025[[#This Row],[RECUPERO]]/DATA_ABRIL_2025[[#This Row],[META]]</f>
        <v>0.14487804878048779</v>
      </c>
      <c r="N19" t="str" cm="1">
        <f t="array" ref="N19">IF(DATA_ABRIL_2025[[#This Row],[ASER_]]="","",IFERROR(_xlfn.IFS(M19&gt;=100%,"&gt;100%",AND(M19&lt;100%,M19&gt;=70%),"&gt;70%",AND(M19&lt;70%,M19&gt;=40%),"&gt;40%",AND(M19&lt;40%,M19&gt;=0%),"&gt;0%"),""))</f>
        <v>&gt;0%</v>
      </c>
      <c r="O19" t="s">
        <v>125</v>
      </c>
      <c r="P19">
        <f>SUM(DATA_ABRIL_2025[[#This Row],[1]:[31]])</f>
        <v>2970</v>
      </c>
      <c r="Q19">
        <v>20500</v>
      </c>
      <c r="R19" t="s">
        <v>41</v>
      </c>
      <c r="S19">
        <v>450</v>
      </c>
      <c r="T19">
        <v>450</v>
      </c>
      <c r="AA19">
        <v>500</v>
      </c>
      <c r="AF19">
        <v>320</v>
      </c>
      <c r="AJ19">
        <v>150</v>
      </c>
      <c r="AM19">
        <v>350</v>
      </c>
      <c r="AT19">
        <v>350</v>
      </c>
      <c r="AU19">
        <v>150</v>
      </c>
      <c r="AV19">
        <v>250</v>
      </c>
      <c r="AX19" t="s">
        <v>153</v>
      </c>
    </row>
    <row r="20" spans="1:50" x14ac:dyDescent="0.25">
      <c r="A20" t="s">
        <v>2</v>
      </c>
      <c r="B20" t="s">
        <v>13</v>
      </c>
      <c r="C20">
        <f>VLOOKUP(D1_ABRIL_2025[[#This Row],[SUPER]],DATA_ABRIL_2025[[SUPERVISOR]:[META]],3,0)</f>
        <v>57000</v>
      </c>
      <c r="D20">
        <f>D1_ABRIL_2025[[#This Row],[RECUPERO]]/D1_ABRIL_2025[[#This Row],[META]]</f>
        <v>0.43447368421052629</v>
      </c>
      <c r="E20" t="s">
        <v>2</v>
      </c>
      <c r="F20" t="s">
        <v>13</v>
      </c>
      <c r="G20">
        <v>24765</v>
      </c>
      <c r="H20" t="s">
        <v>382</v>
      </c>
      <c r="I20" s="56">
        <v>44811</v>
      </c>
      <c r="J20" t="s">
        <v>501</v>
      </c>
      <c r="L20" s="56"/>
      <c r="M20" s="1">
        <f>DATA_ABRIL_2025[[#This Row],[RECUPERO]]/DATA_ABRIL_2025[[#This Row],[META]]</f>
        <v>1.0503170731707316</v>
      </c>
      <c r="N20" t="str" cm="1">
        <f t="array" ref="N20">IF(DATA_ABRIL_2025[[#This Row],[ASER_]]="","",IFERROR(_xlfn.IFS(M20&gt;=100%,"&gt;100%",AND(M20&lt;100%,M20&gt;=70%),"&gt;70%",AND(M20&lt;70%,M20&gt;=40%),"&gt;40%",AND(M20&lt;40%,M20&gt;=0%),"&gt;0%"),""))</f>
        <v>&gt;100%</v>
      </c>
      <c r="O20" t="s">
        <v>124</v>
      </c>
      <c r="P20">
        <f>SUM(DATA_ABRIL_2025[[#This Row],[1]:[31]])</f>
        <v>21531.5</v>
      </c>
      <c r="Q20">
        <v>20500</v>
      </c>
      <c r="R20" t="s">
        <v>61</v>
      </c>
      <c r="S20">
        <v>1400</v>
      </c>
      <c r="T20">
        <v>1000</v>
      </c>
      <c r="V20">
        <v>221</v>
      </c>
      <c r="Y20">
        <v>321</v>
      </c>
      <c r="AB20">
        <v>1400</v>
      </c>
      <c r="AC20">
        <v>2700</v>
      </c>
      <c r="AF20">
        <v>1065</v>
      </c>
      <c r="AG20">
        <v>1600</v>
      </c>
      <c r="AJ20">
        <v>217</v>
      </c>
      <c r="AM20">
        <v>400</v>
      </c>
      <c r="AN20">
        <v>1643</v>
      </c>
      <c r="AP20">
        <v>600</v>
      </c>
      <c r="AS20">
        <v>200</v>
      </c>
      <c r="AT20">
        <v>352</v>
      </c>
      <c r="AU20">
        <v>6977.5</v>
      </c>
      <c r="AV20">
        <v>1435</v>
      </c>
      <c r="AX20" t="s">
        <v>153</v>
      </c>
    </row>
    <row r="21" spans="1:50" x14ac:dyDescent="0.25">
      <c r="A21" t="s">
        <v>2</v>
      </c>
      <c r="B21" t="s">
        <v>77</v>
      </c>
      <c r="C21">
        <f>VLOOKUP(D1_ABRIL_2025[[#This Row],[SUPER]],DATA_ABRIL_2025[[SUPERVISOR]:[META]],3,0)</f>
        <v>57000</v>
      </c>
      <c r="D21">
        <f>D1_ABRIL_2025[[#This Row],[RECUPERO]]/D1_ABRIL_2025[[#This Row],[META]]</f>
        <v>0.26666666666666666</v>
      </c>
      <c r="E21" t="s">
        <v>2</v>
      </c>
      <c r="F21" t="s">
        <v>77</v>
      </c>
      <c r="G21">
        <v>15200</v>
      </c>
      <c r="H21" t="s">
        <v>393</v>
      </c>
      <c r="I21" s="56">
        <v>44840</v>
      </c>
      <c r="J21" t="s">
        <v>501</v>
      </c>
      <c r="L21" s="56"/>
      <c r="M21" s="1">
        <f>DATA_ABRIL_2025[[#This Row],[RECUPERO]]/DATA_ABRIL_2025[[#This Row],[META]]</f>
        <v>0.47385365853658534</v>
      </c>
      <c r="N21" t="str" cm="1">
        <f t="array" ref="N21">IF(DATA_ABRIL_2025[[#This Row],[ASER_]]="","",IFERROR(_xlfn.IFS(M21&gt;=100%,"&gt;100%",AND(M21&lt;100%,M21&gt;=70%),"&gt;70%",AND(M21&lt;70%,M21&gt;=40%),"&gt;40%",AND(M21&lt;40%,M21&gt;=0%),"&gt;0%"),""))</f>
        <v>&gt;40%</v>
      </c>
      <c r="O21" t="s">
        <v>124</v>
      </c>
      <c r="P21">
        <f>SUM(DATA_ABRIL_2025[[#This Row],[1]:[31]])</f>
        <v>9714</v>
      </c>
      <c r="Q21">
        <v>20500</v>
      </c>
      <c r="R21" t="s">
        <v>80</v>
      </c>
      <c r="S21">
        <v>300</v>
      </c>
      <c r="V21">
        <v>1428</v>
      </c>
      <c r="X21">
        <v>305</v>
      </c>
      <c r="Y21">
        <v>1600</v>
      </c>
      <c r="AA21">
        <v>200</v>
      </c>
      <c r="AB21">
        <v>235</v>
      </c>
      <c r="AF21">
        <v>780</v>
      </c>
      <c r="AG21">
        <v>1570</v>
      </c>
      <c r="AN21">
        <v>160</v>
      </c>
      <c r="AO21">
        <v>160</v>
      </c>
      <c r="AU21">
        <v>200</v>
      </c>
      <c r="AV21">
        <v>2776</v>
      </c>
      <c r="AX21" t="s">
        <v>153</v>
      </c>
    </row>
    <row r="22" spans="1:50" x14ac:dyDescent="0.25">
      <c r="A22" t="s">
        <v>2</v>
      </c>
      <c r="B22" t="s">
        <v>29</v>
      </c>
      <c r="C22">
        <f>VLOOKUP(D1_ABRIL_2025[[#This Row],[SUPER]],DATA_ABRIL_2025[[SUPERVISOR]:[META]],3,0)</f>
        <v>57000</v>
      </c>
      <c r="D22">
        <f>D1_ABRIL_2025[[#This Row],[RECUPERO]]/D1_ABRIL_2025[[#This Row],[META]]</f>
        <v>0.6115570175438596</v>
      </c>
      <c r="E22" t="s">
        <v>2</v>
      </c>
      <c r="F22" t="s">
        <v>29</v>
      </c>
      <c r="G22">
        <v>34858.75</v>
      </c>
      <c r="H22" t="s">
        <v>416</v>
      </c>
      <c r="I22" s="56">
        <v>44687</v>
      </c>
      <c r="J22" t="s">
        <v>501</v>
      </c>
      <c r="L22" s="56"/>
      <c r="M22" s="1">
        <f>DATA_ABRIL_2025[[#This Row],[RECUPERO]]/DATA_ABRIL_2025[[#This Row],[META]]</f>
        <v>0.13846153846153847</v>
      </c>
      <c r="N22" t="str" cm="1">
        <f t="array" ref="N22">IF(DATA_ABRIL_2025[[#This Row],[ASER_]]="","",IFERROR(_xlfn.IFS(M22&gt;=100%,"&gt;100%",AND(M22&lt;100%,M22&gt;=70%),"&gt;70%",AND(M22&lt;70%,M22&gt;=40%),"&gt;40%",AND(M22&lt;40%,M22&gt;=0%),"&gt;0%"),""))</f>
        <v>&gt;0%</v>
      </c>
      <c r="O22" t="s">
        <v>6</v>
      </c>
      <c r="P22">
        <f>SUM(DATA_ABRIL_2025[[#This Row],[1]:[31]])</f>
        <v>3600</v>
      </c>
      <c r="Q22">
        <v>26000</v>
      </c>
      <c r="R22" t="s">
        <v>81</v>
      </c>
      <c r="V22">
        <v>100</v>
      </c>
      <c r="Z22">
        <v>2150</v>
      </c>
      <c r="AH22">
        <v>600</v>
      </c>
      <c r="AJ22">
        <v>250</v>
      </c>
      <c r="AN22">
        <v>500</v>
      </c>
      <c r="AX22" t="s">
        <v>152</v>
      </c>
    </row>
    <row r="23" spans="1:50" x14ac:dyDescent="0.25">
      <c r="A23" t="s">
        <v>2</v>
      </c>
      <c r="B23" t="s">
        <v>17</v>
      </c>
      <c r="C23">
        <f>VLOOKUP(D1_ABRIL_2025[[#This Row],[SUPER]],DATA_ABRIL_2025[[SUPERVISOR]:[META]],3,0)</f>
        <v>57000</v>
      </c>
      <c r="D23">
        <f>D1_ABRIL_2025[[#This Row],[RECUPERO]]/D1_ABRIL_2025[[#This Row],[META]]</f>
        <v>1.0407017543859649</v>
      </c>
      <c r="E23" t="s">
        <v>2</v>
      </c>
      <c r="F23" t="s">
        <v>17</v>
      </c>
      <c r="G23">
        <v>59320</v>
      </c>
      <c r="H23" t="s">
        <v>385</v>
      </c>
      <c r="I23" s="56">
        <v>44888</v>
      </c>
      <c r="J23" t="s">
        <v>501</v>
      </c>
      <c r="L23" s="56"/>
      <c r="M23" s="1">
        <f>DATA_ABRIL_2025[[#This Row],[RECUPERO]]/DATA_ABRIL_2025[[#This Row],[META]]</f>
        <v>0.2097560975609756</v>
      </c>
      <c r="N23" t="str" cm="1">
        <f t="array" ref="N23">IF(DATA_ABRIL_2025[[#This Row],[ASER_]]="","",IFERROR(_xlfn.IFS(M23&gt;=100%,"&gt;100%",AND(M23&lt;100%,M23&gt;=70%),"&gt;70%",AND(M23&lt;70%,M23&gt;=40%),"&gt;40%",AND(M23&lt;40%,M23&gt;=0%),"&gt;0%"),""))</f>
        <v>&gt;0%</v>
      </c>
      <c r="O23" t="s">
        <v>8</v>
      </c>
      <c r="P23">
        <f>SUM(DATA_ABRIL_2025[[#This Row],[1]:[31]])</f>
        <v>4300</v>
      </c>
      <c r="Q23">
        <v>20500</v>
      </c>
      <c r="R23" t="s">
        <v>129</v>
      </c>
      <c r="U23">
        <v>200</v>
      </c>
      <c r="AA23">
        <v>200</v>
      </c>
      <c r="AP23">
        <v>500</v>
      </c>
      <c r="AQ23">
        <v>100</v>
      </c>
      <c r="AR23">
        <v>100</v>
      </c>
      <c r="AT23">
        <v>3000</v>
      </c>
      <c r="AU23">
        <v>200</v>
      </c>
      <c r="AX23" t="s">
        <v>153</v>
      </c>
    </row>
    <row r="24" spans="1:50" x14ac:dyDescent="0.25">
      <c r="A24" t="s">
        <v>2</v>
      </c>
      <c r="B24" t="s">
        <v>11</v>
      </c>
      <c r="C24">
        <f>VLOOKUP(D1_ABRIL_2025[[#This Row],[SUPER]],DATA_ABRIL_2025[[SUPERVISOR]:[META]],3,0)</f>
        <v>57000</v>
      </c>
      <c r="D24">
        <f>D1_ABRIL_2025[[#This Row],[RECUPERO]]/D1_ABRIL_2025[[#This Row],[META]]</f>
        <v>0.33226315789473682</v>
      </c>
      <c r="E24" t="s">
        <v>2</v>
      </c>
      <c r="F24" t="s">
        <v>11</v>
      </c>
      <c r="G24">
        <v>18939</v>
      </c>
      <c r="H24" t="s">
        <v>429</v>
      </c>
      <c r="I24" s="56">
        <v>45371</v>
      </c>
      <c r="J24" t="s">
        <v>501</v>
      </c>
      <c r="L24" s="56"/>
      <c r="M24" s="1">
        <f>DATA_ABRIL_2025[[#This Row],[RECUPERO]]/DATA_ABRIL_2025[[#This Row],[META]]</f>
        <v>0.6498942105263158</v>
      </c>
      <c r="N24" t="str" cm="1">
        <f t="array" ref="N24">IF(DATA_ABRIL_2025[[#This Row],[ASER_]]="","",IFERROR(_xlfn.IFS(M24&gt;=100%,"&gt;100%",AND(M24&lt;100%,M24&gt;=70%),"&gt;70%",AND(M24&lt;70%,M24&gt;=40%),"&gt;40%",AND(M24&lt;40%,M24&gt;=0%),"&gt;0%"),""))</f>
        <v>&gt;40%</v>
      </c>
      <c r="O24" t="s">
        <v>5</v>
      </c>
      <c r="P24">
        <f>SUM(DATA_ABRIL_2025[[#This Row],[1]:[31]])</f>
        <v>37043.97</v>
      </c>
      <c r="Q24">
        <v>57000</v>
      </c>
      <c r="R24" t="s">
        <v>72</v>
      </c>
      <c r="S24">
        <v>416</v>
      </c>
      <c r="T24">
        <v>1246</v>
      </c>
      <c r="Y24">
        <v>805</v>
      </c>
      <c r="Z24">
        <v>392</v>
      </c>
      <c r="AB24">
        <v>2500</v>
      </c>
      <c r="AC24">
        <v>3500</v>
      </c>
      <c r="AE24">
        <v>9.9700000000000006</v>
      </c>
      <c r="AF24">
        <v>180</v>
      </c>
      <c r="AG24">
        <v>231</v>
      </c>
      <c r="AM24">
        <v>400</v>
      </c>
      <c r="AN24">
        <v>5235</v>
      </c>
      <c r="AO24">
        <v>2000</v>
      </c>
      <c r="AQ24">
        <v>5130</v>
      </c>
      <c r="AT24">
        <v>5000</v>
      </c>
      <c r="AU24">
        <v>7433</v>
      </c>
      <c r="AV24">
        <v>2566</v>
      </c>
      <c r="AX24" t="s">
        <v>150</v>
      </c>
    </row>
    <row r="25" spans="1:50" x14ac:dyDescent="0.25">
      <c r="A25" t="s">
        <v>2</v>
      </c>
      <c r="B25" t="s">
        <v>10</v>
      </c>
      <c r="C25">
        <f>VLOOKUP(D1_ABRIL_2025[[#This Row],[SUPER]],DATA_ABRIL_2025[[SUPERVISOR]:[META]],3,0)</f>
        <v>57000</v>
      </c>
      <c r="D25">
        <f>D1_ABRIL_2025[[#This Row],[RECUPERO]]/D1_ABRIL_2025[[#This Row],[META]]</f>
        <v>1.1982280701754386</v>
      </c>
      <c r="E25" t="s">
        <v>2</v>
      </c>
      <c r="F25" t="s">
        <v>10</v>
      </c>
      <c r="G25">
        <v>68299</v>
      </c>
      <c r="H25" t="s">
        <v>449</v>
      </c>
      <c r="I25" s="56">
        <v>44706</v>
      </c>
      <c r="J25" t="s">
        <v>501</v>
      </c>
      <c r="L25" s="56"/>
      <c r="M25" s="1">
        <f>DATA_ABRIL_2025[[#This Row],[RECUPERO]]/DATA_ABRIL_2025[[#This Row],[META]]</f>
        <v>0</v>
      </c>
      <c r="N25" t="str" cm="1">
        <f t="array" ref="N25">IF(DATA_ABRIL_2025[[#This Row],[ASER_]]="","",IFERROR(_xlfn.IFS(M25&gt;=100%,"&gt;100%",AND(M25&lt;100%,M25&gt;=70%),"&gt;70%",AND(M25&lt;70%,M25&gt;=40%),"&gt;40%",AND(M25&lt;40%,M25&gt;=0%),"&gt;0%"),""))</f>
        <v>&gt;0%</v>
      </c>
      <c r="O25" t="s">
        <v>9</v>
      </c>
      <c r="P25">
        <f>SUM(DATA_ABRIL_2025[[#This Row],[1]:[31]])</f>
        <v>0</v>
      </c>
      <c r="Q25">
        <v>57000</v>
      </c>
      <c r="R25" t="s">
        <v>130</v>
      </c>
      <c r="AX25" t="s">
        <v>150</v>
      </c>
    </row>
    <row r="26" spans="1:50" x14ac:dyDescent="0.25">
      <c r="A26" t="s">
        <v>5</v>
      </c>
      <c r="B26" t="s">
        <v>58</v>
      </c>
      <c r="C26">
        <f>VLOOKUP(D1_ABRIL_2025[[#This Row],[SUPER]],DATA_ABRIL_2025[[SUPERVISOR]:[META]],3,0)</f>
        <v>57000</v>
      </c>
      <c r="D26">
        <f>D1_ABRIL_2025[[#This Row],[RECUPERO]]/D1_ABRIL_2025[[#This Row],[META]]</f>
        <v>0.7205789473684211</v>
      </c>
      <c r="E26" t="s">
        <v>5</v>
      </c>
      <c r="F26" t="s">
        <v>58</v>
      </c>
      <c r="G26">
        <v>41073</v>
      </c>
      <c r="H26" t="s">
        <v>441</v>
      </c>
      <c r="I26" s="56">
        <v>43035</v>
      </c>
      <c r="J26" t="s">
        <v>501</v>
      </c>
      <c r="L26" s="56"/>
      <c r="M26" s="1">
        <f>DATA_ABRIL_2025[[#This Row],[RECUPERO]]/DATA_ABRIL_2025[[#This Row],[META]]</f>
        <v>1.099661403508772</v>
      </c>
      <c r="N26" t="str" cm="1">
        <f t="array" ref="N26">IF(DATA_ABRIL_2025[[#This Row],[ASER_]]="","",IFERROR(_xlfn.IFS(M26&gt;=100%,"&gt;100%",AND(M26&lt;100%,M26&gt;=70%),"&gt;70%",AND(M26&lt;70%,M26&gt;=40%),"&gt;40%",AND(M26&lt;40%,M26&gt;=0%),"&gt;0%"),""))</f>
        <v>&gt;100%</v>
      </c>
      <c r="O26" t="s">
        <v>3</v>
      </c>
      <c r="P26">
        <f>SUM(DATA_ABRIL_2025[[#This Row],[1]:[31]])</f>
        <v>62680.7</v>
      </c>
      <c r="Q26">
        <v>57000</v>
      </c>
      <c r="R26" t="s">
        <v>22</v>
      </c>
      <c r="S26">
        <v>7050</v>
      </c>
      <c r="U26">
        <v>900</v>
      </c>
      <c r="V26">
        <v>630</v>
      </c>
      <c r="W26">
        <v>529</v>
      </c>
      <c r="Y26">
        <v>1878</v>
      </c>
      <c r="AA26">
        <v>700</v>
      </c>
      <c r="AB26">
        <v>4503</v>
      </c>
      <c r="AC26">
        <v>554.70000000000005</v>
      </c>
      <c r="AG26">
        <v>386</v>
      </c>
      <c r="AH26">
        <v>1600</v>
      </c>
      <c r="AM26">
        <v>5800</v>
      </c>
      <c r="AN26">
        <v>2626</v>
      </c>
      <c r="AO26">
        <v>10160</v>
      </c>
      <c r="AP26">
        <v>6818</v>
      </c>
      <c r="AQ26">
        <v>1071</v>
      </c>
      <c r="AR26">
        <v>929</v>
      </c>
      <c r="AT26">
        <v>320</v>
      </c>
      <c r="AU26">
        <v>2132</v>
      </c>
      <c r="AV26">
        <v>14094</v>
      </c>
      <c r="AX26" t="s">
        <v>150</v>
      </c>
    </row>
    <row r="27" spans="1:50" x14ac:dyDescent="0.25">
      <c r="A27" t="s">
        <v>5</v>
      </c>
      <c r="B27" t="s">
        <v>85</v>
      </c>
      <c r="C27">
        <f>VLOOKUP(D1_ABRIL_2025[[#This Row],[SUPER]],DATA_ABRIL_2025[[SUPERVISOR]:[META]],3,0)</f>
        <v>57000</v>
      </c>
      <c r="D27">
        <f>D1_ABRIL_2025[[#This Row],[RECUPERO]]/D1_ABRIL_2025[[#This Row],[META]]</f>
        <v>0.46071929824561403</v>
      </c>
      <c r="E27" t="s">
        <v>5</v>
      </c>
      <c r="F27" t="s">
        <v>85</v>
      </c>
      <c r="G27">
        <v>26261</v>
      </c>
      <c r="H27" t="s">
        <v>380</v>
      </c>
      <c r="I27" s="56">
        <v>44811</v>
      </c>
      <c r="J27" t="s">
        <v>501</v>
      </c>
      <c r="L27" s="56"/>
      <c r="M27" s="1">
        <f>DATA_ABRIL_2025[[#This Row],[RECUPERO]]/DATA_ABRIL_2025[[#This Row],[META]]</f>
        <v>0.8056585365853659</v>
      </c>
      <c r="N27" t="str" cm="1">
        <f t="array" ref="N27">IF(DATA_ABRIL_2025[[#This Row],[ASER_]]="","",IFERROR(_xlfn.IFS(M27&gt;=100%,"&gt;100%",AND(M27&lt;100%,M27&gt;=70%),"&gt;70%",AND(M27&lt;70%,M27&gt;=40%),"&gt;40%",AND(M27&lt;40%,M27&gt;=0%),"&gt;0%"),""))</f>
        <v>&gt;70%</v>
      </c>
      <c r="O27" t="s">
        <v>8</v>
      </c>
      <c r="P27">
        <f>SUM(DATA_ABRIL_2025[[#This Row],[1]:[31]])</f>
        <v>16516</v>
      </c>
      <c r="Q27">
        <v>20500</v>
      </c>
      <c r="R27" t="s">
        <v>24</v>
      </c>
      <c r="T27">
        <v>190</v>
      </c>
      <c r="V27">
        <v>50</v>
      </c>
      <c r="AC27">
        <v>2450</v>
      </c>
      <c r="AF27">
        <v>1960</v>
      </c>
      <c r="AG27">
        <v>890</v>
      </c>
      <c r="AH27">
        <v>300</v>
      </c>
      <c r="AM27">
        <v>3200</v>
      </c>
      <c r="AO27">
        <v>100</v>
      </c>
      <c r="AP27">
        <v>310</v>
      </c>
      <c r="AQ27">
        <v>261</v>
      </c>
      <c r="AR27">
        <v>150</v>
      </c>
      <c r="AT27">
        <v>2355</v>
      </c>
      <c r="AU27">
        <v>100</v>
      </c>
      <c r="AV27">
        <v>4200</v>
      </c>
      <c r="AX27" t="s">
        <v>153</v>
      </c>
    </row>
    <row r="28" spans="1:50" x14ac:dyDescent="0.25">
      <c r="A28" t="s">
        <v>5</v>
      </c>
      <c r="B28" t="s">
        <v>67</v>
      </c>
      <c r="C28">
        <f>VLOOKUP(D1_ABRIL_2025[[#This Row],[SUPER]],DATA_ABRIL_2025[[SUPERVISOR]:[META]],3,0)</f>
        <v>57000</v>
      </c>
      <c r="D28">
        <f>D1_ABRIL_2025[[#This Row],[RECUPERO]]/D1_ABRIL_2025[[#This Row],[META]]</f>
        <v>0.99017894736842105</v>
      </c>
      <c r="E28" t="s">
        <v>5</v>
      </c>
      <c r="F28" t="s">
        <v>67</v>
      </c>
      <c r="G28">
        <v>56440.2</v>
      </c>
      <c r="H28" t="s">
        <v>381</v>
      </c>
      <c r="I28" s="56">
        <v>44811</v>
      </c>
      <c r="J28" t="s">
        <v>501</v>
      </c>
      <c r="L28" s="56"/>
      <c r="M28" s="1">
        <f>DATA_ABRIL_2025[[#This Row],[RECUPERO]]/DATA_ABRIL_2025[[#This Row],[META]]</f>
        <v>0.3</v>
      </c>
      <c r="N28" t="str" cm="1">
        <f t="array" ref="N28">IF(DATA_ABRIL_2025[[#This Row],[ASER_]]="","",IFERROR(_xlfn.IFS(M28&gt;=100%,"&gt;100%",AND(M28&lt;100%,M28&gt;=70%),"&gt;70%",AND(M28&lt;70%,M28&gt;=40%),"&gt;40%",AND(M28&lt;40%,M28&gt;=0%),"&gt;0%"),""))</f>
        <v>&gt;0%</v>
      </c>
      <c r="O28" t="s">
        <v>6</v>
      </c>
      <c r="P28">
        <f>SUM(DATA_ABRIL_2025[[#This Row],[1]:[31]])</f>
        <v>7800</v>
      </c>
      <c r="Q28">
        <v>26000</v>
      </c>
      <c r="R28" t="s">
        <v>105</v>
      </c>
      <c r="Y28">
        <v>1050</v>
      </c>
      <c r="AB28">
        <v>4000</v>
      </c>
      <c r="AF28">
        <v>2000</v>
      </c>
      <c r="AG28">
        <v>350</v>
      </c>
      <c r="AN28">
        <v>400</v>
      </c>
      <c r="AX28" t="s">
        <v>152</v>
      </c>
    </row>
    <row r="29" spans="1:50" x14ac:dyDescent="0.25">
      <c r="A29" t="s">
        <v>5</v>
      </c>
      <c r="B29" t="s">
        <v>72</v>
      </c>
      <c r="C29">
        <f>VLOOKUP(D1_ABRIL_2025[[#This Row],[SUPER]],DATA_ABRIL_2025[[SUPERVISOR]:[META]],3,0)</f>
        <v>57000</v>
      </c>
      <c r="D29">
        <f>D1_ABRIL_2025[[#This Row],[RECUPERO]]/D1_ABRIL_2025[[#This Row],[META]]</f>
        <v>0.6498942105263158</v>
      </c>
      <c r="E29" t="s">
        <v>5</v>
      </c>
      <c r="F29" t="s">
        <v>72</v>
      </c>
      <c r="G29">
        <v>37043.97</v>
      </c>
      <c r="H29" t="s">
        <v>450</v>
      </c>
      <c r="I29" s="56">
        <v>45084</v>
      </c>
      <c r="J29" t="s">
        <v>501</v>
      </c>
      <c r="L29" s="56"/>
      <c r="M29" s="1">
        <f>DATA_ABRIL_2025[[#This Row],[RECUPERO]]/DATA_ABRIL_2025[[#This Row],[META]]</f>
        <v>0.39595121951219514</v>
      </c>
      <c r="N29" t="str" cm="1">
        <f t="array" ref="N29">IF(DATA_ABRIL_2025[[#This Row],[ASER_]]="","",IFERROR(_xlfn.IFS(M29&gt;=100%,"&gt;100%",AND(M29&lt;100%,M29&gt;=70%),"&gt;70%",AND(M29&lt;70%,M29&gt;=40%),"&gt;40%",AND(M29&lt;40%,M29&gt;=0%),"&gt;0%"),""))</f>
        <v>&gt;0%</v>
      </c>
      <c r="O29" t="s">
        <v>124</v>
      </c>
      <c r="P29">
        <f>SUM(DATA_ABRIL_2025[[#This Row],[1]:[31]])</f>
        <v>8117</v>
      </c>
      <c r="Q29">
        <v>20500</v>
      </c>
      <c r="R29" t="s">
        <v>16</v>
      </c>
      <c r="S29">
        <v>200</v>
      </c>
      <c r="U29">
        <v>529</v>
      </c>
      <c r="V29">
        <v>1065</v>
      </c>
      <c r="Z29">
        <v>250</v>
      </c>
      <c r="AA29">
        <v>200</v>
      </c>
      <c r="AB29">
        <v>350</v>
      </c>
      <c r="AD29">
        <v>100</v>
      </c>
      <c r="AG29">
        <v>550</v>
      </c>
      <c r="AM29">
        <v>375</v>
      </c>
      <c r="AO29">
        <v>400</v>
      </c>
      <c r="AR29">
        <v>338</v>
      </c>
      <c r="AT29">
        <v>400</v>
      </c>
      <c r="AU29">
        <v>500</v>
      </c>
      <c r="AV29">
        <v>2860</v>
      </c>
      <c r="AX29" t="s">
        <v>153</v>
      </c>
    </row>
    <row r="30" spans="1:50" x14ac:dyDescent="0.25">
      <c r="A30" t="s">
        <v>5</v>
      </c>
      <c r="B30" t="s">
        <v>66</v>
      </c>
      <c r="C30">
        <f>VLOOKUP(D1_ABRIL_2025[[#This Row],[SUPER]],DATA_ABRIL_2025[[SUPERVISOR]:[META]],3,0)</f>
        <v>57000</v>
      </c>
      <c r="D30">
        <f>D1_ABRIL_2025[[#This Row],[RECUPERO]]/D1_ABRIL_2025[[#This Row],[META]]</f>
        <v>0.62885964912280701</v>
      </c>
      <c r="E30" t="s">
        <v>5</v>
      </c>
      <c r="F30" t="s">
        <v>66</v>
      </c>
      <c r="G30">
        <v>35845</v>
      </c>
      <c r="H30" t="s">
        <v>383</v>
      </c>
      <c r="I30" s="56">
        <v>45457</v>
      </c>
      <c r="J30" t="s">
        <v>501</v>
      </c>
      <c r="L30" s="56"/>
      <c r="M30" s="1">
        <f>DATA_ABRIL_2025[[#This Row],[RECUPERO]]/DATA_ABRIL_2025[[#This Row],[META]]</f>
        <v>0.28731707317073168</v>
      </c>
      <c r="N30" t="str" cm="1">
        <f t="array" ref="N30">IF(DATA_ABRIL_2025[[#This Row],[ASER_]]="","",IFERROR(_xlfn.IFS(M30&gt;=100%,"&gt;100%",AND(M30&lt;100%,M30&gt;=70%),"&gt;70%",AND(M30&lt;70%,M30&gt;=40%),"&gt;40%",AND(M30&lt;40%,M30&gt;=0%),"&gt;0%"),""))</f>
        <v>&gt;0%</v>
      </c>
      <c r="O30" t="s">
        <v>124</v>
      </c>
      <c r="P30">
        <f>SUM(DATA_ABRIL_2025[[#This Row],[1]:[31]])</f>
        <v>5890</v>
      </c>
      <c r="Q30">
        <v>20500</v>
      </c>
      <c r="R30" t="s">
        <v>27</v>
      </c>
      <c r="V30">
        <v>400</v>
      </c>
      <c r="Y30">
        <v>200</v>
      </c>
      <c r="AB30">
        <v>500</v>
      </c>
      <c r="AF30">
        <v>3700</v>
      </c>
      <c r="AG30">
        <v>390</v>
      </c>
      <c r="AR30">
        <v>300</v>
      </c>
      <c r="AU30">
        <v>400</v>
      </c>
      <c r="AX30" t="s">
        <v>153</v>
      </c>
    </row>
    <row r="31" spans="1:50" x14ac:dyDescent="0.25">
      <c r="A31" t="s">
        <v>5</v>
      </c>
      <c r="B31" t="s">
        <v>68</v>
      </c>
      <c r="C31">
        <f>VLOOKUP(D1_ABRIL_2025[[#This Row],[SUPER]],DATA_ABRIL_2025[[SUPERVISOR]:[META]],3,0)</f>
        <v>57000</v>
      </c>
      <c r="D31">
        <f>D1_ABRIL_2025[[#This Row],[RECUPERO]]/D1_ABRIL_2025[[#This Row],[META]]</f>
        <v>1.0424385964912282</v>
      </c>
      <c r="E31" t="s">
        <v>5</v>
      </c>
      <c r="F31" t="s">
        <v>68</v>
      </c>
      <c r="G31">
        <v>59419</v>
      </c>
      <c r="H31" t="s">
        <v>440</v>
      </c>
      <c r="I31" s="56">
        <v>45364</v>
      </c>
      <c r="J31" t="s">
        <v>501</v>
      </c>
      <c r="L31" s="56"/>
      <c r="M31" s="1">
        <f>DATA_ABRIL_2025[[#This Row],[RECUPERO]]/DATA_ABRIL_2025[[#This Row],[META]]</f>
        <v>0.6333333333333333</v>
      </c>
      <c r="N31" t="str" cm="1">
        <f t="array" ref="N31">IF(DATA_ABRIL_2025[[#This Row],[ASER_]]="","",IFERROR(_xlfn.IFS(M31&gt;=100%,"&gt;100%",AND(M31&lt;100%,M31&gt;=70%),"&gt;70%",AND(M31&lt;70%,M31&gt;=40%),"&gt;40%",AND(M31&lt;40%,M31&gt;=0%),"&gt;0%"),""))</f>
        <v>&gt;40%</v>
      </c>
      <c r="O31" t="s">
        <v>2</v>
      </c>
      <c r="P31">
        <f>SUM(DATA_ABRIL_2025[[#This Row],[1]:[31]])</f>
        <v>36100</v>
      </c>
      <c r="Q31">
        <v>57000</v>
      </c>
      <c r="R31" t="s">
        <v>12</v>
      </c>
      <c r="S31">
        <v>600</v>
      </c>
      <c r="W31">
        <v>600</v>
      </c>
      <c r="AA31">
        <v>6000</v>
      </c>
      <c r="AH31">
        <v>5000</v>
      </c>
      <c r="AM31">
        <v>900</v>
      </c>
      <c r="AO31">
        <v>300</v>
      </c>
      <c r="AQ31">
        <v>10600</v>
      </c>
      <c r="AR31">
        <v>4000</v>
      </c>
      <c r="AU31">
        <v>4600</v>
      </c>
      <c r="AV31">
        <v>3500</v>
      </c>
      <c r="AX31" t="s">
        <v>150</v>
      </c>
    </row>
    <row r="32" spans="1:50" x14ac:dyDescent="0.25">
      <c r="A32" t="s">
        <v>5</v>
      </c>
      <c r="B32" t="s">
        <v>70</v>
      </c>
      <c r="C32">
        <f>VLOOKUP(D1_ABRIL_2025[[#This Row],[SUPER]],DATA_ABRIL_2025[[SUPERVISOR]:[META]],3,0)</f>
        <v>57000</v>
      </c>
      <c r="D32">
        <f>D1_ABRIL_2025[[#This Row],[RECUPERO]]/D1_ABRIL_2025[[#This Row],[META]]</f>
        <v>0.66391228070175434</v>
      </c>
      <c r="E32" t="s">
        <v>5</v>
      </c>
      <c r="F32" t="s">
        <v>70</v>
      </c>
      <c r="G32">
        <v>37843</v>
      </c>
      <c r="H32" t="s">
        <v>418</v>
      </c>
      <c r="I32" s="56">
        <v>44971</v>
      </c>
      <c r="J32" t="s">
        <v>501</v>
      </c>
      <c r="L32" s="56"/>
      <c r="M32" s="1">
        <f>DATA_ABRIL_2025[[#This Row],[RECUPERO]]/DATA_ABRIL_2025[[#This Row],[META]]</f>
        <v>0.21614634146341463</v>
      </c>
      <c r="N32" t="str" cm="1">
        <f t="array" ref="N32">IF(DATA_ABRIL_2025[[#This Row],[ASER_]]="","",IFERROR(_xlfn.IFS(M32&gt;=100%,"&gt;100%",AND(M32&lt;100%,M32&gt;=70%),"&gt;70%",AND(M32&lt;70%,M32&gt;=40%),"&gt;40%",AND(M32&lt;40%,M32&gt;=0%),"&gt;0%"),""))</f>
        <v>&gt;0%</v>
      </c>
      <c r="O32" t="s">
        <v>8</v>
      </c>
      <c r="P32">
        <f>SUM(DATA_ABRIL_2025[[#This Row],[1]:[31]])</f>
        <v>4431</v>
      </c>
      <c r="Q32">
        <v>20500</v>
      </c>
      <c r="R32" t="s">
        <v>51</v>
      </c>
      <c r="T32">
        <v>200</v>
      </c>
      <c r="V32">
        <v>500</v>
      </c>
      <c r="AA32">
        <v>200</v>
      </c>
      <c r="AB32">
        <v>100</v>
      </c>
      <c r="AC32">
        <v>700</v>
      </c>
      <c r="AO32">
        <v>331</v>
      </c>
      <c r="AT32">
        <v>800</v>
      </c>
      <c r="AU32">
        <v>1000</v>
      </c>
      <c r="AV32">
        <v>600</v>
      </c>
      <c r="AX32" t="s">
        <v>153</v>
      </c>
    </row>
    <row r="33" spans="1:50" x14ac:dyDescent="0.25">
      <c r="A33" t="s">
        <v>5</v>
      </c>
      <c r="B33" t="s">
        <v>79</v>
      </c>
      <c r="C33">
        <f>VLOOKUP(D1_ABRIL_2025[[#This Row],[SUPER]],DATA_ABRIL_2025[[SUPERVISOR]:[META]],3,0)</f>
        <v>57000</v>
      </c>
      <c r="D33">
        <f>D1_ABRIL_2025[[#This Row],[RECUPERO]]/D1_ABRIL_2025[[#This Row],[META]]</f>
        <v>0.47192982456140353</v>
      </c>
      <c r="E33" t="s">
        <v>5</v>
      </c>
      <c r="F33" t="s">
        <v>79</v>
      </c>
      <c r="G33">
        <v>26900</v>
      </c>
      <c r="H33" t="s">
        <v>453</v>
      </c>
      <c r="I33" s="56">
        <v>44566</v>
      </c>
      <c r="J33" t="s">
        <v>501</v>
      </c>
      <c r="L33" s="56"/>
      <c r="M33" s="1">
        <f>DATA_ABRIL_2025[[#This Row],[RECUPERO]]/DATA_ABRIL_2025[[#This Row],[META]]</f>
        <v>0.43447368421052629</v>
      </c>
      <c r="N33" t="str" cm="1">
        <f t="array" ref="N33">IF(DATA_ABRIL_2025[[#This Row],[ASER_]]="","",IFERROR(_xlfn.IFS(M33&gt;=100%,"&gt;100%",AND(M33&lt;100%,M33&gt;=70%),"&gt;70%",AND(M33&lt;70%,M33&gt;=40%),"&gt;40%",AND(M33&lt;40%,M33&gt;=0%),"&gt;0%"),""))</f>
        <v>&gt;40%</v>
      </c>
      <c r="O33" t="s">
        <v>2</v>
      </c>
      <c r="P33">
        <f>SUM(DATA_ABRIL_2025[[#This Row],[1]:[31]])</f>
        <v>24765</v>
      </c>
      <c r="Q33">
        <v>57000</v>
      </c>
      <c r="R33" t="s">
        <v>13</v>
      </c>
      <c r="S33">
        <v>1600</v>
      </c>
      <c r="U33">
        <v>1500</v>
      </c>
      <c r="V33">
        <v>1600</v>
      </c>
      <c r="Y33">
        <v>1000</v>
      </c>
      <c r="AC33">
        <v>700</v>
      </c>
      <c r="AH33">
        <v>5300</v>
      </c>
      <c r="AM33">
        <v>2000</v>
      </c>
      <c r="AN33">
        <v>1700</v>
      </c>
      <c r="AO33">
        <v>1000</v>
      </c>
      <c r="AP33">
        <v>1200</v>
      </c>
      <c r="AT33">
        <v>800</v>
      </c>
      <c r="AU33">
        <v>700</v>
      </c>
      <c r="AV33">
        <v>5665</v>
      </c>
      <c r="AX33" t="s">
        <v>150</v>
      </c>
    </row>
    <row r="34" spans="1:50" x14ac:dyDescent="0.25">
      <c r="A34" t="s">
        <v>6</v>
      </c>
      <c r="B34" t="s">
        <v>18</v>
      </c>
      <c r="C34">
        <f>VLOOKUP(D1_ABRIL_2025[[#This Row],[SUPER]],DATA_ABRIL_2025[[SUPERVISOR]:[META]],3,0)</f>
        <v>26000</v>
      </c>
      <c r="D34">
        <f>D1_ABRIL_2025[[#This Row],[RECUPERO]]/D1_ABRIL_2025[[#This Row],[META]]</f>
        <v>0.30588461538461537</v>
      </c>
      <c r="E34" t="s">
        <v>6</v>
      </c>
      <c r="F34" t="s">
        <v>18</v>
      </c>
      <c r="G34">
        <v>7953</v>
      </c>
      <c r="H34" t="s">
        <v>431</v>
      </c>
      <c r="I34" s="56">
        <v>45133</v>
      </c>
      <c r="J34" t="s">
        <v>501</v>
      </c>
      <c r="L34" s="56"/>
      <c r="M34" s="1">
        <f>DATA_ABRIL_2025[[#This Row],[RECUPERO]]/DATA_ABRIL_2025[[#This Row],[META]]</f>
        <v>0.28375609756097558</v>
      </c>
      <c r="N34" t="str" cm="1">
        <f t="array" ref="N34">IF(DATA_ABRIL_2025[[#This Row],[ASER_]]="","",IFERROR(_xlfn.IFS(M34&gt;=100%,"&gt;100%",AND(M34&lt;100%,M34&gt;=70%),"&gt;70%",AND(M34&lt;70%,M34&gt;=40%),"&gt;40%",AND(M34&lt;40%,M34&gt;=0%),"&gt;0%"),""))</f>
        <v>&gt;0%</v>
      </c>
      <c r="O34" t="s">
        <v>124</v>
      </c>
      <c r="P34">
        <f>SUM(DATA_ABRIL_2025[[#This Row],[1]:[31]])</f>
        <v>5817</v>
      </c>
      <c r="Q34">
        <v>20500</v>
      </c>
      <c r="R34" t="s">
        <v>32</v>
      </c>
      <c r="T34">
        <v>1000</v>
      </c>
      <c r="U34">
        <v>600</v>
      </c>
      <c r="V34">
        <v>500</v>
      </c>
      <c r="Z34">
        <v>227</v>
      </c>
      <c r="AG34">
        <v>490</v>
      </c>
      <c r="AH34">
        <v>100</v>
      </c>
      <c r="AM34">
        <v>200</v>
      </c>
      <c r="AP34">
        <v>1550</v>
      </c>
      <c r="AQ34">
        <v>200</v>
      </c>
      <c r="AT34">
        <v>200</v>
      </c>
      <c r="AU34">
        <v>400</v>
      </c>
      <c r="AV34">
        <v>350</v>
      </c>
      <c r="AX34" t="s">
        <v>153</v>
      </c>
    </row>
    <row r="35" spans="1:50" x14ac:dyDescent="0.25">
      <c r="A35" t="s">
        <v>6</v>
      </c>
      <c r="B35" t="s">
        <v>81</v>
      </c>
      <c r="C35">
        <f>VLOOKUP(D1_ABRIL_2025[[#This Row],[SUPER]],DATA_ABRIL_2025[[SUPERVISOR]:[META]],3,0)</f>
        <v>26000</v>
      </c>
      <c r="D35">
        <f>D1_ABRIL_2025[[#This Row],[RECUPERO]]/D1_ABRIL_2025[[#This Row],[META]]</f>
        <v>0.13846153846153847</v>
      </c>
      <c r="E35" t="s">
        <v>6</v>
      </c>
      <c r="F35" t="s">
        <v>81</v>
      </c>
      <c r="G35">
        <v>3600</v>
      </c>
      <c r="H35" t="s">
        <v>425</v>
      </c>
      <c r="I35" s="56">
        <v>45506</v>
      </c>
      <c r="J35" t="s">
        <v>501</v>
      </c>
      <c r="L35" s="56"/>
      <c r="M35" s="1">
        <f>DATA_ABRIL_2025[[#This Row],[RECUPERO]]/DATA_ABRIL_2025[[#This Row],[META]]</f>
        <v>0.62885964912280701</v>
      </c>
      <c r="N35" t="str" cm="1">
        <f t="array" ref="N35">IF(DATA_ABRIL_2025[[#This Row],[ASER_]]="","",IFERROR(_xlfn.IFS(M35&gt;=100%,"&gt;100%",AND(M35&lt;100%,M35&gt;=70%),"&gt;70%",AND(M35&lt;70%,M35&gt;=40%),"&gt;40%",AND(M35&lt;40%,M35&gt;=0%),"&gt;0%"),""))</f>
        <v>&gt;40%</v>
      </c>
      <c r="O35" t="s">
        <v>5</v>
      </c>
      <c r="P35">
        <f>SUM(DATA_ABRIL_2025[[#This Row],[1]:[31]])</f>
        <v>35845</v>
      </c>
      <c r="Q35">
        <v>57000</v>
      </c>
      <c r="R35" t="s">
        <v>66</v>
      </c>
      <c r="T35">
        <v>720</v>
      </c>
      <c r="Y35">
        <v>3000</v>
      </c>
      <c r="AA35">
        <v>5000</v>
      </c>
      <c r="AB35">
        <v>9600</v>
      </c>
      <c r="AJ35">
        <v>295</v>
      </c>
      <c r="AM35">
        <v>3000</v>
      </c>
      <c r="AN35">
        <v>3920</v>
      </c>
      <c r="AO35">
        <v>3200</v>
      </c>
      <c r="AU35">
        <v>2100</v>
      </c>
      <c r="AV35">
        <v>5010</v>
      </c>
      <c r="AX35" t="s">
        <v>150</v>
      </c>
    </row>
    <row r="36" spans="1:50" x14ac:dyDescent="0.25">
      <c r="A36" t="s">
        <v>6</v>
      </c>
      <c r="B36" t="s">
        <v>105</v>
      </c>
      <c r="C36">
        <f>VLOOKUP(D1_ABRIL_2025[[#This Row],[SUPER]],DATA_ABRIL_2025[[SUPERVISOR]:[META]],3,0)</f>
        <v>26000</v>
      </c>
      <c r="D36">
        <f>D1_ABRIL_2025[[#This Row],[RECUPERO]]/D1_ABRIL_2025[[#This Row],[META]]</f>
        <v>0.3</v>
      </c>
      <c r="E36" t="s">
        <v>6</v>
      </c>
      <c r="F36" t="s">
        <v>105</v>
      </c>
      <c r="G36">
        <v>7800</v>
      </c>
      <c r="H36" t="s">
        <v>463</v>
      </c>
      <c r="I36" s="56">
        <v>45748</v>
      </c>
      <c r="J36" t="s">
        <v>501</v>
      </c>
      <c r="L36" s="56"/>
      <c r="M36" s="1">
        <f>DATA_ABRIL_2025[[#This Row],[RECUPERO]]/DATA_ABRIL_2025[[#This Row],[META]]</f>
        <v>0.55980487804878054</v>
      </c>
      <c r="N36" t="str" cm="1">
        <f t="array" ref="N36">IF(DATA_ABRIL_2025[[#This Row],[ASER_]]="","",IFERROR(_xlfn.IFS(M36&gt;=100%,"&gt;100%",AND(M36&lt;100%,M36&gt;=70%),"&gt;70%",AND(M36&lt;70%,M36&gt;=40%),"&gt;40%",AND(M36&lt;40%,M36&gt;=0%),"&gt;0%"),""))</f>
        <v>&gt;40%</v>
      </c>
      <c r="O36" t="s">
        <v>125</v>
      </c>
      <c r="P36">
        <f>SUM(DATA_ABRIL_2025[[#This Row],[1]:[31]])</f>
        <v>11476</v>
      </c>
      <c r="Q36">
        <v>20500</v>
      </c>
      <c r="R36" t="s">
        <v>71</v>
      </c>
      <c r="S36">
        <v>200</v>
      </c>
      <c r="T36">
        <v>300</v>
      </c>
      <c r="Y36">
        <v>200</v>
      </c>
      <c r="AA36">
        <v>400</v>
      </c>
      <c r="AB36">
        <v>550</v>
      </c>
      <c r="AF36">
        <v>1000</v>
      </c>
      <c r="AM36">
        <v>600</v>
      </c>
      <c r="AN36">
        <v>3250</v>
      </c>
      <c r="AR36">
        <v>200</v>
      </c>
      <c r="AT36">
        <v>1500</v>
      </c>
      <c r="AU36">
        <v>1226</v>
      </c>
      <c r="AV36">
        <v>2050</v>
      </c>
      <c r="AX36" t="s">
        <v>153</v>
      </c>
    </row>
    <row r="37" spans="1:50" x14ac:dyDescent="0.25">
      <c r="A37" t="s">
        <v>6</v>
      </c>
      <c r="B37" t="s">
        <v>37</v>
      </c>
      <c r="C37">
        <f>VLOOKUP(D1_ABRIL_2025[[#This Row],[SUPER]],DATA_ABRIL_2025[[SUPERVISOR]:[META]],3,0)</f>
        <v>26000</v>
      </c>
      <c r="D37">
        <f>D1_ABRIL_2025[[#This Row],[RECUPERO]]/D1_ABRIL_2025[[#This Row],[META]]</f>
        <v>0.2803846153846154</v>
      </c>
      <c r="E37" t="s">
        <v>6</v>
      </c>
      <c r="F37" t="s">
        <v>37</v>
      </c>
      <c r="G37">
        <v>7290</v>
      </c>
      <c r="H37" t="s">
        <v>400</v>
      </c>
      <c r="I37" s="56">
        <v>43132</v>
      </c>
      <c r="J37" t="s">
        <v>501</v>
      </c>
      <c r="L37" s="56"/>
      <c r="M37" s="1">
        <f>DATA_ABRIL_2025[[#This Row],[RECUPERO]]/DATA_ABRIL_2025[[#This Row],[META]]</f>
        <v>0.4682926829268293</v>
      </c>
      <c r="N37" t="str" cm="1">
        <f t="array" ref="N37">IF(DATA_ABRIL_2025[[#This Row],[ASER_]]="","",IFERROR(_xlfn.IFS(M37&gt;=100%,"&gt;100%",AND(M37&lt;100%,M37&gt;=70%),"&gt;70%",AND(M37&lt;70%,M37&gt;=40%),"&gt;40%",AND(M37&lt;40%,M37&gt;=0%),"&gt;0%"),""))</f>
        <v>&gt;40%</v>
      </c>
      <c r="O37" t="s">
        <v>124</v>
      </c>
      <c r="P37">
        <f>SUM(DATA_ABRIL_2025[[#This Row],[1]:[31]])</f>
        <v>9600</v>
      </c>
      <c r="Q37">
        <v>20500</v>
      </c>
      <c r="R37" t="s">
        <v>127</v>
      </c>
      <c r="S37">
        <v>700</v>
      </c>
      <c r="T37">
        <v>500</v>
      </c>
      <c r="Y37">
        <v>100</v>
      </c>
      <c r="AG37">
        <v>1000</v>
      </c>
      <c r="AN37">
        <v>100</v>
      </c>
      <c r="AP37">
        <v>700</v>
      </c>
      <c r="AQ37">
        <v>300</v>
      </c>
      <c r="AV37">
        <v>6200</v>
      </c>
      <c r="AX37" t="s">
        <v>153</v>
      </c>
    </row>
    <row r="38" spans="1:50" x14ac:dyDescent="0.25">
      <c r="A38" t="s">
        <v>6</v>
      </c>
      <c r="B38" t="s">
        <v>35</v>
      </c>
      <c r="C38">
        <f>VLOOKUP(D1_ABRIL_2025[[#This Row],[SUPER]],DATA_ABRIL_2025[[SUPERVISOR]:[META]],3,0)</f>
        <v>26000</v>
      </c>
      <c r="D38">
        <f>D1_ABRIL_2025[[#This Row],[RECUPERO]]/D1_ABRIL_2025[[#This Row],[META]]</f>
        <v>0.71696576923076927</v>
      </c>
      <c r="E38" t="s">
        <v>6</v>
      </c>
      <c r="F38" t="s">
        <v>35</v>
      </c>
      <c r="G38">
        <v>18641.11</v>
      </c>
      <c r="H38" t="s">
        <v>401</v>
      </c>
      <c r="I38" s="56">
        <v>44748</v>
      </c>
      <c r="J38" t="s">
        <v>501</v>
      </c>
      <c r="L38" s="56"/>
      <c r="M38" s="1">
        <f>DATA_ABRIL_2025[[#This Row],[RECUPERO]]/DATA_ABRIL_2025[[#This Row],[META]]</f>
        <v>0</v>
      </c>
      <c r="N38" t="str" cm="1">
        <f t="array" ref="N38">IF(DATA_ABRIL_2025[[#This Row],[ASER_]]="","",IFERROR(_xlfn.IFS(M38&gt;=100%,"&gt;100%",AND(M38&lt;100%,M38&gt;=70%),"&gt;70%",AND(M38&lt;70%,M38&gt;=40%),"&gt;40%",AND(M38&lt;40%,M38&gt;=0%),"&gt;0%"),""))</f>
        <v>&gt;0%</v>
      </c>
      <c r="O38" t="s">
        <v>125</v>
      </c>
      <c r="P38">
        <f>SUM(DATA_ABRIL_2025[[#This Row],[1]:[31]])</f>
        <v>0</v>
      </c>
      <c r="Q38">
        <v>20500</v>
      </c>
      <c r="R38" t="s">
        <v>42</v>
      </c>
      <c r="AX38" t="s">
        <v>153</v>
      </c>
    </row>
    <row r="39" spans="1:50" x14ac:dyDescent="0.25">
      <c r="A39" t="s">
        <v>6</v>
      </c>
      <c r="B39" t="s">
        <v>31</v>
      </c>
      <c r="C39">
        <f>VLOOKUP(D1_ABRIL_2025[[#This Row],[SUPER]],DATA_ABRIL_2025[[SUPERVISOR]:[META]],3,0)</f>
        <v>26000</v>
      </c>
      <c r="D39">
        <f>D1_ABRIL_2025[[#This Row],[RECUPERO]]/D1_ABRIL_2025[[#This Row],[META]]</f>
        <v>0.8453846153846154</v>
      </c>
      <c r="E39" t="s">
        <v>6</v>
      </c>
      <c r="F39" t="s">
        <v>31</v>
      </c>
      <c r="G39">
        <v>21980</v>
      </c>
      <c r="H39" t="s">
        <v>403</v>
      </c>
      <c r="I39" s="56">
        <v>45334</v>
      </c>
      <c r="J39" t="s">
        <v>501</v>
      </c>
      <c r="L39" s="56"/>
      <c r="M39" s="1">
        <f>DATA_ABRIL_2025[[#This Row],[RECUPERO]]/DATA_ABRIL_2025[[#This Row],[META]]</f>
        <v>0.72634146341463413</v>
      </c>
      <c r="N39" t="str" cm="1">
        <f t="array" ref="N39">IF(DATA_ABRIL_2025[[#This Row],[ASER_]]="","",IFERROR(_xlfn.IFS(M39&gt;=100%,"&gt;100%",AND(M39&lt;100%,M39&gt;=70%),"&gt;70%",AND(M39&lt;70%,M39&gt;=40%),"&gt;40%",AND(M39&lt;40%,M39&gt;=0%),"&gt;0%"),""))</f>
        <v>&gt;70%</v>
      </c>
      <c r="O39" t="s">
        <v>8</v>
      </c>
      <c r="P39">
        <f>SUM(DATA_ABRIL_2025[[#This Row],[1]:[31]])</f>
        <v>14890</v>
      </c>
      <c r="Q39">
        <v>20500</v>
      </c>
      <c r="R39" t="s">
        <v>83</v>
      </c>
      <c r="T39">
        <v>200</v>
      </c>
      <c r="U39">
        <v>300</v>
      </c>
      <c r="V39">
        <v>186</v>
      </c>
      <c r="Y39">
        <v>1800</v>
      </c>
      <c r="Z39">
        <v>400</v>
      </c>
      <c r="AB39">
        <v>400</v>
      </c>
      <c r="AH39">
        <v>400</v>
      </c>
      <c r="AM39">
        <v>150</v>
      </c>
      <c r="AP39">
        <v>1000</v>
      </c>
      <c r="AQ39">
        <v>300</v>
      </c>
      <c r="AR39">
        <v>950</v>
      </c>
      <c r="AU39">
        <v>6115</v>
      </c>
      <c r="AV39">
        <v>2689</v>
      </c>
      <c r="AX39" t="s">
        <v>153</v>
      </c>
    </row>
    <row r="40" spans="1:50" x14ac:dyDescent="0.25">
      <c r="A40" t="s">
        <v>6</v>
      </c>
      <c r="B40" t="s">
        <v>110</v>
      </c>
      <c r="C40">
        <f>VLOOKUP(D1_ABRIL_2025[[#This Row],[SUPER]],DATA_ABRIL_2025[[SUPERVISOR]:[META]],3,0)</f>
        <v>26000</v>
      </c>
      <c r="D40">
        <f>D1_ABRIL_2025[[#This Row],[RECUPERO]]/D1_ABRIL_2025[[#This Row],[META]]</f>
        <v>0.40246153846153848</v>
      </c>
      <c r="E40" t="s">
        <v>6</v>
      </c>
      <c r="F40" t="s">
        <v>110</v>
      </c>
      <c r="G40">
        <v>10464</v>
      </c>
      <c r="H40" t="s">
        <v>454</v>
      </c>
      <c r="I40" s="56">
        <v>44993</v>
      </c>
      <c r="J40" t="s">
        <v>501</v>
      </c>
      <c r="L40" s="56"/>
      <c r="M40" s="1">
        <f>DATA_ABRIL_2025[[#This Row],[RECUPERO]]/DATA_ABRIL_2025[[#This Row],[META]]</f>
        <v>0.3453684210526316</v>
      </c>
      <c r="N40" t="str" cm="1">
        <f t="array" ref="N40">IF(DATA_ABRIL_2025[[#This Row],[ASER_]]="","",IFERROR(_xlfn.IFS(M40&gt;=100%,"&gt;100%",AND(M40&lt;100%,M40&gt;=70%),"&gt;70%",AND(M40&lt;70%,M40&gt;=40%),"&gt;40%",AND(M40&lt;40%,M40&gt;=0%),"&gt;0%"),""))</f>
        <v>&gt;0%</v>
      </c>
      <c r="O40" t="s">
        <v>9</v>
      </c>
      <c r="P40">
        <f>SUM(DATA_ABRIL_2025[[#This Row],[1]:[31]])</f>
        <v>19686</v>
      </c>
      <c r="Q40">
        <v>57000</v>
      </c>
      <c r="R40" t="s">
        <v>57</v>
      </c>
      <c r="U40">
        <v>8700</v>
      </c>
      <c r="AA40">
        <v>1103</v>
      </c>
      <c r="AC40">
        <v>4000</v>
      </c>
      <c r="AH40">
        <v>3800</v>
      </c>
      <c r="AP40">
        <v>270</v>
      </c>
      <c r="AQ40">
        <v>563</v>
      </c>
      <c r="AR40">
        <v>1250</v>
      </c>
      <c r="AX40" t="s">
        <v>150</v>
      </c>
    </row>
    <row r="41" spans="1:50" x14ac:dyDescent="0.25">
      <c r="A41" t="s">
        <v>6</v>
      </c>
      <c r="B41" t="s">
        <v>36</v>
      </c>
      <c r="C41">
        <f>VLOOKUP(D1_ABRIL_2025[[#This Row],[SUPER]],DATA_ABRIL_2025[[SUPERVISOR]:[META]],3,0)</f>
        <v>26000</v>
      </c>
      <c r="D41">
        <f>D1_ABRIL_2025[[#This Row],[RECUPERO]]/D1_ABRIL_2025[[#This Row],[META]]</f>
        <v>0.3092692307692308</v>
      </c>
      <c r="E41" t="s">
        <v>6</v>
      </c>
      <c r="F41" t="s">
        <v>36</v>
      </c>
      <c r="G41">
        <v>8041</v>
      </c>
      <c r="H41" t="s">
        <v>406</v>
      </c>
      <c r="I41" s="56">
        <v>44941</v>
      </c>
      <c r="J41" t="s">
        <v>501</v>
      </c>
      <c r="L41" s="56"/>
      <c r="M41" s="1">
        <f>DATA_ABRIL_2025[[#This Row],[RECUPERO]]/DATA_ABRIL_2025[[#This Row],[META]]</f>
        <v>0.31111403508771929</v>
      </c>
      <c r="N41" t="str" cm="1">
        <f t="array" ref="N41">IF(DATA_ABRIL_2025[[#This Row],[ASER_]]="","",IFERROR(_xlfn.IFS(M41&gt;=100%,"&gt;100%",AND(M41&lt;100%,M41&gt;=70%),"&gt;70%",AND(M41&lt;70%,M41&gt;=40%),"&gt;40%",AND(M41&lt;40%,M41&gt;=0%),"&gt;0%"),""))</f>
        <v>&gt;0%</v>
      </c>
      <c r="O41" t="s">
        <v>9</v>
      </c>
      <c r="P41">
        <f>SUM(DATA_ABRIL_2025[[#This Row],[1]:[31]])</f>
        <v>17733.5</v>
      </c>
      <c r="Q41">
        <v>57000</v>
      </c>
      <c r="R41" t="s">
        <v>65</v>
      </c>
      <c r="U41">
        <v>216</v>
      </c>
      <c r="V41">
        <v>1.5</v>
      </c>
      <c r="Z41">
        <v>5000</v>
      </c>
      <c r="AB41">
        <v>1500</v>
      </c>
      <c r="AG41">
        <v>700</v>
      </c>
      <c r="AH41">
        <v>1562</v>
      </c>
      <c r="AJ41">
        <v>1500</v>
      </c>
      <c r="AO41">
        <v>665</v>
      </c>
      <c r="AQ41">
        <v>708</v>
      </c>
      <c r="AV41">
        <v>5881</v>
      </c>
      <c r="AX41" t="s">
        <v>150</v>
      </c>
    </row>
    <row r="42" spans="1:50" x14ac:dyDescent="0.25">
      <c r="A42" t="s">
        <v>6</v>
      </c>
      <c r="B42" t="s">
        <v>128</v>
      </c>
      <c r="C42">
        <f>VLOOKUP(D1_ABRIL_2025[[#This Row],[SUPER]],DATA_ABRIL_2025[[SUPERVISOR]:[META]],3,0)</f>
        <v>26000</v>
      </c>
      <c r="D42">
        <f>D1_ABRIL_2025[[#This Row],[RECUPERO]]/D1_ABRIL_2025[[#This Row],[META]]</f>
        <v>0.24307692307692308</v>
      </c>
      <c r="E42" t="s">
        <v>6</v>
      </c>
      <c r="F42" t="s">
        <v>128</v>
      </c>
      <c r="G42">
        <v>6320</v>
      </c>
      <c r="H42" t="s">
        <v>460</v>
      </c>
      <c r="I42" s="56">
        <v>45727</v>
      </c>
      <c r="J42" t="s">
        <v>501</v>
      </c>
      <c r="L42" s="56"/>
      <c r="M42" s="1">
        <f>DATA_ABRIL_2025[[#This Row],[RECUPERO]]/DATA_ABRIL_2025[[#This Row],[META]]</f>
        <v>0.71121951219512192</v>
      </c>
      <c r="N42" t="str" cm="1">
        <f t="array" ref="N42">IF(DATA_ABRIL_2025[[#This Row],[ASER_]]="","",IFERROR(_xlfn.IFS(M42&gt;=100%,"&gt;100%",AND(M42&lt;100%,M42&gt;=70%),"&gt;70%",AND(M42&lt;70%,M42&gt;=40%),"&gt;40%",AND(M42&lt;40%,M42&gt;=0%),"&gt;0%"),""))</f>
        <v>&gt;70%</v>
      </c>
      <c r="O42" t="s">
        <v>125</v>
      </c>
      <c r="P42">
        <f>SUM(DATA_ABRIL_2025[[#This Row],[1]:[31]])</f>
        <v>14580</v>
      </c>
      <c r="Q42">
        <v>20500</v>
      </c>
      <c r="R42" t="s">
        <v>20</v>
      </c>
      <c r="S42">
        <v>1398</v>
      </c>
      <c r="T42">
        <v>450</v>
      </c>
      <c r="U42">
        <v>550</v>
      </c>
      <c r="V42">
        <v>2551</v>
      </c>
      <c r="Y42">
        <v>1500</v>
      </c>
      <c r="AG42">
        <v>2000</v>
      </c>
      <c r="AT42">
        <v>200</v>
      </c>
      <c r="AV42">
        <v>5931</v>
      </c>
      <c r="AX42" t="s">
        <v>153</v>
      </c>
    </row>
    <row r="43" spans="1:50" x14ac:dyDescent="0.25">
      <c r="A43" t="s">
        <v>6</v>
      </c>
      <c r="B43" t="s">
        <v>34</v>
      </c>
      <c r="C43">
        <f>VLOOKUP(D1_ABRIL_2025[[#This Row],[SUPER]],DATA_ABRIL_2025[[SUPERVISOR]:[META]],3,0)</f>
        <v>26000</v>
      </c>
      <c r="D43">
        <f>D1_ABRIL_2025[[#This Row],[RECUPERO]]/D1_ABRIL_2025[[#This Row],[META]]</f>
        <v>0.75811538461538464</v>
      </c>
      <c r="E43" t="s">
        <v>6</v>
      </c>
      <c r="F43" t="s">
        <v>34</v>
      </c>
      <c r="G43">
        <v>19711</v>
      </c>
      <c r="H43" t="s">
        <v>407</v>
      </c>
      <c r="I43" s="56">
        <v>45175</v>
      </c>
      <c r="J43" t="s">
        <v>501</v>
      </c>
      <c r="L43" s="56"/>
      <c r="M43" s="1">
        <f>DATA_ABRIL_2025[[#This Row],[RECUPERO]]/DATA_ABRIL_2025[[#This Row],[META]]</f>
        <v>0.2803846153846154</v>
      </c>
      <c r="N43" t="str" cm="1">
        <f t="array" ref="N43">IF(DATA_ABRIL_2025[[#This Row],[ASER_]]="","",IFERROR(_xlfn.IFS(M43&gt;=100%,"&gt;100%",AND(M43&lt;100%,M43&gt;=70%),"&gt;70%",AND(M43&lt;70%,M43&gt;=40%),"&gt;40%",AND(M43&lt;40%,M43&gt;=0%),"&gt;0%"),""))</f>
        <v>&gt;0%</v>
      </c>
      <c r="O43" t="s">
        <v>6</v>
      </c>
      <c r="P43">
        <f>SUM(DATA_ABRIL_2025[[#This Row],[1]:[31]])</f>
        <v>7290</v>
      </c>
      <c r="Q43">
        <v>26000</v>
      </c>
      <c r="R43" t="s">
        <v>37</v>
      </c>
      <c r="Z43">
        <v>500</v>
      </c>
      <c r="AN43">
        <v>1300</v>
      </c>
      <c r="AP43">
        <v>240</v>
      </c>
      <c r="AU43">
        <v>5250</v>
      </c>
      <c r="AX43" t="s">
        <v>152</v>
      </c>
    </row>
    <row r="44" spans="1:50" x14ac:dyDescent="0.25">
      <c r="A44" t="s">
        <v>125</v>
      </c>
      <c r="B44" t="s">
        <v>21</v>
      </c>
      <c r="C44">
        <f>VLOOKUP(D1_ABRIL_2025[[#This Row],[SUPER]],DATA_ABRIL_2025[[SUPERVISOR]:[META]],3,0)</f>
        <v>20500</v>
      </c>
      <c r="D44">
        <f>D1_ABRIL_2025[[#This Row],[RECUPERO]]/D1_ABRIL_2025[[#This Row],[META]]</f>
        <v>0.86478536585365851</v>
      </c>
      <c r="E44" t="s">
        <v>125</v>
      </c>
      <c r="F44" t="s">
        <v>21</v>
      </c>
      <c r="G44">
        <v>17728.099999999999</v>
      </c>
      <c r="H44" t="s">
        <v>409</v>
      </c>
      <c r="I44" s="56">
        <v>44301</v>
      </c>
      <c r="J44" t="s">
        <v>501</v>
      </c>
      <c r="L44" s="56"/>
      <c r="M44" s="1">
        <f>DATA_ABRIL_2025[[#This Row],[RECUPERO]]/DATA_ABRIL_2025[[#This Row],[META]]</f>
        <v>0.31207317073170732</v>
      </c>
      <c r="N44" t="str" cm="1">
        <f t="array" ref="N44">IF(DATA_ABRIL_2025[[#This Row],[ASER_]]="","",IFERROR(_xlfn.IFS(M44&gt;=100%,"&gt;100%",AND(M44&lt;100%,M44&gt;=70%),"&gt;70%",AND(M44&lt;70%,M44&gt;=40%),"&gt;40%",AND(M44&lt;40%,M44&gt;=0%),"&gt;0%"),""))</f>
        <v>&gt;0%</v>
      </c>
      <c r="O44" t="s">
        <v>125</v>
      </c>
      <c r="P44">
        <f>SUM(DATA_ABRIL_2025[[#This Row],[1]:[31]])</f>
        <v>6397.5</v>
      </c>
      <c r="Q44">
        <v>20500</v>
      </c>
      <c r="R44" t="s">
        <v>106</v>
      </c>
      <c r="S44">
        <v>120</v>
      </c>
      <c r="U44">
        <v>100</v>
      </c>
      <c r="V44">
        <v>220</v>
      </c>
      <c r="W44">
        <v>50</v>
      </c>
      <c r="Z44">
        <v>850</v>
      </c>
      <c r="AA44">
        <v>550</v>
      </c>
      <c r="AB44">
        <v>100</v>
      </c>
      <c r="AG44">
        <v>477.5</v>
      </c>
      <c r="AH44">
        <v>350</v>
      </c>
      <c r="AM44">
        <v>930</v>
      </c>
      <c r="AN44">
        <v>70</v>
      </c>
      <c r="AO44">
        <v>300</v>
      </c>
      <c r="AP44">
        <v>700</v>
      </c>
      <c r="AR44">
        <v>250</v>
      </c>
      <c r="AU44">
        <v>700</v>
      </c>
      <c r="AV44">
        <v>630</v>
      </c>
      <c r="AX44" t="s">
        <v>153</v>
      </c>
    </row>
    <row r="45" spans="1:50" x14ac:dyDescent="0.25">
      <c r="A45" t="s">
        <v>125</v>
      </c>
      <c r="B45" t="s">
        <v>15</v>
      </c>
      <c r="C45">
        <f>VLOOKUP(D1_ABRIL_2025[[#This Row],[SUPER]],DATA_ABRIL_2025[[SUPERVISOR]:[META]],3,0)</f>
        <v>20500</v>
      </c>
      <c r="D45">
        <f>D1_ABRIL_2025[[#This Row],[RECUPERO]]/D1_ABRIL_2025[[#This Row],[META]]</f>
        <v>0.86068292682926828</v>
      </c>
      <c r="E45" t="s">
        <v>125</v>
      </c>
      <c r="F45" t="s">
        <v>15</v>
      </c>
      <c r="G45">
        <v>17644</v>
      </c>
      <c r="H45" t="s">
        <v>410</v>
      </c>
      <c r="I45" s="56">
        <v>44735</v>
      </c>
      <c r="J45" t="s">
        <v>501</v>
      </c>
      <c r="L45" s="56"/>
      <c r="M45" s="1">
        <f>DATA_ABRIL_2025[[#This Row],[RECUPERO]]/DATA_ABRIL_2025[[#This Row],[META]]</f>
        <v>0.26666666666666666</v>
      </c>
      <c r="N45" t="str" cm="1">
        <f t="array" ref="N45">IF(DATA_ABRIL_2025[[#This Row],[ASER_]]="","",IFERROR(_xlfn.IFS(M45&gt;=100%,"&gt;100%",AND(M45&lt;100%,M45&gt;=70%),"&gt;70%",AND(M45&lt;70%,M45&gt;=40%),"&gt;40%",AND(M45&lt;40%,M45&gt;=0%),"&gt;0%"),""))</f>
        <v>&gt;0%</v>
      </c>
      <c r="O45" t="s">
        <v>2</v>
      </c>
      <c r="P45">
        <f>SUM(DATA_ABRIL_2025[[#This Row],[1]:[31]])</f>
        <v>15200</v>
      </c>
      <c r="Q45">
        <v>57000</v>
      </c>
      <c r="R45" t="s">
        <v>77</v>
      </c>
      <c r="U45">
        <v>100</v>
      </c>
      <c r="Y45">
        <v>1700</v>
      </c>
      <c r="AA45">
        <v>1300</v>
      </c>
      <c r="AC45">
        <v>300</v>
      </c>
      <c r="AD45">
        <v>300</v>
      </c>
      <c r="AF45">
        <v>300</v>
      </c>
      <c r="AJ45">
        <v>1200</v>
      </c>
      <c r="AM45">
        <v>1500</v>
      </c>
      <c r="AO45">
        <v>350</v>
      </c>
      <c r="AP45">
        <v>350</v>
      </c>
      <c r="AT45">
        <v>7000</v>
      </c>
      <c r="AU45">
        <v>350</v>
      </c>
      <c r="AV45">
        <v>450</v>
      </c>
      <c r="AX45" t="s">
        <v>150</v>
      </c>
    </row>
    <row r="46" spans="1:50" x14ac:dyDescent="0.25">
      <c r="A46" t="s">
        <v>125</v>
      </c>
      <c r="B46" t="s">
        <v>104</v>
      </c>
      <c r="C46">
        <f>VLOOKUP(D1_ABRIL_2025[[#This Row],[SUPER]],DATA_ABRIL_2025[[SUPERVISOR]:[META]],3,0)</f>
        <v>20500</v>
      </c>
      <c r="D46">
        <f>D1_ABRIL_2025[[#This Row],[RECUPERO]]/D1_ABRIL_2025[[#This Row],[META]]</f>
        <v>0.29565853658536584</v>
      </c>
      <c r="E46" t="s">
        <v>125</v>
      </c>
      <c r="F46" t="s">
        <v>104</v>
      </c>
      <c r="G46">
        <v>6061</v>
      </c>
      <c r="H46" t="s">
        <v>456</v>
      </c>
      <c r="I46" s="56">
        <v>44104</v>
      </c>
      <c r="J46" t="s">
        <v>501</v>
      </c>
      <c r="L46" s="56"/>
      <c r="M46" s="1">
        <f>DATA_ABRIL_2025[[#This Row],[RECUPERO]]/DATA_ABRIL_2025[[#This Row],[META]]</f>
        <v>0.71696576923076927</v>
      </c>
      <c r="N46" t="str" cm="1">
        <f t="array" ref="N46">IF(DATA_ABRIL_2025[[#This Row],[ASER_]]="","",IFERROR(_xlfn.IFS(M46&gt;=100%,"&gt;100%",AND(M46&lt;100%,M46&gt;=70%),"&gt;70%",AND(M46&lt;70%,M46&gt;=40%),"&gt;40%",AND(M46&lt;40%,M46&gt;=0%),"&gt;0%"),""))</f>
        <v>&gt;70%</v>
      </c>
      <c r="O46" t="s">
        <v>6</v>
      </c>
      <c r="P46">
        <f>SUM(DATA_ABRIL_2025[[#This Row],[1]:[31]])</f>
        <v>18641.11</v>
      </c>
      <c r="Q46">
        <v>26000</v>
      </c>
      <c r="R46" t="s">
        <v>35</v>
      </c>
      <c r="U46">
        <v>720</v>
      </c>
      <c r="Z46">
        <v>500</v>
      </c>
      <c r="AB46">
        <v>2200</v>
      </c>
      <c r="AE46">
        <v>400</v>
      </c>
      <c r="AG46">
        <v>5000</v>
      </c>
      <c r="AH46">
        <v>2911.11</v>
      </c>
      <c r="AN46">
        <v>230</v>
      </c>
      <c r="AO46">
        <v>150</v>
      </c>
      <c r="AP46">
        <v>300</v>
      </c>
      <c r="AT46">
        <v>2550</v>
      </c>
      <c r="AU46">
        <v>2200</v>
      </c>
      <c r="AV46">
        <v>1480</v>
      </c>
      <c r="AX46" t="s">
        <v>152</v>
      </c>
    </row>
    <row r="47" spans="1:50" x14ac:dyDescent="0.25">
      <c r="A47" t="s">
        <v>125</v>
      </c>
      <c r="B47" t="s">
        <v>41</v>
      </c>
      <c r="C47">
        <f>VLOOKUP(D1_ABRIL_2025[[#This Row],[SUPER]],DATA_ABRIL_2025[[SUPERVISOR]:[META]],3,0)</f>
        <v>20500</v>
      </c>
      <c r="D47">
        <f>D1_ABRIL_2025[[#This Row],[RECUPERO]]/D1_ABRIL_2025[[#This Row],[META]]</f>
        <v>0.14487804878048779</v>
      </c>
      <c r="E47" t="s">
        <v>125</v>
      </c>
      <c r="F47" t="s">
        <v>41</v>
      </c>
      <c r="G47">
        <v>2970</v>
      </c>
      <c r="H47" t="s">
        <v>387</v>
      </c>
      <c r="I47" s="56">
        <v>45304</v>
      </c>
      <c r="J47" t="s">
        <v>501</v>
      </c>
      <c r="L47" s="56"/>
      <c r="M47" s="1">
        <f>DATA_ABRIL_2025[[#This Row],[RECUPERO]]/DATA_ABRIL_2025[[#This Row],[META]]</f>
        <v>0.22745365853658536</v>
      </c>
      <c r="N47" t="str" cm="1">
        <f t="array" ref="N47">IF(DATA_ABRIL_2025[[#This Row],[ASER_]]="","",IFERROR(_xlfn.IFS(M47&gt;=100%,"&gt;100%",AND(M47&lt;100%,M47&gt;=70%),"&gt;70%",AND(M47&lt;70%,M47&gt;=40%),"&gt;40%",AND(M47&lt;40%,M47&gt;=0%),"&gt;0%"),""))</f>
        <v>&gt;0%</v>
      </c>
      <c r="O47" t="s">
        <v>8</v>
      </c>
      <c r="P47">
        <f>SUM(DATA_ABRIL_2025[[#This Row],[1]:[31]])</f>
        <v>4662.8</v>
      </c>
      <c r="Q47">
        <v>20500</v>
      </c>
      <c r="R47" t="s">
        <v>33</v>
      </c>
      <c r="S47">
        <v>200</v>
      </c>
      <c r="T47">
        <v>250</v>
      </c>
      <c r="W47">
        <v>506</v>
      </c>
      <c r="Y47">
        <v>300</v>
      </c>
      <c r="AG47">
        <v>100</v>
      </c>
      <c r="AH47">
        <v>350</v>
      </c>
      <c r="AM47">
        <v>850</v>
      </c>
      <c r="AN47">
        <v>500</v>
      </c>
      <c r="AQ47">
        <v>300</v>
      </c>
      <c r="AV47">
        <v>1306.8</v>
      </c>
      <c r="AX47" t="s">
        <v>153</v>
      </c>
    </row>
    <row r="48" spans="1:50" x14ac:dyDescent="0.25">
      <c r="A48" t="s">
        <v>125</v>
      </c>
      <c r="B48" t="s">
        <v>71</v>
      </c>
      <c r="C48">
        <f>VLOOKUP(D1_ABRIL_2025[[#This Row],[SUPER]],DATA_ABRIL_2025[[SUPERVISOR]:[META]],3,0)</f>
        <v>20500</v>
      </c>
      <c r="D48">
        <f>D1_ABRIL_2025[[#This Row],[RECUPERO]]/D1_ABRIL_2025[[#This Row],[META]]</f>
        <v>0.55980487804878054</v>
      </c>
      <c r="E48" t="s">
        <v>125</v>
      </c>
      <c r="F48" t="s">
        <v>71</v>
      </c>
      <c r="G48">
        <v>11476</v>
      </c>
      <c r="H48" t="s">
        <v>414</v>
      </c>
      <c r="I48" s="56">
        <v>45423</v>
      </c>
      <c r="J48" t="s">
        <v>501</v>
      </c>
      <c r="L48" s="56"/>
      <c r="M48" s="1">
        <f>DATA_ABRIL_2025[[#This Row],[RECUPERO]]/DATA_ABRIL_2025[[#This Row],[META]]</f>
        <v>1.789719298245614</v>
      </c>
      <c r="N48" t="str" cm="1">
        <f t="array" ref="N48">IF(DATA_ABRIL_2025[[#This Row],[ASER_]]="","",IFERROR(_xlfn.IFS(M48&gt;=100%,"&gt;100%",AND(M48&lt;100%,M48&gt;=70%),"&gt;70%",AND(M48&lt;70%,M48&gt;=40%),"&gt;40%",AND(M48&lt;40%,M48&gt;=0%),"&gt;0%"),""))</f>
        <v>&gt;100%</v>
      </c>
      <c r="O48" t="s">
        <v>3</v>
      </c>
      <c r="P48">
        <f>SUM(DATA_ABRIL_2025[[#This Row],[1]:[31]])</f>
        <v>102014</v>
      </c>
      <c r="Q48">
        <v>57000</v>
      </c>
      <c r="R48" t="s">
        <v>23</v>
      </c>
      <c r="S48">
        <v>3667</v>
      </c>
      <c r="T48">
        <v>4830</v>
      </c>
      <c r="U48">
        <v>2400</v>
      </c>
      <c r="Y48">
        <v>5000</v>
      </c>
      <c r="AC48">
        <v>3085</v>
      </c>
      <c r="AD48">
        <v>17300</v>
      </c>
      <c r="AF48">
        <v>400</v>
      </c>
      <c r="AG48">
        <v>4345</v>
      </c>
      <c r="AH48">
        <v>2300</v>
      </c>
      <c r="AK48">
        <v>2000</v>
      </c>
      <c r="AM48">
        <v>2480</v>
      </c>
      <c r="AO48">
        <v>9000</v>
      </c>
      <c r="AQ48">
        <v>1500</v>
      </c>
      <c r="AR48">
        <v>500</v>
      </c>
      <c r="AT48">
        <v>2568</v>
      </c>
      <c r="AU48">
        <v>16675</v>
      </c>
      <c r="AV48">
        <v>23964</v>
      </c>
      <c r="AX48" t="s">
        <v>150</v>
      </c>
    </row>
    <row r="49" spans="1:50" x14ac:dyDescent="0.25">
      <c r="A49" t="s">
        <v>125</v>
      </c>
      <c r="B49" t="s">
        <v>42</v>
      </c>
      <c r="C49">
        <f>VLOOKUP(D1_ABRIL_2025[[#This Row],[SUPER]],DATA_ABRIL_2025[[SUPERVISOR]:[META]],3,0)</f>
        <v>20500</v>
      </c>
      <c r="D49">
        <f>D1_ABRIL_2025[[#This Row],[RECUPERO]]/D1_ABRIL_2025[[#This Row],[META]]</f>
        <v>0</v>
      </c>
      <c r="E49" t="s">
        <v>125</v>
      </c>
      <c r="F49" t="s">
        <v>42</v>
      </c>
      <c r="G49">
        <v>0</v>
      </c>
      <c r="H49" t="s">
        <v>415</v>
      </c>
      <c r="I49" s="56">
        <v>45399</v>
      </c>
      <c r="J49" t="s">
        <v>501</v>
      </c>
      <c r="L49" s="56"/>
      <c r="M49" s="1">
        <f>DATA_ABRIL_2025[[#This Row],[RECUPERO]]/DATA_ABRIL_2025[[#This Row],[META]]</f>
        <v>1.0424385964912282</v>
      </c>
      <c r="N49" t="str" cm="1">
        <f t="array" ref="N49">IF(DATA_ABRIL_2025[[#This Row],[ASER_]]="","",IFERROR(_xlfn.IFS(M49&gt;=100%,"&gt;100%",AND(M49&lt;100%,M49&gt;=70%),"&gt;70%",AND(M49&lt;70%,M49&gt;=40%),"&gt;40%",AND(M49&lt;40%,M49&gt;=0%),"&gt;0%"),""))</f>
        <v>&gt;100%</v>
      </c>
      <c r="O49" t="s">
        <v>5</v>
      </c>
      <c r="P49">
        <f>SUM(DATA_ABRIL_2025[[#This Row],[1]:[31]])</f>
        <v>59419</v>
      </c>
      <c r="Q49">
        <v>57000</v>
      </c>
      <c r="R49" t="s">
        <v>68</v>
      </c>
      <c r="S49">
        <v>1393</v>
      </c>
      <c r="U49">
        <v>890</v>
      </c>
      <c r="AB49">
        <v>4100</v>
      </c>
      <c r="AC49">
        <v>4000</v>
      </c>
      <c r="AF49">
        <v>3439</v>
      </c>
      <c r="AG49">
        <v>1390</v>
      </c>
      <c r="AH49">
        <v>16523</v>
      </c>
      <c r="AN49">
        <v>400</v>
      </c>
      <c r="AO49">
        <v>361</v>
      </c>
      <c r="AP49">
        <v>700</v>
      </c>
      <c r="AQ49">
        <v>18000</v>
      </c>
      <c r="AT49">
        <v>620</v>
      </c>
      <c r="AV49">
        <v>7603</v>
      </c>
      <c r="AX49" t="s">
        <v>150</v>
      </c>
    </row>
    <row r="50" spans="1:50" x14ac:dyDescent="0.25">
      <c r="A50" t="s">
        <v>125</v>
      </c>
      <c r="B50" t="s">
        <v>20</v>
      </c>
      <c r="C50">
        <f>VLOOKUP(D1_ABRIL_2025[[#This Row],[SUPER]],DATA_ABRIL_2025[[SUPERVISOR]:[META]],3,0)</f>
        <v>20500</v>
      </c>
      <c r="D50">
        <f>D1_ABRIL_2025[[#This Row],[RECUPERO]]/D1_ABRIL_2025[[#This Row],[META]]</f>
        <v>0.71121951219512192</v>
      </c>
      <c r="E50" t="s">
        <v>125</v>
      </c>
      <c r="F50" t="s">
        <v>20</v>
      </c>
      <c r="G50">
        <v>14580</v>
      </c>
      <c r="H50" t="s">
        <v>427</v>
      </c>
      <c r="I50" s="56">
        <v>45142</v>
      </c>
      <c r="J50" t="s">
        <v>501</v>
      </c>
      <c r="L50" s="56"/>
      <c r="M50" s="1">
        <f>DATA_ABRIL_2025[[#This Row],[RECUPERO]]/DATA_ABRIL_2025[[#This Row],[META]]</f>
        <v>0.8453846153846154</v>
      </c>
      <c r="N50" t="str" cm="1">
        <f t="array" ref="N50">IF(DATA_ABRIL_2025[[#This Row],[ASER_]]="","",IFERROR(_xlfn.IFS(M50&gt;=100%,"&gt;100%",AND(M50&lt;100%,M50&gt;=70%),"&gt;70%",AND(M50&lt;70%,M50&gt;=40%),"&gt;40%",AND(M50&lt;40%,M50&gt;=0%),"&gt;0%"),""))</f>
        <v>&gt;70%</v>
      </c>
      <c r="O50" t="s">
        <v>6</v>
      </c>
      <c r="P50">
        <f>SUM(DATA_ABRIL_2025[[#This Row],[1]:[31]])</f>
        <v>21980</v>
      </c>
      <c r="Q50">
        <v>26000</v>
      </c>
      <c r="R50" t="s">
        <v>31</v>
      </c>
      <c r="S50">
        <v>500</v>
      </c>
      <c r="T50">
        <v>4600</v>
      </c>
      <c r="AF50">
        <v>1200</v>
      </c>
      <c r="AH50">
        <v>500</v>
      </c>
      <c r="AM50">
        <v>11000</v>
      </c>
      <c r="AN50">
        <v>400</v>
      </c>
      <c r="AT50">
        <v>580</v>
      </c>
      <c r="AV50">
        <v>3200</v>
      </c>
      <c r="AX50" t="s">
        <v>152</v>
      </c>
    </row>
    <row r="51" spans="1:50" x14ac:dyDescent="0.25">
      <c r="A51" t="s">
        <v>125</v>
      </c>
      <c r="B51" t="s">
        <v>106</v>
      </c>
      <c r="C51">
        <f>VLOOKUP(D1_ABRIL_2025[[#This Row],[SUPER]],DATA_ABRIL_2025[[SUPERVISOR]:[META]],3,0)</f>
        <v>20500</v>
      </c>
      <c r="D51">
        <f>D1_ABRIL_2025[[#This Row],[RECUPERO]]/D1_ABRIL_2025[[#This Row],[META]]</f>
        <v>0.31207317073170732</v>
      </c>
      <c r="E51" t="s">
        <v>125</v>
      </c>
      <c r="F51" t="s">
        <v>106</v>
      </c>
      <c r="G51">
        <v>6397.5</v>
      </c>
      <c r="H51" t="s">
        <v>392</v>
      </c>
      <c r="I51" s="56">
        <v>44748</v>
      </c>
      <c r="J51" t="s">
        <v>501</v>
      </c>
      <c r="L51" s="56"/>
      <c r="M51" s="1">
        <f>DATA_ABRIL_2025[[#This Row],[RECUPERO]]/DATA_ABRIL_2025[[#This Row],[META]]</f>
        <v>0.6115570175438596</v>
      </c>
      <c r="N51" t="str" cm="1">
        <f t="array" ref="N51">IF(DATA_ABRIL_2025[[#This Row],[ASER_]]="","",IFERROR(_xlfn.IFS(M51&gt;=100%,"&gt;100%",AND(M51&lt;100%,M51&gt;=70%),"&gt;70%",AND(M51&lt;70%,M51&gt;=40%),"&gt;40%",AND(M51&lt;40%,M51&gt;=0%),"&gt;0%"),""))</f>
        <v>&gt;40%</v>
      </c>
      <c r="O51" t="s">
        <v>2</v>
      </c>
      <c r="P51">
        <f>SUM(DATA_ABRIL_2025[[#This Row],[1]:[31]])</f>
        <v>34858.75</v>
      </c>
      <c r="Q51">
        <v>57000</v>
      </c>
      <c r="R51" t="s">
        <v>29</v>
      </c>
      <c r="S51">
        <v>320</v>
      </c>
      <c r="T51">
        <v>5100</v>
      </c>
      <c r="Z51">
        <v>6000</v>
      </c>
      <c r="AB51">
        <v>600</v>
      </c>
      <c r="AF51">
        <v>300</v>
      </c>
      <c r="AG51">
        <v>600</v>
      </c>
      <c r="AH51">
        <v>2192</v>
      </c>
      <c r="AM51">
        <v>5400</v>
      </c>
      <c r="AN51">
        <v>5266</v>
      </c>
      <c r="AO51">
        <v>3000</v>
      </c>
      <c r="AP51">
        <v>935</v>
      </c>
      <c r="AQ51">
        <v>1621.75</v>
      </c>
      <c r="AU51">
        <v>1724</v>
      </c>
      <c r="AV51">
        <v>1800</v>
      </c>
      <c r="AX51" t="s">
        <v>150</v>
      </c>
    </row>
    <row r="52" spans="1:50" x14ac:dyDescent="0.25">
      <c r="A52" t="s">
        <v>125</v>
      </c>
      <c r="B52" t="s">
        <v>73</v>
      </c>
      <c r="C52">
        <f>VLOOKUP(D1_ABRIL_2025[[#This Row],[SUPER]],DATA_ABRIL_2025[[SUPERVISOR]:[META]],3,0)</f>
        <v>20500</v>
      </c>
      <c r="D52">
        <f>D1_ABRIL_2025[[#This Row],[RECUPERO]]/D1_ABRIL_2025[[#This Row],[META]]</f>
        <v>0.38907317073170733</v>
      </c>
      <c r="E52" t="s">
        <v>125</v>
      </c>
      <c r="F52" t="s">
        <v>73</v>
      </c>
      <c r="G52">
        <v>7976</v>
      </c>
      <c r="H52" t="s">
        <v>420</v>
      </c>
      <c r="I52" s="56">
        <v>45145</v>
      </c>
      <c r="J52" t="s">
        <v>501</v>
      </c>
      <c r="L52" s="56"/>
      <c r="M52" s="1">
        <f>DATA_ABRIL_2025[[#This Row],[RECUPERO]]/DATA_ABRIL_2025[[#This Row],[META]]</f>
        <v>0.80991228070175436</v>
      </c>
      <c r="N52" t="str" cm="1">
        <f t="array" ref="N52">IF(DATA_ABRIL_2025[[#This Row],[ASER_]]="","",IFERROR(_xlfn.IFS(M52&gt;=100%,"&gt;100%",AND(M52&lt;100%,M52&gt;=70%),"&gt;70%",AND(M52&lt;70%,M52&gt;=40%),"&gt;40%",AND(M52&lt;40%,M52&gt;=0%),"&gt;0%"),""))</f>
        <v>&gt;70%</v>
      </c>
      <c r="O52" t="s">
        <v>3</v>
      </c>
      <c r="P52">
        <f>SUM(DATA_ABRIL_2025[[#This Row],[1]:[31]])</f>
        <v>46165</v>
      </c>
      <c r="Q52">
        <v>57000</v>
      </c>
      <c r="R52" t="s">
        <v>25</v>
      </c>
      <c r="V52">
        <v>1600</v>
      </c>
      <c r="Y52">
        <v>600</v>
      </c>
      <c r="Z52">
        <v>2775</v>
      </c>
      <c r="AB52">
        <v>1500</v>
      </c>
      <c r="AC52">
        <v>5000</v>
      </c>
      <c r="AG52">
        <v>14500</v>
      </c>
      <c r="AN52">
        <v>4137</v>
      </c>
      <c r="AO52">
        <v>300</v>
      </c>
      <c r="AQ52">
        <v>10250</v>
      </c>
      <c r="AR52">
        <v>1500</v>
      </c>
      <c r="AS52">
        <v>424</v>
      </c>
      <c r="AT52">
        <v>1250</v>
      </c>
      <c r="AV52">
        <v>2329</v>
      </c>
      <c r="AX52" t="s">
        <v>150</v>
      </c>
    </row>
    <row r="53" spans="1:50" x14ac:dyDescent="0.25">
      <c r="A53" t="s">
        <v>8</v>
      </c>
      <c r="B53" t="s">
        <v>14</v>
      </c>
      <c r="C53">
        <f>VLOOKUP(D1_ABRIL_2025[[#This Row],[SUPER]],DATA_ABRIL_2025[[SUPERVISOR]:[META]],3,0)</f>
        <v>20500</v>
      </c>
      <c r="D53">
        <f>D1_ABRIL_2025[[#This Row],[RECUPERO]]/D1_ABRIL_2025[[#This Row],[META]]</f>
        <v>0.32687804878048782</v>
      </c>
      <c r="E53" t="s">
        <v>8</v>
      </c>
      <c r="F53" t="s">
        <v>14</v>
      </c>
      <c r="G53">
        <v>6701</v>
      </c>
      <c r="H53" t="s">
        <v>432</v>
      </c>
      <c r="I53" s="56">
        <v>45133</v>
      </c>
      <c r="J53" t="s">
        <v>501</v>
      </c>
      <c r="L53" s="56"/>
      <c r="M53" s="1">
        <f>DATA_ABRIL_2025[[#This Row],[RECUPERO]]/DATA_ABRIL_2025[[#This Row],[META]]</f>
        <v>0.40246153846153848</v>
      </c>
      <c r="N53" t="str" cm="1">
        <f t="array" ref="N53">IF(DATA_ABRIL_2025[[#This Row],[ASER_]]="","",IFERROR(_xlfn.IFS(M53&gt;=100%,"&gt;100%",AND(M53&lt;100%,M53&gt;=70%),"&gt;70%",AND(M53&lt;70%,M53&gt;=40%),"&gt;40%",AND(M53&lt;40%,M53&gt;=0%),"&gt;0%"),""))</f>
        <v>&gt;40%</v>
      </c>
      <c r="O53" t="s">
        <v>6</v>
      </c>
      <c r="P53">
        <f>SUM(DATA_ABRIL_2025[[#This Row],[1]:[31]])</f>
        <v>10464</v>
      </c>
      <c r="Q53">
        <v>26000</v>
      </c>
      <c r="R53" t="s">
        <v>110</v>
      </c>
      <c r="V53">
        <v>650</v>
      </c>
      <c r="AF53">
        <v>450</v>
      </c>
      <c r="AG53">
        <v>139</v>
      </c>
      <c r="AH53">
        <v>600</v>
      </c>
      <c r="AP53">
        <v>2000</v>
      </c>
      <c r="AQ53">
        <v>125</v>
      </c>
      <c r="AT53">
        <v>6500</v>
      </c>
      <c r="AX53" t="s">
        <v>152</v>
      </c>
    </row>
    <row r="54" spans="1:50" x14ac:dyDescent="0.25">
      <c r="A54" t="s">
        <v>8</v>
      </c>
      <c r="B54" t="s">
        <v>129</v>
      </c>
      <c r="C54">
        <f>VLOOKUP(D1_ABRIL_2025[[#This Row],[SUPER]],DATA_ABRIL_2025[[SUPERVISOR]:[META]],3,0)</f>
        <v>20500</v>
      </c>
      <c r="D54">
        <f>D1_ABRIL_2025[[#This Row],[RECUPERO]]/D1_ABRIL_2025[[#This Row],[META]]</f>
        <v>0.2097560975609756</v>
      </c>
      <c r="E54" t="s">
        <v>8</v>
      </c>
      <c r="F54" t="s">
        <v>129</v>
      </c>
      <c r="G54">
        <v>4300</v>
      </c>
      <c r="H54" t="s">
        <v>461</v>
      </c>
      <c r="I54" s="56">
        <v>45727</v>
      </c>
      <c r="J54" t="s">
        <v>501</v>
      </c>
      <c r="L54" s="56"/>
      <c r="M54" s="1">
        <f>DATA_ABRIL_2025[[#This Row],[RECUPERO]]/DATA_ABRIL_2025[[#This Row],[META]]</f>
        <v>1.0407017543859649</v>
      </c>
      <c r="N54" t="str" cm="1">
        <f t="array" ref="N54">IF(DATA_ABRIL_2025[[#This Row],[ASER_]]="","",IFERROR(_xlfn.IFS(M54&gt;=100%,"&gt;100%",AND(M54&lt;100%,M54&gt;=70%),"&gt;70%",AND(M54&lt;70%,M54&gt;=40%),"&gt;40%",AND(M54&lt;40%,M54&gt;=0%),"&gt;0%"),""))</f>
        <v>&gt;100%</v>
      </c>
      <c r="O54" t="s">
        <v>2</v>
      </c>
      <c r="P54">
        <f>SUM(DATA_ABRIL_2025[[#This Row],[1]:[31]])</f>
        <v>59320</v>
      </c>
      <c r="Q54">
        <v>57000</v>
      </c>
      <c r="R54" t="s">
        <v>17</v>
      </c>
      <c r="T54">
        <v>9000</v>
      </c>
      <c r="AA54">
        <v>9500</v>
      </c>
      <c r="AB54">
        <v>15000</v>
      </c>
      <c r="AF54">
        <v>491</v>
      </c>
      <c r="AK54">
        <v>333</v>
      </c>
      <c r="AM54">
        <v>1600</v>
      </c>
      <c r="AO54">
        <v>1000</v>
      </c>
      <c r="AP54">
        <v>1500</v>
      </c>
      <c r="AQ54">
        <v>666</v>
      </c>
      <c r="AT54">
        <v>8000</v>
      </c>
      <c r="AU54">
        <v>5000</v>
      </c>
      <c r="AV54">
        <v>7230</v>
      </c>
      <c r="AX54" t="s">
        <v>150</v>
      </c>
    </row>
    <row r="55" spans="1:50" x14ac:dyDescent="0.25">
      <c r="A55" t="s">
        <v>8</v>
      </c>
      <c r="B55" t="s">
        <v>24</v>
      </c>
      <c r="C55">
        <f>VLOOKUP(D1_ABRIL_2025[[#This Row],[SUPER]],DATA_ABRIL_2025[[SUPERVISOR]:[META]],3,0)</f>
        <v>20500</v>
      </c>
      <c r="D55">
        <f>D1_ABRIL_2025[[#This Row],[RECUPERO]]/D1_ABRIL_2025[[#This Row],[META]]</f>
        <v>0.8056585365853659</v>
      </c>
      <c r="E55" t="s">
        <v>8</v>
      </c>
      <c r="F55" t="s">
        <v>24</v>
      </c>
      <c r="G55">
        <v>16516</v>
      </c>
      <c r="H55" t="s">
        <v>434</v>
      </c>
      <c r="I55" s="56">
        <v>45334</v>
      </c>
      <c r="J55" t="s">
        <v>501</v>
      </c>
      <c r="L55" s="56"/>
      <c r="M55" s="1">
        <f>DATA_ABRIL_2025[[#This Row],[RECUPERO]]/DATA_ABRIL_2025[[#This Row],[META]]</f>
        <v>1.6714210526315789</v>
      </c>
      <c r="N55" t="str" cm="1">
        <f t="array" ref="N55">IF(DATA_ABRIL_2025[[#This Row],[ASER_]]="","",IFERROR(_xlfn.IFS(M55&gt;=100%,"&gt;100%",AND(M55&lt;100%,M55&gt;=70%),"&gt;70%",AND(M55&lt;70%,M55&gt;=40%),"&gt;40%",AND(M55&lt;40%,M55&gt;=0%),"&gt;0%"),""))</f>
        <v>&gt;100%</v>
      </c>
      <c r="O55" t="s">
        <v>9</v>
      </c>
      <c r="P55">
        <f>SUM(DATA_ABRIL_2025[[#This Row],[1]:[31]])</f>
        <v>95271</v>
      </c>
      <c r="Q55">
        <v>57000</v>
      </c>
      <c r="R55" t="s">
        <v>75</v>
      </c>
      <c r="S55">
        <v>2600</v>
      </c>
      <c r="T55">
        <v>2000</v>
      </c>
      <c r="U55">
        <v>45000</v>
      </c>
      <c r="V55">
        <v>1164</v>
      </c>
      <c r="AF55">
        <v>600</v>
      </c>
      <c r="AH55">
        <v>1700</v>
      </c>
      <c r="AI55">
        <v>400</v>
      </c>
      <c r="AM55">
        <v>11992</v>
      </c>
      <c r="AO55">
        <v>2100</v>
      </c>
      <c r="AP55">
        <v>3000</v>
      </c>
      <c r="AQ55">
        <v>800</v>
      </c>
      <c r="AT55">
        <v>15000</v>
      </c>
      <c r="AU55">
        <v>3600</v>
      </c>
      <c r="AV55">
        <v>5315</v>
      </c>
      <c r="AX55" t="s">
        <v>150</v>
      </c>
    </row>
    <row r="56" spans="1:50" x14ac:dyDescent="0.25">
      <c r="A56" t="s">
        <v>8</v>
      </c>
      <c r="B56" t="s">
        <v>51</v>
      </c>
      <c r="C56">
        <f>VLOOKUP(D1_ABRIL_2025[[#This Row],[SUPER]],DATA_ABRIL_2025[[SUPERVISOR]:[META]],3,0)</f>
        <v>20500</v>
      </c>
      <c r="D56">
        <f>D1_ABRIL_2025[[#This Row],[RECUPERO]]/D1_ABRIL_2025[[#This Row],[META]]</f>
        <v>0.21614634146341463</v>
      </c>
      <c r="E56" t="s">
        <v>8</v>
      </c>
      <c r="F56" t="s">
        <v>51</v>
      </c>
      <c r="G56">
        <v>4431</v>
      </c>
      <c r="H56" t="s">
        <v>413</v>
      </c>
      <c r="I56" s="56">
        <v>45674</v>
      </c>
      <c r="J56" t="s">
        <v>501</v>
      </c>
      <c r="L56" s="56"/>
      <c r="M56" s="1">
        <f>DATA_ABRIL_2025[[#This Row],[RECUPERO]]/DATA_ABRIL_2025[[#This Row],[META]]</f>
        <v>0.3092692307692308</v>
      </c>
      <c r="N56" t="str" cm="1">
        <f t="array" ref="N56">IF(DATA_ABRIL_2025[[#This Row],[ASER_]]="","",IFERROR(_xlfn.IFS(M56&gt;=100%,"&gt;100%",AND(M56&lt;100%,M56&gt;=70%),"&gt;70%",AND(M56&lt;70%,M56&gt;=40%),"&gt;40%",AND(M56&lt;40%,M56&gt;=0%),"&gt;0%"),""))</f>
        <v>&gt;0%</v>
      </c>
      <c r="O56" t="s">
        <v>6</v>
      </c>
      <c r="P56">
        <f>SUM(DATA_ABRIL_2025[[#This Row],[1]:[31]])</f>
        <v>8041</v>
      </c>
      <c r="Q56">
        <v>26000</v>
      </c>
      <c r="R56" t="s">
        <v>36</v>
      </c>
      <c r="T56">
        <v>300</v>
      </c>
      <c r="AB56">
        <v>200</v>
      </c>
      <c r="AC56">
        <v>250</v>
      </c>
      <c r="AF56">
        <v>300</v>
      </c>
      <c r="AG56">
        <v>480</v>
      </c>
      <c r="AM56">
        <v>4700</v>
      </c>
      <c r="AN56">
        <v>1371</v>
      </c>
      <c r="AV56">
        <v>440</v>
      </c>
      <c r="AX56" t="s">
        <v>152</v>
      </c>
    </row>
    <row r="57" spans="1:50" x14ac:dyDescent="0.25">
      <c r="A57" t="s">
        <v>8</v>
      </c>
      <c r="B57" t="s">
        <v>83</v>
      </c>
      <c r="C57">
        <f>VLOOKUP(D1_ABRIL_2025[[#This Row],[SUPER]],DATA_ABRIL_2025[[SUPERVISOR]:[META]],3,0)</f>
        <v>20500</v>
      </c>
      <c r="D57">
        <f>D1_ABRIL_2025[[#This Row],[RECUPERO]]/D1_ABRIL_2025[[#This Row],[META]]</f>
        <v>0.72634146341463413</v>
      </c>
      <c r="E57" t="s">
        <v>8</v>
      </c>
      <c r="F57" t="s">
        <v>83</v>
      </c>
      <c r="G57">
        <v>14890</v>
      </c>
      <c r="H57" t="s">
        <v>435</v>
      </c>
      <c r="I57" s="56">
        <v>44937</v>
      </c>
      <c r="J57" t="s">
        <v>501</v>
      </c>
      <c r="L57" s="56"/>
      <c r="M57" s="1">
        <f>DATA_ABRIL_2025[[#This Row],[RECUPERO]]/DATA_ABRIL_2025[[#This Row],[META]]</f>
        <v>0.52330508771929829</v>
      </c>
      <c r="N57" t="str" cm="1">
        <f t="array" ref="N57">IF(DATA_ABRIL_2025[[#This Row],[ASER_]]="","",IFERROR(_xlfn.IFS(M57&gt;=100%,"&gt;100%",AND(M57&lt;100%,M57&gt;=70%),"&gt;70%",AND(M57&lt;70%,M57&gt;=40%),"&gt;40%",AND(M57&lt;40%,M57&gt;=0%),"&gt;0%"),""))</f>
        <v>&gt;40%</v>
      </c>
      <c r="O57" t="s">
        <v>9</v>
      </c>
      <c r="P57">
        <f>SUM(DATA_ABRIL_2025[[#This Row],[1]:[31]])</f>
        <v>29828.39</v>
      </c>
      <c r="Q57">
        <v>57000</v>
      </c>
      <c r="R57" t="s">
        <v>62</v>
      </c>
      <c r="U57">
        <v>1000</v>
      </c>
      <c r="Z57">
        <v>300</v>
      </c>
      <c r="AG57">
        <v>14000.3</v>
      </c>
      <c r="AH57">
        <v>3806.09</v>
      </c>
      <c r="AI57">
        <v>600</v>
      </c>
      <c r="AP57">
        <v>600</v>
      </c>
      <c r="AS57">
        <v>400</v>
      </c>
      <c r="AT57">
        <v>600</v>
      </c>
      <c r="AU57">
        <v>4023</v>
      </c>
      <c r="AV57">
        <v>4499</v>
      </c>
      <c r="AX57" t="s">
        <v>150</v>
      </c>
    </row>
    <row r="58" spans="1:50" x14ac:dyDescent="0.25">
      <c r="A58" t="s">
        <v>8</v>
      </c>
      <c r="B58" t="s">
        <v>33</v>
      </c>
      <c r="C58">
        <f>VLOOKUP(D1_ABRIL_2025[[#This Row],[SUPER]],DATA_ABRIL_2025[[SUPERVISOR]:[META]],3,0)</f>
        <v>20500</v>
      </c>
      <c r="D58">
        <f>D1_ABRIL_2025[[#This Row],[RECUPERO]]/D1_ABRIL_2025[[#This Row],[META]]</f>
        <v>0.22745365853658536</v>
      </c>
      <c r="E58" t="s">
        <v>8</v>
      </c>
      <c r="F58" t="s">
        <v>33</v>
      </c>
      <c r="G58">
        <v>4662.8</v>
      </c>
      <c r="H58" t="s">
        <v>439</v>
      </c>
      <c r="I58" s="56">
        <v>44869</v>
      </c>
      <c r="J58" t="s">
        <v>501</v>
      </c>
      <c r="L58" s="56"/>
      <c r="M58" s="1">
        <f>DATA_ABRIL_2025[[#This Row],[RECUPERO]]/DATA_ABRIL_2025[[#This Row],[META]]</f>
        <v>0.66391228070175434</v>
      </c>
      <c r="N58" t="str" cm="1">
        <f t="array" ref="N58">IF(DATA_ABRIL_2025[[#This Row],[ASER_]]="","",IFERROR(_xlfn.IFS(M58&gt;=100%,"&gt;100%",AND(M58&lt;100%,M58&gt;=70%),"&gt;70%",AND(M58&lt;70%,M58&gt;=40%),"&gt;40%",AND(M58&lt;40%,M58&gt;=0%),"&gt;0%"),""))</f>
        <v>&gt;40%</v>
      </c>
      <c r="O58" t="s">
        <v>5</v>
      </c>
      <c r="P58">
        <f>SUM(DATA_ABRIL_2025[[#This Row],[1]:[31]])</f>
        <v>37843</v>
      </c>
      <c r="Q58">
        <v>57000</v>
      </c>
      <c r="R58" t="s">
        <v>70</v>
      </c>
      <c r="U58">
        <v>1450</v>
      </c>
      <c r="Y58">
        <v>600</v>
      </c>
      <c r="AB58">
        <v>400</v>
      </c>
      <c r="AC58">
        <v>1675</v>
      </c>
      <c r="AD58">
        <v>10000</v>
      </c>
      <c r="AF58">
        <v>10000</v>
      </c>
      <c r="AN58">
        <v>370</v>
      </c>
      <c r="AO58">
        <v>746</v>
      </c>
      <c r="AP58">
        <v>1300</v>
      </c>
      <c r="AQ58">
        <v>200</v>
      </c>
      <c r="AT58">
        <v>5807</v>
      </c>
      <c r="AV58">
        <v>5295</v>
      </c>
      <c r="AX58" t="s">
        <v>150</v>
      </c>
    </row>
    <row r="59" spans="1:50" x14ac:dyDescent="0.25">
      <c r="A59" t="s">
        <v>8</v>
      </c>
      <c r="B59" t="s">
        <v>78</v>
      </c>
      <c r="C59">
        <f>VLOOKUP(D1_ABRIL_2025[[#This Row],[SUPER]],DATA_ABRIL_2025[[SUPERVISOR]:[META]],3,0)</f>
        <v>20500</v>
      </c>
      <c r="D59">
        <f>D1_ABRIL_2025[[#This Row],[RECUPERO]]/D1_ABRIL_2025[[#This Row],[META]]</f>
        <v>0.97258536585365851</v>
      </c>
      <c r="E59" t="s">
        <v>8</v>
      </c>
      <c r="F59" t="s">
        <v>78</v>
      </c>
      <c r="G59">
        <v>19938</v>
      </c>
      <c r="H59" t="s">
        <v>397</v>
      </c>
      <c r="I59" s="56">
        <v>44945</v>
      </c>
      <c r="J59" t="s">
        <v>501</v>
      </c>
      <c r="L59" s="56"/>
      <c r="M59" s="1">
        <f>DATA_ABRIL_2025[[#This Row],[RECUPERO]]/DATA_ABRIL_2025[[#This Row],[META]]</f>
        <v>1.0634612280701754</v>
      </c>
      <c r="N59" t="str" cm="1">
        <f t="array" ref="N59">IF(DATA_ABRIL_2025[[#This Row],[ASER_]]="","",IFERROR(_xlfn.IFS(M59&gt;=100%,"&gt;100%",AND(M59&lt;100%,M59&gt;=70%),"&gt;70%",AND(M59&lt;70%,M59&gt;=40%),"&gt;40%",AND(M59&lt;40%,M59&gt;=0%),"&gt;0%"),""))</f>
        <v>&gt;100%</v>
      </c>
      <c r="O59" t="s">
        <v>9</v>
      </c>
      <c r="P59">
        <f>SUM(DATA_ABRIL_2025[[#This Row],[1]:[31]])</f>
        <v>60617.29</v>
      </c>
      <c r="Q59">
        <v>57000</v>
      </c>
      <c r="R59" t="s">
        <v>64</v>
      </c>
      <c r="T59">
        <v>421.29</v>
      </c>
      <c r="U59">
        <v>28207</v>
      </c>
      <c r="V59">
        <v>590</v>
      </c>
      <c r="AB59">
        <v>323</v>
      </c>
      <c r="AC59">
        <v>7000</v>
      </c>
      <c r="AG59">
        <v>2650</v>
      </c>
      <c r="AH59">
        <v>2250</v>
      </c>
      <c r="AM59">
        <v>13000</v>
      </c>
      <c r="AQ59">
        <v>3000</v>
      </c>
      <c r="AU59">
        <v>2500</v>
      </c>
      <c r="AV59">
        <v>676</v>
      </c>
      <c r="AX59" t="s">
        <v>150</v>
      </c>
    </row>
    <row r="60" spans="1:50" x14ac:dyDescent="0.25">
      <c r="A60" t="s">
        <v>8</v>
      </c>
      <c r="B60" t="s">
        <v>39</v>
      </c>
      <c r="C60">
        <f>VLOOKUP(D1_ABRIL_2025[[#This Row],[SUPER]],DATA_ABRIL_2025[[SUPERVISOR]:[META]],3,0)</f>
        <v>20500</v>
      </c>
      <c r="D60">
        <f>D1_ABRIL_2025[[#This Row],[RECUPERO]]/D1_ABRIL_2025[[#This Row],[META]]</f>
        <v>1.4788292682926829</v>
      </c>
      <c r="E60" t="s">
        <v>8</v>
      </c>
      <c r="F60" t="s">
        <v>39</v>
      </c>
      <c r="G60">
        <v>30316</v>
      </c>
      <c r="H60" t="s">
        <v>452</v>
      </c>
      <c r="I60" s="56">
        <v>44951</v>
      </c>
      <c r="J60" t="s">
        <v>501</v>
      </c>
      <c r="L60" s="56"/>
      <c r="M60" s="1">
        <f>DATA_ABRIL_2025[[#This Row],[RECUPERO]]/DATA_ABRIL_2025[[#This Row],[META]]</f>
        <v>0.26163157894736844</v>
      </c>
      <c r="N60" t="str" cm="1">
        <f t="array" ref="N60">IF(DATA_ABRIL_2025[[#This Row],[ASER_]]="","",IFERROR(_xlfn.IFS(M60&gt;=100%,"&gt;100%",AND(M60&lt;100%,M60&gt;=70%),"&gt;70%",AND(M60&lt;70%,M60&gt;=40%),"&gt;40%",AND(M60&lt;40%,M60&gt;=0%),"&gt;0%"),""))</f>
        <v>&gt;0%</v>
      </c>
      <c r="O60" t="s">
        <v>3</v>
      </c>
      <c r="P60">
        <f>SUM(DATA_ABRIL_2025[[#This Row],[1]:[31]])</f>
        <v>14913</v>
      </c>
      <c r="Q60">
        <v>57000</v>
      </c>
      <c r="R60" t="s">
        <v>107</v>
      </c>
      <c r="T60">
        <v>390</v>
      </c>
      <c r="V60">
        <v>2000</v>
      </c>
      <c r="AB60">
        <v>4500</v>
      </c>
      <c r="AH60">
        <v>220</v>
      </c>
      <c r="AN60">
        <v>303</v>
      </c>
      <c r="AO60">
        <v>200</v>
      </c>
      <c r="AP60">
        <v>1000</v>
      </c>
      <c r="AU60">
        <v>600</v>
      </c>
      <c r="AV60">
        <v>5700</v>
      </c>
      <c r="AX60" t="s">
        <v>150</v>
      </c>
    </row>
    <row r="61" spans="1:50" x14ac:dyDescent="0.25">
      <c r="A61" t="s">
        <v>8</v>
      </c>
      <c r="B61" t="s">
        <v>56</v>
      </c>
      <c r="C61">
        <f>VLOOKUP(D1_ABRIL_2025[[#This Row],[SUPER]],DATA_ABRIL_2025[[SUPERVISOR]:[META]],3,0)</f>
        <v>20500</v>
      </c>
      <c r="D61">
        <f>D1_ABRIL_2025[[#This Row],[RECUPERO]]/D1_ABRIL_2025[[#This Row],[META]]</f>
        <v>3.3219512195121953E-2</v>
      </c>
      <c r="E61" t="s">
        <v>8</v>
      </c>
      <c r="F61" t="s">
        <v>56</v>
      </c>
      <c r="G61">
        <v>681</v>
      </c>
      <c r="H61" t="s">
        <v>464</v>
      </c>
      <c r="I61" s="56">
        <v>45772</v>
      </c>
      <c r="J61" t="s">
        <v>501</v>
      </c>
      <c r="L61" s="56"/>
      <c r="M61" s="1">
        <f>DATA_ABRIL_2025[[#This Row],[RECUPERO]]/DATA_ABRIL_2025[[#This Row],[META]]</f>
        <v>0.33226315789473682</v>
      </c>
      <c r="N61" t="str" cm="1">
        <f t="array" ref="N61">IF(DATA_ABRIL_2025[[#This Row],[ASER_]]="","",IFERROR(_xlfn.IFS(M61&gt;=100%,"&gt;100%",AND(M61&lt;100%,M61&gt;=70%),"&gt;70%",AND(M61&lt;70%,M61&gt;=40%),"&gt;40%",AND(M61&lt;40%,M61&gt;=0%),"&gt;0%"),""))</f>
        <v>&gt;0%</v>
      </c>
      <c r="O61" t="s">
        <v>2</v>
      </c>
      <c r="P61">
        <f>SUM(DATA_ABRIL_2025[[#This Row],[1]:[31]])</f>
        <v>18939</v>
      </c>
      <c r="Q61">
        <v>57000</v>
      </c>
      <c r="R61" t="s">
        <v>11</v>
      </c>
      <c r="V61">
        <v>1318</v>
      </c>
      <c r="Y61">
        <v>523</v>
      </c>
      <c r="Z61">
        <v>3500</v>
      </c>
      <c r="AA61">
        <v>1587</v>
      </c>
      <c r="AC61">
        <v>600</v>
      </c>
      <c r="AD61">
        <v>1000</v>
      </c>
      <c r="AF61">
        <v>1108</v>
      </c>
      <c r="AG61">
        <v>600</v>
      </c>
      <c r="AI61">
        <v>800</v>
      </c>
      <c r="AM61">
        <v>1000</v>
      </c>
      <c r="AP61">
        <v>688</v>
      </c>
      <c r="AQ61">
        <v>2109</v>
      </c>
      <c r="AT61">
        <v>261</v>
      </c>
      <c r="AV61">
        <v>3845</v>
      </c>
      <c r="AX61" t="s">
        <v>150</v>
      </c>
    </row>
    <row r="62" spans="1:50" x14ac:dyDescent="0.25">
      <c r="A62" t="s">
        <v>124</v>
      </c>
      <c r="B62" t="s">
        <v>61</v>
      </c>
      <c r="C62">
        <f>VLOOKUP(D1_ABRIL_2025[[#This Row],[SUPER]],DATA_ABRIL_2025[[SUPERVISOR]:[META]],3,0)</f>
        <v>20500</v>
      </c>
      <c r="D62">
        <f>D1_ABRIL_2025[[#This Row],[RECUPERO]]/D1_ABRIL_2025[[#This Row],[META]]</f>
        <v>1.0503170731707316</v>
      </c>
      <c r="E62" t="s">
        <v>124</v>
      </c>
      <c r="F62" t="s">
        <v>61</v>
      </c>
      <c r="G62">
        <v>21531.5</v>
      </c>
      <c r="H62" t="s">
        <v>411</v>
      </c>
      <c r="I62" s="56">
        <v>44909</v>
      </c>
      <c r="J62" t="s">
        <v>501</v>
      </c>
      <c r="L62" s="56"/>
      <c r="M62" s="1">
        <f>DATA_ABRIL_2025[[#This Row],[RECUPERO]]/DATA_ABRIL_2025[[#This Row],[META]]</f>
        <v>0.24903902439024392</v>
      </c>
      <c r="N62" t="str" cm="1">
        <f t="array" ref="N62">IF(DATA_ABRIL_2025[[#This Row],[ASER_]]="","",IFERROR(_xlfn.IFS(M62&gt;=100%,"&gt;100%",AND(M62&lt;100%,M62&gt;=70%),"&gt;70%",AND(M62&lt;70%,M62&gt;=40%),"&gt;40%",AND(M62&lt;40%,M62&gt;=0%),"&gt;0%"),""))</f>
        <v>&gt;0%</v>
      </c>
      <c r="O62" t="s">
        <v>124</v>
      </c>
      <c r="P62">
        <f>SUM(DATA_ABRIL_2025[[#This Row],[1]:[31]])</f>
        <v>5105.3</v>
      </c>
      <c r="Q62">
        <v>20500</v>
      </c>
      <c r="R62" t="s">
        <v>74</v>
      </c>
      <c r="U62">
        <v>1050</v>
      </c>
      <c r="Y62">
        <v>400</v>
      </c>
      <c r="Z62">
        <v>600</v>
      </c>
      <c r="AA62">
        <v>1110</v>
      </c>
      <c r="AH62">
        <v>1275.3</v>
      </c>
      <c r="AN62">
        <v>255</v>
      </c>
      <c r="AP62">
        <v>300</v>
      </c>
      <c r="AT62">
        <v>115</v>
      </c>
      <c r="AX62" t="s">
        <v>153</v>
      </c>
    </row>
    <row r="63" spans="1:50" x14ac:dyDescent="0.25">
      <c r="A63" t="s">
        <v>124</v>
      </c>
      <c r="B63" t="s">
        <v>80</v>
      </c>
      <c r="C63">
        <f>VLOOKUP(D1_ABRIL_2025[[#This Row],[SUPER]],DATA_ABRIL_2025[[SUPERVISOR]:[META]],3,0)</f>
        <v>20500</v>
      </c>
      <c r="D63">
        <f>D1_ABRIL_2025[[#This Row],[RECUPERO]]/D1_ABRIL_2025[[#This Row],[META]]</f>
        <v>0.47385365853658534</v>
      </c>
      <c r="E63" t="s">
        <v>124</v>
      </c>
      <c r="F63" t="s">
        <v>80</v>
      </c>
      <c r="G63">
        <v>9714</v>
      </c>
      <c r="H63" t="s">
        <v>433</v>
      </c>
      <c r="I63" s="56">
        <v>45285</v>
      </c>
      <c r="J63" t="s">
        <v>501</v>
      </c>
      <c r="L63" s="56"/>
      <c r="M63" s="1">
        <f>DATA_ABRIL_2025[[#This Row],[RECUPERO]]/DATA_ABRIL_2025[[#This Row],[META]]</f>
        <v>0.47192982456140353</v>
      </c>
      <c r="N63" t="str" cm="1">
        <f t="array" ref="N63">IF(DATA_ABRIL_2025[[#This Row],[ASER_]]="","",IFERROR(_xlfn.IFS(M63&gt;=100%,"&gt;100%",AND(M63&lt;100%,M63&gt;=70%),"&gt;70%",AND(M63&lt;70%,M63&gt;=40%),"&gt;40%",AND(M63&lt;40%,M63&gt;=0%),"&gt;0%"),""))</f>
        <v>&gt;40%</v>
      </c>
      <c r="O63" t="s">
        <v>5</v>
      </c>
      <c r="P63">
        <f>SUM(DATA_ABRIL_2025[[#This Row],[1]:[31]])</f>
        <v>26900</v>
      </c>
      <c r="Q63">
        <v>57000</v>
      </c>
      <c r="R63" t="s">
        <v>79</v>
      </c>
      <c r="Z63">
        <v>600</v>
      </c>
      <c r="AA63">
        <v>6000</v>
      </c>
      <c r="AB63">
        <v>5600</v>
      </c>
      <c r="AC63">
        <v>7000</v>
      </c>
      <c r="AN63">
        <v>2700</v>
      </c>
      <c r="AO63">
        <v>2000</v>
      </c>
      <c r="AP63">
        <v>1300</v>
      </c>
      <c r="AT63">
        <v>600</v>
      </c>
      <c r="AV63">
        <v>1100</v>
      </c>
      <c r="AX63" t="s">
        <v>150</v>
      </c>
    </row>
    <row r="64" spans="1:50" x14ac:dyDescent="0.25">
      <c r="A64" t="s">
        <v>124</v>
      </c>
      <c r="B64" t="s">
        <v>16</v>
      </c>
      <c r="C64">
        <f>VLOOKUP(D1_ABRIL_2025[[#This Row],[SUPER]],DATA_ABRIL_2025[[SUPERVISOR]:[META]],3,0)</f>
        <v>20500</v>
      </c>
      <c r="D64">
        <f>D1_ABRIL_2025[[#This Row],[RECUPERO]]/D1_ABRIL_2025[[#This Row],[META]]</f>
        <v>0.39595121951219514</v>
      </c>
      <c r="E64" t="s">
        <v>124</v>
      </c>
      <c r="F64" t="s">
        <v>16</v>
      </c>
      <c r="G64">
        <v>8117</v>
      </c>
      <c r="H64" t="s">
        <v>388</v>
      </c>
      <c r="I64" s="56">
        <v>45334</v>
      </c>
      <c r="J64" t="s">
        <v>501</v>
      </c>
      <c r="L64" s="56"/>
      <c r="M64" s="1">
        <f>DATA_ABRIL_2025[[#This Row],[RECUPERO]]/DATA_ABRIL_2025[[#This Row],[META]]</f>
        <v>0.79937982456140355</v>
      </c>
      <c r="N64" t="str" cm="1">
        <f t="array" ref="N64">IF(DATA_ABRIL_2025[[#This Row],[ASER_]]="","",IFERROR(_xlfn.IFS(M64&gt;=100%,"&gt;100%",AND(M64&lt;100%,M64&gt;=70%),"&gt;70%",AND(M64&lt;70%,M64&gt;=40%),"&gt;40%",AND(M64&lt;40%,M64&gt;=0%),"&gt;0%"),""))</f>
        <v>&gt;70%</v>
      </c>
      <c r="O64" t="s">
        <v>9</v>
      </c>
      <c r="P64">
        <f>SUM(DATA_ABRIL_2025[[#This Row],[1]:[31]])</f>
        <v>45564.65</v>
      </c>
      <c r="Q64">
        <v>57000</v>
      </c>
      <c r="R64" t="s">
        <v>59</v>
      </c>
      <c r="S64">
        <v>1577</v>
      </c>
      <c r="T64">
        <v>5088.6499999999996</v>
      </c>
      <c r="Y64">
        <v>1300</v>
      </c>
      <c r="Z64">
        <v>500</v>
      </c>
      <c r="AB64">
        <v>1155</v>
      </c>
      <c r="AF64">
        <v>1500</v>
      </c>
      <c r="AG64">
        <v>600</v>
      </c>
      <c r="AH64">
        <v>2300</v>
      </c>
      <c r="AN64">
        <v>4700</v>
      </c>
      <c r="AO64">
        <v>5000</v>
      </c>
      <c r="AP64">
        <v>600</v>
      </c>
      <c r="AQ64">
        <v>500</v>
      </c>
      <c r="AT64">
        <v>1000</v>
      </c>
      <c r="AU64">
        <v>12500</v>
      </c>
      <c r="AV64">
        <v>7244</v>
      </c>
      <c r="AX64" t="s">
        <v>150</v>
      </c>
    </row>
    <row r="65" spans="1:50" x14ac:dyDescent="0.25">
      <c r="A65" t="s">
        <v>124</v>
      </c>
      <c r="B65" t="s">
        <v>27</v>
      </c>
      <c r="C65">
        <f>VLOOKUP(D1_ABRIL_2025[[#This Row],[SUPER]],DATA_ABRIL_2025[[SUPERVISOR]:[META]],3,0)</f>
        <v>20500</v>
      </c>
      <c r="D65">
        <f>D1_ABRIL_2025[[#This Row],[RECUPERO]]/D1_ABRIL_2025[[#This Row],[META]]</f>
        <v>0.28731707317073168</v>
      </c>
      <c r="E65" t="s">
        <v>124</v>
      </c>
      <c r="F65" t="s">
        <v>27</v>
      </c>
      <c r="G65">
        <v>5890</v>
      </c>
      <c r="H65" t="s">
        <v>412</v>
      </c>
      <c r="I65" s="56">
        <v>45675</v>
      </c>
      <c r="J65" t="s">
        <v>501</v>
      </c>
      <c r="L65" s="56"/>
      <c r="M65" s="1">
        <f>DATA_ABRIL_2025[[#This Row],[RECUPERO]]/DATA_ABRIL_2025[[#This Row],[META]]</f>
        <v>0.27421052631578946</v>
      </c>
      <c r="N65" t="str" cm="1">
        <f t="array" ref="N65">IF(DATA_ABRIL_2025[[#This Row],[ASER_]]="","",IFERROR(_xlfn.IFS(M65&gt;=100%,"&gt;100%",AND(M65&lt;100%,M65&gt;=70%),"&gt;70%",AND(M65&lt;70%,M65&gt;=40%),"&gt;40%",AND(M65&lt;40%,M65&gt;=0%),"&gt;0%"),""))</f>
        <v>&gt;0%</v>
      </c>
      <c r="O65" t="s">
        <v>9</v>
      </c>
      <c r="P65">
        <f>SUM(DATA_ABRIL_2025[[#This Row],[1]:[31]])</f>
        <v>15630</v>
      </c>
      <c r="Q65">
        <v>57000</v>
      </c>
      <c r="R65" t="s">
        <v>63</v>
      </c>
      <c r="T65">
        <v>1530</v>
      </c>
      <c r="U65">
        <v>4735</v>
      </c>
      <c r="V65">
        <v>50</v>
      </c>
      <c r="X65">
        <v>730</v>
      </c>
      <c r="Y65">
        <v>832</v>
      </c>
      <c r="AF65">
        <v>1135</v>
      </c>
      <c r="AG65">
        <v>300</v>
      </c>
      <c r="AH65">
        <v>1430</v>
      </c>
      <c r="AK65">
        <v>460</v>
      </c>
      <c r="AM65">
        <v>449</v>
      </c>
      <c r="AO65">
        <v>308</v>
      </c>
      <c r="AP65">
        <v>150</v>
      </c>
      <c r="AQ65">
        <v>0</v>
      </c>
      <c r="AT65">
        <v>850</v>
      </c>
      <c r="AU65">
        <v>624</v>
      </c>
      <c r="AV65">
        <v>2047</v>
      </c>
      <c r="AX65" t="s">
        <v>150</v>
      </c>
    </row>
    <row r="66" spans="1:50" x14ac:dyDescent="0.25">
      <c r="A66" t="s">
        <v>124</v>
      </c>
      <c r="B66" t="s">
        <v>32</v>
      </c>
      <c r="C66">
        <f>VLOOKUP(D1_ABRIL_2025[[#This Row],[SUPER]],DATA_ABRIL_2025[[SUPERVISOR]:[META]],3,0)</f>
        <v>20500</v>
      </c>
      <c r="D66">
        <f>D1_ABRIL_2025[[#This Row],[RECUPERO]]/D1_ABRIL_2025[[#This Row],[META]]</f>
        <v>0.28375609756097558</v>
      </c>
      <c r="E66" t="s">
        <v>124</v>
      </c>
      <c r="F66" t="s">
        <v>32</v>
      </c>
      <c r="G66">
        <v>5817</v>
      </c>
      <c r="H66" t="s">
        <v>390</v>
      </c>
      <c r="I66" s="56">
        <v>45530</v>
      </c>
      <c r="J66" t="s">
        <v>501</v>
      </c>
      <c r="L66" s="56"/>
      <c r="M66" s="1">
        <f>DATA_ABRIL_2025[[#This Row],[RECUPERO]]/DATA_ABRIL_2025[[#This Row],[META]]</f>
        <v>0.31157894736842107</v>
      </c>
      <c r="N66" t="str" cm="1">
        <f t="array" ref="N66">IF(DATA_ABRIL_2025[[#This Row],[ASER_]]="","",IFERROR(_xlfn.IFS(M66&gt;=100%,"&gt;100%",AND(M66&lt;100%,M66&gt;=70%),"&gt;70%",AND(M66&lt;70%,M66&gt;=40%),"&gt;40%",AND(M66&lt;40%,M66&gt;=0%),"&gt;0%"),""))</f>
        <v>&gt;0%</v>
      </c>
      <c r="O66" t="s">
        <v>3</v>
      </c>
      <c r="P66">
        <f>SUM(DATA_ABRIL_2025[[#This Row],[1]:[31]])</f>
        <v>17760</v>
      </c>
      <c r="Q66">
        <v>57000</v>
      </c>
      <c r="R66" t="s">
        <v>103</v>
      </c>
      <c r="U66">
        <v>910</v>
      </c>
      <c r="V66">
        <v>600</v>
      </c>
      <c r="AC66">
        <v>500</v>
      </c>
      <c r="AF66">
        <v>500</v>
      </c>
      <c r="AG66">
        <v>1474</v>
      </c>
      <c r="AN66">
        <v>10776</v>
      </c>
      <c r="AV66">
        <v>3000</v>
      </c>
      <c r="AX66" t="s">
        <v>150</v>
      </c>
    </row>
    <row r="67" spans="1:50" x14ac:dyDescent="0.25">
      <c r="A67" t="s">
        <v>124</v>
      </c>
      <c r="B67" t="s">
        <v>127</v>
      </c>
      <c r="C67">
        <f>VLOOKUP(D1_ABRIL_2025[[#This Row],[SUPER]],DATA_ABRIL_2025[[SUPERVISOR]:[META]],3,0)</f>
        <v>20500</v>
      </c>
      <c r="D67">
        <f>D1_ABRIL_2025[[#This Row],[RECUPERO]]/D1_ABRIL_2025[[#This Row],[META]]</f>
        <v>0.4682926829268293</v>
      </c>
      <c r="E67" t="s">
        <v>124</v>
      </c>
      <c r="F67" t="s">
        <v>127</v>
      </c>
      <c r="G67">
        <v>9600</v>
      </c>
      <c r="H67" t="s">
        <v>459</v>
      </c>
      <c r="I67" s="56">
        <v>45721</v>
      </c>
      <c r="J67" t="s">
        <v>501</v>
      </c>
      <c r="L67" s="56"/>
      <c r="M67" s="1">
        <f>DATA_ABRIL_2025[[#This Row],[RECUPERO]]/DATA_ABRIL_2025[[#This Row],[META]]</f>
        <v>0.24307692307692308</v>
      </c>
      <c r="N67" t="str" cm="1">
        <f t="array" ref="N67">IF(DATA_ABRIL_2025[[#This Row],[ASER_]]="","",IFERROR(_xlfn.IFS(M67&gt;=100%,"&gt;100%",AND(M67&lt;100%,M67&gt;=70%),"&gt;70%",AND(M67&lt;70%,M67&gt;=40%),"&gt;40%",AND(M67&lt;40%,M67&gt;=0%),"&gt;0%"),""))</f>
        <v>&gt;0%</v>
      </c>
      <c r="O67" t="s">
        <v>6</v>
      </c>
      <c r="P67">
        <f>SUM(DATA_ABRIL_2025[[#This Row],[1]:[31]])</f>
        <v>6320</v>
      </c>
      <c r="Q67">
        <v>26000</v>
      </c>
      <c r="R67" t="s">
        <v>128</v>
      </c>
      <c r="S67">
        <v>100</v>
      </c>
      <c r="Y67">
        <v>120</v>
      </c>
      <c r="AB67">
        <v>800</v>
      </c>
      <c r="AC67">
        <v>1300</v>
      </c>
      <c r="AF67">
        <v>2500</v>
      </c>
      <c r="AN67">
        <v>1500</v>
      </c>
      <c r="AX67" t="s">
        <v>152</v>
      </c>
    </row>
    <row r="68" spans="1:50" x14ac:dyDescent="0.25">
      <c r="A68" t="s">
        <v>124</v>
      </c>
      <c r="B68" t="s">
        <v>74</v>
      </c>
      <c r="C68">
        <f>VLOOKUP(D1_ABRIL_2025[[#This Row],[SUPER]],DATA_ABRIL_2025[[SUPERVISOR]:[META]],3,0)</f>
        <v>20500</v>
      </c>
      <c r="D68">
        <f>D1_ABRIL_2025[[#This Row],[RECUPERO]]/D1_ABRIL_2025[[#This Row],[META]]</f>
        <v>0.24903902439024392</v>
      </c>
      <c r="E68" t="s">
        <v>124</v>
      </c>
      <c r="F68" t="s">
        <v>74</v>
      </c>
      <c r="G68">
        <v>5105.3</v>
      </c>
      <c r="H68" t="s">
        <v>395</v>
      </c>
      <c r="I68" s="56">
        <v>44470</v>
      </c>
      <c r="J68" t="s">
        <v>501</v>
      </c>
      <c r="L68" s="56"/>
      <c r="M68" s="1">
        <f>DATA_ABRIL_2025[[#This Row],[RECUPERO]]/DATA_ABRIL_2025[[#This Row],[META]]</f>
        <v>0.38907317073170733</v>
      </c>
      <c r="N68" t="str" cm="1">
        <f t="array" ref="N68">IF(DATA_ABRIL_2025[[#This Row],[ASER_]]="","",IFERROR(_xlfn.IFS(M68&gt;=100%,"&gt;100%",AND(M68&lt;100%,M68&gt;=70%),"&gt;70%",AND(M68&lt;70%,M68&gt;=40%),"&gt;40%",AND(M68&lt;40%,M68&gt;=0%),"&gt;0%"),""))</f>
        <v>&gt;0%</v>
      </c>
      <c r="O68" t="s">
        <v>125</v>
      </c>
      <c r="P68">
        <f>SUM(DATA_ABRIL_2025[[#This Row],[1]:[31]])</f>
        <v>7976</v>
      </c>
      <c r="Q68">
        <v>20500</v>
      </c>
      <c r="R68" t="s">
        <v>73</v>
      </c>
      <c r="S68">
        <v>830</v>
      </c>
      <c r="T68">
        <v>500</v>
      </c>
      <c r="U68">
        <v>500</v>
      </c>
      <c r="AB68">
        <v>1300</v>
      </c>
      <c r="AF68">
        <v>700</v>
      </c>
      <c r="AG68">
        <v>200</v>
      </c>
      <c r="AH68">
        <v>316</v>
      </c>
      <c r="AO68">
        <v>1400</v>
      </c>
      <c r="AP68">
        <v>700</v>
      </c>
      <c r="AT68">
        <v>430</v>
      </c>
      <c r="AU68">
        <v>200</v>
      </c>
      <c r="AV68">
        <v>900</v>
      </c>
      <c r="AX68" t="s">
        <v>153</v>
      </c>
    </row>
    <row r="69" spans="1:50" x14ac:dyDescent="0.25">
      <c r="A69" t="s">
        <v>124</v>
      </c>
      <c r="B69" t="s">
        <v>48</v>
      </c>
      <c r="C69">
        <f>VLOOKUP(D1_ABRIL_2025[[#This Row],[SUPER]],DATA_ABRIL_2025[[SUPERVISOR]:[META]],3,0)</f>
        <v>20500</v>
      </c>
      <c r="D69">
        <f>D1_ABRIL_2025[[#This Row],[RECUPERO]]/D1_ABRIL_2025[[#This Row],[META]]</f>
        <v>0.24278048780487804</v>
      </c>
      <c r="E69" t="s">
        <v>124</v>
      </c>
      <c r="F69" t="s">
        <v>48</v>
      </c>
      <c r="G69">
        <v>4977</v>
      </c>
      <c r="H69" t="s">
        <v>421</v>
      </c>
      <c r="I69" s="56">
        <v>44748</v>
      </c>
      <c r="J69" t="s">
        <v>501</v>
      </c>
      <c r="L69" s="56"/>
      <c r="M69" s="1">
        <f>DATA_ABRIL_2025[[#This Row],[RECUPERO]]/DATA_ABRIL_2025[[#This Row],[META]]</f>
        <v>0.75811538461538464</v>
      </c>
      <c r="N69" t="str" cm="1">
        <f t="array" ref="N69">IF(DATA_ABRIL_2025[[#This Row],[ASER_]]="","",IFERROR(_xlfn.IFS(M69&gt;=100%,"&gt;100%",AND(M69&lt;100%,M69&gt;=70%),"&gt;70%",AND(M69&lt;70%,M69&gt;=40%),"&gt;40%",AND(M69&lt;40%,M69&gt;=0%),"&gt;0%"),""))</f>
        <v>&gt;70%</v>
      </c>
      <c r="O69" t="s">
        <v>6</v>
      </c>
      <c r="P69">
        <f>SUM(DATA_ABRIL_2025[[#This Row],[1]:[31]])</f>
        <v>19711</v>
      </c>
      <c r="Q69">
        <v>26000</v>
      </c>
      <c r="R69" t="s">
        <v>34</v>
      </c>
      <c r="V69">
        <v>616</v>
      </c>
      <c r="W69">
        <v>1000</v>
      </c>
      <c r="Z69">
        <v>4600</v>
      </c>
      <c r="AB69">
        <v>1805</v>
      </c>
      <c r="AC69">
        <v>2940</v>
      </c>
      <c r="AF69">
        <v>250</v>
      </c>
      <c r="AH69">
        <v>700</v>
      </c>
      <c r="AP69">
        <v>1600</v>
      </c>
      <c r="AR69">
        <v>500</v>
      </c>
      <c r="AU69">
        <v>3300</v>
      </c>
      <c r="AV69">
        <v>2400</v>
      </c>
      <c r="AX69" t="s">
        <v>152</v>
      </c>
    </row>
    <row r="70" spans="1:50" x14ac:dyDescent="0.25">
      <c r="M70" s="1">
        <f>DATA_ABRIL_2025[[#This Row],[RECUPERO]]/DATA_ABRIL_2025[[#This Row],[META]]</f>
        <v>0.97258536585365851</v>
      </c>
      <c r="N70" t="str" cm="1">
        <f t="array" ref="N70">IF(DATA_ABRIL_2025[[#This Row],[ASER_]]="","",IFERROR(_xlfn.IFS(M70&gt;=100%,"&gt;100%",AND(M70&lt;100%,M70&gt;=70%),"&gt;70%",AND(M70&lt;70%,M70&gt;=40%),"&gt;40%",AND(M70&lt;40%,M70&gt;=0%),"&gt;0%"),""))</f>
        <v>&gt;70%</v>
      </c>
      <c r="O70" t="s">
        <v>8</v>
      </c>
      <c r="P70">
        <f>SUM(DATA_ABRIL_2025[[#This Row],[1]:[31]])</f>
        <v>19938</v>
      </c>
      <c r="Q70">
        <v>20500</v>
      </c>
      <c r="R70" t="s">
        <v>78</v>
      </c>
      <c r="S70">
        <v>1502</v>
      </c>
      <c r="U70">
        <v>1620</v>
      </c>
      <c r="V70">
        <v>550</v>
      </c>
      <c r="Y70">
        <v>600</v>
      </c>
      <c r="Z70">
        <v>350</v>
      </c>
      <c r="AC70">
        <v>3000</v>
      </c>
      <c r="AD70">
        <v>500</v>
      </c>
      <c r="AF70">
        <v>500</v>
      </c>
      <c r="AG70">
        <v>3000</v>
      </c>
      <c r="AH70">
        <v>3550</v>
      </c>
      <c r="AM70">
        <v>361</v>
      </c>
      <c r="AP70">
        <v>350</v>
      </c>
      <c r="AT70">
        <v>1455</v>
      </c>
      <c r="AU70">
        <v>1900</v>
      </c>
      <c r="AV70">
        <v>700</v>
      </c>
      <c r="AX70" t="s">
        <v>153</v>
      </c>
    </row>
    <row r="71" spans="1:50" x14ac:dyDescent="0.25">
      <c r="M71" s="1">
        <f>DATA_ABRIL_2025[[#This Row],[RECUPERO]]/DATA_ABRIL_2025[[#This Row],[META]]</f>
        <v>0.24278048780487804</v>
      </c>
      <c r="N71" t="str" cm="1">
        <f t="array" ref="N71">IF(DATA_ABRIL_2025[[#This Row],[ASER_]]="","",IFERROR(_xlfn.IFS(M71&gt;=100%,"&gt;100%",AND(M71&lt;100%,M71&gt;=70%),"&gt;70%",AND(M71&lt;70%,M71&gt;=40%),"&gt;40%",AND(M71&lt;40%,M71&gt;=0%),"&gt;0%"),""))</f>
        <v>&gt;0%</v>
      </c>
      <c r="O71" t="s">
        <v>124</v>
      </c>
      <c r="P71">
        <f>SUM(DATA_ABRIL_2025[[#This Row],[1]:[31]])</f>
        <v>4977</v>
      </c>
      <c r="Q71">
        <v>20500</v>
      </c>
      <c r="R71" t="s">
        <v>48</v>
      </c>
      <c r="S71">
        <v>300</v>
      </c>
      <c r="U71">
        <v>140</v>
      </c>
      <c r="AB71">
        <v>1350</v>
      </c>
      <c r="AH71">
        <v>200</v>
      </c>
      <c r="AM71">
        <v>247</v>
      </c>
      <c r="AN71">
        <v>800</v>
      </c>
      <c r="AP71">
        <v>120</v>
      </c>
      <c r="AQ71">
        <v>720</v>
      </c>
      <c r="AT71">
        <v>300</v>
      </c>
      <c r="AU71">
        <v>500</v>
      </c>
      <c r="AV71">
        <v>300</v>
      </c>
      <c r="AX71" t="s">
        <v>153</v>
      </c>
    </row>
    <row r="72" spans="1:50" x14ac:dyDescent="0.25">
      <c r="M72" s="1">
        <f>DATA_ABRIL_2025[[#This Row],[RECUPERO]]/DATA_ABRIL_2025[[#This Row],[META]]</f>
        <v>1.1982280701754386</v>
      </c>
      <c r="N72" t="str" cm="1">
        <f t="array" ref="N72">IF(DATA_ABRIL_2025[[#This Row],[ASER_]]="","",IFERROR(_xlfn.IFS(M72&gt;=100%,"&gt;100%",AND(M72&lt;100%,M72&gt;=70%),"&gt;70%",AND(M72&lt;70%,M72&gt;=40%),"&gt;40%",AND(M72&lt;40%,M72&gt;=0%),"&gt;0%"),""))</f>
        <v>&gt;100%</v>
      </c>
      <c r="O72" t="s">
        <v>2</v>
      </c>
      <c r="P72">
        <f>SUM(DATA_ABRIL_2025[[#This Row],[1]:[31]])</f>
        <v>68299</v>
      </c>
      <c r="Q72">
        <v>57000</v>
      </c>
      <c r="R72" t="s">
        <v>10</v>
      </c>
      <c r="U72">
        <v>521</v>
      </c>
      <c r="W72">
        <v>1262</v>
      </c>
      <c r="Y72">
        <v>300</v>
      </c>
      <c r="Z72">
        <v>28000</v>
      </c>
      <c r="AA72">
        <v>618</v>
      </c>
      <c r="AB72">
        <v>2500</v>
      </c>
      <c r="AC72">
        <v>500</v>
      </c>
      <c r="AF72">
        <v>8300</v>
      </c>
      <c r="AG72">
        <v>4750</v>
      </c>
      <c r="AH72">
        <v>7000</v>
      </c>
      <c r="AM72">
        <v>618</v>
      </c>
      <c r="AQ72">
        <v>823</v>
      </c>
      <c r="AT72">
        <v>342</v>
      </c>
      <c r="AU72">
        <v>8485</v>
      </c>
      <c r="AV72">
        <v>4280</v>
      </c>
      <c r="AX72" t="s">
        <v>150</v>
      </c>
    </row>
    <row r="73" spans="1:50" x14ac:dyDescent="0.25">
      <c r="M73" s="1">
        <f>DATA_ABRIL_2025[[#This Row],[RECUPERO]]/DATA_ABRIL_2025[[#This Row],[META]]</f>
        <v>1.1149491228070174</v>
      </c>
      <c r="N73" t="str" cm="1">
        <f t="array" ref="N73">IF(DATA_ABRIL_2025[[#This Row],[ASER_]]="","",IFERROR(_xlfn.IFS(M73&gt;=100%,"&gt;100%",AND(M73&lt;100%,M73&gt;=70%),"&gt;70%",AND(M73&lt;70%,M73&gt;=40%),"&gt;40%",AND(M73&lt;40%,M73&gt;=0%),"&gt;0%"),""))</f>
        <v>&gt;100%</v>
      </c>
      <c r="O73" t="s">
        <v>3</v>
      </c>
      <c r="P73">
        <f>SUM(DATA_ABRIL_2025[[#This Row],[1]:[31]])</f>
        <v>63552.1</v>
      </c>
      <c r="Q73">
        <v>57000</v>
      </c>
      <c r="R73" t="s">
        <v>76</v>
      </c>
      <c r="S73">
        <v>11000</v>
      </c>
      <c r="T73">
        <v>4500</v>
      </c>
      <c r="V73">
        <v>4000</v>
      </c>
      <c r="AA73">
        <v>1100</v>
      </c>
      <c r="AB73">
        <v>5000</v>
      </c>
      <c r="AD73">
        <v>1307</v>
      </c>
      <c r="AF73">
        <v>4000</v>
      </c>
      <c r="AH73">
        <v>5300</v>
      </c>
      <c r="AM73">
        <v>4500</v>
      </c>
      <c r="AO73">
        <v>320</v>
      </c>
      <c r="AT73">
        <v>6305</v>
      </c>
      <c r="AU73">
        <v>1100</v>
      </c>
      <c r="AV73">
        <v>15120.1</v>
      </c>
      <c r="AX73" t="s">
        <v>150</v>
      </c>
    </row>
    <row r="74" spans="1:50" x14ac:dyDescent="0.25">
      <c r="M74" s="1">
        <f>DATA_ABRIL_2025[[#This Row],[RECUPERO]]/DATA_ABRIL_2025[[#This Row],[META]]</f>
        <v>1.4788292682926829</v>
      </c>
      <c r="N74" t="str" cm="1">
        <f t="array" ref="N74">IF(DATA_ABRIL_2025[[#This Row],[ASER_]]="","",IFERROR(_xlfn.IFS(M74&gt;=100%,"&gt;100%",AND(M74&lt;100%,M74&gt;=70%),"&gt;70%",AND(M74&lt;70%,M74&gt;=40%),"&gt;40%",AND(M74&lt;40%,M74&gt;=0%),"&gt;0%"),""))</f>
        <v>&gt;100%</v>
      </c>
      <c r="O74" t="s">
        <v>8</v>
      </c>
      <c r="P74">
        <f>SUM(DATA_ABRIL_2025[[#This Row],[1]:[31]])</f>
        <v>30316</v>
      </c>
      <c r="Q74">
        <v>20500</v>
      </c>
      <c r="R74" t="s">
        <v>39</v>
      </c>
      <c r="T74">
        <v>250</v>
      </c>
      <c r="U74">
        <v>250</v>
      </c>
      <c r="Y74">
        <v>1200</v>
      </c>
      <c r="AA74">
        <v>210</v>
      </c>
      <c r="AB74">
        <v>6500</v>
      </c>
      <c r="AC74">
        <v>461</v>
      </c>
      <c r="AF74">
        <v>520</v>
      </c>
      <c r="AG74">
        <v>720</v>
      </c>
      <c r="AH74">
        <v>300</v>
      </c>
      <c r="AM74">
        <v>18140</v>
      </c>
      <c r="AN74">
        <v>300</v>
      </c>
      <c r="AO74">
        <v>20</v>
      </c>
      <c r="AQ74">
        <v>30</v>
      </c>
      <c r="AR74">
        <v>20</v>
      </c>
      <c r="AS74">
        <v>200</v>
      </c>
      <c r="AT74">
        <v>1170</v>
      </c>
      <c r="AV74">
        <v>25</v>
      </c>
      <c r="AX74" t="s">
        <v>153</v>
      </c>
    </row>
    <row r="75" spans="1:50" x14ac:dyDescent="0.25">
      <c r="M75" s="1">
        <f>DATA_ABRIL_2025[[#This Row],[RECUPERO]]/DATA_ABRIL_2025[[#This Row],[META]]</f>
        <v>3.3219512195121953E-2</v>
      </c>
      <c r="N75" t="str" cm="1">
        <f t="array" ref="N75">IF(DATA_ABRIL_2025[[#This Row],[ASER_]]="","",IFERROR(_xlfn.IFS(M75&gt;=100%,"&gt;100%",AND(M75&lt;100%,M75&gt;=70%),"&gt;70%",AND(M75&lt;70%,M75&gt;=40%),"&gt;40%",AND(M75&lt;40%,M75&gt;=0%),"&gt;0%"),""))</f>
        <v>&gt;0%</v>
      </c>
      <c r="O75" t="s">
        <v>8</v>
      </c>
      <c r="P75">
        <f>SUM(DATA_ABRIL_2025[[#This Row],[1]:[31]])</f>
        <v>681</v>
      </c>
      <c r="Q75">
        <v>20500</v>
      </c>
      <c r="R75" t="s">
        <v>56</v>
      </c>
      <c r="AQ75">
        <v>321</v>
      </c>
      <c r="AR75">
        <v>110</v>
      </c>
      <c r="AU75">
        <v>250</v>
      </c>
      <c r="AX75" t="s">
        <v>153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8E4A-6D61-45C8-9646-9623BB9A7DC7}">
  <dimension ref="A1:CI84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9.28515625" customWidth="1"/>
    <col min="2" max="3" width="22.7109375" customWidth="1"/>
    <col min="4" max="5" width="13.42578125" customWidth="1"/>
    <col min="6" max="6" width="12" customWidth="1"/>
    <col min="7" max="7" width="10.28515625" customWidth="1"/>
    <col min="8" max="12" width="11.42578125" customWidth="1"/>
    <col min="13" max="13" width="10" customWidth="1"/>
    <col min="14" max="14" width="12.140625" bestFit="1" customWidth="1"/>
    <col min="15" max="15" width="19.85546875" customWidth="1"/>
    <col min="16" max="16" width="22.7109375" customWidth="1"/>
    <col min="17" max="17" width="11.42578125" customWidth="1"/>
    <col min="18" max="18" width="27.28515625" bestFit="1" customWidth="1"/>
    <col min="19" max="26" width="6.42578125" bestFit="1" customWidth="1"/>
    <col min="27" max="27" width="7.42578125" bestFit="1" customWidth="1"/>
    <col min="28" max="28" width="7.140625" bestFit="1" customWidth="1"/>
    <col min="29" max="36" width="7.42578125" bestFit="1" customWidth="1"/>
    <col min="37" max="37" width="7.85546875" bestFit="1" customWidth="1"/>
    <col min="38" max="38" width="7.42578125" bestFit="1" customWidth="1"/>
    <col min="39" max="47" width="7.85546875" bestFit="1" customWidth="1"/>
    <col min="48" max="48" width="7.42578125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t="s">
        <v>3</v>
      </c>
      <c r="B3" t="s">
        <v>109</v>
      </c>
      <c r="C3">
        <f>VLOOKUP(D1_MAYO_2025[[#This Row],[SUPER]],DATA_MAYO_2025[[SUPERVISOR]:[META]],3,0)</f>
        <v>65000</v>
      </c>
      <c r="D3">
        <f>D1_MAYO_2025[[#This Row],[RECUPERO]]/D1_MAYO_2025[[#This Row],[META]]</f>
        <v>0.53401538461538467</v>
      </c>
      <c r="E3" t="s">
        <v>3</v>
      </c>
      <c r="F3" t="s">
        <v>109</v>
      </c>
      <c r="G3">
        <v>34711</v>
      </c>
      <c r="H3" t="s">
        <v>422</v>
      </c>
      <c r="I3" s="56">
        <v>45334</v>
      </c>
      <c r="J3" t="s">
        <v>501</v>
      </c>
      <c r="L3" s="56"/>
      <c r="M3" s="33">
        <v>2025</v>
      </c>
      <c r="N3" s="33" t="s">
        <v>143</v>
      </c>
      <c r="O3" s="33">
        <v>21</v>
      </c>
    </row>
    <row r="4" spans="1:87" x14ac:dyDescent="0.25">
      <c r="A4" t="s">
        <v>3</v>
      </c>
      <c r="B4" t="s">
        <v>53</v>
      </c>
      <c r="C4">
        <f>VLOOKUP(D1_MAYO_2025[[#This Row],[SUPER]],DATA_MAYO_2025[[SUPERVISOR]:[META]],3,0)</f>
        <v>65000</v>
      </c>
      <c r="D4">
        <f>D1_MAYO_2025[[#This Row],[RECUPERO]]/D1_MAYO_2025[[#This Row],[META]]</f>
        <v>0.42515384615384616</v>
      </c>
      <c r="E4" t="s">
        <v>3</v>
      </c>
      <c r="F4" t="s">
        <v>53</v>
      </c>
      <c r="G4">
        <v>27635</v>
      </c>
      <c r="H4" t="s">
        <v>457</v>
      </c>
      <c r="I4" s="56">
        <v>45727</v>
      </c>
      <c r="J4" t="s">
        <v>501</v>
      </c>
      <c r="L4" s="56"/>
    </row>
    <row r="5" spans="1:87" x14ac:dyDescent="0.25">
      <c r="A5" t="s">
        <v>3</v>
      </c>
      <c r="B5" t="s">
        <v>22</v>
      </c>
      <c r="C5">
        <f>VLOOKUP(D1_MAYO_2025[[#This Row],[SUPER]],DATA_MAYO_2025[[SUPERVISOR]:[META]],3,0)</f>
        <v>65000</v>
      </c>
      <c r="D5">
        <f>D1_MAYO_2025[[#This Row],[RECUPERO]]/D1_MAYO_2025[[#This Row],[META]]</f>
        <v>1.1194884615384615</v>
      </c>
      <c r="E5" t="s">
        <v>3</v>
      </c>
      <c r="F5" t="s">
        <v>22</v>
      </c>
      <c r="G5">
        <v>72766.75</v>
      </c>
      <c r="H5" t="s">
        <v>442</v>
      </c>
      <c r="I5" s="56">
        <v>45299</v>
      </c>
      <c r="J5" t="s">
        <v>501</v>
      </c>
      <c r="L5" s="56"/>
    </row>
    <row r="6" spans="1:87" x14ac:dyDescent="0.25">
      <c r="A6" t="s">
        <v>3</v>
      </c>
      <c r="B6" t="s">
        <v>26</v>
      </c>
      <c r="C6">
        <f>VLOOKUP(D1_MAYO_2025[[#This Row],[SUPER]],DATA_MAYO_2025[[SUPERVISOR]:[META]],3,0)</f>
        <v>65000</v>
      </c>
      <c r="D6">
        <f>D1_MAYO_2025[[#This Row],[RECUPERO]]/D1_MAYO_2025[[#This Row],[META]]</f>
        <v>0.48923076923076925</v>
      </c>
      <c r="E6" t="s">
        <v>3</v>
      </c>
      <c r="F6" t="s">
        <v>26</v>
      </c>
      <c r="G6">
        <v>31800</v>
      </c>
      <c r="H6" t="s">
        <v>391</v>
      </c>
      <c r="I6" s="56">
        <v>44259</v>
      </c>
      <c r="J6" t="s">
        <v>501</v>
      </c>
      <c r="L6" s="56"/>
    </row>
    <row r="7" spans="1:87" x14ac:dyDescent="0.25">
      <c r="A7" t="s">
        <v>3</v>
      </c>
      <c r="B7" t="s">
        <v>23</v>
      </c>
      <c r="C7">
        <f>VLOOKUP(D1_MAYO_2025[[#This Row],[SUPER]],DATA_MAYO_2025[[SUPERVISOR]:[META]],3,0)</f>
        <v>65000</v>
      </c>
      <c r="D7">
        <f>D1_MAYO_2025[[#This Row],[RECUPERO]]/D1_MAYO_2025[[#This Row],[META]]</f>
        <v>1.5924941538461537</v>
      </c>
      <c r="E7" t="s">
        <v>3</v>
      </c>
      <c r="F7" t="s">
        <v>23</v>
      </c>
      <c r="G7">
        <v>103512.12</v>
      </c>
      <c r="H7" t="s">
        <v>445</v>
      </c>
      <c r="I7" s="56">
        <v>44111</v>
      </c>
      <c r="J7" t="s">
        <v>501</v>
      </c>
      <c r="L7" s="56"/>
    </row>
    <row r="8" spans="1:87" x14ac:dyDescent="0.25">
      <c r="A8" t="s">
        <v>3</v>
      </c>
      <c r="B8" t="s">
        <v>25</v>
      </c>
      <c r="C8">
        <f>VLOOKUP(D1_MAYO_2025[[#This Row],[SUPER]],DATA_MAYO_2025[[SUPERVISOR]:[META]],3,0)</f>
        <v>65000</v>
      </c>
      <c r="D8">
        <f>D1_MAYO_2025[[#This Row],[RECUPERO]]/D1_MAYO_2025[[#This Row],[META]]</f>
        <v>0.46763076923076924</v>
      </c>
      <c r="E8" t="s">
        <v>3</v>
      </c>
      <c r="F8" t="s">
        <v>25</v>
      </c>
      <c r="G8">
        <v>30396</v>
      </c>
      <c r="H8" t="s">
        <v>446</v>
      </c>
      <c r="I8" s="56">
        <v>44820</v>
      </c>
      <c r="J8" t="s">
        <v>501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44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65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">
        <v>3</v>
      </c>
      <c r="B9" t="s">
        <v>107</v>
      </c>
      <c r="C9">
        <f>VLOOKUP(D1_MAYO_2025[[#This Row],[SUPER]],DATA_MAYO_2025[[SUPERVISOR]:[META]],3,0)</f>
        <v>65000</v>
      </c>
      <c r="D9">
        <f>D1_MAYO_2025[[#This Row],[RECUPERO]]/D1_MAYO_2025[[#This Row],[META]]</f>
        <v>0.43846153846153846</v>
      </c>
      <c r="E9" t="s">
        <v>3</v>
      </c>
      <c r="F9" t="s">
        <v>107</v>
      </c>
      <c r="G9">
        <v>28500</v>
      </c>
      <c r="H9" t="s">
        <v>458</v>
      </c>
      <c r="I9" s="56">
        <v>45727</v>
      </c>
      <c r="J9" t="s">
        <v>501</v>
      </c>
      <c r="L9" s="56"/>
      <c r="M9" s="1">
        <f>DATA_MAYO_2025[[#This Row],[RECUPERO]]/DATA_MAYO_2025[[#This Row],[META]]</f>
        <v>0.40192307692307694</v>
      </c>
      <c r="N9" t="str" cm="1">
        <f t="array" ref="N9">IF(DATA_MAYO_2025[[#This Row],[ASER_]]="","",IFERROR(_xlfn.IFS(M9&gt;=100%,"&gt;100%",AND(M9&lt;100%,M9&gt;=70%),"&gt;70%",AND(M9&lt;70%,M9&gt;=40%),"&gt;40%",AND(M9&lt;40%,M9&gt;=0%),"&gt;0%"),""))</f>
        <v>&gt;40%</v>
      </c>
      <c r="O9" t="s">
        <v>6</v>
      </c>
      <c r="P9" s="6">
        <f>SUM(DATA_MAYO_2025[[#This Row],[1]:[31]])</f>
        <v>10450</v>
      </c>
      <c r="Q9">
        <v>26000</v>
      </c>
      <c r="R9" t="s">
        <v>18</v>
      </c>
      <c r="T9">
        <v>5000</v>
      </c>
      <c r="W9">
        <v>500</v>
      </c>
      <c r="X9">
        <v>200</v>
      </c>
      <c r="Z9">
        <v>600</v>
      </c>
      <c r="AG9">
        <v>200</v>
      </c>
      <c r="AH9">
        <v>2800</v>
      </c>
      <c r="AN9">
        <v>1150</v>
      </c>
      <c r="AX9" t="s">
        <v>152</v>
      </c>
      <c r="AZ9">
        <v>166833</v>
      </c>
      <c r="BA9" s="11">
        <f>MAX(DITE_MAYO_2025[[#This Row],[1]:[31]])</f>
        <v>125130.3</v>
      </c>
      <c r="BB9" s="17">
        <f>DITE_MAYO_2025[[#This Row],[RECUPERO SUPERVISOR]]/DITE_MAYO_2025[[#This Row],[META SUPER]]</f>
        <v>0.75003326679973392</v>
      </c>
      <c r="BC9" t="s">
        <v>8</v>
      </c>
      <c r="BD9">
        <v>350</v>
      </c>
      <c r="BE9">
        <v>739</v>
      </c>
      <c r="BF9">
        <v>739</v>
      </c>
      <c r="BG9">
        <v>939</v>
      </c>
      <c r="BH9">
        <v>1727</v>
      </c>
      <c r="BI9">
        <v>2387</v>
      </c>
      <c r="BJ9">
        <v>3087</v>
      </c>
      <c r="BK9">
        <v>6271</v>
      </c>
      <c r="BL9">
        <v>7921</v>
      </c>
      <c r="BM9">
        <v>11721</v>
      </c>
      <c r="BN9">
        <v>11721</v>
      </c>
      <c r="BO9">
        <v>17531</v>
      </c>
      <c r="BP9">
        <v>19731</v>
      </c>
      <c r="BQ9">
        <v>22431</v>
      </c>
      <c r="BR9">
        <v>28626</v>
      </c>
      <c r="BS9">
        <v>30735.5</v>
      </c>
      <c r="BT9">
        <v>30735.5</v>
      </c>
      <c r="BU9">
        <v>30735.5</v>
      </c>
      <c r="BV9">
        <v>34794.5</v>
      </c>
      <c r="BW9">
        <v>36835.5</v>
      </c>
      <c r="BX9">
        <v>39507.5</v>
      </c>
      <c r="BY9">
        <v>50375</v>
      </c>
      <c r="BZ9">
        <v>65533</v>
      </c>
      <c r="CA9">
        <v>66033</v>
      </c>
      <c r="CB9">
        <v>66033</v>
      </c>
      <c r="CC9">
        <v>73854</v>
      </c>
      <c r="CD9">
        <v>82032.3</v>
      </c>
      <c r="CE9">
        <v>91295.3</v>
      </c>
      <c r="CF9">
        <v>96829.3</v>
      </c>
      <c r="CG9">
        <v>119966.3</v>
      </c>
      <c r="CH9">
        <v>125130.3</v>
      </c>
      <c r="CI9" s="11" t="s">
        <v>153</v>
      </c>
    </row>
    <row r="10" spans="1:87" x14ac:dyDescent="0.25">
      <c r="A10" t="s">
        <v>3</v>
      </c>
      <c r="B10" t="s">
        <v>103</v>
      </c>
      <c r="C10">
        <f>VLOOKUP(D1_MAYO_2025[[#This Row],[SUPER]],DATA_MAYO_2025[[SUPERVISOR]:[META]],3,0)</f>
        <v>65000</v>
      </c>
      <c r="D10">
        <f>D1_MAYO_2025[[#This Row],[RECUPERO]]/D1_MAYO_2025[[#This Row],[META]]</f>
        <v>7.6923076923076927E-3</v>
      </c>
      <c r="E10" t="s">
        <v>3</v>
      </c>
      <c r="F10" t="s">
        <v>103</v>
      </c>
      <c r="G10">
        <v>500</v>
      </c>
      <c r="H10" t="s">
        <v>419</v>
      </c>
      <c r="I10" s="56">
        <v>45451</v>
      </c>
      <c r="J10" t="s">
        <v>501</v>
      </c>
      <c r="L10" s="56"/>
      <c r="M10" s="1">
        <f>DATA_MAYO_2025[[#This Row],[RECUPERO]]/DATA_MAYO_2025[[#This Row],[META]]</f>
        <v>0.80700000000000005</v>
      </c>
      <c r="N10" t="str" cm="1">
        <f t="array" ref="N10">IF(DATA_MAYO_2025[[#This Row],[ASER_]]="","",IFERROR(_xlfn.IFS(M10&gt;=100%,"&gt;100%",AND(M10&lt;100%,M10&gt;=70%),"&gt;70%",AND(M10&lt;70%,M10&gt;=40%),"&gt;40%",AND(M10&lt;40%,M10&gt;=0%),"&gt;0%"),""))</f>
        <v>&gt;70%</v>
      </c>
      <c r="O10" t="s">
        <v>8</v>
      </c>
      <c r="P10" s="6">
        <f>SUM(DATA_MAYO_2025[[#This Row],[1]:[31]])</f>
        <v>16140</v>
      </c>
      <c r="Q10">
        <v>20000</v>
      </c>
      <c r="R10" t="s">
        <v>21</v>
      </c>
      <c r="AD10">
        <v>2000</v>
      </c>
      <c r="AF10">
        <v>200</v>
      </c>
      <c r="AG10">
        <v>900</v>
      </c>
      <c r="AH10">
        <v>950</v>
      </c>
      <c r="AK10">
        <v>800</v>
      </c>
      <c r="AN10">
        <v>2840</v>
      </c>
      <c r="AO10">
        <v>200</v>
      </c>
      <c r="AP10">
        <v>500</v>
      </c>
      <c r="AS10">
        <v>600</v>
      </c>
      <c r="AT10">
        <v>1000</v>
      </c>
      <c r="AU10">
        <v>650</v>
      </c>
      <c r="AV10">
        <v>5500</v>
      </c>
      <c r="AX10" t="s">
        <v>153</v>
      </c>
      <c r="AZ10">
        <v>166833</v>
      </c>
      <c r="BA10" s="11">
        <f>MAX(DITE_MAYO_2025[[#This Row],[1]:[31]])</f>
        <v>116791.99</v>
      </c>
      <c r="BB10" s="17">
        <f>DITE_MAYO_2025[[#This Row],[RECUPERO SUPERVISOR]]/DITE_MAYO_2025[[#This Row],[META SUPER]]</f>
        <v>0.70005328681975387</v>
      </c>
      <c r="BC10" t="s">
        <v>125</v>
      </c>
      <c r="BD10">
        <v>1475.5</v>
      </c>
      <c r="BE10">
        <v>2801.5</v>
      </c>
      <c r="BF10">
        <v>2801.5</v>
      </c>
      <c r="BG10">
        <v>2801.5</v>
      </c>
      <c r="BH10">
        <v>6601.5</v>
      </c>
      <c r="BI10">
        <v>13501.5</v>
      </c>
      <c r="BJ10">
        <v>14401.5</v>
      </c>
      <c r="BK10">
        <v>16453.939999999999</v>
      </c>
      <c r="BL10">
        <v>19410.939999999999</v>
      </c>
      <c r="BM10">
        <v>19410.939999999999</v>
      </c>
      <c r="BN10">
        <v>19410.939999999999</v>
      </c>
      <c r="BO10">
        <v>21841.94</v>
      </c>
      <c r="BP10">
        <v>23524.94</v>
      </c>
      <c r="BQ10">
        <v>26642.989999999998</v>
      </c>
      <c r="BR10">
        <v>39407.99</v>
      </c>
      <c r="BS10">
        <v>45144.99</v>
      </c>
      <c r="BT10">
        <v>45568.99</v>
      </c>
      <c r="BU10">
        <v>45861.99</v>
      </c>
      <c r="BV10">
        <v>46756.99</v>
      </c>
      <c r="BW10">
        <v>50289.99</v>
      </c>
      <c r="BX10">
        <v>54516.99</v>
      </c>
      <c r="BY10">
        <v>59816.99</v>
      </c>
      <c r="BZ10">
        <v>61103.99</v>
      </c>
      <c r="CA10">
        <v>63101.99</v>
      </c>
      <c r="CB10">
        <v>63101.99</v>
      </c>
      <c r="CC10">
        <v>81095.39</v>
      </c>
      <c r="CD10">
        <v>90040.39</v>
      </c>
      <c r="CE10">
        <v>92660.39</v>
      </c>
      <c r="CF10">
        <v>97862.49</v>
      </c>
      <c r="CG10">
        <v>108869.99</v>
      </c>
      <c r="CH10">
        <v>116791.99</v>
      </c>
      <c r="CI10" s="11" t="s">
        <v>153</v>
      </c>
    </row>
    <row r="11" spans="1:87" x14ac:dyDescent="0.25">
      <c r="A11" t="s">
        <v>3</v>
      </c>
      <c r="B11" t="s">
        <v>76</v>
      </c>
      <c r="C11">
        <f>VLOOKUP(D1_MAYO_2025[[#This Row],[SUPER]],DATA_MAYO_2025[[SUPERVISOR]:[META]],3,0)</f>
        <v>65000</v>
      </c>
      <c r="D11">
        <f>D1_MAYO_2025[[#This Row],[RECUPERO]]/D1_MAYO_2025[[#This Row],[META]]</f>
        <v>1.3963318461538463</v>
      </c>
      <c r="E11" t="s">
        <v>3</v>
      </c>
      <c r="F11" t="s">
        <v>76</v>
      </c>
      <c r="G11">
        <v>90761.57</v>
      </c>
      <c r="H11" t="s">
        <v>408</v>
      </c>
      <c r="I11" s="56">
        <v>44819</v>
      </c>
      <c r="J11" t="s">
        <v>501</v>
      </c>
      <c r="L11" s="56"/>
      <c r="M11" s="1">
        <f>DATA_MAYO_2025[[#This Row],[RECUPERO]]/DATA_MAYO_2025[[#This Row],[META]]</f>
        <v>0.54075384615384614</v>
      </c>
      <c r="N11" t="str" cm="1">
        <f t="array" ref="N11">IF(DATA_MAYO_2025[[#This Row],[ASER_]]="","",IFERROR(_xlfn.IFS(M11&gt;=100%,"&gt;100%",AND(M11&lt;100%,M11&gt;=70%),"&gt;70%",AND(M11&lt;70%,M11&gt;=40%),"&gt;40%",AND(M11&lt;40%,M11&gt;=0%),"&gt;0%"),""))</f>
        <v>&gt;40%</v>
      </c>
      <c r="O11" t="s">
        <v>5</v>
      </c>
      <c r="P11" s="6">
        <f>SUM(DATA_MAYO_2025[[#This Row],[1]:[31]])</f>
        <v>35149</v>
      </c>
      <c r="Q11">
        <v>65000</v>
      </c>
      <c r="R11" t="s">
        <v>58</v>
      </c>
      <c r="W11">
        <v>7000</v>
      </c>
      <c r="X11">
        <v>1500</v>
      </c>
      <c r="AD11">
        <v>700</v>
      </c>
      <c r="AG11">
        <v>10920</v>
      </c>
      <c r="AL11">
        <v>300</v>
      </c>
      <c r="AM11">
        <v>400</v>
      </c>
      <c r="AN11">
        <v>9240</v>
      </c>
      <c r="AO11">
        <v>434</v>
      </c>
      <c r="AR11">
        <v>1282</v>
      </c>
      <c r="AS11">
        <v>600</v>
      </c>
      <c r="AV11">
        <v>2773</v>
      </c>
      <c r="AX11" t="s">
        <v>150</v>
      </c>
      <c r="AZ11">
        <v>495375</v>
      </c>
      <c r="BA11" s="11">
        <f>MAX(DITE_MAYO_2025[[#This Row],[1]:[31]])</f>
        <v>369775.30000000005</v>
      </c>
      <c r="BB11" s="17">
        <f>DITE_MAYO_2025[[#This Row],[RECUPERO SUPERVISOR]]/DITE_MAYO_2025[[#This Row],[META SUPER]]</f>
        <v>0.7464553116326017</v>
      </c>
      <c r="BC11" t="s">
        <v>5</v>
      </c>
      <c r="BD11">
        <v>716</v>
      </c>
      <c r="BE11">
        <v>9443</v>
      </c>
      <c r="BF11">
        <v>10443</v>
      </c>
      <c r="BG11">
        <v>10443</v>
      </c>
      <c r="BH11">
        <v>20869</v>
      </c>
      <c r="BI11">
        <v>30339</v>
      </c>
      <c r="BJ11">
        <v>49589</v>
      </c>
      <c r="BK11">
        <v>53989</v>
      </c>
      <c r="BL11">
        <v>54207</v>
      </c>
      <c r="BM11">
        <v>55689.5</v>
      </c>
      <c r="BN11">
        <v>55689.5</v>
      </c>
      <c r="BO11">
        <v>79629.5</v>
      </c>
      <c r="BP11">
        <v>81329.5</v>
      </c>
      <c r="BQ11">
        <v>116966.5</v>
      </c>
      <c r="BR11">
        <v>138878.6</v>
      </c>
      <c r="BS11">
        <v>161850.80000000002</v>
      </c>
      <c r="BT11">
        <v>164850.80000000002</v>
      </c>
      <c r="BU11">
        <v>164850.80000000002</v>
      </c>
      <c r="BV11">
        <v>170590.80000000002</v>
      </c>
      <c r="BW11">
        <v>204319.80000000002</v>
      </c>
      <c r="BX11">
        <v>230625.80000000002</v>
      </c>
      <c r="BY11">
        <v>248684.80000000002</v>
      </c>
      <c r="BZ11">
        <v>268318.80000000005</v>
      </c>
      <c r="CA11">
        <v>270131.30000000005</v>
      </c>
      <c r="CB11">
        <v>270831.30000000005</v>
      </c>
      <c r="CC11">
        <v>294598.30000000005</v>
      </c>
      <c r="CD11">
        <v>300198.30000000005</v>
      </c>
      <c r="CE11">
        <v>321020.30000000005</v>
      </c>
      <c r="CF11">
        <v>330504.30000000005</v>
      </c>
      <c r="CG11">
        <v>352915.30000000005</v>
      </c>
      <c r="CH11">
        <v>369775.30000000005</v>
      </c>
      <c r="CI11" s="11" t="s">
        <v>150</v>
      </c>
    </row>
    <row r="12" spans="1:87" x14ac:dyDescent="0.25">
      <c r="A12" t="s">
        <v>4</v>
      </c>
      <c r="B12" t="s">
        <v>82</v>
      </c>
      <c r="C12">
        <f>VLOOKUP(D1_MAYO_2025[[#This Row],[SUPER]],DATA_MAYO_2025[[SUPERVISOR]:[META]],3,0)</f>
        <v>65000</v>
      </c>
      <c r="D12">
        <f>D1_MAYO_2025[[#This Row],[RECUPERO]]/D1_MAYO_2025[[#This Row],[META]]</f>
        <v>1.5384615384615385E-2</v>
      </c>
      <c r="E12" t="s">
        <v>4</v>
      </c>
      <c r="F12" t="s">
        <v>82</v>
      </c>
      <c r="G12">
        <v>1000</v>
      </c>
      <c r="H12" t="s">
        <v>465</v>
      </c>
      <c r="I12" s="56">
        <v>45798</v>
      </c>
      <c r="J12" t="s">
        <v>501</v>
      </c>
      <c r="L12" s="56"/>
      <c r="M12" s="1">
        <f>DATA_MAYO_2025[[#This Row],[RECUPERO]]/DATA_MAYO_2025[[#This Row],[META]]</f>
        <v>0.53401538461538467</v>
      </c>
      <c r="N12" t="str" cm="1">
        <f t="array" ref="N12">IF(DATA_MAYO_2025[[#This Row],[ASER_]]="","",IFERROR(_xlfn.IFS(M12&gt;=100%,"&gt;100%",AND(M12&lt;100%,M12&gt;=70%),"&gt;70%",AND(M12&lt;70%,M12&gt;=40%),"&gt;40%",AND(M12&lt;40%,M12&gt;=0%),"&gt;0%"),""))</f>
        <v>&gt;40%</v>
      </c>
      <c r="O12" t="s">
        <v>3</v>
      </c>
      <c r="P12" s="6">
        <f>SUM(DATA_MAYO_2025[[#This Row],[1]:[31]])</f>
        <v>34711</v>
      </c>
      <c r="Q12">
        <v>65000</v>
      </c>
      <c r="R12" t="s">
        <v>109</v>
      </c>
      <c r="X12">
        <v>8000</v>
      </c>
      <c r="AA12">
        <v>15500</v>
      </c>
      <c r="AF12">
        <v>700</v>
      </c>
      <c r="AG12">
        <v>274</v>
      </c>
      <c r="AH12">
        <v>231</v>
      </c>
      <c r="AR12">
        <v>1000</v>
      </c>
      <c r="AS12">
        <v>6644</v>
      </c>
      <c r="AV12">
        <v>2362</v>
      </c>
      <c r="AX12" t="s">
        <v>150</v>
      </c>
      <c r="AZ12">
        <v>495375</v>
      </c>
      <c r="BA12" s="11">
        <f>MAX(DITE_MAYO_2025[[#This Row],[1]:[31]])</f>
        <v>285981.05</v>
      </c>
      <c r="BB12" s="17">
        <f>DITE_MAYO_2025[[#This Row],[RECUPERO SUPERVISOR]]/DITE_MAYO_2025[[#This Row],[META SUPER]]</f>
        <v>0.57730214483976783</v>
      </c>
      <c r="BC12" t="s">
        <v>2</v>
      </c>
      <c r="BD12">
        <v>1350</v>
      </c>
      <c r="BE12">
        <v>2370</v>
      </c>
      <c r="BF12">
        <v>3370</v>
      </c>
      <c r="BG12">
        <v>3370</v>
      </c>
      <c r="BH12">
        <v>12388</v>
      </c>
      <c r="BI12">
        <v>19988</v>
      </c>
      <c r="BJ12">
        <v>26411</v>
      </c>
      <c r="BK12">
        <v>28862.78</v>
      </c>
      <c r="BL12">
        <v>34651.78</v>
      </c>
      <c r="BM12">
        <v>35651.78</v>
      </c>
      <c r="BN12">
        <v>35651.78</v>
      </c>
      <c r="BO12">
        <v>43901.78</v>
      </c>
      <c r="BP12">
        <v>45219.78</v>
      </c>
      <c r="BQ12">
        <v>55919.78</v>
      </c>
      <c r="BR12">
        <v>75810.880000000005</v>
      </c>
      <c r="BS12">
        <v>81160.88</v>
      </c>
      <c r="BT12">
        <v>84500.88</v>
      </c>
      <c r="BU12">
        <v>84500.88</v>
      </c>
      <c r="BV12">
        <v>96183.88</v>
      </c>
      <c r="BW12">
        <v>112303.88</v>
      </c>
      <c r="BX12">
        <v>122734.88</v>
      </c>
      <c r="BY12">
        <v>126634.88</v>
      </c>
      <c r="BZ12">
        <v>129671.88</v>
      </c>
      <c r="CA12">
        <v>137506.88</v>
      </c>
      <c r="CB12">
        <v>137506.88</v>
      </c>
      <c r="CC12">
        <v>147506.88</v>
      </c>
      <c r="CD12">
        <v>170672.88</v>
      </c>
      <c r="CE12">
        <v>204472.88</v>
      </c>
      <c r="CF12">
        <v>211372.88</v>
      </c>
      <c r="CG12">
        <v>262776.05</v>
      </c>
      <c r="CH12">
        <v>285981.05</v>
      </c>
      <c r="CI12" s="11" t="s">
        <v>150</v>
      </c>
    </row>
    <row r="13" spans="1:87" x14ac:dyDescent="0.25">
      <c r="A13" t="s">
        <v>4</v>
      </c>
      <c r="B13" t="s">
        <v>61</v>
      </c>
      <c r="C13">
        <f>VLOOKUP(D1_MAYO_2025[[#This Row],[SUPER]],DATA_MAYO_2025[[SUPERVISOR]:[META]],3,0)</f>
        <v>65000</v>
      </c>
      <c r="D13">
        <f>D1_MAYO_2025[[#This Row],[RECUPERO]]/D1_MAYO_2025[[#This Row],[META]]</f>
        <v>0.68599230769230768</v>
      </c>
      <c r="E13" t="s">
        <v>4</v>
      </c>
      <c r="F13" t="s">
        <v>61</v>
      </c>
      <c r="G13">
        <v>44589.5</v>
      </c>
      <c r="H13" t="s">
        <v>411</v>
      </c>
      <c r="I13" s="56">
        <v>44909</v>
      </c>
      <c r="J13" t="s">
        <v>501</v>
      </c>
      <c r="L13" s="56"/>
      <c r="M13" s="1">
        <f>DATA_MAYO_2025[[#This Row],[RECUPERO]]/DATA_MAYO_2025[[#This Row],[META]]</f>
        <v>0.48</v>
      </c>
      <c r="N13" t="str" cm="1">
        <f t="array" ref="N13">IF(DATA_MAYO_2025[[#This Row],[ASER_]]="","",IFERROR(_xlfn.IFS(M13&gt;=100%,"&gt;100%",AND(M13&lt;100%,M13&gt;=70%),"&gt;70%",AND(M13&lt;70%,M13&gt;=40%),"&gt;40%",AND(M13&lt;40%,M13&gt;=0%),"&gt;0%"),""))</f>
        <v>&gt;40%</v>
      </c>
      <c r="O13" t="s">
        <v>9</v>
      </c>
      <c r="P13" s="6">
        <f>SUM(DATA_MAYO_2025[[#This Row],[1]:[31]])</f>
        <v>9600</v>
      </c>
      <c r="Q13">
        <v>20000</v>
      </c>
      <c r="R13" t="s">
        <v>15</v>
      </c>
      <c r="Z13">
        <v>650</v>
      </c>
      <c r="AA13">
        <v>2020</v>
      </c>
      <c r="AD13">
        <v>3000</v>
      </c>
      <c r="AH13">
        <v>1480</v>
      </c>
      <c r="AN13">
        <v>700</v>
      </c>
      <c r="AS13">
        <v>200</v>
      </c>
      <c r="AV13">
        <v>1400</v>
      </c>
      <c r="AW13">
        <v>150</v>
      </c>
      <c r="AX13" t="s">
        <v>153</v>
      </c>
      <c r="AZ13">
        <v>258000</v>
      </c>
      <c r="BA13" s="11">
        <f>MAX(DITE_MAYO_2025[[#This Row],[1]:[31]])</f>
        <v>164757</v>
      </c>
      <c r="BB13" s="17">
        <f>DITE_MAYO_2025[[#This Row],[RECUPERO SUPERVISOR]]/DITE_MAYO_2025[[#This Row],[META SUPER]]</f>
        <v>0.63859302325581391</v>
      </c>
      <c r="BC13" t="s">
        <v>6</v>
      </c>
      <c r="BD13">
        <v>0</v>
      </c>
      <c r="BE13">
        <v>10970</v>
      </c>
      <c r="BF13">
        <v>10970</v>
      </c>
      <c r="BG13">
        <v>10970</v>
      </c>
      <c r="BH13">
        <v>16970</v>
      </c>
      <c r="BI13">
        <v>19160</v>
      </c>
      <c r="BJ13">
        <v>19780</v>
      </c>
      <c r="BK13">
        <v>30080</v>
      </c>
      <c r="BL13">
        <v>31080</v>
      </c>
      <c r="BM13">
        <v>31080</v>
      </c>
      <c r="BN13">
        <v>31080</v>
      </c>
      <c r="BO13">
        <v>32610</v>
      </c>
      <c r="BP13">
        <v>36860</v>
      </c>
      <c r="BQ13">
        <v>40910</v>
      </c>
      <c r="BR13">
        <v>59870</v>
      </c>
      <c r="BS13">
        <v>65410</v>
      </c>
      <c r="BT13">
        <v>65410</v>
      </c>
      <c r="BU13">
        <v>65410</v>
      </c>
      <c r="BV13">
        <v>103410</v>
      </c>
      <c r="BW13">
        <v>110149</v>
      </c>
      <c r="BX13">
        <v>113574</v>
      </c>
      <c r="BY13">
        <v>114824</v>
      </c>
      <c r="BZ13">
        <v>121174</v>
      </c>
      <c r="CA13">
        <v>121174</v>
      </c>
      <c r="CB13">
        <v>121174</v>
      </c>
      <c r="CC13">
        <v>130544</v>
      </c>
      <c r="CD13">
        <v>131529</v>
      </c>
      <c r="CE13">
        <v>131999</v>
      </c>
      <c r="CF13">
        <v>138161</v>
      </c>
      <c r="CG13">
        <v>163826</v>
      </c>
      <c r="CH13">
        <v>164757</v>
      </c>
      <c r="CI13" s="11" t="s">
        <v>152</v>
      </c>
    </row>
    <row r="14" spans="1:87" x14ac:dyDescent="0.25">
      <c r="A14" t="s">
        <v>4</v>
      </c>
      <c r="B14" t="s">
        <v>57</v>
      </c>
      <c r="C14">
        <f>VLOOKUP(D1_MAYO_2025[[#This Row],[SUPER]],DATA_MAYO_2025[[SUPERVISOR]:[META]],3,0)</f>
        <v>65000</v>
      </c>
      <c r="D14">
        <f>D1_MAYO_2025[[#This Row],[RECUPERO]]/D1_MAYO_2025[[#This Row],[META]]</f>
        <v>1.2592769230769232</v>
      </c>
      <c r="E14" t="s">
        <v>4</v>
      </c>
      <c r="F14" t="s">
        <v>57</v>
      </c>
      <c r="G14">
        <v>81853</v>
      </c>
      <c r="H14" t="s">
        <v>443</v>
      </c>
      <c r="I14" s="56">
        <v>45590</v>
      </c>
      <c r="J14" t="s">
        <v>501</v>
      </c>
      <c r="L14" s="56"/>
      <c r="M14" s="1">
        <f>DATA_MAYO_2025[[#This Row],[RECUPERO]]/DATA_MAYO_2025[[#This Row],[META]]</f>
        <v>3.5000000000000003E-2</v>
      </c>
      <c r="N14" t="str" cm="1">
        <f t="array" ref="N14">IF(DATA_MAYO_2025[[#This Row],[ASER_]]="","",IFERROR(_xlfn.IFS(M14&gt;=100%,"&gt;100%",AND(M14&lt;100%,M14&gt;=70%),"&gt;70%",AND(M14&lt;70%,M14&gt;=40%),"&gt;40%",AND(M14&lt;40%,M14&gt;=0%),"&gt;0%"),""))</f>
        <v>&gt;0%</v>
      </c>
      <c r="O14" t="s">
        <v>125</v>
      </c>
      <c r="P14" s="6">
        <f>SUM(DATA_MAYO_2025[[#This Row],[1]:[31]])</f>
        <v>700</v>
      </c>
      <c r="Q14">
        <v>20000</v>
      </c>
      <c r="R14" t="s">
        <v>111</v>
      </c>
      <c r="AL14">
        <v>300</v>
      </c>
      <c r="AV14">
        <v>400</v>
      </c>
      <c r="AX14" t="s">
        <v>153</v>
      </c>
      <c r="AZ14">
        <v>166833</v>
      </c>
      <c r="BA14" s="11">
        <f>MAX(DITE_MAYO_2025[[#This Row],[1]:[31]])</f>
        <v>80264.929999999993</v>
      </c>
      <c r="BB14" s="17">
        <f>DITE_MAYO_2025[[#This Row],[RECUPERO SUPERVISOR]]/DITE_MAYO_2025[[#This Row],[META SUPER]]</f>
        <v>0.48110943278607943</v>
      </c>
      <c r="BC14" t="s">
        <v>9</v>
      </c>
      <c r="BD14">
        <v>810</v>
      </c>
      <c r="BE14">
        <v>1780</v>
      </c>
      <c r="BF14">
        <v>1780</v>
      </c>
      <c r="BG14">
        <v>1780</v>
      </c>
      <c r="BH14">
        <v>2560</v>
      </c>
      <c r="BI14">
        <v>5380</v>
      </c>
      <c r="BJ14">
        <v>5880</v>
      </c>
      <c r="BK14">
        <v>7597</v>
      </c>
      <c r="BL14">
        <v>9617</v>
      </c>
      <c r="BM14">
        <v>9617</v>
      </c>
      <c r="BN14">
        <v>9617</v>
      </c>
      <c r="BO14">
        <v>14121.93</v>
      </c>
      <c r="BP14">
        <v>15771.93</v>
      </c>
      <c r="BQ14">
        <v>16316.93</v>
      </c>
      <c r="BR14">
        <v>22946.93</v>
      </c>
      <c r="BS14">
        <v>26356.93</v>
      </c>
      <c r="BT14">
        <v>26856.93</v>
      </c>
      <c r="BU14">
        <v>26856.93</v>
      </c>
      <c r="BV14">
        <v>35156.93</v>
      </c>
      <c r="BW14">
        <v>36339.93</v>
      </c>
      <c r="BX14">
        <v>37139.93</v>
      </c>
      <c r="BY14">
        <v>42739.93</v>
      </c>
      <c r="BZ14">
        <v>43539.93</v>
      </c>
      <c r="CA14">
        <v>43539.93</v>
      </c>
      <c r="CB14">
        <v>43539.93</v>
      </c>
      <c r="CC14">
        <v>48727.93</v>
      </c>
      <c r="CD14">
        <v>52727.93</v>
      </c>
      <c r="CE14">
        <v>58692.93</v>
      </c>
      <c r="CF14">
        <v>62802.93</v>
      </c>
      <c r="CG14">
        <v>75009.929999999993</v>
      </c>
      <c r="CH14">
        <v>80264.929999999993</v>
      </c>
      <c r="CI14" s="11" t="s">
        <v>153</v>
      </c>
    </row>
    <row r="15" spans="1:87" x14ac:dyDescent="0.25">
      <c r="A15" t="s">
        <v>4</v>
      </c>
      <c r="B15" t="s">
        <v>65</v>
      </c>
      <c r="C15">
        <f>VLOOKUP(D1_MAYO_2025[[#This Row],[SUPER]],DATA_MAYO_2025[[SUPERVISOR]:[META]],3,0)</f>
        <v>65000</v>
      </c>
      <c r="D15">
        <f>D1_MAYO_2025[[#This Row],[RECUPERO]]/D1_MAYO_2025[[#This Row],[META]]</f>
        <v>0.57552307692307692</v>
      </c>
      <c r="E15" t="s">
        <v>4</v>
      </c>
      <c r="F15" t="s">
        <v>65</v>
      </c>
      <c r="G15">
        <v>37409</v>
      </c>
      <c r="H15" t="s">
        <v>438</v>
      </c>
      <c r="I15" s="56">
        <v>45021</v>
      </c>
      <c r="J15" t="s">
        <v>501</v>
      </c>
      <c r="L15" s="56"/>
      <c r="M15" s="1">
        <f>DATA_MAYO_2025[[#This Row],[RECUPERO]]/DATA_MAYO_2025[[#This Row],[META]]</f>
        <v>0.51727846153846146</v>
      </c>
      <c r="N15" t="str" cm="1">
        <f t="array" ref="N15">IF(DATA_MAYO_2025[[#This Row],[ASER_]]="","",IFERROR(_xlfn.IFS(M15&gt;=100%,"&gt;100%",AND(M15&lt;100%,M15&gt;=70%),"&gt;70%",AND(M15&lt;70%,M15&gt;=40%),"&gt;40%",AND(M15&lt;40%,M15&gt;=0%),"&gt;0%"),""))</f>
        <v>&gt;40%</v>
      </c>
      <c r="O15" t="s">
        <v>5</v>
      </c>
      <c r="P15" s="6">
        <f>SUM(DATA_MAYO_2025[[#This Row],[1]:[31]])</f>
        <v>33623.1</v>
      </c>
      <c r="Q15">
        <v>65000</v>
      </c>
      <c r="R15" t="s">
        <v>69</v>
      </c>
      <c r="T15">
        <v>1290</v>
      </c>
      <c r="W15">
        <v>900</v>
      </c>
      <c r="Y15">
        <v>2000</v>
      </c>
      <c r="AD15">
        <v>1000</v>
      </c>
      <c r="AF15">
        <v>1345</v>
      </c>
      <c r="AG15">
        <v>2921.1</v>
      </c>
      <c r="AK15">
        <v>1500</v>
      </c>
      <c r="AL15">
        <v>7200</v>
      </c>
      <c r="AN15">
        <v>261</v>
      </c>
      <c r="AO15">
        <v>1600</v>
      </c>
      <c r="AR15">
        <v>685</v>
      </c>
      <c r="AS15">
        <v>700</v>
      </c>
      <c r="AV15">
        <v>2430</v>
      </c>
      <c r="AW15">
        <v>9791</v>
      </c>
      <c r="AX15" t="s">
        <v>150</v>
      </c>
      <c r="AZ15">
        <v>495375</v>
      </c>
      <c r="BA15" s="11">
        <f>MAX(DITE_MAYO_2025[[#This Row],[1]:[31]])</f>
        <v>283840.03000000003</v>
      </c>
      <c r="BB15" s="17">
        <f>DITE_MAYO_2025[[#This Row],[RECUPERO SUPERVISOR]]/DITE_MAYO_2025[[#This Row],[META SUPER]]</f>
        <v>0.57298012616704519</v>
      </c>
      <c r="BC15" t="s">
        <v>4</v>
      </c>
      <c r="BD15">
        <v>1150</v>
      </c>
      <c r="BE15">
        <v>14724</v>
      </c>
      <c r="BF15">
        <v>14724</v>
      </c>
      <c r="BG15">
        <v>14724</v>
      </c>
      <c r="BH15">
        <v>32471</v>
      </c>
      <c r="BI15">
        <v>43803</v>
      </c>
      <c r="BJ15">
        <v>46303</v>
      </c>
      <c r="BK15">
        <v>60493</v>
      </c>
      <c r="BL15">
        <v>66098</v>
      </c>
      <c r="BM15">
        <v>66948</v>
      </c>
      <c r="BN15">
        <v>67198</v>
      </c>
      <c r="BO15">
        <v>76035</v>
      </c>
      <c r="BP15">
        <v>79935</v>
      </c>
      <c r="BQ15">
        <v>86281.58</v>
      </c>
      <c r="BR15">
        <v>97711.58</v>
      </c>
      <c r="BS15">
        <v>113869.58</v>
      </c>
      <c r="BT15">
        <v>114469.58</v>
      </c>
      <c r="BU15">
        <v>117969.58</v>
      </c>
      <c r="BV15">
        <v>128822.58</v>
      </c>
      <c r="BW15">
        <v>130524.58</v>
      </c>
      <c r="BX15">
        <v>139324.58000000002</v>
      </c>
      <c r="BY15">
        <v>146439.13</v>
      </c>
      <c r="BZ15">
        <v>149447.13</v>
      </c>
      <c r="CA15">
        <v>150982.13</v>
      </c>
      <c r="CB15">
        <v>150982.13</v>
      </c>
      <c r="CC15">
        <v>167563.03</v>
      </c>
      <c r="CD15">
        <v>208860.03</v>
      </c>
      <c r="CE15">
        <v>215554.03</v>
      </c>
      <c r="CF15">
        <v>241498.03</v>
      </c>
      <c r="CG15">
        <v>280801.03000000003</v>
      </c>
      <c r="CH15">
        <v>283840.03000000003</v>
      </c>
      <c r="CI15" s="11" t="s">
        <v>150</v>
      </c>
    </row>
    <row r="16" spans="1:87" x14ac:dyDescent="0.25">
      <c r="A16" t="s">
        <v>4</v>
      </c>
      <c r="B16" t="s">
        <v>75</v>
      </c>
      <c r="C16">
        <f>VLOOKUP(D1_MAYO_2025[[#This Row],[SUPER]],DATA_MAYO_2025[[SUPERVISOR]:[META]],3,0)</f>
        <v>65000</v>
      </c>
      <c r="D16">
        <f>D1_MAYO_2025[[#This Row],[RECUPERO]]/D1_MAYO_2025[[#This Row],[META]]</f>
        <v>0.37940000000000002</v>
      </c>
      <c r="E16" t="s">
        <v>4</v>
      </c>
      <c r="F16" t="s">
        <v>75</v>
      </c>
      <c r="G16">
        <v>24661</v>
      </c>
      <c r="H16" t="s">
        <v>428</v>
      </c>
      <c r="I16" s="56">
        <v>44716</v>
      </c>
      <c r="J16" t="s">
        <v>501</v>
      </c>
      <c r="L16" s="56"/>
      <c r="M16" s="1">
        <f>DATA_MAYO_2025[[#This Row],[RECUPERO]]/DATA_MAYO_2025[[#This Row],[META]]</f>
        <v>7.6923076923076927E-3</v>
      </c>
      <c r="N16" t="str" cm="1">
        <f t="array" ref="N16">IF(DATA_MAYO_2025[[#This Row],[ASER_]]="","",IFERROR(_xlfn.IFS(M16&gt;=100%,"&gt;100%",AND(M16&lt;100%,M16&gt;=70%),"&gt;70%",AND(M16&lt;70%,M16&gt;=40%),"&gt;40%",AND(M16&lt;40%,M16&gt;=0%),"&gt;0%"),""))</f>
        <v>&gt;0%</v>
      </c>
      <c r="O16" t="s">
        <v>5</v>
      </c>
      <c r="P16" s="6">
        <f>SUM(DATA_MAYO_2025[[#This Row],[1]:[31]])</f>
        <v>500</v>
      </c>
      <c r="Q16">
        <v>65000</v>
      </c>
      <c r="R16" t="s">
        <v>85</v>
      </c>
      <c r="S16">
        <v>500</v>
      </c>
      <c r="AX16" t="s">
        <v>150</v>
      </c>
      <c r="AZ16">
        <v>495375</v>
      </c>
      <c r="BA16" s="11">
        <f>MAX(DITE_MAYO_2025[[#This Row],[1]:[31]])</f>
        <v>448751.23</v>
      </c>
      <c r="BB16" s="17">
        <f>DITE_MAYO_2025[[#This Row],[RECUPERO SUPERVISOR]]/DITE_MAYO_2025[[#This Row],[META SUPER]]</f>
        <v>0.90588186727226849</v>
      </c>
      <c r="BC16" t="s">
        <v>3</v>
      </c>
      <c r="BD16">
        <v>1667</v>
      </c>
      <c r="BE16">
        <v>9947</v>
      </c>
      <c r="BF16">
        <v>10947</v>
      </c>
      <c r="BG16">
        <v>10947</v>
      </c>
      <c r="BH16">
        <v>21947</v>
      </c>
      <c r="BI16">
        <v>43526</v>
      </c>
      <c r="BJ16">
        <v>54572</v>
      </c>
      <c r="BK16">
        <v>80054</v>
      </c>
      <c r="BL16">
        <v>97382</v>
      </c>
      <c r="BM16">
        <v>100382</v>
      </c>
      <c r="BN16">
        <v>100382</v>
      </c>
      <c r="BO16">
        <v>131864.70000000001</v>
      </c>
      <c r="BP16">
        <v>132464.70000000001</v>
      </c>
      <c r="BQ16">
        <v>143564.70000000001</v>
      </c>
      <c r="BR16">
        <v>154812.70000000001</v>
      </c>
      <c r="BS16">
        <v>163843.70000000001</v>
      </c>
      <c r="BT16">
        <v>173443.7</v>
      </c>
      <c r="BU16">
        <v>173443.7</v>
      </c>
      <c r="BV16">
        <v>187823.7</v>
      </c>
      <c r="BW16">
        <v>213378.27000000002</v>
      </c>
      <c r="BX16">
        <v>234740.27000000002</v>
      </c>
      <c r="BY16">
        <v>244240.27000000002</v>
      </c>
      <c r="BZ16">
        <v>254418.27000000002</v>
      </c>
      <c r="CA16">
        <v>256418.27000000002</v>
      </c>
      <c r="CB16">
        <v>256418.27000000002</v>
      </c>
      <c r="CC16">
        <v>295510.27</v>
      </c>
      <c r="CD16">
        <v>336268.32</v>
      </c>
      <c r="CE16">
        <v>347768.32000000001</v>
      </c>
      <c r="CF16">
        <v>378021.32</v>
      </c>
      <c r="CG16">
        <v>434857.11</v>
      </c>
      <c r="CH16">
        <v>448751.23</v>
      </c>
      <c r="CI16" s="11" t="s">
        <v>150</v>
      </c>
    </row>
    <row r="17" spans="1:50" x14ac:dyDescent="0.25">
      <c r="A17" t="s">
        <v>4</v>
      </c>
      <c r="B17" t="s">
        <v>62</v>
      </c>
      <c r="C17">
        <f>VLOOKUP(D1_MAYO_2025[[#This Row],[SUPER]],DATA_MAYO_2025[[SUPERVISOR]:[META]],3,0)</f>
        <v>65000</v>
      </c>
      <c r="D17">
        <f>D1_MAYO_2025[[#This Row],[RECUPERO]]/D1_MAYO_2025[[#This Row],[META]]</f>
        <v>0.38682384615384613</v>
      </c>
      <c r="E17" t="s">
        <v>4</v>
      </c>
      <c r="F17" t="s">
        <v>62</v>
      </c>
      <c r="G17">
        <v>25143.55</v>
      </c>
      <c r="H17" t="s">
        <v>386</v>
      </c>
      <c r="I17" s="56">
        <v>45334</v>
      </c>
      <c r="J17" t="s">
        <v>501</v>
      </c>
      <c r="L17" s="56"/>
      <c r="M17" s="1">
        <f>DATA_MAYO_2025[[#This Row],[RECUPERO]]/DATA_MAYO_2025[[#This Row],[META]]</f>
        <v>0.57967999999999997</v>
      </c>
      <c r="N17" t="str" cm="1">
        <f t="array" ref="N17">IF(DATA_MAYO_2025[[#This Row],[ASER_]]="","",IFERROR(_xlfn.IFS(M17&gt;=100%,"&gt;100%",AND(M17&lt;100%,M17&gt;=70%),"&gt;70%",AND(M17&lt;70%,M17&gt;=40%),"&gt;40%",AND(M17&lt;40%,M17&gt;=0%),"&gt;0%"),""))</f>
        <v>&gt;40%</v>
      </c>
      <c r="O17" t="s">
        <v>5</v>
      </c>
      <c r="P17" s="6">
        <f>SUM(DATA_MAYO_2025[[#This Row],[1]:[31]])</f>
        <v>37679.199999999997</v>
      </c>
      <c r="Q17">
        <v>65000</v>
      </c>
      <c r="R17" t="s">
        <v>67</v>
      </c>
      <c r="T17">
        <v>1901</v>
      </c>
      <c r="W17">
        <v>935</v>
      </c>
      <c r="Y17">
        <v>5000</v>
      </c>
      <c r="Z17">
        <v>600</v>
      </c>
      <c r="AD17">
        <v>240</v>
      </c>
      <c r="AG17">
        <v>1482</v>
      </c>
      <c r="AH17">
        <v>772.2</v>
      </c>
      <c r="AI17">
        <v>3000</v>
      </c>
      <c r="AK17">
        <v>1000</v>
      </c>
      <c r="AL17">
        <v>3000</v>
      </c>
      <c r="AM17">
        <v>5300</v>
      </c>
      <c r="AO17">
        <v>2400</v>
      </c>
      <c r="AR17">
        <v>1000</v>
      </c>
      <c r="AT17">
        <v>7000</v>
      </c>
      <c r="AU17">
        <v>1034</v>
      </c>
      <c r="AV17">
        <v>715</v>
      </c>
      <c r="AW17">
        <v>2300</v>
      </c>
      <c r="AX17" t="s">
        <v>150</v>
      </c>
    </row>
    <row r="18" spans="1:50" x14ac:dyDescent="0.25">
      <c r="A18" t="s">
        <v>4</v>
      </c>
      <c r="B18" t="s">
        <v>64</v>
      </c>
      <c r="C18">
        <f>VLOOKUP(D1_MAYO_2025[[#This Row],[SUPER]],DATA_MAYO_2025[[SUPERVISOR]:[META]],3,0)</f>
        <v>65000</v>
      </c>
      <c r="D18">
        <f>D1_MAYO_2025[[#This Row],[RECUPERO]]/D1_MAYO_2025[[#This Row],[META]]</f>
        <v>0.25306153846153845</v>
      </c>
      <c r="E18" t="s">
        <v>4</v>
      </c>
      <c r="F18" t="s">
        <v>64</v>
      </c>
      <c r="G18">
        <v>16449</v>
      </c>
      <c r="H18" t="s">
        <v>455</v>
      </c>
      <c r="I18" s="56">
        <v>45700</v>
      </c>
      <c r="J18" t="s">
        <v>501</v>
      </c>
      <c r="L18" s="56"/>
      <c r="M18" s="1">
        <f>DATA_MAYO_2025[[#This Row],[RECUPERO]]/DATA_MAYO_2025[[#This Row],[META]]</f>
        <v>1.46035</v>
      </c>
      <c r="N18" t="str" cm="1">
        <f t="array" ref="N18">IF(DATA_MAYO_2025[[#This Row],[ASER_]]="","",IFERROR(_xlfn.IFS(M18&gt;=100%,"&gt;100%",AND(M18&lt;100%,M18&gt;=70%),"&gt;70%",AND(M18&lt;70%,M18&gt;=40%),"&gt;40%",AND(M18&lt;40%,M18&gt;=0%),"&gt;0%"),""))</f>
        <v>&gt;100%</v>
      </c>
      <c r="O18" t="s">
        <v>8</v>
      </c>
      <c r="P18" s="6">
        <f>SUM(DATA_MAYO_2025[[#This Row],[1]:[31]])</f>
        <v>29207</v>
      </c>
      <c r="Q18">
        <v>20000</v>
      </c>
      <c r="R18" t="s">
        <v>14</v>
      </c>
      <c r="V18">
        <v>200</v>
      </c>
      <c r="W18">
        <v>220</v>
      </c>
      <c r="Y18">
        <v>350</v>
      </c>
      <c r="Z18">
        <v>1327</v>
      </c>
      <c r="AA18">
        <v>1250</v>
      </c>
      <c r="AD18">
        <v>200</v>
      </c>
      <c r="AF18">
        <v>1000</v>
      </c>
      <c r="AG18">
        <v>3000</v>
      </c>
      <c r="AL18">
        <v>1517</v>
      </c>
      <c r="AM18">
        <v>472</v>
      </c>
      <c r="AO18">
        <v>658</v>
      </c>
      <c r="AR18">
        <v>381</v>
      </c>
      <c r="AS18">
        <v>2900</v>
      </c>
      <c r="AT18">
        <v>733</v>
      </c>
      <c r="AU18">
        <v>200</v>
      </c>
      <c r="AV18">
        <v>13765</v>
      </c>
      <c r="AW18">
        <v>1034</v>
      </c>
      <c r="AX18" t="s">
        <v>153</v>
      </c>
    </row>
    <row r="19" spans="1:50" x14ac:dyDescent="0.25">
      <c r="A19" t="s">
        <v>4</v>
      </c>
      <c r="B19" t="s">
        <v>59</v>
      </c>
      <c r="C19">
        <f>VLOOKUP(D1_MAYO_2025[[#This Row],[SUPER]],DATA_MAYO_2025[[SUPERVISOR]:[META]],3,0)</f>
        <v>65000</v>
      </c>
      <c r="D19">
        <f>D1_MAYO_2025[[#This Row],[RECUPERO]]/D1_MAYO_2025[[#This Row],[META]]</f>
        <v>0.81130738461538465</v>
      </c>
      <c r="E19" t="s">
        <v>4</v>
      </c>
      <c r="F19" t="s">
        <v>59</v>
      </c>
      <c r="G19">
        <v>52734.98</v>
      </c>
      <c r="H19" t="s">
        <v>430</v>
      </c>
      <c r="I19" s="56">
        <v>45348</v>
      </c>
      <c r="J19" t="s">
        <v>501</v>
      </c>
      <c r="L19" s="56"/>
      <c r="M19" s="1">
        <f>DATA_MAYO_2025[[#This Row],[RECUPERO]]/DATA_MAYO_2025[[#This Row],[META]]</f>
        <v>0.25785000000000002</v>
      </c>
      <c r="N19" t="str" cm="1">
        <f t="array" ref="N19">IF(DATA_MAYO_2025[[#This Row],[ASER_]]="","",IFERROR(_xlfn.IFS(M19&gt;=100%,"&gt;100%",AND(M19&lt;100%,M19&gt;=70%),"&gt;70%",AND(M19&lt;70%,M19&gt;=40%),"&gt;40%",AND(M19&lt;40%,M19&gt;=0%),"&gt;0%"),""))</f>
        <v>&gt;0%</v>
      </c>
      <c r="O19" t="s">
        <v>9</v>
      </c>
      <c r="P19" s="6">
        <f>SUM(DATA_MAYO_2025[[#This Row],[1]:[31]])</f>
        <v>5157</v>
      </c>
      <c r="Q19">
        <v>20000</v>
      </c>
      <c r="R19" t="s">
        <v>104</v>
      </c>
      <c r="S19">
        <v>200</v>
      </c>
      <c r="X19">
        <v>800</v>
      </c>
      <c r="Y19">
        <v>300</v>
      </c>
      <c r="Z19">
        <v>557</v>
      </c>
      <c r="AD19">
        <v>300</v>
      </c>
      <c r="AH19">
        <v>400</v>
      </c>
      <c r="AK19">
        <v>400</v>
      </c>
      <c r="AN19">
        <v>900</v>
      </c>
      <c r="AV19">
        <v>600</v>
      </c>
      <c r="AW19">
        <v>700</v>
      </c>
      <c r="AX19" t="s">
        <v>153</v>
      </c>
    </row>
    <row r="20" spans="1:50" x14ac:dyDescent="0.25">
      <c r="A20" t="s">
        <v>2</v>
      </c>
      <c r="B20" t="s">
        <v>16</v>
      </c>
      <c r="C20">
        <f>VLOOKUP(D1_MAYO_2025[[#This Row],[SUPER]],DATA_MAYO_2025[[SUPERVISOR]:[META]],3,0)</f>
        <v>65000</v>
      </c>
      <c r="D20">
        <f>D1_MAYO_2025[[#This Row],[RECUPERO]]/D1_MAYO_2025[[#This Row],[META]]</f>
        <v>0.54335384615384619</v>
      </c>
      <c r="E20" t="s">
        <v>2</v>
      </c>
      <c r="F20" t="s">
        <v>16</v>
      </c>
      <c r="G20">
        <v>35318</v>
      </c>
      <c r="H20" t="s">
        <v>388</v>
      </c>
      <c r="I20" s="56">
        <v>45334</v>
      </c>
      <c r="J20" t="s">
        <v>501</v>
      </c>
      <c r="L20" s="56"/>
      <c r="M20" s="1">
        <f>DATA_MAYO_2025[[#This Row],[RECUPERO]]/DATA_MAYO_2025[[#This Row],[META]]</f>
        <v>0.67846153846153845</v>
      </c>
      <c r="N20" t="str" cm="1">
        <f t="array" ref="N20">IF(DATA_MAYO_2025[[#This Row],[ASER_]]="","",IFERROR(_xlfn.IFS(M20&gt;=100%,"&gt;100%",AND(M20&lt;100%,M20&gt;=70%),"&gt;70%",AND(M20&lt;70%,M20&gt;=40%),"&gt;40%",AND(M20&lt;40%,M20&gt;=0%),"&gt;0%"),""))</f>
        <v>&gt;40%</v>
      </c>
      <c r="O20" t="s">
        <v>6</v>
      </c>
      <c r="P20" s="6">
        <f>SUM(DATA_MAYO_2025[[#This Row],[1]:[31]])</f>
        <v>17640</v>
      </c>
      <c r="Q20">
        <v>26000</v>
      </c>
      <c r="R20" t="s">
        <v>19</v>
      </c>
      <c r="X20">
        <v>290</v>
      </c>
      <c r="AD20">
        <v>100</v>
      </c>
      <c r="AF20">
        <v>500</v>
      </c>
      <c r="AG20">
        <v>250</v>
      </c>
      <c r="AK20">
        <v>1000</v>
      </c>
      <c r="AL20">
        <v>5500</v>
      </c>
      <c r="AV20">
        <v>10000</v>
      </c>
      <c r="AX20" t="s">
        <v>152</v>
      </c>
    </row>
    <row r="21" spans="1:50" x14ac:dyDescent="0.25">
      <c r="A21" t="s">
        <v>2</v>
      </c>
      <c r="B21" t="s">
        <v>12</v>
      </c>
      <c r="C21">
        <f>VLOOKUP(D1_MAYO_2025[[#This Row],[SUPER]],DATA_MAYO_2025[[SUPERVISOR]:[META]],3,0)</f>
        <v>65000</v>
      </c>
      <c r="D21">
        <f>D1_MAYO_2025[[#This Row],[RECUPERO]]/D1_MAYO_2025[[#This Row],[META]]</f>
        <v>0.48955384615384617</v>
      </c>
      <c r="E21" t="s">
        <v>2</v>
      </c>
      <c r="F21" t="s">
        <v>12</v>
      </c>
      <c r="G21">
        <v>31821</v>
      </c>
      <c r="H21" t="s">
        <v>389</v>
      </c>
      <c r="I21" s="56">
        <v>44870</v>
      </c>
      <c r="J21" t="s">
        <v>501</v>
      </c>
      <c r="L21" s="56"/>
      <c r="M21" s="1">
        <f>DATA_MAYO_2025[[#This Row],[RECUPERO]]/DATA_MAYO_2025[[#This Row],[META]]</f>
        <v>0.42515384615384616</v>
      </c>
      <c r="N21" t="str" cm="1">
        <f t="array" ref="N21">IF(DATA_MAYO_2025[[#This Row],[ASER_]]="","",IFERROR(_xlfn.IFS(M21&gt;=100%,"&gt;100%",AND(M21&lt;100%,M21&gt;=70%),"&gt;70%",AND(M21&lt;70%,M21&gt;=40%),"&gt;40%",AND(M21&lt;40%,M21&gt;=0%),"&gt;0%"),""))</f>
        <v>&gt;40%</v>
      </c>
      <c r="O21" t="s">
        <v>3</v>
      </c>
      <c r="P21" s="6">
        <f>SUM(DATA_MAYO_2025[[#This Row],[1]:[31]])</f>
        <v>27635</v>
      </c>
      <c r="Q21">
        <v>65000</v>
      </c>
      <c r="R21" t="s">
        <v>53</v>
      </c>
      <c r="T21">
        <v>370</v>
      </c>
      <c r="Y21">
        <v>1500</v>
      </c>
      <c r="AA21">
        <v>400</v>
      </c>
      <c r="AD21">
        <v>11575</v>
      </c>
      <c r="AF21">
        <v>600</v>
      </c>
      <c r="AM21">
        <v>1190</v>
      </c>
      <c r="AN21">
        <v>8000</v>
      </c>
      <c r="AS21">
        <v>2000</v>
      </c>
      <c r="AT21">
        <v>700</v>
      </c>
      <c r="AU21">
        <v>700</v>
      </c>
      <c r="AV21">
        <v>600</v>
      </c>
      <c r="AX21" t="s">
        <v>150</v>
      </c>
    </row>
    <row r="22" spans="1:50" x14ac:dyDescent="0.25">
      <c r="A22" t="s">
        <v>2</v>
      </c>
      <c r="B22" t="s">
        <v>13</v>
      </c>
      <c r="C22">
        <f>VLOOKUP(D1_MAYO_2025[[#This Row],[SUPER]],DATA_MAYO_2025[[SUPERVISOR]:[META]],3,0)</f>
        <v>65000</v>
      </c>
      <c r="D22">
        <f>D1_MAYO_2025[[#This Row],[RECUPERO]]/D1_MAYO_2025[[#This Row],[META]]</f>
        <v>0.4540769230769231</v>
      </c>
      <c r="E22" t="s">
        <v>2</v>
      </c>
      <c r="F22" t="s">
        <v>13</v>
      </c>
      <c r="G22">
        <v>29515</v>
      </c>
      <c r="H22" t="s">
        <v>382</v>
      </c>
      <c r="I22" s="56">
        <v>44811</v>
      </c>
      <c r="J22" t="s">
        <v>501</v>
      </c>
      <c r="L22" s="56"/>
      <c r="M22" s="1">
        <f>DATA_MAYO_2025[[#This Row],[RECUPERO]]/DATA_MAYO_2025[[#This Row],[META]]</f>
        <v>0.22819999999999999</v>
      </c>
      <c r="N22" t="str" cm="1">
        <f t="array" ref="N22">IF(DATA_MAYO_2025[[#This Row],[ASER_]]="","",IFERROR(_xlfn.IFS(M22&gt;=100%,"&gt;100%",AND(M22&lt;100%,M22&gt;=70%),"&gt;70%",AND(M22&lt;70%,M22&gt;=40%),"&gt;40%",AND(M22&lt;40%,M22&gt;=0%),"&gt;0%"),""))</f>
        <v>&gt;0%</v>
      </c>
      <c r="O22" t="s">
        <v>8</v>
      </c>
      <c r="P22" s="6">
        <f>SUM(DATA_MAYO_2025[[#This Row],[1]:[31]])</f>
        <v>4564</v>
      </c>
      <c r="Q22">
        <v>20000</v>
      </c>
      <c r="R22" t="s">
        <v>41</v>
      </c>
      <c r="T22">
        <v>300</v>
      </c>
      <c r="X22">
        <v>160</v>
      </c>
      <c r="Y22">
        <v>200</v>
      </c>
      <c r="AA22">
        <v>200</v>
      </c>
      <c r="AD22">
        <v>1000</v>
      </c>
      <c r="AH22">
        <v>130</v>
      </c>
      <c r="AN22">
        <v>700</v>
      </c>
      <c r="AO22">
        <v>900</v>
      </c>
      <c r="AR22">
        <v>340</v>
      </c>
      <c r="AS22">
        <v>100</v>
      </c>
      <c r="AT22">
        <v>400</v>
      </c>
      <c r="AU22">
        <v>134</v>
      </c>
      <c r="AX22" t="s">
        <v>153</v>
      </c>
    </row>
    <row r="23" spans="1:50" x14ac:dyDescent="0.25">
      <c r="A23" t="s">
        <v>2</v>
      </c>
      <c r="B23" t="s">
        <v>77</v>
      </c>
      <c r="C23">
        <f>VLOOKUP(D1_MAYO_2025[[#This Row],[SUPER]],DATA_MAYO_2025[[SUPERVISOR]:[META]],3,0)</f>
        <v>65000</v>
      </c>
      <c r="D23">
        <f>D1_MAYO_2025[[#This Row],[RECUPERO]]/D1_MAYO_2025[[#This Row],[META]]</f>
        <v>0.55006846153846145</v>
      </c>
      <c r="E23" t="s">
        <v>2</v>
      </c>
      <c r="F23" t="s">
        <v>77</v>
      </c>
      <c r="G23">
        <v>35754.449999999997</v>
      </c>
      <c r="H23" t="s">
        <v>393</v>
      </c>
      <c r="I23" s="56">
        <v>44840</v>
      </c>
      <c r="J23" t="s">
        <v>501</v>
      </c>
      <c r="L23" s="56"/>
      <c r="M23" s="1">
        <f>DATA_MAYO_2025[[#This Row],[RECUPERO]]/DATA_MAYO_2025[[#This Row],[META]]</f>
        <v>1.5384615384615385E-2</v>
      </c>
      <c r="N23" t="str" cm="1">
        <f t="array" ref="N23">IF(DATA_MAYO_2025[[#This Row],[ASER_]]="","",IFERROR(_xlfn.IFS(M23&gt;=100%,"&gt;100%",AND(M23&lt;100%,M23&gt;=70%),"&gt;70%",AND(M23&lt;70%,M23&gt;=40%),"&gt;40%",AND(M23&lt;40%,M23&gt;=0%),"&gt;0%"),""))</f>
        <v>&gt;0%</v>
      </c>
      <c r="O23" t="s">
        <v>4</v>
      </c>
      <c r="P23" s="6">
        <f>SUM(DATA_MAYO_2025[[#This Row],[1]:[31]])</f>
        <v>1000</v>
      </c>
      <c r="Q23">
        <v>65000</v>
      </c>
      <c r="R23" t="s">
        <v>82</v>
      </c>
      <c r="AV23">
        <v>1000</v>
      </c>
      <c r="AX23" t="s">
        <v>150</v>
      </c>
    </row>
    <row r="24" spans="1:50" x14ac:dyDescent="0.25">
      <c r="A24" t="s">
        <v>2</v>
      </c>
      <c r="B24" t="s">
        <v>29</v>
      </c>
      <c r="C24">
        <f>VLOOKUP(D1_MAYO_2025[[#This Row],[SUPER]],DATA_MAYO_2025[[SUPERVISOR]:[META]],3,0)</f>
        <v>65000</v>
      </c>
      <c r="D24">
        <f>D1_MAYO_2025[[#This Row],[RECUPERO]]/D1_MAYO_2025[[#This Row],[META]]</f>
        <v>0.71824615384615387</v>
      </c>
      <c r="E24" t="s">
        <v>2</v>
      </c>
      <c r="F24" t="s">
        <v>29</v>
      </c>
      <c r="G24">
        <v>46686</v>
      </c>
      <c r="H24" t="s">
        <v>416</v>
      </c>
      <c r="I24" s="56">
        <v>44687</v>
      </c>
      <c r="J24" t="s">
        <v>501</v>
      </c>
      <c r="L24" s="56"/>
      <c r="M24" s="1">
        <f>DATA_MAYO_2025[[#This Row],[RECUPERO]]/DATA_MAYO_2025[[#This Row],[META]]</f>
        <v>0.68599230769230768</v>
      </c>
      <c r="N24" t="str" cm="1">
        <f t="array" ref="N24">IF(DATA_MAYO_2025[[#This Row],[ASER_]]="","",IFERROR(_xlfn.IFS(M24&gt;=100%,"&gt;100%",AND(M24&lt;100%,M24&gt;=70%),"&gt;70%",AND(M24&lt;70%,M24&gt;=40%),"&gt;40%",AND(M24&lt;40%,M24&gt;=0%),"&gt;0%"),""))</f>
        <v>&gt;40%</v>
      </c>
      <c r="O24" t="s">
        <v>4</v>
      </c>
      <c r="P24" s="6">
        <f>SUM(DATA_MAYO_2025[[#This Row],[1]:[31]])</f>
        <v>44589.5</v>
      </c>
      <c r="Q24">
        <v>65000</v>
      </c>
      <c r="R24" t="s">
        <v>61</v>
      </c>
      <c r="S24">
        <v>730</v>
      </c>
      <c r="T24">
        <v>4024</v>
      </c>
      <c r="W24">
        <v>1847</v>
      </c>
      <c r="Y24">
        <v>1650</v>
      </c>
      <c r="Z24">
        <v>2440</v>
      </c>
      <c r="AA24">
        <v>4000</v>
      </c>
      <c r="AB24">
        <v>600</v>
      </c>
      <c r="AF24">
        <v>867</v>
      </c>
      <c r="AH24">
        <v>901.5</v>
      </c>
      <c r="AK24">
        <v>1011</v>
      </c>
      <c r="AL24">
        <v>349</v>
      </c>
      <c r="AN24">
        <v>1215</v>
      </c>
      <c r="AO24">
        <v>1008</v>
      </c>
      <c r="AP24">
        <v>865</v>
      </c>
      <c r="AS24">
        <v>20605</v>
      </c>
      <c r="AT24">
        <v>294</v>
      </c>
      <c r="AU24">
        <v>150</v>
      </c>
      <c r="AV24">
        <v>1765</v>
      </c>
      <c r="AW24">
        <v>268</v>
      </c>
      <c r="AX24" t="s">
        <v>150</v>
      </c>
    </row>
    <row r="25" spans="1:50" x14ac:dyDescent="0.25">
      <c r="A25" t="s">
        <v>2</v>
      </c>
      <c r="B25" t="s">
        <v>17</v>
      </c>
      <c r="C25">
        <f>VLOOKUP(D1_MAYO_2025[[#This Row],[SUPER]],DATA_MAYO_2025[[SUPERVISOR]:[META]],3,0)</f>
        <v>65000</v>
      </c>
      <c r="D25">
        <f>D1_MAYO_2025[[#This Row],[RECUPERO]]/D1_MAYO_2025[[#This Row],[META]]</f>
        <v>0.65569230769230769</v>
      </c>
      <c r="E25" t="s">
        <v>2</v>
      </c>
      <c r="F25" t="s">
        <v>17</v>
      </c>
      <c r="G25">
        <v>42620</v>
      </c>
      <c r="H25" t="s">
        <v>385</v>
      </c>
      <c r="I25" s="56">
        <v>44888</v>
      </c>
      <c r="J25" t="s">
        <v>501</v>
      </c>
      <c r="L25" s="56"/>
      <c r="M25" s="1">
        <f>DATA_MAYO_2025[[#This Row],[RECUPERO]]/DATA_MAYO_2025[[#This Row],[META]]</f>
        <v>1.6751</v>
      </c>
      <c r="N25" t="str" cm="1">
        <f t="array" ref="N25">IF(DATA_MAYO_2025[[#This Row],[ASER_]]="","",IFERROR(_xlfn.IFS(M25&gt;=100%,"&gt;100%",AND(M25&lt;100%,M25&gt;=70%),"&gt;70%",AND(M25&lt;70%,M25&gt;=40%),"&gt;40%",AND(M25&lt;40%,M25&gt;=0%),"&gt;0%"),""))</f>
        <v>&gt;100%</v>
      </c>
      <c r="O25" t="s">
        <v>125</v>
      </c>
      <c r="P25" s="6">
        <f>SUM(DATA_MAYO_2025[[#This Row],[1]:[31]])</f>
        <v>33502</v>
      </c>
      <c r="Q25">
        <v>20000</v>
      </c>
      <c r="R25" t="s">
        <v>80</v>
      </c>
      <c r="X25">
        <v>2000</v>
      </c>
      <c r="Z25">
        <v>1200</v>
      </c>
      <c r="AF25">
        <v>174</v>
      </c>
      <c r="AG25">
        <v>8200</v>
      </c>
      <c r="AH25">
        <v>1900</v>
      </c>
      <c r="AK25">
        <v>395</v>
      </c>
      <c r="AL25">
        <v>315</v>
      </c>
      <c r="AM25">
        <v>305</v>
      </c>
      <c r="AN25">
        <v>4194</v>
      </c>
      <c r="AO25">
        <v>187</v>
      </c>
      <c r="AR25">
        <v>8885</v>
      </c>
      <c r="AS25">
        <v>435</v>
      </c>
      <c r="AU25">
        <v>432</v>
      </c>
      <c r="AV25">
        <v>2280</v>
      </c>
      <c r="AW25">
        <v>2600</v>
      </c>
      <c r="AX25" t="s">
        <v>153</v>
      </c>
    </row>
    <row r="26" spans="1:50" x14ac:dyDescent="0.25">
      <c r="A26" t="s">
        <v>2</v>
      </c>
      <c r="B26" t="s">
        <v>11</v>
      </c>
      <c r="C26">
        <f>VLOOKUP(D1_MAYO_2025[[#This Row],[SUPER]],DATA_MAYO_2025[[SUPERVISOR]:[META]],3,0)</f>
        <v>65000</v>
      </c>
      <c r="D26">
        <f>D1_MAYO_2025[[#This Row],[RECUPERO]]/D1_MAYO_2025[[#This Row],[META]]</f>
        <v>0.69013999999999998</v>
      </c>
      <c r="E26" t="s">
        <v>2</v>
      </c>
      <c r="F26" t="s">
        <v>11</v>
      </c>
      <c r="G26">
        <v>44859.1</v>
      </c>
      <c r="H26" t="s">
        <v>429</v>
      </c>
      <c r="I26" s="56">
        <v>45371</v>
      </c>
      <c r="J26" t="s">
        <v>501</v>
      </c>
      <c r="L26" s="56"/>
      <c r="M26" s="1">
        <f>DATA_MAYO_2025[[#This Row],[RECUPERO]]/DATA_MAYO_2025[[#This Row],[META]]</f>
        <v>0.52564999999999995</v>
      </c>
      <c r="N26" t="str" cm="1">
        <f t="array" ref="N26">IF(DATA_MAYO_2025[[#This Row],[ASER_]]="","",IFERROR(_xlfn.IFS(M26&gt;=100%,"&gt;100%",AND(M26&lt;100%,M26&gt;=70%),"&gt;70%",AND(M26&lt;70%,M26&gt;=40%),"&gt;40%",AND(M26&lt;40%,M26&gt;=0%),"&gt;0%"),""))</f>
        <v>&gt;40%</v>
      </c>
      <c r="O26" t="s">
        <v>8</v>
      </c>
      <c r="P26" s="6">
        <f>SUM(DATA_MAYO_2025[[#This Row],[1]:[31]])</f>
        <v>10513</v>
      </c>
      <c r="Q26">
        <v>20000</v>
      </c>
      <c r="R26" t="s">
        <v>40</v>
      </c>
      <c r="W26">
        <v>170</v>
      </c>
      <c r="Z26">
        <v>750</v>
      </c>
      <c r="AD26">
        <v>450</v>
      </c>
      <c r="AG26">
        <v>945</v>
      </c>
      <c r="AH26">
        <v>200</v>
      </c>
      <c r="AO26">
        <v>3000</v>
      </c>
      <c r="AS26">
        <v>100</v>
      </c>
      <c r="AU26">
        <v>3150</v>
      </c>
      <c r="AV26">
        <v>1748</v>
      </c>
      <c r="AX26" t="s">
        <v>153</v>
      </c>
    </row>
    <row r="27" spans="1:50" x14ac:dyDescent="0.25">
      <c r="A27" t="s">
        <v>2</v>
      </c>
      <c r="B27" t="s">
        <v>86</v>
      </c>
      <c r="C27">
        <f>VLOOKUP(D1_MAYO_2025[[#This Row],[SUPER]],DATA_MAYO_2025[[SUPERVISOR]:[META]],3,0)</f>
        <v>65000</v>
      </c>
      <c r="D27">
        <f>D1_MAYO_2025[[#This Row],[RECUPERO]]/D1_MAYO_2025[[#This Row],[META]]</f>
        <v>0</v>
      </c>
      <c r="E27" t="s">
        <v>2</v>
      </c>
      <c r="F27" t="s">
        <v>86</v>
      </c>
      <c r="G27">
        <v>0</v>
      </c>
      <c r="H27" t="s">
        <v>466</v>
      </c>
      <c r="I27" s="56">
        <v>45798</v>
      </c>
      <c r="J27" t="s">
        <v>501</v>
      </c>
      <c r="L27" s="56"/>
      <c r="M27" s="1">
        <f>DATA_MAYO_2025[[#This Row],[RECUPERO]]/DATA_MAYO_2025[[#This Row],[META]]</f>
        <v>0.41130769230769232</v>
      </c>
      <c r="N27" t="str" cm="1">
        <f t="array" ref="N27">IF(DATA_MAYO_2025[[#This Row],[ASER_]]="","",IFERROR(_xlfn.IFS(M27&gt;=100%,"&gt;100%",AND(M27&lt;100%,M27&gt;=70%),"&gt;70%",AND(M27&lt;70%,M27&gt;=40%),"&gt;40%",AND(M27&lt;40%,M27&gt;=0%),"&gt;0%"),""))</f>
        <v>&gt;40%</v>
      </c>
      <c r="O27" t="s">
        <v>6</v>
      </c>
      <c r="P27" s="6">
        <f>SUM(DATA_MAYO_2025[[#This Row],[1]:[31]])</f>
        <v>10694</v>
      </c>
      <c r="Q27">
        <v>26000</v>
      </c>
      <c r="R27" t="s">
        <v>81</v>
      </c>
      <c r="X27">
        <v>1200</v>
      </c>
      <c r="AG27">
        <v>2700</v>
      </c>
      <c r="AK27">
        <v>2500</v>
      </c>
      <c r="AL27">
        <v>524</v>
      </c>
      <c r="AM27">
        <v>3100</v>
      </c>
      <c r="AT27">
        <v>470</v>
      </c>
      <c r="AU27">
        <v>200</v>
      </c>
      <c r="AX27" t="s">
        <v>152</v>
      </c>
    </row>
    <row r="28" spans="1:50" x14ac:dyDescent="0.25">
      <c r="A28" t="s">
        <v>2</v>
      </c>
      <c r="B28" t="s">
        <v>10</v>
      </c>
      <c r="C28">
        <f>VLOOKUP(D1_MAYO_2025[[#This Row],[SUPER]],DATA_MAYO_2025[[SUPERVISOR]:[META]],3,0)</f>
        <v>65000</v>
      </c>
      <c r="D28">
        <f>D1_MAYO_2025[[#This Row],[RECUPERO]]/D1_MAYO_2025[[#This Row],[META]]</f>
        <v>0.25473076923076921</v>
      </c>
      <c r="E28" t="s">
        <v>2</v>
      </c>
      <c r="F28" t="s">
        <v>10</v>
      </c>
      <c r="G28">
        <v>16557.5</v>
      </c>
      <c r="H28" t="s">
        <v>449</v>
      </c>
      <c r="I28" s="56">
        <v>44706</v>
      </c>
      <c r="J28" t="s">
        <v>501</v>
      </c>
      <c r="L28" s="56"/>
      <c r="M28" s="1">
        <f>DATA_MAYO_2025[[#This Row],[RECUPERO]]/DATA_MAYO_2025[[#This Row],[META]]</f>
        <v>0.4150307692307692</v>
      </c>
      <c r="N28" t="str" cm="1">
        <f t="array" ref="N28">IF(DATA_MAYO_2025[[#This Row],[ASER_]]="","",IFERROR(_xlfn.IFS(M28&gt;=100%,"&gt;100%",AND(M28&lt;100%,M28&gt;=70%),"&gt;70%",AND(M28&lt;70%,M28&gt;=40%),"&gt;40%",AND(M28&lt;40%,M28&gt;=0%),"&gt;0%"),""))</f>
        <v>&gt;40%</v>
      </c>
      <c r="O28" t="s">
        <v>5</v>
      </c>
      <c r="P28" s="6">
        <f>SUM(DATA_MAYO_2025[[#This Row],[1]:[31]])</f>
        <v>26977</v>
      </c>
      <c r="Q28">
        <v>65000</v>
      </c>
      <c r="R28" t="s">
        <v>72</v>
      </c>
      <c r="S28">
        <v>216</v>
      </c>
      <c r="T28">
        <v>316</v>
      </c>
      <c r="W28">
        <v>680</v>
      </c>
      <c r="X28">
        <v>370</v>
      </c>
      <c r="Y28">
        <v>600</v>
      </c>
      <c r="AA28">
        <v>218</v>
      </c>
      <c r="AB28">
        <v>132.5</v>
      </c>
      <c r="AD28">
        <v>1500</v>
      </c>
      <c r="AE28">
        <v>1200</v>
      </c>
      <c r="AF28">
        <v>292</v>
      </c>
      <c r="AG28">
        <v>2300</v>
      </c>
      <c r="AK28">
        <v>500</v>
      </c>
      <c r="AL28">
        <v>2569</v>
      </c>
      <c r="AM28">
        <v>650</v>
      </c>
      <c r="AN28">
        <v>2000</v>
      </c>
      <c r="AP28">
        <v>132.5</v>
      </c>
      <c r="AR28">
        <v>7000</v>
      </c>
      <c r="AS28">
        <v>4000</v>
      </c>
      <c r="AV28">
        <v>2019</v>
      </c>
      <c r="AW28">
        <v>282</v>
      </c>
      <c r="AX28" t="s">
        <v>150</v>
      </c>
    </row>
    <row r="29" spans="1:50" x14ac:dyDescent="0.25">
      <c r="A29" t="s">
        <v>5</v>
      </c>
      <c r="B29" t="s">
        <v>58</v>
      </c>
      <c r="C29">
        <f>VLOOKUP(D1_MAYO_2025[[#This Row],[SUPER]],DATA_MAYO_2025[[SUPERVISOR]:[META]],3,0)</f>
        <v>65000</v>
      </c>
      <c r="D29">
        <f>D1_MAYO_2025[[#This Row],[RECUPERO]]/D1_MAYO_2025[[#This Row],[META]]</f>
        <v>0.54075384615384614</v>
      </c>
      <c r="E29" t="s">
        <v>5</v>
      </c>
      <c r="F29" t="s">
        <v>58</v>
      </c>
      <c r="G29">
        <v>35149</v>
      </c>
      <c r="H29" t="s">
        <v>441</v>
      </c>
      <c r="I29" s="56">
        <v>43035</v>
      </c>
      <c r="J29" t="s">
        <v>501</v>
      </c>
      <c r="L29" s="56"/>
      <c r="M29" s="1">
        <f>DATA_MAYO_2025[[#This Row],[RECUPERO]]/DATA_MAYO_2025[[#This Row],[META]]</f>
        <v>1.1194884615384615</v>
      </c>
      <c r="N29" t="str" cm="1">
        <f t="array" ref="N29">IF(DATA_MAYO_2025[[#This Row],[ASER_]]="","",IFERROR(_xlfn.IFS(M29&gt;=100%,"&gt;100%",AND(M29&lt;100%,M29&gt;=70%),"&gt;70%",AND(M29&lt;70%,M29&gt;=40%),"&gt;40%",AND(M29&lt;40%,M29&gt;=0%),"&gt;0%"),""))</f>
        <v>&gt;100%</v>
      </c>
      <c r="O29" t="s">
        <v>3</v>
      </c>
      <c r="P29" s="6">
        <f>SUM(DATA_MAYO_2025[[#This Row],[1]:[31]])</f>
        <v>72766.75</v>
      </c>
      <c r="Q29">
        <v>65000</v>
      </c>
      <c r="R29" t="s">
        <v>22</v>
      </c>
      <c r="T29">
        <v>1300</v>
      </c>
      <c r="W29">
        <v>500</v>
      </c>
      <c r="X29">
        <v>529</v>
      </c>
      <c r="Y29">
        <v>296</v>
      </c>
      <c r="Z29">
        <v>19582</v>
      </c>
      <c r="AD29">
        <v>1057.7</v>
      </c>
      <c r="AG29">
        <v>600</v>
      </c>
      <c r="AI29">
        <v>1000</v>
      </c>
      <c r="AK29">
        <v>900</v>
      </c>
      <c r="AL29">
        <v>1126</v>
      </c>
      <c r="AN29">
        <v>800</v>
      </c>
      <c r="AO29">
        <v>6018</v>
      </c>
      <c r="AP29">
        <v>500</v>
      </c>
      <c r="AR29">
        <v>10257</v>
      </c>
      <c r="AS29">
        <v>11614.05</v>
      </c>
      <c r="AT29">
        <v>2800</v>
      </c>
      <c r="AU29">
        <v>6662</v>
      </c>
      <c r="AV29">
        <v>6396</v>
      </c>
      <c r="AW29">
        <v>829</v>
      </c>
      <c r="AX29" t="s">
        <v>150</v>
      </c>
    </row>
    <row r="30" spans="1:50" x14ac:dyDescent="0.25">
      <c r="A30" t="s">
        <v>5</v>
      </c>
      <c r="B30" t="s">
        <v>69</v>
      </c>
      <c r="C30">
        <f>VLOOKUP(D1_MAYO_2025[[#This Row],[SUPER]],DATA_MAYO_2025[[SUPERVISOR]:[META]],3,0)</f>
        <v>65000</v>
      </c>
      <c r="D30">
        <f>D1_MAYO_2025[[#This Row],[RECUPERO]]/D1_MAYO_2025[[#This Row],[META]]</f>
        <v>0.51727846153846146</v>
      </c>
      <c r="E30" t="s">
        <v>5</v>
      </c>
      <c r="F30" t="s">
        <v>69</v>
      </c>
      <c r="G30">
        <v>33623.1</v>
      </c>
      <c r="H30" t="s">
        <v>379</v>
      </c>
      <c r="I30" s="56">
        <v>44461</v>
      </c>
      <c r="J30" t="s">
        <v>501</v>
      </c>
      <c r="L30" s="56"/>
      <c r="M30" s="1">
        <f>DATA_MAYO_2025[[#This Row],[RECUPERO]]/DATA_MAYO_2025[[#This Row],[META]]</f>
        <v>0.64496500000000001</v>
      </c>
      <c r="N30" t="str" cm="1">
        <f t="array" ref="N30">IF(DATA_MAYO_2025[[#This Row],[ASER_]]="","",IFERROR(_xlfn.IFS(M30&gt;=100%,"&gt;100%",AND(M30&lt;100%,M30&gt;=70%),"&gt;70%",AND(M30&lt;70%,M30&gt;=40%),"&gt;40%",AND(M30&lt;40%,M30&gt;=0%),"&gt;0%"),""))</f>
        <v>&gt;40%</v>
      </c>
      <c r="O30" t="s">
        <v>8</v>
      </c>
      <c r="P30" s="6">
        <f>SUM(DATA_MAYO_2025[[#This Row],[1]:[31]])</f>
        <v>12899.3</v>
      </c>
      <c r="Q30">
        <v>20000</v>
      </c>
      <c r="R30" t="s">
        <v>24</v>
      </c>
      <c r="Y30">
        <v>150</v>
      </c>
      <c r="AD30">
        <v>277</v>
      </c>
      <c r="AE30">
        <v>2100</v>
      </c>
      <c r="AF30">
        <v>1500</v>
      </c>
      <c r="AG30">
        <v>400</v>
      </c>
      <c r="AK30">
        <v>2000</v>
      </c>
      <c r="AN30">
        <v>100</v>
      </c>
      <c r="AR30">
        <v>100</v>
      </c>
      <c r="AS30">
        <v>2372.3000000000002</v>
      </c>
      <c r="AT30">
        <v>3000</v>
      </c>
      <c r="AU30">
        <v>500</v>
      </c>
      <c r="AV30">
        <v>400</v>
      </c>
      <c r="AX30" t="s">
        <v>153</v>
      </c>
    </row>
    <row r="31" spans="1:50" x14ac:dyDescent="0.25">
      <c r="A31" t="s">
        <v>5</v>
      </c>
      <c r="B31" t="s">
        <v>85</v>
      </c>
      <c r="C31">
        <f>VLOOKUP(D1_MAYO_2025[[#This Row],[SUPER]],DATA_MAYO_2025[[SUPERVISOR]:[META]],3,0)</f>
        <v>65000</v>
      </c>
      <c r="D31">
        <f>D1_MAYO_2025[[#This Row],[RECUPERO]]/D1_MAYO_2025[[#This Row],[META]]</f>
        <v>7.6923076923076927E-3</v>
      </c>
      <c r="E31" t="s">
        <v>5</v>
      </c>
      <c r="F31" t="s">
        <v>85</v>
      </c>
      <c r="G31">
        <v>500</v>
      </c>
      <c r="H31" t="s">
        <v>380</v>
      </c>
      <c r="I31" s="56">
        <v>44811</v>
      </c>
      <c r="J31" t="s">
        <v>501</v>
      </c>
      <c r="L31" s="56"/>
      <c r="M31" s="1">
        <f>DATA_MAYO_2025[[#This Row],[RECUPERO]]/DATA_MAYO_2025[[#This Row],[META]]</f>
        <v>1.0759615384615384</v>
      </c>
      <c r="N31" t="str" cm="1">
        <f t="array" ref="N31">IF(DATA_MAYO_2025[[#This Row],[ASER_]]="","",IFERROR(_xlfn.IFS(M31&gt;=100%,"&gt;100%",AND(M31&lt;100%,M31&gt;=70%),"&gt;70%",AND(M31&lt;70%,M31&gt;=40%),"&gt;40%",AND(M31&lt;40%,M31&gt;=0%),"&gt;0%"),""))</f>
        <v>&gt;100%</v>
      </c>
      <c r="O31" t="s">
        <v>6</v>
      </c>
      <c r="P31" s="6">
        <f>SUM(DATA_MAYO_2025[[#This Row],[1]:[31]])</f>
        <v>27975</v>
      </c>
      <c r="Q31">
        <v>26000</v>
      </c>
      <c r="R31" t="s">
        <v>105</v>
      </c>
      <c r="T31">
        <v>5050</v>
      </c>
      <c r="Y31">
        <v>200</v>
      </c>
      <c r="Z31">
        <v>4200</v>
      </c>
      <c r="AD31">
        <v>680</v>
      </c>
      <c r="AG31">
        <v>15000</v>
      </c>
      <c r="AH31">
        <v>400</v>
      </c>
      <c r="AR31">
        <v>1820</v>
      </c>
      <c r="AS31">
        <v>625</v>
      </c>
      <c r="AX31" t="s">
        <v>152</v>
      </c>
    </row>
    <row r="32" spans="1:50" x14ac:dyDescent="0.25">
      <c r="A32" t="s">
        <v>5</v>
      </c>
      <c r="B32" t="s">
        <v>67</v>
      </c>
      <c r="C32">
        <f>VLOOKUP(D1_MAYO_2025[[#This Row],[SUPER]],DATA_MAYO_2025[[SUPERVISOR]:[META]],3,0)</f>
        <v>65000</v>
      </c>
      <c r="D32">
        <f>D1_MAYO_2025[[#This Row],[RECUPERO]]/D1_MAYO_2025[[#This Row],[META]]</f>
        <v>0.57967999999999997</v>
      </c>
      <c r="E32" t="s">
        <v>5</v>
      </c>
      <c r="F32" t="s">
        <v>67</v>
      </c>
      <c r="G32">
        <v>37679.199999999997</v>
      </c>
      <c r="H32" t="s">
        <v>381</v>
      </c>
      <c r="I32" s="56">
        <v>44811</v>
      </c>
      <c r="J32" t="s">
        <v>501</v>
      </c>
      <c r="L32" s="56"/>
      <c r="M32" s="1">
        <f>DATA_MAYO_2025[[#This Row],[RECUPERO]]/DATA_MAYO_2025[[#This Row],[META]]</f>
        <v>0.54335384615384619</v>
      </c>
      <c r="N32" t="str" cm="1">
        <f t="array" ref="N32">IF(DATA_MAYO_2025[[#This Row],[ASER_]]="","",IFERROR(_xlfn.IFS(M32&gt;=100%,"&gt;100%",AND(M32&lt;100%,M32&gt;=70%),"&gt;70%",AND(M32&lt;70%,M32&gt;=40%),"&gt;40%",AND(M32&lt;40%,M32&gt;=0%),"&gt;0%"),""))</f>
        <v>&gt;40%</v>
      </c>
      <c r="O32" t="s">
        <v>2</v>
      </c>
      <c r="P32" s="6">
        <f>SUM(DATA_MAYO_2025[[#This Row],[1]:[31]])</f>
        <v>35318</v>
      </c>
      <c r="Q32">
        <v>65000</v>
      </c>
      <c r="R32" t="s">
        <v>16</v>
      </c>
      <c r="X32">
        <v>1312</v>
      </c>
      <c r="Z32">
        <v>200</v>
      </c>
      <c r="AA32">
        <v>202</v>
      </c>
      <c r="AF32">
        <v>100</v>
      </c>
      <c r="AL32">
        <v>7520</v>
      </c>
      <c r="AM32">
        <v>3000</v>
      </c>
      <c r="AO32">
        <v>475</v>
      </c>
      <c r="AT32">
        <v>500</v>
      </c>
      <c r="AV32">
        <v>21239</v>
      </c>
      <c r="AW32">
        <v>770</v>
      </c>
      <c r="AX32" t="s">
        <v>150</v>
      </c>
    </row>
    <row r="33" spans="1:50" x14ac:dyDescent="0.25">
      <c r="A33" t="s">
        <v>5</v>
      </c>
      <c r="B33" t="s">
        <v>72</v>
      </c>
      <c r="C33">
        <f>VLOOKUP(D1_MAYO_2025[[#This Row],[SUPER]],DATA_MAYO_2025[[SUPERVISOR]:[META]],3,0)</f>
        <v>65000</v>
      </c>
      <c r="D33">
        <f>D1_MAYO_2025[[#This Row],[RECUPERO]]/D1_MAYO_2025[[#This Row],[META]]</f>
        <v>0.4150307692307692</v>
      </c>
      <c r="E33" t="s">
        <v>5</v>
      </c>
      <c r="F33" t="s">
        <v>72</v>
      </c>
      <c r="G33">
        <v>26977</v>
      </c>
      <c r="H33" t="s">
        <v>450</v>
      </c>
      <c r="I33" s="56">
        <v>45084</v>
      </c>
      <c r="J33" t="s">
        <v>501</v>
      </c>
      <c r="L33" s="56"/>
      <c r="M33" s="1">
        <f>DATA_MAYO_2025[[#This Row],[RECUPERO]]/DATA_MAYO_2025[[#This Row],[META]]</f>
        <v>0.89054999999999995</v>
      </c>
      <c r="N33" t="str" cm="1">
        <f t="array" ref="N33">IF(DATA_MAYO_2025[[#This Row],[ASER_]]="","",IFERROR(_xlfn.IFS(M33&gt;=100%,"&gt;100%",AND(M33&lt;100%,M33&gt;=70%),"&gt;70%",AND(M33&lt;70%,M33&gt;=40%),"&gt;40%",AND(M33&lt;40%,M33&gt;=0%),"&gt;0%"),""))</f>
        <v>&gt;70%</v>
      </c>
      <c r="O33" t="s">
        <v>125</v>
      </c>
      <c r="P33" s="6">
        <f>SUM(DATA_MAYO_2025[[#This Row],[1]:[31]])</f>
        <v>17811</v>
      </c>
      <c r="Q33">
        <v>20000</v>
      </c>
      <c r="R33" t="s">
        <v>27</v>
      </c>
      <c r="W33">
        <v>1500</v>
      </c>
      <c r="X33">
        <v>4000</v>
      </c>
      <c r="AA33">
        <v>2156</v>
      </c>
      <c r="AD33">
        <v>200</v>
      </c>
      <c r="AE33">
        <v>300</v>
      </c>
      <c r="AF33">
        <v>600</v>
      </c>
      <c r="AG33">
        <v>2448</v>
      </c>
      <c r="AJ33">
        <v>293</v>
      </c>
      <c r="AM33">
        <v>314</v>
      </c>
      <c r="AR33">
        <v>5000</v>
      </c>
      <c r="AV33">
        <v>1000</v>
      </c>
      <c r="AX33" t="s">
        <v>153</v>
      </c>
    </row>
    <row r="34" spans="1:50" x14ac:dyDescent="0.25">
      <c r="A34" t="s">
        <v>5</v>
      </c>
      <c r="B34" t="s">
        <v>66</v>
      </c>
      <c r="C34">
        <f>VLOOKUP(D1_MAYO_2025[[#This Row],[SUPER]],DATA_MAYO_2025[[SUPERVISOR]:[META]],3,0)</f>
        <v>65000</v>
      </c>
      <c r="D34">
        <f>D1_MAYO_2025[[#This Row],[RECUPERO]]/D1_MAYO_2025[[#This Row],[META]]</f>
        <v>0.96973846153846155</v>
      </c>
      <c r="E34" t="s">
        <v>5</v>
      </c>
      <c r="F34" t="s">
        <v>66</v>
      </c>
      <c r="G34">
        <v>63033</v>
      </c>
      <c r="H34" t="s">
        <v>383</v>
      </c>
      <c r="I34" s="56">
        <v>45457</v>
      </c>
      <c r="J34" t="s">
        <v>501</v>
      </c>
      <c r="L34" s="56"/>
      <c r="M34" s="1">
        <f>DATA_MAYO_2025[[#This Row],[RECUPERO]]/DATA_MAYO_2025[[#This Row],[META]]</f>
        <v>0.48955384615384617</v>
      </c>
      <c r="N34" t="str" cm="1">
        <f t="array" ref="N34">IF(DATA_MAYO_2025[[#This Row],[ASER_]]="","",IFERROR(_xlfn.IFS(M34&gt;=100%,"&gt;100%",AND(M34&lt;100%,M34&gt;=70%),"&gt;70%",AND(M34&lt;70%,M34&gt;=40%),"&gt;40%",AND(M34&lt;40%,M34&gt;=0%),"&gt;0%"),""))</f>
        <v>&gt;40%</v>
      </c>
      <c r="O34" t="s">
        <v>2</v>
      </c>
      <c r="P34" s="6">
        <f>SUM(DATA_MAYO_2025[[#This Row],[1]:[31]])</f>
        <v>31821</v>
      </c>
      <c r="Q34">
        <v>65000</v>
      </c>
      <c r="R34" t="s">
        <v>12</v>
      </c>
      <c r="T34">
        <v>600</v>
      </c>
      <c r="W34">
        <v>1200</v>
      </c>
      <c r="Y34">
        <v>1100</v>
      </c>
      <c r="AD34">
        <v>650</v>
      </c>
      <c r="AE34">
        <v>618</v>
      </c>
      <c r="AG34">
        <v>3200</v>
      </c>
      <c r="AH34">
        <v>1850</v>
      </c>
      <c r="AK34">
        <v>6000</v>
      </c>
      <c r="AM34">
        <v>1600</v>
      </c>
      <c r="AO34">
        <v>480</v>
      </c>
      <c r="AP34">
        <v>1500</v>
      </c>
      <c r="AR34">
        <v>8000</v>
      </c>
      <c r="AV34">
        <v>4718</v>
      </c>
      <c r="AW34">
        <v>305</v>
      </c>
      <c r="AX34" t="s">
        <v>150</v>
      </c>
    </row>
    <row r="35" spans="1:50" x14ac:dyDescent="0.25">
      <c r="A35" t="s">
        <v>5</v>
      </c>
      <c r="B35" t="s">
        <v>68</v>
      </c>
      <c r="C35">
        <f>VLOOKUP(D1_MAYO_2025[[#This Row],[SUPER]],DATA_MAYO_2025[[SUPERVISOR]:[META]],3,0)</f>
        <v>65000</v>
      </c>
      <c r="D35">
        <f>D1_MAYO_2025[[#This Row],[RECUPERO]]/D1_MAYO_2025[[#This Row],[META]]</f>
        <v>1.2213384615384615</v>
      </c>
      <c r="E35" t="s">
        <v>5</v>
      </c>
      <c r="F35" t="s">
        <v>68</v>
      </c>
      <c r="G35">
        <v>79387</v>
      </c>
      <c r="H35" t="s">
        <v>440</v>
      </c>
      <c r="I35" s="56">
        <v>45364</v>
      </c>
      <c r="J35" t="s">
        <v>501</v>
      </c>
      <c r="L35" s="56"/>
      <c r="M35" s="1">
        <f>DATA_MAYO_2025[[#This Row],[RECUPERO]]/DATA_MAYO_2025[[#This Row],[META]]</f>
        <v>0.35515000000000002</v>
      </c>
      <c r="N35" t="str" cm="1">
        <f t="array" ref="N35">IF(DATA_MAYO_2025[[#This Row],[ASER_]]="","",IFERROR(_xlfn.IFS(M35&gt;=100%,"&gt;100%",AND(M35&lt;100%,M35&gt;=70%),"&gt;70%",AND(M35&lt;70%,M35&gt;=40%),"&gt;40%",AND(M35&lt;40%,M35&gt;=0%),"&gt;0%"),""))</f>
        <v>&gt;0%</v>
      </c>
      <c r="O35" t="s">
        <v>9</v>
      </c>
      <c r="P35" s="6">
        <f>SUM(DATA_MAYO_2025[[#This Row],[1]:[31]])</f>
        <v>7103</v>
      </c>
      <c r="Q35">
        <v>20000</v>
      </c>
      <c r="R35" t="s">
        <v>51</v>
      </c>
      <c r="X35">
        <v>470</v>
      </c>
      <c r="Y35">
        <v>200</v>
      </c>
      <c r="AG35">
        <v>3100</v>
      </c>
      <c r="AK35">
        <v>1600</v>
      </c>
      <c r="AL35">
        <v>500</v>
      </c>
      <c r="AN35">
        <v>500</v>
      </c>
      <c r="AO35">
        <v>200</v>
      </c>
      <c r="AR35">
        <v>333</v>
      </c>
      <c r="AV35">
        <v>200</v>
      </c>
      <c r="AX35" t="s">
        <v>153</v>
      </c>
    </row>
    <row r="36" spans="1:50" x14ac:dyDescent="0.25">
      <c r="A36" t="s">
        <v>5</v>
      </c>
      <c r="B36" t="s">
        <v>70</v>
      </c>
      <c r="C36">
        <f>VLOOKUP(D1_MAYO_2025[[#This Row],[SUPER]],DATA_MAYO_2025[[SUPERVISOR]:[META]],3,0)</f>
        <v>65000</v>
      </c>
      <c r="D36">
        <f>D1_MAYO_2025[[#This Row],[RECUPERO]]/D1_MAYO_2025[[#This Row],[META]]</f>
        <v>0.76733846153846152</v>
      </c>
      <c r="E36" t="s">
        <v>5</v>
      </c>
      <c r="F36" t="s">
        <v>70</v>
      </c>
      <c r="G36">
        <v>49877</v>
      </c>
      <c r="H36" t="s">
        <v>418</v>
      </c>
      <c r="I36" s="56">
        <v>44971</v>
      </c>
      <c r="J36" t="s">
        <v>501</v>
      </c>
      <c r="L36" s="56"/>
      <c r="M36" s="1">
        <f>DATA_MAYO_2025[[#This Row],[RECUPERO]]/DATA_MAYO_2025[[#This Row],[META]]</f>
        <v>0.4540769230769231</v>
      </c>
      <c r="N36" t="str" cm="1">
        <f t="array" ref="N36">IF(DATA_MAYO_2025[[#This Row],[ASER_]]="","",IFERROR(_xlfn.IFS(M36&gt;=100%,"&gt;100%",AND(M36&lt;100%,M36&gt;=70%),"&gt;70%",AND(M36&lt;70%,M36&gt;=40%),"&gt;40%",AND(M36&lt;40%,M36&gt;=0%),"&gt;0%"),""))</f>
        <v>&gt;40%</v>
      </c>
      <c r="O36" t="s">
        <v>2</v>
      </c>
      <c r="P36" s="6">
        <f>SUM(DATA_MAYO_2025[[#This Row],[1]:[31]])</f>
        <v>29515</v>
      </c>
      <c r="Q36">
        <v>65000</v>
      </c>
      <c r="R36" t="s">
        <v>13</v>
      </c>
      <c r="U36">
        <v>1000</v>
      </c>
      <c r="X36">
        <v>1300</v>
      </c>
      <c r="AG36">
        <v>4600</v>
      </c>
      <c r="AI36">
        <v>3090</v>
      </c>
      <c r="AL36">
        <v>700</v>
      </c>
      <c r="AN36">
        <v>2500</v>
      </c>
      <c r="AP36">
        <v>1000</v>
      </c>
      <c r="AS36">
        <v>1500</v>
      </c>
      <c r="AT36">
        <v>8400</v>
      </c>
      <c r="AU36">
        <v>500</v>
      </c>
      <c r="AV36">
        <v>2675</v>
      </c>
      <c r="AW36">
        <v>2250</v>
      </c>
      <c r="AX36" t="s">
        <v>150</v>
      </c>
    </row>
    <row r="37" spans="1:50" x14ac:dyDescent="0.25">
      <c r="A37" t="s">
        <v>5</v>
      </c>
      <c r="B37" t="s">
        <v>79</v>
      </c>
      <c r="C37">
        <f>VLOOKUP(D1_MAYO_2025[[#This Row],[SUPER]],DATA_MAYO_2025[[SUPERVISOR]:[META]],3,0)</f>
        <v>65000</v>
      </c>
      <c r="D37">
        <f>D1_MAYO_2025[[#This Row],[RECUPERO]]/D1_MAYO_2025[[#This Row],[META]]</f>
        <v>0.11615384615384615</v>
      </c>
      <c r="E37" t="s">
        <v>5</v>
      </c>
      <c r="F37" t="s">
        <v>79</v>
      </c>
      <c r="G37">
        <v>7550</v>
      </c>
      <c r="H37" t="s">
        <v>453</v>
      </c>
      <c r="I37" s="56">
        <v>44566</v>
      </c>
      <c r="J37" t="s">
        <v>501</v>
      </c>
      <c r="L37" s="56"/>
      <c r="M37" s="1">
        <f>DATA_MAYO_2025[[#This Row],[RECUPERO]]/DATA_MAYO_2025[[#This Row],[META]]</f>
        <v>0.38940000000000002</v>
      </c>
      <c r="N37" t="str" cm="1">
        <f t="array" ref="N37">IF(DATA_MAYO_2025[[#This Row],[ASER_]]="","",IFERROR(_xlfn.IFS(M37&gt;=100%,"&gt;100%",AND(M37&lt;100%,M37&gt;=70%),"&gt;70%",AND(M37&lt;70%,M37&gt;=40%),"&gt;40%",AND(M37&lt;40%,M37&gt;=0%),"&gt;0%"),""))</f>
        <v>&gt;0%</v>
      </c>
      <c r="O37" t="s">
        <v>9</v>
      </c>
      <c r="P37" s="6">
        <f>SUM(DATA_MAYO_2025[[#This Row],[1]:[31]])</f>
        <v>7788</v>
      </c>
      <c r="Q37">
        <v>20000</v>
      </c>
      <c r="R37" t="s">
        <v>32</v>
      </c>
      <c r="AE37">
        <v>250</v>
      </c>
      <c r="AG37">
        <v>1500</v>
      </c>
      <c r="AH37">
        <v>200</v>
      </c>
      <c r="AI37">
        <v>500</v>
      </c>
      <c r="AL37">
        <v>383</v>
      </c>
      <c r="AM37">
        <v>400</v>
      </c>
      <c r="AN37">
        <v>500</v>
      </c>
      <c r="AO37">
        <v>400</v>
      </c>
      <c r="AR37">
        <v>555</v>
      </c>
      <c r="AS37">
        <v>100</v>
      </c>
      <c r="AT37">
        <v>400</v>
      </c>
      <c r="AU37">
        <v>1000</v>
      </c>
      <c r="AV37">
        <v>1150</v>
      </c>
      <c r="AW37">
        <v>450</v>
      </c>
      <c r="AX37" t="s">
        <v>153</v>
      </c>
    </row>
    <row r="38" spans="1:50" x14ac:dyDescent="0.25">
      <c r="A38" t="s">
        <v>6</v>
      </c>
      <c r="B38" t="s">
        <v>18</v>
      </c>
      <c r="C38">
        <f>VLOOKUP(D1_MAYO_2025[[#This Row],[SUPER]],DATA_MAYO_2025[[SUPERVISOR]:[META]],3,0)</f>
        <v>26000</v>
      </c>
      <c r="D38">
        <f>D1_MAYO_2025[[#This Row],[RECUPERO]]/D1_MAYO_2025[[#This Row],[META]]</f>
        <v>0.40192307692307694</v>
      </c>
      <c r="E38" t="s">
        <v>6</v>
      </c>
      <c r="F38" t="s">
        <v>18</v>
      </c>
      <c r="G38">
        <v>10450</v>
      </c>
      <c r="H38" t="s">
        <v>431</v>
      </c>
      <c r="I38" s="56">
        <v>45133</v>
      </c>
      <c r="J38" t="s">
        <v>501</v>
      </c>
      <c r="L38" s="56"/>
      <c r="M38" s="1">
        <f>DATA_MAYO_2025[[#This Row],[RECUPERO]]/DATA_MAYO_2025[[#This Row],[META]]</f>
        <v>0.96973846153846155</v>
      </c>
      <c r="N38" t="str" cm="1">
        <f t="array" ref="N38">IF(DATA_MAYO_2025[[#This Row],[ASER_]]="","",IFERROR(_xlfn.IFS(M38&gt;=100%,"&gt;100%",AND(M38&lt;100%,M38&gt;=70%),"&gt;70%",AND(M38&lt;70%,M38&gt;=40%),"&gt;40%",AND(M38&lt;40%,M38&gt;=0%),"&gt;0%"),""))</f>
        <v>&gt;70%</v>
      </c>
      <c r="O38" t="s">
        <v>5</v>
      </c>
      <c r="P38" s="6">
        <f>SUM(DATA_MAYO_2025[[#This Row],[1]:[31]])</f>
        <v>63033</v>
      </c>
      <c r="Q38">
        <v>65000</v>
      </c>
      <c r="R38" t="s">
        <v>66</v>
      </c>
      <c r="T38">
        <v>3500</v>
      </c>
      <c r="W38">
        <v>261</v>
      </c>
      <c r="Z38">
        <v>3000</v>
      </c>
      <c r="AB38">
        <v>1350</v>
      </c>
      <c r="AD38">
        <v>20000</v>
      </c>
      <c r="AH38">
        <v>600</v>
      </c>
      <c r="AK38">
        <v>1500</v>
      </c>
      <c r="AN38">
        <v>6358</v>
      </c>
      <c r="AR38">
        <v>500</v>
      </c>
      <c r="AT38">
        <v>10000</v>
      </c>
      <c r="AU38">
        <v>4500</v>
      </c>
      <c r="AV38">
        <v>8464</v>
      </c>
      <c r="AW38">
        <v>3000</v>
      </c>
      <c r="AX38" t="s">
        <v>150</v>
      </c>
    </row>
    <row r="39" spans="1:50" x14ac:dyDescent="0.25">
      <c r="A39" t="s">
        <v>6</v>
      </c>
      <c r="B39" t="s">
        <v>19</v>
      </c>
      <c r="C39">
        <f>VLOOKUP(D1_MAYO_2025[[#This Row],[SUPER]],DATA_MAYO_2025[[SUPERVISOR]:[META]],3,0)</f>
        <v>26000</v>
      </c>
      <c r="D39">
        <f>D1_MAYO_2025[[#This Row],[RECUPERO]]/D1_MAYO_2025[[#This Row],[META]]</f>
        <v>0.67846153846153845</v>
      </c>
      <c r="E39" t="s">
        <v>6</v>
      </c>
      <c r="F39" t="s">
        <v>19</v>
      </c>
      <c r="G39">
        <v>17640</v>
      </c>
      <c r="H39" t="s">
        <v>399</v>
      </c>
      <c r="I39" s="56">
        <v>44673</v>
      </c>
      <c r="J39" t="s">
        <v>501</v>
      </c>
      <c r="L39" s="56"/>
      <c r="M39" s="1">
        <f>DATA_MAYO_2025[[#This Row],[RECUPERO]]/DATA_MAYO_2025[[#This Row],[META]]</f>
        <v>1.2E-2</v>
      </c>
      <c r="N39" t="str" cm="1">
        <f t="array" ref="N39">IF(DATA_MAYO_2025[[#This Row],[ASER_]]="","",IFERROR(_xlfn.IFS(M39&gt;=100%,"&gt;100%",AND(M39&lt;100%,M39&gt;=70%),"&gt;70%",AND(M39&lt;70%,M39&gt;=40%),"&gt;40%",AND(M39&lt;40%,M39&gt;=0%),"&gt;0%"),""))</f>
        <v>&gt;0%</v>
      </c>
      <c r="O39" t="s">
        <v>6</v>
      </c>
      <c r="P39" s="6">
        <f>SUM(DATA_MAYO_2025[[#This Row],[1]:[31]])</f>
        <v>312</v>
      </c>
      <c r="Q39">
        <v>26000</v>
      </c>
      <c r="R39" t="s">
        <v>44</v>
      </c>
      <c r="AU39">
        <v>312</v>
      </c>
      <c r="AX39" t="s">
        <v>152</v>
      </c>
    </row>
    <row r="40" spans="1:50" x14ac:dyDescent="0.25">
      <c r="A40" t="s">
        <v>6</v>
      </c>
      <c r="B40" t="s">
        <v>81</v>
      </c>
      <c r="C40">
        <f>VLOOKUP(D1_MAYO_2025[[#This Row],[SUPER]],DATA_MAYO_2025[[SUPERVISOR]:[META]],3,0)</f>
        <v>26000</v>
      </c>
      <c r="D40">
        <f>D1_MAYO_2025[[#This Row],[RECUPERO]]/D1_MAYO_2025[[#This Row],[META]]</f>
        <v>0.41130769230769232</v>
      </c>
      <c r="E40" t="s">
        <v>6</v>
      </c>
      <c r="F40" t="s">
        <v>81</v>
      </c>
      <c r="G40">
        <v>10694</v>
      </c>
      <c r="H40" t="s">
        <v>425</v>
      </c>
      <c r="I40" s="56">
        <v>45506</v>
      </c>
      <c r="J40" t="s">
        <v>501</v>
      </c>
      <c r="L40" s="56"/>
      <c r="M40" s="1">
        <f>DATA_MAYO_2025[[#This Row],[RECUPERO]]/DATA_MAYO_2025[[#This Row],[META]]</f>
        <v>0.72409999999999997</v>
      </c>
      <c r="N40" t="str" cm="1">
        <f t="array" ref="N40">IF(DATA_MAYO_2025[[#This Row],[ASER_]]="","",IFERROR(_xlfn.IFS(M40&gt;=100%,"&gt;100%",AND(M40&lt;100%,M40&gt;=70%),"&gt;70%",AND(M40&lt;70%,M40&gt;=40%),"&gt;40%",AND(M40&lt;40%,M40&gt;=0%),"&gt;0%"),""))</f>
        <v>&gt;70%</v>
      </c>
      <c r="O40" t="s">
        <v>9</v>
      </c>
      <c r="P40" s="6">
        <f>SUM(DATA_MAYO_2025[[#This Row],[1]:[31]])</f>
        <v>14482</v>
      </c>
      <c r="Q40">
        <v>20000</v>
      </c>
      <c r="R40" t="s">
        <v>71</v>
      </c>
      <c r="W40">
        <v>480</v>
      </c>
      <c r="Z40">
        <v>100</v>
      </c>
      <c r="AD40">
        <v>180</v>
      </c>
      <c r="AE40">
        <v>500</v>
      </c>
      <c r="AH40">
        <v>230</v>
      </c>
      <c r="AK40">
        <v>800</v>
      </c>
      <c r="AM40">
        <v>200</v>
      </c>
      <c r="AN40">
        <v>1000</v>
      </c>
      <c r="AR40">
        <v>3610</v>
      </c>
      <c r="AS40">
        <v>200</v>
      </c>
      <c r="AT40">
        <v>5365</v>
      </c>
      <c r="AV40">
        <v>1217</v>
      </c>
      <c r="AW40">
        <v>600</v>
      </c>
      <c r="AX40" t="s">
        <v>153</v>
      </c>
    </row>
    <row r="41" spans="1:50" x14ac:dyDescent="0.25">
      <c r="A41" t="s">
        <v>6</v>
      </c>
      <c r="B41" t="s">
        <v>105</v>
      </c>
      <c r="C41">
        <f>VLOOKUP(D1_MAYO_2025[[#This Row],[SUPER]],DATA_MAYO_2025[[SUPERVISOR]:[META]],3,0)</f>
        <v>26000</v>
      </c>
      <c r="D41">
        <f>D1_MAYO_2025[[#This Row],[RECUPERO]]/D1_MAYO_2025[[#This Row],[META]]</f>
        <v>1.0759615384615384</v>
      </c>
      <c r="E41" t="s">
        <v>6</v>
      </c>
      <c r="F41" t="s">
        <v>105</v>
      </c>
      <c r="G41">
        <v>27975</v>
      </c>
      <c r="H41" t="s">
        <v>463</v>
      </c>
      <c r="I41" s="56">
        <v>45748</v>
      </c>
      <c r="J41" t="s">
        <v>501</v>
      </c>
      <c r="L41" s="56"/>
      <c r="M41" s="1">
        <f>DATA_MAYO_2025[[#This Row],[RECUPERO]]/DATA_MAYO_2025[[#This Row],[META]]</f>
        <v>0.38747500000000001</v>
      </c>
      <c r="N41" t="str" cm="1">
        <f t="array" ref="N41">IF(DATA_MAYO_2025[[#This Row],[ASER_]]="","",IFERROR(_xlfn.IFS(M41&gt;=100%,"&gt;100%",AND(M41&lt;100%,M41&gt;=70%),"&gt;70%",AND(M41&lt;70%,M41&gt;=40%),"&gt;40%",AND(M41&lt;40%,M41&gt;=0%),"&gt;0%"),""))</f>
        <v>&gt;0%</v>
      </c>
      <c r="O41" t="s">
        <v>8</v>
      </c>
      <c r="P41" s="6">
        <f>SUM(DATA_MAYO_2025[[#This Row],[1]:[31]])</f>
        <v>7749.5</v>
      </c>
      <c r="Q41">
        <v>20000</v>
      </c>
      <c r="R41" t="s">
        <v>42</v>
      </c>
      <c r="W41">
        <v>212</v>
      </c>
      <c r="Z41">
        <v>100</v>
      </c>
      <c r="AD41">
        <v>1200</v>
      </c>
      <c r="AG41">
        <v>300</v>
      </c>
      <c r="AH41">
        <v>429.5</v>
      </c>
      <c r="AK41">
        <v>159</v>
      </c>
      <c r="AL41">
        <v>224</v>
      </c>
      <c r="AO41">
        <v>100</v>
      </c>
      <c r="AS41">
        <v>700</v>
      </c>
      <c r="AT41">
        <v>3280</v>
      </c>
      <c r="AV41">
        <v>215</v>
      </c>
      <c r="AW41">
        <v>830</v>
      </c>
      <c r="AX41" t="s">
        <v>153</v>
      </c>
    </row>
    <row r="42" spans="1:50" x14ac:dyDescent="0.25">
      <c r="A42" t="s">
        <v>6</v>
      </c>
      <c r="B42" t="s">
        <v>44</v>
      </c>
      <c r="C42">
        <f>VLOOKUP(D1_MAYO_2025[[#This Row],[SUPER]],DATA_MAYO_2025[[SUPERVISOR]:[META]],3,0)</f>
        <v>26000</v>
      </c>
      <c r="D42">
        <f>D1_MAYO_2025[[#This Row],[RECUPERO]]/D1_MAYO_2025[[#This Row],[META]]</f>
        <v>1.2E-2</v>
      </c>
      <c r="E42" t="s">
        <v>6</v>
      </c>
      <c r="F42" t="s">
        <v>44</v>
      </c>
      <c r="G42">
        <v>312</v>
      </c>
      <c r="H42" t="s">
        <v>467</v>
      </c>
      <c r="I42" s="56">
        <v>45804</v>
      </c>
      <c r="J42" t="s">
        <v>501</v>
      </c>
      <c r="L42" s="56"/>
      <c r="M42" s="1">
        <f>DATA_MAYO_2025[[#This Row],[RECUPERO]]/DATA_MAYO_2025[[#This Row],[META]]</f>
        <v>0.90502499999999997</v>
      </c>
      <c r="N42" t="str" cm="1">
        <f t="array" ref="N42">IF(DATA_MAYO_2025[[#This Row],[ASER_]]="","",IFERROR(_xlfn.IFS(M42&gt;=100%,"&gt;100%",AND(M42&lt;100%,M42&gt;=70%),"&gt;70%",AND(M42&lt;70%,M42&gt;=40%),"&gt;40%",AND(M42&lt;40%,M42&gt;=0%),"&gt;0%"),""))</f>
        <v>&gt;70%</v>
      </c>
      <c r="O42" t="s">
        <v>8</v>
      </c>
      <c r="P42" s="6">
        <f>SUM(DATA_MAYO_2025[[#This Row],[1]:[31]])</f>
        <v>18100.5</v>
      </c>
      <c r="Q42">
        <v>20000</v>
      </c>
      <c r="R42" t="s">
        <v>83</v>
      </c>
      <c r="S42">
        <v>350</v>
      </c>
      <c r="T42">
        <v>89</v>
      </c>
      <c r="W42">
        <v>186</v>
      </c>
      <c r="X42">
        <v>200</v>
      </c>
      <c r="AB42">
        <v>3800</v>
      </c>
      <c r="AD42">
        <v>683</v>
      </c>
      <c r="AE42">
        <v>100</v>
      </c>
      <c r="AG42">
        <v>650</v>
      </c>
      <c r="AH42">
        <v>400</v>
      </c>
      <c r="AK42">
        <v>300</v>
      </c>
      <c r="AM42">
        <v>2000</v>
      </c>
      <c r="AN42">
        <v>627.5</v>
      </c>
      <c r="AO42">
        <v>3500</v>
      </c>
      <c r="AR42">
        <v>1100</v>
      </c>
      <c r="AS42">
        <v>1406</v>
      </c>
      <c r="AT42">
        <v>850</v>
      </c>
      <c r="AU42">
        <v>350</v>
      </c>
      <c r="AV42">
        <v>1509</v>
      </c>
      <c r="AX42" t="s">
        <v>153</v>
      </c>
    </row>
    <row r="43" spans="1:50" x14ac:dyDescent="0.25">
      <c r="A43" t="s">
        <v>6</v>
      </c>
      <c r="B43" t="s">
        <v>37</v>
      </c>
      <c r="C43">
        <f>VLOOKUP(D1_MAYO_2025[[#This Row],[SUPER]],DATA_MAYO_2025[[SUPERVISOR]:[META]],3,0)</f>
        <v>26000</v>
      </c>
      <c r="D43">
        <f>D1_MAYO_2025[[#This Row],[RECUPERO]]/D1_MAYO_2025[[#This Row],[META]]</f>
        <v>0.1515</v>
      </c>
      <c r="E43" t="s">
        <v>6</v>
      </c>
      <c r="F43" t="s">
        <v>37</v>
      </c>
      <c r="G43">
        <v>3939</v>
      </c>
      <c r="H43" t="s">
        <v>400</v>
      </c>
      <c r="I43" s="56">
        <v>43132</v>
      </c>
      <c r="J43" t="s">
        <v>501</v>
      </c>
      <c r="L43" s="56"/>
      <c r="M43" s="1">
        <f>DATA_MAYO_2025[[#This Row],[RECUPERO]]/DATA_MAYO_2025[[#This Row],[META]]</f>
        <v>1.2592769230769232</v>
      </c>
      <c r="N43" t="str" cm="1">
        <f t="array" ref="N43">IF(DATA_MAYO_2025[[#This Row],[ASER_]]="","",IFERROR(_xlfn.IFS(M43&gt;=100%,"&gt;100%",AND(M43&lt;100%,M43&gt;=70%),"&gt;70%",AND(M43&lt;70%,M43&gt;=40%),"&gt;40%",AND(M43&lt;40%,M43&gt;=0%),"&gt;0%"),""))</f>
        <v>&gt;100%</v>
      </c>
      <c r="O43" t="s">
        <v>4</v>
      </c>
      <c r="P43" s="6">
        <f>SUM(DATA_MAYO_2025[[#This Row],[1]:[31]])</f>
        <v>81853</v>
      </c>
      <c r="Q43">
        <v>65000</v>
      </c>
      <c r="R43" t="s">
        <v>57</v>
      </c>
      <c r="T43">
        <v>1950</v>
      </c>
      <c r="W43">
        <v>15500</v>
      </c>
      <c r="X43">
        <v>500</v>
      </c>
      <c r="Y43">
        <v>250</v>
      </c>
      <c r="Z43">
        <v>11250</v>
      </c>
      <c r="AA43">
        <v>250</v>
      </c>
      <c r="AB43">
        <v>250</v>
      </c>
      <c r="AC43">
        <v>250</v>
      </c>
      <c r="AD43">
        <v>250</v>
      </c>
      <c r="AE43">
        <v>1800</v>
      </c>
      <c r="AF43">
        <v>500</v>
      </c>
      <c r="AG43">
        <v>4000</v>
      </c>
      <c r="AH43">
        <v>500</v>
      </c>
      <c r="AK43">
        <v>850</v>
      </c>
      <c r="AL43">
        <v>1353</v>
      </c>
      <c r="AM43">
        <v>5000</v>
      </c>
      <c r="AN43">
        <v>450</v>
      </c>
      <c r="AO43">
        <v>1250</v>
      </c>
      <c r="AR43">
        <v>1500</v>
      </c>
      <c r="AS43">
        <v>10250</v>
      </c>
      <c r="AU43">
        <v>12650</v>
      </c>
      <c r="AV43">
        <v>11300</v>
      </c>
      <c r="AX43" t="s">
        <v>150</v>
      </c>
    </row>
    <row r="44" spans="1:50" x14ac:dyDescent="0.25">
      <c r="A44" t="s">
        <v>6</v>
      </c>
      <c r="B44" t="s">
        <v>35</v>
      </c>
      <c r="C44">
        <f>VLOOKUP(D1_MAYO_2025[[#This Row],[SUPER]],DATA_MAYO_2025[[SUPERVISOR]:[META]],3,0)</f>
        <v>26000</v>
      </c>
      <c r="D44">
        <f>D1_MAYO_2025[[#This Row],[RECUPERO]]/D1_MAYO_2025[[#This Row],[META]]</f>
        <v>0.17788461538461539</v>
      </c>
      <c r="E44" t="s">
        <v>6</v>
      </c>
      <c r="F44" t="s">
        <v>35</v>
      </c>
      <c r="G44">
        <v>4625</v>
      </c>
      <c r="H44" t="s">
        <v>401</v>
      </c>
      <c r="I44" s="56">
        <v>44748</v>
      </c>
      <c r="J44" t="s">
        <v>501</v>
      </c>
      <c r="L44" s="56"/>
      <c r="M44" s="1">
        <f>DATA_MAYO_2025[[#This Row],[RECUPERO]]/DATA_MAYO_2025[[#This Row],[META]]</f>
        <v>0.18375</v>
      </c>
      <c r="N44" t="str" cm="1">
        <f t="array" ref="N44">IF(DATA_MAYO_2025[[#This Row],[ASER_]]="","",IFERROR(_xlfn.IFS(M44&gt;=100%,"&gt;100%",AND(M44&lt;100%,M44&gt;=70%),"&gt;70%",AND(M44&lt;70%,M44&gt;=40%),"&gt;40%",AND(M44&lt;40%,M44&gt;=0%),"&gt;0%"),""))</f>
        <v>&gt;0%</v>
      </c>
      <c r="O44" t="s">
        <v>9</v>
      </c>
      <c r="P44" s="6">
        <f>SUM(DATA_MAYO_2025[[#This Row],[1]:[31]])</f>
        <v>3675</v>
      </c>
      <c r="Q44">
        <v>20000</v>
      </c>
      <c r="R44" t="s">
        <v>49</v>
      </c>
      <c r="X44">
        <v>1350</v>
      </c>
      <c r="Z44">
        <v>50</v>
      </c>
      <c r="AD44">
        <v>100</v>
      </c>
      <c r="AE44">
        <v>500</v>
      </c>
      <c r="AF44">
        <v>345</v>
      </c>
      <c r="AG44">
        <v>930</v>
      </c>
      <c r="AM44">
        <v>200</v>
      </c>
      <c r="AT44">
        <v>200</v>
      </c>
      <c r="AX44" t="s">
        <v>153</v>
      </c>
    </row>
    <row r="45" spans="1:50" x14ac:dyDescent="0.25">
      <c r="A45" t="s">
        <v>6</v>
      </c>
      <c r="B45" t="s">
        <v>50</v>
      </c>
      <c r="C45">
        <f>VLOOKUP(D1_MAYO_2025[[#This Row],[SUPER]],DATA_MAYO_2025[[SUPERVISOR]:[META]],3,0)</f>
        <v>26000</v>
      </c>
      <c r="D45">
        <f>D1_MAYO_2025[[#This Row],[RECUPERO]]/D1_MAYO_2025[[#This Row],[META]]</f>
        <v>4.576923076923077E-2</v>
      </c>
      <c r="E45" t="s">
        <v>6</v>
      </c>
      <c r="F45" t="s">
        <v>50</v>
      </c>
      <c r="G45">
        <v>1190</v>
      </c>
      <c r="H45" t="s">
        <v>402</v>
      </c>
      <c r="I45" s="56">
        <v>45523</v>
      </c>
      <c r="J45" t="s">
        <v>501</v>
      </c>
      <c r="L45" s="56"/>
      <c r="M45" s="1">
        <f>DATA_MAYO_2025[[#This Row],[RECUPERO]]/DATA_MAYO_2025[[#This Row],[META]]</f>
        <v>0.48923076923076925</v>
      </c>
      <c r="N45" t="str" cm="1">
        <f t="array" ref="N45">IF(DATA_MAYO_2025[[#This Row],[ASER_]]="","",IFERROR(_xlfn.IFS(M45&gt;=100%,"&gt;100%",AND(M45&lt;100%,M45&gt;=70%),"&gt;70%",AND(M45&lt;70%,M45&gt;=40%),"&gt;40%",AND(M45&lt;40%,M45&gt;=0%),"&gt;0%"),""))</f>
        <v>&gt;40%</v>
      </c>
      <c r="O45" t="s">
        <v>3</v>
      </c>
      <c r="P45" s="6">
        <f>SUM(DATA_MAYO_2025[[#This Row],[1]:[31]])</f>
        <v>31800</v>
      </c>
      <c r="Q45">
        <v>65000</v>
      </c>
      <c r="R45" t="s">
        <v>26</v>
      </c>
      <c r="U45">
        <v>1000</v>
      </c>
      <c r="Y45">
        <v>3000</v>
      </c>
      <c r="AG45">
        <v>100</v>
      </c>
      <c r="AK45">
        <v>2501</v>
      </c>
      <c r="AL45">
        <v>10000</v>
      </c>
      <c r="AM45">
        <v>300</v>
      </c>
      <c r="AO45">
        <v>140</v>
      </c>
      <c r="AS45">
        <v>9000</v>
      </c>
      <c r="AT45">
        <v>2300</v>
      </c>
      <c r="AV45">
        <v>859</v>
      </c>
      <c r="AW45">
        <v>2600</v>
      </c>
      <c r="AX45" t="s">
        <v>150</v>
      </c>
    </row>
    <row r="46" spans="1:50" x14ac:dyDescent="0.25">
      <c r="A46" t="s">
        <v>6</v>
      </c>
      <c r="B46" t="s">
        <v>31</v>
      </c>
      <c r="C46">
        <f>VLOOKUP(D1_MAYO_2025[[#This Row],[SUPER]],DATA_MAYO_2025[[SUPERVISOR]:[META]],3,0)</f>
        <v>26000</v>
      </c>
      <c r="D46">
        <f>D1_MAYO_2025[[#This Row],[RECUPERO]]/D1_MAYO_2025[[#This Row],[META]]</f>
        <v>0.53384615384615386</v>
      </c>
      <c r="E46" t="s">
        <v>6</v>
      </c>
      <c r="F46" t="s">
        <v>31</v>
      </c>
      <c r="G46">
        <v>13880</v>
      </c>
      <c r="H46" t="s">
        <v>403</v>
      </c>
      <c r="I46" s="56">
        <v>45334</v>
      </c>
      <c r="J46" t="s">
        <v>501</v>
      </c>
      <c r="L46" s="56"/>
      <c r="M46" s="1">
        <f>DATA_MAYO_2025[[#This Row],[RECUPERO]]/DATA_MAYO_2025[[#This Row],[META]]</f>
        <v>0.57552307692307692</v>
      </c>
      <c r="N46" t="str" cm="1">
        <f t="array" ref="N46">IF(DATA_MAYO_2025[[#This Row],[ASER_]]="","",IFERROR(_xlfn.IFS(M46&gt;=100%,"&gt;100%",AND(M46&lt;100%,M46&gt;=70%),"&gt;70%",AND(M46&lt;70%,M46&gt;=40%),"&gt;40%",AND(M46&lt;40%,M46&gt;=0%),"&gt;0%"),""))</f>
        <v>&gt;40%</v>
      </c>
      <c r="O46" t="s">
        <v>4</v>
      </c>
      <c r="P46" s="6">
        <f>SUM(DATA_MAYO_2025[[#This Row],[1]:[31]])</f>
        <v>37409</v>
      </c>
      <c r="Q46">
        <v>65000</v>
      </c>
      <c r="R46" t="s">
        <v>65</v>
      </c>
      <c r="T46">
        <v>600</v>
      </c>
      <c r="X46">
        <v>10567</v>
      </c>
      <c r="Y46">
        <v>400</v>
      </c>
      <c r="AE46">
        <v>2000</v>
      </c>
      <c r="AG46">
        <v>1562</v>
      </c>
      <c r="AH46">
        <v>600</v>
      </c>
      <c r="AN46">
        <v>665</v>
      </c>
      <c r="AP46">
        <v>670</v>
      </c>
      <c r="AR46">
        <v>492</v>
      </c>
      <c r="AS46">
        <v>4816</v>
      </c>
      <c r="AT46">
        <v>1500</v>
      </c>
      <c r="AU46">
        <v>1600</v>
      </c>
      <c r="AV46">
        <v>11018</v>
      </c>
      <c r="AW46">
        <v>919</v>
      </c>
      <c r="AX46" t="s">
        <v>150</v>
      </c>
    </row>
    <row r="47" spans="1:50" x14ac:dyDescent="0.25">
      <c r="A47" t="s">
        <v>6</v>
      </c>
      <c r="B47" t="s">
        <v>110</v>
      </c>
      <c r="C47">
        <f>VLOOKUP(D1_MAYO_2025[[#This Row],[SUPER]],DATA_MAYO_2025[[SUPERVISOR]:[META]],3,0)</f>
        <v>26000</v>
      </c>
      <c r="D47">
        <f>D1_MAYO_2025[[#This Row],[RECUPERO]]/D1_MAYO_2025[[#This Row],[META]]</f>
        <v>0.64692307692307693</v>
      </c>
      <c r="E47" t="s">
        <v>6</v>
      </c>
      <c r="F47" t="s">
        <v>110</v>
      </c>
      <c r="G47">
        <v>16820</v>
      </c>
      <c r="H47" t="s">
        <v>454</v>
      </c>
      <c r="I47" s="56">
        <v>44993</v>
      </c>
      <c r="J47" t="s">
        <v>501</v>
      </c>
      <c r="L47" s="56"/>
      <c r="M47" s="1">
        <f>DATA_MAYO_2025[[#This Row],[RECUPERO]]/DATA_MAYO_2025[[#This Row],[META]]</f>
        <v>1.0128549999999998</v>
      </c>
      <c r="N47" t="str" cm="1">
        <f t="array" ref="N47">IF(DATA_MAYO_2025[[#This Row],[ASER_]]="","",IFERROR(_xlfn.IFS(M47&gt;=100%,"&gt;100%",AND(M47&lt;100%,M47&gt;=70%),"&gt;70%",AND(M47&lt;70%,M47&gt;=40%),"&gt;40%",AND(M47&lt;40%,M47&gt;=0%),"&gt;0%"),""))</f>
        <v>&gt;100%</v>
      </c>
      <c r="O47" t="s">
        <v>125</v>
      </c>
      <c r="P47" s="6">
        <f>SUM(DATA_MAYO_2025[[#This Row],[1]:[31]])</f>
        <v>20257.099999999999</v>
      </c>
      <c r="Q47">
        <v>20000</v>
      </c>
      <c r="R47" t="s">
        <v>20</v>
      </c>
      <c r="T47">
        <v>155</v>
      </c>
      <c r="W47">
        <v>1250</v>
      </c>
      <c r="X47">
        <v>700</v>
      </c>
      <c r="Y47">
        <v>200</v>
      </c>
      <c r="Z47">
        <v>319</v>
      </c>
      <c r="AA47">
        <v>350</v>
      </c>
      <c r="AE47">
        <v>700</v>
      </c>
      <c r="AH47">
        <v>1000</v>
      </c>
      <c r="AK47">
        <v>350</v>
      </c>
      <c r="AL47">
        <v>368</v>
      </c>
      <c r="AM47">
        <v>1000</v>
      </c>
      <c r="AN47">
        <v>351</v>
      </c>
      <c r="AO47">
        <v>400</v>
      </c>
      <c r="AR47">
        <v>500</v>
      </c>
      <c r="AS47">
        <v>5800</v>
      </c>
      <c r="AT47">
        <v>570</v>
      </c>
      <c r="AU47">
        <v>1628.1</v>
      </c>
      <c r="AV47">
        <v>1800</v>
      </c>
      <c r="AW47">
        <v>2816</v>
      </c>
      <c r="AX47" t="s">
        <v>153</v>
      </c>
    </row>
    <row r="48" spans="1:50" x14ac:dyDescent="0.25">
      <c r="A48" t="s">
        <v>6</v>
      </c>
      <c r="B48" t="s">
        <v>36</v>
      </c>
      <c r="C48">
        <f>VLOOKUP(D1_MAYO_2025[[#This Row],[SUPER]],DATA_MAYO_2025[[SUPERVISOR]:[META]],3,0)</f>
        <v>26000</v>
      </c>
      <c r="D48">
        <f>D1_MAYO_2025[[#This Row],[RECUPERO]]/D1_MAYO_2025[[#This Row],[META]]</f>
        <v>0.35930769230769233</v>
      </c>
      <c r="E48" t="s">
        <v>6</v>
      </c>
      <c r="F48" t="s">
        <v>36</v>
      </c>
      <c r="G48">
        <v>9342</v>
      </c>
      <c r="H48" t="s">
        <v>406</v>
      </c>
      <c r="I48" s="56">
        <v>44941</v>
      </c>
      <c r="J48" t="s">
        <v>501</v>
      </c>
      <c r="L48" s="56"/>
      <c r="M48" s="1">
        <f>DATA_MAYO_2025[[#This Row],[RECUPERO]]/DATA_MAYO_2025[[#This Row],[META]]</f>
        <v>0.1515</v>
      </c>
      <c r="N48" t="str" cm="1">
        <f t="array" ref="N48">IF(DATA_MAYO_2025[[#This Row],[ASER_]]="","",IFERROR(_xlfn.IFS(M48&gt;=100%,"&gt;100%",AND(M48&lt;100%,M48&gt;=70%),"&gt;70%",AND(M48&lt;70%,M48&gt;=40%),"&gt;40%",AND(M48&lt;40%,M48&gt;=0%),"&gt;0%"),""))</f>
        <v>&gt;0%</v>
      </c>
      <c r="O48" t="s">
        <v>6</v>
      </c>
      <c r="P48" s="6">
        <f>SUM(DATA_MAYO_2025[[#This Row],[1]:[31]])</f>
        <v>3939</v>
      </c>
      <c r="Q48">
        <v>26000</v>
      </c>
      <c r="R48" t="s">
        <v>37</v>
      </c>
      <c r="Y48">
        <v>250</v>
      </c>
      <c r="AA48">
        <v>1000</v>
      </c>
      <c r="AH48">
        <v>1340</v>
      </c>
      <c r="AL48">
        <v>178</v>
      </c>
      <c r="AO48">
        <v>340</v>
      </c>
      <c r="AV48">
        <v>200</v>
      </c>
      <c r="AW48">
        <v>631</v>
      </c>
      <c r="AX48" t="s">
        <v>152</v>
      </c>
    </row>
    <row r="49" spans="1:50" x14ac:dyDescent="0.25">
      <c r="A49" t="s">
        <v>6</v>
      </c>
      <c r="B49" t="s">
        <v>34</v>
      </c>
      <c r="C49">
        <f>VLOOKUP(D1_MAYO_2025[[#This Row],[SUPER]],DATA_MAYO_2025[[SUPERVISOR]:[META]],3,0)</f>
        <v>26000</v>
      </c>
      <c r="D49">
        <f>D1_MAYO_2025[[#This Row],[RECUPERO]]/D1_MAYO_2025[[#This Row],[META]]</f>
        <v>1.8238461538461539</v>
      </c>
      <c r="E49" t="s">
        <v>6</v>
      </c>
      <c r="F49" t="s">
        <v>34</v>
      </c>
      <c r="G49">
        <v>47420</v>
      </c>
      <c r="H49" t="s">
        <v>407</v>
      </c>
      <c r="I49" s="56">
        <v>45175</v>
      </c>
      <c r="J49" t="s">
        <v>501</v>
      </c>
      <c r="L49" s="56"/>
      <c r="M49" s="1">
        <f>DATA_MAYO_2025[[#This Row],[RECUPERO]]/DATA_MAYO_2025[[#This Row],[META]]</f>
        <v>0.55006846153846145</v>
      </c>
      <c r="N49" t="str" cm="1">
        <f t="array" ref="N49">IF(DATA_MAYO_2025[[#This Row],[ASER_]]="","",IFERROR(_xlfn.IFS(M49&gt;=100%,"&gt;100%",AND(M49&lt;100%,M49&gt;=70%),"&gt;70%",AND(M49&lt;70%,M49&gt;=40%),"&gt;40%",AND(M49&lt;40%,M49&gt;=0%),"&gt;0%"),""))</f>
        <v>&gt;40%</v>
      </c>
      <c r="O49" t="s">
        <v>2</v>
      </c>
      <c r="P49" s="6">
        <f>SUM(DATA_MAYO_2025[[#This Row],[1]:[31]])</f>
        <v>35754.449999999997</v>
      </c>
      <c r="Q49">
        <v>65000</v>
      </c>
      <c r="R49" t="s">
        <v>77</v>
      </c>
      <c r="Z49">
        <v>990.78</v>
      </c>
      <c r="AD49">
        <v>7000</v>
      </c>
      <c r="AF49">
        <v>500</v>
      </c>
      <c r="AG49">
        <v>2000</v>
      </c>
      <c r="AI49">
        <v>250</v>
      </c>
      <c r="AL49">
        <v>250</v>
      </c>
      <c r="AM49">
        <v>100</v>
      </c>
      <c r="AN49">
        <v>300</v>
      </c>
      <c r="AP49">
        <v>5000</v>
      </c>
      <c r="AS49">
        <v>3900</v>
      </c>
      <c r="AT49">
        <v>6250</v>
      </c>
      <c r="AV49">
        <v>6213.67</v>
      </c>
      <c r="AW49">
        <v>3000</v>
      </c>
      <c r="AX49" t="s">
        <v>150</v>
      </c>
    </row>
    <row r="50" spans="1:50" x14ac:dyDescent="0.25">
      <c r="A50" t="s">
        <v>125</v>
      </c>
      <c r="B50" t="s">
        <v>111</v>
      </c>
      <c r="C50">
        <f>VLOOKUP(D1_MAYO_2025[[#This Row],[SUPER]],DATA_MAYO_2025[[SUPERVISOR]:[META]],3,0)</f>
        <v>20000</v>
      </c>
      <c r="D50">
        <f>D1_MAYO_2025[[#This Row],[RECUPERO]]/D1_MAYO_2025[[#This Row],[META]]</f>
        <v>3.5000000000000003E-2</v>
      </c>
      <c r="E50" t="s">
        <v>125</v>
      </c>
      <c r="F50" t="s">
        <v>111</v>
      </c>
      <c r="G50">
        <v>700</v>
      </c>
      <c r="H50" t="s">
        <v>468</v>
      </c>
      <c r="I50" s="56">
        <v>45803</v>
      </c>
      <c r="J50" t="s">
        <v>501</v>
      </c>
      <c r="L50" s="56"/>
      <c r="M50" s="1">
        <f>DATA_MAYO_2025[[#This Row],[RECUPERO]]/DATA_MAYO_2025[[#This Row],[META]]</f>
        <v>0.17788461538461539</v>
      </c>
      <c r="N50" t="str" cm="1">
        <f t="array" ref="N50">IF(DATA_MAYO_2025[[#This Row],[ASER_]]="","",IFERROR(_xlfn.IFS(M50&gt;=100%,"&gt;100%",AND(M50&lt;100%,M50&gt;=70%),"&gt;70%",AND(M50&lt;70%,M50&gt;=40%),"&gt;40%",AND(M50&lt;40%,M50&gt;=0%),"&gt;0%"),""))</f>
        <v>&gt;0%</v>
      </c>
      <c r="O50" t="s">
        <v>6</v>
      </c>
      <c r="P50" s="6">
        <f>SUM(DATA_MAYO_2025[[#This Row],[1]:[31]])</f>
        <v>4625</v>
      </c>
      <c r="Q50">
        <v>26000</v>
      </c>
      <c r="R50" t="s">
        <v>35</v>
      </c>
      <c r="AE50">
        <v>250</v>
      </c>
      <c r="AF50">
        <v>1100</v>
      </c>
      <c r="AH50">
        <v>400</v>
      </c>
      <c r="AL50">
        <v>50</v>
      </c>
      <c r="AN50">
        <v>100</v>
      </c>
      <c r="AO50">
        <v>250</v>
      </c>
      <c r="AR50">
        <v>250</v>
      </c>
      <c r="AS50">
        <v>160</v>
      </c>
      <c r="AV50">
        <v>1765</v>
      </c>
      <c r="AW50">
        <v>300</v>
      </c>
      <c r="AX50" t="s">
        <v>152</v>
      </c>
    </row>
    <row r="51" spans="1:50" x14ac:dyDescent="0.25">
      <c r="A51" t="s">
        <v>125</v>
      </c>
      <c r="B51" t="s">
        <v>80</v>
      </c>
      <c r="C51">
        <f>VLOOKUP(D1_MAYO_2025[[#This Row],[SUPER]],DATA_MAYO_2025[[SUPERVISOR]:[META]],3,0)</f>
        <v>20000</v>
      </c>
      <c r="D51">
        <f>D1_MAYO_2025[[#This Row],[RECUPERO]]/D1_MAYO_2025[[#This Row],[META]]</f>
        <v>1.6751</v>
      </c>
      <c r="E51" t="s">
        <v>125</v>
      </c>
      <c r="F51" t="s">
        <v>80</v>
      </c>
      <c r="G51">
        <v>33502</v>
      </c>
      <c r="H51" t="s">
        <v>433</v>
      </c>
      <c r="I51" s="56">
        <v>45285</v>
      </c>
      <c r="J51" t="s">
        <v>501</v>
      </c>
      <c r="L51" s="56"/>
      <c r="M51" s="1">
        <f>DATA_MAYO_2025[[#This Row],[RECUPERO]]/DATA_MAYO_2025[[#This Row],[META]]</f>
        <v>4.576923076923077E-2</v>
      </c>
      <c r="N51" t="str" cm="1">
        <f t="array" ref="N51">IF(DATA_MAYO_2025[[#This Row],[ASER_]]="","",IFERROR(_xlfn.IFS(M51&gt;=100%,"&gt;100%",AND(M51&lt;100%,M51&gt;=70%),"&gt;70%",AND(M51&lt;70%,M51&gt;=40%),"&gt;40%",AND(M51&lt;40%,M51&gt;=0%),"&gt;0%"),""))</f>
        <v>&gt;0%</v>
      </c>
      <c r="O51" t="s">
        <v>6</v>
      </c>
      <c r="P51" s="6">
        <f>SUM(DATA_MAYO_2025[[#This Row],[1]:[31]])</f>
        <v>1190</v>
      </c>
      <c r="Q51">
        <v>26000</v>
      </c>
      <c r="R51" t="s">
        <v>50</v>
      </c>
      <c r="AG51">
        <v>310</v>
      </c>
      <c r="AK51">
        <v>400</v>
      </c>
      <c r="AO51">
        <v>280</v>
      </c>
      <c r="AS51">
        <v>200</v>
      </c>
      <c r="AX51" t="s">
        <v>152</v>
      </c>
    </row>
    <row r="52" spans="1:50" x14ac:dyDescent="0.25">
      <c r="A52" t="s">
        <v>125</v>
      </c>
      <c r="B52" t="s">
        <v>27</v>
      </c>
      <c r="C52">
        <f>VLOOKUP(D1_MAYO_2025[[#This Row],[SUPER]],DATA_MAYO_2025[[SUPERVISOR]:[META]],3,0)</f>
        <v>20000</v>
      </c>
      <c r="D52">
        <f>D1_MAYO_2025[[#This Row],[RECUPERO]]/D1_MAYO_2025[[#This Row],[META]]</f>
        <v>0.89054999999999995</v>
      </c>
      <c r="E52" t="s">
        <v>125</v>
      </c>
      <c r="F52" t="s">
        <v>27</v>
      </c>
      <c r="G52">
        <v>17811</v>
      </c>
      <c r="H52" t="s">
        <v>412</v>
      </c>
      <c r="I52" s="56">
        <v>45675</v>
      </c>
      <c r="J52" t="s">
        <v>501</v>
      </c>
      <c r="L52" s="56"/>
      <c r="M52" s="1">
        <f>DATA_MAYO_2025[[#This Row],[RECUPERO]]/DATA_MAYO_2025[[#This Row],[META]]</f>
        <v>0.51012000000000002</v>
      </c>
      <c r="N52" t="str" cm="1">
        <f t="array" ref="N52">IF(DATA_MAYO_2025[[#This Row],[ASER_]]="","",IFERROR(_xlfn.IFS(M52&gt;=100%,"&gt;100%",AND(M52&lt;100%,M52&gt;=70%),"&gt;70%",AND(M52&lt;70%,M52&gt;=40%),"&gt;40%",AND(M52&lt;40%,M52&gt;=0%),"&gt;0%"),""))</f>
        <v>&gt;40%</v>
      </c>
      <c r="O52" t="s">
        <v>125</v>
      </c>
      <c r="P52" s="6">
        <f>SUM(DATA_MAYO_2025[[#This Row],[1]:[31]])</f>
        <v>10202.4</v>
      </c>
      <c r="Q52">
        <v>20000</v>
      </c>
      <c r="R52" t="s">
        <v>33</v>
      </c>
      <c r="S52">
        <v>225.5</v>
      </c>
      <c r="T52">
        <v>200</v>
      </c>
      <c r="W52">
        <v>250</v>
      </c>
      <c r="Y52">
        <v>500</v>
      </c>
      <c r="Z52">
        <v>200</v>
      </c>
      <c r="AE52">
        <v>530</v>
      </c>
      <c r="AH52">
        <v>1200</v>
      </c>
      <c r="AI52">
        <v>207</v>
      </c>
      <c r="AM52">
        <v>2000</v>
      </c>
      <c r="AR52">
        <v>108.4</v>
      </c>
      <c r="AS52">
        <v>200</v>
      </c>
      <c r="AT52">
        <v>700</v>
      </c>
      <c r="AV52">
        <v>2631.5</v>
      </c>
      <c r="AW52">
        <v>1250</v>
      </c>
      <c r="AX52" t="s">
        <v>153</v>
      </c>
    </row>
    <row r="53" spans="1:50" x14ac:dyDescent="0.25">
      <c r="A53" t="s">
        <v>125</v>
      </c>
      <c r="B53" t="s">
        <v>20</v>
      </c>
      <c r="C53">
        <f>VLOOKUP(D1_MAYO_2025[[#This Row],[SUPER]],DATA_MAYO_2025[[SUPERVISOR]:[META]],3,0)</f>
        <v>20000</v>
      </c>
      <c r="D53">
        <f>D1_MAYO_2025[[#This Row],[RECUPERO]]/D1_MAYO_2025[[#This Row],[META]]</f>
        <v>1.0128549999999998</v>
      </c>
      <c r="E53" t="s">
        <v>125</v>
      </c>
      <c r="F53" t="s">
        <v>20</v>
      </c>
      <c r="G53">
        <v>20257.099999999999</v>
      </c>
      <c r="H53" t="s">
        <v>427</v>
      </c>
      <c r="I53" s="56">
        <v>45142</v>
      </c>
      <c r="J53" t="s">
        <v>501</v>
      </c>
      <c r="L53" s="56"/>
      <c r="M53" s="1">
        <f>DATA_MAYO_2025[[#This Row],[RECUPERO]]/DATA_MAYO_2025[[#This Row],[META]]</f>
        <v>1.5924941538461537</v>
      </c>
      <c r="N53" t="str" cm="1">
        <f t="array" ref="N53">IF(DATA_MAYO_2025[[#This Row],[ASER_]]="","",IFERROR(_xlfn.IFS(M53&gt;=100%,"&gt;100%",AND(M53&lt;100%,M53&gt;=70%),"&gt;70%",AND(M53&lt;70%,M53&gt;=40%),"&gt;40%",AND(M53&lt;40%,M53&gt;=0%),"&gt;0%"),""))</f>
        <v>&gt;100%</v>
      </c>
      <c r="O53" t="s">
        <v>3</v>
      </c>
      <c r="P53" s="6">
        <f>SUM(DATA_MAYO_2025[[#This Row],[1]:[31]])</f>
        <v>103512.12</v>
      </c>
      <c r="Q53">
        <v>65000</v>
      </c>
      <c r="R53" t="s">
        <v>23</v>
      </c>
      <c r="S53">
        <v>1167</v>
      </c>
      <c r="T53">
        <v>4610</v>
      </c>
      <c r="W53">
        <v>1500</v>
      </c>
      <c r="X53">
        <v>13050</v>
      </c>
      <c r="Z53">
        <v>1700</v>
      </c>
      <c r="AE53">
        <v>600</v>
      </c>
      <c r="AF53">
        <v>9800</v>
      </c>
      <c r="AG53">
        <v>9100</v>
      </c>
      <c r="AI53">
        <v>600</v>
      </c>
      <c r="AK53">
        <v>280</v>
      </c>
      <c r="AL53">
        <v>3500</v>
      </c>
      <c r="AM53">
        <v>17372</v>
      </c>
      <c r="AO53">
        <v>2200</v>
      </c>
      <c r="AR53">
        <v>4300</v>
      </c>
      <c r="AS53">
        <v>11000</v>
      </c>
      <c r="AT53">
        <v>2500</v>
      </c>
      <c r="AU53">
        <v>10351</v>
      </c>
      <c r="AV53">
        <v>4350</v>
      </c>
      <c r="AW53">
        <v>5532.12</v>
      </c>
      <c r="AX53" t="s">
        <v>150</v>
      </c>
    </row>
    <row r="54" spans="1:50" x14ac:dyDescent="0.25">
      <c r="A54" t="s">
        <v>125</v>
      </c>
      <c r="B54" t="s">
        <v>33</v>
      </c>
      <c r="C54">
        <f>VLOOKUP(D1_MAYO_2025[[#This Row],[SUPER]],DATA_MAYO_2025[[SUPERVISOR]:[META]],3,0)</f>
        <v>20000</v>
      </c>
      <c r="D54">
        <f>D1_MAYO_2025[[#This Row],[RECUPERO]]/D1_MAYO_2025[[#This Row],[META]]</f>
        <v>0.51012000000000002</v>
      </c>
      <c r="E54" t="s">
        <v>125</v>
      </c>
      <c r="F54" t="s">
        <v>33</v>
      </c>
      <c r="G54">
        <v>10202.4</v>
      </c>
      <c r="H54" t="s">
        <v>439</v>
      </c>
      <c r="I54" s="56">
        <v>44869</v>
      </c>
      <c r="J54" t="s">
        <v>501</v>
      </c>
      <c r="L54" s="56"/>
      <c r="M54" s="1">
        <f>DATA_MAYO_2025[[#This Row],[RECUPERO]]/DATA_MAYO_2025[[#This Row],[META]]</f>
        <v>0.53285000000000005</v>
      </c>
      <c r="N54" t="str" cm="1">
        <f t="array" ref="N54">IF(DATA_MAYO_2025[[#This Row],[ASER_]]="","",IFERROR(_xlfn.IFS(M54&gt;=100%,"&gt;100%",AND(M54&lt;100%,M54&gt;=70%),"&gt;70%",AND(M54&lt;70%,M54&gt;=40%),"&gt;40%",AND(M54&lt;40%,M54&gt;=0%),"&gt;0%"),""))</f>
        <v>&gt;40%</v>
      </c>
      <c r="O54" t="s">
        <v>8</v>
      </c>
      <c r="P54" s="6">
        <f>SUM(DATA_MAYO_2025[[#This Row],[1]:[31]])</f>
        <v>10657</v>
      </c>
      <c r="Q54">
        <v>20000</v>
      </c>
      <c r="R54" t="s">
        <v>131</v>
      </c>
      <c r="Z54">
        <v>207</v>
      </c>
      <c r="AK54">
        <v>300</v>
      </c>
      <c r="AN54">
        <v>3400</v>
      </c>
      <c r="AO54">
        <v>6500</v>
      </c>
      <c r="AU54">
        <v>250</v>
      </c>
      <c r="AX54" t="s">
        <v>153</v>
      </c>
    </row>
    <row r="55" spans="1:50" x14ac:dyDescent="0.25">
      <c r="A55" t="s">
        <v>125</v>
      </c>
      <c r="B55" t="s">
        <v>38</v>
      </c>
      <c r="C55">
        <f>VLOOKUP(D1_MAYO_2025[[#This Row],[SUPER]],DATA_MAYO_2025[[SUPERVISOR]:[META]],3,0)</f>
        <v>20000</v>
      </c>
      <c r="D55">
        <f>D1_MAYO_2025[[#This Row],[RECUPERO]]/D1_MAYO_2025[[#This Row],[META]]</f>
        <v>5.2499999999999998E-2</v>
      </c>
      <c r="E55" t="s">
        <v>125</v>
      </c>
      <c r="F55" t="s">
        <v>38</v>
      </c>
      <c r="G55">
        <v>1050</v>
      </c>
      <c r="H55" t="s">
        <v>469</v>
      </c>
      <c r="I55" s="56">
        <v>45805</v>
      </c>
      <c r="J55" t="s">
        <v>501</v>
      </c>
      <c r="L55" s="56"/>
      <c r="M55" s="1">
        <f>DATA_MAYO_2025[[#This Row],[RECUPERO]]/DATA_MAYO_2025[[#This Row],[META]]</f>
        <v>1.2213384615384615</v>
      </c>
      <c r="N55" t="str" cm="1">
        <f t="array" ref="N55">IF(DATA_MAYO_2025[[#This Row],[ASER_]]="","",IFERROR(_xlfn.IFS(M55&gt;=100%,"&gt;100%",AND(M55&lt;100%,M55&gt;=70%),"&gt;70%",AND(M55&lt;70%,M55&gt;=40%),"&gt;40%",AND(M55&lt;40%,M55&gt;=0%),"&gt;0%"),""))</f>
        <v>&gt;100%</v>
      </c>
      <c r="O55" t="s">
        <v>5</v>
      </c>
      <c r="P55" s="6">
        <f>SUM(DATA_MAYO_2025[[#This Row],[1]:[31]])</f>
        <v>79387</v>
      </c>
      <c r="Q55">
        <v>65000</v>
      </c>
      <c r="R55" t="s">
        <v>68</v>
      </c>
      <c r="T55">
        <v>1120</v>
      </c>
      <c r="W55">
        <v>650</v>
      </c>
      <c r="X55">
        <v>7000</v>
      </c>
      <c r="Y55">
        <v>7650</v>
      </c>
      <c r="Z55">
        <v>800</v>
      </c>
      <c r="AD55">
        <v>500</v>
      </c>
      <c r="AE55">
        <v>500</v>
      </c>
      <c r="AF55">
        <v>34000</v>
      </c>
      <c r="AG55">
        <v>2789</v>
      </c>
      <c r="AH55">
        <v>600</v>
      </c>
      <c r="AM55">
        <v>6086</v>
      </c>
      <c r="AO55">
        <v>4200</v>
      </c>
      <c r="AP55">
        <v>700</v>
      </c>
      <c r="AR55">
        <v>2500</v>
      </c>
      <c r="AS55">
        <v>300</v>
      </c>
      <c r="AT55">
        <v>3822</v>
      </c>
      <c r="AU55">
        <v>950</v>
      </c>
      <c r="AV55">
        <v>5220</v>
      </c>
      <c r="AX55" t="s">
        <v>150</v>
      </c>
    </row>
    <row r="56" spans="1:50" x14ac:dyDescent="0.25">
      <c r="A56" t="s">
        <v>125</v>
      </c>
      <c r="B56" t="s">
        <v>74</v>
      </c>
      <c r="C56">
        <f>VLOOKUP(D1_MAYO_2025[[#This Row],[SUPER]],DATA_MAYO_2025[[SUPERVISOR]:[META]],3,0)</f>
        <v>20000</v>
      </c>
      <c r="D56">
        <f>D1_MAYO_2025[[#This Row],[RECUPERO]]/D1_MAYO_2025[[#This Row],[META]]</f>
        <v>0.36037449999999999</v>
      </c>
      <c r="E56" t="s">
        <v>125</v>
      </c>
      <c r="F56" t="s">
        <v>74</v>
      </c>
      <c r="G56">
        <v>7207.49</v>
      </c>
      <c r="H56" t="s">
        <v>395</v>
      </c>
      <c r="I56" s="56">
        <v>44470</v>
      </c>
      <c r="J56" t="s">
        <v>501</v>
      </c>
      <c r="L56" s="56"/>
      <c r="M56" s="1">
        <f>DATA_MAYO_2025[[#This Row],[RECUPERO]]/DATA_MAYO_2025[[#This Row],[META]]</f>
        <v>0.53384615384615386</v>
      </c>
      <c r="N56" t="str" cm="1">
        <f t="array" ref="N56">IF(DATA_MAYO_2025[[#This Row],[ASER_]]="","",IFERROR(_xlfn.IFS(M56&gt;=100%,"&gt;100%",AND(M56&lt;100%,M56&gt;=70%),"&gt;70%",AND(M56&lt;70%,M56&gt;=40%),"&gt;40%",AND(M56&lt;40%,M56&gt;=0%),"&gt;0%"),""))</f>
        <v>&gt;40%</v>
      </c>
      <c r="O56" t="s">
        <v>6</v>
      </c>
      <c r="P56" s="6">
        <f>SUM(DATA_MAYO_2025[[#This Row],[1]:[31]])</f>
        <v>13880</v>
      </c>
      <c r="Q56">
        <v>26000</v>
      </c>
      <c r="R56" t="s">
        <v>31</v>
      </c>
      <c r="T56">
        <v>300</v>
      </c>
      <c r="W56">
        <v>4200</v>
      </c>
      <c r="AD56">
        <v>500</v>
      </c>
      <c r="AK56">
        <v>4000</v>
      </c>
      <c r="AR56">
        <v>3800</v>
      </c>
      <c r="AU56">
        <v>580</v>
      </c>
      <c r="AV56">
        <v>500</v>
      </c>
      <c r="AX56" t="s">
        <v>152</v>
      </c>
    </row>
    <row r="57" spans="1:50" x14ac:dyDescent="0.25">
      <c r="A57" t="s">
        <v>125</v>
      </c>
      <c r="B57" t="s">
        <v>39</v>
      </c>
      <c r="C57">
        <f>VLOOKUP(D1_MAYO_2025[[#This Row],[SUPER]],DATA_MAYO_2025[[SUPERVISOR]:[META]],3,0)</f>
        <v>20000</v>
      </c>
      <c r="D57">
        <f>D1_MAYO_2025[[#This Row],[RECUPERO]]/D1_MAYO_2025[[#This Row],[META]]</f>
        <v>0.71299999999999997</v>
      </c>
      <c r="E57" t="s">
        <v>125</v>
      </c>
      <c r="F57" t="s">
        <v>39</v>
      </c>
      <c r="G57">
        <v>14260</v>
      </c>
      <c r="H57" t="s">
        <v>452</v>
      </c>
      <c r="I57" s="56">
        <v>44951</v>
      </c>
      <c r="J57" t="s">
        <v>501</v>
      </c>
      <c r="L57" s="56"/>
      <c r="M57" s="1">
        <f>DATA_MAYO_2025[[#This Row],[RECUPERO]]/DATA_MAYO_2025[[#This Row],[META]]</f>
        <v>0.71824615384615387</v>
      </c>
      <c r="N57" t="str" cm="1">
        <f t="array" ref="N57">IF(DATA_MAYO_2025[[#This Row],[ASER_]]="","",IFERROR(_xlfn.IFS(M57&gt;=100%,"&gt;100%",AND(M57&lt;100%,M57&gt;=70%),"&gt;70%",AND(M57&lt;70%,M57&gt;=40%),"&gt;40%",AND(M57&lt;40%,M57&gt;=0%),"&gt;0%"),""))</f>
        <v>&gt;70%</v>
      </c>
      <c r="O57" t="s">
        <v>2</v>
      </c>
      <c r="P57" s="6">
        <f>SUM(DATA_MAYO_2025[[#This Row],[1]:[31]])</f>
        <v>46686</v>
      </c>
      <c r="Q57">
        <v>65000</v>
      </c>
      <c r="R57" t="s">
        <v>29</v>
      </c>
      <c r="T57">
        <v>320</v>
      </c>
      <c r="W57">
        <v>1500</v>
      </c>
      <c r="X57">
        <v>4000</v>
      </c>
      <c r="Y57">
        <v>2000</v>
      </c>
      <c r="Z57">
        <v>1000</v>
      </c>
      <c r="AB57">
        <v>1000</v>
      </c>
      <c r="AD57">
        <v>600</v>
      </c>
      <c r="AF57">
        <v>10100</v>
      </c>
      <c r="AG57">
        <v>600</v>
      </c>
      <c r="AH57">
        <v>2800</v>
      </c>
      <c r="AK57">
        <v>1000</v>
      </c>
      <c r="AM57">
        <v>800</v>
      </c>
      <c r="AN57">
        <v>1100</v>
      </c>
      <c r="AO57">
        <v>600</v>
      </c>
      <c r="AP57">
        <v>335</v>
      </c>
      <c r="AR57">
        <v>2000</v>
      </c>
      <c r="AS57">
        <v>1000</v>
      </c>
      <c r="AT57">
        <v>3250</v>
      </c>
      <c r="AU57">
        <v>5800</v>
      </c>
      <c r="AV57">
        <v>5611</v>
      </c>
      <c r="AW57">
        <v>1270</v>
      </c>
      <c r="AX57" t="s">
        <v>150</v>
      </c>
    </row>
    <row r="58" spans="1:50" x14ac:dyDescent="0.25">
      <c r="A58" t="s">
        <v>125</v>
      </c>
      <c r="B58" t="s">
        <v>56</v>
      </c>
      <c r="C58">
        <f>VLOOKUP(D1_MAYO_2025[[#This Row],[SUPER]],DATA_MAYO_2025[[SUPERVISOR]:[META]],3,0)</f>
        <v>20000</v>
      </c>
      <c r="D58">
        <f>D1_MAYO_2025[[#This Row],[RECUPERO]]/D1_MAYO_2025[[#This Row],[META]]</f>
        <v>0.22220000000000001</v>
      </c>
      <c r="E58" t="s">
        <v>125</v>
      </c>
      <c r="F58" t="s">
        <v>56</v>
      </c>
      <c r="G58">
        <v>4444</v>
      </c>
      <c r="H58" t="s">
        <v>464</v>
      </c>
      <c r="I58" s="56">
        <v>45772</v>
      </c>
      <c r="J58" t="s">
        <v>501</v>
      </c>
      <c r="L58" s="56"/>
      <c r="M58" s="1">
        <f>DATA_MAYO_2025[[#This Row],[RECUPERO]]/DATA_MAYO_2025[[#This Row],[META]]</f>
        <v>0.7</v>
      </c>
      <c r="N58" t="str" cm="1">
        <f t="array" ref="N58">IF(DATA_MAYO_2025[[#This Row],[ASER_]]="","",IFERROR(_xlfn.IFS(M58&gt;=100%,"&gt;100%",AND(M58&lt;100%,M58&gt;=70%),"&gt;70%",AND(M58&lt;70%,M58&gt;=40%),"&gt;40%",AND(M58&lt;40%,M58&gt;=0%),"&gt;0%"),""))</f>
        <v>&gt;70%</v>
      </c>
      <c r="O58" t="s">
        <v>8</v>
      </c>
      <c r="P58" s="6">
        <f>SUM(DATA_MAYO_2025[[#This Row],[1]:[31]])</f>
        <v>14000</v>
      </c>
      <c r="Q58">
        <v>20000</v>
      </c>
      <c r="R58" t="s">
        <v>43</v>
      </c>
      <c r="AK58">
        <v>500</v>
      </c>
      <c r="AL58">
        <v>300</v>
      </c>
      <c r="AM58">
        <v>200</v>
      </c>
      <c r="AN58">
        <v>3200</v>
      </c>
      <c r="AO58">
        <v>300</v>
      </c>
      <c r="AR58">
        <v>5900</v>
      </c>
      <c r="AU58">
        <v>300</v>
      </c>
      <c r="AW58">
        <v>3300</v>
      </c>
      <c r="AX58" t="s">
        <v>153</v>
      </c>
    </row>
    <row r="59" spans="1:50" x14ac:dyDescent="0.25">
      <c r="A59" t="s">
        <v>8</v>
      </c>
      <c r="B59" t="s">
        <v>21</v>
      </c>
      <c r="C59">
        <f>VLOOKUP(D1_MAYO_2025[[#This Row],[SUPER]],DATA_MAYO_2025[[SUPERVISOR]:[META]],3,0)</f>
        <v>20000</v>
      </c>
      <c r="D59">
        <f>D1_MAYO_2025[[#This Row],[RECUPERO]]/D1_MAYO_2025[[#This Row],[META]]</f>
        <v>0.80700000000000005</v>
      </c>
      <c r="E59" t="s">
        <v>8</v>
      </c>
      <c r="F59" t="s">
        <v>21</v>
      </c>
      <c r="G59">
        <v>16140</v>
      </c>
      <c r="H59" t="s">
        <v>409</v>
      </c>
      <c r="I59" s="56">
        <v>44301</v>
      </c>
      <c r="J59" t="s">
        <v>501</v>
      </c>
      <c r="L59" s="56"/>
      <c r="M59" s="1">
        <f>DATA_MAYO_2025[[#This Row],[RECUPERO]]/DATA_MAYO_2025[[#This Row],[META]]</f>
        <v>0.46763076923076924</v>
      </c>
      <c r="N59" t="str" cm="1">
        <f t="array" ref="N59">IF(DATA_MAYO_2025[[#This Row],[ASER_]]="","",IFERROR(_xlfn.IFS(M59&gt;=100%,"&gt;100%",AND(M59&lt;100%,M59&gt;=70%),"&gt;70%",AND(M59&lt;70%,M59&gt;=40%),"&gt;40%",AND(M59&lt;40%,M59&gt;=0%),"&gt;0%"),""))</f>
        <v>&gt;40%</v>
      </c>
      <c r="O59" t="s">
        <v>3</v>
      </c>
      <c r="P59" s="6">
        <f>SUM(DATA_MAYO_2025[[#This Row],[1]:[31]])</f>
        <v>30396</v>
      </c>
      <c r="Q59">
        <v>65000</v>
      </c>
      <c r="R59" t="s">
        <v>25</v>
      </c>
      <c r="T59">
        <v>300</v>
      </c>
      <c r="Y59">
        <v>2500</v>
      </c>
      <c r="AA59">
        <v>328</v>
      </c>
      <c r="AB59">
        <v>2000</v>
      </c>
      <c r="AD59">
        <v>650</v>
      </c>
      <c r="AG59">
        <v>1174</v>
      </c>
      <c r="AH59">
        <v>5800</v>
      </c>
      <c r="AK59">
        <v>1061</v>
      </c>
      <c r="AL59">
        <v>2500</v>
      </c>
      <c r="AM59">
        <v>2500</v>
      </c>
      <c r="AO59">
        <v>1500</v>
      </c>
      <c r="AP59">
        <v>1500</v>
      </c>
      <c r="AR59">
        <v>750</v>
      </c>
      <c r="AS59">
        <v>500</v>
      </c>
      <c r="AT59">
        <v>700</v>
      </c>
      <c r="AU59">
        <v>5600</v>
      </c>
      <c r="AW59">
        <v>1033</v>
      </c>
      <c r="AX59" t="s">
        <v>150</v>
      </c>
    </row>
    <row r="60" spans="1:50" x14ac:dyDescent="0.25">
      <c r="A60" t="s">
        <v>8</v>
      </c>
      <c r="B60" t="s">
        <v>14</v>
      </c>
      <c r="C60">
        <f>VLOOKUP(D1_MAYO_2025[[#This Row],[SUPER]],DATA_MAYO_2025[[SUPERVISOR]:[META]],3,0)</f>
        <v>20000</v>
      </c>
      <c r="D60">
        <f>D1_MAYO_2025[[#This Row],[RECUPERO]]/D1_MAYO_2025[[#This Row],[META]]</f>
        <v>1.46035</v>
      </c>
      <c r="E60" t="s">
        <v>8</v>
      </c>
      <c r="F60" t="s">
        <v>14</v>
      </c>
      <c r="G60">
        <v>29207</v>
      </c>
      <c r="H60" t="s">
        <v>432</v>
      </c>
      <c r="I60" s="56">
        <v>45133</v>
      </c>
      <c r="J60" t="s">
        <v>501</v>
      </c>
      <c r="L60" s="56"/>
      <c r="M60" s="1">
        <f>DATA_MAYO_2025[[#This Row],[RECUPERO]]/DATA_MAYO_2025[[#This Row],[META]]</f>
        <v>0.64692307692307693</v>
      </c>
      <c r="N60" t="str" cm="1">
        <f t="array" ref="N60">IF(DATA_MAYO_2025[[#This Row],[ASER_]]="","",IFERROR(_xlfn.IFS(M60&gt;=100%,"&gt;100%",AND(M60&lt;100%,M60&gt;=70%),"&gt;70%",AND(M60&lt;70%,M60&gt;=40%),"&gt;40%",AND(M60&lt;40%,M60&gt;=0%),"&gt;0%"),""))</f>
        <v>&gt;40%</v>
      </c>
      <c r="O60" t="s">
        <v>6</v>
      </c>
      <c r="P60" s="6">
        <f>SUM(DATA_MAYO_2025[[#This Row],[1]:[31]])</f>
        <v>16820</v>
      </c>
      <c r="Q60">
        <v>26000</v>
      </c>
      <c r="R60" t="s">
        <v>110</v>
      </c>
      <c r="T60">
        <v>150</v>
      </c>
      <c r="Y60">
        <v>170</v>
      </c>
      <c r="AG60">
        <v>500</v>
      </c>
      <c r="AO60">
        <v>1000</v>
      </c>
      <c r="AR60">
        <v>3000</v>
      </c>
      <c r="AV60">
        <v>12000</v>
      </c>
      <c r="AX60" t="s">
        <v>152</v>
      </c>
    </row>
    <row r="61" spans="1:50" x14ac:dyDescent="0.25">
      <c r="A61" t="s">
        <v>8</v>
      </c>
      <c r="B61" t="s">
        <v>41</v>
      </c>
      <c r="C61">
        <f>VLOOKUP(D1_MAYO_2025[[#This Row],[SUPER]],DATA_MAYO_2025[[SUPERVISOR]:[META]],3,0)</f>
        <v>20000</v>
      </c>
      <c r="D61">
        <f>D1_MAYO_2025[[#This Row],[RECUPERO]]/D1_MAYO_2025[[#This Row],[META]]</f>
        <v>0.22819999999999999</v>
      </c>
      <c r="E61" t="s">
        <v>8</v>
      </c>
      <c r="F61" t="s">
        <v>41</v>
      </c>
      <c r="G61">
        <v>4564</v>
      </c>
      <c r="H61" t="s">
        <v>387</v>
      </c>
      <c r="I61" s="56">
        <v>45304</v>
      </c>
      <c r="J61" t="s">
        <v>501</v>
      </c>
      <c r="L61" s="56"/>
      <c r="M61" s="1">
        <f>DATA_MAYO_2025[[#This Row],[RECUPERO]]/DATA_MAYO_2025[[#This Row],[META]]</f>
        <v>0.65569230769230769</v>
      </c>
      <c r="N61" t="str" cm="1">
        <f t="array" ref="N61">IF(DATA_MAYO_2025[[#This Row],[ASER_]]="","",IFERROR(_xlfn.IFS(M61&gt;=100%,"&gt;100%",AND(M61&lt;100%,M61&gt;=70%),"&gt;70%",AND(M61&lt;70%,M61&gt;=40%),"&gt;40%",AND(M61&lt;40%,M61&gt;=0%),"&gt;0%"),""))</f>
        <v>&gt;40%</v>
      </c>
      <c r="O61" t="s">
        <v>2</v>
      </c>
      <c r="P61" s="6">
        <f>SUM(DATA_MAYO_2025[[#This Row],[1]:[31]])</f>
        <v>42620</v>
      </c>
      <c r="Q61">
        <v>65000</v>
      </c>
      <c r="R61" t="s">
        <v>17</v>
      </c>
      <c r="Y61">
        <v>2800</v>
      </c>
      <c r="AG61">
        <v>491</v>
      </c>
      <c r="AK61">
        <v>333</v>
      </c>
      <c r="AM61">
        <v>2230</v>
      </c>
      <c r="AS61">
        <v>12666</v>
      </c>
      <c r="AT61">
        <v>15000</v>
      </c>
      <c r="AW61">
        <v>9100</v>
      </c>
      <c r="AX61" t="s">
        <v>150</v>
      </c>
    </row>
    <row r="62" spans="1:50" x14ac:dyDescent="0.25">
      <c r="A62" t="s">
        <v>8</v>
      </c>
      <c r="B62" t="s">
        <v>40</v>
      </c>
      <c r="C62">
        <f>VLOOKUP(D1_MAYO_2025[[#This Row],[SUPER]],DATA_MAYO_2025[[SUPERVISOR]:[META]],3,0)</f>
        <v>20000</v>
      </c>
      <c r="D62">
        <f>D1_MAYO_2025[[#This Row],[RECUPERO]]/D1_MAYO_2025[[#This Row],[META]]</f>
        <v>0.52564999999999995</v>
      </c>
      <c r="E62" t="s">
        <v>8</v>
      </c>
      <c r="F62" t="s">
        <v>40</v>
      </c>
      <c r="G62">
        <v>10513</v>
      </c>
      <c r="H62" t="s">
        <v>424</v>
      </c>
      <c r="I62" s="56">
        <v>45429</v>
      </c>
      <c r="J62" t="s">
        <v>501</v>
      </c>
      <c r="L62" s="56"/>
      <c r="M62" s="1">
        <f>DATA_MAYO_2025[[#This Row],[RECUPERO]]/DATA_MAYO_2025[[#This Row],[META]]</f>
        <v>5.2499999999999998E-2</v>
      </c>
      <c r="N62" t="str" cm="1">
        <f t="array" ref="N62">IF(DATA_MAYO_2025[[#This Row],[ASER_]]="","",IFERROR(_xlfn.IFS(M62&gt;=100%,"&gt;100%",AND(M62&lt;100%,M62&gt;=70%),"&gt;70%",AND(M62&lt;70%,M62&gt;=40%),"&gt;40%",AND(M62&lt;40%,M62&gt;=0%),"&gt;0%"),""))</f>
        <v>&gt;0%</v>
      </c>
      <c r="O62" t="s">
        <v>125</v>
      </c>
      <c r="P62" s="6">
        <f>SUM(DATA_MAYO_2025[[#This Row],[1]:[31]])</f>
        <v>1050</v>
      </c>
      <c r="Q62">
        <v>20000</v>
      </c>
      <c r="R62" t="s">
        <v>38</v>
      </c>
      <c r="AO62">
        <v>700</v>
      </c>
      <c r="AV62">
        <v>350</v>
      </c>
      <c r="AX62" t="s">
        <v>153</v>
      </c>
    </row>
    <row r="63" spans="1:50" x14ac:dyDescent="0.25">
      <c r="A63" t="s">
        <v>8</v>
      </c>
      <c r="B63" t="s">
        <v>24</v>
      </c>
      <c r="C63">
        <f>VLOOKUP(D1_MAYO_2025[[#This Row],[SUPER]],DATA_MAYO_2025[[SUPERVISOR]:[META]],3,0)</f>
        <v>20000</v>
      </c>
      <c r="D63">
        <f>D1_MAYO_2025[[#This Row],[RECUPERO]]/D1_MAYO_2025[[#This Row],[META]]</f>
        <v>0.64496500000000001</v>
      </c>
      <c r="E63" t="s">
        <v>8</v>
      </c>
      <c r="F63" t="s">
        <v>24</v>
      </c>
      <c r="G63">
        <v>12899.3</v>
      </c>
      <c r="H63" t="s">
        <v>434</v>
      </c>
      <c r="I63" s="56">
        <v>45334</v>
      </c>
      <c r="J63" t="s">
        <v>501</v>
      </c>
      <c r="L63" s="56"/>
      <c r="M63" s="1">
        <f>DATA_MAYO_2025[[#This Row],[RECUPERO]]/DATA_MAYO_2025[[#This Row],[META]]</f>
        <v>0.37940000000000002</v>
      </c>
      <c r="N63" t="str" cm="1">
        <f t="array" ref="N63">IF(DATA_MAYO_2025[[#This Row],[ASER_]]="","",IFERROR(_xlfn.IFS(M63&gt;=100%,"&gt;100%",AND(M63&lt;100%,M63&gt;=70%),"&gt;70%",AND(M63&lt;70%,M63&gt;=40%),"&gt;40%",AND(M63&lt;40%,M63&gt;=0%),"&gt;0%"),""))</f>
        <v>&gt;0%</v>
      </c>
      <c r="O63" t="s">
        <v>4</v>
      </c>
      <c r="P63" s="6">
        <f>SUM(DATA_MAYO_2025[[#This Row],[1]:[31]])</f>
        <v>24661</v>
      </c>
      <c r="Q63">
        <v>65000</v>
      </c>
      <c r="R63" t="s">
        <v>75</v>
      </c>
      <c r="S63">
        <v>420</v>
      </c>
      <c r="T63">
        <v>500</v>
      </c>
      <c r="W63">
        <v>400</v>
      </c>
      <c r="AA63">
        <v>200</v>
      </c>
      <c r="AD63">
        <v>3064</v>
      </c>
      <c r="AF63">
        <v>4000</v>
      </c>
      <c r="AG63">
        <v>1700</v>
      </c>
      <c r="AH63">
        <v>300</v>
      </c>
      <c r="AK63">
        <v>992</v>
      </c>
      <c r="AM63">
        <v>800</v>
      </c>
      <c r="AN63">
        <v>1400</v>
      </c>
      <c r="AR63">
        <v>2000</v>
      </c>
      <c r="AT63">
        <v>2000</v>
      </c>
      <c r="AU63">
        <v>1585</v>
      </c>
      <c r="AV63">
        <v>4900</v>
      </c>
      <c r="AW63">
        <v>400</v>
      </c>
      <c r="AX63" t="s">
        <v>150</v>
      </c>
    </row>
    <row r="64" spans="1:50" x14ac:dyDescent="0.25">
      <c r="A64" t="s">
        <v>8</v>
      </c>
      <c r="B64" t="s">
        <v>42</v>
      </c>
      <c r="C64">
        <f>VLOOKUP(D1_MAYO_2025[[#This Row],[SUPER]],DATA_MAYO_2025[[SUPERVISOR]:[META]],3,0)</f>
        <v>20000</v>
      </c>
      <c r="D64">
        <f>D1_MAYO_2025[[#This Row],[RECUPERO]]/D1_MAYO_2025[[#This Row],[META]]</f>
        <v>0.38747500000000001</v>
      </c>
      <c r="E64" t="s">
        <v>8</v>
      </c>
      <c r="F64" t="s">
        <v>42</v>
      </c>
      <c r="G64">
        <v>7749.5</v>
      </c>
      <c r="H64" t="s">
        <v>415</v>
      </c>
      <c r="I64" s="56">
        <v>45399</v>
      </c>
      <c r="J64" t="s">
        <v>501</v>
      </c>
      <c r="L64" s="56"/>
      <c r="M64" s="1">
        <f>DATA_MAYO_2025[[#This Row],[RECUPERO]]/DATA_MAYO_2025[[#This Row],[META]]</f>
        <v>0.35930769230769233</v>
      </c>
      <c r="N64" t="str" cm="1">
        <f t="array" ref="N64">IF(DATA_MAYO_2025[[#This Row],[ASER_]]="","",IFERROR(_xlfn.IFS(M64&gt;=100%,"&gt;100%",AND(M64&lt;100%,M64&gt;=70%),"&gt;70%",AND(M64&lt;70%,M64&gt;=40%),"&gt;40%",AND(M64&lt;40%,M64&gt;=0%),"&gt;0%"),""))</f>
        <v>&gt;0%</v>
      </c>
      <c r="O64" t="s">
        <v>6</v>
      </c>
      <c r="P64" s="6">
        <f>SUM(DATA_MAYO_2025[[#This Row],[1]:[31]])</f>
        <v>9342</v>
      </c>
      <c r="Q64">
        <v>26000</v>
      </c>
      <c r="R64" t="s">
        <v>36</v>
      </c>
      <c r="W64">
        <v>300</v>
      </c>
      <c r="AD64">
        <v>250</v>
      </c>
      <c r="AF64">
        <v>2200</v>
      </c>
      <c r="AH64">
        <v>600</v>
      </c>
      <c r="AL64">
        <v>117</v>
      </c>
      <c r="AM64">
        <v>325</v>
      </c>
      <c r="AO64">
        <v>480</v>
      </c>
      <c r="AU64">
        <v>5070</v>
      </c>
      <c r="AX64" t="s">
        <v>152</v>
      </c>
    </row>
    <row r="65" spans="1:50" x14ac:dyDescent="0.25">
      <c r="A65" t="s">
        <v>8</v>
      </c>
      <c r="B65" t="s">
        <v>83</v>
      </c>
      <c r="C65">
        <f>VLOOKUP(D1_MAYO_2025[[#This Row],[SUPER]],DATA_MAYO_2025[[SUPERVISOR]:[META]],3,0)</f>
        <v>20000</v>
      </c>
      <c r="D65">
        <f>D1_MAYO_2025[[#This Row],[RECUPERO]]/D1_MAYO_2025[[#This Row],[META]]</f>
        <v>0.90502499999999997</v>
      </c>
      <c r="E65" t="s">
        <v>8</v>
      </c>
      <c r="F65" t="s">
        <v>83</v>
      </c>
      <c r="G65">
        <v>18100.5</v>
      </c>
      <c r="H65" t="s">
        <v>435</v>
      </c>
      <c r="I65" s="56">
        <v>44937</v>
      </c>
      <c r="J65" t="s">
        <v>501</v>
      </c>
      <c r="L65" s="56"/>
      <c r="M65" s="1">
        <f>DATA_MAYO_2025[[#This Row],[RECUPERO]]/DATA_MAYO_2025[[#This Row],[META]]</f>
        <v>0.38682384615384613</v>
      </c>
      <c r="N65" t="str" cm="1">
        <f t="array" ref="N65">IF(DATA_MAYO_2025[[#This Row],[ASER_]]="","",IFERROR(_xlfn.IFS(M65&gt;=100%,"&gt;100%",AND(M65&lt;100%,M65&gt;=70%),"&gt;70%",AND(M65&lt;70%,M65&gt;=40%),"&gt;40%",AND(M65&lt;40%,M65&gt;=0%),"&gt;0%"),""))</f>
        <v>&gt;0%</v>
      </c>
      <c r="O65" t="s">
        <v>4</v>
      </c>
      <c r="P65" s="6">
        <f>SUM(DATA_MAYO_2025[[#This Row],[1]:[31]])</f>
        <v>25143.55</v>
      </c>
      <c r="Q65">
        <v>65000</v>
      </c>
      <c r="R65" t="s">
        <v>62</v>
      </c>
      <c r="AD65">
        <v>5200</v>
      </c>
      <c r="AG65">
        <v>2555</v>
      </c>
      <c r="AH65">
        <v>806</v>
      </c>
      <c r="AI65">
        <v>600</v>
      </c>
      <c r="AM65">
        <v>3000</v>
      </c>
      <c r="AN65">
        <v>2684.55</v>
      </c>
      <c r="AR65">
        <v>1500</v>
      </c>
      <c r="AS65">
        <v>1226</v>
      </c>
      <c r="AT65">
        <v>2200</v>
      </c>
      <c r="AU65">
        <v>953</v>
      </c>
      <c r="AV65">
        <v>3173</v>
      </c>
      <c r="AW65">
        <v>1246</v>
      </c>
      <c r="AX65" t="s">
        <v>150</v>
      </c>
    </row>
    <row r="66" spans="1:50" x14ac:dyDescent="0.25">
      <c r="A66" t="s">
        <v>8</v>
      </c>
      <c r="B66" t="s">
        <v>131</v>
      </c>
      <c r="C66">
        <f>VLOOKUP(D1_MAYO_2025[[#This Row],[SUPER]],DATA_MAYO_2025[[SUPERVISOR]:[META]],3,0)</f>
        <v>20000</v>
      </c>
      <c r="D66">
        <f>D1_MAYO_2025[[#This Row],[RECUPERO]]/D1_MAYO_2025[[#This Row],[META]]</f>
        <v>0.53285000000000005</v>
      </c>
      <c r="E66" t="s">
        <v>8</v>
      </c>
      <c r="F66" t="s">
        <v>131</v>
      </c>
      <c r="G66">
        <v>10657</v>
      </c>
      <c r="H66" t="s">
        <v>470</v>
      </c>
      <c r="I66" s="56">
        <v>45785</v>
      </c>
      <c r="J66" t="s">
        <v>501</v>
      </c>
      <c r="L66" s="56"/>
      <c r="M66" s="1">
        <f>DATA_MAYO_2025[[#This Row],[RECUPERO]]/DATA_MAYO_2025[[#This Row],[META]]</f>
        <v>0.76733846153846152</v>
      </c>
      <c r="N66" t="str" cm="1">
        <f t="array" ref="N66">IF(DATA_MAYO_2025[[#This Row],[ASER_]]="","",IFERROR(_xlfn.IFS(M66&gt;=100%,"&gt;100%",AND(M66&lt;100%,M66&gt;=70%),"&gt;70%",AND(M66&lt;70%,M66&gt;=40%),"&gt;40%",AND(M66&lt;40%,M66&gt;=0%),"&gt;0%"),""))</f>
        <v>&gt;70%</v>
      </c>
      <c r="O66" t="s">
        <v>5</v>
      </c>
      <c r="P66" s="6">
        <f>SUM(DATA_MAYO_2025[[#This Row],[1]:[31]])</f>
        <v>49877</v>
      </c>
      <c r="Q66">
        <v>65000</v>
      </c>
      <c r="R66" t="s">
        <v>70</v>
      </c>
      <c r="T66">
        <v>600</v>
      </c>
      <c r="U66">
        <v>1000</v>
      </c>
      <c r="X66">
        <v>600</v>
      </c>
      <c r="Y66">
        <v>4000</v>
      </c>
      <c r="AG66">
        <v>1500</v>
      </c>
      <c r="AH66">
        <v>6000</v>
      </c>
      <c r="AK66">
        <v>1240</v>
      </c>
      <c r="AL66">
        <v>200</v>
      </c>
      <c r="AM66">
        <v>10370</v>
      </c>
      <c r="AO66">
        <v>10000</v>
      </c>
      <c r="AP66">
        <v>280</v>
      </c>
      <c r="AQ66">
        <v>700</v>
      </c>
      <c r="AR66">
        <v>10000</v>
      </c>
      <c r="AU66">
        <v>3000</v>
      </c>
      <c r="AW66">
        <v>387</v>
      </c>
      <c r="AX66" t="s">
        <v>150</v>
      </c>
    </row>
    <row r="67" spans="1:50" x14ac:dyDescent="0.25">
      <c r="A67" t="s">
        <v>8</v>
      </c>
      <c r="B67" t="s">
        <v>43</v>
      </c>
      <c r="C67">
        <f>VLOOKUP(D1_MAYO_2025[[#This Row],[SUPER]],DATA_MAYO_2025[[SUPERVISOR]:[META]],3,0)</f>
        <v>20000</v>
      </c>
      <c r="D67">
        <f>D1_MAYO_2025[[#This Row],[RECUPERO]]/D1_MAYO_2025[[#This Row],[META]]</f>
        <v>0.7</v>
      </c>
      <c r="E67" t="s">
        <v>8</v>
      </c>
      <c r="F67" t="s">
        <v>43</v>
      </c>
      <c r="G67">
        <v>14000</v>
      </c>
      <c r="H67" t="s">
        <v>471</v>
      </c>
      <c r="I67" s="56">
        <v>45793</v>
      </c>
      <c r="J67" t="s">
        <v>501</v>
      </c>
      <c r="L67" s="56"/>
      <c r="M67" s="1">
        <f>DATA_MAYO_2025[[#This Row],[RECUPERO]]/DATA_MAYO_2025[[#This Row],[META]]</f>
        <v>0.25306153846153845</v>
      </c>
      <c r="N67" t="str" cm="1">
        <f t="array" ref="N67">IF(DATA_MAYO_2025[[#This Row],[ASER_]]="","",IFERROR(_xlfn.IFS(M67&gt;=100%,"&gt;100%",AND(M67&lt;100%,M67&gt;=70%),"&gt;70%",AND(M67&lt;70%,M67&gt;=40%),"&gt;40%",AND(M67&lt;40%,M67&gt;=0%),"&gt;0%"),""))</f>
        <v>&gt;0%</v>
      </c>
      <c r="O67" t="s">
        <v>4</v>
      </c>
      <c r="P67" s="6">
        <f>SUM(DATA_MAYO_2025[[#This Row],[1]:[31]])</f>
        <v>16449</v>
      </c>
      <c r="Q67">
        <v>65000</v>
      </c>
      <c r="R67" t="s">
        <v>64</v>
      </c>
      <c r="Z67">
        <v>500</v>
      </c>
      <c r="AD67">
        <v>323</v>
      </c>
      <c r="AH67">
        <v>650</v>
      </c>
      <c r="AK67">
        <v>7000</v>
      </c>
      <c r="AR67">
        <v>6000</v>
      </c>
      <c r="AU67">
        <v>1056</v>
      </c>
      <c r="AV67">
        <v>920</v>
      </c>
      <c r="AX67" t="s">
        <v>150</v>
      </c>
    </row>
    <row r="68" spans="1:50" x14ac:dyDescent="0.25">
      <c r="A68" t="s">
        <v>8</v>
      </c>
      <c r="B68" t="s">
        <v>48</v>
      </c>
      <c r="C68">
        <f>VLOOKUP(D1_MAYO_2025[[#This Row],[SUPER]],DATA_MAYO_2025[[SUPERVISOR]:[META]],3,0)</f>
        <v>20000</v>
      </c>
      <c r="D68">
        <f>D1_MAYO_2025[[#This Row],[RECUPERO]]/D1_MAYO_2025[[#This Row],[META]]</f>
        <v>0</v>
      </c>
      <c r="E68" t="s">
        <v>8</v>
      </c>
      <c r="F68" t="s">
        <v>48</v>
      </c>
      <c r="G68">
        <v>0</v>
      </c>
      <c r="H68" t="s">
        <v>421</v>
      </c>
      <c r="I68" s="56">
        <v>44748</v>
      </c>
      <c r="J68" t="s">
        <v>501</v>
      </c>
      <c r="L68" s="56"/>
      <c r="M68" s="1">
        <f>DATA_MAYO_2025[[#This Row],[RECUPERO]]/DATA_MAYO_2025[[#This Row],[META]]</f>
        <v>0.43846153846153846</v>
      </c>
      <c r="N68" t="str" cm="1">
        <f t="array" ref="N68">IF(DATA_MAYO_2025[[#This Row],[ASER_]]="","",IFERROR(_xlfn.IFS(M68&gt;=100%,"&gt;100%",AND(M68&lt;100%,M68&gt;=70%),"&gt;70%",AND(M68&lt;70%,M68&gt;=40%),"&gt;40%",AND(M68&lt;40%,M68&gt;=0%),"&gt;0%"),""))</f>
        <v>&gt;40%</v>
      </c>
      <c r="O68" t="s">
        <v>3</v>
      </c>
      <c r="P68" s="6">
        <f>SUM(DATA_MAYO_2025[[#This Row],[1]:[31]])</f>
        <v>28500</v>
      </c>
      <c r="Q68">
        <v>65000</v>
      </c>
      <c r="R68" t="s">
        <v>107</v>
      </c>
      <c r="T68">
        <v>800</v>
      </c>
      <c r="W68">
        <v>9000</v>
      </c>
      <c r="AD68">
        <v>7200</v>
      </c>
      <c r="AK68">
        <v>1000</v>
      </c>
      <c r="AN68">
        <v>700</v>
      </c>
      <c r="AV68">
        <v>9000</v>
      </c>
      <c r="AW68">
        <v>800</v>
      </c>
      <c r="AX68" t="s">
        <v>150</v>
      </c>
    </row>
    <row r="69" spans="1:50" x14ac:dyDescent="0.25">
      <c r="A69" t="s">
        <v>9</v>
      </c>
      <c r="B69" t="s">
        <v>15</v>
      </c>
      <c r="C69">
        <f>VLOOKUP(D1_MAYO_2025[[#This Row],[SUPER]],DATA_MAYO_2025[[SUPERVISOR]:[META]],3,0)</f>
        <v>20000</v>
      </c>
      <c r="D69">
        <f>D1_MAYO_2025[[#This Row],[RECUPERO]]/D1_MAYO_2025[[#This Row],[META]]</f>
        <v>0.48</v>
      </c>
      <c r="E69" t="s">
        <v>9</v>
      </c>
      <c r="F69" t="s">
        <v>15</v>
      </c>
      <c r="G69">
        <v>9600</v>
      </c>
      <c r="H69" t="s">
        <v>410</v>
      </c>
      <c r="I69" s="56">
        <v>44735</v>
      </c>
      <c r="J69" t="s">
        <v>501</v>
      </c>
      <c r="L69" s="56"/>
      <c r="M69" s="1">
        <f>DATA_MAYO_2025[[#This Row],[RECUPERO]]/DATA_MAYO_2025[[#This Row],[META]]</f>
        <v>0.69013999999999998</v>
      </c>
      <c r="N69" t="str" cm="1">
        <f t="array" ref="N69">IF(DATA_MAYO_2025[[#This Row],[ASER_]]="","",IFERROR(_xlfn.IFS(M69&gt;=100%,"&gt;100%",AND(M69&lt;100%,M69&gt;=70%),"&gt;70%",AND(M69&lt;70%,M69&gt;=40%),"&gt;40%",AND(M69&lt;40%,M69&gt;=0%),"&gt;0%"),""))</f>
        <v>&gt;40%</v>
      </c>
      <c r="O69" t="s">
        <v>2</v>
      </c>
      <c r="P69" s="6">
        <f>SUM(DATA_MAYO_2025[[#This Row],[1]:[31]])</f>
        <v>44859.1</v>
      </c>
      <c r="Q69">
        <v>65000</v>
      </c>
      <c r="R69" t="s">
        <v>11</v>
      </c>
      <c r="S69">
        <v>800</v>
      </c>
      <c r="T69">
        <v>100</v>
      </c>
      <c r="W69">
        <v>6318</v>
      </c>
      <c r="X69">
        <v>688</v>
      </c>
      <c r="Y69">
        <v>523</v>
      </c>
      <c r="Z69">
        <v>261</v>
      </c>
      <c r="AA69">
        <v>5587</v>
      </c>
      <c r="AE69">
        <v>700</v>
      </c>
      <c r="AG69">
        <v>7000.1</v>
      </c>
      <c r="AH69">
        <v>700</v>
      </c>
      <c r="AK69">
        <v>4150</v>
      </c>
      <c r="AL69">
        <v>7300</v>
      </c>
      <c r="AM69">
        <v>1201</v>
      </c>
      <c r="AO69">
        <v>997</v>
      </c>
      <c r="AT69">
        <v>400</v>
      </c>
      <c r="AV69">
        <v>1624</v>
      </c>
      <c r="AW69">
        <v>6510</v>
      </c>
      <c r="AX69" t="s">
        <v>150</v>
      </c>
    </row>
    <row r="70" spans="1:50" x14ac:dyDescent="0.25">
      <c r="A70" t="s">
        <v>9</v>
      </c>
      <c r="B70" t="s">
        <v>104</v>
      </c>
      <c r="C70">
        <f>VLOOKUP(D1_MAYO_2025[[#This Row],[SUPER]],DATA_MAYO_2025[[SUPERVISOR]:[META]],3,0)</f>
        <v>20000</v>
      </c>
      <c r="D70">
        <f>D1_MAYO_2025[[#This Row],[RECUPERO]]/D1_MAYO_2025[[#This Row],[META]]</f>
        <v>0.25785000000000002</v>
      </c>
      <c r="E70" t="s">
        <v>9</v>
      </c>
      <c r="F70" t="s">
        <v>104</v>
      </c>
      <c r="G70">
        <v>5157</v>
      </c>
      <c r="H70" t="s">
        <v>456</v>
      </c>
      <c r="I70" s="56">
        <v>44104</v>
      </c>
      <c r="J70" t="s">
        <v>501</v>
      </c>
      <c r="L70" s="56"/>
      <c r="M70" s="1">
        <f>DATA_MAYO_2025[[#This Row],[RECUPERO]]/DATA_MAYO_2025[[#This Row],[META]]</f>
        <v>0.13</v>
      </c>
      <c r="N70" t="str" cm="1">
        <f t="array" ref="N70">IF(DATA_MAYO_2025[[#This Row],[ASER_]]="","",IFERROR(_xlfn.IFS(M70&gt;=100%,"&gt;100%",AND(M70&lt;100%,M70&gt;=70%),"&gt;70%",AND(M70&lt;70%,M70&gt;=40%),"&gt;40%",AND(M70&lt;40%,M70&gt;=0%),"&gt;0%"),""))</f>
        <v>&gt;0%</v>
      </c>
      <c r="O70" t="s">
        <v>9</v>
      </c>
      <c r="P70" s="6">
        <f>SUM(DATA_MAYO_2025[[#This Row],[1]:[31]])</f>
        <v>2600</v>
      </c>
      <c r="Q70">
        <v>20000</v>
      </c>
      <c r="R70" t="s">
        <v>132</v>
      </c>
      <c r="AL70">
        <v>300</v>
      </c>
      <c r="AN70">
        <v>2000</v>
      </c>
      <c r="AW70">
        <v>300</v>
      </c>
      <c r="AX70" t="s">
        <v>153</v>
      </c>
    </row>
    <row r="71" spans="1:50" x14ac:dyDescent="0.25">
      <c r="A71" t="s">
        <v>9</v>
      </c>
      <c r="B71" t="s">
        <v>51</v>
      </c>
      <c r="C71">
        <f>VLOOKUP(D1_MAYO_2025[[#This Row],[SUPER]],DATA_MAYO_2025[[SUPERVISOR]:[META]],3,0)</f>
        <v>20000</v>
      </c>
      <c r="D71">
        <f>D1_MAYO_2025[[#This Row],[RECUPERO]]/D1_MAYO_2025[[#This Row],[META]]</f>
        <v>0.35515000000000002</v>
      </c>
      <c r="E71" t="s">
        <v>9</v>
      </c>
      <c r="F71" t="s">
        <v>51</v>
      </c>
      <c r="G71">
        <v>7103</v>
      </c>
      <c r="H71" t="s">
        <v>413</v>
      </c>
      <c r="I71" s="56">
        <v>45674</v>
      </c>
      <c r="J71" t="s">
        <v>501</v>
      </c>
      <c r="L71" s="56"/>
      <c r="M71" s="1">
        <f>DATA_MAYO_2025[[#This Row],[RECUPERO]]/DATA_MAYO_2025[[#This Row],[META]]</f>
        <v>0.36037449999999999</v>
      </c>
      <c r="N71" t="str" cm="1">
        <f t="array" ref="N71">IF(DATA_MAYO_2025[[#This Row],[ASER_]]="","",IFERROR(_xlfn.IFS(M71&gt;=100%,"&gt;100%",AND(M71&lt;100%,M71&gt;=70%),"&gt;70%",AND(M71&lt;70%,M71&gt;=40%),"&gt;40%",AND(M71&lt;40%,M71&gt;=0%),"&gt;0%"),""))</f>
        <v>&gt;0%</v>
      </c>
      <c r="O71" t="s">
        <v>125</v>
      </c>
      <c r="P71" s="6">
        <f>SUM(DATA_MAYO_2025[[#This Row],[1]:[31]])</f>
        <v>7207.49</v>
      </c>
      <c r="Q71">
        <v>20000</v>
      </c>
      <c r="R71" t="s">
        <v>74</v>
      </c>
      <c r="T71">
        <v>150</v>
      </c>
      <c r="X71">
        <v>100</v>
      </c>
      <c r="Y71">
        <v>200</v>
      </c>
      <c r="Z71">
        <v>333.44</v>
      </c>
      <c r="AA71">
        <v>451</v>
      </c>
      <c r="AE71">
        <v>153</v>
      </c>
      <c r="AF71">
        <v>744.05</v>
      </c>
      <c r="AG71">
        <v>449</v>
      </c>
      <c r="AK71">
        <v>150</v>
      </c>
      <c r="AL71">
        <v>550</v>
      </c>
      <c r="AN71">
        <v>255</v>
      </c>
      <c r="AP71">
        <v>198</v>
      </c>
      <c r="AR71">
        <v>400</v>
      </c>
      <c r="AS71">
        <v>260</v>
      </c>
      <c r="AT71">
        <v>1200</v>
      </c>
      <c r="AU71">
        <v>542</v>
      </c>
      <c r="AV71">
        <v>816</v>
      </c>
      <c r="AW71">
        <v>256</v>
      </c>
      <c r="AX71" t="s">
        <v>153</v>
      </c>
    </row>
    <row r="72" spans="1:50" x14ac:dyDescent="0.25">
      <c r="A72" t="s">
        <v>9</v>
      </c>
      <c r="B72" t="s">
        <v>32</v>
      </c>
      <c r="C72">
        <f>VLOOKUP(D1_MAYO_2025[[#This Row],[SUPER]],DATA_MAYO_2025[[SUPERVISOR]:[META]],3,0)</f>
        <v>20000</v>
      </c>
      <c r="D72">
        <f>D1_MAYO_2025[[#This Row],[RECUPERO]]/D1_MAYO_2025[[#This Row],[META]]</f>
        <v>0.38940000000000002</v>
      </c>
      <c r="E72" t="s">
        <v>9</v>
      </c>
      <c r="F72" t="s">
        <v>32</v>
      </c>
      <c r="G72">
        <v>7788</v>
      </c>
      <c r="H72" t="s">
        <v>390</v>
      </c>
      <c r="I72" s="56">
        <v>45530</v>
      </c>
      <c r="J72" t="s">
        <v>501</v>
      </c>
      <c r="L72" s="56"/>
      <c r="M72" s="1">
        <f>DATA_MAYO_2025[[#This Row],[RECUPERO]]/DATA_MAYO_2025[[#This Row],[META]]</f>
        <v>0.11615384615384615</v>
      </c>
      <c r="N72" t="str" cm="1">
        <f t="array" ref="N72">IF(DATA_MAYO_2025[[#This Row],[ASER_]]="","",IFERROR(_xlfn.IFS(M72&gt;=100%,"&gt;100%",AND(M72&lt;100%,M72&gt;=70%),"&gt;70%",AND(M72&lt;70%,M72&gt;=40%),"&gt;40%",AND(M72&lt;40%,M72&gt;=0%),"&gt;0%"),""))</f>
        <v>&gt;0%</v>
      </c>
      <c r="O72" t="s">
        <v>5</v>
      </c>
      <c r="P72" s="6">
        <f>SUM(DATA_MAYO_2025[[#This Row],[1]:[31]])</f>
        <v>7550</v>
      </c>
      <c r="Q72">
        <v>65000</v>
      </c>
      <c r="R72" t="s">
        <v>79</v>
      </c>
      <c r="AL72">
        <v>460</v>
      </c>
      <c r="AM72">
        <v>3500</v>
      </c>
      <c r="AN72">
        <v>200</v>
      </c>
      <c r="AP72">
        <v>700</v>
      </c>
      <c r="AR72">
        <v>800</v>
      </c>
      <c r="AV72">
        <v>790</v>
      </c>
      <c r="AW72">
        <v>1100</v>
      </c>
      <c r="AX72" t="s">
        <v>150</v>
      </c>
    </row>
    <row r="73" spans="1:50" x14ac:dyDescent="0.25">
      <c r="A73" t="s">
        <v>9</v>
      </c>
      <c r="B73" t="s">
        <v>71</v>
      </c>
      <c r="C73">
        <f>VLOOKUP(D1_MAYO_2025[[#This Row],[SUPER]],DATA_MAYO_2025[[SUPERVISOR]:[META]],3,0)</f>
        <v>20000</v>
      </c>
      <c r="D73">
        <f>D1_MAYO_2025[[#This Row],[RECUPERO]]/D1_MAYO_2025[[#This Row],[META]]</f>
        <v>0.72409999999999997</v>
      </c>
      <c r="E73" t="s">
        <v>9</v>
      </c>
      <c r="F73" t="s">
        <v>71</v>
      </c>
      <c r="G73">
        <v>14482</v>
      </c>
      <c r="H73" t="s">
        <v>414</v>
      </c>
      <c r="I73" s="56">
        <v>45423</v>
      </c>
      <c r="J73" t="s">
        <v>501</v>
      </c>
      <c r="L73" s="56"/>
      <c r="M73" s="1">
        <f>DATA_MAYO_2025[[#This Row],[RECUPERO]]/DATA_MAYO_2025[[#This Row],[META]]</f>
        <v>0.81130738461538465</v>
      </c>
      <c r="N73" t="str" cm="1">
        <f t="array" ref="N73">IF(DATA_MAYO_2025[[#This Row],[ASER_]]="","",IFERROR(_xlfn.IFS(M73&gt;=100%,"&gt;100%",AND(M73&lt;100%,M73&gt;=70%),"&gt;70%",AND(M73&lt;70%,M73&gt;=40%),"&gt;40%",AND(M73&lt;40%,M73&gt;=0%),"&gt;0%"),""))</f>
        <v>&gt;70%</v>
      </c>
      <c r="O73" t="s">
        <v>4</v>
      </c>
      <c r="P73" s="6">
        <f>SUM(DATA_MAYO_2025[[#This Row],[1]:[31]])</f>
        <v>52734.98</v>
      </c>
      <c r="Q73">
        <v>65000</v>
      </c>
      <c r="R73" t="s">
        <v>59</v>
      </c>
      <c r="T73">
        <v>6500</v>
      </c>
      <c r="X73">
        <v>265</v>
      </c>
      <c r="Y73">
        <v>200</v>
      </c>
      <c r="AA73">
        <v>1155</v>
      </c>
      <c r="AE73">
        <v>100</v>
      </c>
      <c r="AF73">
        <v>979.58</v>
      </c>
      <c r="AG73">
        <v>1613</v>
      </c>
      <c r="AH73">
        <v>12400.5</v>
      </c>
      <c r="AJ73">
        <v>3500</v>
      </c>
      <c r="AK73">
        <v>1000</v>
      </c>
      <c r="AN73">
        <v>700</v>
      </c>
      <c r="AO73">
        <v>750</v>
      </c>
      <c r="AR73">
        <v>5088.8999999999996</v>
      </c>
      <c r="AS73">
        <v>4400</v>
      </c>
      <c r="AT73">
        <v>700</v>
      </c>
      <c r="AU73">
        <v>7950</v>
      </c>
      <c r="AV73">
        <v>5227</v>
      </c>
      <c r="AW73">
        <v>206</v>
      </c>
      <c r="AX73" t="s">
        <v>150</v>
      </c>
    </row>
    <row r="74" spans="1:50" x14ac:dyDescent="0.25">
      <c r="A74" t="s">
        <v>9</v>
      </c>
      <c r="B74" t="s">
        <v>49</v>
      </c>
      <c r="C74">
        <f>VLOOKUP(D1_MAYO_2025[[#This Row],[SUPER]],DATA_MAYO_2025[[SUPERVISOR]:[META]],3,0)</f>
        <v>20000</v>
      </c>
      <c r="D74">
        <f>D1_MAYO_2025[[#This Row],[RECUPERO]]/D1_MAYO_2025[[#This Row],[META]]</f>
        <v>0.18375</v>
      </c>
      <c r="E74" t="s">
        <v>9</v>
      </c>
      <c r="F74" t="s">
        <v>49</v>
      </c>
      <c r="G74">
        <v>3675</v>
      </c>
      <c r="H74" t="s">
        <v>436</v>
      </c>
      <c r="I74" s="56">
        <v>42814</v>
      </c>
      <c r="J74" t="s">
        <v>501</v>
      </c>
      <c r="L74" s="56"/>
      <c r="M74" s="1">
        <f>DATA_MAYO_2025[[#This Row],[RECUPERO]]/DATA_MAYO_2025[[#This Row],[META]]</f>
        <v>0.01</v>
      </c>
      <c r="N74" t="str" cm="1">
        <f t="array" ref="N74">IF(DATA_MAYO_2025[[#This Row],[ASER_]]="","",IFERROR(_xlfn.IFS(M74&gt;=100%,"&gt;100%",AND(M74&lt;100%,M74&gt;=70%),"&gt;70%",AND(M74&lt;70%,M74&gt;=40%),"&gt;40%",AND(M74&lt;40%,M74&gt;=0%),"&gt;0%"),""))</f>
        <v>&gt;0%</v>
      </c>
      <c r="O74" t="s">
        <v>9</v>
      </c>
      <c r="P74" s="6">
        <f>SUM(DATA_MAYO_2025[[#This Row],[1]:[31]])</f>
        <v>200</v>
      </c>
      <c r="Q74">
        <v>20000</v>
      </c>
      <c r="R74" t="s">
        <v>84</v>
      </c>
      <c r="AR74">
        <v>200</v>
      </c>
      <c r="AX74" t="s">
        <v>153</v>
      </c>
    </row>
    <row r="75" spans="1:50" x14ac:dyDescent="0.25">
      <c r="A75" t="s">
        <v>9</v>
      </c>
      <c r="B75" t="s">
        <v>132</v>
      </c>
      <c r="C75">
        <f>VLOOKUP(D1_MAYO_2025[[#This Row],[SUPER]],DATA_MAYO_2025[[SUPERVISOR]:[META]],3,0)</f>
        <v>20000</v>
      </c>
      <c r="D75">
        <f>D1_MAYO_2025[[#This Row],[RECUPERO]]/D1_MAYO_2025[[#This Row],[META]]</f>
        <v>0.13</v>
      </c>
      <c r="E75" t="s">
        <v>9</v>
      </c>
      <c r="F75" t="s">
        <v>132</v>
      </c>
      <c r="G75">
        <v>2600</v>
      </c>
      <c r="H75" t="s">
        <v>472</v>
      </c>
      <c r="I75" s="56">
        <v>45800</v>
      </c>
      <c r="J75" t="s">
        <v>501</v>
      </c>
      <c r="L75" s="56"/>
      <c r="M75" s="1">
        <f>DATA_MAYO_2025[[#This Row],[RECUPERO]]/DATA_MAYO_2025[[#This Row],[META]]</f>
        <v>7.6923076923076927E-3</v>
      </c>
      <c r="N75" t="str" cm="1">
        <f t="array" ref="N75">IF(DATA_MAYO_2025[[#This Row],[ASER_]]="","",IFERROR(_xlfn.IFS(M75&gt;=100%,"&gt;100%",AND(M75&lt;100%,M75&gt;=70%),"&gt;70%",AND(M75&lt;70%,M75&gt;=40%),"&gt;40%",AND(M75&lt;40%,M75&gt;=0%),"&gt;0%"),""))</f>
        <v>&gt;0%</v>
      </c>
      <c r="O75" t="s">
        <v>3</v>
      </c>
      <c r="P75" s="6">
        <f>SUM(DATA_MAYO_2025[[#This Row],[1]:[31]])</f>
        <v>500</v>
      </c>
      <c r="Q75">
        <v>65000</v>
      </c>
      <c r="R75" t="s">
        <v>103</v>
      </c>
      <c r="S75">
        <v>500</v>
      </c>
      <c r="AX75" t="s">
        <v>150</v>
      </c>
    </row>
    <row r="76" spans="1:50" x14ac:dyDescent="0.25">
      <c r="A76" t="s">
        <v>9</v>
      </c>
      <c r="B76" t="s">
        <v>84</v>
      </c>
      <c r="C76">
        <f>VLOOKUP(D1_MAYO_2025[[#This Row],[SUPER]],DATA_MAYO_2025[[SUPERVISOR]:[META]],3,0)</f>
        <v>20000</v>
      </c>
      <c r="D76">
        <f>D1_MAYO_2025[[#This Row],[RECUPERO]]/D1_MAYO_2025[[#This Row],[META]]</f>
        <v>0.01</v>
      </c>
      <c r="E76" t="s">
        <v>9</v>
      </c>
      <c r="F76" t="s">
        <v>84</v>
      </c>
      <c r="G76">
        <v>200</v>
      </c>
      <c r="H76" t="s">
        <v>473</v>
      </c>
      <c r="I76" s="56">
        <v>45800</v>
      </c>
      <c r="J76" t="s">
        <v>501</v>
      </c>
      <c r="L76" s="56"/>
      <c r="M76" s="1">
        <f>DATA_MAYO_2025[[#This Row],[RECUPERO]]/DATA_MAYO_2025[[#This Row],[META]]</f>
        <v>0.57524649999999999</v>
      </c>
      <c r="N76" t="str" cm="1">
        <f t="array" ref="N76">IF(DATA_MAYO_2025[[#This Row],[ASER_]]="","",IFERROR(_xlfn.IFS(M76&gt;=100%,"&gt;100%",AND(M76&lt;100%,M76&gt;=70%),"&gt;70%",AND(M76&lt;70%,M76&gt;=40%),"&gt;40%",AND(M76&lt;40%,M76&gt;=0%),"&gt;0%"),""))</f>
        <v>&gt;40%</v>
      </c>
      <c r="O76" t="s">
        <v>9</v>
      </c>
      <c r="P76" s="6">
        <f>SUM(DATA_MAYO_2025[[#This Row],[1]:[31]])</f>
        <v>11504.93</v>
      </c>
      <c r="Q76">
        <v>20000</v>
      </c>
      <c r="R76" t="s">
        <v>73</v>
      </c>
      <c r="T76">
        <v>700</v>
      </c>
      <c r="X76">
        <v>200</v>
      </c>
      <c r="Z76">
        <v>360</v>
      </c>
      <c r="AD76">
        <v>924.93</v>
      </c>
      <c r="AF76">
        <v>200</v>
      </c>
      <c r="AG76">
        <v>1000</v>
      </c>
      <c r="AH76">
        <v>500</v>
      </c>
      <c r="AK76">
        <v>5500</v>
      </c>
      <c r="AR76">
        <v>490</v>
      </c>
      <c r="AU76">
        <v>200</v>
      </c>
      <c r="AV76">
        <v>1230</v>
      </c>
      <c r="AW76">
        <v>200</v>
      </c>
      <c r="AX76" t="s">
        <v>153</v>
      </c>
    </row>
    <row r="77" spans="1:50" x14ac:dyDescent="0.25">
      <c r="A77" t="s">
        <v>9</v>
      </c>
      <c r="B77" t="s">
        <v>73</v>
      </c>
      <c r="C77">
        <f>VLOOKUP(D1_MAYO_2025[[#This Row],[SUPER]],DATA_MAYO_2025[[SUPERVISOR]:[META]],3,0)</f>
        <v>20000</v>
      </c>
      <c r="D77">
        <f>D1_MAYO_2025[[#This Row],[RECUPERO]]/D1_MAYO_2025[[#This Row],[META]]</f>
        <v>0.57524649999999999</v>
      </c>
      <c r="E77" t="s">
        <v>9</v>
      </c>
      <c r="F77" t="s">
        <v>73</v>
      </c>
      <c r="G77">
        <v>11504.93</v>
      </c>
      <c r="H77" t="s">
        <v>420</v>
      </c>
      <c r="I77" s="56">
        <v>45145</v>
      </c>
      <c r="J77" t="s">
        <v>501</v>
      </c>
      <c r="L77" s="56"/>
      <c r="M77" s="1">
        <f>DATA_MAYO_2025[[#This Row],[RECUPERO]]/DATA_MAYO_2025[[#This Row],[META]]</f>
        <v>0</v>
      </c>
      <c r="N77" t="str" cm="1">
        <f t="array" ref="N77">IF(DATA_MAYO_2025[[#This Row],[ASER_]]="","",IFERROR(_xlfn.IFS(M77&gt;=100%,"&gt;100%",AND(M77&lt;100%,M77&gt;=70%),"&gt;70%",AND(M77&lt;70%,M77&gt;=40%),"&gt;40%",AND(M77&lt;40%,M77&gt;=0%),"&gt;0%"),""))</f>
        <v>&gt;0%</v>
      </c>
      <c r="O77" t="s">
        <v>2</v>
      </c>
      <c r="P77" s="6">
        <f>SUM(DATA_MAYO_2025[[#This Row],[1]:[31]])</f>
        <v>0</v>
      </c>
      <c r="Q77">
        <v>65000</v>
      </c>
      <c r="R77" t="s">
        <v>86</v>
      </c>
      <c r="AX77" t="s">
        <v>150</v>
      </c>
    </row>
    <row r="78" spans="1:50" x14ac:dyDescent="0.25">
      <c r="A78" t="s">
        <v>9</v>
      </c>
      <c r="B78" t="s">
        <v>78</v>
      </c>
      <c r="C78">
        <f>VLOOKUP(D1_MAYO_2025[[#This Row],[SUPER]],DATA_MAYO_2025[[SUPERVISOR]:[META]],3,0)</f>
        <v>20000</v>
      </c>
      <c r="D78">
        <f>D1_MAYO_2025[[#This Row],[RECUPERO]]/D1_MAYO_2025[[#This Row],[META]]</f>
        <v>0.45224999999999999</v>
      </c>
      <c r="E78" t="s">
        <v>9</v>
      </c>
      <c r="F78" t="s">
        <v>78</v>
      </c>
      <c r="G78">
        <v>9045</v>
      </c>
      <c r="H78" t="s">
        <v>397</v>
      </c>
      <c r="I78" s="56">
        <v>44945</v>
      </c>
      <c r="J78" t="s">
        <v>501</v>
      </c>
      <c r="L78" s="56"/>
      <c r="M78" s="1">
        <f>DATA_MAYO_2025[[#This Row],[RECUPERO]]/DATA_MAYO_2025[[#This Row],[META]]</f>
        <v>1.8238461538461539</v>
      </c>
      <c r="N78" t="str" cm="1">
        <f t="array" ref="N78">IF(DATA_MAYO_2025[[#This Row],[ASER_]]="","",IFERROR(_xlfn.IFS(M78&gt;=100%,"&gt;100%",AND(M78&lt;100%,M78&gt;=70%),"&gt;70%",AND(M78&lt;70%,M78&gt;=40%),"&gt;40%",AND(M78&lt;40%,M78&gt;=0%),"&gt;0%"),""))</f>
        <v>&gt;100%</v>
      </c>
      <c r="O78" t="s">
        <v>6</v>
      </c>
      <c r="P78" s="6">
        <f>SUM(DATA_MAYO_2025[[#This Row],[1]:[31]])</f>
        <v>47420</v>
      </c>
      <c r="Q78">
        <v>26000</v>
      </c>
      <c r="R78" t="s">
        <v>34</v>
      </c>
      <c r="W78">
        <v>1000</v>
      </c>
      <c r="X78">
        <v>500</v>
      </c>
      <c r="Z78">
        <v>5500</v>
      </c>
      <c r="AE78">
        <v>4000</v>
      </c>
      <c r="AF78">
        <v>250</v>
      </c>
      <c r="AK78">
        <v>30100</v>
      </c>
      <c r="AL78">
        <v>370</v>
      </c>
      <c r="AO78">
        <v>4000</v>
      </c>
      <c r="AR78">
        <v>500</v>
      </c>
      <c r="AV78">
        <v>1200</v>
      </c>
      <c r="AX78" t="s">
        <v>152</v>
      </c>
    </row>
    <row r="79" spans="1:50" x14ac:dyDescent="0.25">
      <c r="M79" s="1">
        <f>DATA_MAYO_2025[[#This Row],[RECUPERO]]/DATA_MAYO_2025[[#This Row],[META]]</f>
        <v>0.45224999999999999</v>
      </c>
      <c r="N79" t="str" cm="1">
        <f t="array" ref="N79">IF(DATA_MAYO_2025[[#This Row],[ASER_]]="","",IFERROR(_xlfn.IFS(M79&gt;=100%,"&gt;100%",AND(M79&lt;100%,M79&gt;=70%),"&gt;70%",AND(M79&lt;70%,M79&gt;=40%),"&gt;40%",AND(M79&lt;40%,M79&gt;=0%),"&gt;0%"),""))</f>
        <v>&gt;40%</v>
      </c>
      <c r="O79" t="s">
        <v>9</v>
      </c>
      <c r="P79" s="6">
        <f>SUM(DATA_MAYO_2025[[#This Row],[1]:[31]])</f>
        <v>9045</v>
      </c>
      <c r="Q79">
        <v>20000</v>
      </c>
      <c r="R79" t="s">
        <v>78</v>
      </c>
      <c r="T79">
        <v>270</v>
      </c>
      <c r="W79">
        <v>300</v>
      </c>
      <c r="AE79">
        <v>400</v>
      </c>
      <c r="AG79">
        <v>100</v>
      </c>
      <c r="AH79">
        <v>600</v>
      </c>
      <c r="AO79">
        <v>200</v>
      </c>
      <c r="AU79">
        <v>2910</v>
      </c>
      <c r="AV79">
        <v>1410</v>
      </c>
      <c r="AW79">
        <v>2855</v>
      </c>
      <c r="AX79" t="s">
        <v>153</v>
      </c>
    </row>
    <row r="80" spans="1:50" x14ac:dyDescent="0.25">
      <c r="M80" s="1">
        <f>DATA_MAYO_2025[[#This Row],[RECUPERO]]/DATA_MAYO_2025[[#This Row],[META]]</f>
        <v>0</v>
      </c>
      <c r="N80" t="str" cm="1">
        <f t="array" ref="N80">IF(DATA_MAYO_2025[[#This Row],[ASER_]]="","",IFERROR(_xlfn.IFS(M80&gt;=100%,"&gt;100%",AND(M80&lt;100%,M80&gt;=70%),"&gt;70%",AND(M80&lt;70%,M80&gt;=40%),"&gt;40%",AND(M80&lt;40%,M80&gt;=0%),"&gt;0%"),""))</f>
        <v>&gt;0%</v>
      </c>
      <c r="O80" t="s">
        <v>8</v>
      </c>
      <c r="P80" s="6">
        <f>SUM(DATA_MAYO_2025[[#This Row],[1]:[31]])</f>
        <v>0</v>
      </c>
      <c r="Q80">
        <v>20000</v>
      </c>
      <c r="R80" t="s">
        <v>48</v>
      </c>
      <c r="AX80" t="s">
        <v>153</v>
      </c>
    </row>
    <row r="81" spans="13:50" x14ac:dyDescent="0.25">
      <c r="M81" s="1">
        <f>DATA_MAYO_2025[[#This Row],[RECUPERO]]/DATA_MAYO_2025[[#This Row],[META]]</f>
        <v>0.25473076923076921</v>
      </c>
      <c r="N81" t="str" cm="1">
        <f t="array" ref="N81">IF(DATA_MAYO_2025[[#This Row],[ASER_]]="","",IFERROR(_xlfn.IFS(M81&gt;=100%,"&gt;100%",AND(M81&lt;100%,M81&gt;=70%),"&gt;70%",AND(M81&lt;70%,M81&gt;=40%),"&gt;40%",AND(M81&lt;40%,M81&gt;=0%),"&gt;0%"),""))</f>
        <v>&gt;0%</v>
      </c>
      <c r="O81" t="s">
        <v>2</v>
      </c>
      <c r="P81" s="6">
        <f>SUM(DATA_MAYO_2025[[#This Row],[1]:[31]])</f>
        <v>16557.5</v>
      </c>
      <c r="Q81">
        <v>65000</v>
      </c>
      <c r="R81" t="s">
        <v>10</v>
      </c>
      <c r="AK81">
        <v>200</v>
      </c>
      <c r="AL81">
        <v>350</v>
      </c>
      <c r="AM81">
        <v>1500</v>
      </c>
      <c r="AO81">
        <v>485</v>
      </c>
      <c r="AS81">
        <v>4100</v>
      </c>
      <c r="AU81">
        <v>600</v>
      </c>
      <c r="AV81">
        <v>9322.5</v>
      </c>
      <c r="AX81" t="s">
        <v>150</v>
      </c>
    </row>
    <row r="82" spans="13:50" x14ac:dyDescent="0.25">
      <c r="M82" s="1">
        <f>DATA_MAYO_2025[[#This Row],[RECUPERO]]/DATA_MAYO_2025[[#This Row],[META]]</f>
        <v>1.3963318461538463</v>
      </c>
      <c r="N82" t="str" cm="1">
        <f t="array" ref="N82">IF(DATA_MAYO_2025[[#This Row],[ASER_]]="","",IFERROR(_xlfn.IFS(M82&gt;=100%,"&gt;100%",AND(M82&lt;100%,M82&gt;=70%),"&gt;70%",AND(M82&lt;70%,M82&gt;=40%),"&gt;40%",AND(M82&lt;40%,M82&gt;=0%),"&gt;0%"),""))</f>
        <v>&gt;100%</v>
      </c>
      <c r="O82" t="s">
        <v>3</v>
      </c>
      <c r="P82" s="6">
        <f>SUM(DATA_MAYO_2025[[#This Row],[1]:[31]])</f>
        <v>90761.57</v>
      </c>
      <c r="Q82">
        <v>65000</v>
      </c>
      <c r="R82" t="s">
        <v>76</v>
      </c>
      <c r="T82">
        <v>900</v>
      </c>
      <c r="Y82">
        <v>3750</v>
      </c>
      <c r="Z82">
        <v>4200</v>
      </c>
      <c r="AA82">
        <v>1100</v>
      </c>
      <c r="AB82">
        <v>1000</v>
      </c>
      <c r="AD82">
        <v>11000</v>
      </c>
      <c r="AH82">
        <v>3000</v>
      </c>
      <c r="AI82">
        <v>8000</v>
      </c>
      <c r="AK82">
        <v>8638</v>
      </c>
      <c r="AL82">
        <v>8428.57</v>
      </c>
      <c r="AO82">
        <v>320</v>
      </c>
      <c r="AR82">
        <v>22785</v>
      </c>
      <c r="AT82">
        <v>2500</v>
      </c>
      <c r="AU82">
        <v>1940</v>
      </c>
      <c r="AV82">
        <v>10100</v>
      </c>
      <c r="AW82">
        <v>3100</v>
      </c>
      <c r="AX82" t="s">
        <v>150</v>
      </c>
    </row>
    <row r="83" spans="13:50" x14ac:dyDescent="0.25">
      <c r="M83" s="1">
        <f>DATA_MAYO_2025[[#This Row],[RECUPERO]]/DATA_MAYO_2025[[#This Row],[META]]</f>
        <v>0.71299999999999997</v>
      </c>
      <c r="N83" t="str" cm="1">
        <f t="array" ref="N83">IF(DATA_MAYO_2025[[#This Row],[ASER_]]="","",IFERROR(_xlfn.IFS(M83&gt;=100%,"&gt;100%",AND(M83&lt;100%,M83&gt;=70%),"&gt;70%",AND(M83&lt;70%,M83&gt;=40%),"&gt;40%",AND(M83&lt;40%,M83&gt;=0%),"&gt;0%"),""))</f>
        <v>&gt;70%</v>
      </c>
      <c r="O83" t="s">
        <v>125</v>
      </c>
      <c r="P83" s="6">
        <f>SUM(DATA_MAYO_2025[[#This Row],[1]:[31]])</f>
        <v>14260</v>
      </c>
      <c r="Q83">
        <v>20000</v>
      </c>
      <c r="R83" t="s">
        <v>39</v>
      </c>
      <c r="T83">
        <v>500</v>
      </c>
      <c r="W83">
        <v>800</v>
      </c>
      <c r="X83">
        <v>100</v>
      </c>
      <c r="AD83">
        <v>2231</v>
      </c>
      <c r="AF83">
        <v>1600</v>
      </c>
      <c r="AG83">
        <v>129</v>
      </c>
      <c r="AH83">
        <v>600</v>
      </c>
      <c r="AM83">
        <v>500</v>
      </c>
      <c r="AN83">
        <v>500</v>
      </c>
      <c r="AP83">
        <v>1800</v>
      </c>
      <c r="AR83">
        <v>3100</v>
      </c>
      <c r="AU83">
        <v>2000</v>
      </c>
      <c r="AV83">
        <v>400</v>
      </c>
      <c r="AX83" t="s">
        <v>153</v>
      </c>
    </row>
    <row r="84" spans="13:50" x14ac:dyDescent="0.25">
      <c r="M84" s="1">
        <f>DATA_MAYO_2025[[#This Row],[RECUPERO]]/DATA_MAYO_2025[[#This Row],[META]]</f>
        <v>0.22220000000000001</v>
      </c>
      <c r="N84" t="str" cm="1">
        <f t="array" ref="N84">IF(DATA_MAYO_2025[[#This Row],[ASER_]]="","",IFERROR(_xlfn.IFS(M84&gt;=100%,"&gt;100%",AND(M84&lt;100%,M84&gt;=70%),"&gt;70%",AND(M84&lt;70%,M84&gt;=40%),"&gt;40%",AND(M84&lt;40%,M84&gt;=0%),"&gt;0%"),""))</f>
        <v>&gt;0%</v>
      </c>
      <c r="O84" t="s">
        <v>125</v>
      </c>
      <c r="P84" s="6">
        <f>SUM(DATA_MAYO_2025[[#This Row],[1]:[31]])</f>
        <v>4444</v>
      </c>
      <c r="Q84">
        <v>20000</v>
      </c>
      <c r="R84" t="s">
        <v>56</v>
      </c>
      <c r="T84">
        <v>321</v>
      </c>
      <c r="AG84">
        <v>539</v>
      </c>
      <c r="AH84">
        <v>1037</v>
      </c>
      <c r="AI84">
        <v>217</v>
      </c>
      <c r="AS84">
        <v>250</v>
      </c>
      <c r="AT84">
        <v>150</v>
      </c>
      <c r="AU84">
        <v>600</v>
      </c>
      <c r="AV84">
        <v>1330</v>
      </c>
      <c r="AX84" t="s">
        <v>153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5303-5616-48E3-8E4E-AED51FACDE28}">
  <dimension ref="A1:CI83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13" customWidth="1"/>
    <col min="2" max="2" width="27.28515625" customWidth="1"/>
    <col min="3" max="3" width="11.42578125" bestFit="1" customWidth="1"/>
    <col min="4" max="5" width="17.85546875" customWidth="1"/>
    <col min="6" max="6" width="16" customWidth="1"/>
    <col min="7" max="7" width="14.42578125" customWidth="1"/>
    <col min="8" max="8" width="11.140625" bestFit="1" customWidth="1"/>
    <col min="9" max="9" width="27.85546875" style="56" bestFit="1" customWidth="1"/>
    <col min="10" max="10" width="14.5703125" bestFit="1" customWidth="1"/>
    <col min="11" max="12" width="9.85546875" customWidth="1"/>
    <col min="13" max="13" width="13.140625" customWidth="1"/>
    <col min="14" max="14" width="16" customWidth="1"/>
    <col min="15" max="15" width="27.28515625" customWidth="1"/>
    <col min="16" max="16" width="20.28515625" bestFit="1" customWidth="1"/>
    <col min="19" max="19" width="14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69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66" t="s">
        <v>5</v>
      </c>
      <c r="B3" s="66" t="s">
        <v>69</v>
      </c>
      <c r="C3" s="67"/>
      <c r="D3" s="67"/>
      <c r="E3" s="67" t="s">
        <v>5</v>
      </c>
      <c r="F3" s="66" t="s">
        <v>69</v>
      </c>
      <c r="G3" s="66"/>
      <c r="H3" s="66" t="s">
        <v>379</v>
      </c>
      <c r="I3" s="68">
        <v>44459</v>
      </c>
      <c r="J3" s="68" t="s">
        <v>500</v>
      </c>
      <c r="L3" s="56"/>
      <c r="M3" s="33">
        <v>2025</v>
      </c>
      <c r="N3" s="33" t="s">
        <v>144</v>
      </c>
      <c r="O3" s="33">
        <v>21</v>
      </c>
    </row>
    <row r="4" spans="1:87" x14ac:dyDescent="0.25">
      <c r="A4" s="66" t="s">
        <v>2</v>
      </c>
      <c r="B4" s="66" t="s">
        <v>29</v>
      </c>
      <c r="C4" s="67"/>
      <c r="D4" s="67"/>
      <c r="E4" s="67" t="s">
        <v>2</v>
      </c>
      <c r="F4" s="66" t="s">
        <v>29</v>
      </c>
      <c r="G4" s="66"/>
      <c r="H4" s="66" t="s">
        <v>416</v>
      </c>
      <c r="I4" s="68">
        <v>44685</v>
      </c>
      <c r="J4" s="68" t="s">
        <v>500</v>
      </c>
      <c r="L4" s="56"/>
    </row>
    <row r="5" spans="1:87" x14ac:dyDescent="0.25">
      <c r="A5" s="66" t="s">
        <v>8</v>
      </c>
      <c r="B5" s="66" t="s">
        <v>21</v>
      </c>
      <c r="C5" s="67"/>
      <c r="D5" s="67"/>
      <c r="E5" s="67" t="s">
        <v>8</v>
      </c>
      <c r="F5" s="66" t="s">
        <v>21</v>
      </c>
      <c r="G5" s="66"/>
      <c r="H5" s="66" t="s">
        <v>409</v>
      </c>
      <c r="I5" s="68">
        <v>44824</v>
      </c>
      <c r="J5" s="68" t="s">
        <v>500</v>
      </c>
      <c r="L5" s="56"/>
    </row>
    <row r="6" spans="1:87" x14ac:dyDescent="0.25">
      <c r="A6" s="66" t="s">
        <v>6</v>
      </c>
      <c r="B6" s="66" t="s">
        <v>18</v>
      </c>
      <c r="C6" s="67"/>
      <c r="D6" s="67"/>
      <c r="E6" s="67" t="s">
        <v>6</v>
      </c>
      <c r="F6" s="66" t="s">
        <v>18</v>
      </c>
      <c r="G6" s="66"/>
      <c r="H6" s="66" t="s">
        <v>431</v>
      </c>
      <c r="I6" s="68">
        <v>45132</v>
      </c>
      <c r="J6" s="68" t="s">
        <v>500</v>
      </c>
      <c r="L6" s="56"/>
    </row>
    <row r="7" spans="1:87" x14ac:dyDescent="0.25">
      <c r="A7" s="66" t="s">
        <v>125</v>
      </c>
      <c r="B7" s="66" t="s">
        <v>20</v>
      </c>
      <c r="C7" s="67"/>
      <c r="D7" s="67"/>
      <c r="E7" s="67" t="s">
        <v>125</v>
      </c>
      <c r="F7" s="66" t="s">
        <v>20</v>
      </c>
      <c r="G7" s="66"/>
      <c r="H7" s="66" t="s">
        <v>427</v>
      </c>
      <c r="I7" s="68">
        <v>45141</v>
      </c>
      <c r="J7" s="68" t="s">
        <v>500</v>
      </c>
      <c r="L7" s="56"/>
    </row>
    <row r="8" spans="1:87" x14ac:dyDescent="0.25">
      <c r="A8" s="66" t="s">
        <v>9</v>
      </c>
      <c r="B8" s="66" t="s">
        <v>71</v>
      </c>
      <c r="C8" s="67"/>
      <c r="D8" s="67"/>
      <c r="E8" s="67" t="s">
        <v>9</v>
      </c>
      <c r="F8" s="66" t="s">
        <v>71</v>
      </c>
      <c r="G8" s="66"/>
      <c r="H8" s="66" t="s">
        <v>414</v>
      </c>
      <c r="I8" s="68">
        <v>45427</v>
      </c>
      <c r="J8" s="68" t="s">
        <v>500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65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">
        <v>3</v>
      </c>
      <c r="B9" t="s">
        <v>23</v>
      </c>
      <c r="C9">
        <f>VLOOKUP(D1_JUNIO_2025[[#This Row],[SUPER]],DATA_JUNIO_2025[[SUPERVISOR]:[META]],3,0)</f>
        <v>65000</v>
      </c>
      <c r="D9">
        <f>D1_JUNIO_2025[[#This Row],[RECUPERO]]/D1_JUNIO_2025[[#This Row],[META]]</f>
        <v>1.2638</v>
      </c>
      <c r="E9" t="s">
        <v>3</v>
      </c>
      <c r="F9" t="s">
        <v>23</v>
      </c>
      <c r="G9">
        <v>82147</v>
      </c>
      <c r="H9" t="s">
        <v>445</v>
      </c>
      <c r="I9" s="56">
        <v>44111</v>
      </c>
      <c r="J9" t="s">
        <v>501</v>
      </c>
      <c r="L9" s="56"/>
      <c r="M9" s="1">
        <f>DATA_JUNIO_2025[[#This Row],[RECUPERO]]/DATA_JUNIO_2025[[#This Row],[META]]</f>
        <v>0.87016923076923081</v>
      </c>
      <c r="N9" t="str" cm="1">
        <f t="array" ref="N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9" t="s">
        <v>5</v>
      </c>
      <c r="P9">
        <f>SUM(DATA_JUNIO_2025[[#This Row],[1]:[31]])</f>
        <v>56561</v>
      </c>
      <c r="Q9">
        <v>65000</v>
      </c>
      <c r="R9" t="s">
        <v>58</v>
      </c>
      <c r="U9">
        <v>6100</v>
      </c>
      <c r="W9">
        <v>9000</v>
      </c>
      <c r="X9">
        <v>4000</v>
      </c>
      <c r="AC9">
        <v>217</v>
      </c>
      <c r="AD9">
        <v>4700</v>
      </c>
      <c r="AH9">
        <v>4700</v>
      </c>
      <c r="AJ9">
        <v>6240</v>
      </c>
      <c r="AK9">
        <v>217</v>
      </c>
      <c r="AL9">
        <v>4500</v>
      </c>
      <c r="AR9">
        <v>1800</v>
      </c>
      <c r="AS9">
        <v>9000</v>
      </c>
      <c r="AV9">
        <v>6087</v>
      </c>
      <c r="AX9" t="s">
        <v>150</v>
      </c>
      <c r="AZ9">
        <v>123200</v>
      </c>
      <c r="BA9" s="11">
        <v>98819.199999999997</v>
      </c>
      <c r="BB9" s="17">
        <f>DITE_JUNIO_2025[[#This Row],[RECUPERO SUPERVISOR]]/DITE_JUNIO_2025[[#This Row],[META SUPER]]</f>
        <v>0.8021038961038961</v>
      </c>
      <c r="BC9" t="s">
        <v>8</v>
      </c>
      <c r="BD9">
        <v>0</v>
      </c>
      <c r="BE9">
        <v>2287</v>
      </c>
      <c r="BF9">
        <v>4730</v>
      </c>
      <c r="BG9">
        <v>8116</v>
      </c>
      <c r="BH9">
        <v>10921</v>
      </c>
      <c r="BI9">
        <v>13560</v>
      </c>
      <c r="BJ9">
        <v>14118</v>
      </c>
      <c r="BK9">
        <v>14118</v>
      </c>
      <c r="BL9">
        <v>15487</v>
      </c>
      <c r="BM9">
        <v>21208</v>
      </c>
      <c r="BN9">
        <v>23114</v>
      </c>
      <c r="BO9">
        <v>23857</v>
      </c>
      <c r="BP9">
        <v>36173</v>
      </c>
      <c r="BQ9">
        <v>36473</v>
      </c>
      <c r="BR9">
        <v>36473</v>
      </c>
      <c r="BS9">
        <v>40084</v>
      </c>
      <c r="BT9">
        <v>41152</v>
      </c>
      <c r="BU9">
        <v>44585</v>
      </c>
      <c r="BV9">
        <v>47752</v>
      </c>
      <c r="BW9">
        <v>64315</v>
      </c>
      <c r="BX9">
        <v>69007.199999999997</v>
      </c>
      <c r="BY9">
        <v>69207.199999999997</v>
      </c>
      <c r="BZ9">
        <v>72497.2</v>
      </c>
      <c r="CA9">
        <v>73687.199999999997</v>
      </c>
      <c r="CB9">
        <v>76811.199999999997</v>
      </c>
      <c r="CC9">
        <v>78603.199999999997</v>
      </c>
      <c r="CD9">
        <v>83778.2</v>
      </c>
      <c r="CE9">
        <v>84578.2</v>
      </c>
      <c r="CF9">
        <v>84578.2</v>
      </c>
      <c r="CG9">
        <v>98819.199999999997</v>
      </c>
      <c r="CH9">
        <v>98819.199999999997</v>
      </c>
      <c r="CI9" s="11" t="s">
        <v>153</v>
      </c>
    </row>
    <row r="10" spans="1:87" x14ac:dyDescent="0.25">
      <c r="A10" t="s">
        <v>3</v>
      </c>
      <c r="B10" t="s">
        <v>22</v>
      </c>
      <c r="C10">
        <f>VLOOKUP(D1_JUNIO_2025[[#This Row],[SUPER]],DATA_JUNIO_2025[[SUPERVISOR]:[META]],3,0)</f>
        <v>65000</v>
      </c>
      <c r="D10">
        <f>D1_JUNIO_2025[[#This Row],[RECUPERO]]/D1_JUNIO_2025[[#This Row],[META]]</f>
        <v>0.65742800000000001</v>
      </c>
      <c r="E10" t="s">
        <v>3</v>
      </c>
      <c r="F10" t="s">
        <v>22</v>
      </c>
      <c r="G10">
        <v>42732.82</v>
      </c>
      <c r="H10" t="s">
        <v>442</v>
      </c>
      <c r="I10" s="56">
        <v>45299</v>
      </c>
      <c r="J10" t="s">
        <v>501</v>
      </c>
      <c r="L10" s="56"/>
      <c r="M10" s="1">
        <f>DATA_JUNIO_2025[[#This Row],[RECUPERO]]/DATA_JUNIO_2025[[#This Row],[META]]</f>
        <v>0.54383076923076923</v>
      </c>
      <c r="N10" t="str" cm="1">
        <f t="array" ref="N1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10" t="s">
        <v>3</v>
      </c>
      <c r="P10">
        <f>SUM(DATA_JUNIO_2025[[#This Row],[1]:[31]])</f>
        <v>35349</v>
      </c>
      <c r="Q10">
        <v>65000</v>
      </c>
      <c r="R10" t="s">
        <v>109</v>
      </c>
      <c r="T10">
        <v>700</v>
      </c>
      <c r="U10">
        <v>4000</v>
      </c>
      <c r="V10">
        <v>800</v>
      </c>
      <c r="W10">
        <v>10000</v>
      </c>
      <c r="AC10">
        <v>5000</v>
      </c>
      <c r="AH10">
        <v>874</v>
      </c>
      <c r="AL10">
        <v>1000</v>
      </c>
      <c r="AO10">
        <v>362</v>
      </c>
      <c r="AP10">
        <v>7400</v>
      </c>
      <c r="AS10">
        <v>2213</v>
      </c>
      <c r="AV10">
        <v>3000</v>
      </c>
      <c r="AX10" t="s">
        <v>150</v>
      </c>
      <c r="AZ10">
        <v>123200</v>
      </c>
      <c r="BA10" s="11">
        <v>81923.100000000006</v>
      </c>
      <c r="BB10" s="17">
        <f>DITE_JUNIO_2025[[#This Row],[RECUPERO SUPERVISOR]]/DITE_JUNIO_2025[[#This Row],[META SUPER]]</f>
        <v>0.6649602272727273</v>
      </c>
      <c r="BC10" t="s">
        <v>125</v>
      </c>
      <c r="BD10">
        <v>248</v>
      </c>
      <c r="BE10">
        <v>248</v>
      </c>
      <c r="BF10">
        <v>1048.07</v>
      </c>
      <c r="BG10">
        <v>3358.0699999999997</v>
      </c>
      <c r="BH10">
        <v>4803</v>
      </c>
      <c r="BI10">
        <v>7980</v>
      </c>
      <c r="BJ10">
        <v>8480</v>
      </c>
      <c r="BK10">
        <v>8480</v>
      </c>
      <c r="BL10">
        <v>11630</v>
      </c>
      <c r="BM10">
        <v>17558</v>
      </c>
      <c r="BN10">
        <v>23905</v>
      </c>
      <c r="BO10">
        <v>25925</v>
      </c>
      <c r="BP10">
        <v>29710</v>
      </c>
      <c r="BQ10">
        <v>30710</v>
      </c>
      <c r="BR10">
        <v>30710</v>
      </c>
      <c r="BS10">
        <v>32193.599999999999</v>
      </c>
      <c r="BT10">
        <v>36711.599999999999</v>
      </c>
      <c r="BU10">
        <v>40385.599999999999</v>
      </c>
      <c r="BV10">
        <v>41204.6</v>
      </c>
      <c r="BW10">
        <v>46951.6</v>
      </c>
      <c r="BX10">
        <v>47535.6</v>
      </c>
      <c r="BY10">
        <v>47535.6</v>
      </c>
      <c r="BZ10">
        <v>52579.6</v>
      </c>
      <c r="CA10">
        <v>55837.599999999999</v>
      </c>
      <c r="CB10">
        <v>59100.1</v>
      </c>
      <c r="CC10">
        <v>61890.1</v>
      </c>
      <c r="CD10">
        <v>65917.100000000006</v>
      </c>
      <c r="CE10">
        <v>70017.100000000006</v>
      </c>
      <c r="CF10">
        <v>70647.100000000006</v>
      </c>
      <c r="CG10">
        <v>81923.100000000006</v>
      </c>
      <c r="CH10">
        <v>81923.100000000006</v>
      </c>
      <c r="CI10" s="11" t="s">
        <v>153</v>
      </c>
    </row>
    <row r="11" spans="1:87" x14ac:dyDescent="0.25">
      <c r="A11" t="s">
        <v>3</v>
      </c>
      <c r="B11" t="s">
        <v>26</v>
      </c>
      <c r="C11">
        <f>VLOOKUP(D1_JUNIO_2025[[#This Row],[SUPER]],DATA_JUNIO_2025[[SUPERVISOR]:[META]],3,0)</f>
        <v>65000</v>
      </c>
      <c r="D11">
        <f>D1_JUNIO_2025[[#This Row],[RECUPERO]]/D1_JUNIO_2025[[#This Row],[META]]</f>
        <v>0.64621538461538464</v>
      </c>
      <c r="E11" t="s">
        <v>3</v>
      </c>
      <c r="F11" t="s">
        <v>26</v>
      </c>
      <c r="G11">
        <v>42004</v>
      </c>
      <c r="H11" t="s">
        <v>391</v>
      </c>
      <c r="I11" s="56">
        <v>44259</v>
      </c>
      <c r="J11" t="s">
        <v>501</v>
      </c>
      <c r="L11" s="56"/>
      <c r="M11" s="1">
        <f>DATA_JUNIO_2025[[#This Row],[RECUPERO]]/DATA_JUNIO_2025[[#This Row],[META]]</f>
        <v>0.2153846153846154</v>
      </c>
      <c r="N11" t="str" cm="1">
        <f t="array" ref="N1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11" t="s">
        <v>3</v>
      </c>
      <c r="P11">
        <f>SUM(DATA_JUNIO_2025[[#This Row],[1]:[31]])</f>
        <v>14000</v>
      </c>
      <c r="Q11">
        <v>65000</v>
      </c>
      <c r="R11" t="s">
        <v>54</v>
      </c>
      <c r="AD11">
        <v>1500</v>
      </c>
      <c r="AE11">
        <v>1000</v>
      </c>
      <c r="AF11">
        <v>2500</v>
      </c>
      <c r="AR11">
        <v>5200</v>
      </c>
      <c r="AS11">
        <v>3800</v>
      </c>
      <c r="AX11" t="s">
        <v>150</v>
      </c>
      <c r="AZ11">
        <v>495375</v>
      </c>
      <c r="BA11" s="11">
        <v>305667</v>
      </c>
      <c r="BB11" s="17">
        <f>DITE_JUNIO_2025[[#This Row],[RECUPERO SUPERVISOR]]/DITE_JUNIO_2025[[#This Row],[META SUPER]]</f>
        <v>0.6170416351249054</v>
      </c>
      <c r="BC11" t="s">
        <v>5</v>
      </c>
      <c r="BD11">
        <v>2300</v>
      </c>
      <c r="BE11">
        <v>17212</v>
      </c>
      <c r="BF11">
        <v>30099</v>
      </c>
      <c r="BG11">
        <v>31779</v>
      </c>
      <c r="BH11">
        <v>41979</v>
      </c>
      <c r="BI11">
        <v>51695</v>
      </c>
      <c r="BJ11">
        <v>51827.5</v>
      </c>
      <c r="BK11">
        <v>51827.5</v>
      </c>
      <c r="BL11">
        <v>82457.5</v>
      </c>
      <c r="BM11">
        <v>85757.5</v>
      </c>
      <c r="BN11">
        <v>109016.5</v>
      </c>
      <c r="BO11">
        <v>127049.5</v>
      </c>
      <c r="BP11">
        <v>129049.5</v>
      </c>
      <c r="BQ11">
        <v>134049.5</v>
      </c>
      <c r="BR11">
        <v>134049.5</v>
      </c>
      <c r="BS11">
        <v>151042.5</v>
      </c>
      <c r="BT11">
        <v>163842.5</v>
      </c>
      <c r="BU11">
        <v>171715.5</v>
      </c>
      <c r="BV11">
        <v>177392.5</v>
      </c>
      <c r="BW11">
        <v>201181.5</v>
      </c>
      <c r="BX11">
        <v>201775</v>
      </c>
      <c r="BY11">
        <v>202245</v>
      </c>
      <c r="BZ11">
        <v>206098</v>
      </c>
      <c r="CA11">
        <v>217528</v>
      </c>
      <c r="CB11">
        <v>222788</v>
      </c>
      <c r="CC11">
        <v>253388</v>
      </c>
      <c r="CD11">
        <v>275391</v>
      </c>
      <c r="CE11">
        <v>276011</v>
      </c>
      <c r="CF11">
        <v>276711</v>
      </c>
      <c r="CG11">
        <v>305667</v>
      </c>
      <c r="CH11">
        <v>305667</v>
      </c>
      <c r="CI11" s="11" t="s">
        <v>150</v>
      </c>
    </row>
    <row r="12" spans="1:87" x14ac:dyDescent="0.25">
      <c r="A12" t="s">
        <v>3</v>
      </c>
      <c r="B12" t="s">
        <v>25</v>
      </c>
      <c r="C12">
        <f>VLOOKUP(D1_JUNIO_2025[[#This Row],[SUPER]],DATA_JUNIO_2025[[SUPERVISOR]:[META]],3,0)</f>
        <v>65000</v>
      </c>
      <c r="D12">
        <f>D1_JUNIO_2025[[#This Row],[RECUPERO]]/D1_JUNIO_2025[[#This Row],[META]]</f>
        <v>0.61939999999999995</v>
      </c>
      <c r="E12" t="s">
        <v>3</v>
      </c>
      <c r="F12" t="s">
        <v>25</v>
      </c>
      <c r="G12">
        <v>40261</v>
      </c>
      <c r="H12" t="s">
        <v>446</v>
      </c>
      <c r="I12" s="56">
        <v>44820</v>
      </c>
      <c r="J12" t="s">
        <v>501</v>
      </c>
      <c r="L12" s="56"/>
      <c r="M12" s="1">
        <f>DATA_JUNIO_2025[[#This Row],[RECUPERO]]/DATA_JUNIO_2025[[#This Row],[META]]</f>
        <v>1.0038733333333334</v>
      </c>
      <c r="N12" t="str" cm="1">
        <f t="array" ref="N1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12" t="s">
        <v>9</v>
      </c>
      <c r="P12">
        <f>SUM(DATA_JUNIO_2025[[#This Row],[1]:[31]])</f>
        <v>15058.1</v>
      </c>
      <c r="Q12">
        <v>15000</v>
      </c>
      <c r="R12" t="s">
        <v>15</v>
      </c>
      <c r="U12">
        <v>2100</v>
      </c>
      <c r="X12">
        <v>120</v>
      </c>
      <c r="AC12">
        <v>4568</v>
      </c>
      <c r="AD12">
        <v>200</v>
      </c>
      <c r="AH12">
        <v>1000</v>
      </c>
      <c r="AJ12">
        <v>70</v>
      </c>
      <c r="AK12">
        <v>1000</v>
      </c>
      <c r="AQ12">
        <v>1200</v>
      </c>
      <c r="AR12">
        <v>500</v>
      </c>
      <c r="AV12">
        <v>4300.1000000000004</v>
      </c>
      <c r="AX12" t="s">
        <v>153</v>
      </c>
      <c r="AZ12">
        <v>495375</v>
      </c>
      <c r="BA12" s="11">
        <v>308880.75</v>
      </c>
      <c r="BB12" s="17">
        <f>DITE_JUNIO_2025[[#This Row],[RECUPERO SUPERVISOR]]/DITE_JUNIO_2025[[#This Row],[META SUPER]]</f>
        <v>0.6235291445874338</v>
      </c>
      <c r="BC12" t="s">
        <v>2</v>
      </c>
      <c r="BD12">
        <v>0</v>
      </c>
      <c r="BE12">
        <v>3800</v>
      </c>
      <c r="BF12">
        <v>6900</v>
      </c>
      <c r="BG12">
        <v>12068</v>
      </c>
      <c r="BH12">
        <v>33268</v>
      </c>
      <c r="BI12">
        <v>45098</v>
      </c>
      <c r="BJ12">
        <v>45098</v>
      </c>
      <c r="BK12">
        <v>45098</v>
      </c>
      <c r="BL12">
        <v>45098</v>
      </c>
      <c r="BM12">
        <v>52016</v>
      </c>
      <c r="BN12">
        <v>58216</v>
      </c>
      <c r="BO12">
        <v>100216</v>
      </c>
      <c r="BP12">
        <v>122534</v>
      </c>
      <c r="BQ12">
        <v>122534</v>
      </c>
      <c r="BR12">
        <v>123009</v>
      </c>
      <c r="BS12">
        <v>126465</v>
      </c>
      <c r="BT12">
        <v>140965</v>
      </c>
      <c r="BU12">
        <v>151065</v>
      </c>
      <c r="BV12">
        <v>151665</v>
      </c>
      <c r="BW12">
        <v>164782</v>
      </c>
      <c r="BX12">
        <v>164782</v>
      </c>
      <c r="BY12">
        <v>166582</v>
      </c>
      <c r="BZ12">
        <v>173292</v>
      </c>
      <c r="CA12">
        <v>178150</v>
      </c>
      <c r="CB12">
        <v>231640</v>
      </c>
      <c r="CC12">
        <v>236655</v>
      </c>
      <c r="CD12">
        <v>269160.75</v>
      </c>
      <c r="CE12">
        <v>273160.75</v>
      </c>
      <c r="CF12">
        <v>273160.75</v>
      </c>
      <c r="CG12">
        <v>308880.75</v>
      </c>
      <c r="CH12">
        <v>308880.75</v>
      </c>
      <c r="CI12" s="11" t="s">
        <v>150</v>
      </c>
    </row>
    <row r="13" spans="1:87" x14ac:dyDescent="0.25">
      <c r="A13" t="s">
        <v>3</v>
      </c>
      <c r="B13" t="s">
        <v>76</v>
      </c>
      <c r="C13">
        <f>VLOOKUP(D1_JUNIO_2025[[#This Row],[SUPER]],DATA_JUNIO_2025[[SUPERVISOR]:[META]],3,0)</f>
        <v>65000</v>
      </c>
      <c r="D13">
        <f>D1_JUNIO_2025[[#This Row],[RECUPERO]]/D1_JUNIO_2025[[#This Row],[META]]</f>
        <v>0.61761538461538457</v>
      </c>
      <c r="E13" t="s">
        <v>3</v>
      </c>
      <c r="F13" t="s">
        <v>76</v>
      </c>
      <c r="G13">
        <v>40145</v>
      </c>
      <c r="H13" t="s">
        <v>408</v>
      </c>
      <c r="I13" s="56">
        <v>44819</v>
      </c>
      <c r="J13" t="s">
        <v>501</v>
      </c>
      <c r="L13" s="56"/>
      <c r="M13" s="1">
        <f>DATA_JUNIO_2025[[#This Row],[RECUPERO]]/DATA_JUNIO_2025[[#This Row],[META]]</f>
        <v>5.0866666666666664E-2</v>
      </c>
      <c r="N13" t="str" cm="1">
        <f t="array" ref="N1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13" t="s">
        <v>125</v>
      </c>
      <c r="P13">
        <f>SUM(DATA_JUNIO_2025[[#This Row],[1]:[31]])</f>
        <v>763</v>
      </c>
      <c r="Q13">
        <v>15000</v>
      </c>
      <c r="R13" t="s">
        <v>111</v>
      </c>
      <c r="V13">
        <v>300</v>
      </c>
      <c r="AA13">
        <v>300</v>
      </c>
      <c r="AB13">
        <v>163</v>
      </c>
      <c r="AX13" t="s">
        <v>153</v>
      </c>
      <c r="AZ13">
        <v>302800</v>
      </c>
      <c r="BA13" s="11">
        <v>146493</v>
      </c>
      <c r="BB13" s="17">
        <f>DITE_JUNIO_2025[[#This Row],[RECUPERO SUPERVISOR]]/DITE_JUNIO_2025[[#This Row],[META SUPER]]</f>
        <v>0.48379458388375163</v>
      </c>
      <c r="BC13" t="s">
        <v>6</v>
      </c>
      <c r="BD13">
        <v>0</v>
      </c>
      <c r="BE13">
        <v>2950</v>
      </c>
      <c r="BF13">
        <v>7760</v>
      </c>
      <c r="BG13">
        <v>12270</v>
      </c>
      <c r="BH13">
        <v>20140</v>
      </c>
      <c r="BI13">
        <v>23090</v>
      </c>
      <c r="BJ13">
        <v>23090</v>
      </c>
      <c r="BK13">
        <v>23090</v>
      </c>
      <c r="BL13">
        <v>24770</v>
      </c>
      <c r="BM13">
        <v>30470</v>
      </c>
      <c r="BN13">
        <v>33980</v>
      </c>
      <c r="BO13">
        <v>39370</v>
      </c>
      <c r="BP13">
        <v>41166</v>
      </c>
      <c r="BQ13">
        <v>41466</v>
      </c>
      <c r="BR13">
        <v>41466</v>
      </c>
      <c r="BS13">
        <v>45446</v>
      </c>
      <c r="BT13">
        <v>48866</v>
      </c>
      <c r="BU13">
        <v>49666</v>
      </c>
      <c r="BV13">
        <v>56396</v>
      </c>
      <c r="BW13">
        <v>61135</v>
      </c>
      <c r="BX13">
        <v>61135</v>
      </c>
      <c r="BY13">
        <v>61135</v>
      </c>
      <c r="BZ13">
        <v>62985</v>
      </c>
      <c r="CA13">
        <v>66305</v>
      </c>
      <c r="CB13">
        <v>80515</v>
      </c>
      <c r="CC13">
        <v>85995</v>
      </c>
      <c r="CD13">
        <v>104345</v>
      </c>
      <c r="CE13">
        <v>106425</v>
      </c>
      <c r="CF13">
        <v>108592</v>
      </c>
      <c r="CG13">
        <v>146493</v>
      </c>
      <c r="CH13">
        <v>146493</v>
      </c>
      <c r="CI13" s="11" t="s">
        <v>152</v>
      </c>
    </row>
    <row r="14" spans="1:87" x14ac:dyDescent="0.25">
      <c r="A14" t="s">
        <v>3</v>
      </c>
      <c r="B14" t="s">
        <v>109</v>
      </c>
      <c r="C14">
        <f>VLOOKUP(D1_JUNIO_2025[[#This Row],[SUPER]],DATA_JUNIO_2025[[SUPERVISOR]:[META]],3,0)</f>
        <v>65000</v>
      </c>
      <c r="D14">
        <f>D1_JUNIO_2025[[#This Row],[RECUPERO]]/D1_JUNIO_2025[[#This Row],[META]]</f>
        <v>0.54383076923076923</v>
      </c>
      <c r="E14" t="s">
        <v>3</v>
      </c>
      <c r="F14" t="s">
        <v>109</v>
      </c>
      <c r="G14">
        <v>35349</v>
      </c>
      <c r="H14" t="s">
        <v>422</v>
      </c>
      <c r="I14" s="56">
        <v>45334</v>
      </c>
      <c r="J14" t="s">
        <v>501</v>
      </c>
      <c r="L14" s="56"/>
      <c r="M14" s="1">
        <f>DATA_JUNIO_2025[[#This Row],[RECUPERO]]/DATA_JUNIO_2025[[#This Row],[META]]</f>
        <v>0.28987692307692309</v>
      </c>
      <c r="N14" t="str" cm="1">
        <f t="array" ref="N1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14" t="s">
        <v>5</v>
      </c>
      <c r="P14">
        <f>SUM(DATA_JUNIO_2025[[#This Row],[1]:[31]])</f>
        <v>18842</v>
      </c>
      <c r="Q14">
        <v>65000</v>
      </c>
      <c r="R14" t="s">
        <v>85</v>
      </c>
      <c r="T14">
        <v>200</v>
      </c>
      <c r="U14">
        <v>282</v>
      </c>
      <c r="Y14">
        <v>132.5</v>
      </c>
      <c r="AA14">
        <v>10000</v>
      </c>
      <c r="AH14">
        <v>1000</v>
      </c>
      <c r="AM14">
        <v>132.5</v>
      </c>
      <c r="AP14">
        <v>280</v>
      </c>
      <c r="AQ14">
        <v>600</v>
      </c>
      <c r="AR14">
        <v>1000</v>
      </c>
      <c r="AS14">
        <v>685</v>
      </c>
      <c r="AV14">
        <v>4530</v>
      </c>
      <c r="AX14" t="s">
        <v>150</v>
      </c>
      <c r="AZ14">
        <v>123200</v>
      </c>
      <c r="BA14" s="11">
        <v>69716.799999999988</v>
      </c>
      <c r="BB14" s="17">
        <f>DITE_JUNIO_2025[[#This Row],[RECUPERO SUPERVISOR]]/DITE_JUNIO_2025[[#This Row],[META SUPER]]</f>
        <v>0.56588311688311677</v>
      </c>
      <c r="BC14" t="s">
        <v>9</v>
      </c>
      <c r="BD14">
        <v>200</v>
      </c>
      <c r="BE14">
        <v>1455</v>
      </c>
      <c r="BF14">
        <v>5745</v>
      </c>
      <c r="BG14">
        <v>6815</v>
      </c>
      <c r="BH14">
        <v>8175</v>
      </c>
      <c r="BI14">
        <v>9905</v>
      </c>
      <c r="BJ14">
        <v>9905</v>
      </c>
      <c r="BK14">
        <v>9905</v>
      </c>
      <c r="BL14">
        <v>10505</v>
      </c>
      <c r="BM14">
        <v>12205</v>
      </c>
      <c r="BN14">
        <v>17473</v>
      </c>
      <c r="BO14">
        <v>19673</v>
      </c>
      <c r="BP14">
        <v>21864.7</v>
      </c>
      <c r="BQ14">
        <v>23609.7</v>
      </c>
      <c r="BR14">
        <v>23659.7</v>
      </c>
      <c r="BS14">
        <v>28159.7</v>
      </c>
      <c r="BT14">
        <v>28639.7</v>
      </c>
      <c r="BU14">
        <v>35681.699999999997</v>
      </c>
      <c r="BV14">
        <v>37314.699999999997</v>
      </c>
      <c r="BW14">
        <v>39150.699999999997</v>
      </c>
      <c r="BX14">
        <v>39150.699999999997</v>
      </c>
      <c r="BY14">
        <v>39150.699999999997</v>
      </c>
      <c r="BZ14">
        <v>41006.699999999997</v>
      </c>
      <c r="CA14">
        <v>43419.7</v>
      </c>
      <c r="CB14">
        <v>44819.7</v>
      </c>
      <c r="CC14">
        <v>49699.7</v>
      </c>
      <c r="CD14">
        <v>52204.7</v>
      </c>
      <c r="CE14">
        <v>52834.7</v>
      </c>
      <c r="CF14">
        <v>53034.7</v>
      </c>
      <c r="CG14">
        <v>69716.799999999988</v>
      </c>
      <c r="CH14">
        <v>69716.799999999988</v>
      </c>
      <c r="CI14" s="11" t="s">
        <v>153</v>
      </c>
    </row>
    <row r="15" spans="1:87" x14ac:dyDescent="0.25">
      <c r="A15" t="s">
        <v>3</v>
      </c>
      <c r="B15" t="s">
        <v>107</v>
      </c>
      <c r="C15">
        <f>VLOOKUP(D1_JUNIO_2025[[#This Row],[SUPER]],DATA_JUNIO_2025[[SUPERVISOR]:[META]],3,0)</f>
        <v>65000</v>
      </c>
      <c r="D15">
        <f>D1_JUNIO_2025[[#This Row],[RECUPERO]]/D1_JUNIO_2025[[#This Row],[META]]</f>
        <v>0.33798461538461538</v>
      </c>
      <c r="E15" t="s">
        <v>3</v>
      </c>
      <c r="F15" t="s">
        <v>107</v>
      </c>
      <c r="G15">
        <v>21969</v>
      </c>
      <c r="H15" t="s">
        <v>458</v>
      </c>
      <c r="I15" s="56">
        <v>45727</v>
      </c>
      <c r="J15" t="s">
        <v>501</v>
      </c>
      <c r="L15" s="56"/>
      <c r="M15" s="1">
        <f>DATA_JUNIO_2025[[#This Row],[RECUPERO]]/DATA_JUNIO_2025[[#This Row],[META]]</f>
        <v>0.5121230769230769</v>
      </c>
      <c r="N15" t="str" cm="1">
        <f t="array" ref="N1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15" t="s">
        <v>5</v>
      </c>
      <c r="P15">
        <f>SUM(DATA_JUNIO_2025[[#This Row],[1]:[31]])</f>
        <v>33288</v>
      </c>
      <c r="Q15">
        <v>65000</v>
      </c>
      <c r="R15" t="s">
        <v>67</v>
      </c>
      <c r="U15">
        <v>935</v>
      </c>
      <c r="V15">
        <v>380</v>
      </c>
      <c r="W15">
        <v>600</v>
      </c>
      <c r="AA15">
        <v>450</v>
      </c>
      <c r="AB15">
        <v>1850</v>
      </c>
      <c r="AC15">
        <v>6150</v>
      </c>
      <c r="AD15">
        <v>3333</v>
      </c>
      <c r="AE15">
        <v>2000</v>
      </c>
      <c r="AH15">
        <v>3943</v>
      </c>
      <c r="AI15">
        <v>2600</v>
      </c>
      <c r="AK15">
        <v>2010</v>
      </c>
      <c r="AO15">
        <v>353</v>
      </c>
      <c r="AQ15">
        <v>4300</v>
      </c>
      <c r="AR15">
        <v>1000</v>
      </c>
      <c r="AS15">
        <v>3000</v>
      </c>
      <c r="AV15">
        <v>384</v>
      </c>
      <c r="AX15" t="s">
        <v>150</v>
      </c>
      <c r="AZ15">
        <v>495375</v>
      </c>
      <c r="BA15" s="11">
        <v>518397.5</v>
      </c>
      <c r="BB15" s="17">
        <f>DITE_JUNIO_2025[[#This Row],[RECUPERO SUPERVISOR]]/DITE_JUNIO_2025[[#This Row],[META SUPER]]</f>
        <v>1.0464748927580116</v>
      </c>
      <c r="BC15" t="s">
        <v>4</v>
      </c>
      <c r="BD15">
        <v>1125</v>
      </c>
      <c r="BE15">
        <v>71230</v>
      </c>
      <c r="BF15">
        <v>83247</v>
      </c>
      <c r="BG15">
        <v>95477</v>
      </c>
      <c r="BH15">
        <v>121777</v>
      </c>
      <c r="BI15">
        <v>129927</v>
      </c>
      <c r="BJ15">
        <v>132031.63</v>
      </c>
      <c r="BK15">
        <v>132031.63</v>
      </c>
      <c r="BL15">
        <v>175219.63</v>
      </c>
      <c r="BM15">
        <v>193393.63</v>
      </c>
      <c r="BN15">
        <v>214866.63</v>
      </c>
      <c r="BO15">
        <v>271186.63</v>
      </c>
      <c r="BP15">
        <v>308296.21000000002</v>
      </c>
      <c r="BQ15">
        <v>310896.21000000002</v>
      </c>
      <c r="BR15">
        <v>310896.21000000002</v>
      </c>
      <c r="BS15">
        <v>336676.21</v>
      </c>
      <c r="BT15">
        <v>350055.21</v>
      </c>
      <c r="BU15">
        <v>353423.21</v>
      </c>
      <c r="BV15">
        <v>357615.5</v>
      </c>
      <c r="BW15">
        <v>376029.5</v>
      </c>
      <c r="BX15">
        <v>381029.5</v>
      </c>
      <c r="BY15">
        <v>381029.5</v>
      </c>
      <c r="BZ15">
        <v>397009.5</v>
      </c>
      <c r="CA15">
        <v>427705.5</v>
      </c>
      <c r="CB15">
        <v>446810.5</v>
      </c>
      <c r="CC15">
        <v>452152.5</v>
      </c>
      <c r="CD15">
        <v>480837.5</v>
      </c>
      <c r="CE15">
        <v>484577.5</v>
      </c>
      <c r="CF15">
        <v>484577.5</v>
      </c>
      <c r="CG15">
        <v>518397.5</v>
      </c>
      <c r="CH15">
        <v>518397.5</v>
      </c>
      <c r="CI15" s="11" t="s">
        <v>150</v>
      </c>
    </row>
    <row r="16" spans="1:87" x14ac:dyDescent="0.25">
      <c r="A16" t="s">
        <v>3</v>
      </c>
      <c r="B16" t="s">
        <v>54</v>
      </c>
      <c r="C16">
        <f>VLOOKUP(D1_JUNIO_2025[[#This Row],[SUPER]],DATA_JUNIO_2025[[SUPERVISOR]:[META]],3,0)</f>
        <v>65000</v>
      </c>
      <c r="D16">
        <f>D1_JUNIO_2025[[#This Row],[RECUPERO]]/D1_JUNIO_2025[[#This Row],[META]]</f>
        <v>0.2153846153846154</v>
      </c>
      <c r="E16" t="s">
        <v>3</v>
      </c>
      <c r="F16" t="s">
        <v>54</v>
      </c>
      <c r="G16">
        <v>14000</v>
      </c>
      <c r="H16" t="s">
        <v>474</v>
      </c>
      <c r="I16" s="56">
        <v>45819</v>
      </c>
      <c r="J16" t="s">
        <v>501</v>
      </c>
      <c r="L16" s="56"/>
      <c r="M16" s="1">
        <f>DATA_JUNIO_2025[[#This Row],[RECUPERO]]/DATA_JUNIO_2025[[#This Row],[META]]</f>
        <v>0.9277333333333333</v>
      </c>
      <c r="N16" t="str" cm="1">
        <f t="array" ref="N1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16" t="s">
        <v>8</v>
      </c>
      <c r="P16">
        <f>SUM(DATA_JUNIO_2025[[#This Row],[1]:[31]])</f>
        <v>13916</v>
      </c>
      <c r="Q16">
        <v>15000</v>
      </c>
      <c r="R16" t="s">
        <v>14</v>
      </c>
      <c r="T16">
        <v>1068</v>
      </c>
      <c r="W16">
        <v>380</v>
      </c>
      <c r="X16">
        <v>200</v>
      </c>
      <c r="AB16">
        <v>678</v>
      </c>
      <c r="AC16">
        <v>540</v>
      </c>
      <c r="AD16">
        <v>250</v>
      </c>
      <c r="AE16">
        <v>84</v>
      </c>
      <c r="AH16">
        <v>200</v>
      </c>
      <c r="AI16">
        <v>568</v>
      </c>
      <c r="AJ16">
        <v>173</v>
      </c>
      <c r="AK16">
        <v>717</v>
      </c>
      <c r="AL16">
        <v>3506</v>
      </c>
      <c r="AM16">
        <v>392</v>
      </c>
      <c r="AO16">
        <v>690</v>
      </c>
      <c r="AP16">
        <v>390</v>
      </c>
      <c r="AQ16">
        <v>424</v>
      </c>
      <c r="AR16">
        <v>150</v>
      </c>
      <c r="AS16">
        <v>250</v>
      </c>
      <c r="AV16">
        <v>3256</v>
      </c>
      <c r="AX16" t="s">
        <v>153</v>
      </c>
      <c r="AZ16">
        <v>495375</v>
      </c>
      <c r="BA16" s="11">
        <v>327455.82</v>
      </c>
      <c r="BB16" s="17">
        <f>DITE_JUNIO_2025[[#This Row],[RECUPERO SUPERVISOR]]/DITE_JUNIO_2025[[#This Row],[META SUPER]]</f>
        <v>0.66102613171839519</v>
      </c>
      <c r="BC16" t="s">
        <v>3</v>
      </c>
      <c r="BD16">
        <v>0</v>
      </c>
      <c r="BE16">
        <v>17281</v>
      </c>
      <c r="BF16">
        <v>21281</v>
      </c>
      <c r="BG16">
        <v>34681</v>
      </c>
      <c r="BH16">
        <v>63181</v>
      </c>
      <c r="BI16">
        <v>70231</v>
      </c>
      <c r="BJ16">
        <v>70231</v>
      </c>
      <c r="BK16">
        <v>70231</v>
      </c>
      <c r="BL16">
        <v>85502.12</v>
      </c>
      <c r="BM16">
        <v>97952.12</v>
      </c>
      <c r="BN16">
        <v>115209.81999999999</v>
      </c>
      <c r="BO16">
        <v>117559.81999999999</v>
      </c>
      <c r="BP16">
        <v>126301.81999999999</v>
      </c>
      <c r="BQ16">
        <v>129225.81999999999</v>
      </c>
      <c r="BR16">
        <v>129225.81999999999</v>
      </c>
      <c r="BS16">
        <v>137049.82</v>
      </c>
      <c r="BT16">
        <v>137899.82</v>
      </c>
      <c r="BU16">
        <v>156902.82</v>
      </c>
      <c r="BV16">
        <v>163902.82</v>
      </c>
      <c r="BW16">
        <v>176202.82</v>
      </c>
      <c r="BX16">
        <v>177002.82</v>
      </c>
      <c r="BY16">
        <v>179602.82</v>
      </c>
      <c r="BZ16">
        <v>192879.82</v>
      </c>
      <c r="CA16">
        <v>217479.82</v>
      </c>
      <c r="CB16">
        <v>225419.82</v>
      </c>
      <c r="CC16">
        <v>246190.82</v>
      </c>
      <c r="CD16">
        <v>274908.82</v>
      </c>
      <c r="CE16">
        <v>274908.82</v>
      </c>
      <c r="CF16">
        <v>274908.82</v>
      </c>
      <c r="CG16">
        <v>327455.82</v>
      </c>
      <c r="CH16">
        <v>327455.82</v>
      </c>
      <c r="CI16" s="11" t="s">
        <v>150</v>
      </c>
    </row>
    <row r="17" spans="1:50" x14ac:dyDescent="0.25">
      <c r="A17" t="s">
        <v>3</v>
      </c>
      <c r="B17" t="s">
        <v>53</v>
      </c>
      <c r="C17">
        <f>VLOOKUP(D1_JUNIO_2025[[#This Row],[SUPER]],DATA_JUNIO_2025[[SUPERVISOR]:[META]],3,0)</f>
        <v>65000</v>
      </c>
      <c r="D17">
        <f>D1_JUNIO_2025[[#This Row],[RECUPERO]]/D1_JUNIO_2025[[#This Row],[META]]</f>
        <v>0.13612307692307693</v>
      </c>
      <c r="E17" t="s">
        <v>3</v>
      </c>
      <c r="F17" t="s">
        <v>53</v>
      </c>
      <c r="G17">
        <v>8848</v>
      </c>
      <c r="H17" t="s">
        <v>457</v>
      </c>
      <c r="I17" s="56">
        <v>45727</v>
      </c>
      <c r="J17" t="s">
        <v>501</v>
      </c>
      <c r="L17" s="56"/>
      <c r="M17" s="1">
        <f>DATA_JUNIO_2025[[#This Row],[RECUPERO]]/DATA_JUNIO_2025[[#This Row],[META]]</f>
        <v>0.36533333333333334</v>
      </c>
      <c r="N17" t="str" cm="1">
        <f t="array" ref="N1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17" t="s">
        <v>9</v>
      </c>
      <c r="P17">
        <f>SUM(DATA_JUNIO_2025[[#This Row],[1]:[31]])</f>
        <v>5480</v>
      </c>
      <c r="Q17">
        <v>15000</v>
      </c>
      <c r="R17" t="s">
        <v>104</v>
      </c>
      <c r="S17">
        <v>200</v>
      </c>
      <c r="U17">
        <v>500</v>
      </c>
      <c r="V17">
        <v>150</v>
      </c>
      <c r="AA17">
        <v>400</v>
      </c>
      <c r="AB17">
        <v>1000</v>
      </c>
      <c r="AP17">
        <v>750</v>
      </c>
      <c r="AQ17">
        <v>200</v>
      </c>
      <c r="AR17">
        <v>380</v>
      </c>
      <c r="AU17">
        <v>200</v>
      </c>
      <c r="AV17">
        <v>1700</v>
      </c>
      <c r="AX17" t="s">
        <v>153</v>
      </c>
    </row>
    <row r="18" spans="1:50" x14ac:dyDescent="0.25">
      <c r="A18" t="s">
        <v>4</v>
      </c>
      <c r="B18" t="s">
        <v>59</v>
      </c>
      <c r="C18">
        <f>VLOOKUP(D1_JUNIO_2025[[#This Row],[SUPER]],DATA_JUNIO_2025[[SUPERVISOR]:[META]],3,0)</f>
        <v>65000</v>
      </c>
      <c r="D18">
        <f>D1_JUNIO_2025[[#This Row],[RECUPERO]]/D1_JUNIO_2025[[#This Row],[META]]</f>
        <v>1.525855076923077</v>
      </c>
      <c r="E18" t="s">
        <v>4</v>
      </c>
      <c r="F18" t="s">
        <v>59</v>
      </c>
      <c r="G18">
        <v>99180.58</v>
      </c>
      <c r="H18" t="s">
        <v>430</v>
      </c>
      <c r="I18" s="56">
        <v>45348</v>
      </c>
      <c r="J18" t="s">
        <v>501</v>
      </c>
      <c r="L18" s="56"/>
      <c r="M18" s="1">
        <f>DATA_JUNIO_2025[[#This Row],[RECUPERO]]/DATA_JUNIO_2025[[#This Row],[META]]</f>
        <v>0.44668852459016395</v>
      </c>
      <c r="N18" t="str" cm="1">
        <f t="array" ref="N1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18" t="s">
        <v>6</v>
      </c>
      <c r="P18">
        <f>SUM(DATA_JUNIO_2025[[#This Row],[1]:[31]])</f>
        <v>13624</v>
      </c>
      <c r="Q18">
        <v>30500</v>
      </c>
      <c r="R18" t="s">
        <v>19</v>
      </c>
      <c r="AC18">
        <v>600</v>
      </c>
      <c r="AH18">
        <v>250</v>
      </c>
      <c r="AL18">
        <v>1229</v>
      </c>
      <c r="AQ18">
        <v>6300</v>
      </c>
      <c r="AR18">
        <v>1000</v>
      </c>
      <c r="AV18">
        <v>4245</v>
      </c>
      <c r="AX18" t="s">
        <v>152</v>
      </c>
    </row>
    <row r="19" spans="1:50" x14ac:dyDescent="0.25">
      <c r="A19" t="s">
        <v>4</v>
      </c>
      <c r="B19" t="s">
        <v>61</v>
      </c>
      <c r="C19">
        <f>VLOOKUP(D1_JUNIO_2025[[#This Row],[SUPER]],DATA_JUNIO_2025[[SUPERVISOR]:[META]],3,0)</f>
        <v>65000</v>
      </c>
      <c r="D19">
        <f>D1_JUNIO_2025[[#This Row],[RECUPERO]]/D1_JUNIO_2025[[#This Row],[META]]</f>
        <v>1.4086712307692308</v>
      </c>
      <c r="E19" t="s">
        <v>4</v>
      </c>
      <c r="F19" t="s">
        <v>61</v>
      </c>
      <c r="G19">
        <v>91563.63</v>
      </c>
      <c r="H19" t="s">
        <v>411</v>
      </c>
      <c r="I19" s="56">
        <v>44909</v>
      </c>
      <c r="J19" t="s">
        <v>501</v>
      </c>
      <c r="L19" s="56"/>
      <c r="M19" s="1">
        <f>DATA_JUNIO_2025[[#This Row],[RECUPERO]]/DATA_JUNIO_2025[[#This Row],[META]]</f>
        <v>0.13612307692307693</v>
      </c>
      <c r="N19" t="str" cm="1">
        <f t="array" ref="N1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19" t="s">
        <v>3</v>
      </c>
      <c r="P19">
        <f>SUM(DATA_JUNIO_2025[[#This Row],[1]:[31]])</f>
        <v>8848</v>
      </c>
      <c r="Q19">
        <v>65000</v>
      </c>
      <c r="R19" t="s">
        <v>53</v>
      </c>
      <c r="X19">
        <v>600</v>
      </c>
      <c r="AA19">
        <v>398</v>
      </c>
      <c r="AC19">
        <v>600</v>
      </c>
      <c r="AJ19">
        <v>2000</v>
      </c>
      <c r="AO19">
        <v>1000</v>
      </c>
      <c r="AS19">
        <v>4000</v>
      </c>
      <c r="AV19">
        <v>250</v>
      </c>
      <c r="AX19" t="s">
        <v>150</v>
      </c>
    </row>
    <row r="20" spans="1:50" x14ac:dyDescent="0.25">
      <c r="A20" t="s">
        <v>4</v>
      </c>
      <c r="B20" t="s">
        <v>75</v>
      </c>
      <c r="C20">
        <f>VLOOKUP(D1_JUNIO_2025[[#This Row],[SUPER]],DATA_JUNIO_2025[[SUPERVISOR]:[META]],3,0)</f>
        <v>65000</v>
      </c>
      <c r="D20">
        <f>D1_JUNIO_2025[[#This Row],[RECUPERO]]/D1_JUNIO_2025[[#This Row],[META]]</f>
        <v>1.3104769230769231</v>
      </c>
      <c r="E20" t="s">
        <v>4</v>
      </c>
      <c r="F20" t="s">
        <v>75</v>
      </c>
      <c r="G20">
        <v>85181</v>
      </c>
      <c r="H20" t="s">
        <v>428</v>
      </c>
      <c r="I20" s="56">
        <v>44716</v>
      </c>
      <c r="J20" t="s">
        <v>501</v>
      </c>
      <c r="L20" s="56"/>
      <c r="M20" s="1">
        <f>DATA_JUNIO_2025[[#This Row],[RECUPERO]]/DATA_JUNIO_2025[[#This Row],[META]]</f>
        <v>0.7795333333333333</v>
      </c>
      <c r="N20" t="str" cm="1">
        <f t="array" ref="N2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20" t="s">
        <v>8</v>
      </c>
      <c r="P20">
        <f>SUM(DATA_JUNIO_2025[[#This Row],[1]:[31]])</f>
        <v>11693</v>
      </c>
      <c r="Q20">
        <v>15000</v>
      </c>
      <c r="R20" t="s">
        <v>41</v>
      </c>
      <c r="V20">
        <v>1000</v>
      </c>
      <c r="W20">
        <v>350</v>
      </c>
      <c r="X20">
        <v>300</v>
      </c>
      <c r="AA20">
        <v>630</v>
      </c>
      <c r="AB20">
        <v>300</v>
      </c>
      <c r="AC20">
        <v>480</v>
      </c>
      <c r="AD20">
        <v>0</v>
      </c>
      <c r="AE20">
        <v>1700</v>
      </c>
      <c r="AH20">
        <v>276</v>
      </c>
      <c r="AL20">
        <v>807</v>
      </c>
      <c r="AO20">
        <v>1000</v>
      </c>
      <c r="AQ20">
        <v>350</v>
      </c>
      <c r="AS20">
        <v>3000</v>
      </c>
      <c r="AV20">
        <v>1500</v>
      </c>
      <c r="AX20" t="s">
        <v>153</v>
      </c>
    </row>
    <row r="21" spans="1:50" x14ac:dyDescent="0.25">
      <c r="A21" t="s">
        <v>4</v>
      </c>
      <c r="B21" t="s">
        <v>57</v>
      </c>
      <c r="C21">
        <f>VLOOKUP(D1_JUNIO_2025[[#This Row],[SUPER]],DATA_JUNIO_2025[[SUPERVISOR]:[META]],3,0)</f>
        <v>65000</v>
      </c>
      <c r="D21">
        <f>D1_JUNIO_2025[[#This Row],[RECUPERO]]/D1_JUNIO_2025[[#This Row],[META]]</f>
        <v>1.1831230769230769</v>
      </c>
      <c r="E21" t="s">
        <v>4</v>
      </c>
      <c r="F21" t="s">
        <v>57</v>
      </c>
      <c r="G21">
        <v>76903</v>
      </c>
      <c r="H21" t="s">
        <v>443</v>
      </c>
      <c r="I21" s="56">
        <v>45590</v>
      </c>
      <c r="J21" t="s">
        <v>501</v>
      </c>
      <c r="L21" s="56"/>
      <c r="M21" s="1">
        <f>DATA_JUNIO_2025[[#This Row],[RECUPERO]]/DATA_JUNIO_2025[[#This Row],[META]]</f>
        <v>0.1215076923076923</v>
      </c>
      <c r="N21" t="str" cm="1">
        <f t="array" ref="N2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21" t="s">
        <v>4</v>
      </c>
      <c r="P21">
        <f>SUM(DATA_JUNIO_2025[[#This Row],[1]:[31]])</f>
        <v>7898</v>
      </c>
      <c r="Q21">
        <v>65000</v>
      </c>
      <c r="R21" t="s">
        <v>82</v>
      </c>
      <c r="U21">
        <v>700</v>
      </c>
      <c r="W21">
        <v>800</v>
      </c>
      <c r="AB21">
        <v>510</v>
      </c>
      <c r="AC21">
        <v>500</v>
      </c>
      <c r="AE21">
        <v>1000</v>
      </c>
      <c r="AO21">
        <v>3680</v>
      </c>
      <c r="AQ21">
        <v>600</v>
      </c>
      <c r="AV21">
        <v>108</v>
      </c>
      <c r="AX21" t="s">
        <v>150</v>
      </c>
    </row>
    <row r="22" spans="1:50" x14ac:dyDescent="0.25">
      <c r="A22" t="s">
        <v>4</v>
      </c>
      <c r="B22" t="s">
        <v>65</v>
      </c>
      <c r="C22">
        <f>VLOOKUP(D1_JUNIO_2025[[#This Row],[SUPER]],DATA_JUNIO_2025[[SUPERVISOR]:[META]],3,0)</f>
        <v>65000</v>
      </c>
      <c r="D22">
        <f>D1_JUNIO_2025[[#This Row],[RECUPERO]]/D1_JUNIO_2025[[#This Row],[META]]</f>
        <v>0.92958461538461534</v>
      </c>
      <c r="E22" t="s">
        <v>4</v>
      </c>
      <c r="F22" t="s">
        <v>65</v>
      </c>
      <c r="G22">
        <v>60423</v>
      </c>
      <c r="H22" t="s">
        <v>438</v>
      </c>
      <c r="I22" s="56">
        <v>45021</v>
      </c>
      <c r="J22" t="s">
        <v>501</v>
      </c>
      <c r="L22" s="56"/>
      <c r="M22" s="1">
        <f>DATA_JUNIO_2025[[#This Row],[RECUPERO]]/DATA_JUNIO_2025[[#This Row],[META]]</f>
        <v>1.4086712307692308</v>
      </c>
      <c r="N22" t="str" cm="1">
        <f t="array" ref="N2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22" t="s">
        <v>4</v>
      </c>
      <c r="P22">
        <f>SUM(DATA_JUNIO_2025[[#This Row],[1]:[31]])</f>
        <v>91563.63</v>
      </c>
      <c r="Q22">
        <v>65000</v>
      </c>
      <c r="R22" t="s">
        <v>61</v>
      </c>
      <c r="T22">
        <v>40700</v>
      </c>
      <c r="U22">
        <v>3114</v>
      </c>
      <c r="V22">
        <v>8000</v>
      </c>
      <c r="X22">
        <v>550</v>
      </c>
      <c r="Y22">
        <v>770.63</v>
      </c>
      <c r="AA22">
        <v>600</v>
      </c>
      <c r="AB22">
        <v>15100</v>
      </c>
      <c r="AC22">
        <v>1150</v>
      </c>
      <c r="AI22">
        <v>1750</v>
      </c>
      <c r="AK22">
        <v>100</v>
      </c>
      <c r="AL22">
        <v>6000</v>
      </c>
      <c r="AM22">
        <v>5000</v>
      </c>
      <c r="AO22">
        <v>200</v>
      </c>
      <c r="AP22">
        <v>1715</v>
      </c>
      <c r="AS22">
        <v>400</v>
      </c>
      <c r="AT22">
        <v>1800</v>
      </c>
      <c r="AV22">
        <v>4614</v>
      </c>
      <c r="AX22" t="s">
        <v>150</v>
      </c>
    </row>
    <row r="23" spans="1:50" x14ac:dyDescent="0.25">
      <c r="A23" t="s">
        <v>4</v>
      </c>
      <c r="B23" t="s">
        <v>62</v>
      </c>
      <c r="C23">
        <f>VLOOKUP(D1_JUNIO_2025[[#This Row],[SUPER]],DATA_JUNIO_2025[[SUPERVISOR]:[META]],3,0)</f>
        <v>65000</v>
      </c>
      <c r="D23">
        <f>D1_JUNIO_2025[[#This Row],[RECUPERO]]/D1_JUNIO_2025[[#This Row],[META]]</f>
        <v>0.38683076923076926</v>
      </c>
      <c r="E23" t="s">
        <v>4</v>
      </c>
      <c r="F23" t="s">
        <v>62</v>
      </c>
      <c r="G23">
        <v>25144</v>
      </c>
      <c r="H23" t="s">
        <v>386</v>
      </c>
      <c r="I23" s="56">
        <v>45334</v>
      </c>
      <c r="J23" t="s">
        <v>501</v>
      </c>
      <c r="L23" s="56"/>
      <c r="M23" s="1">
        <f>DATA_JUNIO_2025[[#This Row],[RECUPERO]]/DATA_JUNIO_2025[[#This Row],[META]]</f>
        <v>1.4252666666666667</v>
      </c>
      <c r="N23" t="str" cm="1">
        <f t="array" ref="N2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23" t="s">
        <v>125</v>
      </c>
      <c r="P23">
        <f>SUM(DATA_JUNIO_2025[[#This Row],[1]:[31]])</f>
        <v>21379</v>
      </c>
      <c r="Q23">
        <v>15000</v>
      </c>
      <c r="R23" t="s">
        <v>80</v>
      </c>
      <c r="W23">
        <v>116</v>
      </c>
      <c r="X23">
        <v>98</v>
      </c>
      <c r="Y23">
        <v>500</v>
      </c>
      <c r="AA23">
        <v>1500</v>
      </c>
      <c r="AB23">
        <v>330</v>
      </c>
      <c r="AC23">
        <v>3000</v>
      </c>
      <c r="AD23">
        <v>520</v>
      </c>
      <c r="AE23">
        <v>270</v>
      </c>
      <c r="AH23">
        <v>435</v>
      </c>
      <c r="AI23">
        <v>1600</v>
      </c>
      <c r="AJ23">
        <v>300</v>
      </c>
      <c r="AK23">
        <v>300</v>
      </c>
      <c r="AL23">
        <v>2115</v>
      </c>
      <c r="AO23">
        <v>2200</v>
      </c>
      <c r="AP23">
        <v>2198</v>
      </c>
      <c r="AQ23">
        <v>100</v>
      </c>
      <c r="AR23">
        <v>1010</v>
      </c>
      <c r="AS23">
        <v>1032</v>
      </c>
      <c r="AT23">
        <v>400</v>
      </c>
      <c r="AU23">
        <v>305</v>
      </c>
      <c r="AV23">
        <v>3050</v>
      </c>
      <c r="AX23" t="s">
        <v>153</v>
      </c>
    </row>
    <row r="24" spans="1:50" x14ac:dyDescent="0.25">
      <c r="A24" t="s">
        <v>4</v>
      </c>
      <c r="B24" t="s">
        <v>63</v>
      </c>
      <c r="C24">
        <f>VLOOKUP(D1_JUNIO_2025[[#This Row],[SUPER]],DATA_JUNIO_2025[[SUPERVISOR]:[META]],3,0)</f>
        <v>65000</v>
      </c>
      <c r="D24">
        <f>D1_JUNIO_2025[[#This Row],[RECUPERO]]/D1_JUNIO_2025[[#This Row],[META]]</f>
        <v>0.20976923076923076</v>
      </c>
      <c r="E24" t="s">
        <v>4</v>
      </c>
      <c r="F24" t="s">
        <v>63</v>
      </c>
      <c r="G24">
        <v>13635</v>
      </c>
      <c r="H24" t="s">
        <v>447</v>
      </c>
      <c r="I24" s="56">
        <v>45316</v>
      </c>
      <c r="J24" t="s">
        <v>501</v>
      </c>
      <c r="L24" s="56"/>
      <c r="M24" s="1">
        <f>DATA_JUNIO_2025[[#This Row],[RECUPERO]]/DATA_JUNIO_2025[[#This Row],[META]]</f>
        <v>0.50206666666666666</v>
      </c>
      <c r="N24" t="str" cm="1">
        <f t="array" ref="N2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24" t="s">
        <v>8</v>
      </c>
      <c r="P24">
        <f>SUM(DATA_JUNIO_2025[[#This Row],[1]:[31]])</f>
        <v>7531</v>
      </c>
      <c r="Q24">
        <v>15000</v>
      </c>
      <c r="R24" t="s">
        <v>40</v>
      </c>
      <c r="T24">
        <v>380</v>
      </c>
      <c r="W24">
        <v>1775</v>
      </c>
      <c r="X24">
        <v>1000</v>
      </c>
      <c r="AB24">
        <v>1750</v>
      </c>
      <c r="AC24">
        <v>182</v>
      </c>
      <c r="AE24">
        <v>1532</v>
      </c>
      <c r="AR24">
        <v>157</v>
      </c>
      <c r="AV24">
        <v>755</v>
      </c>
      <c r="AX24" t="s">
        <v>153</v>
      </c>
    </row>
    <row r="25" spans="1:50" x14ac:dyDescent="0.25">
      <c r="A25" t="s">
        <v>4</v>
      </c>
      <c r="B25" t="s">
        <v>64</v>
      </c>
      <c r="C25">
        <f>VLOOKUP(D1_JUNIO_2025[[#This Row],[SUPER]],DATA_JUNIO_2025[[SUPERVISOR]:[META]],3,0)</f>
        <v>65000</v>
      </c>
      <c r="D25">
        <f>D1_JUNIO_2025[[#This Row],[RECUPERO]]/D1_JUNIO_2025[[#This Row],[META]]</f>
        <v>0.12198461538461539</v>
      </c>
      <c r="E25" t="s">
        <v>4</v>
      </c>
      <c r="F25" t="s">
        <v>64</v>
      </c>
      <c r="G25">
        <v>7929</v>
      </c>
      <c r="H25" t="s">
        <v>455</v>
      </c>
      <c r="I25" s="56">
        <v>45700</v>
      </c>
      <c r="J25" t="s">
        <v>501</v>
      </c>
      <c r="L25" s="56"/>
      <c r="M25" s="1">
        <f>DATA_JUNIO_2025[[#This Row],[RECUPERO]]/DATA_JUNIO_2025[[#This Row],[META]]</f>
        <v>0.35344262295081968</v>
      </c>
      <c r="N25" t="str" cm="1">
        <f t="array" ref="N2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25" t="s">
        <v>6</v>
      </c>
      <c r="P25">
        <f>SUM(DATA_JUNIO_2025[[#This Row],[1]:[31]])</f>
        <v>10780</v>
      </c>
      <c r="Q25">
        <v>30500</v>
      </c>
      <c r="R25" t="s">
        <v>81</v>
      </c>
      <c r="U25">
        <v>380</v>
      </c>
      <c r="V25">
        <v>210</v>
      </c>
      <c r="X25">
        <v>1200</v>
      </c>
      <c r="AQ25">
        <v>990</v>
      </c>
      <c r="AV25">
        <v>8000</v>
      </c>
      <c r="AX25" t="s">
        <v>152</v>
      </c>
    </row>
    <row r="26" spans="1:50" x14ac:dyDescent="0.25">
      <c r="A26" t="s">
        <v>4</v>
      </c>
      <c r="B26" t="s">
        <v>82</v>
      </c>
      <c r="C26">
        <f>VLOOKUP(D1_JUNIO_2025[[#This Row],[SUPER]],DATA_JUNIO_2025[[SUPERVISOR]:[META]],3,0)</f>
        <v>65000</v>
      </c>
      <c r="D26">
        <f>D1_JUNIO_2025[[#This Row],[RECUPERO]]/D1_JUNIO_2025[[#This Row],[META]]</f>
        <v>0.1215076923076923</v>
      </c>
      <c r="E26" t="s">
        <v>4</v>
      </c>
      <c r="F26" t="s">
        <v>82</v>
      </c>
      <c r="G26">
        <v>7898</v>
      </c>
      <c r="H26" t="s">
        <v>465</v>
      </c>
      <c r="I26" s="56">
        <v>45798</v>
      </c>
      <c r="J26" t="s">
        <v>501</v>
      </c>
      <c r="L26" s="56"/>
      <c r="M26" s="1">
        <f>DATA_JUNIO_2025[[#This Row],[RECUPERO]]/DATA_JUNIO_2025[[#This Row],[META]]</f>
        <v>0.75239999999999996</v>
      </c>
      <c r="N26" t="str" cm="1">
        <f t="array" ref="N2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26" t="s">
        <v>5</v>
      </c>
      <c r="P26">
        <f>SUM(DATA_JUNIO_2025[[#This Row],[1]:[31]])</f>
        <v>48906</v>
      </c>
      <c r="Q26">
        <v>65000</v>
      </c>
      <c r="R26" t="s">
        <v>72</v>
      </c>
      <c r="S26">
        <v>300</v>
      </c>
      <c r="T26">
        <v>9179</v>
      </c>
      <c r="V26">
        <v>500</v>
      </c>
      <c r="X26">
        <v>5000</v>
      </c>
      <c r="AA26">
        <v>180</v>
      </c>
      <c r="AC26">
        <v>12292</v>
      </c>
      <c r="AH26">
        <v>850</v>
      </c>
      <c r="AI26">
        <v>7000</v>
      </c>
      <c r="AJ26">
        <v>1633</v>
      </c>
      <c r="AK26">
        <v>500</v>
      </c>
      <c r="AL26">
        <v>219</v>
      </c>
      <c r="AN26">
        <v>470</v>
      </c>
      <c r="AO26">
        <v>2800</v>
      </c>
      <c r="AP26">
        <v>5</v>
      </c>
      <c r="AQ26">
        <v>360</v>
      </c>
      <c r="AR26">
        <v>700</v>
      </c>
      <c r="AS26">
        <v>3218</v>
      </c>
      <c r="AU26">
        <v>700</v>
      </c>
      <c r="AV26">
        <v>3000</v>
      </c>
      <c r="AX26" t="s">
        <v>150</v>
      </c>
    </row>
    <row r="27" spans="1:50" x14ac:dyDescent="0.25">
      <c r="A27" t="s">
        <v>2</v>
      </c>
      <c r="B27" t="s">
        <v>13</v>
      </c>
      <c r="C27">
        <f>VLOOKUP(D1_JUNIO_2025[[#This Row],[SUPER]],DATA_JUNIO_2025[[SUPERVISOR]:[META]],3,0)</f>
        <v>65000</v>
      </c>
      <c r="D27">
        <f>D1_JUNIO_2025[[#This Row],[RECUPERO]]/D1_JUNIO_2025[[#This Row],[META]]</f>
        <v>1.07595</v>
      </c>
      <c r="E27" t="s">
        <v>2</v>
      </c>
      <c r="F27" t="s">
        <v>13</v>
      </c>
      <c r="G27">
        <v>69936.75</v>
      </c>
      <c r="H27" t="s">
        <v>382</v>
      </c>
      <c r="I27" s="56">
        <v>44811</v>
      </c>
      <c r="J27" t="s">
        <v>501</v>
      </c>
      <c r="L27" s="56"/>
      <c r="M27" s="1">
        <f>DATA_JUNIO_2025[[#This Row],[RECUPERO]]/DATA_JUNIO_2025[[#This Row],[META]]</f>
        <v>0.65742800000000001</v>
      </c>
      <c r="N27" t="str" cm="1">
        <f t="array" ref="N2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27" t="s">
        <v>3</v>
      </c>
      <c r="P27">
        <f>SUM(DATA_JUNIO_2025[[#This Row],[1]:[31]])</f>
        <v>42732.82</v>
      </c>
      <c r="Q27">
        <v>65000</v>
      </c>
      <c r="R27" t="s">
        <v>22</v>
      </c>
      <c r="T27">
        <v>2282</v>
      </c>
      <c r="X27">
        <v>500</v>
      </c>
      <c r="AA27">
        <v>4173.12</v>
      </c>
      <c r="AC27">
        <v>3057.7</v>
      </c>
      <c r="AE27">
        <v>5342</v>
      </c>
      <c r="AJ27">
        <v>600</v>
      </c>
      <c r="AM27">
        <v>800</v>
      </c>
      <c r="AN27">
        <v>500</v>
      </c>
      <c r="AO27">
        <v>3000</v>
      </c>
      <c r="AP27">
        <v>8500</v>
      </c>
      <c r="AQ27">
        <v>3000</v>
      </c>
      <c r="AR27">
        <v>1571</v>
      </c>
      <c r="AS27">
        <v>5000</v>
      </c>
      <c r="AV27">
        <v>4407</v>
      </c>
      <c r="AX27" t="s">
        <v>150</v>
      </c>
    </row>
    <row r="28" spans="1:50" x14ac:dyDescent="0.25">
      <c r="A28" t="s">
        <v>2</v>
      </c>
      <c r="B28" t="s">
        <v>11</v>
      </c>
      <c r="C28">
        <f>VLOOKUP(D1_JUNIO_2025[[#This Row],[SUPER]],DATA_JUNIO_2025[[SUPERVISOR]:[META]],3,0)</f>
        <v>65000</v>
      </c>
      <c r="D28">
        <f>D1_JUNIO_2025[[#This Row],[RECUPERO]]/D1_JUNIO_2025[[#This Row],[META]]</f>
        <v>0.90316923076923072</v>
      </c>
      <c r="E28" t="s">
        <v>2</v>
      </c>
      <c r="F28" t="s">
        <v>11</v>
      </c>
      <c r="G28">
        <v>58706</v>
      </c>
      <c r="H28" t="s">
        <v>429</v>
      </c>
      <c r="I28" s="56">
        <v>45371</v>
      </c>
      <c r="J28" t="s">
        <v>501</v>
      </c>
      <c r="L28" s="56"/>
      <c r="M28" s="1">
        <f>DATA_JUNIO_2025[[#This Row],[RECUPERO]]/DATA_JUNIO_2025[[#This Row],[META]]</f>
        <v>1.6403333333333334</v>
      </c>
      <c r="N28" t="str" cm="1">
        <f t="array" ref="N2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28" t="s">
        <v>8</v>
      </c>
      <c r="P28">
        <f>SUM(DATA_JUNIO_2025[[#This Row],[1]:[31]])</f>
        <v>24605</v>
      </c>
      <c r="Q28">
        <v>15000</v>
      </c>
      <c r="R28" t="s">
        <v>24</v>
      </c>
      <c r="U28">
        <v>210</v>
      </c>
      <c r="V28">
        <v>1000</v>
      </c>
      <c r="W28">
        <v>100</v>
      </c>
      <c r="X28">
        <v>195</v>
      </c>
      <c r="AA28">
        <v>350</v>
      </c>
      <c r="AB28">
        <v>1000</v>
      </c>
      <c r="AE28">
        <v>5100</v>
      </c>
      <c r="AH28">
        <v>1100</v>
      </c>
      <c r="AJ28">
        <v>950</v>
      </c>
      <c r="AK28">
        <v>1000</v>
      </c>
      <c r="AL28">
        <v>8500</v>
      </c>
      <c r="AO28">
        <v>100</v>
      </c>
      <c r="AQ28">
        <v>350</v>
      </c>
      <c r="AR28">
        <v>750</v>
      </c>
      <c r="AS28">
        <v>300</v>
      </c>
      <c r="AV28">
        <v>3600</v>
      </c>
      <c r="AX28" t="s">
        <v>153</v>
      </c>
    </row>
    <row r="29" spans="1:50" x14ac:dyDescent="0.25">
      <c r="A29" t="s">
        <v>2</v>
      </c>
      <c r="B29" t="s">
        <v>10</v>
      </c>
      <c r="C29">
        <f>VLOOKUP(D1_JUNIO_2025[[#This Row],[SUPER]],DATA_JUNIO_2025[[SUPERVISOR]:[META]],3,0)</f>
        <v>65000</v>
      </c>
      <c r="D29">
        <f>D1_JUNIO_2025[[#This Row],[RECUPERO]]/D1_JUNIO_2025[[#This Row],[META]]</f>
        <v>0.85598461538461534</v>
      </c>
      <c r="E29" t="s">
        <v>2</v>
      </c>
      <c r="F29" t="s">
        <v>10</v>
      </c>
      <c r="G29">
        <v>55639</v>
      </c>
      <c r="H29" t="s">
        <v>449</v>
      </c>
      <c r="I29" s="56">
        <v>44706</v>
      </c>
      <c r="J29" t="s">
        <v>501</v>
      </c>
      <c r="L29" s="56"/>
      <c r="M29" s="1">
        <f>DATA_JUNIO_2025[[#This Row],[RECUPERO]]/DATA_JUNIO_2025[[#This Row],[META]]</f>
        <v>0.80760655737704923</v>
      </c>
      <c r="N29" t="str" cm="1">
        <f t="array" ref="N2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29" t="s">
        <v>6</v>
      </c>
      <c r="P29">
        <f>SUM(DATA_JUNIO_2025[[#This Row],[1]:[31]])</f>
        <v>24632</v>
      </c>
      <c r="Q29">
        <v>30500</v>
      </c>
      <c r="R29" t="s">
        <v>105</v>
      </c>
      <c r="U29">
        <v>1000</v>
      </c>
      <c r="V29">
        <v>1800</v>
      </c>
      <c r="W29">
        <v>500</v>
      </c>
      <c r="AA29">
        <v>210</v>
      </c>
      <c r="AB29">
        <v>3000</v>
      </c>
      <c r="AD29">
        <v>3000</v>
      </c>
      <c r="AH29">
        <v>900</v>
      </c>
      <c r="AL29">
        <v>1510</v>
      </c>
      <c r="AQ29">
        <v>4270</v>
      </c>
      <c r="AS29">
        <v>600</v>
      </c>
      <c r="AT29">
        <v>1500</v>
      </c>
      <c r="AU29">
        <v>1867</v>
      </c>
      <c r="AV29">
        <v>4475</v>
      </c>
      <c r="AX29" t="s">
        <v>152</v>
      </c>
    </row>
    <row r="30" spans="1:50" x14ac:dyDescent="0.25">
      <c r="A30" t="s">
        <v>2</v>
      </c>
      <c r="B30" t="s">
        <v>17</v>
      </c>
      <c r="C30">
        <f>VLOOKUP(D1_JUNIO_2025[[#This Row],[SUPER]],DATA_JUNIO_2025[[SUPERVISOR]:[META]],3,0)</f>
        <v>65000</v>
      </c>
      <c r="D30">
        <f>D1_JUNIO_2025[[#This Row],[RECUPERO]]/D1_JUNIO_2025[[#This Row],[META]]</f>
        <v>0.54201538461538457</v>
      </c>
      <c r="E30" t="s">
        <v>2</v>
      </c>
      <c r="F30" t="s">
        <v>17</v>
      </c>
      <c r="G30">
        <v>35231</v>
      </c>
      <c r="H30" t="s">
        <v>385</v>
      </c>
      <c r="I30" s="56">
        <v>44888</v>
      </c>
      <c r="J30" t="s">
        <v>501</v>
      </c>
      <c r="L30" s="56"/>
      <c r="M30" s="1">
        <f>DATA_JUNIO_2025[[#This Row],[RECUPERO]]/DATA_JUNIO_2025[[#This Row],[META]]</f>
        <v>0.25192307692307692</v>
      </c>
      <c r="N30" t="str" cm="1">
        <f t="array" ref="N3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30" t="s">
        <v>2</v>
      </c>
      <c r="P30">
        <f>SUM(DATA_JUNIO_2025[[#This Row],[1]:[31]])</f>
        <v>16375</v>
      </c>
      <c r="Q30">
        <v>65000</v>
      </c>
      <c r="R30" t="s">
        <v>16</v>
      </c>
      <c r="V30">
        <v>1400</v>
      </c>
      <c r="AB30">
        <v>4000</v>
      </c>
      <c r="AE30">
        <v>700</v>
      </c>
      <c r="AG30">
        <v>475</v>
      </c>
      <c r="AL30">
        <v>3100</v>
      </c>
      <c r="AO30">
        <v>500</v>
      </c>
      <c r="AR30">
        <v>1000</v>
      </c>
      <c r="AV30">
        <v>5200</v>
      </c>
      <c r="AX30" t="s">
        <v>150</v>
      </c>
    </row>
    <row r="31" spans="1:50" x14ac:dyDescent="0.25">
      <c r="A31" t="s">
        <v>2</v>
      </c>
      <c r="B31" t="s">
        <v>12</v>
      </c>
      <c r="C31">
        <f>VLOOKUP(D1_JUNIO_2025[[#This Row],[SUPER]],DATA_JUNIO_2025[[SUPERVISOR]:[META]],3,0)</f>
        <v>65000</v>
      </c>
      <c r="D31">
        <f>D1_JUNIO_2025[[#This Row],[RECUPERO]]/D1_JUNIO_2025[[#This Row],[META]]</f>
        <v>0.50175384615384611</v>
      </c>
      <c r="E31" t="s">
        <v>2</v>
      </c>
      <c r="F31" t="s">
        <v>12</v>
      </c>
      <c r="G31">
        <v>32614</v>
      </c>
      <c r="H31" t="s">
        <v>389</v>
      </c>
      <c r="I31" s="56">
        <v>44870</v>
      </c>
      <c r="J31" t="s">
        <v>501</v>
      </c>
      <c r="L31" s="56"/>
      <c r="M31" s="1">
        <f>DATA_JUNIO_2025[[#This Row],[RECUPERO]]/DATA_JUNIO_2025[[#This Row],[META]]</f>
        <v>0.83660000000000001</v>
      </c>
      <c r="N31" t="str" cm="1">
        <f t="array" ref="N3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31" t="s">
        <v>125</v>
      </c>
      <c r="P31">
        <f>SUM(DATA_JUNIO_2025[[#This Row],[1]:[31]])</f>
        <v>12549</v>
      </c>
      <c r="Q31">
        <v>15000</v>
      </c>
      <c r="R31" t="s">
        <v>27</v>
      </c>
      <c r="W31">
        <v>200</v>
      </c>
      <c r="X31">
        <v>300</v>
      </c>
      <c r="AA31">
        <v>250</v>
      </c>
      <c r="AB31">
        <v>1200</v>
      </c>
      <c r="AC31">
        <v>1300</v>
      </c>
      <c r="AD31">
        <v>378</v>
      </c>
      <c r="AI31">
        <v>2400</v>
      </c>
      <c r="AJ31">
        <v>2000</v>
      </c>
      <c r="AK31">
        <v>200</v>
      </c>
      <c r="AL31">
        <v>1992</v>
      </c>
      <c r="AO31">
        <v>700</v>
      </c>
      <c r="AQ31">
        <v>200</v>
      </c>
      <c r="AS31">
        <v>279</v>
      </c>
      <c r="AV31">
        <v>1150</v>
      </c>
      <c r="AX31" t="s">
        <v>153</v>
      </c>
    </row>
    <row r="32" spans="1:50" x14ac:dyDescent="0.25">
      <c r="A32" t="s">
        <v>2</v>
      </c>
      <c r="B32" t="s">
        <v>77</v>
      </c>
      <c r="C32">
        <f>VLOOKUP(D1_JUNIO_2025[[#This Row],[SUPER]],DATA_JUNIO_2025[[SUPERVISOR]:[META]],3,0)</f>
        <v>65000</v>
      </c>
      <c r="D32">
        <f>D1_JUNIO_2025[[#This Row],[RECUPERO]]/D1_JUNIO_2025[[#This Row],[META]]</f>
        <v>0.32</v>
      </c>
      <c r="E32" t="s">
        <v>2</v>
      </c>
      <c r="F32" t="s">
        <v>77</v>
      </c>
      <c r="G32">
        <v>20800</v>
      </c>
      <c r="H32" t="s">
        <v>393</v>
      </c>
      <c r="I32" s="56">
        <v>44840</v>
      </c>
      <c r="J32" t="s">
        <v>501</v>
      </c>
      <c r="L32" s="56"/>
      <c r="M32" s="1">
        <f>DATA_JUNIO_2025[[#This Row],[RECUPERO]]/DATA_JUNIO_2025[[#This Row],[META]]</f>
        <v>0.50175384615384611</v>
      </c>
      <c r="N32" t="str" cm="1">
        <f t="array" ref="N3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32" t="s">
        <v>2</v>
      </c>
      <c r="P32">
        <f>SUM(DATA_JUNIO_2025[[#This Row],[1]:[31]])</f>
        <v>32614</v>
      </c>
      <c r="Q32">
        <v>65000</v>
      </c>
      <c r="R32" t="s">
        <v>12</v>
      </c>
      <c r="T32">
        <v>600</v>
      </c>
      <c r="U32">
        <v>1500</v>
      </c>
      <c r="W32">
        <v>9000</v>
      </c>
      <c r="AC32">
        <v>700</v>
      </c>
      <c r="AD32">
        <v>4000</v>
      </c>
      <c r="AH32">
        <v>600</v>
      </c>
      <c r="AI32">
        <v>2000</v>
      </c>
      <c r="AO32">
        <v>2000</v>
      </c>
      <c r="AQ32">
        <v>2234</v>
      </c>
      <c r="AR32">
        <v>3530</v>
      </c>
      <c r="AV32">
        <v>6450</v>
      </c>
      <c r="AX32" t="s">
        <v>150</v>
      </c>
    </row>
    <row r="33" spans="1:50" x14ac:dyDescent="0.25">
      <c r="A33" t="s">
        <v>2</v>
      </c>
      <c r="B33" t="s">
        <v>86</v>
      </c>
      <c r="C33">
        <f>VLOOKUP(D1_JUNIO_2025[[#This Row],[SUPER]],DATA_JUNIO_2025[[SUPERVISOR]:[META]],3,0)</f>
        <v>65000</v>
      </c>
      <c r="D33">
        <f>D1_JUNIO_2025[[#This Row],[RECUPERO]]/D1_JUNIO_2025[[#This Row],[META]]</f>
        <v>0.30121538461538461</v>
      </c>
      <c r="E33" t="s">
        <v>2</v>
      </c>
      <c r="F33" t="s">
        <v>86</v>
      </c>
      <c r="G33">
        <v>19579</v>
      </c>
      <c r="H33" t="s">
        <v>466</v>
      </c>
      <c r="I33" s="56">
        <v>45798</v>
      </c>
      <c r="J33" t="s">
        <v>501</v>
      </c>
      <c r="L33" s="56"/>
      <c r="M33" s="1">
        <f>DATA_JUNIO_2025[[#This Row],[RECUPERO]]/DATA_JUNIO_2025[[#This Row],[META]]</f>
        <v>0.30833333333333335</v>
      </c>
      <c r="N33" t="str" cm="1">
        <f t="array" ref="N3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33" t="s">
        <v>9</v>
      </c>
      <c r="P33">
        <f>SUM(DATA_JUNIO_2025[[#This Row],[1]:[31]])</f>
        <v>4625</v>
      </c>
      <c r="Q33">
        <v>15000</v>
      </c>
      <c r="R33" t="s">
        <v>51</v>
      </c>
      <c r="T33">
        <v>500</v>
      </c>
      <c r="AD33">
        <v>1000</v>
      </c>
      <c r="AH33">
        <v>200</v>
      </c>
      <c r="AI33">
        <v>480</v>
      </c>
      <c r="AL33">
        <v>215</v>
      </c>
      <c r="AO33">
        <v>500</v>
      </c>
      <c r="AS33">
        <v>500</v>
      </c>
      <c r="AV33">
        <v>1230</v>
      </c>
      <c r="AX33" t="s">
        <v>153</v>
      </c>
    </row>
    <row r="34" spans="1:50" x14ac:dyDescent="0.25">
      <c r="A34" t="s">
        <v>2</v>
      </c>
      <c r="B34" t="s">
        <v>16</v>
      </c>
      <c r="C34">
        <f>VLOOKUP(D1_JUNIO_2025[[#This Row],[SUPER]],DATA_JUNIO_2025[[SUPERVISOR]:[META]],3,0)</f>
        <v>65000</v>
      </c>
      <c r="D34">
        <f>D1_JUNIO_2025[[#This Row],[RECUPERO]]/D1_JUNIO_2025[[#This Row],[META]]</f>
        <v>0.25192307692307692</v>
      </c>
      <c r="E34" t="s">
        <v>2</v>
      </c>
      <c r="F34" t="s">
        <v>16</v>
      </c>
      <c r="G34">
        <v>16375</v>
      </c>
      <c r="H34" t="s">
        <v>388</v>
      </c>
      <c r="I34" s="56">
        <v>45334</v>
      </c>
      <c r="J34" t="s">
        <v>501</v>
      </c>
      <c r="L34" s="56"/>
      <c r="M34" s="1">
        <f>DATA_JUNIO_2025[[#This Row],[RECUPERO]]/DATA_JUNIO_2025[[#This Row],[META]]</f>
        <v>1.07595</v>
      </c>
      <c r="N34" t="str" cm="1">
        <f t="array" ref="N3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34" t="s">
        <v>2</v>
      </c>
      <c r="P34">
        <f>SUM(DATA_JUNIO_2025[[#This Row],[1]:[31]])</f>
        <v>69936.75</v>
      </c>
      <c r="Q34">
        <v>65000</v>
      </c>
      <c r="R34" t="s">
        <v>13</v>
      </c>
      <c r="T34">
        <v>2500</v>
      </c>
      <c r="U34">
        <v>1000</v>
      </c>
      <c r="AD34">
        <v>38000</v>
      </c>
      <c r="AI34">
        <v>1200</v>
      </c>
      <c r="AJ34">
        <v>2000</v>
      </c>
      <c r="AL34">
        <v>700</v>
      </c>
      <c r="AP34">
        <v>1000</v>
      </c>
      <c r="AS34">
        <v>15221.75</v>
      </c>
      <c r="AT34">
        <v>1500</v>
      </c>
      <c r="AV34">
        <v>6815</v>
      </c>
      <c r="AX34" t="s">
        <v>150</v>
      </c>
    </row>
    <row r="35" spans="1:50" x14ac:dyDescent="0.25">
      <c r="A35" t="s">
        <v>5</v>
      </c>
      <c r="B35" t="s">
        <v>58</v>
      </c>
      <c r="C35">
        <f>VLOOKUP(D1_JUNIO_2025[[#This Row],[SUPER]],DATA_JUNIO_2025[[SUPERVISOR]:[META]],3,0)</f>
        <v>65000</v>
      </c>
      <c r="D35">
        <f>D1_JUNIO_2025[[#This Row],[RECUPERO]]/D1_JUNIO_2025[[#This Row],[META]]</f>
        <v>0.87016923076923081</v>
      </c>
      <c r="E35" t="s">
        <v>5</v>
      </c>
      <c r="F35" t="s">
        <v>58</v>
      </c>
      <c r="G35">
        <v>56561</v>
      </c>
      <c r="H35" t="s">
        <v>441</v>
      </c>
      <c r="I35" s="56">
        <v>43035</v>
      </c>
      <c r="J35" t="s">
        <v>501</v>
      </c>
      <c r="L35" s="56"/>
      <c r="M35" s="1">
        <f>DATA_JUNIO_2025[[#This Row],[RECUPERO]]/DATA_JUNIO_2025[[#This Row],[META]]</f>
        <v>0.5633800000000001</v>
      </c>
      <c r="N35" t="str" cm="1">
        <f t="array" ref="N3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35" t="s">
        <v>9</v>
      </c>
      <c r="P35">
        <f>SUM(DATA_JUNIO_2025[[#This Row],[1]:[31]])</f>
        <v>8450.7000000000007</v>
      </c>
      <c r="Q35">
        <v>15000</v>
      </c>
      <c r="R35" t="s">
        <v>32</v>
      </c>
      <c r="U35">
        <v>640</v>
      </c>
      <c r="W35">
        <v>160</v>
      </c>
      <c r="AB35">
        <v>200</v>
      </c>
      <c r="AC35">
        <v>500</v>
      </c>
      <c r="AE35">
        <v>902.7</v>
      </c>
      <c r="AH35">
        <v>800</v>
      </c>
      <c r="AJ35">
        <v>310</v>
      </c>
      <c r="AO35">
        <v>1356</v>
      </c>
      <c r="AP35">
        <v>790</v>
      </c>
      <c r="AS35">
        <v>500</v>
      </c>
      <c r="AT35">
        <v>200</v>
      </c>
      <c r="AV35">
        <v>2092</v>
      </c>
      <c r="AX35" t="s">
        <v>153</v>
      </c>
    </row>
    <row r="36" spans="1:50" x14ac:dyDescent="0.25">
      <c r="A36" t="s">
        <v>5</v>
      </c>
      <c r="B36" t="s">
        <v>70</v>
      </c>
      <c r="C36">
        <f>VLOOKUP(D1_JUNIO_2025[[#This Row],[SUPER]],DATA_JUNIO_2025[[SUPERVISOR]:[META]],3,0)</f>
        <v>65000</v>
      </c>
      <c r="D36">
        <f>D1_JUNIO_2025[[#This Row],[RECUPERO]]/D1_JUNIO_2025[[#This Row],[META]]</f>
        <v>0.77458461538461543</v>
      </c>
      <c r="E36" t="s">
        <v>5</v>
      </c>
      <c r="F36" t="s">
        <v>70</v>
      </c>
      <c r="G36">
        <v>50348</v>
      </c>
      <c r="H36" t="s">
        <v>418</v>
      </c>
      <c r="I36" s="56">
        <v>44971</v>
      </c>
      <c r="J36" t="s">
        <v>501</v>
      </c>
      <c r="L36" s="56"/>
      <c r="M36" s="1">
        <f>DATA_JUNIO_2025[[#This Row],[RECUPERO]]/DATA_JUNIO_2025[[#This Row],[META]]</f>
        <v>0.47669230769230769</v>
      </c>
      <c r="N36" t="str" cm="1">
        <f t="array" ref="N3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36" t="s">
        <v>5</v>
      </c>
      <c r="P36">
        <f>SUM(DATA_JUNIO_2025[[#This Row],[1]:[31]])</f>
        <v>30985</v>
      </c>
      <c r="Q36">
        <v>65000</v>
      </c>
      <c r="R36" t="s">
        <v>66</v>
      </c>
      <c r="T36">
        <v>610</v>
      </c>
      <c r="U36">
        <v>295</v>
      </c>
      <c r="X36">
        <v>716</v>
      </c>
      <c r="AB36">
        <v>600</v>
      </c>
      <c r="AK36">
        <v>2500</v>
      </c>
      <c r="AL36">
        <v>600</v>
      </c>
      <c r="AR36">
        <v>20000</v>
      </c>
      <c r="AS36">
        <v>4000</v>
      </c>
      <c r="AV36">
        <v>1664</v>
      </c>
      <c r="AX36" t="s">
        <v>150</v>
      </c>
    </row>
    <row r="37" spans="1:50" x14ac:dyDescent="0.25">
      <c r="A37" t="s">
        <v>5</v>
      </c>
      <c r="B37" t="s">
        <v>72</v>
      </c>
      <c r="C37">
        <f>VLOOKUP(D1_JUNIO_2025[[#This Row],[SUPER]],DATA_JUNIO_2025[[SUPERVISOR]:[META]],3,0)</f>
        <v>65000</v>
      </c>
      <c r="D37">
        <f>D1_JUNIO_2025[[#This Row],[RECUPERO]]/D1_JUNIO_2025[[#This Row],[META]]</f>
        <v>0.75239999999999996</v>
      </c>
      <c r="E37" t="s">
        <v>5</v>
      </c>
      <c r="F37" t="s">
        <v>72</v>
      </c>
      <c r="G37">
        <v>48906</v>
      </c>
      <c r="H37" t="s">
        <v>450</v>
      </c>
      <c r="I37" s="56">
        <v>45084</v>
      </c>
      <c r="J37" t="s">
        <v>501</v>
      </c>
      <c r="L37" s="56"/>
      <c r="M37" s="1">
        <f>DATA_JUNIO_2025[[#This Row],[RECUPERO]]/DATA_JUNIO_2025[[#This Row],[META]]</f>
        <v>0.32</v>
      </c>
      <c r="N37" t="str" cm="1">
        <f t="array" ref="N3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37" t="s">
        <v>6</v>
      </c>
      <c r="P37">
        <f>SUM(DATA_JUNIO_2025[[#This Row],[1]:[31]])</f>
        <v>9760</v>
      </c>
      <c r="Q37">
        <v>30500</v>
      </c>
      <c r="R37" t="s">
        <v>44</v>
      </c>
      <c r="U37">
        <v>100</v>
      </c>
      <c r="W37">
        <v>900</v>
      </c>
      <c r="X37">
        <v>600</v>
      </c>
      <c r="AB37">
        <v>500</v>
      </c>
      <c r="AD37">
        <v>140</v>
      </c>
      <c r="AH37">
        <v>120</v>
      </c>
      <c r="AI37">
        <v>420</v>
      </c>
      <c r="AK37">
        <v>230</v>
      </c>
      <c r="AO37">
        <v>1550</v>
      </c>
      <c r="AS37">
        <v>4700</v>
      </c>
      <c r="AV37">
        <v>500</v>
      </c>
      <c r="AX37" t="s">
        <v>152</v>
      </c>
    </row>
    <row r="38" spans="1:50" x14ac:dyDescent="0.25">
      <c r="A38" t="s">
        <v>5</v>
      </c>
      <c r="B38" t="s">
        <v>79</v>
      </c>
      <c r="C38">
        <f>VLOOKUP(D1_JUNIO_2025[[#This Row],[SUPER]],DATA_JUNIO_2025[[SUPERVISOR]:[META]],3,0)</f>
        <v>65000</v>
      </c>
      <c r="D38">
        <f>D1_JUNIO_2025[[#This Row],[RECUPERO]]/D1_JUNIO_2025[[#This Row],[META]]</f>
        <v>0.59830769230769232</v>
      </c>
      <c r="E38" t="s">
        <v>5</v>
      </c>
      <c r="F38" t="s">
        <v>79</v>
      </c>
      <c r="G38">
        <v>38890</v>
      </c>
      <c r="H38" t="s">
        <v>453</v>
      </c>
      <c r="I38" s="56">
        <v>44566</v>
      </c>
      <c r="J38" t="s">
        <v>501</v>
      </c>
      <c r="L38" s="56"/>
      <c r="M38" s="1">
        <f>DATA_JUNIO_2025[[#This Row],[RECUPERO]]/DATA_JUNIO_2025[[#This Row],[META]]</f>
        <v>0.46814666666666666</v>
      </c>
      <c r="N38" t="str" cm="1">
        <f t="array" ref="N3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38" t="s">
        <v>8</v>
      </c>
      <c r="P38">
        <f>SUM(DATA_JUNIO_2025[[#This Row],[1]:[31]])</f>
        <v>7022.2</v>
      </c>
      <c r="Q38">
        <v>15000</v>
      </c>
      <c r="R38" t="s">
        <v>42</v>
      </c>
      <c r="U38">
        <v>2233</v>
      </c>
      <c r="X38">
        <v>400</v>
      </c>
      <c r="Y38">
        <v>200</v>
      </c>
      <c r="AA38">
        <v>189</v>
      </c>
      <c r="AB38">
        <v>200</v>
      </c>
      <c r="AH38">
        <v>500</v>
      </c>
      <c r="AK38">
        <v>300</v>
      </c>
      <c r="AM38">
        <v>3000.2</v>
      </c>
      <c r="AX38" t="s">
        <v>153</v>
      </c>
    </row>
    <row r="39" spans="1:50" x14ac:dyDescent="0.25">
      <c r="A39" t="s">
        <v>5</v>
      </c>
      <c r="B39" t="s">
        <v>67</v>
      </c>
      <c r="C39">
        <f>VLOOKUP(D1_JUNIO_2025[[#This Row],[SUPER]],DATA_JUNIO_2025[[SUPERVISOR]:[META]],3,0)</f>
        <v>65000</v>
      </c>
      <c r="D39">
        <f>D1_JUNIO_2025[[#This Row],[RECUPERO]]/D1_JUNIO_2025[[#This Row],[META]]</f>
        <v>0.5121230769230769</v>
      </c>
      <c r="E39" t="s">
        <v>5</v>
      </c>
      <c r="F39" t="s">
        <v>67</v>
      </c>
      <c r="G39">
        <v>33288</v>
      </c>
      <c r="H39" t="s">
        <v>381</v>
      </c>
      <c r="I39" s="56">
        <v>44811</v>
      </c>
      <c r="J39" t="s">
        <v>501</v>
      </c>
      <c r="L39" s="56"/>
      <c r="M39" s="1">
        <f>DATA_JUNIO_2025[[#This Row],[RECUPERO]]/DATA_JUNIO_2025[[#This Row],[META]]</f>
        <v>0.78659999999999997</v>
      </c>
      <c r="N39" t="str" cm="1">
        <f t="array" ref="N3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39" t="s">
        <v>8</v>
      </c>
      <c r="P39">
        <f>SUM(DATA_JUNIO_2025[[#This Row],[1]:[31]])</f>
        <v>11799</v>
      </c>
      <c r="Q39">
        <v>15000</v>
      </c>
      <c r="R39" t="s">
        <v>83</v>
      </c>
      <c r="T39">
        <v>839</v>
      </c>
      <c r="V39">
        <v>986</v>
      </c>
      <c r="X39">
        <v>244</v>
      </c>
      <c r="Y39">
        <v>150</v>
      </c>
      <c r="AB39">
        <v>100</v>
      </c>
      <c r="AC39">
        <v>354</v>
      </c>
      <c r="AD39">
        <v>193</v>
      </c>
      <c r="AE39">
        <v>2900</v>
      </c>
      <c r="AI39">
        <v>500</v>
      </c>
      <c r="AJ39">
        <v>1250</v>
      </c>
      <c r="AK39">
        <v>200</v>
      </c>
      <c r="AN39">
        <v>200</v>
      </c>
      <c r="AO39">
        <v>550</v>
      </c>
      <c r="AQ39">
        <v>850</v>
      </c>
      <c r="AR39">
        <v>485</v>
      </c>
      <c r="AS39">
        <v>250</v>
      </c>
      <c r="AV39">
        <v>1748</v>
      </c>
      <c r="AX39" t="s">
        <v>153</v>
      </c>
    </row>
    <row r="40" spans="1:50" x14ac:dyDescent="0.25">
      <c r="A40" t="s">
        <v>5</v>
      </c>
      <c r="B40" t="s">
        <v>66</v>
      </c>
      <c r="C40">
        <f>VLOOKUP(D1_JUNIO_2025[[#This Row],[SUPER]],DATA_JUNIO_2025[[SUPERVISOR]:[META]],3,0)</f>
        <v>65000</v>
      </c>
      <c r="D40">
        <f>D1_JUNIO_2025[[#This Row],[RECUPERO]]/D1_JUNIO_2025[[#This Row],[META]]</f>
        <v>0.47669230769230769</v>
      </c>
      <c r="E40" t="s">
        <v>5</v>
      </c>
      <c r="F40" t="s">
        <v>66</v>
      </c>
      <c r="G40">
        <v>30985</v>
      </c>
      <c r="H40" t="s">
        <v>383</v>
      </c>
      <c r="I40" s="56">
        <v>45457</v>
      </c>
      <c r="J40" t="s">
        <v>501</v>
      </c>
      <c r="L40" s="56"/>
      <c r="M40" s="1">
        <f>DATA_JUNIO_2025[[#This Row],[RECUPERO]]/DATA_JUNIO_2025[[#This Row],[META]]</f>
        <v>1.1831230769230769</v>
      </c>
      <c r="N40" t="str" cm="1">
        <f t="array" ref="N4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40" t="s">
        <v>4</v>
      </c>
      <c r="P40">
        <f>SUM(DATA_JUNIO_2025[[#This Row],[1]:[31]])</f>
        <v>76903</v>
      </c>
      <c r="Q40">
        <v>65000</v>
      </c>
      <c r="R40" t="s">
        <v>57</v>
      </c>
      <c r="T40">
        <v>7700</v>
      </c>
      <c r="W40">
        <v>8000</v>
      </c>
      <c r="X40">
        <v>600</v>
      </c>
      <c r="AA40">
        <v>9103</v>
      </c>
      <c r="AC40">
        <v>7500</v>
      </c>
      <c r="AD40">
        <v>23100</v>
      </c>
      <c r="AH40">
        <v>9000</v>
      </c>
      <c r="AL40">
        <v>6000</v>
      </c>
      <c r="AQ40">
        <v>1250</v>
      </c>
      <c r="AV40">
        <v>4650</v>
      </c>
      <c r="AX40" t="s">
        <v>150</v>
      </c>
    </row>
    <row r="41" spans="1:50" x14ac:dyDescent="0.25">
      <c r="A41" t="s">
        <v>5</v>
      </c>
      <c r="B41" t="s">
        <v>68</v>
      </c>
      <c r="C41">
        <f>VLOOKUP(D1_JUNIO_2025[[#This Row],[SUPER]],DATA_JUNIO_2025[[SUPERVISOR]:[META]],3,0)</f>
        <v>65000</v>
      </c>
      <c r="D41">
        <f>D1_JUNIO_2025[[#This Row],[RECUPERO]]/D1_JUNIO_2025[[#This Row],[META]]</f>
        <v>0.42841538461538464</v>
      </c>
      <c r="E41" t="s">
        <v>5</v>
      </c>
      <c r="F41" t="s">
        <v>68</v>
      </c>
      <c r="G41">
        <v>27847</v>
      </c>
      <c r="H41" t="s">
        <v>440</v>
      </c>
      <c r="I41" s="56">
        <v>45364</v>
      </c>
      <c r="J41" t="s">
        <v>501</v>
      </c>
      <c r="L41" s="56"/>
      <c r="M41" s="1">
        <f>DATA_JUNIO_2025[[#This Row],[RECUPERO]]/DATA_JUNIO_2025[[#This Row],[META]]</f>
        <v>0.36593333333333333</v>
      </c>
      <c r="N41" t="str" cm="1">
        <f t="array" ref="N4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41" t="s">
        <v>9</v>
      </c>
      <c r="P41">
        <f>SUM(DATA_JUNIO_2025[[#This Row],[1]:[31]])</f>
        <v>5489</v>
      </c>
      <c r="Q41">
        <v>15000</v>
      </c>
      <c r="R41" t="s">
        <v>49</v>
      </c>
      <c r="W41">
        <v>400</v>
      </c>
      <c r="X41">
        <v>550</v>
      </c>
      <c r="AB41">
        <v>300</v>
      </c>
      <c r="AD41">
        <v>1000</v>
      </c>
      <c r="AF41">
        <v>345</v>
      </c>
      <c r="AK41">
        <v>633</v>
      </c>
      <c r="AL41">
        <v>661</v>
      </c>
      <c r="AV41">
        <v>1600</v>
      </c>
      <c r="AX41" t="s">
        <v>153</v>
      </c>
    </row>
    <row r="42" spans="1:50" x14ac:dyDescent="0.25">
      <c r="A42" t="s">
        <v>5</v>
      </c>
      <c r="B42" t="s">
        <v>85</v>
      </c>
      <c r="C42">
        <f>VLOOKUP(D1_JUNIO_2025[[#This Row],[SUPER]],DATA_JUNIO_2025[[SUPERVISOR]:[META]],3,0)</f>
        <v>65000</v>
      </c>
      <c r="D42">
        <f>D1_JUNIO_2025[[#This Row],[RECUPERO]]/D1_JUNIO_2025[[#This Row],[META]]</f>
        <v>0.28987692307692309</v>
      </c>
      <c r="E42" t="s">
        <v>5</v>
      </c>
      <c r="F42" t="s">
        <v>85</v>
      </c>
      <c r="G42">
        <v>18842</v>
      </c>
      <c r="H42" t="s">
        <v>380</v>
      </c>
      <c r="I42" s="56">
        <v>44811</v>
      </c>
      <c r="J42" t="s">
        <v>501</v>
      </c>
      <c r="L42" s="56"/>
      <c r="M42" s="1">
        <f>DATA_JUNIO_2025[[#This Row],[RECUPERO]]/DATA_JUNIO_2025[[#This Row],[META]]</f>
        <v>0.64621538461538464</v>
      </c>
      <c r="N42" t="str" cm="1">
        <f t="array" ref="N4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42" t="s">
        <v>3</v>
      </c>
      <c r="P42">
        <f>SUM(DATA_JUNIO_2025[[#This Row],[1]:[31]])</f>
        <v>42004</v>
      </c>
      <c r="Q42">
        <v>65000</v>
      </c>
      <c r="R42" t="s">
        <v>26</v>
      </c>
      <c r="T42">
        <v>1000</v>
      </c>
      <c r="V42">
        <v>9000</v>
      </c>
      <c r="W42">
        <v>7000</v>
      </c>
      <c r="X42">
        <v>1000</v>
      </c>
      <c r="AA42">
        <v>5800</v>
      </c>
      <c r="AB42">
        <v>2500</v>
      </c>
      <c r="AC42">
        <v>8000</v>
      </c>
      <c r="AL42">
        <v>4000</v>
      </c>
      <c r="AP42">
        <v>700</v>
      </c>
      <c r="AS42">
        <v>600</v>
      </c>
      <c r="AV42">
        <v>2404</v>
      </c>
      <c r="AX42" t="s">
        <v>150</v>
      </c>
    </row>
    <row r="43" spans="1:50" x14ac:dyDescent="0.25">
      <c r="A43" t="s">
        <v>6</v>
      </c>
      <c r="B43" t="s">
        <v>50</v>
      </c>
      <c r="C43">
        <f>VLOOKUP(D1_JUNIO_2025[[#This Row],[SUPER]],DATA_JUNIO_2025[[SUPERVISOR]:[META]],3,0)</f>
        <v>30500</v>
      </c>
      <c r="D43">
        <f>D1_JUNIO_2025[[#This Row],[RECUPERO]]/D1_JUNIO_2025[[#This Row],[META]]</f>
        <v>0.82065573770491806</v>
      </c>
      <c r="E43" t="s">
        <v>6</v>
      </c>
      <c r="F43" t="s">
        <v>50</v>
      </c>
      <c r="G43">
        <v>25030</v>
      </c>
      <c r="H43" t="s">
        <v>402</v>
      </c>
      <c r="I43" s="56">
        <v>45523</v>
      </c>
      <c r="J43" t="s">
        <v>501</v>
      </c>
      <c r="L43" s="56"/>
      <c r="M43" s="1">
        <f>DATA_JUNIO_2025[[#This Row],[RECUPERO]]/DATA_JUNIO_2025[[#This Row],[META]]</f>
        <v>0.92958461538461534</v>
      </c>
      <c r="N43" t="str" cm="1">
        <f t="array" ref="N4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43" t="s">
        <v>4</v>
      </c>
      <c r="P43">
        <f>SUM(DATA_JUNIO_2025[[#This Row],[1]:[31]])</f>
        <v>60423</v>
      </c>
      <c r="Q43">
        <v>65000</v>
      </c>
      <c r="R43" t="s">
        <v>65</v>
      </c>
      <c r="W43">
        <v>10500</v>
      </c>
      <c r="X43">
        <v>1000</v>
      </c>
      <c r="AA43">
        <v>400</v>
      </c>
      <c r="AC43">
        <v>12000</v>
      </c>
      <c r="AD43">
        <v>120</v>
      </c>
      <c r="AE43">
        <v>15000</v>
      </c>
      <c r="AH43">
        <v>1130</v>
      </c>
      <c r="AJ43">
        <v>1062</v>
      </c>
      <c r="AL43">
        <v>5665</v>
      </c>
      <c r="AO43">
        <v>1500</v>
      </c>
      <c r="AQ43">
        <v>2050</v>
      </c>
      <c r="AR43">
        <v>1092</v>
      </c>
      <c r="AS43">
        <v>886</v>
      </c>
      <c r="AT43">
        <v>1500</v>
      </c>
      <c r="AV43">
        <v>6518</v>
      </c>
      <c r="AX43" t="s">
        <v>150</v>
      </c>
    </row>
    <row r="44" spans="1:50" x14ac:dyDescent="0.25">
      <c r="A44" t="s">
        <v>6</v>
      </c>
      <c r="B44" t="s">
        <v>105</v>
      </c>
      <c r="C44">
        <f>VLOOKUP(D1_JUNIO_2025[[#This Row],[SUPER]],DATA_JUNIO_2025[[SUPERVISOR]:[META]],3,0)</f>
        <v>30500</v>
      </c>
      <c r="D44">
        <f>D1_JUNIO_2025[[#This Row],[RECUPERO]]/D1_JUNIO_2025[[#This Row],[META]]</f>
        <v>0.80760655737704923</v>
      </c>
      <c r="E44" t="s">
        <v>6</v>
      </c>
      <c r="F44" t="s">
        <v>105</v>
      </c>
      <c r="G44">
        <v>24632</v>
      </c>
      <c r="H44" t="s">
        <v>463</v>
      </c>
      <c r="I44" s="56">
        <v>45748</v>
      </c>
      <c r="J44" t="s">
        <v>501</v>
      </c>
      <c r="L44" s="56"/>
      <c r="M44" s="1">
        <f>DATA_JUNIO_2025[[#This Row],[RECUPERO]]/DATA_JUNIO_2025[[#This Row],[META]]</f>
        <v>0.37245901639344264</v>
      </c>
      <c r="N44" t="str" cm="1">
        <f t="array" ref="N4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44" t="s">
        <v>6</v>
      </c>
      <c r="P44">
        <f>SUM(DATA_JUNIO_2025[[#This Row],[1]:[31]])</f>
        <v>11360</v>
      </c>
      <c r="Q44">
        <v>30500</v>
      </c>
      <c r="R44" t="s">
        <v>37</v>
      </c>
      <c r="T44">
        <v>2000</v>
      </c>
      <c r="U44">
        <v>100</v>
      </c>
      <c r="W44">
        <v>500</v>
      </c>
      <c r="AA44">
        <v>1470</v>
      </c>
      <c r="AC44">
        <v>200</v>
      </c>
      <c r="AD44">
        <v>1500</v>
      </c>
      <c r="AH44">
        <v>2000</v>
      </c>
      <c r="AK44">
        <v>2800</v>
      </c>
      <c r="AP44">
        <v>240</v>
      </c>
      <c r="AR44">
        <v>150</v>
      </c>
      <c r="AV44">
        <v>400</v>
      </c>
      <c r="AX44" t="s">
        <v>152</v>
      </c>
    </row>
    <row r="45" spans="1:50" x14ac:dyDescent="0.25">
      <c r="A45" t="s">
        <v>6</v>
      </c>
      <c r="B45" t="s">
        <v>35</v>
      </c>
      <c r="C45">
        <f>VLOOKUP(D1_JUNIO_2025[[#This Row],[SUPER]],DATA_JUNIO_2025[[SUPERVISOR]:[META]],3,0)</f>
        <v>30500</v>
      </c>
      <c r="D45">
        <f>D1_JUNIO_2025[[#This Row],[RECUPERO]]/D1_JUNIO_2025[[#This Row],[META]]</f>
        <v>0.51557377049180331</v>
      </c>
      <c r="E45" t="s">
        <v>6</v>
      </c>
      <c r="F45" t="s">
        <v>35</v>
      </c>
      <c r="G45">
        <v>15725</v>
      </c>
      <c r="H45" t="s">
        <v>401</v>
      </c>
      <c r="I45" s="56">
        <v>44748</v>
      </c>
      <c r="J45" t="s">
        <v>501</v>
      </c>
      <c r="L45" s="56"/>
      <c r="M45" s="1">
        <f>DATA_JUNIO_2025[[#This Row],[RECUPERO]]/DATA_JUNIO_2025[[#This Row],[META]]</f>
        <v>0.34173333333333333</v>
      </c>
      <c r="N45" t="str" cm="1">
        <f t="array" ref="N4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45" t="s">
        <v>125</v>
      </c>
      <c r="P45">
        <f>SUM(DATA_JUNIO_2025[[#This Row],[1]:[31]])</f>
        <v>5126</v>
      </c>
      <c r="Q45">
        <v>15000</v>
      </c>
      <c r="R45" t="s">
        <v>106</v>
      </c>
      <c r="U45">
        <v>210</v>
      </c>
      <c r="X45">
        <v>850</v>
      </c>
      <c r="AA45">
        <v>200</v>
      </c>
      <c r="AB45">
        <v>1080</v>
      </c>
      <c r="AE45">
        <v>762</v>
      </c>
      <c r="AM45">
        <v>324</v>
      </c>
      <c r="AO45">
        <v>400</v>
      </c>
      <c r="AS45">
        <v>1300</v>
      </c>
      <c r="AX45" t="s">
        <v>153</v>
      </c>
    </row>
    <row r="46" spans="1:50" x14ac:dyDescent="0.25">
      <c r="A46" t="s">
        <v>6</v>
      </c>
      <c r="B46" t="s">
        <v>19</v>
      </c>
      <c r="C46">
        <f>VLOOKUP(D1_JUNIO_2025[[#This Row],[SUPER]],DATA_JUNIO_2025[[SUPERVISOR]:[META]],3,0)</f>
        <v>30500</v>
      </c>
      <c r="D46">
        <f>D1_JUNIO_2025[[#This Row],[RECUPERO]]/D1_JUNIO_2025[[#This Row],[META]]</f>
        <v>0.44668852459016395</v>
      </c>
      <c r="E46" t="s">
        <v>6</v>
      </c>
      <c r="F46" t="s">
        <v>19</v>
      </c>
      <c r="G46">
        <v>13624</v>
      </c>
      <c r="H46" t="s">
        <v>399</v>
      </c>
      <c r="I46" s="56">
        <v>44673</v>
      </c>
      <c r="J46" t="s">
        <v>501</v>
      </c>
      <c r="L46" s="56"/>
      <c r="M46" s="1">
        <f>DATA_JUNIO_2025[[#This Row],[RECUPERO]]/DATA_JUNIO_2025[[#This Row],[META]]</f>
        <v>4.6666666666666669E-2</v>
      </c>
      <c r="N46" t="str" cm="1">
        <f t="array" ref="N4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46" t="s">
        <v>9</v>
      </c>
      <c r="P46">
        <f>SUM(DATA_JUNIO_2025[[#This Row],[1]:[31]])</f>
        <v>700</v>
      </c>
      <c r="Q46">
        <v>15000</v>
      </c>
      <c r="R46" t="s">
        <v>112</v>
      </c>
      <c r="AP46">
        <v>700</v>
      </c>
      <c r="AX46" t="s">
        <v>153</v>
      </c>
    </row>
    <row r="47" spans="1:50" x14ac:dyDescent="0.25">
      <c r="A47" t="s">
        <v>6</v>
      </c>
      <c r="B47" t="s">
        <v>31</v>
      </c>
      <c r="C47">
        <f>VLOOKUP(D1_JUNIO_2025[[#This Row],[SUPER]],DATA_JUNIO_2025[[SUPERVISOR]:[META]],3,0)</f>
        <v>30500</v>
      </c>
      <c r="D47">
        <f>D1_JUNIO_2025[[#This Row],[RECUPERO]]/D1_JUNIO_2025[[#This Row],[META]]</f>
        <v>0.43803278688524588</v>
      </c>
      <c r="E47" t="s">
        <v>6</v>
      </c>
      <c r="F47" t="s">
        <v>31</v>
      </c>
      <c r="G47">
        <v>13360</v>
      </c>
      <c r="H47" t="s">
        <v>403</v>
      </c>
      <c r="I47" s="56">
        <v>45334</v>
      </c>
      <c r="J47" t="s">
        <v>501</v>
      </c>
      <c r="L47" s="56"/>
      <c r="M47" s="1">
        <f>DATA_JUNIO_2025[[#This Row],[RECUPERO]]/DATA_JUNIO_2025[[#This Row],[META]]</f>
        <v>0.32</v>
      </c>
      <c r="N47" t="str" cm="1">
        <f t="array" ref="N4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47" t="s">
        <v>2</v>
      </c>
      <c r="P47">
        <f>SUM(DATA_JUNIO_2025[[#This Row],[1]:[31]])</f>
        <v>20800</v>
      </c>
      <c r="Q47">
        <v>65000</v>
      </c>
      <c r="R47" t="s">
        <v>77</v>
      </c>
      <c r="AN47">
        <v>800</v>
      </c>
      <c r="AQ47">
        <v>19000</v>
      </c>
      <c r="AV47">
        <v>1000</v>
      </c>
      <c r="AX47" t="s">
        <v>150</v>
      </c>
    </row>
    <row r="48" spans="1:50" x14ac:dyDescent="0.25">
      <c r="A48" t="s">
        <v>6</v>
      </c>
      <c r="B48" t="s">
        <v>34</v>
      </c>
      <c r="C48">
        <f>VLOOKUP(D1_JUNIO_2025[[#This Row],[SUPER]],DATA_JUNIO_2025[[SUPERVISOR]:[META]],3,0)</f>
        <v>30500</v>
      </c>
      <c r="D48">
        <f>D1_JUNIO_2025[[#This Row],[RECUPERO]]/D1_JUNIO_2025[[#This Row],[META]]</f>
        <v>0.38524590163934425</v>
      </c>
      <c r="E48" t="s">
        <v>6</v>
      </c>
      <c r="F48" t="s">
        <v>34</v>
      </c>
      <c r="G48">
        <v>11750</v>
      </c>
      <c r="H48" t="s">
        <v>407</v>
      </c>
      <c r="I48" s="56">
        <v>45175</v>
      </c>
      <c r="J48" t="s">
        <v>501</v>
      </c>
      <c r="L48" s="56"/>
      <c r="M48" s="1">
        <f>DATA_JUNIO_2025[[#This Row],[RECUPERO]]/DATA_JUNIO_2025[[#This Row],[META]]</f>
        <v>0.51557377049180331</v>
      </c>
      <c r="N48" t="str" cm="1">
        <f t="array" ref="N4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48" t="s">
        <v>6</v>
      </c>
      <c r="P48">
        <f>SUM(DATA_JUNIO_2025[[#This Row],[1]:[31]])</f>
        <v>15725</v>
      </c>
      <c r="Q48">
        <v>30500</v>
      </c>
      <c r="R48" t="s">
        <v>35</v>
      </c>
      <c r="T48">
        <v>500</v>
      </c>
      <c r="U48">
        <v>2200</v>
      </c>
      <c r="X48">
        <v>450</v>
      </c>
      <c r="AC48">
        <v>280</v>
      </c>
      <c r="AD48">
        <v>500</v>
      </c>
      <c r="AH48">
        <v>610</v>
      </c>
      <c r="AJ48">
        <v>500</v>
      </c>
      <c r="AK48">
        <v>2500</v>
      </c>
      <c r="AL48">
        <v>2000</v>
      </c>
      <c r="AT48">
        <v>300</v>
      </c>
      <c r="AU48">
        <v>300</v>
      </c>
      <c r="AV48">
        <v>5585</v>
      </c>
      <c r="AX48" t="s">
        <v>152</v>
      </c>
    </row>
    <row r="49" spans="1:50" x14ac:dyDescent="0.25">
      <c r="A49" t="s">
        <v>6</v>
      </c>
      <c r="B49" t="s">
        <v>37</v>
      </c>
      <c r="C49">
        <f>VLOOKUP(D1_JUNIO_2025[[#This Row],[SUPER]],DATA_JUNIO_2025[[SUPERVISOR]:[META]],3,0)</f>
        <v>30500</v>
      </c>
      <c r="D49">
        <f>D1_JUNIO_2025[[#This Row],[RECUPERO]]/D1_JUNIO_2025[[#This Row],[META]]</f>
        <v>0.37245901639344264</v>
      </c>
      <c r="E49" t="s">
        <v>6</v>
      </c>
      <c r="F49" t="s">
        <v>37</v>
      </c>
      <c r="G49">
        <v>11360</v>
      </c>
      <c r="H49" t="s">
        <v>400</v>
      </c>
      <c r="I49" s="56">
        <v>43132</v>
      </c>
      <c r="J49" t="s">
        <v>501</v>
      </c>
      <c r="L49" s="56"/>
      <c r="M49" s="1">
        <f>DATA_JUNIO_2025[[#This Row],[RECUPERO]]/DATA_JUNIO_2025[[#This Row],[META]]</f>
        <v>0.14546666666666666</v>
      </c>
      <c r="N49" t="str" cm="1">
        <f t="array" ref="N4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49" t="s">
        <v>8</v>
      </c>
      <c r="P49">
        <f>SUM(DATA_JUNIO_2025[[#This Row],[1]:[31]])</f>
        <v>2182</v>
      </c>
      <c r="Q49">
        <v>15000</v>
      </c>
      <c r="R49" t="s">
        <v>45</v>
      </c>
      <c r="AQ49">
        <v>300</v>
      </c>
      <c r="AS49">
        <v>300</v>
      </c>
      <c r="AV49">
        <v>1582</v>
      </c>
      <c r="AX49" t="s">
        <v>153</v>
      </c>
    </row>
    <row r="50" spans="1:50" x14ac:dyDescent="0.25">
      <c r="A50" t="s">
        <v>6</v>
      </c>
      <c r="B50" t="s">
        <v>81</v>
      </c>
      <c r="C50">
        <f>VLOOKUP(D1_JUNIO_2025[[#This Row],[SUPER]],DATA_JUNIO_2025[[SUPERVISOR]:[META]],3,0)</f>
        <v>30500</v>
      </c>
      <c r="D50">
        <f>D1_JUNIO_2025[[#This Row],[RECUPERO]]/D1_JUNIO_2025[[#This Row],[META]]</f>
        <v>0.35344262295081968</v>
      </c>
      <c r="E50" t="s">
        <v>6</v>
      </c>
      <c r="F50" t="s">
        <v>81</v>
      </c>
      <c r="G50">
        <v>10780</v>
      </c>
      <c r="H50" t="s">
        <v>425</v>
      </c>
      <c r="I50" s="56">
        <v>45506</v>
      </c>
      <c r="J50" t="s">
        <v>501</v>
      </c>
      <c r="L50" s="56"/>
      <c r="M50" s="1">
        <f>DATA_JUNIO_2025[[#This Row],[RECUPERO]]/DATA_JUNIO_2025[[#This Row],[META]]</f>
        <v>0.82065573770491806</v>
      </c>
      <c r="N50" t="str" cm="1">
        <f t="array" ref="N5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50" t="s">
        <v>6</v>
      </c>
      <c r="P50">
        <f>SUM(DATA_JUNIO_2025[[#This Row],[1]:[31]])</f>
        <v>25030</v>
      </c>
      <c r="Q50">
        <v>30500</v>
      </c>
      <c r="R50" t="s">
        <v>50</v>
      </c>
      <c r="U50">
        <v>1000</v>
      </c>
      <c r="AI50">
        <v>500</v>
      </c>
      <c r="AK50">
        <v>1200</v>
      </c>
      <c r="AP50">
        <v>2000</v>
      </c>
      <c r="AS50">
        <v>10050</v>
      </c>
      <c r="AT50">
        <v>280</v>
      </c>
      <c r="AV50">
        <v>10000</v>
      </c>
      <c r="AX50" t="s">
        <v>152</v>
      </c>
    </row>
    <row r="51" spans="1:50" x14ac:dyDescent="0.25">
      <c r="A51" t="s">
        <v>6</v>
      </c>
      <c r="B51" t="s">
        <v>44</v>
      </c>
      <c r="C51">
        <f>VLOOKUP(D1_JUNIO_2025[[#This Row],[SUPER]],DATA_JUNIO_2025[[SUPERVISOR]:[META]],3,0)</f>
        <v>30500</v>
      </c>
      <c r="D51">
        <f>D1_JUNIO_2025[[#This Row],[RECUPERO]]/D1_JUNIO_2025[[#This Row],[META]]</f>
        <v>0.32</v>
      </c>
      <c r="E51" t="s">
        <v>6</v>
      </c>
      <c r="F51" t="s">
        <v>44</v>
      </c>
      <c r="G51">
        <v>9760</v>
      </c>
      <c r="H51" t="s">
        <v>467</v>
      </c>
      <c r="I51" s="56">
        <v>45804</v>
      </c>
      <c r="J51" t="s">
        <v>501</v>
      </c>
      <c r="L51" s="56"/>
      <c r="M51" s="1">
        <f>DATA_JUNIO_2025[[#This Row],[RECUPERO]]/DATA_JUNIO_2025[[#This Row],[META]]</f>
        <v>0.13400666666666666</v>
      </c>
      <c r="N51" t="str" cm="1">
        <f t="array" ref="N5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51" t="s">
        <v>125</v>
      </c>
      <c r="P51">
        <f>SUM(DATA_JUNIO_2025[[#This Row],[1]:[31]])</f>
        <v>2010.1</v>
      </c>
      <c r="Q51">
        <v>15000</v>
      </c>
      <c r="R51" t="s">
        <v>33</v>
      </c>
      <c r="AH51">
        <v>348.6</v>
      </c>
      <c r="AI51">
        <v>0</v>
      </c>
      <c r="AQ51">
        <v>212.5</v>
      </c>
      <c r="AS51">
        <v>166</v>
      </c>
      <c r="AT51">
        <v>900</v>
      </c>
      <c r="AV51">
        <v>383</v>
      </c>
      <c r="AX51" t="s">
        <v>153</v>
      </c>
    </row>
    <row r="52" spans="1:50" x14ac:dyDescent="0.25">
      <c r="A52" t="s">
        <v>6</v>
      </c>
      <c r="B52" t="s">
        <v>36</v>
      </c>
      <c r="C52">
        <f>VLOOKUP(D1_JUNIO_2025[[#This Row],[SUPER]],DATA_JUNIO_2025[[SUPERVISOR]:[META]],3,0)</f>
        <v>30500</v>
      </c>
      <c r="D52">
        <f>D1_JUNIO_2025[[#This Row],[RECUPERO]]/D1_JUNIO_2025[[#This Row],[META]]</f>
        <v>0.26721311475409837</v>
      </c>
      <c r="E52" t="s">
        <v>6</v>
      </c>
      <c r="F52" t="s">
        <v>36</v>
      </c>
      <c r="G52">
        <v>8150</v>
      </c>
      <c r="H52" t="s">
        <v>406</v>
      </c>
      <c r="I52" s="56">
        <v>44941</v>
      </c>
      <c r="J52" t="s">
        <v>501</v>
      </c>
      <c r="L52" s="56"/>
      <c r="M52" s="1">
        <f>DATA_JUNIO_2025[[#This Row],[RECUPERO]]/DATA_JUNIO_2025[[#This Row],[META]]</f>
        <v>1.2638</v>
      </c>
      <c r="N52" t="str" cm="1">
        <f t="array" ref="N5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52" t="s">
        <v>3</v>
      </c>
      <c r="P52">
        <f>SUM(DATA_JUNIO_2025[[#This Row],[1]:[31]])</f>
        <v>82147</v>
      </c>
      <c r="Q52">
        <v>65000</v>
      </c>
      <c r="R52" t="s">
        <v>23</v>
      </c>
      <c r="T52">
        <v>7449</v>
      </c>
      <c r="W52">
        <v>11500</v>
      </c>
      <c r="X52">
        <v>2450</v>
      </c>
      <c r="AA52">
        <v>3100</v>
      </c>
      <c r="AC52">
        <v>500</v>
      </c>
      <c r="AE52">
        <v>1800</v>
      </c>
      <c r="AH52">
        <v>1000</v>
      </c>
      <c r="AI52">
        <v>800</v>
      </c>
      <c r="AJ52">
        <v>15766</v>
      </c>
      <c r="AK52">
        <v>7000</v>
      </c>
      <c r="AL52">
        <v>800</v>
      </c>
      <c r="AN52">
        <v>600</v>
      </c>
      <c r="AO52">
        <v>795</v>
      </c>
      <c r="AP52">
        <v>3500</v>
      </c>
      <c r="AQ52">
        <v>2240</v>
      </c>
      <c r="AR52">
        <v>10000</v>
      </c>
      <c r="AS52">
        <v>6000</v>
      </c>
      <c r="AV52">
        <v>6847</v>
      </c>
      <c r="AX52" t="s">
        <v>150</v>
      </c>
    </row>
    <row r="53" spans="1:50" x14ac:dyDescent="0.25">
      <c r="A53" t="s">
        <v>6</v>
      </c>
      <c r="B53" t="s">
        <v>110</v>
      </c>
      <c r="C53">
        <f>VLOOKUP(D1_JUNIO_2025[[#This Row],[SUPER]],DATA_JUNIO_2025[[SUPERVISOR]:[META]],3,0)</f>
        <v>30500</v>
      </c>
      <c r="D53">
        <f>D1_JUNIO_2025[[#This Row],[RECUPERO]]/D1_JUNIO_2025[[#This Row],[META]]</f>
        <v>7.6131147540983601E-2</v>
      </c>
      <c r="E53" t="s">
        <v>6</v>
      </c>
      <c r="F53" t="s">
        <v>110</v>
      </c>
      <c r="G53">
        <v>2322</v>
      </c>
      <c r="H53" t="s">
        <v>454</v>
      </c>
      <c r="I53" s="56">
        <v>44993</v>
      </c>
      <c r="J53" t="s">
        <v>501</v>
      </c>
      <c r="L53" s="56"/>
      <c r="M53" s="1">
        <f>DATA_JUNIO_2025[[#This Row],[RECUPERO]]/DATA_JUNIO_2025[[#This Row],[META]]</f>
        <v>0.42841538461538464</v>
      </c>
      <c r="N53" t="str" cm="1">
        <f t="array" ref="N5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53" t="s">
        <v>5</v>
      </c>
      <c r="P53">
        <f>SUM(DATA_JUNIO_2025[[#This Row],[1]:[31]])</f>
        <v>27847</v>
      </c>
      <c r="Q53">
        <v>65000</v>
      </c>
      <c r="R53" t="s">
        <v>68</v>
      </c>
      <c r="S53">
        <v>2000</v>
      </c>
      <c r="T53">
        <v>4623</v>
      </c>
      <c r="U53">
        <v>775</v>
      </c>
      <c r="V53">
        <v>800</v>
      </c>
      <c r="W53">
        <v>600</v>
      </c>
      <c r="AB53">
        <v>50</v>
      </c>
      <c r="AC53">
        <v>600</v>
      </c>
      <c r="AH53">
        <v>2500</v>
      </c>
      <c r="AL53">
        <v>5100</v>
      </c>
      <c r="AM53">
        <v>261</v>
      </c>
      <c r="AP53">
        <v>700</v>
      </c>
      <c r="AS53">
        <v>1500</v>
      </c>
      <c r="AT53">
        <v>620</v>
      </c>
      <c r="AV53">
        <v>7718</v>
      </c>
      <c r="AX53" t="s">
        <v>150</v>
      </c>
    </row>
    <row r="54" spans="1:50" x14ac:dyDescent="0.25">
      <c r="A54" t="s">
        <v>125</v>
      </c>
      <c r="B54" t="s">
        <v>80</v>
      </c>
      <c r="C54">
        <f>VLOOKUP(D1_JUNIO_2025[[#This Row],[SUPER]],DATA_JUNIO_2025[[SUPERVISOR]:[META]],3,0)</f>
        <v>15000</v>
      </c>
      <c r="D54">
        <f>D1_JUNIO_2025[[#This Row],[RECUPERO]]/D1_JUNIO_2025[[#This Row],[META]]</f>
        <v>1.4252666666666667</v>
      </c>
      <c r="E54" t="s">
        <v>125</v>
      </c>
      <c r="F54" t="s">
        <v>80</v>
      </c>
      <c r="G54">
        <v>21379</v>
      </c>
      <c r="H54" t="s">
        <v>433</v>
      </c>
      <c r="I54" s="56">
        <v>45285</v>
      </c>
      <c r="J54" t="s">
        <v>501</v>
      </c>
      <c r="L54" s="56"/>
      <c r="M54" s="1">
        <f>DATA_JUNIO_2025[[#This Row],[RECUPERO]]/DATA_JUNIO_2025[[#This Row],[META]]</f>
        <v>0.43803278688524588</v>
      </c>
      <c r="N54" t="str" cm="1">
        <f t="array" ref="N5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54" t="s">
        <v>6</v>
      </c>
      <c r="P54">
        <f>SUM(DATA_JUNIO_2025[[#This Row],[1]:[31]])</f>
        <v>13360</v>
      </c>
      <c r="Q54">
        <v>30500</v>
      </c>
      <c r="R54" t="s">
        <v>31</v>
      </c>
      <c r="T54">
        <v>150</v>
      </c>
      <c r="U54">
        <v>30</v>
      </c>
      <c r="V54">
        <v>2000</v>
      </c>
      <c r="AC54">
        <v>500</v>
      </c>
      <c r="AE54">
        <v>500</v>
      </c>
      <c r="AH54">
        <v>100</v>
      </c>
      <c r="AI54">
        <v>2500</v>
      </c>
      <c r="AR54">
        <v>2180</v>
      </c>
      <c r="AS54">
        <v>3000</v>
      </c>
      <c r="AV54">
        <v>2400</v>
      </c>
      <c r="AX54" t="s">
        <v>152</v>
      </c>
    </row>
    <row r="55" spans="1:50" x14ac:dyDescent="0.25">
      <c r="A55" t="s">
        <v>125</v>
      </c>
      <c r="B55" t="s">
        <v>27</v>
      </c>
      <c r="C55">
        <f>VLOOKUP(D1_JUNIO_2025[[#This Row],[SUPER]],DATA_JUNIO_2025[[SUPERVISOR]:[META]],3,0)</f>
        <v>15000</v>
      </c>
      <c r="D55">
        <f>D1_JUNIO_2025[[#This Row],[RECUPERO]]/D1_JUNIO_2025[[#This Row],[META]]</f>
        <v>0.83660000000000001</v>
      </c>
      <c r="E55" t="s">
        <v>125</v>
      </c>
      <c r="F55" t="s">
        <v>27</v>
      </c>
      <c r="G55">
        <v>12549</v>
      </c>
      <c r="H55" t="s">
        <v>412</v>
      </c>
      <c r="I55" s="56">
        <v>45675</v>
      </c>
      <c r="J55" t="s">
        <v>501</v>
      </c>
      <c r="L55" s="56"/>
      <c r="M55" s="1">
        <f>DATA_JUNIO_2025[[#This Row],[RECUPERO]]/DATA_JUNIO_2025[[#This Row],[META]]</f>
        <v>0.32240000000000002</v>
      </c>
      <c r="N55" t="str" cm="1">
        <f t="array" ref="N5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55" t="s">
        <v>8</v>
      </c>
      <c r="P55">
        <f>SUM(DATA_JUNIO_2025[[#This Row],[1]:[31]])</f>
        <v>4836</v>
      </c>
      <c r="Q55">
        <v>15000</v>
      </c>
      <c r="R55" t="s">
        <v>43</v>
      </c>
      <c r="X55">
        <v>300</v>
      </c>
      <c r="Y55">
        <v>208</v>
      </c>
      <c r="AB55">
        <v>493</v>
      </c>
      <c r="AE55">
        <v>1000</v>
      </c>
      <c r="AH55">
        <v>135</v>
      </c>
      <c r="AJ55">
        <v>300</v>
      </c>
      <c r="AL55">
        <v>1100</v>
      </c>
      <c r="AM55">
        <v>300</v>
      </c>
      <c r="AO55">
        <v>450</v>
      </c>
      <c r="AR55">
        <v>250</v>
      </c>
      <c r="AT55">
        <v>300</v>
      </c>
      <c r="AX55" t="s">
        <v>153</v>
      </c>
    </row>
    <row r="56" spans="1:50" x14ac:dyDescent="0.25">
      <c r="A56" t="s">
        <v>125</v>
      </c>
      <c r="B56" t="s">
        <v>39</v>
      </c>
      <c r="C56">
        <f>VLOOKUP(D1_JUNIO_2025[[#This Row],[SUPER]],DATA_JUNIO_2025[[SUPERVISOR]:[META]],3,0)</f>
        <v>15000</v>
      </c>
      <c r="D56">
        <f>D1_JUNIO_2025[[#This Row],[RECUPERO]]/D1_JUNIO_2025[[#This Row],[META]]</f>
        <v>0.57720000000000005</v>
      </c>
      <c r="E56" t="s">
        <v>125</v>
      </c>
      <c r="F56" t="s">
        <v>39</v>
      </c>
      <c r="G56">
        <v>8658</v>
      </c>
      <c r="H56" t="s">
        <v>452</v>
      </c>
      <c r="I56" s="56">
        <v>44951</v>
      </c>
      <c r="J56" t="s">
        <v>501</v>
      </c>
      <c r="L56" s="56"/>
      <c r="M56" s="1">
        <f>DATA_JUNIO_2025[[#This Row],[RECUPERO]]/DATA_JUNIO_2025[[#This Row],[META]]</f>
        <v>0.61939999999999995</v>
      </c>
      <c r="N56" t="str" cm="1">
        <f t="array" ref="N5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56" t="s">
        <v>3</v>
      </c>
      <c r="P56">
        <f>SUM(DATA_JUNIO_2025[[#This Row],[1]:[31]])</f>
        <v>40261</v>
      </c>
      <c r="Q56">
        <v>65000</v>
      </c>
      <c r="R56" t="s">
        <v>25</v>
      </c>
      <c r="T56">
        <v>100</v>
      </c>
      <c r="V56">
        <v>3000</v>
      </c>
      <c r="X56">
        <v>2500</v>
      </c>
      <c r="AA56">
        <v>1800</v>
      </c>
      <c r="AB56">
        <v>4500</v>
      </c>
      <c r="AC56">
        <v>100</v>
      </c>
      <c r="AD56">
        <v>850</v>
      </c>
      <c r="AF56">
        <v>424</v>
      </c>
      <c r="AH56">
        <v>950</v>
      </c>
      <c r="AI56">
        <v>50</v>
      </c>
      <c r="AJ56">
        <v>637</v>
      </c>
      <c r="AL56">
        <v>3500</v>
      </c>
      <c r="AN56">
        <v>1500</v>
      </c>
      <c r="AO56">
        <v>2300</v>
      </c>
      <c r="AP56">
        <v>4500</v>
      </c>
      <c r="AQ56">
        <v>1700</v>
      </c>
      <c r="AR56">
        <v>4000</v>
      </c>
      <c r="AS56">
        <v>600</v>
      </c>
      <c r="AV56">
        <v>7250</v>
      </c>
      <c r="AX56" t="s">
        <v>150</v>
      </c>
    </row>
    <row r="57" spans="1:50" x14ac:dyDescent="0.25">
      <c r="A57" t="s">
        <v>125</v>
      </c>
      <c r="B57" t="s">
        <v>74</v>
      </c>
      <c r="C57">
        <f>VLOOKUP(D1_JUNIO_2025[[#This Row],[SUPER]],DATA_JUNIO_2025[[SUPERVISOR]:[META]],3,0)</f>
        <v>15000</v>
      </c>
      <c r="D57">
        <f>D1_JUNIO_2025[[#This Row],[RECUPERO]]/D1_JUNIO_2025[[#This Row],[META]]</f>
        <v>0.47706666666666669</v>
      </c>
      <c r="E57" t="s">
        <v>125</v>
      </c>
      <c r="F57" t="s">
        <v>74</v>
      </c>
      <c r="G57">
        <v>7156</v>
      </c>
      <c r="H57" t="s">
        <v>395</v>
      </c>
      <c r="I57" s="56">
        <v>44470</v>
      </c>
      <c r="J57" t="s">
        <v>501</v>
      </c>
      <c r="L57" s="56"/>
      <c r="M57" s="1">
        <f>DATA_JUNIO_2025[[#This Row],[RECUPERO]]/DATA_JUNIO_2025[[#This Row],[META]]</f>
        <v>7.6131147540983601E-2</v>
      </c>
      <c r="N57" t="str" cm="1">
        <f t="array" ref="N5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57" t="s">
        <v>6</v>
      </c>
      <c r="P57">
        <f>SUM(DATA_JUNIO_2025[[#This Row],[1]:[31]])</f>
        <v>2322</v>
      </c>
      <c r="Q57">
        <v>30500</v>
      </c>
      <c r="R57" t="s">
        <v>110</v>
      </c>
      <c r="X57">
        <v>300</v>
      </c>
      <c r="AE57">
        <v>246</v>
      </c>
      <c r="AJ57">
        <v>300</v>
      </c>
      <c r="AP57">
        <v>1080</v>
      </c>
      <c r="AQ57">
        <v>150</v>
      </c>
      <c r="AV57">
        <v>246</v>
      </c>
      <c r="AX57" t="s">
        <v>152</v>
      </c>
    </row>
    <row r="58" spans="1:50" x14ac:dyDescent="0.25">
      <c r="A58" t="s">
        <v>125</v>
      </c>
      <c r="B58" t="s">
        <v>38</v>
      </c>
      <c r="C58">
        <f>VLOOKUP(D1_JUNIO_2025[[#This Row],[SUPER]],DATA_JUNIO_2025[[SUPERVISOR]:[META]],3,0)</f>
        <v>15000</v>
      </c>
      <c r="D58">
        <f>D1_JUNIO_2025[[#This Row],[RECUPERO]]/D1_JUNIO_2025[[#This Row],[META]]</f>
        <v>0.47153333333333336</v>
      </c>
      <c r="E58" t="s">
        <v>125</v>
      </c>
      <c r="F58" t="s">
        <v>38</v>
      </c>
      <c r="G58">
        <v>7073</v>
      </c>
      <c r="H58" t="s">
        <v>469</v>
      </c>
      <c r="I58" s="56">
        <v>45805</v>
      </c>
      <c r="J58" t="s">
        <v>501</v>
      </c>
      <c r="L58" s="56"/>
      <c r="M58" s="1">
        <f>DATA_JUNIO_2025[[#This Row],[RECUPERO]]/DATA_JUNIO_2025[[#This Row],[META]]</f>
        <v>0.54201538461538457</v>
      </c>
      <c r="N58" t="str" cm="1">
        <f t="array" ref="N5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58" t="s">
        <v>2</v>
      </c>
      <c r="P58">
        <f>SUM(DATA_JUNIO_2025[[#This Row],[1]:[31]])</f>
        <v>35231</v>
      </c>
      <c r="Q58">
        <v>65000</v>
      </c>
      <c r="R58" t="s">
        <v>17</v>
      </c>
      <c r="V58">
        <v>3700</v>
      </c>
      <c r="W58">
        <v>10000</v>
      </c>
      <c r="AH58">
        <v>491</v>
      </c>
      <c r="AJ58">
        <v>1000</v>
      </c>
      <c r="AK58">
        <v>600</v>
      </c>
      <c r="AL58">
        <v>3133</v>
      </c>
      <c r="AN58">
        <v>1000</v>
      </c>
      <c r="AO58">
        <v>600</v>
      </c>
      <c r="AQ58">
        <v>10500</v>
      </c>
      <c r="AT58">
        <v>2500</v>
      </c>
      <c r="AV58">
        <v>1707</v>
      </c>
      <c r="AX58" t="s">
        <v>150</v>
      </c>
    </row>
    <row r="59" spans="1:50" x14ac:dyDescent="0.25">
      <c r="A59" t="s">
        <v>125</v>
      </c>
      <c r="B59" t="s">
        <v>56</v>
      </c>
      <c r="C59">
        <f>VLOOKUP(D1_JUNIO_2025[[#This Row],[SUPER]],DATA_JUNIO_2025[[SUPERVISOR]:[META]],3,0)</f>
        <v>15000</v>
      </c>
      <c r="D59">
        <f>D1_JUNIO_2025[[#This Row],[RECUPERO]]/D1_JUNIO_2025[[#This Row],[META]]</f>
        <v>0.48286666666666667</v>
      </c>
      <c r="E59" t="s">
        <v>125</v>
      </c>
      <c r="F59" t="s">
        <v>56</v>
      </c>
      <c r="G59">
        <v>7243</v>
      </c>
      <c r="H59" t="s">
        <v>464</v>
      </c>
      <c r="I59" s="56">
        <v>45772</v>
      </c>
      <c r="J59" t="s">
        <v>501</v>
      </c>
      <c r="L59" s="56"/>
      <c r="M59" s="1">
        <f>DATA_JUNIO_2025[[#This Row],[RECUPERO]]/DATA_JUNIO_2025[[#This Row],[META]]</f>
        <v>0.47153333333333336</v>
      </c>
      <c r="N59" t="str" cm="1">
        <f t="array" ref="N5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59" t="s">
        <v>125</v>
      </c>
      <c r="P59">
        <f>SUM(DATA_JUNIO_2025[[#This Row],[1]:[31]])</f>
        <v>7073</v>
      </c>
      <c r="Q59">
        <v>15000</v>
      </c>
      <c r="R59" t="s">
        <v>38</v>
      </c>
      <c r="V59">
        <v>300</v>
      </c>
      <c r="X59">
        <v>740</v>
      </c>
      <c r="AA59">
        <v>380</v>
      </c>
      <c r="AB59">
        <v>2800</v>
      </c>
      <c r="AE59">
        <v>250</v>
      </c>
      <c r="AJ59">
        <v>180</v>
      </c>
      <c r="AK59">
        <v>180</v>
      </c>
      <c r="AL59">
        <v>240</v>
      </c>
      <c r="AO59">
        <v>473</v>
      </c>
      <c r="AP59">
        <v>100</v>
      </c>
      <c r="AQ59">
        <v>250</v>
      </c>
      <c r="AR59">
        <v>180</v>
      </c>
      <c r="AV59">
        <v>1000</v>
      </c>
      <c r="AX59" t="s">
        <v>153</v>
      </c>
    </row>
    <row r="60" spans="1:50" x14ac:dyDescent="0.25">
      <c r="A60" t="s">
        <v>125</v>
      </c>
      <c r="B60" t="s">
        <v>55</v>
      </c>
      <c r="C60">
        <f>VLOOKUP(D1_JUNIO_2025[[#This Row],[SUPER]],DATA_JUNIO_2025[[SUPERVISOR]:[META]],3,0)</f>
        <v>15000</v>
      </c>
      <c r="D60">
        <f>D1_JUNIO_2025[[#This Row],[RECUPERO]]/D1_JUNIO_2025[[#This Row],[META]]</f>
        <v>0.38119999999999998</v>
      </c>
      <c r="E60" t="s">
        <v>125</v>
      </c>
      <c r="F60" t="s">
        <v>55</v>
      </c>
      <c r="G60">
        <v>5718</v>
      </c>
      <c r="H60" t="s">
        <v>475</v>
      </c>
      <c r="I60" s="56">
        <v>45818</v>
      </c>
      <c r="J60" t="s">
        <v>501</v>
      </c>
      <c r="L60" s="56"/>
      <c r="M60" s="1">
        <f>DATA_JUNIO_2025[[#This Row],[RECUPERO]]/DATA_JUNIO_2025[[#This Row],[META]]</f>
        <v>1.3104769230769231</v>
      </c>
      <c r="N60" t="str" cm="1">
        <f t="array" ref="N6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60" t="s">
        <v>4</v>
      </c>
      <c r="P60">
        <f>SUM(DATA_JUNIO_2025[[#This Row],[1]:[31]])</f>
        <v>85181</v>
      </c>
      <c r="Q60">
        <v>65000</v>
      </c>
      <c r="R60" t="s">
        <v>75</v>
      </c>
      <c r="S60">
        <v>1125</v>
      </c>
      <c r="V60">
        <v>1000</v>
      </c>
      <c r="X60">
        <v>6000</v>
      </c>
      <c r="Y60">
        <v>650</v>
      </c>
      <c r="AA60">
        <v>3800</v>
      </c>
      <c r="AB60">
        <v>1164</v>
      </c>
      <c r="AD60">
        <v>22600</v>
      </c>
      <c r="AF60">
        <v>1600</v>
      </c>
      <c r="AH60">
        <v>8900</v>
      </c>
      <c r="AI60">
        <v>5600</v>
      </c>
      <c r="AK60">
        <v>992</v>
      </c>
      <c r="AL60">
        <v>400</v>
      </c>
      <c r="AO60">
        <v>600</v>
      </c>
      <c r="AP60">
        <v>400</v>
      </c>
      <c r="AQ60">
        <v>15000</v>
      </c>
      <c r="AR60">
        <v>2900</v>
      </c>
      <c r="AS60">
        <v>6000</v>
      </c>
      <c r="AT60">
        <v>200</v>
      </c>
      <c r="AV60">
        <v>6250</v>
      </c>
      <c r="AX60" t="s">
        <v>150</v>
      </c>
    </row>
    <row r="61" spans="1:50" x14ac:dyDescent="0.25">
      <c r="A61" t="s">
        <v>125</v>
      </c>
      <c r="B61" t="s">
        <v>106</v>
      </c>
      <c r="C61">
        <f>VLOOKUP(D1_JUNIO_2025[[#This Row],[SUPER]],DATA_JUNIO_2025[[SUPERVISOR]:[META]],3,0)</f>
        <v>15000</v>
      </c>
      <c r="D61">
        <f>D1_JUNIO_2025[[#This Row],[RECUPERO]]/D1_JUNIO_2025[[#This Row],[META]]</f>
        <v>0.34173333333333333</v>
      </c>
      <c r="E61" t="s">
        <v>125</v>
      </c>
      <c r="F61" t="s">
        <v>106</v>
      </c>
      <c r="G61">
        <v>5126</v>
      </c>
      <c r="H61" t="s">
        <v>392</v>
      </c>
      <c r="I61" s="56">
        <v>44748</v>
      </c>
      <c r="J61" t="s">
        <v>501</v>
      </c>
      <c r="L61" s="56"/>
      <c r="M61" s="1">
        <f>DATA_JUNIO_2025[[#This Row],[RECUPERO]]/DATA_JUNIO_2025[[#This Row],[META]]</f>
        <v>0.38119999999999998</v>
      </c>
      <c r="N61" t="str" cm="1">
        <f t="array" ref="N6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61" t="s">
        <v>125</v>
      </c>
      <c r="P61">
        <f>SUM(DATA_JUNIO_2025[[#This Row],[1]:[31]])</f>
        <v>5718</v>
      </c>
      <c r="Q61">
        <v>15000</v>
      </c>
      <c r="R61" t="s">
        <v>55</v>
      </c>
      <c r="X61">
        <v>400</v>
      </c>
      <c r="AC61">
        <v>520</v>
      </c>
      <c r="AD61">
        <v>500</v>
      </c>
      <c r="AE61">
        <v>275</v>
      </c>
      <c r="AJ61">
        <v>694</v>
      </c>
      <c r="AK61">
        <v>139</v>
      </c>
      <c r="AO61">
        <v>200</v>
      </c>
      <c r="AQ61">
        <v>200</v>
      </c>
      <c r="AT61">
        <v>800</v>
      </c>
      <c r="AV61">
        <v>1990</v>
      </c>
      <c r="AX61" t="s">
        <v>153</v>
      </c>
    </row>
    <row r="62" spans="1:50" x14ac:dyDescent="0.25">
      <c r="A62" t="s">
        <v>125</v>
      </c>
      <c r="B62" t="s">
        <v>33</v>
      </c>
      <c r="C62">
        <f>VLOOKUP(D1_JUNIO_2025[[#This Row],[SUPER]],DATA_JUNIO_2025[[SUPERVISOR]:[META]],3,0)</f>
        <v>15000</v>
      </c>
      <c r="D62">
        <f>D1_JUNIO_2025[[#This Row],[RECUPERO]]/D1_JUNIO_2025[[#This Row],[META]]</f>
        <v>0.13400666666666666</v>
      </c>
      <c r="E62" t="s">
        <v>125</v>
      </c>
      <c r="F62" t="s">
        <v>33</v>
      </c>
      <c r="G62">
        <v>2010.1</v>
      </c>
      <c r="H62" t="s">
        <v>439</v>
      </c>
      <c r="I62" s="56">
        <v>44869</v>
      </c>
      <c r="J62" t="s">
        <v>501</v>
      </c>
      <c r="L62" s="56"/>
      <c r="M62" s="1">
        <f>DATA_JUNIO_2025[[#This Row],[RECUPERO]]/DATA_JUNIO_2025[[#This Row],[META]]</f>
        <v>0.26721311475409837</v>
      </c>
      <c r="N62" t="str" cm="1">
        <f t="array" ref="N6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62" t="s">
        <v>6</v>
      </c>
      <c r="P62">
        <f>SUM(DATA_JUNIO_2025[[#This Row],[1]:[31]])</f>
        <v>8150</v>
      </c>
      <c r="Q62">
        <v>30500</v>
      </c>
      <c r="R62" t="s">
        <v>36</v>
      </c>
      <c r="T62">
        <v>300</v>
      </c>
      <c r="W62">
        <v>4970</v>
      </c>
      <c r="AC62">
        <v>530</v>
      </c>
      <c r="AD62">
        <v>250</v>
      </c>
      <c r="AE62">
        <v>1050</v>
      </c>
      <c r="AR62">
        <v>150</v>
      </c>
      <c r="AV62">
        <v>900</v>
      </c>
      <c r="AX62" t="s">
        <v>152</v>
      </c>
    </row>
    <row r="63" spans="1:50" x14ac:dyDescent="0.25">
      <c r="A63" t="s">
        <v>125</v>
      </c>
      <c r="B63" t="s">
        <v>111</v>
      </c>
      <c r="C63">
        <f>VLOOKUP(D1_JUNIO_2025[[#This Row],[SUPER]],DATA_JUNIO_2025[[SUPERVISOR]:[META]],3,0)</f>
        <v>15000</v>
      </c>
      <c r="D63">
        <f>D1_JUNIO_2025[[#This Row],[RECUPERO]]/D1_JUNIO_2025[[#This Row],[META]]</f>
        <v>5.0866666666666664E-2</v>
      </c>
      <c r="E63" t="s">
        <v>125</v>
      </c>
      <c r="F63" t="s">
        <v>111</v>
      </c>
      <c r="G63">
        <v>763</v>
      </c>
      <c r="H63" t="s">
        <v>468</v>
      </c>
      <c r="I63" s="56">
        <v>45803</v>
      </c>
      <c r="J63" t="s">
        <v>501</v>
      </c>
      <c r="L63" s="56"/>
      <c r="M63" s="1">
        <f>DATA_JUNIO_2025[[#This Row],[RECUPERO]]/DATA_JUNIO_2025[[#This Row],[META]]</f>
        <v>0.38683076923076926</v>
      </c>
      <c r="N63" t="str" cm="1">
        <f t="array" ref="N6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63" t="s">
        <v>4</v>
      </c>
      <c r="P63">
        <f>SUM(DATA_JUNIO_2025[[#This Row],[1]:[31]])</f>
        <v>25144</v>
      </c>
      <c r="Q63">
        <v>65000</v>
      </c>
      <c r="R63" t="s">
        <v>62</v>
      </c>
      <c r="T63">
        <v>250</v>
      </c>
      <c r="W63">
        <v>600</v>
      </c>
      <c r="AE63">
        <v>3000</v>
      </c>
      <c r="AH63">
        <v>500</v>
      </c>
      <c r="AI63">
        <v>5735</v>
      </c>
      <c r="AJ63">
        <v>2306</v>
      </c>
      <c r="AO63">
        <v>1500</v>
      </c>
      <c r="AP63">
        <v>626</v>
      </c>
      <c r="AQ63">
        <v>205</v>
      </c>
      <c r="AR63">
        <v>400</v>
      </c>
      <c r="AS63">
        <v>8353</v>
      </c>
      <c r="AV63">
        <v>1669</v>
      </c>
      <c r="AX63" t="s">
        <v>150</v>
      </c>
    </row>
    <row r="64" spans="1:50" x14ac:dyDescent="0.25">
      <c r="A64" t="s">
        <v>8</v>
      </c>
      <c r="B64" t="s">
        <v>24</v>
      </c>
      <c r="C64">
        <f>VLOOKUP(D1_JUNIO_2025[[#This Row],[SUPER]],DATA_JUNIO_2025[[SUPERVISOR]:[META]],3,0)</f>
        <v>15000</v>
      </c>
      <c r="D64">
        <f>D1_JUNIO_2025[[#This Row],[RECUPERO]]/D1_JUNIO_2025[[#This Row],[META]]</f>
        <v>1.6403333333333334</v>
      </c>
      <c r="E64" t="s">
        <v>8</v>
      </c>
      <c r="F64" t="s">
        <v>24</v>
      </c>
      <c r="G64">
        <v>24605</v>
      </c>
      <c r="H64" t="s">
        <v>434</v>
      </c>
      <c r="I64" s="56">
        <v>45334</v>
      </c>
      <c r="J64" t="s">
        <v>501</v>
      </c>
      <c r="L64" s="56"/>
      <c r="M64" s="1">
        <f>DATA_JUNIO_2025[[#This Row],[RECUPERO]]/DATA_JUNIO_2025[[#This Row],[META]]</f>
        <v>0.77458461538461543</v>
      </c>
      <c r="N64" t="str" cm="1">
        <f t="array" ref="N6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64" t="s">
        <v>5</v>
      </c>
      <c r="P64">
        <f>SUM(DATA_JUNIO_2025[[#This Row],[1]:[31]])</f>
        <v>50348</v>
      </c>
      <c r="Q64">
        <v>65000</v>
      </c>
      <c r="R64" t="s">
        <v>70</v>
      </c>
      <c r="T64">
        <v>300</v>
      </c>
      <c r="U64">
        <v>2000</v>
      </c>
      <c r="AC64">
        <v>4000</v>
      </c>
      <c r="AF64">
        <v>5000</v>
      </c>
      <c r="AH64">
        <v>4000</v>
      </c>
      <c r="AI64">
        <v>3200</v>
      </c>
      <c r="AK64">
        <v>450</v>
      </c>
      <c r="AL64">
        <v>13370</v>
      </c>
      <c r="AP64">
        <v>10445</v>
      </c>
      <c r="AR64">
        <v>6100</v>
      </c>
      <c r="AV64">
        <v>1483</v>
      </c>
      <c r="AX64" t="s">
        <v>150</v>
      </c>
    </row>
    <row r="65" spans="1:50" x14ac:dyDescent="0.25">
      <c r="A65" t="s">
        <v>8</v>
      </c>
      <c r="B65" t="s">
        <v>14</v>
      </c>
      <c r="C65">
        <f>VLOOKUP(D1_JUNIO_2025[[#This Row],[SUPER]],DATA_JUNIO_2025[[SUPERVISOR]:[META]],3,0)</f>
        <v>15000</v>
      </c>
      <c r="D65">
        <f>D1_JUNIO_2025[[#This Row],[RECUPERO]]/D1_JUNIO_2025[[#This Row],[META]]</f>
        <v>0.9277333333333333</v>
      </c>
      <c r="E65" t="s">
        <v>8</v>
      </c>
      <c r="F65" t="s">
        <v>14</v>
      </c>
      <c r="G65">
        <v>13916</v>
      </c>
      <c r="H65" t="s">
        <v>432</v>
      </c>
      <c r="I65" s="56">
        <v>45133</v>
      </c>
      <c r="J65" t="s">
        <v>501</v>
      </c>
      <c r="L65" s="56"/>
      <c r="M65" s="1">
        <f>DATA_JUNIO_2025[[#This Row],[RECUPERO]]/DATA_JUNIO_2025[[#This Row],[META]]</f>
        <v>0.12198461538461539</v>
      </c>
      <c r="N65" t="str" cm="1">
        <f t="array" ref="N6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65" t="s">
        <v>4</v>
      </c>
      <c r="P65">
        <f>SUM(DATA_JUNIO_2025[[#This Row],[1]:[31]])</f>
        <v>7929</v>
      </c>
      <c r="Q65">
        <v>65000</v>
      </c>
      <c r="R65" t="s">
        <v>64</v>
      </c>
      <c r="T65">
        <v>500</v>
      </c>
      <c r="U65">
        <v>5000</v>
      </c>
      <c r="AC65">
        <v>323</v>
      </c>
      <c r="AF65">
        <v>1000</v>
      </c>
      <c r="AH65">
        <v>650</v>
      </c>
      <c r="AQ65">
        <v>0</v>
      </c>
      <c r="AV65">
        <v>456</v>
      </c>
      <c r="AX65" t="s">
        <v>150</v>
      </c>
    </row>
    <row r="66" spans="1:50" x14ac:dyDescent="0.25">
      <c r="A66" t="s">
        <v>8</v>
      </c>
      <c r="B66" t="s">
        <v>41</v>
      </c>
      <c r="C66">
        <f>VLOOKUP(D1_JUNIO_2025[[#This Row],[SUPER]],DATA_JUNIO_2025[[SUPERVISOR]:[META]],3,0)</f>
        <v>15000</v>
      </c>
      <c r="D66">
        <f>D1_JUNIO_2025[[#This Row],[RECUPERO]]/D1_JUNIO_2025[[#This Row],[META]]</f>
        <v>0.7795333333333333</v>
      </c>
      <c r="E66" t="s">
        <v>8</v>
      </c>
      <c r="F66" t="s">
        <v>41</v>
      </c>
      <c r="G66">
        <v>11693</v>
      </c>
      <c r="H66" t="s">
        <v>387</v>
      </c>
      <c r="I66" s="56">
        <v>45304</v>
      </c>
      <c r="J66" t="s">
        <v>501</v>
      </c>
      <c r="L66" s="56"/>
      <c r="M66" s="1">
        <f>DATA_JUNIO_2025[[#This Row],[RECUPERO]]/DATA_JUNIO_2025[[#This Row],[META]]</f>
        <v>0.33798461538461538</v>
      </c>
      <c r="N66" t="str" cm="1">
        <f t="array" ref="N6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66" t="s">
        <v>3</v>
      </c>
      <c r="P66">
        <f>SUM(DATA_JUNIO_2025[[#This Row],[1]:[31]])</f>
        <v>21969</v>
      </c>
      <c r="Q66">
        <v>65000</v>
      </c>
      <c r="R66" t="s">
        <v>107</v>
      </c>
      <c r="T66">
        <v>850</v>
      </c>
      <c r="V66">
        <v>600</v>
      </c>
      <c r="AB66">
        <v>600</v>
      </c>
      <c r="AE66">
        <v>600</v>
      </c>
      <c r="AH66">
        <v>5000</v>
      </c>
      <c r="AL66">
        <v>3000</v>
      </c>
      <c r="AQ66">
        <v>1000</v>
      </c>
      <c r="AS66">
        <v>1000</v>
      </c>
      <c r="AV66">
        <v>9319</v>
      </c>
      <c r="AX66" t="s">
        <v>150</v>
      </c>
    </row>
    <row r="67" spans="1:50" x14ac:dyDescent="0.25">
      <c r="A67" t="s">
        <v>8</v>
      </c>
      <c r="B67" t="s">
        <v>103</v>
      </c>
      <c r="C67">
        <f>VLOOKUP(D1_JUNIO_2025[[#This Row],[SUPER]],DATA_JUNIO_2025[[SUPERVISOR]:[META]],3,0)</f>
        <v>15000</v>
      </c>
      <c r="D67">
        <f>D1_JUNIO_2025[[#This Row],[RECUPERO]]/D1_JUNIO_2025[[#This Row],[META]]</f>
        <v>0.754</v>
      </c>
      <c r="E67" t="s">
        <v>8</v>
      </c>
      <c r="F67" t="s">
        <v>103</v>
      </c>
      <c r="G67">
        <v>11310</v>
      </c>
      <c r="H67" t="s">
        <v>419</v>
      </c>
      <c r="I67" s="56">
        <v>45451</v>
      </c>
      <c r="J67" t="s">
        <v>501</v>
      </c>
      <c r="L67" s="56"/>
      <c r="M67" s="1">
        <f>DATA_JUNIO_2025[[#This Row],[RECUPERO]]/DATA_JUNIO_2025[[#This Row],[META]]</f>
        <v>0.90316923076923072</v>
      </c>
      <c r="N67" t="str" cm="1">
        <f t="array" ref="N6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67" t="s">
        <v>2</v>
      </c>
      <c r="P67">
        <f>SUM(DATA_JUNIO_2025[[#This Row],[1]:[31]])</f>
        <v>58706</v>
      </c>
      <c r="Q67">
        <v>65000</v>
      </c>
      <c r="R67" t="s">
        <v>11</v>
      </c>
      <c r="T67">
        <v>700</v>
      </c>
      <c r="U67">
        <v>600</v>
      </c>
      <c r="V67">
        <v>68</v>
      </c>
      <c r="X67">
        <v>9700</v>
      </c>
      <c r="AB67">
        <v>2318</v>
      </c>
      <c r="AC67">
        <v>2000</v>
      </c>
      <c r="AE67">
        <v>700</v>
      </c>
      <c r="AH67">
        <v>2365</v>
      </c>
      <c r="AI67">
        <v>4600</v>
      </c>
      <c r="AJ67">
        <v>1000</v>
      </c>
      <c r="AO67">
        <v>3610</v>
      </c>
      <c r="AP67">
        <v>858</v>
      </c>
      <c r="AQ67">
        <v>20806</v>
      </c>
      <c r="AS67">
        <v>5695</v>
      </c>
      <c r="AV67">
        <v>3686</v>
      </c>
      <c r="AX67" t="s">
        <v>150</v>
      </c>
    </row>
    <row r="68" spans="1:50" x14ac:dyDescent="0.25">
      <c r="A68" t="s">
        <v>8</v>
      </c>
      <c r="B68" t="s">
        <v>83</v>
      </c>
      <c r="C68">
        <f>VLOOKUP(D1_JUNIO_2025[[#This Row],[SUPER]],DATA_JUNIO_2025[[SUPERVISOR]:[META]],3,0)</f>
        <v>15000</v>
      </c>
      <c r="D68">
        <f>D1_JUNIO_2025[[#This Row],[RECUPERO]]/D1_JUNIO_2025[[#This Row],[META]]</f>
        <v>0.78659999999999997</v>
      </c>
      <c r="E68" t="s">
        <v>8</v>
      </c>
      <c r="F68" t="s">
        <v>83</v>
      </c>
      <c r="G68">
        <v>11799</v>
      </c>
      <c r="H68" t="s">
        <v>435</v>
      </c>
      <c r="I68" s="56">
        <v>44937</v>
      </c>
      <c r="J68" t="s">
        <v>501</v>
      </c>
      <c r="L68" s="56"/>
      <c r="M68" s="1">
        <f>DATA_JUNIO_2025[[#This Row],[RECUPERO]]/DATA_JUNIO_2025[[#This Row],[META]]</f>
        <v>0.47706666666666669</v>
      </c>
      <c r="N68" t="str" cm="1">
        <f t="array" ref="N6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68" t="s">
        <v>125</v>
      </c>
      <c r="P68">
        <f>SUM(DATA_JUNIO_2025[[#This Row],[1]:[31]])</f>
        <v>7156</v>
      </c>
      <c r="Q68">
        <v>15000</v>
      </c>
      <c r="R68" t="s">
        <v>74</v>
      </c>
      <c r="U68">
        <v>390</v>
      </c>
      <c r="W68">
        <v>317</v>
      </c>
      <c r="X68">
        <v>139</v>
      </c>
      <c r="AA68">
        <v>200</v>
      </c>
      <c r="AC68">
        <v>1070</v>
      </c>
      <c r="AD68">
        <v>152</v>
      </c>
      <c r="AE68">
        <v>1378</v>
      </c>
      <c r="AH68">
        <v>250</v>
      </c>
      <c r="AJ68">
        <v>200</v>
      </c>
      <c r="AO68">
        <v>200</v>
      </c>
      <c r="AP68">
        <v>960</v>
      </c>
      <c r="AR68">
        <v>1150</v>
      </c>
      <c r="AS68">
        <v>500</v>
      </c>
      <c r="AV68">
        <v>250</v>
      </c>
      <c r="AX68" t="s">
        <v>153</v>
      </c>
    </row>
    <row r="69" spans="1:50" x14ac:dyDescent="0.25">
      <c r="A69" t="s">
        <v>8</v>
      </c>
      <c r="B69" t="s">
        <v>40</v>
      </c>
      <c r="C69">
        <f>VLOOKUP(D1_JUNIO_2025[[#This Row],[SUPER]],DATA_JUNIO_2025[[SUPERVISOR]:[META]],3,0)</f>
        <v>15000</v>
      </c>
      <c r="D69">
        <f>D1_JUNIO_2025[[#This Row],[RECUPERO]]/D1_JUNIO_2025[[#This Row],[META]]</f>
        <v>0.50206666666666666</v>
      </c>
      <c r="E69" t="s">
        <v>8</v>
      </c>
      <c r="F69" t="s">
        <v>40</v>
      </c>
      <c r="G69">
        <v>7531</v>
      </c>
      <c r="H69" t="s">
        <v>424</v>
      </c>
      <c r="I69" s="56">
        <v>45429</v>
      </c>
      <c r="J69" t="s">
        <v>501</v>
      </c>
      <c r="L69" s="56"/>
      <c r="M69" s="1">
        <f>DATA_JUNIO_2025[[#This Row],[RECUPERO]]/DATA_JUNIO_2025[[#This Row],[META]]</f>
        <v>0.59830769230769232</v>
      </c>
      <c r="N69" t="str" cm="1">
        <f t="array" ref="N6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69" t="s">
        <v>5</v>
      </c>
      <c r="P69">
        <f>SUM(DATA_JUNIO_2025[[#This Row],[1]:[31]])</f>
        <v>38890</v>
      </c>
      <c r="Q69">
        <v>65000</v>
      </c>
      <c r="R69" t="s">
        <v>79</v>
      </c>
      <c r="U69">
        <v>2500</v>
      </c>
      <c r="AA69">
        <v>20000</v>
      </c>
      <c r="AB69">
        <v>800</v>
      </c>
      <c r="AD69">
        <v>10000</v>
      </c>
      <c r="AM69">
        <v>200</v>
      </c>
      <c r="AO69">
        <v>700</v>
      </c>
      <c r="AS69">
        <v>600</v>
      </c>
      <c r="AV69">
        <v>4090</v>
      </c>
      <c r="AX69" t="s">
        <v>150</v>
      </c>
    </row>
    <row r="70" spans="1:50" x14ac:dyDescent="0.25">
      <c r="A70" t="s">
        <v>8</v>
      </c>
      <c r="B70" t="s">
        <v>42</v>
      </c>
      <c r="C70">
        <f>VLOOKUP(D1_JUNIO_2025[[#This Row],[SUPER]],DATA_JUNIO_2025[[SUPERVISOR]:[META]],3,0)</f>
        <v>15000</v>
      </c>
      <c r="D70">
        <f>D1_JUNIO_2025[[#This Row],[RECUPERO]]/D1_JUNIO_2025[[#This Row],[META]]</f>
        <v>0.46814666666666666</v>
      </c>
      <c r="E70" t="s">
        <v>8</v>
      </c>
      <c r="F70" t="s">
        <v>42</v>
      </c>
      <c r="G70">
        <v>7022.2</v>
      </c>
      <c r="H70" t="s">
        <v>415</v>
      </c>
      <c r="I70" s="56">
        <v>45399</v>
      </c>
      <c r="J70" t="s">
        <v>501</v>
      </c>
      <c r="L70" s="56"/>
      <c r="M70" s="1">
        <f>DATA_JUNIO_2025[[#This Row],[RECUPERO]]/DATA_JUNIO_2025[[#This Row],[META]]</f>
        <v>1.525855076923077</v>
      </c>
      <c r="N70" t="str" cm="1">
        <f t="array" ref="N7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70" t="s">
        <v>4</v>
      </c>
      <c r="P70">
        <f>SUM(DATA_JUNIO_2025[[#This Row],[1]:[31]])</f>
        <v>99180.58</v>
      </c>
      <c r="Q70">
        <v>65000</v>
      </c>
      <c r="R70" t="s">
        <v>59</v>
      </c>
      <c r="T70">
        <v>265</v>
      </c>
      <c r="U70">
        <v>3203</v>
      </c>
      <c r="V70">
        <v>2500</v>
      </c>
      <c r="W70">
        <v>6100</v>
      </c>
      <c r="Y70">
        <v>300</v>
      </c>
      <c r="AA70">
        <v>8800</v>
      </c>
      <c r="AB70">
        <v>1400</v>
      </c>
      <c r="AD70">
        <v>10500</v>
      </c>
      <c r="AE70">
        <v>15479.58</v>
      </c>
      <c r="AH70">
        <v>5600</v>
      </c>
      <c r="AO70">
        <v>8500</v>
      </c>
      <c r="AP70">
        <v>24955</v>
      </c>
      <c r="AR70">
        <v>950</v>
      </c>
      <c r="AS70">
        <v>2700</v>
      </c>
      <c r="AV70">
        <v>7928</v>
      </c>
      <c r="AX70" t="s">
        <v>150</v>
      </c>
    </row>
    <row r="71" spans="1:50" x14ac:dyDescent="0.25">
      <c r="A71" t="s">
        <v>8</v>
      </c>
      <c r="B71" t="s">
        <v>43</v>
      </c>
      <c r="C71">
        <f>VLOOKUP(D1_JUNIO_2025[[#This Row],[SUPER]],DATA_JUNIO_2025[[SUPERVISOR]:[META]],3,0)</f>
        <v>15000</v>
      </c>
      <c r="D71">
        <f>D1_JUNIO_2025[[#This Row],[RECUPERO]]/D1_JUNIO_2025[[#This Row],[META]]</f>
        <v>0.32240000000000002</v>
      </c>
      <c r="E71" t="s">
        <v>8</v>
      </c>
      <c r="F71" t="s">
        <v>43</v>
      </c>
      <c r="G71">
        <v>4836</v>
      </c>
      <c r="H71" t="s">
        <v>471</v>
      </c>
      <c r="I71" s="56">
        <v>45793</v>
      </c>
      <c r="J71" t="s">
        <v>501</v>
      </c>
      <c r="L71" s="56"/>
      <c r="M71" s="1">
        <f>DATA_JUNIO_2025[[#This Row],[RECUPERO]]/DATA_JUNIO_2025[[#This Row],[META]]</f>
        <v>0.20480000000000001</v>
      </c>
      <c r="N71" t="str" cm="1">
        <f t="array" ref="N7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71" t="s">
        <v>9</v>
      </c>
      <c r="P71">
        <f>SUM(DATA_JUNIO_2025[[#This Row],[1]:[31]])</f>
        <v>3072</v>
      </c>
      <c r="Q71">
        <v>15000</v>
      </c>
      <c r="R71" t="s">
        <v>84</v>
      </c>
      <c r="U71">
        <v>1050</v>
      </c>
      <c r="AE71">
        <v>260</v>
      </c>
      <c r="AJ71">
        <v>1462</v>
      </c>
      <c r="AV71">
        <v>300</v>
      </c>
      <c r="AX71" t="s">
        <v>153</v>
      </c>
    </row>
    <row r="72" spans="1:50" x14ac:dyDescent="0.25">
      <c r="A72" t="s">
        <v>8</v>
      </c>
      <c r="B72" t="s">
        <v>48</v>
      </c>
      <c r="C72">
        <f>VLOOKUP(D1_JUNIO_2025[[#This Row],[SUPER]],DATA_JUNIO_2025[[SUPERVISOR]:[META]],3,0)</f>
        <v>15000</v>
      </c>
      <c r="D72">
        <f>D1_JUNIO_2025[[#This Row],[RECUPERO]]/D1_JUNIO_2025[[#This Row],[META]]</f>
        <v>0.26166666666666666</v>
      </c>
      <c r="E72" t="s">
        <v>8</v>
      </c>
      <c r="F72" t="s">
        <v>48</v>
      </c>
      <c r="G72">
        <v>3925</v>
      </c>
      <c r="H72" t="s">
        <v>421</v>
      </c>
      <c r="I72" s="56">
        <v>44748</v>
      </c>
      <c r="J72" t="s">
        <v>501</v>
      </c>
      <c r="L72" s="56"/>
      <c r="M72" s="1">
        <f>DATA_JUNIO_2025[[#This Row],[RECUPERO]]/DATA_JUNIO_2025[[#This Row],[META]]</f>
        <v>0.20976923076923076</v>
      </c>
      <c r="N72" t="str" cm="1">
        <f t="array" ref="N7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72" t="s">
        <v>4</v>
      </c>
      <c r="P72">
        <f>SUM(DATA_JUNIO_2025[[#This Row],[1]:[31]])</f>
        <v>13635</v>
      </c>
      <c r="Q72">
        <v>65000</v>
      </c>
      <c r="R72" t="s">
        <v>63</v>
      </c>
      <c r="T72">
        <v>1690</v>
      </c>
      <c r="V72">
        <v>730</v>
      </c>
      <c r="W72">
        <v>300</v>
      </c>
      <c r="Y72">
        <v>384</v>
      </c>
      <c r="AA72">
        <v>485</v>
      </c>
      <c r="AE72">
        <v>2630</v>
      </c>
      <c r="AI72">
        <v>294</v>
      </c>
      <c r="AK72">
        <v>460</v>
      </c>
      <c r="AL72">
        <v>349</v>
      </c>
      <c r="AP72">
        <v>3000</v>
      </c>
      <c r="AS72">
        <v>1446</v>
      </c>
      <c r="AT72">
        <v>240</v>
      </c>
      <c r="AV72">
        <v>1627</v>
      </c>
      <c r="AX72" t="s">
        <v>150</v>
      </c>
    </row>
    <row r="73" spans="1:50" x14ac:dyDescent="0.25">
      <c r="A73" t="s">
        <v>8</v>
      </c>
      <c r="B73" t="s">
        <v>45</v>
      </c>
      <c r="C73">
        <f>VLOOKUP(D1_JUNIO_2025[[#This Row],[SUPER]],DATA_JUNIO_2025[[SUPERVISOR]:[META]],3,0)</f>
        <v>15000</v>
      </c>
      <c r="D73">
        <f>D1_JUNIO_2025[[#This Row],[RECUPERO]]/D1_JUNIO_2025[[#This Row],[META]]</f>
        <v>0.14546666666666666</v>
      </c>
      <c r="E73" t="s">
        <v>8</v>
      </c>
      <c r="F73" t="s">
        <v>45</v>
      </c>
      <c r="G73">
        <v>2182</v>
      </c>
      <c r="H73" t="s">
        <v>476</v>
      </c>
      <c r="I73" s="56">
        <v>38525</v>
      </c>
      <c r="J73" t="s">
        <v>501</v>
      </c>
      <c r="L73" s="56"/>
      <c r="M73" s="1">
        <f>DATA_JUNIO_2025[[#This Row],[RECUPERO]]/DATA_JUNIO_2025[[#This Row],[META]]</f>
        <v>0.754</v>
      </c>
      <c r="N73" t="str" cm="1">
        <f t="array" ref="N7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73" t="s">
        <v>8</v>
      </c>
      <c r="P73">
        <f>SUM(DATA_JUNIO_2025[[#This Row],[1]:[31]])</f>
        <v>11310</v>
      </c>
      <c r="Q73">
        <v>15000</v>
      </c>
      <c r="R73" t="s">
        <v>103</v>
      </c>
      <c r="V73">
        <v>400</v>
      </c>
      <c r="AA73">
        <v>200</v>
      </c>
      <c r="AB73">
        <v>1000</v>
      </c>
      <c r="AC73">
        <v>350</v>
      </c>
      <c r="AD73">
        <v>300</v>
      </c>
      <c r="AF73">
        <v>300</v>
      </c>
      <c r="AH73">
        <v>1000</v>
      </c>
      <c r="AJ73">
        <v>700</v>
      </c>
      <c r="AK73">
        <v>500</v>
      </c>
      <c r="AL73">
        <v>2650</v>
      </c>
      <c r="AM73">
        <v>1000</v>
      </c>
      <c r="AP73">
        <v>600</v>
      </c>
      <c r="AQ73">
        <v>600</v>
      </c>
      <c r="AS73">
        <v>710</v>
      </c>
      <c r="AV73">
        <v>1000</v>
      </c>
      <c r="AX73" t="s">
        <v>153</v>
      </c>
    </row>
    <row r="74" spans="1:50" x14ac:dyDescent="0.25">
      <c r="A74" t="s">
        <v>9</v>
      </c>
      <c r="B74" t="s">
        <v>15</v>
      </c>
      <c r="C74">
        <f>VLOOKUP(D1_JUNIO_2025[[#This Row],[SUPER]],DATA_JUNIO_2025[[SUPERVISOR]:[META]],3,0)</f>
        <v>15000</v>
      </c>
      <c r="D74">
        <f>D1_JUNIO_2025[[#This Row],[RECUPERO]]/D1_JUNIO_2025[[#This Row],[META]]</f>
        <v>1.0038733333333334</v>
      </c>
      <c r="E74" t="s">
        <v>9</v>
      </c>
      <c r="F74" t="s">
        <v>15</v>
      </c>
      <c r="G74">
        <v>15058.1</v>
      </c>
      <c r="H74" t="s">
        <v>410</v>
      </c>
      <c r="I74" s="56">
        <v>44735</v>
      </c>
      <c r="J74" t="s">
        <v>501</v>
      </c>
      <c r="L74" s="56"/>
      <c r="M74" s="1">
        <f>DATA_JUNIO_2025[[#This Row],[RECUPERO]]/DATA_JUNIO_2025[[#This Row],[META]]</f>
        <v>0.47986666666666666</v>
      </c>
      <c r="N74" t="str" cm="1">
        <f t="array" ref="N74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74" t="s">
        <v>9</v>
      </c>
      <c r="P74">
        <f>SUM(DATA_JUNIO_2025[[#This Row],[1]:[31]])</f>
        <v>7198</v>
      </c>
      <c r="Q74">
        <v>15000</v>
      </c>
      <c r="R74" t="s">
        <v>73</v>
      </c>
      <c r="T74">
        <v>755</v>
      </c>
      <c r="V74">
        <v>920</v>
      </c>
      <c r="W74">
        <v>300</v>
      </c>
      <c r="X74">
        <v>460</v>
      </c>
      <c r="AE74">
        <v>200</v>
      </c>
      <c r="AF74">
        <v>1400</v>
      </c>
      <c r="AG74">
        <v>50</v>
      </c>
      <c r="AJ74">
        <v>900</v>
      </c>
      <c r="AL74">
        <v>260</v>
      </c>
      <c r="AP74">
        <v>173</v>
      </c>
      <c r="AT74">
        <v>430</v>
      </c>
      <c r="AV74">
        <v>1350</v>
      </c>
      <c r="AX74" t="s">
        <v>153</v>
      </c>
    </row>
    <row r="75" spans="1:50" x14ac:dyDescent="0.25">
      <c r="A75" t="s">
        <v>9</v>
      </c>
      <c r="B75" t="s">
        <v>78</v>
      </c>
      <c r="C75">
        <f>VLOOKUP(D1_JUNIO_2025[[#This Row],[SUPER]],DATA_JUNIO_2025[[SUPERVISOR]:[META]],3,0)</f>
        <v>15000</v>
      </c>
      <c r="D75">
        <f>D1_JUNIO_2025[[#This Row],[RECUPERO]]/D1_JUNIO_2025[[#This Row],[META]]</f>
        <v>1.0196000000000001</v>
      </c>
      <c r="E75" t="s">
        <v>9</v>
      </c>
      <c r="F75" t="s">
        <v>78</v>
      </c>
      <c r="G75">
        <v>15294</v>
      </c>
      <c r="H75" t="s">
        <v>397</v>
      </c>
      <c r="I75" s="56">
        <v>44945</v>
      </c>
      <c r="J75" t="s">
        <v>501</v>
      </c>
      <c r="L75" s="56"/>
      <c r="M75" s="1">
        <f>DATA_JUNIO_2025[[#This Row],[RECUPERO]]/DATA_JUNIO_2025[[#This Row],[META]]</f>
        <v>0.30121538461538461</v>
      </c>
      <c r="N75" t="str" cm="1">
        <f t="array" ref="N75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75" t="s">
        <v>2</v>
      </c>
      <c r="P75">
        <f>SUM(DATA_JUNIO_2025[[#This Row],[1]:[31]])</f>
        <v>19579</v>
      </c>
      <c r="Q75">
        <v>65000</v>
      </c>
      <c r="R75" t="s">
        <v>86</v>
      </c>
      <c r="X75">
        <v>600</v>
      </c>
      <c r="AB75">
        <v>600</v>
      </c>
      <c r="AE75">
        <v>10300</v>
      </c>
      <c r="AL75">
        <v>6000</v>
      </c>
      <c r="AQ75">
        <v>600</v>
      </c>
      <c r="AS75">
        <v>879</v>
      </c>
      <c r="AV75">
        <v>600</v>
      </c>
      <c r="AX75" t="s">
        <v>150</v>
      </c>
    </row>
    <row r="76" spans="1:50" x14ac:dyDescent="0.25">
      <c r="A76" t="s">
        <v>9</v>
      </c>
      <c r="B76" t="s">
        <v>32</v>
      </c>
      <c r="C76">
        <f>VLOOKUP(D1_JUNIO_2025[[#This Row],[SUPER]],DATA_JUNIO_2025[[SUPERVISOR]:[META]],3,0)</f>
        <v>15000</v>
      </c>
      <c r="D76">
        <f>D1_JUNIO_2025[[#This Row],[RECUPERO]]/D1_JUNIO_2025[[#This Row],[META]]</f>
        <v>0.5633800000000001</v>
      </c>
      <c r="E76" t="s">
        <v>9</v>
      </c>
      <c r="F76" t="s">
        <v>32</v>
      </c>
      <c r="G76">
        <v>8450.7000000000007</v>
      </c>
      <c r="H76" t="s">
        <v>390</v>
      </c>
      <c r="I76" s="56">
        <v>45530</v>
      </c>
      <c r="J76" t="s">
        <v>501</v>
      </c>
      <c r="L76" s="56"/>
      <c r="M76" s="1">
        <f>DATA_JUNIO_2025[[#This Row],[RECUPERO]]/DATA_JUNIO_2025[[#This Row],[META]]</f>
        <v>0.38524590163934425</v>
      </c>
      <c r="N76" t="str" cm="1">
        <f t="array" ref="N76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76" t="s">
        <v>6</v>
      </c>
      <c r="P76">
        <f>SUM(DATA_JUNIO_2025[[#This Row],[1]:[31]])</f>
        <v>11750</v>
      </c>
      <c r="Q76">
        <v>30500</v>
      </c>
      <c r="R76" t="s">
        <v>34</v>
      </c>
      <c r="V76">
        <v>500</v>
      </c>
      <c r="W76">
        <v>1000</v>
      </c>
      <c r="X76">
        <v>400</v>
      </c>
      <c r="AB76">
        <v>2200</v>
      </c>
      <c r="AC76">
        <v>1400</v>
      </c>
      <c r="AF76">
        <v>300</v>
      </c>
      <c r="AO76">
        <v>300</v>
      </c>
      <c r="AQ76">
        <v>2500</v>
      </c>
      <c r="AR76">
        <v>2000</v>
      </c>
      <c r="AV76">
        <v>1150</v>
      </c>
      <c r="AX76" t="s">
        <v>152</v>
      </c>
    </row>
    <row r="77" spans="1:50" x14ac:dyDescent="0.25">
      <c r="A77" t="s">
        <v>9</v>
      </c>
      <c r="B77" t="s">
        <v>73</v>
      </c>
      <c r="C77">
        <f>VLOOKUP(D1_JUNIO_2025[[#This Row],[SUPER]],DATA_JUNIO_2025[[SUPERVISOR]:[META]],3,0)</f>
        <v>15000</v>
      </c>
      <c r="D77">
        <f>D1_JUNIO_2025[[#This Row],[RECUPERO]]/D1_JUNIO_2025[[#This Row],[META]]</f>
        <v>0.47986666666666666</v>
      </c>
      <c r="E77" t="s">
        <v>9</v>
      </c>
      <c r="F77" t="s">
        <v>73</v>
      </c>
      <c r="G77">
        <v>7198</v>
      </c>
      <c r="H77" t="s">
        <v>420</v>
      </c>
      <c r="I77" s="56">
        <v>45145</v>
      </c>
      <c r="J77" t="s">
        <v>501</v>
      </c>
      <c r="L77" s="56"/>
      <c r="M77" s="1">
        <f>DATA_JUNIO_2025[[#This Row],[RECUPERO]]/DATA_JUNIO_2025[[#This Row],[META]]</f>
        <v>2.3333333333333334E-2</v>
      </c>
      <c r="N77" t="str" cm="1">
        <f t="array" ref="N77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77" t="s">
        <v>9</v>
      </c>
      <c r="P77">
        <f>SUM(DATA_JUNIO_2025[[#This Row],[1]:[31]])</f>
        <v>350</v>
      </c>
      <c r="Q77">
        <v>15000</v>
      </c>
      <c r="R77" t="s">
        <v>30</v>
      </c>
      <c r="AJ77">
        <v>100</v>
      </c>
      <c r="AL77">
        <v>250</v>
      </c>
      <c r="AX77" t="s">
        <v>153</v>
      </c>
    </row>
    <row r="78" spans="1:50" x14ac:dyDescent="0.25">
      <c r="A78" t="s">
        <v>9</v>
      </c>
      <c r="B78" t="s">
        <v>49</v>
      </c>
      <c r="C78">
        <f>VLOOKUP(D1_JUNIO_2025[[#This Row],[SUPER]],DATA_JUNIO_2025[[SUPERVISOR]:[META]],3,0)</f>
        <v>15000</v>
      </c>
      <c r="D78">
        <f>D1_JUNIO_2025[[#This Row],[RECUPERO]]/D1_JUNIO_2025[[#This Row],[META]]</f>
        <v>0.36593333333333333</v>
      </c>
      <c r="E78" t="s">
        <v>9</v>
      </c>
      <c r="F78" t="s">
        <v>49</v>
      </c>
      <c r="G78">
        <v>5489</v>
      </c>
      <c r="H78" t="s">
        <v>436</v>
      </c>
      <c r="I78" s="56">
        <v>42814</v>
      </c>
      <c r="J78" t="s">
        <v>501</v>
      </c>
      <c r="M78" s="1">
        <f>DATA_JUNIO_2025[[#This Row],[RECUPERO]]/DATA_JUNIO_2025[[#This Row],[META]]</f>
        <v>1.0196000000000001</v>
      </c>
      <c r="N78" t="str" cm="1">
        <f t="array" ref="N78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&gt;100%</v>
      </c>
      <c r="O78" t="s">
        <v>9</v>
      </c>
      <c r="P78">
        <f>SUM(DATA_JUNIO_2025[[#This Row],[1]:[31]])</f>
        <v>15294</v>
      </c>
      <c r="Q78">
        <v>15000</v>
      </c>
      <c r="R78" t="s">
        <v>78</v>
      </c>
      <c r="W78">
        <v>500</v>
      </c>
      <c r="X78">
        <v>600</v>
      </c>
      <c r="AA78">
        <v>200</v>
      </c>
      <c r="AB78">
        <v>200</v>
      </c>
      <c r="AC78">
        <v>200</v>
      </c>
      <c r="AE78">
        <v>829</v>
      </c>
      <c r="AH78">
        <v>2500</v>
      </c>
      <c r="AJ78">
        <v>4200</v>
      </c>
      <c r="AL78">
        <v>450</v>
      </c>
      <c r="AS78">
        <v>1505</v>
      </c>
      <c r="AV78">
        <v>4110</v>
      </c>
      <c r="AX78" t="s">
        <v>153</v>
      </c>
    </row>
    <row r="79" spans="1:50" x14ac:dyDescent="0.25">
      <c r="A79" t="s">
        <v>9</v>
      </c>
      <c r="B79" t="s">
        <v>104</v>
      </c>
      <c r="C79">
        <f>VLOOKUP(D1_JUNIO_2025[[#This Row],[SUPER]],DATA_JUNIO_2025[[SUPERVISOR]:[META]],3,0)</f>
        <v>15000</v>
      </c>
      <c r="D79">
        <f>D1_JUNIO_2025[[#This Row],[RECUPERO]]/D1_JUNIO_2025[[#This Row],[META]]</f>
        <v>0.36533333333333334</v>
      </c>
      <c r="E79" t="s">
        <v>9</v>
      </c>
      <c r="F79" t="s">
        <v>104</v>
      </c>
      <c r="G79">
        <v>5480</v>
      </c>
      <c r="H79" t="s">
        <v>456</v>
      </c>
      <c r="I79" s="56">
        <v>44104</v>
      </c>
      <c r="J79" t="s">
        <v>501</v>
      </c>
      <c r="M79" s="1">
        <f>DATA_JUNIO_2025[[#This Row],[RECUPERO]]/DATA_JUNIO_2025[[#This Row],[META]]</f>
        <v>0.26166666666666666</v>
      </c>
      <c r="N79" t="str" cm="1">
        <f t="array" ref="N79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&gt;0%</v>
      </c>
      <c r="O79" t="s">
        <v>8</v>
      </c>
      <c r="P79">
        <f>SUM(DATA_JUNIO_2025[[#This Row],[1]:[31]])</f>
        <v>3925</v>
      </c>
      <c r="Q79">
        <v>15000</v>
      </c>
      <c r="R79" t="s">
        <v>48</v>
      </c>
      <c r="W79">
        <v>200</v>
      </c>
      <c r="AB79">
        <v>200</v>
      </c>
      <c r="AH79">
        <v>400</v>
      </c>
      <c r="AJ79">
        <v>60</v>
      </c>
      <c r="AK79">
        <v>450</v>
      </c>
      <c r="AO79">
        <v>500</v>
      </c>
      <c r="AP79">
        <v>200</v>
      </c>
      <c r="AQ79">
        <v>250</v>
      </c>
      <c r="AS79">
        <v>365</v>
      </c>
      <c r="AT79">
        <v>500</v>
      </c>
      <c r="AV79">
        <v>800</v>
      </c>
      <c r="AX79" t="s">
        <v>153</v>
      </c>
    </row>
    <row r="80" spans="1:50" x14ac:dyDescent="0.25">
      <c r="A80" t="s">
        <v>9</v>
      </c>
      <c r="B80" t="s">
        <v>51</v>
      </c>
      <c r="C80">
        <f>VLOOKUP(D1_JUNIO_2025[[#This Row],[SUPER]],DATA_JUNIO_2025[[SUPERVISOR]:[META]],3,0)</f>
        <v>15000</v>
      </c>
      <c r="D80">
        <f>D1_JUNIO_2025[[#This Row],[RECUPERO]]/D1_JUNIO_2025[[#This Row],[META]]</f>
        <v>0.30833333333333335</v>
      </c>
      <c r="E80" t="s">
        <v>9</v>
      </c>
      <c r="F80" t="s">
        <v>51</v>
      </c>
      <c r="G80">
        <v>4625</v>
      </c>
      <c r="H80" t="s">
        <v>413</v>
      </c>
      <c r="I80" s="56">
        <v>45674</v>
      </c>
      <c r="J80" t="s">
        <v>501</v>
      </c>
      <c r="M80" s="1">
        <f>DATA_JUNIO_2025[[#This Row],[RECUPERO]]/DATA_JUNIO_2025[[#This Row],[META]]</f>
        <v>0.85598461538461534</v>
      </c>
      <c r="N80" t="str" cm="1">
        <f t="array" ref="N80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&gt;70%</v>
      </c>
      <c r="O80" t="s">
        <v>2</v>
      </c>
      <c r="P80">
        <f>SUM(DATA_JUNIO_2025[[#This Row],[1]:[31]])</f>
        <v>55639</v>
      </c>
      <c r="Q80">
        <v>65000</v>
      </c>
      <c r="R80" t="s">
        <v>10</v>
      </c>
      <c r="W80">
        <v>2200</v>
      </c>
      <c r="X80">
        <v>1530</v>
      </c>
      <c r="AC80">
        <v>3500</v>
      </c>
      <c r="AE80">
        <v>10618</v>
      </c>
      <c r="AI80">
        <v>6700</v>
      </c>
      <c r="AJ80">
        <v>6100</v>
      </c>
      <c r="AL80">
        <v>184</v>
      </c>
      <c r="AP80">
        <v>3000</v>
      </c>
      <c r="AQ80">
        <v>350</v>
      </c>
      <c r="AR80">
        <v>485</v>
      </c>
      <c r="AS80">
        <v>10710</v>
      </c>
      <c r="AV80">
        <v>10262</v>
      </c>
      <c r="AX80" t="s">
        <v>150</v>
      </c>
    </row>
    <row r="81" spans="1:50" x14ac:dyDescent="0.25">
      <c r="A81" t="s">
        <v>9</v>
      </c>
      <c r="B81" t="s">
        <v>84</v>
      </c>
      <c r="C81">
        <f>VLOOKUP(D1_JUNIO_2025[[#This Row],[SUPER]],DATA_JUNIO_2025[[SUPERVISOR]:[META]],3,0)</f>
        <v>15000</v>
      </c>
      <c r="D81">
        <f>D1_JUNIO_2025[[#This Row],[RECUPERO]]/D1_JUNIO_2025[[#This Row],[META]]</f>
        <v>0.20480000000000001</v>
      </c>
      <c r="E81" t="s">
        <v>9</v>
      </c>
      <c r="F81" t="s">
        <v>84</v>
      </c>
      <c r="G81">
        <v>3072</v>
      </c>
      <c r="H81" t="s">
        <v>473</v>
      </c>
      <c r="I81" s="56">
        <v>45800</v>
      </c>
      <c r="J81" t="s">
        <v>501</v>
      </c>
      <c r="M81" s="1">
        <f>DATA_JUNIO_2025[[#This Row],[RECUPERO]]/DATA_JUNIO_2025[[#This Row],[META]]</f>
        <v>0.61761538461538457</v>
      </c>
      <c r="N81" t="str" cm="1">
        <f t="array" ref="N81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81" t="s">
        <v>3</v>
      </c>
      <c r="P81">
        <f>SUM(DATA_JUNIO_2025[[#This Row],[1]:[31]])</f>
        <v>40145</v>
      </c>
      <c r="Q81">
        <v>65000</v>
      </c>
      <c r="R81" t="s">
        <v>76</v>
      </c>
      <c r="T81">
        <v>4900</v>
      </c>
      <c r="AB81">
        <v>4850</v>
      </c>
      <c r="AO81">
        <v>5820</v>
      </c>
      <c r="AS81">
        <v>5505</v>
      </c>
      <c r="AV81">
        <v>19070</v>
      </c>
      <c r="AX81" t="s">
        <v>150</v>
      </c>
    </row>
    <row r="82" spans="1:50" x14ac:dyDescent="0.25">
      <c r="A82" t="s">
        <v>9</v>
      </c>
      <c r="B82" t="s">
        <v>112</v>
      </c>
      <c r="C82">
        <f>VLOOKUP(D1_JUNIO_2025[[#This Row],[SUPER]],DATA_JUNIO_2025[[SUPERVISOR]:[META]],3,0)</f>
        <v>15000</v>
      </c>
      <c r="D82">
        <f>D1_JUNIO_2025[[#This Row],[RECUPERO]]/D1_JUNIO_2025[[#This Row],[META]]</f>
        <v>4.6666666666666669E-2</v>
      </c>
      <c r="E82" t="s">
        <v>9</v>
      </c>
      <c r="F82" t="s">
        <v>112</v>
      </c>
      <c r="G82">
        <v>700</v>
      </c>
      <c r="H82" t="s">
        <v>477</v>
      </c>
      <c r="I82" s="56">
        <v>45832</v>
      </c>
      <c r="J82" t="s">
        <v>501</v>
      </c>
      <c r="M82" s="1">
        <f>DATA_JUNIO_2025[[#This Row],[RECUPERO]]/DATA_JUNIO_2025[[#This Row],[META]]</f>
        <v>0.57720000000000005</v>
      </c>
      <c r="N82" t="str" cm="1">
        <f t="array" ref="N82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82" t="s">
        <v>125</v>
      </c>
      <c r="P82">
        <f>SUM(DATA_JUNIO_2025[[#This Row],[1]:[31]])</f>
        <v>8658</v>
      </c>
      <c r="Q82">
        <v>15000</v>
      </c>
      <c r="R82" t="s">
        <v>39</v>
      </c>
      <c r="T82">
        <v>0</v>
      </c>
      <c r="V82">
        <v>600</v>
      </c>
      <c r="W82">
        <v>550</v>
      </c>
      <c r="X82">
        <v>350</v>
      </c>
      <c r="AB82">
        <v>355</v>
      </c>
      <c r="AC82">
        <v>255</v>
      </c>
      <c r="AD82">
        <v>200</v>
      </c>
      <c r="AF82">
        <v>1000</v>
      </c>
      <c r="AH82">
        <v>450</v>
      </c>
      <c r="AI82">
        <v>301</v>
      </c>
      <c r="AL82">
        <v>1200</v>
      </c>
      <c r="AO82">
        <v>150</v>
      </c>
      <c r="AQ82">
        <v>100</v>
      </c>
      <c r="AR82">
        <v>200</v>
      </c>
      <c r="AV82">
        <v>2947</v>
      </c>
      <c r="AX82" t="s">
        <v>153</v>
      </c>
    </row>
    <row r="83" spans="1:50" x14ac:dyDescent="0.25">
      <c r="A83" t="s">
        <v>9</v>
      </c>
      <c r="B83" t="s">
        <v>30</v>
      </c>
      <c r="C83">
        <f>VLOOKUP(D1_JUNIO_2025[[#This Row],[SUPER]],DATA_JUNIO_2025[[SUPERVISOR]:[META]],3,0)</f>
        <v>15000</v>
      </c>
      <c r="D83">
        <f>D1_JUNIO_2025[[#This Row],[RECUPERO]]/D1_JUNIO_2025[[#This Row],[META]]</f>
        <v>2.3333333333333334E-2</v>
      </c>
      <c r="E83" t="s">
        <v>9</v>
      </c>
      <c r="F83" t="s">
        <v>30</v>
      </c>
      <c r="G83">
        <v>350</v>
      </c>
      <c r="H83" t="s">
        <v>448</v>
      </c>
      <c r="I83" s="56">
        <v>45399</v>
      </c>
      <c r="J83" t="s">
        <v>501</v>
      </c>
      <c r="M83" s="1">
        <f>DATA_JUNIO_2025[[#This Row],[RECUPERO]]/DATA_JUNIO_2025[[#This Row],[META]]</f>
        <v>0.48286666666666667</v>
      </c>
      <c r="N83" t="str" cm="1">
        <f t="array" ref="N83">IF(DATA_JUNIO_2025[[#This Row],[ASER_]]="","",IFERROR(_xlfn.IFS(DATA_JUNIO_2025[[#This Row],[AL_AC]]&gt;=100%,"&gt;100%",AND(DATA_JUNIO_2025[[#This Row],[AL_AC]]&lt;100%,DATA_JUNIO_2025[[#This Row],[AL_AC]]&gt;=70%),"&gt;70%",AND(DATA_JUNIO_2025[[#This Row],[AL_AC]]&lt;70%,DATA_JUNIO_2025[[#This Row],[AL_AC]]&gt;=40%),"&gt;40%",AND(DATA_JUNIO_2025[[#This Row],[AL_AC]]&lt;40%,DATA_JUNIO_2025[[#This Row],[AL_AC]]&gt;=0%),"&gt;0%"),""))</f>
        <v>&gt;40%</v>
      </c>
      <c r="O83" t="s">
        <v>125</v>
      </c>
      <c r="P83">
        <f>SUM(DATA_JUNIO_2025[[#This Row],[1]:[31]])</f>
        <v>7243</v>
      </c>
      <c r="Q83">
        <v>15000</v>
      </c>
      <c r="R83" t="s">
        <v>56</v>
      </c>
      <c r="U83">
        <v>200.07</v>
      </c>
      <c r="V83">
        <v>1110</v>
      </c>
      <c r="W83">
        <v>261.93</v>
      </c>
      <c r="X83">
        <v>300</v>
      </c>
      <c r="AA83">
        <v>320</v>
      </c>
      <c r="AC83">
        <v>202</v>
      </c>
      <c r="AD83">
        <v>270</v>
      </c>
      <c r="AE83">
        <v>850</v>
      </c>
      <c r="AI83">
        <v>217</v>
      </c>
      <c r="AJ83">
        <v>300</v>
      </c>
      <c r="AL83">
        <v>200</v>
      </c>
      <c r="AM83">
        <v>260</v>
      </c>
      <c r="AO83">
        <v>721</v>
      </c>
      <c r="AQ83">
        <v>200</v>
      </c>
      <c r="AR83">
        <v>250</v>
      </c>
      <c r="AS83">
        <v>750</v>
      </c>
      <c r="AU83">
        <v>325</v>
      </c>
      <c r="AV83">
        <v>506</v>
      </c>
      <c r="AX83" t="s">
        <v>153</v>
      </c>
    </row>
  </sheetData>
  <sheetProtection formatCells="0" insertColumns="0" insertRows="0" deleteColumns="0" deleteRows="0" sort="0" autoFilter="0" pivotTables="0"/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F23C-A1EF-43D4-A783-F5AA12282D22}">
  <sheetPr codeName="Hoja1"/>
  <dimension ref="A1:CI89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9.42578125" customWidth="1"/>
    <col min="2" max="3" width="22.7109375" customWidth="1"/>
    <col min="4" max="5" width="13.42578125" customWidth="1"/>
    <col min="6" max="6" width="12.28515625" customWidth="1"/>
    <col min="7" max="7" width="10.42578125" customWidth="1"/>
    <col min="8" max="8" width="11.42578125" customWidth="1"/>
    <col min="9" max="9" width="27.85546875" bestFit="1" customWidth="1"/>
    <col min="10" max="11" width="11.42578125" customWidth="1"/>
    <col min="12" max="12" width="12.42578125" bestFit="1" customWidth="1"/>
    <col min="13" max="13" width="10.85546875" customWidth="1"/>
    <col min="14" max="14" width="12.140625" style="1" customWidth="1"/>
    <col min="15" max="15" width="22.7109375" customWidth="1"/>
    <col min="16" max="16" width="14.85546875" bestFit="1" customWidth="1"/>
    <col min="18" max="18" width="27.28515625" bestFit="1" customWidth="1"/>
    <col min="51" max="51" width="14.28515625" customWidth="1"/>
    <col min="54" max="54" width="13.5703125" bestFit="1" customWidth="1"/>
  </cols>
  <sheetData>
    <row r="1" spans="1:87" ht="15" customHeight="1" x14ac:dyDescent="0.25">
      <c r="L1" s="56"/>
    </row>
    <row r="2" spans="1:87" ht="15" customHeight="1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58" t="s">
        <v>376</v>
      </c>
      <c r="I2" s="58" t="s">
        <v>558</v>
      </c>
      <c r="J2" s="60" t="s">
        <v>499</v>
      </c>
      <c r="K2" s="60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2" t="str">
        <f>D1_JULIO_2025[[#This Row],[SUPER2]]</f>
        <v>SANDY</v>
      </c>
      <c r="B3" s="2" t="s">
        <v>76</v>
      </c>
      <c r="C3" s="2">
        <f>VLOOKUP(D1_JULIO_2025[[#This Row],[SUPER]],DATA_JULIO_2025[[SUPERVISOR]:[META]],3,0)</f>
        <v>65000</v>
      </c>
      <c r="D3" s="2">
        <f>D1_JULIO_2025[[#This Row],[RECUPERO]]/C3</f>
        <v>2.1022955384615383</v>
      </c>
      <c r="E3" t="s">
        <v>3</v>
      </c>
      <c r="F3" t="s">
        <v>76</v>
      </c>
      <c r="G3">
        <v>136649.21</v>
      </c>
      <c r="H3" t="s">
        <v>408</v>
      </c>
      <c r="I3" s="56">
        <v>44819</v>
      </c>
      <c r="J3" t="s">
        <v>501</v>
      </c>
      <c r="L3" s="56"/>
      <c r="M3" s="33">
        <v>2025</v>
      </c>
      <c r="N3" s="33" t="s">
        <v>145</v>
      </c>
      <c r="O3" s="33">
        <v>20</v>
      </c>
    </row>
    <row r="4" spans="1:87" x14ac:dyDescent="0.25">
      <c r="A4" s="2" t="str">
        <f>D1_JULIO_2025[[#This Row],[SUPER2]]</f>
        <v>SANDY</v>
      </c>
      <c r="B4" s="2" t="s">
        <v>23</v>
      </c>
      <c r="C4" s="2">
        <f>VLOOKUP(D1_JULIO_2025[[#This Row],[SUPER]],DATA_JULIO_2025[[SUPERVISOR]:[META]],3,0)</f>
        <v>65000</v>
      </c>
      <c r="D4" s="2">
        <f>D1_JULIO_2025[[#This Row],[RECUPERO]]/C4</f>
        <v>1.4705384615384616</v>
      </c>
      <c r="E4" t="s">
        <v>3</v>
      </c>
      <c r="F4" t="s">
        <v>23</v>
      </c>
      <c r="G4">
        <v>95585</v>
      </c>
      <c r="H4" t="s">
        <v>445</v>
      </c>
      <c r="I4" s="56">
        <v>44111</v>
      </c>
      <c r="J4" t="s">
        <v>501</v>
      </c>
      <c r="L4" s="56"/>
    </row>
    <row r="5" spans="1:87" x14ac:dyDescent="0.25">
      <c r="A5" s="2" t="str">
        <f>D1_JULIO_2025[[#This Row],[SUPER2]]</f>
        <v>SANDY</v>
      </c>
      <c r="B5" s="2" t="s">
        <v>22</v>
      </c>
      <c r="C5" s="2">
        <f>VLOOKUP(D1_JULIO_2025[[#This Row],[SUPER]],DATA_JULIO_2025[[SUPERVISOR]:[META]],3,0)</f>
        <v>65000</v>
      </c>
      <c r="D5" s="2">
        <f>D1_JULIO_2025[[#This Row],[RECUPERO]]/C5</f>
        <v>1.2490876923076923</v>
      </c>
      <c r="E5" t="s">
        <v>3</v>
      </c>
      <c r="F5" t="s">
        <v>22</v>
      </c>
      <c r="G5">
        <v>81190.7</v>
      </c>
      <c r="H5" t="s">
        <v>442</v>
      </c>
      <c r="I5" s="56">
        <v>45299</v>
      </c>
      <c r="J5" t="s">
        <v>501</v>
      </c>
      <c r="L5" s="56"/>
    </row>
    <row r="6" spans="1:87" x14ac:dyDescent="0.25">
      <c r="A6" s="2" t="str">
        <f>D1_JULIO_2025[[#This Row],[SUPER2]]</f>
        <v>SANDY</v>
      </c>
      <c r="B6" s="2" t="s">
        <v>25</v>
      </c>
      <c r="C6" s="2">
        <f>VLOOKUP(D1_JULIO_2025[[#This Row],[SUPER]],DATA_JULIO_2025[[SUPERVISOR]:[META]],3,0)</f>
        <v>65000</v>
      </c>
      <c r="D6" s="2">
        <f>D1_JULIO_2025[[#This Row],[RECUPERO]]/C6</f>
        <v>0.71161538461538465</v>
      </c>
      <c r="E6" t="s">
        <v>3</v>
      </c>
      <c r="F6" t="s">
        <v>25</v>
      </c>
      <c r="G6">
        <v>46255</v>
      </c>
      <c r="H6" t="s">
        <v>446</v>
      </c>
      <c r="I6" s="56">
        <v>44820</v>
      </c>
      <c r="J6" t="s">
        <v>501</v>
      </c>
      <c r="L6" s="56"/>
    </row>
    <row r="7" spans="1:87" x14ac:dyDescent="0.25">
      <c r="A7" s="2" t="str">
        <f>D1_JULIO_2025[[#This Row],[SUPER2]]</f>
        <v>SANDY</v>
      </c>
      <c r="B7" s="2" t="s">
        <v>24</v>
      </c>
      <c r="C7" s="2">
        <f>VLOOKUP(D1_JULIO_2025[[#This Row],[SUPER]],DATA_JULIO_2025[[SUPERVISOR]:[META]],3,0)</f>
        <v>65000</v>
      </c>
      <c r="D7" s="2">
        <f>D1_JULIO_2025[[#This Row],[RECUPERO]]/C7</f>
        <v>0.70020000000000004</v>
      </c>
      <c r="E7" t="s">
        <v>3</v>
      </c>
      <c r="F7" t="s">
        <v>24</v>
      </c>
      <c r="G7">
        <v>45513</v>
      </c>
      <c r="H7" t="s">
        <v>434</v>
      </c>
      <c r="I7" s="56">
        <v>45334</v>
      </c>
      <c r="J7" t="s">
        <v>501</v>
      </c>
      <c r="L7" s="56"/>
    </row>
    <row r="8" spans="1:87" x14ac:dyDescent="0.25">
      <c r="A8" s="2" t="str">
        <f>D1_JULIO_2025[[#This Row],[SUPER2]]</f>
        <v>SANDY</v>
      </c>
      <c r="B8" s="2" t="s">
        <v>26</v>
      </c>
      <c r="C8" s="2">
        <f>VLOOKUP(D1_JULIO_2025[[#This Row],[SUPER]],DATA_JULIO_2025[[SUPERVISOR]:[META]],3,0)</f>
        <v>65000</v>
      </c>
      <c r="D8" s="2">
        <f>D1_JULIO_2025[[#This Row],[RECUPERO]]/C8</f>
        <v>0.54392307692307695</v>
      </c>
      <c r="E8" t="s">
        <v>3</v>
      </c>
      <c r="F8" t="s">
        <v>26</v>
      </c>
      <c r="G8">
        <v>35355</v>
      </c>
      <c r="H8" t="s">
        <v>391</v>
      </c>
      <c r="I8" s="56">
        <v>44259</v>
      </c>
      <c r="J8" t="s">
        <v>501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65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s="2" t="str">
        <f>D1_JULIO_2025[[#This Row],[SUPER2]]</f>
        <v>SANDY</v>
      </c>
      <c r="B9" s="2" t="s">
        <v>29</v>
      </c>
      <c r="C9" s="2">
        <f>VLOOKUP(D1_JULIO_2025[[#This Row],[SUPER]],DATA_JULIO_2025[[SUPERVISOR]:[META]],3,0)</f>
        <v>65000</v>
      </c>
      <c r="D9" s="2">
        <f>D1_JULIO_2025[[#This Row],[RECUPERO]]/C9</f>
        <v>0.43807692307692309</v>
      </c>
      <c r="E9" t="s">
        <v>3</v>
      </c>
      <c r="F9" t="s">
        <v>29</v>
      </c>
      <c r="G9">
        <v>28475</v>
      </c>
      <c r="H9" t="s">
        <v>416</v>
      </c>
      <c r="I9" s="56">
        <v>44687</v>
      </c>
      <c r="J9" t="s">
        <v>501</v>
      </c>
      <c r="L9" s="56"/>
      <c r="M9" s="1">
        <f>DATA_JULIO_2025[[#This Row],[RECUPERO]]/DATA_JULIO_2025[[#This Row],[META]]</f>
        <v>2.116967741935484</v>
      </c>
      <c r="N9" t="str" cm="1">
        <f t="array" ref="N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9" t="s">
        <v>7</v>
      </c>
      <c r="P9">
        <f>SUM(DATA_JULIO_2025[[#This Row],[1]:[31]])</f>
        <v>32813</v>
      </c>
      <c r="Q9">
        <v>15500</v>
      </c>
      <c r="R9" t="s">
        <v>18</v>
      </c>
      <c r="Y9">
        <v>1700</v>
      </c>
      <c r="AA9">
        <v>1000</v>
      </c>
      <c r="AF9">
        <v>8463</v>
      </c>
      <c r="AG9">
        <v>150</v>
      </c>
      <c r="AH9">
        <v>10000</v>
      </c>
      <c r="AJ9">
        <v>4500</v>
      </c>
      <c r="AN9">
        <v>4000</v>
      </c>
      <c r="AP9">
        <v>1500</v>
      </c>
      <c r="AV9">
        <v>1500</v>
      </c>
      <c r="AX9" t="s">
        <v>152</v>
      </c>
      <c r="AZ9">
        <v>130825</v>
      </c>
      <c r="BA9" s="11">
        <v>87646.3</v>
      </c>
      <c r="BB9" s="17">
        <f>BA9/DITE_JULIO_2025[[#This Row],[META SUPER]]</f>
        <v>0.66995069749665581</v>
      </c>
      <c r="BC9" t="s">
        <v>8</v>
      </c>
      <c r="BD9">
        <v>1150</v>
      </c>
      <c r="BE9">
        <v>4730</v>
      </c>
      <c r="BF9">
        <v>9596</v>
      </c>
      <c r="BG9">
        <v>13104</v>
      </c>
      <c r="BH9">
        <v>13498</v>
      </c>
      <c r="BI9">
        <v>13498</v>
      </c>
      <c r="BJ9">
        <v>15496.2</v>
      </c>
      <c r="BK9">
        <v>19091.5</v>
      </c>
      <c r="BL9">
        <v>22391.5</v>
      </c>
      <c r="BM9">
        <v>22631.5</v>
      </c>
      <c r="BN9">
        <v>28496.5</v>
      </c>
      <c r="BO9">
        <v>28496.5</v>
      </c>
      <c r="BP9">
        <v>28496.5</v>
      </c>
      <c r="BQ9">
        <v>32221.5</v>
      </c>
      <c r="BR9">
        <v>35537.5</v>
      </c>
      <c r="BS9">
        <v>40445.5</v>
      </c>
      <c r="BT9">
        <v>44810.5</v>
      </c>
      <c r="BU9">
        <v>51060.5</v>
      </c>
      <c r="BV9">
        <v>51060.5</v>
      </c>
      <c r="BW9">
        <v>51060.5</v>
      </c>
      <c r="BX9">
        <v>55132.5</v>
      </c>
      <c r="BY9">
        <v>60140.5</v>
      </c>
      <c r="BZ9">
        <v>60340.5</v>
      </c>
      <c r="CA9">
        <v>62652.3</v>
      </c>
      <c r="CB9">
        <v>69097.3</v>
      </c>
      <c r="CC9">
        <v>69297.3</v>
      </c>
      <c r="CD9">
        <v>69297.3</v>
      </c>
      <c r="CE9">
        <v>69297.3</v>
      </c>
      <c r="CF9">
        <v>70542.3</v>
      </c>
      <c r="CG9">
        <v>79568.3</v>
      </c>
      <c r="CH9">
        <v>87646.3</v>
      </c>
      <c r="CI9" s="11" t="s">
        <v>153</v>
      </c>
    </row>
    <row r="10" spans="1:87" x14ac:dyDescent="0.25">
      <c r="A10" s="2" t="str">
        <f>D1_JULIO_2025[[#This Row],[SUPER2]]</f>
        <v>SANDY</v>
      </c>
      <c r="B10" s="2" t="s">
        <v>28</v>
      </c>
      <c r="C10" s="2">
        <f>VLOOKUP(D1_JULIO_2025[[#This Row],[SUPER]],DATA_JULIO_2025[[SUPERVISOR]:[META]],3,0)</f>
        <v>65000</v>
      </c>
      <c r="D10" s="2">
        <f>D1_JULIO_2025[[#This Row],[RECUPERO]]/C10</f>
        <v>0.39327661538461539</v>
      </c>
      <c r="E10" t="s">
        <v>3</v>
      </c>
      <c r="F10" t="s">
        <v>28</v>
      </c>
      <c r="G10">
        <v>25562.98</v>
      </c>
      <c r="H10" t="s">
        <v>478</v>
      </c>
      <c r="I10" s="56">
        <v>45845</v>
      </c>
      <c r="J10" t="s">
        <v>501</v>
      </c>
      <c r="L10" s="56"/>
      <c r="M10" s="1">
        <f>DATA_JULIO_2025[[#This Row],[RECUPERO]]/DATA_JULIO_2025[[#This Row],[META]]</f>
        <v>1.0683870967741935</v>
      </c>
      <c r="N10" t="str" cm="1">
        <f t="array" ref="N1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10" t="s">
        <v>7</v>
      </c>
      <c r="P10">
        <f>SUM(DATA_JULIO_2025[[#This Row],[1]:[31]])</f>
        <v>16560</v>
      </c>
      <c r="Q10">
        <v>15500</v>
      </c>
      <c r="R10" t="s">
        <v>21</v>
      </c>
      <c r="Z10">
        <v>4000</v>
      </c>
      <c r="AB10">
        <v>3500</v>
      </c>
      <c r="AC10">
        <v>260</v>
      </c>
      <c r="AH10">
        <v>3000</v>
      </c>
      <c r="AM10">
        <v>2000</v>
      </c>
      <c r="AQ10">
        <v>700</v>
      </c>
      <c r="AV10">
        <v>1000</v>
      </c>
      <c r="AW10">
        <v>2100</v>
      </c>
      <c r="AX10" t="s">
        <v>152</v>
      </c>
      <c r="AZ10">
        <v>458800</v>
      </c>
      <c r="BA10" s="11">
        <v>236090.5</v>
      </c>
      <c r="BB10" s="17">
        <f>BA10/DITE_JULIO_2025[[#This Row],[META SUPER]]</f>
        <v>0.51458260680034873</v>
      </c>
      <c r="BC10" t="s">
        <v>5</v>
      </c>
      <c r="BD10">
        <v>6046</v>
      </c>
      <c r="BE10">
        <v>10007</v>
      </c>
      <c r="BF10">
        <v>11782</v>
      </c>
      <c r="BG10">
        <v>15282</v>
      </c>
      <c r="BH10">
        <v>16782</v>
      </c>
      <c r="BI10">
        <v>16782</v>
      </c>
      <c r="BJ10">
        <v>29991.5</v>
      </c>
      <c r="BK10">
        <v>36284.5</v>
      </c>
      <c r="BL10">
        <v>39324.5</v>
      </c>
      <c r="BM10">
        <v>41324.5</v>
      </c>
      <c r="BN10">
        <v>57598.5</v>
      </c>
      <c r="BO10">
        <v>57893.5</v>
      </c>
      <c r="BP10">
        <v>57893.5</v>
      </c>
      <c r="BQ10">
        <v>81618.5</v>
      </c>
      <c r="BR10">
        <v>91346.5</v>
      </c>
      <c r="BS10">
        <v>100435.5</v>
      </c>
      <c r="BT10">
        <v>111487.5</v>
      </c>
      <c r="BU10">
        <v>119961.5</v>
      </c>
      <c r="BV10">
        <v>119961.5</v>
      </c>
      <c r="BW10">
        <v>120961.5</v>
      </c>
      <c r="BX10">
        <v>134020.5</v>
      </c>
      <c r="BY10">
        <v>149181.5</v>
      </c>
      <c r="BZ10">
        <v>149431.5</v>
      </c>
      <c r="CA10">
        <v>172486.5</v>
      </c>
      <c r="CB10">
        <v>181946.5</v>
      </c>
      <c r="CC10">
        <v>181946.5</v>
      </c>
      <c r="CD10">
        <v>185146.5</v>
      </c>
      <c r="CE10">
        <v>185146.5</v>
      </c>
      <c r="CF10">
        <v>185146.5</v>
      </c>
      <c r="CG10">
        <v>198593.5</v>
      </c>
      <c r="CH10">
        <v>236090.5</v>
      </c>
      <c r="CI10" s="11" t="s">
        <v>150</v>
      </c>
    </row>
    <row r="11" spans="1:87" x14ac:dyDescent="0.25">
      <c r="A11" s="2" t="str">
        <f>D1_JULIO_2025[[#This Row],[SUPER2]]</f>
        <v>SANDY</v>
      </c>
      <c r="B11" s="2" t="s">
        <v>27</v>
      </c>
      <c r="C11" s="2">
        <f>VLOOKUP(D1_JULIO_2025[[#This Row],[SUPER]],DATA_JULIO_2025[[SUPERVISOR]:[META]],3,0)</f>
        <v>65000</v>
      </c>
      <c r="D11" s="2">
        <f>D1_JULIO_2025[[#This Row],[RECUPERO]]/C11</f>
        <v>0.24923076923076923</v>
      </c>
      <c r="E11" t="s">
        <v>3</v>
      </c>
      <c r="F11" t="s">
        <v>27</v>
      </c>
      <c r="G11">
        <v>16200</v>
      </c>
      <c r="H11" t="s">
        <v>412</v>
      </c>
      <c r="I11" s="56">
        <v>45675</v>
      </c>
      <c r="J11" t="s">
        <v>501</v>
      </c>
      <c r="L11" s="56"/>
      <c r="M11" s="1">
        <f>DATA_JULIO_2025[[#This Row],[RECUPERO]]/DATA_JULIO_2025[[#This Row],[META]]</f>
        <v>1.1315230769230769</v>
      </c>
      <c r="N11" t="str" cm="1">
        <f t="array" ref="N1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11" t="s">
        <v>4</v>
      </c>
      <c r="P11">
        <f>SUM(DATA_JULIO_2025[[#This Row],[1]:[31]])</f>
        <v>73549</v>
      </c>
      <c r="Q11">
        <v>65000</v>
      </c>
      <c r="R11" t="s">
        <v>58</v>
      </c>
      <c r="U11">
        <v>217</v>
      </c>
      <c r="W11">
        <v>132.5</v>
      </c>
      <c r="Z11">
        <v>700</v>
      </c>
      <c r="AA11">
        <v>7500</v>
      </c>
      <c r="AB11">
        <v>4400</v>
      </c>
      <c r="AC11">
        <v>1032</v>
      </c>
      <c r="AG11">
        <v>300</v>
      </c>
      <c r="AI11">
        <v>5475</v>
      </c>
      <c r="AJ11">
        <v>200</v>
      </c>
      <c r="AK11">
        <v>655.5</v>
      </c>
      <c r="AN11">
        <v>750</v>
      </c>
      <c r="AO11">
        <v>1500</v>
      </c>
      <c r="AP11">
        <v>26409</v>
      </c>
      <c r="AQ11">
        <v>21217</v>
      </c>
      <c r="AV11">
        <v>1031</v>
      </c>
      <c r="AW11">
        <v>2030</v>
      </c>
      <c r="AX11" t="s">
        <v>155</v>
      </c>
      <c r="AZ11">
        <v>458800</v>
      </c>
      <c r="BA11" s="11">
        <v>295647</v>
      </c>
      <c r="BB11" s="17">
        <f>BA11/DITE_JULIO_2025[[#This Row],[META SUPER]]</f>
        <v>0.64439189189189194</v>
      </c>
      <c r="BC11" t="s">
        <v>2</v>
      </c>
      <c r="BD11">
        <v>4270</v>
      </c>
      <c r="BE11">
        <v>12820</v>
      </c>
      <c r="BF11">
        <v>18415</v>
      </c>
      <c r="BG11">
        <v>21619</v>
      </c>
      <c r="BH11">
        <v>21619</v>
      </c>
      <c r="BI11">
        <v>22619</v>
      </c>
      <c r="BJ11">
        <v>24370</v>
      </c>
      <c r="BK11">
        <v>27107</v>
      </c>
      <c r="BL11">
        <v>45962</v>
      </c>
      <c r="BM11">
        <v>55062</v>
      </c>
      <c r="BN11">
        <v>62686</v>
      </c>
      <c r="BO11">
        <v>63898</v>
      </c>
      <c r="BP11">
        <v>63898</v>
      </c>
      <c r="BQ11">
        <v>92498</v>
      </c>
      <c r="BR11">
        <v>111846</v>
      </c>
      <c r="BS11">
        <v>132280</v>
      </c>
      <c r="BT11">
        <v>135380</v>
      </c>
      <c r="BU11">
        <v>165932</v>
      </c>
      <c r="BV11">
        <v>181357</v>
      </c>
      <c r="BW11">
        <v>182357</v>
      </c>
      <c r="BX11">
        <v>188696</v>
      </c>
      <c r="BY11">
        <v>189596</v>
      </c>
      <c r="BZ11">
        <v>189996</v>
      </c>
      <c r="CA11">
        <v>204019</v>
      </c>
      <c r="CB11">
        <v>209761</v>
      </c>
      <c r="CC11">
        <v>211761</v>
      </c>
      <c r="CD11">
        <v>212246</v>
      </c>
      <c r="CE11">
        <v>213188</v>
      </c>
      <c r="CF11">
        <v>213188</v>
      </c>
      <c r="CG11">
        <v>245187</v>
      </c>
      <c r="CH11">
        <v>295647</v>
      </c>
      <c r="CI11" s="11" t="s">
        <v>150</v>
      </c>
    </row>
    <row r="12" spans="1:87" x14ac:dyDescent="0.25">
      <c r="A12" s="2" t="str">
        <f>D1_JULIO_2025[[#This Row],[SUPER2]]</f>
        <v>SANDY</v>
      </c>
      <c r="B12" s="2" t="s">
        <v>30</v>
      </c>
      <c r="C12" s="2">
        <f>VLOOKUP(D1_JULIO_2025[[#This Row],[SUPER]],DATA_JULIO_2025[[SUPERVISOR]:[META]],3,0)</f>
        <v>65000</v>
      </c>
      <c r="D12" s="2">
        <f>D1_JULIO_2025[[#This Row],[RECUPERO]]/C12</f>
        <v>0.13592307692307692</v>
      </c>
      <c r="E12" t="s">
        <v>3</v>
      </c>
      <c r="F12" t="s">
        <v>30</v>
      </c>
      <c r="G12">
        <v>8835</v>
      </c>
      <c r="H12" t="s">
        <v>448</v>
      </c>
      <c r="I12" s="56">
        <v>45399</v>
      </c>
      <c r="J12" t="s">
        <v>501</v>
      </c>
      <c r="L12" s="56"/>
      <c r="M12" s="1">
        <f>DATA_JULIO_2025[[#This Row],[RECUPERO]]/DATA_JULIO_2025[[#This Row],[META]]</f>
        <v>0.50638709677419358</v>
      </c>
      <c r="N12" t="str" cm="1">
        <f t="array" ref="N1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12" t="s">
        <v>9</v>
      </c>
      <c r="P12">
        <f>SUM(DATA_JULIO_2025[[#This Row],[1]:[31]])</f>
        <v>7849</v>
      </c>
      <c r="Q12">
        <v>15500</v>
      </c>
      <c r="R12" t="s">
        <v>54</v>
      </c>
      <c r="T12">
        <v>300</v>
      </c>
      <c r="Z12">
        <v>100</v>
      </c>
      <c r="AB12">
        <v>500</v>
      </c>
      <c r="AC12">
        <v>900</v>
      </c>
      <c r="AG12">
        <v>600</v>
      </c>
      <c r="AH12">
        <v>2950</v>
      </c>
      <c r="AM12">
        <v>269</v>
      </c>
      <c r="AP12">
        <v>1030</v>
      </c>
      <c r="AV12">
        <v>200</v>
      </c>
      <c r="AW12">
        <v>1000</v>
      </c>
      <c r="AX12" t="s">
        <v>153</v>
      </c>
      <c r="AZ12">
        <v>260350</v>
      </c>
      <c r="BA12" s="11">
        <v>317517.38</v>
      </c>
      <c r="BB12" s="17">
        <f>BA12/DITE_JULIO_2025[[#This Row],[META SUPER]]</f>
        <v>1.2195789514115614</v>
      </c>
      <c r="BC12" t="s">
        <v>6</v>
      </c>
      <c r="BD12">
        <v>3460</v>
      </c>
      <c r="BE12">
        <v>5991</v>
      </c>
      <c r="BF12">
        <v>20941</v>
      </c>
      <c r="BG12">
        <v>23631</v>
      </c>
      <c r="BH12">
        <v>23631</v>
      </c>
      <c r="BI12">
        <v>23631</v>
      </c>
      <c r="BJ12">
        <v>40743</v>
      </c>
      <c r="BK12">
        <v>46163</v>
      </c>
      <c r="BL12">
        <v>73104</v>
      </c>
      <c r="BM12">
        <v>78954</v>
      </c>
      <c r="BN12">
        <v>116309</v>
      </c>
      <c r="BO12">
        <v>116433</v>
      </c>
      <c r="BP12">
        <v>116433</v>
      </c>
      <c r="BQ12">
        <v>139643</v>
      </c>
      <c r="BR12">
        <v>150562</v>
      </c>
      <c r="BS12">
        <v>172709.5</v>
      </c>
      <c r="BT12">
        <v>180168.5</v>
      </c>
      <c r="BU12">
        <v>202176.5</v>
      </c>
      <c r="BV12">
        <v>202176.5</v>
      </c>
      <c r="BW12">
        <v>202176.5</v>
      </c>
      <c r="BX12">
        <v>213152.5</v>
      </c>
      <c r="BY12">
        <v>219912.5</v>
      </c>
      <c r="BZ12">
        <v>219912.5</v>
      </c>
      <c r="CA12">
        <v>221933.5</v>
      </c>
      <c r="CB12">
        <v>246684.7</v>
      </c>
      <c r="CC12">
        <v>246684.7</v>
      </c>
      <c r="CD12">
        <v>247334.7</v>
      </c>
      <c r="CE12">
        <v>247334.7</v>
      </c>
      <c r="CF12">
        <v>248184.7</v>
      </c>
      <c r="CG12">
        <v>269978.88</v>
      </c>
      <c r="CH12">
        <v>317517.38</v>
      </c>
      <c r="CI12" s="11" t="s">
        <v>156</v>
      </c>
    </row>
    <row r="13" spans="1:87" x14ac:dyDescent="0.25">
      <c r="A13" s="2" t="str">
        <f>D1_JULIO_2025[[#This Row],[SUPER2]]</f>
        <v>MELINA</v>
      </c>
      <c r="B13" s="2" t="s">
        <v>59</v>
      </c>
      <c r="C13" s="2">
        <f>VLOOKUP(D1_JULIO_2025[[#This Row],[SUPER]],DATA_JULIO_2025[[SUPERVISOR]:[META]],3,0)</f>
        <v>65000</v>
      </c>
      <c r="D13" s="2">
        <f>D1_JULIO_2025[[#This Row],[RECUPERO]]/C13</f>
        <v>2.1010089230769231</v>
      </c>
      <c r="E13" t="s">
        <v>4</v>
      </c>
      <c r="F13" t="s">
        <v>59</v>
      </c>
      <c r="G13">
        <v>136565.58000000002</v>
      </c>
      <c r="H13" t="s">
        <v>430</v>
      </c>
      <c r="I13" s="56">
        <v>45348</v>
      </c>
      <c r="J13" t="s">
        <v>501</v>
      </c>
      <c r="L13" s="56"/>
      <c r="M13" s="1">
        <f>DATA_JULIO_2025[[#This Row],[RECUPERO]]/DATA_JULIO_2025[[#This Row],[META]]</f>
        <v>0.3228923076923077</v>
      </c>
      <c r="N13" t="str" cm="1">
        <f t="array" ref="N1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13" t="s">
        <v>4</v>
      </c>
      <c r="P13">
        <f>SUM(DATA_JULIO_2025[[#This Row],[1]:[31]])</f>
        <v>20988</v>
      </c>
      <c r="Q13">
        <v>65000</v>
      </c>
      <c r="R13" t="s">
        <v>60</v>
      </c>
      <c r="AI13">
        <v>200</v>
      </c>
      <c r="AJ13">
        <v>4000</v>
      </c>
      <c r="AQ13">
        <v>1500</v>
      </c>
      <c r="AV13">
        <v>7800</v>
      </c>
      <c r="AW13">
        <v>7488</v>
      </c>
      <c r="AX13" t="s">
        <v>155</v>
      </c>
      <c r="AZ13">
        <v>154800</v>
      </c>
      <c r="BA13" s="11">
        <v>138518</v>
      </c>
      <c r="BB13" s="17">
        <f>BA13/DITE_JULIO_2025[[#This Row],[META SUPER]]</f>
        <v>0.89481912144702846</v>
      </c>
      <c r="BC13" t="s">
        <v>7</v>
      </c>
      <c r="BE13">
        <v>5000</v>
      </c>
      <c r="BF13">
        <v>6680</v>
      </c>
      <c r="BG13">
        <v>6980</v>
      </c>
      <c r="BH13">
        <v>7980</v>
      </c>
      <c r="BI13">
        <v>7980</v>
      </c>
      <c r="BJ13">
        <v>12298</v>
      </c>
      <c r="BK13">
        <v>21498</v>
      </c>
      <c r="BL13">
        <v>25398</v>
      </c>
      <c r="BM13">
        <v>29248</v>
      </c>
      <c r="BN13">
        <v>30208</v>
      </c>
      <c r="BO13">
        <v>30708</v>
      </c>
      <c r="BP13">
        <v>31108</v>
      </c>
      <c r="BQ13">
        <v>42571</v>
      </c>
      <c r="BR13">
        <v>51803</v>
      </c>
      <c r="BS13">
        <v>68503</v>
      </c>
      <c r="BT13">
        <v>70744</v>
      </c>
      <c r="BU13">
        <v>80744</v>
      </c>
      <c r="BV13">
        <v>80744</v>
      </c>
      <c r="BW13">
        <v>80744</v>
      </c>
      <c r="BX13">
        <v>96484</v>
      </c>
      <c r="BY13">
        <v>109284</v>
      </c>
      <c r="BZ13">
        <v>109284</v>
      </c>
      <c r="CA13">
        <v>111784</v>
      </c>
      <c r="CB13">
        <v>118704</v>
      </c>
      <c r="CC13">
        <v>119204</v>
      </c>
      <c r="CD13">
        <v>119604</v>
      </c>
      <c r="CE13">
        <v>119604</v>
      </c>
      <c r="CF13">
        <v>119604</v>
      </c>
      <c r="CG13">
        <v>125088</v>
      </c>
      <c r="CH13">
        <v>138518</v>
      </c>
      <c r="CI13" s="11" t="s">
        <v>152</v>
      </c>
    </row>
    <row r="14" spans="1:87" x14ac:dyDescent="0.25">
      <c r="A14" s="2" t="str">
        <f>D1_JULIO_2025[[#This Row],[SUPER2]]</f>
        <v>MELINA</v>
      </c>
      <c r="B14" s="2" t="s">
        <v>75</v>
      </c>
      <c r="C14" s="2">
        <f>VLOOKUP(D1_JULIO_2025[[#This Row],[SUPER]],DATA_JULIO_2025[[SUPERVISOR]:[META]],3,0)</f>
        <v>65000</v>
      </c>
      <c r="D14" s="2">
        <f>D1_JULIO_2025[[#This Row],[RECUPERO]]/C14</f>
        <v>1.4679707692307693</v>
      </c>
      <c r="E14" t="s">
        <v>4</v>
      </c>
      <c r="F14" t="s">
        <v>75</v>
      </c>
      <c r="G14">
        <v>95418.1</v>
      </c>
      <c r="H14" t="s">
        <v>428</v>
      </c>
      <c r="I14" s="56">
        <v>44716</v>
      </c>
      <c r="J14" t="s">
        <v>501</v>
      </c>
      <c r="L14" s="56"/>
      <c r="M14" s="1">
        <f>DATA_JULIO_2025[[#This Row],[RECUPERO]]/DATA_JULIO_2025[[#This Row],[META]]</f>
        <v>0.41366666666666668</v>
      </c>
      <c r="N14" t="str" cm="1">
        <f t="array" ref="N1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14" t="s">
        <v>2</v>
      </c>
      <c r="P14">
        <f>SUM(DATA_JULIO_2025[[#This Row],[1]:[31]])</f>
        <v>22338</v>
      </c>
      <c r="Q14">
        <v>54000</v>
      </c>
      <c r="R14" t="s">
        <v>15</v>
      </c>
      <c r="S14">
        <v>600</v>
      </c>
      <c r="U14">
        <v>150</v>
      </c>
      <c r="V14">
        <v>339</v>
      </c>
      <c r="AB14">
        <v>1500</v>
      </c>
      <c r="AC14">
        <v>750</v>
      </c>
      <c r="AF14">
        <v>1300</v>
      </c>
      <c r="AG14">
        <v>300</v>
      </c>
      <c r="AH14">
        <v>460</v>
      </c>
      <c r="AI14">
        <v>500</v>
      </c>
      <c r="AK14">
        <v>1500</v>
      </c>
      <c r="AM14">
        <v>335</v>
      </c>
      <c r="AO14">
        <v>400</v>
      </c>
      <c r="AP14">
        <v>4335</v>
      </c>
      <c r="AQ14">
        <v>1200</v>
      </c>
      <c r="AV14">
        <v>6019</v>
      </c>
      <c r="AW14">
        <v>2650</v>
      </c>
      <c r="AX14" t="s">
        <v>150</v>
      </c>
      <c r="AZ14">
        <v>130825</v>
      </c>
      <c r="BA14" s="11">
        <v>115774</v>
      </c>
      <c r="BB14" s="17">
        <f>BA14/DITE_JULIO_2025[[#This Row],[META SUPER]]</f>
        <v>0.88495318173132043</v>
      </c>
      <c r="BC14" t="s">
        <v>9</v>
      </c>
      <c r="BD14">
        <v>2372</v>
      </c>
      <c r="BE14">
        <v>5078</v>
      </c>
      <c r="BF14">
        <v>9095</v>
      </c>
      <c r="BG14">
        <v>12995</v>
      </c>
      <c r="BH14">
        <v>12995</v>
      </c>
      <c r="BI14">
        <v>12995</v>
      </c>
      <c r="BJ14">
        <v>16226</v>
      </c>
      <c r="BK14">
        <v>19576</v>
      </c>
      <c r="BL14">
        <v>24026</v>
      </c>
      <c r="BM14">
        <v>28956</v>
      </c>
      <c r="BN14">
        <v>36956</v>
      </c>
      <c r="BO14">
        <v>36956</v>
      </c>
      <c r="BP14">
        <v>36956</v>
      </c>
      <c r="BQ14">
        <v>41806</v>
      </c>
      <c r="BR14">
        <v>45821</v>
      </c>
      <c r="BS14">
        <v>54471</v>
      </c>
      <c r="BT14">
        <v>58110</v>
      </c>
      <c r="BU14">
        <v>65400</v>
      </c>
      <c r="BV14">
        <v>66400</v>
      </c>
      <c r="BW14">
        <v>66400</v>
      </c>
      <c r="BX14">
        <v>68399</v>
      </c>
      <c r="BY14">
        <v>74464</v>
      </c>
      <c r="BZ14">
        <v>74764</v>
      </c>
      <c r="CA14">
        <v>80394</v>
      </c>
      <c r="CB14">
        <v>86544</v>
      </c>
      <c r="CC14">
        <v>86544</v>
      </c>
      <c r="CD14">
        <v>86544</v>
      </c>
      <c r="CE14">
        <v>87044</v>
      </c>
      <c r="CF14">
        <v>87044</v>
      </c>
      <c r="CG14">
        <v>96144</v>
      </c>
      <c r="CH14">
        <v>115774</v>
      </c>
      <c r="CI14" s="11" t="s">
        <v>153</v>
      </c>
    </row>
    <row r="15" spans="1:87" x14ac:dyDescent="0.25">
      <c r="A15" s="2" t="str">
        <f>D1_JULIO_2025[[#This Row],[SUPER2]]</f>
        <v>MELINA</v>
      </c>
      <c r="B15" s="2" t="s">
        <v>58</v>
      </c>
      <c r="C15" s="2">
        <f>VLOOKUP(D1_JULIO_2025[[#This Row],[SUPER]],DATA_JULIO_2025[[SUPERVISOR]:[META]],3,0)</f>
        <v>65000</v>
      </c>
      <c r="D15" s="2">
        <f>D1_JULIO_2025[[#This Row],[RECUPERO]]/C15</f>
        <v>1.1315230769230769</v>
      </c>
      <c r="E15" t="s">
        <v>4</v>
      </c>
      <c r="F15" t="s">
        <v>58</v>
      </c>
      <c r="G15">
        <v>73549</v>
      </c>
      <c r="H15" t="s">
        <v>441</v>
      </c>
      <c r="I15" s="56">
        <v>43035</v>
      </c>
      <c r="J15" t="s">
        <v>501</v>
      </c>
      <c r="L15" s="56"/>
      <c r="M15" s="1">
        <f>DATA_JULIO_2025[[#This Row],[RECUPERO]]/DATA_JULIO_2025[[#This Row],[META]]</f>
        <v>0.26178703703703704</v>
      </c>
      <c r="N15" t="str" cm="1">
        <f t="array" ref="N1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15" t="s">
        <v>5</v>
      </c>
      <c r="P15">
        <f>SUM(DATA_JULIO_2025[[#This Row],[1]:[31]])</f>
        <v>14136.5</v>
      </c>
      <c r="Q15">
        <v>54000</v>
      </c>
      <c r="R15" t="s">
        <v>69</v>
      </c>
      <c r="S15">
        <v>800</v>
      </c>
      <c r="T15">
        <v>687</v>
      </c>
      <c r="U15">
        <v>600</v>
      </c>
      <c r="Y15">
        <v>612.5</v>
      </c>
      <c r="Z15">
        <v>450</v>
      </c>
      <c r="AF15">
        <v>1700</v>
      </c>
      <c r="AG15">
        <v>4050</v>
      </c>
      <c r="AH15">
        <v>446</v>
      </c>
      <c r="AJ15">
        <v>357</v>
      </c>
      <c r="AN15">
        <v>1181</v>
      </c>
      <c r="AO15">
        <v>250</v>
      </c>
      <c r="AQ15">
        <v>600</v>
      </c>
      <c r="AV15">
        <v>403</v>
      </c>
      <c r="AW15">
        <v>2000</v>
      </c>
      <c r="AX15" t="s">
        <v>150</v>
      </c>
      <c r="AZ15">
        <v>615100</v>
      </c>
      <c r="BA15" s="11">
        <v>564638.38</v>
      </c>
      <c r="BB15" s="17">
        <f>BA15/DITE_JULIO_2025[[#This Row],[META SUPER]]</f>
        <v>0.91796192489026174</v>
      </c>
      <c r="BC15" t="s">
        <v>4</v>
      </c>
      <c r="BD15">
        <v>16923</v>
      </c>
      <c r="BE15">
        <v>25589</v>
      </c>
      <c r="BF15">
        <v>48756</v>
      </c>
      <c r="BG15">
        <v>49556</v>
      </c>
      <c r="BH15">
        <v>49688.5</v>
      </c>
      <c r="BI15">
        <v>49688.5</v>
      </c>
      <c r="BJ15">
        <v>52144.08</v>
      </c>
      <c r="BK15">
        <v>57044.08</v>
      </c>
      <c r="BL15">
        <v>66194.080000000002</v>
      </c>
      <c r="BM15">
        <v>82894.080000000002</v>
      </c>
      <c r="BN15">
        <v>114236.08</v>
      </c>
      <c r="BO15">
        <v>118686.08</v>
      </c>
      <c r="BP15">
        <v>118686.08</v>
      </c>
      <c r="BQ15">
        <v>154409.18</v>
      </c>
      <c r="BR15">
        <v>194009.18</v>
      </c>
      <c r="BS15">
        <v>217891.18</v>
      </c>
      <c r="BT15">
        <v>225902.18</v>
      </c>
      <c r="BU15">
        <v>277850.18</v>
      </c>
      <c r="BV15">
        <v>286005.68</v>
      </c>
      <c r="BW15">
        <v>286005.68</v>
      </c>
      <c r="BX15">
        <v>314910.68</v>
      </c>
      <c r="BY15">
        <v>349958.68</v>
      </c>
      <c r="BZ15">
        <v>355458.68</v>
      </c>
      <c r="CA15">
        <v>388867.68</v>
      </c>
      <c r="CB15">
        <v>449802.68</v>
      </c>
      <c r="CC15">
        <v>449802.68</v>
      </c>
      <c r="CD15">
        <v>454894.68</v>
      </c>
      <c r="CE15">
        <v>454894.68</v>
      </c>
      <c r="CF15">
        <v>455561.38</v>
      </c>
      <c r="CG15">
        <v>501225.38</v>
      </c>
      <c r="CH15">
        <v>564638.38</v>
      </c>
      <c r="CI15" s="11" t="s">
        <v>155</v>
      </c>
    </row>
    <row r="16" spans="1:87" x14ac:dyDescent="0.25">
      <c r="A16" s="2" t="str">
        <f>D1_JULIO_2025[[#This Row],[SUPER2]]</f>
        <v>MELINA</v>
      </c>
      <c r="B16" s="2" t="s">
        <v>62</v>
      </c>
      <c r="C16" s="2">
        <f>VLOOKUP(D1_JULIO_2025[[#This Row],[SUPER]],DATA_JULIO_2025[[SUPERVISOR]:[META]],3,0)</f>
        <v>65000</v>
      </c>
      <c r="D16" s="2">
        <f>D1_JULIO_2025[[#This Row],[RECUPERO]]/C16</f>
        <v>0.94044615384615382</v>
      </c>
      <c r="E16" t="s">
        <v>4</v>
      </c>
      <c r="F16" t="s">
        <v>62</v>
      </c>
      <c r="G16">
        <v>61129</v>
      </c>
      <c r="H16" t="s">
        <v>386</v>
      </c>
      <c r="I16" s="56">
        <v>45334</v>
      </c>
      <c r="J16" t="s">
        <v>501</v>
      </c>
      <c r="L16" s="56"/>
      <c r="M16" s="1">
        <f>DATA_JULIO_2025[[#This Row],[RECUPERO]]/DATA_JULIO_2025[[#This Row],[META]]</f>
        <v>0.4457962962962963</v>
      </c>
      <c r="N16" t="str" cm="1">
        <f t="array" ref="N1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16" t="s">
        <v>5</v>
      </c>
      <c r="P16">
        <f>SUM(DATA_JULIO_2025[[#This Row],[1]:[31]])</f>
        <v>24073</v>
      </c>
      <c r="Q16">
        <v>54000</v>
      </c>
      <c r="R16" t="s">
        <v>85</v>
      </c>
      <c r="S16">
        <v>1034</v>
      </c>
      <c r="AC16">
        <v>424</v>
      </c>
      <c r="AG16">
        <v>1000</v>
      </c>
      <c r="AI16">
        <v>1250</v>
      </c>
      <c r="AM16">
        <v>2102</v>
      </c>
      <c r="AN16">
        <v>10280</v>
      </c>
      <c r="AQ16">
        <v>1285</v>
      </c>
      <c r="AS16">
        <v>1000</v>
      </c>
      <c r="AV16">
        <v>3500</v>
      </c>
      <c r="AW16">
        <v>2198</v>
      </c>
      <c r="AX16" t="s">
        <v>150</v>
      </c>
      <c r="AZ16">
        <v>615100</v>
      </c>
      <c r="BA16" s="11">
        <v>538920.89</v>
      </c>
      <c r="BB16" s="17">
        <f>BA16/DITE_JULIO_2025[[#This Row],[META SUPER]]</f>
        <v>0.87615166639570807</v>
      </c>
      <c r="BC16" t="s">
        <v>3</v>
      </c>
      <c r="BD16">
        <v>9253</v>
      </c>
      <c r="BE16">
        <v>9953</v>
      </c>
      <c r="BF16">
        <v>59066.81</v>
      </c>
      <c r="BG16">
        <v>62016.81</v>
      </c>
      <c r="BH16">
        <v>62016.81</v>
      </c>
      <c r="BI16">
        <v>62016.81</v>
      </c>
      <c r="BJ16">
        <v>95478.81</v>
      </c>
      <c r="BK16">
        <v>118133.81</v>
      </c>
      <c r="BL16">
        <v>134378.81</v>
      </c>
      <c r="BM16">
        <v>158978.79</v>
      </c>
      <c r="BN16">
        <v>217251.49</v>
      </c>
      <c r="BO16">
        <v>218251.49</v>
      </c>
      <c r="BP16">
        <v>218533.49</v>
      </c>
      <c r="BQ16">
        <v>242373.49</v>
      </c>
      <c r="BR16">
        <v>284242.49</v>
      </c>
      <c r="BS16">
        <v>300842.49</v>
      </c>
      <c r="BT16">
        <v>308042.49</v>
      </c>
      <c r="BU16">
        <v>318792.49</v>
      </c>
      <c r="BV16">
        <v>318792.49</v>
      </c>
      <c r="BW16">
        <v>319392.49</v>
      </c>
      <c r="BX16">
        <v>373532.49</v>
      </c>
      <c r="BY16">
        <v>386608.49</v>
      </c>
      <c r="BZ16">
        <v>386608.49</v>
      </c>
      <c r="CA16">
        <v>394635.89</v>
      </c>
      <c r="CB16">
        <v>419850.89</v>
      </c>
      <c r="CC16">
        <v>419850.89</v>
      </c>
      <c r="CD16">
        <v>430068.89</v>
      </c>
      <c r="CE16">
        <v>430068.89</v>
      </c>
      <c r="CF16">
        <v>430368.89</v>
      </c>
      <c r="CG16">
        <v>476200.89</v>
      </c>
      <c r="CH16">
        <v>538920.89</v>
      </c>
      <c r="CI16" s="11" t="s">
        <v>155</v>
      </c>
    </row>
    <row r="17" spans="1:50" x14ac:dyDescent="0.25">
      <c r="A17" s="2" t="str">
        <f>D1_JULIO_2025[[#This Row],[SUPER2]]</f>
        <v>MELINA</v>
      </c>
      <c r="B17" s="2" t="s">
        <v>64</v>
      </c>
      <c r="C17" s="2">
        <f>VLOOKUP(D1_JULIO_2025[[#This Row],[SUPER]],DATA_JULIO_2025[[SUPERVISOR]:[META]],3,0)</f>
        <v>65000</v>
      </c>
      <c r="D17" s="2">
        <f>D1_JULIO_2025[[#This Row],[RECUPERO]]/C17</f>
        <v>0.68861538461538463</v>
      </c>
      <c r="E17" t="s">
        <v>4</v>
      </c>
      <c r="F17" t="s">
        <v>64</v>
      </c>
      <c r="G17">
        <v>44760</v>
      </c>
      <c r="H17" t="s">
        <v>455</v>
      </c>
      <c r="I17" s="56">
        <v>45700</v>
      </c>
      <c r="J17" t="s">
        <v>501</v>
      </c>
      <c r="L17" s="56"/>
      <c r="M17" s="1">
        <f>DATA_JULIO_2025[[#This Row],[RECUPERO]]/DATA_JULIO_2025[[#This Row],[META]]</f>
        <v>0.72612962962962968</v>
      </c>
      <c r="N17" t="str" cm="1">
        <f t="array" ref="N1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17" t="s">
        <v>5</v>
      </c>
      <c r="P17">
        <f>SUM(DATA_JULIO_2025[[#This Row],[1]:[31]])</f>
        <v>39211</v>
      </c>
      <c r="Q17">
        <v>54000</v>
      </c>
      <c r="R17" t="s">
        <v>67</v>
      </c>
      <c r="S17">
        <v>2046</v>
      </c>
      <c r="V17">
        <v>500</v>
      </c>
      <c r="W17">
        <v>200</v>
      </c>
      <c r="Y17">
        <v>3000</v>
      </c>
      <c r="Z17">
        <v>1500</v>
      </c>
      <c r="AC17">
        <v>7700</v>
      </c>
      <c r="AG17">
        <v>750</v>
      </c>
      <c r="AL17">
        <v>1000</v>
      </c>
      <c r="AN17">
        <v>3000</v>
      </c>
      <c r="AP17">
        <v>14000</v>
      </c>
      <c r="AQ17">
        <v>1200</v>
      </c>
      <c r="AW17">
        <v>4315</v>
      </c>
      <c r="AX17" t="s">
        <v>150</v>
      </c>
    </row>
    <row r="18" spans="1:50" x14ac:dyDescent="0.25">
      <c r="A18" s="2" t="str">
        <f>D1_JULIO_2025[[#This Row],[SUPER2]]</f>
        <v>MELINA</v>
      </c>
      <c r="B18" s="2" t="s">
        <v>61</v>
      </c>
      <c r="C18" s="2">
        <f>VLOOKUP(D1_JULIO_2025[[#This Row],[SUPER]],DATA_JULIO_2025[[SUPERVISOR]:[META]],3,0)</f>
        <v>65000</v>
      </c>
      <c r="D18" s="2">
        <f>D1_JULIO_2025[[#This Row],[RECUPERO]]/C18</f>
        <v>0.57619538461538455</v>
      </c>
      <c r="E18" t="s">
        <v>4</v>
      </c>
      <c r="F18" t="s">
        <v>61</v>
      </c>
      <c r="G18">
        <v>37452.699999999997</v>
      </c>
      <c r="H18" t="s">
        <v>411</v>
      </c>
      <c r="I18" s="56">
        <v>44909</v>
      </c>
      <c r="J18" t="s">
        <v>501</v>
      </c>
      <c r="L18" s="56"/>
      <c r="M18" s="1">
        <f>DATA_JULIO_2025[[#This Row],[RECUPERO]]/DATA_JULIO_2025[[#This Row],[META]]</f>
        <v>0.37775925925925924</v>
      </c>
      <c r="N18" t="str" cm="1">
        <f t="array" ref="N1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18" t="s">
        <v>2</v>
      </c>
      <c r="P18">
        <f>SUM(DATA_JULIO_2025[[#This Row],[1]:[31]])</f>
        <v>20399</v>
      </c>
      <c r="Q18">
        <v>54000</v>
      </c>
      <c r="R18" t="s">
        <v>14</v>
      </c>
      <c r="Y18">
        <v>551</v>
      </c>
      <c r="AC18">
        <v>500</v>
      </c>
      <c r="AG18">
        <v>4348</v>
      </c>
      <c r="AI18">
        <v>1000</v>
      </c>
      <c r="AJ18">
        <v>2100</v>
      </c>
      <c r="AV18">
        <v>600</v>
      </c>
      <c r="AW18">
        <v>11300</v>
      </c>
      <c r="AX18" t="s">
        <v>150</v>
      </c>
    </row>
    <row r="19" spans="1:50" x14ac:dyDescent="0.25">
      <c r="A19" s="2" t="str">
        <f>D1_JULIO_2025[[#This Row],[SUPER2]]</f>
        <v>MELINA</v>
      </c>
      <c r="B19" s="2" t="s">
        <v>57</v>
      </c>
      <c r="C19" s="2">
        <f>VLOOKUP(D1_JULIO_2025[[#This Row],[SUPER]],DATA_JULIO_2025[[SUPERVISOR]:[META]],3,0)</f>
        <v>65000</v>
      </c>
      <c r="D19" s="2">
        <f>D1_JULIO_2025[[#This Row],[RECUPERO]]/C19</f>
        <v>0.50055384615384613</v>
      </c>
      <c r="E19" t="s">
        <v>4</v>
      </c>
      <c r="F19" t="s">
        <v>57</v>
      </c>
      <c r="G19">
        <v>32536</v>
      </c>
      <c r="H19" t="s">
        <v>443</v>
      </c>
      <c r="I19" s="56">
        <v>45590</v>
      </c>
      <c r="J19" t="s">
        <v>501</v>
      </c>
      <c r="L19" s="56"/>
      <c r="M19" s="1">
        <f>DATA_JULIO_2025[[#This Row],[RECUPERO]]/DATA_JULIO_2025[[#This Row],[META]]</f>
        <v>0.68387096774193545</v>
      </c>
      <c r="N19" t="str" cm="1">
        <f t="array" ref="N1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19" t="s">
        <v>7</v>
      </c>
      <c r="P19">
        <f>SUM(DATA_JULIO_2025[[#This Row],[1]:[31]])</f>
        <v>10600</v>
      </c>
      <c r="Q19">
        <v>15500</v>
      </c>
      <c r="R19" t="s">
        <v>104</v>
      </c>
      <c r="U19">
        <v>1100</v>
      </c>
      <c r="Z19">
        <v>500</v>
      </c>
      <c r="AM19">
        <v>1500</v>
      </c>
      <c r="AN19">
        <v>7000</v>
      </c>
      <c r="AR19">
        <v>500</v>
      </c>
      <c r="AX19" t="s">
        <v>152</v>
      </c>
    </row>
    <row r="20" spans="1:50" x14ac:dyDescent="0.25">
      <c r="A20" s="2" t="str">
        <f>D1_JULIO_2025[[#This Row],[SUPER2]]</f>
        <v>MELINA</v>
      </c>
      <c r="B20" s="2" t="s">
        <v>65</v>
      </c>
      <c r="C20" s="2">
        <f>VLOOKUP(D1_JULIO_2025[[#This Row],[SUPER]],DATA_JULIO_2025[[SUPERVISOR]:[META]],3,0)</f>
        <v>65000</v>
      </c>
      <c r="D20" s="2">
        <f>D1_JULIO_2025[[#This Row],[RECUPERO]]/C20</f>
        <v>0.48635384615384614</v>
      </c>
      <c r="E20" t="s">
        <v>4</v>
      </c>
      <c r="F20" t="s">
        <v>65</v>
      </c>
      <c r="G20">
        <v>31613</v>
      </c>
      <c r="H20" t="s">
        <v>438</v>
      </c>
      <c r="I20" s="56">
        <v>45021</v>
      </c>
      <c r="J20" t="s">
        <v>501</v>
      </c>
      <c r="L20" s="56"/>
      <c r="M20" s="1">
        <f>DATA_JULIO_2025[[#This Row],[RECUPERO]]/DATA_JULIO_2025[[#This Row],[META]]</f>
        <v>0.64451612903225808</v>
      </c>
      <c r="N20" t="str" cm="1">
        <f t="array" ref="N2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20" t="s">
        <v>7</v>
      </c>
      <c r="P20">
        <f>SUM(DATA_JULIO_2025[[#This Row],[1]:[31]])</f>
        <v>9990</v>
      </c>
      <c r="Q20">
        <v>15500</v>
      </c>
      <c r="R20" t="s">
        <v>19</v>
      </c>
      <c r="T20">
        <v>750</v>
      </c>
      <c r="AD20">
        <v>500</v>
      </c>
      <c r="AE20">
        <v>400</v>
      </c>
      <c r="AG20">
        <v>50</v>
      </c>
      <c r="AH20">
        <v>400</v>
      </c>
      <c r="AJ20">
        <v>3000</v>
      </c>
      <c r="AM20">
        <v>490</v>
      </c>
      <c r="AV20">
        <v>250</v>
      </c>
      <c r="AW20">
        <v>4150</v>
      </c>
      <c r="AX20" t="s">
        <v>152</v>
      </c>
    </row>
    <row r="21" spans="1:50" x14ac:dyDescent="0.25">
      <c r="A21" s="2" t="str">
        <f>D1_JULIO_2025[[#This Row],[SUPER2]]</f>
        <v>MELINA</v>
      </c>
      <c r="B21" s="2" t="s">
        <v>60</v>
      </c>
      <c r="C21" s="2">
        <f>VLOOKUP(D1_JULIO_2025[[#This Row],[SUPER]],DATA_JULIO_2025[[SUPERVISOR]:[META]],3,0)</f>
        <v>65000</v>
      </c>
      <c r="D21" s="2">
        <f>D1_JULIO_2025[[#This Row],[RECUPERO]]/C21</f>
        <v>0.3228923076923077</v>
      </c>
      <c r="E21" t="s">
        <v>4</v>
      </c>
      <c r="F21" t="s">
        <v>60</v>
      </c>
      <c r="G21">
        <v>20988</v>
      </c>
      <c r="H21" t="s">
        <v>423</v>
      </c>
      <c r="I21" s="56">
        <v>45323</v>
      </c>
      <c r="J21" t="s">
        <v>501</v>
      </c>
      <c r="L21" s="56"/>
      <c r="M21" s="1">
        <f>DATA_JULIO_2025[[#This Row],[RECUPERO]]/DATA_JULIO_2025[[#This Row],[META]]</f>
        <v>0.8180645161290323</v>
      </c>
      <c r="N21" t="str" cm="1">
        <f t="array" ref="N2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21" t="s">
        <v>9</v>
      </c>
      <c r="P21">
        <f>SUM(DATA_JULIO_2025[[#This Row],[1]:[31]])</f>
        <v>12680</v>
      </c>
      <c r="Q21">
        <v>15500</v>
      </c>
      <c r="R21" t="s">
        <v>53</v>
      </c>
      <c r="U21">
        <v>160</v>
      </c>
      <c r="V21">
        <v>350</v>
      </c>
      <c r="AA21">
        <v>2800</v>
      </c>
      <c r="AC21">
        <v>200</v>
      </c>
      <c r="AF21">
        <v>1500</v>
      </c>
      <c r="AG21">
        <v>800</v>
      </c>
      <c r="AH21">
        <v>1000</v>
      </c>
      <c r="AI21">
        <v>870</v>
      </c>
      <c r="AV21">
        <v>3200</v>
      </c>
      <c r="AW21">
        <v>1800</v>
      </c>
      <c r="AX21" t="s">
        <v>153</v>
      </c>
    </row>
    <row r="22" spans="1:50" x14ac:dyDescent="0.25">
      <c r="A22" s="2" t="str">
        <f>D1_JULIO_2025[[#This Row],[SUPER2]]</f>
        <v>MELINA</v>
      </c>
      <c r="B22" s="2" t="s">
        <v>63</v>
      </c>
      <c r="C22" s="2">
        <f>VLOOKUP(D1_JULIO_2025[[#This Row],[SUPER]],DATA_JULIO_2025[[SUPERVISOR]:[META]],3,0)</f>
        <v>65000</v>
      </c>
      <c r="D22" s="2">
        <f>D1_JULIO_2025[[#This Row],[RECUPERO]]/C22</f>
        <v>0.25064615384615385</v>
      </c>
      <c r="E22" t="s">
        <v>4</v>
      </c>
      <c r="F22" t="s">
        <v>63</v>
      </c>
      <c r="G22">
        <v>16292</v>
      </c>
      <c r="H22" t="s">
        <v>447</v>
      </c>
      <c r="I22" s="56">
        <v>45316</v>
      </c>
      <c r="J22" t="s">
        <v>501</v>
      </c>
      <c r="L22" s="56"/>
      <c r="M22" s="1">
        <f>DATA_JULIO_2025[[#This Row],[RECUPERO]]/DATA_JULIO_2025[[#This Row],[META]]</f>
        <v>0.79670967741935483</v>
      </c>
      <c r="N22" t="str" cm="1">
        <f t="array" ref="N2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22" t="s">
        <v>8</v>
      </c>
      <c r="P22">
        <f>SUM(DATA_JULIO_2025[[#This Row],[1]:[31]])</f>
        <v>12349</v>
      </c>
      <c r="Q22">
        <v>15500</v>
      </c>
      <c r="R22" t="s">
        <v>41</v>
      </c>
      <c r="T22">
        <v>300</v>
      </c>
      <c r="U22">
        <v>1566</v>
      </c>
      <c r="V22">
        <v>1200</v>
      </c>
      <c r="Y22">
        <v>1000</v>
      </c>
      <c r="Z22">
        <v>903</v>
      </c>
      <c r="AA22">
        <v>100</v>
      </c>
      <c r="AC22">
        <v>600</v>
      </c>
      <c r="AF22">
        <v>700</v>
      </c>
      <c r="AG22">
        <v>1090</v>
      </c>
      <c r="AH22">
        <v>1058</v>
      </c>
      <c r="AN22">
        <v>400</v>
      </c>
      <c r="AP22">
        <v>132</v>
      </c>
      <c r="AV22">
        <v>450</v>
      </c>
      <c r="AW22">
        <v>2850</v>
      </c>
      <c r="AX22" t="s">
        <v>153</v>
      </c>
    </row>
    <row r="23" spans="1:50" x14ac:dyDescent="0.25">
      <c r="A23" s="2" t="str">
        <f>D1_JULIO_2025[[#This Row],[SUPER2]]</f>
        <v>MELINA</v>
      </c>
      <c r="B23" s="2" t="s">
        <v>80</v>
      </c>
      <c r="C23" s="2">
        <f>VLOOKUP(D1_JULIO_2025[[#This Row],[SUPER]],DATA_JULIO_2025[[SUPERVISOR]:[META]],3,0)</f>
        <v>65000</v>
      </c>
      <c r="D23" s="2">
        <f>D1_JULIO_2025[[#This Row],[RECUPERO]]/C23</f>
        <v>0.17687692307692307</v>
      </c>
      <c r="E23" t="s">
        <v>4</v>
      </c>
      <c r="F23" t="s">
        <v>80</v>
      </c>
      <c r="G23">
        <v>11497</v>
      </c>
      <c r="H23" t="s">
        <v>433</v>
      </c>
      <c r="I23" s="56">
        <v>45285</v>
      </c>
      <c r="J23" t="s">
        <v>501</v>
      </c>
      <c r="L23" s="56"/>
      <c r="M23" s="1">
        <f>DATA_JULIO_2025[[#This Row],[RECUPERO]]/DATA_JULIO_2025[[#This Row],[META]]</f>
        <v>0.21612903225806451</v>
      </c>
      <c r="N23" t="str" cm="1">
        <f t="array" ref="N2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23" t="s">
        <v>9</v>
      </c>
      <c r="P23">
        <f>SUM(DATA_JULIO_2025[[#This Row],[1]:[31]])</f>
        <v>3350</v>
      </c>
      <c r="Q23">
        <v>15500</v>
      </c>
      <c r="R23" t="s">
        <v>82</v>
      </c>
      <c r="V23">
        <v>1000</v>
      </c>
      <c r="AC23">
        <v>500</v>
      </c>
      <c r="AJ23">
        <v>850</v>
      </c>
      <c r="AP23">
        <v>500</v>
      </c>
      <c r="AT23">
        <v>500</v>
      </c>
      <c r="AX23" t="s">
        <v>153</v>
      </c>
    </row>
    <row r="24" spans="1:50" x14ac:dyDescent="0.25">
      <c r="A24" s="2" t="str">
        <f>D1_JULIO_2025[[#This Row],[SUPER2]]</f>
        <v>JORGE</v>
      </c>
      <c r="B24" s="2" t="s">
        <v>16</v>
      </c>
      <c r="C24" s="2">
        <f>VLOOKUP(D1_JULIO_2025[[#This Row],[SUPER]],DATA_JULIO_2025[[SUPERVISOR]:[META]],3,0)</f>
        <v>54000</v>
      </c>
      <c r="D24" s="2">
        <f>D1_JULIO_2025[[#This Row],[RECUPERO]]/C24</f>
        <v>1.3431481481481482</v>
      </c>
      <c r="E24" t="s">
        <v>2</v>
      </c>
      <c r="F24" t="s">
        <v>16</v>
      </c>
      <c r="G24">
        <v>72530</v>
      </c>
      <c r="H24" t="s">
        <v>388</v>
      </c>
      <c r="I24" s="56">
        <v>45334</v>
      </c>
      <c r="J24" t="s">
        <v>501</v>
      </c>
      <c r="L24" s="56"/>
      <c r="M24" s="1">
        <f>DATA_JULIO_2025[[#This Row],[RECUPERO]]/DATA_JULIO_2025[[#This Row],[META]]</f>
        <v>0.57619538461538455</v>
      </c>
      <c r="N24" t="str" cm="1">
        <f t="array" ref="N2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24" t="s">
        <v>4</v>
      </c>
      <c r="P24">
        <f>SUM(DATA_JULIO_2025[[#This Row],[1]:[31]])</f>
        <v>37452.699999999997</v>
      </c>
      <c r="Q24">
        <v>65000</v>
      </c>
      <c r="R24" t="s">
        <v>61</v>
      </c>
      <c r="S24">
        <v>600</v>
      </c>
      <c r="U24">
        <v>10000</v>
      </c>
      <c r="Y24">
        <v>1000</v>
      </c>
      <c r="AD24">
        <v>2500</v>
      </c>
      <c r="AG24">
        <v>450</v>
      </c>
      <c r="AH24">
        <v>1500</v>
      </c>
      <c r="AJ24">
        <v>848</v>
      </c>
      <c r="AM24">
        <v>4400</v>
      </c>
      <c r="AN24">
        <v>9488</v>
      </c>
      <c r="AU24">
        <v>666.7</v>
      </c>
      <c r="AV24">
        <v>2000</v>
      </c>
      <c r="AW24">
        <v>4000</v>
      </c>
      <c r="AX24" t="s">
        <v>155</v>
      </c>
    </row>
    <row r="25" spans="1:50" x14ac:dyDescent="0.25">
      <c r="A25" s="2" t="str">
        <f>D1_JULIO_2025[[#This Row],[SUPER2]]</f>
        <v>JORGE</v>
      </c>
      <c r="B25" s="2" t="s">
        <v>10</v>
      </c>
      <c r="C25" s="2">
        <f>VLOOKUP(D1_JULIO_2025[[#This Row],[SUPER]],DATA_JULIO_2025[[SUPERVISOR]:[META]],3,0)</f>
        <v>54000</v>
      </c>
      <c r="D25" s="2">
        <f>D1_JULIO_2025[[#This Row],[RECUPERO]]/C25</f>
        <v>0.94387037037037036</v>
      </c>
      <c r="E25" t="s">
        <v>2</v>
      </c>
      <c r="F25" t="s">
        <v>10</v>
      </c>
      <c r="G25">
        <v>50969</v>
      </c>
      <c r="H25" t="s">
        <v>449</v>
      </c>
      <c r="I25" s="56">
        <v>44706</v>
      </c>
      <c r="J25" t="s">
        <v>501</v>
      </c>
      <c r="L25" s="56"/>
      <c r="M25" s="1">
        <f>DATA_JULIO_2025[[#This Row],[RECUPERO]]/DATA_JULIO_2025[[#This Row],[META]]</f>
        <v>0.17687692307692307</v>
      </c>
      <c r="N25" t="str" cm="1">
        <f t="array" ref="N2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25" t="s">
        <v>4</v>
      </c>
      <c r="P25">
        <f>SUM(DATA_JULIO_2025[[#This Row],[1]:[31]])</f>
        <v>11497</v>
      </c>
      <c r="Q25">
        <v>65000</v>
      </c>
      <c r="R25" t="s">
        <v>80</v>
      </c>
      <c r="AA25">
        <v>650</v>
      </c>
      <c r="AG25">
        <v>500</v>
      </c>
      <c r="AH25">
        <v>982</v>
      </c>
      <c r="AM25">
        <v>1805</v>
      </c>
      <c r="AQ25">
        <v>5260</v>
      </c>
      <c r="AV25">
        <v>1500</v>
      </c>
      <c r="AW25">
        <v>800</v>
      </c>
      <c r="AX25" t="s">
        <v>155</v>
      </c>
    </row>
    <row r="26" spans="1:50" x14ac:dyDescent="0.25">
      <c r="A26" s="2" t="str">
        <f>D1_JULIO_2025[[#This Row],[SUPER2]]</f>
        <v>JORGE</v>
      </c>
      <c r="B26" s="2" t="s">
        <v>17</v>
      </c>
      <c r="C26" s="2">
        <f>VLOOKUP(D1_JULIO_2025[[#This Row],[SUPER]],DATA_JULIO_2025[[SUPERVISOR]:[META]],3,0)</f>
        <v>54000</v>
      </c>
      <c r="D26" s="2">
        <f>D1_JULIO_2025[[#This Row],[RECUPERO]]/C26</f>
        <v>0.84044444444444444</v>
      </c>
      <c r="E26" t="s">
        <v>2</v>
      </c>
      <c r="F26" t="s">
        <v>17</v>
      </c>
      <c r="G26">
        <v>45384</v>
      </c>
      <c r="H26" t="s">
        <v>385</v>
      </c>
      <c r="I26" s="56">
        <v>44888</v>
      </c>
      <c r="J26" t="s">
        <v>501</v>
      </c>
      <c r="L26" s="56"/>
      <c r="M26" s="1">
        <f>DATA_JULIO_2025[[#This Row],[RECUPERO]]/DATA_JULIO_2025[[#This Row],[META]]</f>
        <v>0.59030769230769231</v>
      </c>
      <c r="N26" t="str" cm="1">
        <f t="array" ref="N2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26" t="s">
        <v>6</v>
      </c>
      <c r="P26">
        <f>SUM(DATA_JULIO_2025[[#This Row],[1]:[31]])</f>
        <v>15348</v>
      </c>
      <c r="Q26">
        <v>26000</v>
      </c>
      <c r="R26" t="s">
        <v>40</v>
      </c>
      <c r="S26">
        <v>210</v>
      </c>
      <c r="AA26">
        <v>50</v>
      </c>
      <c r="AB26">
        <v>1200</v>
      </c>
      <c r="AC26">
        <v>200</v>
      </c>
      <c r="AD26">
        <v>124</v>
      </c>
      <c r="AG26">
        <v>250</v>
      </c>
      <c r="AJ26">
        <v>195</v>
      </c>
      <c r="AM26">
        <v>569</v>
      </c>
      <c r="AN26">
        <v>350</v>
      </c>
      <c r="AP26">
        <v>100</v>
      </c>
      <c r="AQ26">
        <v>10000</v>
      </c>
      <c r="AV26">
        <v>530</v>
      </c>
      <c r="AW26">
        <v>1570</v>
      </c>
      <c r="AX26" t="s">
        <v>156</v>
      </c>
    </row>
    <row r="27" spans="1:50" x14ac:dyDescent="0.25">
      <c r="A27" s="2" t="str">
        <f>D1_JULIO_2025[[#This Row],[SUPER2]]</f>
        <v>JORGE</v>
      </c>
      <c r="B27" s="2" t="s">
        <v>12</v>
      </c>
      <c r="C27" s="2">
        <f>VLOOKUP(D1_JULIO_2025[[#This Row],[SUPER]],DATA_JULIO_2025[[SUPERVISOR]:[META]],3,0)</f>
        <v>54000</v>
      </c>
      <c r="D27" s="2">
        <f>D1_JULIO_2025[[#This Row],[RECUPERO]]/C27</f>
        <v>0.56653703703703706</v>
      </c>
      <c r="E27" t="s">
        <v>2</v>
      </c>
      <c r="F27" t="s">
        <v>12</v>
      </c>
      <c r="G27">
        <v>30593</v>
      </c>
      <c r="H27" t="s">
        <v>389</v>
      </c>
      <c r="I27" s="56">
        <v>44870</v>
      </c>
      <c r="J27" t="s">
        <v>501</v>
      </c>
      <c r="L27" s="56"/>
      <c r="M27" s="1">
        <f>DATA_JULIO_2025[[#This Row],[RECUPERO]]/DATA_JULIO_2025[[#This Row],[META]]</f>
        <v>0.81051612903225811</v>
      </c>
      <c r="N27" t="str" cm="1">
        <f t="array" ref="N2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27" t="s">
        <v>8</v>
      </c>
      <c r="P27">
        <f>SUM(DATA_JULIO_2025[[#This Row],[1]:[31]])</f>
        <v>12563</v>
      </c>
      <c r="Q27">
        <v>15500</v>
      </c>
      <c r="R27" t="s">
        <v>81</v>
      </c>
      <c r="Y27">
        <v>149</v>
      </c>
      <c r="Z27">
        <v>200</v>
      </c>
      <c r="AB27">
        <v>240</v>
      </c>
      <c r="AC27">
        <v>1400</v>
      </c>
      <c r="AG27">
        <v>251</v>
      </c>
      <c r="AH27">
        <v>1300</v>
      </c>
      <c r="AI27">
        <v>160</v>
      </c>
      <c r="AJ27">
        <v>1300</v>
      </c>
      <c r="AM27">
        <v>1472</v>
      </c>
      <c r="AN27">
        <v>1100</v>
      </c>
      <c r="AQ27">
        <v>2491</v>
      </c>
      <c r="AV27">
        <v>1500</v>
      </c>
      <c r="AW27">
        <v>1000</v>
      </c>
      <c r="AX27" t="s">
        <v>153</v>
      </c>
    </row>
    <row r="28" spans="1:50" x14ac:dyDescent="0.25">
      <c r="A28" s="2" t="str">
        <f>D1_JULIO_2025[[#This Row],[SUPER2]]</f>
        <v>JORGE</v>
      </c>
      <c r="B28" s="2" t="s">
        <v>11</v>
      </c>
      <c r="C28" s="2">
        <f>VLOOKUP(D1_JULIO_2025[[#This Row],[SUPER]],DATA_JULIO_2025[[SUPERVISOR]:[META]],3,0)</f>
        <v>54000</v>
      </c>
      <c r="D28" s="2">
        <f>D1_JULIO_2025[[#This Row],[RECUPERO]]/C28</f>
        <v>0.50240740740740741</v>
      </c>
      <c r="E28" t="s">
        <v>2</v>
      </c>
      <c r="F28" t="s">
        <v>11</v>
      </c>
      <c r="G28">
        <v>27130</v>
      </c>
      <c r="H28" t="s">
        <v>429</v>
      </c>
      <c r="I28" s="56">
        <v>45371</v>
      </c>
      <c r="J28" t="s">
        <v>501</v>
      </c>
      <c r="L28" s="56"/>
      <c r="M28" s="1">
        <f>DATA_JULIO_2025[[#This Row],[RECUPERO]]/DATA_JULIO_2025[[#This Row],[META]]</f>
        <v>0.39327661538461539</v>
      </c>
      <c r="N28" t="str" cm="1">
        <f t="array" ref="N2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28" t="s">
        <v>3</v>
      </c>
      <c r="P28">
        <f>SUM(DATA_JULIO_2025[[#This Row],[1]:[31]])</f>
        <v>25562.98</v>
      </c>
      <c r="Q28">
        <v>65000</v>
      </c>
      <c r="R28" t="s">
        <v>28</v>
      </c>
      <c r="V28">
        <v>2500</v>
      </c>
      <c r="Z28">
        <v>4000</v>
      </c>
      <c r="AB28">
        <v>6799.98</v>
      </c>
      <c r="AP28">
        <v>1400</v>
      </c>
      <c r="AQ28">
        <v>7750</v>
      </c>
      <c r="AV28">
        <v>3113</v>
      </c>
      <c r="AX28" t="s">
        <v>155</v>
      </c>
    </row>
    <row r="29" spans="1:50" x14ac:dyDescent="0.25">
      <c r="A29" s="2" t="str">
        <f>D1_JULIO_2025[[#This Row],[SUPER2]]</f>
        <v>JORGE</v>
      </c>
      <c r="B29" s="2" t="s">
        <v>15</v>
      </c>
      <c r="C29" s="2">
        <f>VLOOKUP(D1_JULIO_2025[[#This Row],[SUPER]],DATA_JULIO_2025[[SUPERVISOR]:[META]],3,0)</f>
        <v>54000</v>
      </c>
      <c r="D29" s="2">
        <f>D1_JULIO_2025[[#This Row],[RECUPERO]]/C29</f>
        <v>0.41366666666666668</v>
      </c>
      <c r="E29" t="s">
        <v>2</v>
      </c>
      <c r="F29" t="s">
        <v>15</v>
      </c>
      <c r="G29">
        <v>22338</v>
      </c>
      <c r="H29" t="s">
        <v>410</v>
      </c>
      <c r="I29" s="56">
        <v>44735</v>
      </c>
      <c r="J29" t="s">
        <v>501</v>
      </c>
      <c r="L29" s="56"/>
      <c r="M29" s="1">
        <f>DATA_JULIO_2025[[#This Row],[RECUPERO]]/DATA_JULIO_2025[[#This Row],[META]]</f>
        <v>0.46605555555555556</v>
      </c>
      <c r="N29" t="str" cm="1">
        <f t="array" ref="N2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29" t="s">
        <v>5</v>
      </c>
      <c r="P29">
        <f>SUM(DATA_JULIO_2025[[#This Row],[1]:[31]])</f>
        <v>25167</v>
      </c>
      <c r="Q29">
        <v>54000</v>
      </c>
      <c r="R29" t="s">
        <v>72</v>
      </c>
      <c r="S29">
        <v>316</v>
      </c>
      <c r="T29">
        <v>2264</v>
      </c>
      <c r="U29">
        <v>1100</v>
      </c>
      <c r="V29">
        <v>1000</v>
      </c>
      <c r="Y29">
        <v>1097</v>
      </c>
      <c r="AC29">
        <v>600</v>
      </c>
      <c r="AF29">
        <v>5000</v>
      </c>
      <c r="AH29">
        <v>200</v>
      </c>
      <c r="AI29">
        <v>1500</v>
      </c>
      <c r="AJ29">
        <v>637</v>
      </c>
      <c r="AM29">
        <v>219</v>
      </c>
      <c r="AQ29">
        <v>3000</v>
      </c>
      <c r="AV29">
        <v>900</v>
      </c>
      <c r="AW29">
        <v>7334</v>
      </c>
      <c r="AX29" t="s">
        <v>150</v>
      </c>
    </row>
    <row r="30" spans="1:50" x14ac:dyDescent="0.25">
      <c r="A30" s="2" t="str">
        <f>D1_JULIO_2025[[#This Row],[SUPER2]]</f>
        <v>JORGE</v>
      </c>
      <c r="B30" s="2" t="s">
        <v>14</v>
      </c>
      <c r="C30" s="2">
        <f>VLOOKUP(D1_JULIO_2025[[#This Row],[SUPER]],DATA_JULIO_2025[[SUPERVISOR]:[META]],3,0)</f>
        <v>54000</v>
      </c>
      <c r="D30" s="2">
        <f>D1_JULIO_2025[[#This Row],[RECUPERO]]/C30</f>
        <v>0.37775925925925924</v>
      </c>
      <c r="E30" t="s">
        <v>2</v>
      </c>
      <c r="F30" t="s">
        <v>14</v>
      </c>
      <c r="G30">
        <v>20399</v>
      </c>
      <c r="H30" t="s">
        <v>432</v>
      </c>
      <c r="I30" s="56">
        <v>45133</v>
      </c>
      <c r="J30" t="s">
        <v>501</v>
      </c>
      <c r="L30" s="56"/>
      <c r="M30" s="1">
        <f>DATA_JULIO_2025[[#This Row],[RECUPERO]]/DATA_JULIO_2025[[#This Row],[META]]</f>
        <v>1.2490876923076923</v>
      </c>
      <c r="N30" t="str" cm="1">
        <f t="array" ref="N3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30" t="s">
        <v>3</v>
      </c>
      <c r="P30">
        <f>SUM(DATA_JULIO_2025[[#This Row],[1]:[31]])</f>
        <v>81190.7</v>
      </c>
      <c r="Q30">
        <v>65000</v>
      </c>
      <c r="R30" t="s">
        <v>22</v>
      </c>
      <c r="S30">
        <v>600</v>
      </c>
      <c r="T30">
        <v>700</v>
      </c>
      <c r="U30">
        <v>5910</v>
      </c>
      <c r="AA30">
        <v>5000</v>
      </c>
      <c r="AB30">
        <v>9000</v>
      </c>
      <c r="AC30">
        <v>27654.7</v>
      </c>
      <c r="AG30">
        <v>17300</v>
      </c>
      <c r="AH30">
        <v>600</v>
      </c>
      <c r="AM30">
        <v>5300</v>
      </c>
      <c r="AP30">
        <v>621</v>
      </c>
      <c r="AQ30">
        <v>700</v>
      </c>
      <c r="AV30">
        <v>4310</v>
      </c>
      <c r="AW30">
        <v>3495</v>
      </c>
      <c r="AX30" t="s">
        <v>155</v>
      </c>
    </row>
    <row r="31" spans="1:50" x14ac:dyDescent="0.25">
      <c r="A31" s="2" t="str">
        <f>D1_JULIO_2025[[#This Row],[SUPER2]]</f>
        <v>JORGE</v>
      </c>
      <c r="B31" s="2" t="s">
        <v>13</v>
      </c>
      <c r="C31" s="2">
        <f>VLOOKUP(D1_JULIO_2025[[#This Row],[SUPER]],DATA_JULIO_2025[[SUPERVISOR]:[META]],3,0)</f>
        <v>54000</v>
      </c>
      <c r="D31" s="2">
        <f>D1_JULIO_2025[[#This Row],[RECUPERO]]/C31</f>
        <v>0.3280925925925926</v>
      </c>
      <c r="E31" t="s">
        <v>2</v>
      </c>
      <c r="F31" t="s">
        <v>13</v>
      </c>
      <c r="G31">
        <v>17717</v>
      </c>
      <c r="H31" t="s">
        <v>382</v>
      </c>
      <c r="I31" s="56">
        <v>44811</v>
      </c>
      <c r="J31" t="s">
        <v>501</v>
      </c>
      <c r="L31" s="56"/>
      <c r="M31" s="1">
        <f>DATA_JULIO_2025[[#This Row],[RECUPERO]]/DATA_JULIO_2025[[#This Row],[META]]</f>
        <v>0.70020000000000004</v>
      </c>
      <c r="N31" t="str" cm="1">
        <f t="array" ref="N3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31" t="s">
        <v>3</v>
      </c>
      <c r="P31">
        <f>SUM(DATA_JULIO_2025[[#This Row],[1]:[31]])</f>
        <v>45513</v>
      </c>
      <c r="Q31">
        <v>65000</v>
      </c>
      <c r="R31" t="s">
        <v>24</v>
      </c>
      <c r="Y31">
        <v>5500</v>
      </c>
      <c r="AA31">
        <v>1000</v>
      </c>
      <c r="AC31">
        <v>6500</v>
      </c>
      <c r="AF31">
        <v>1570</v>
      </c>
      <c r="AG31">
        <v>3700</v>
      </c>
      <c r="AH31">
        <v>600</v>
      </c>
      <c r="AJ31">
        <v>600</v>
      </c>
      <c r="AM31">
        <v>12500</v>
      </c>
      <c r="AQ31">
        <v>5665</v>
      </c>
      <c r="AS31">
        <v>218</v>
      </c>
      <c r="AW31">
        <v>7660</v>
      </c>
      <c r="AX31" t="s">
        <v>155</v>
      </c>
    </row>
    <row r="32" spans="1:50" x14ac:dyDescent="0.25">
      <c r="A32" s="2" t="str">
        <f>D1_JULIO_2025[[#This Row],[SUPER2]]</f>
        <v>JORGE</v>
      </c>
      <c r="B32" s="2" t="s">
        <v>86</v>
      </c>
      <c r="C32" s="2">
        <f>VLOOKUP(D1_JULIO_2025[[#This Row],[SUPER]],DATA_JULIO_2025[[SUPERVISOR]:[META]],3,0)</f>
        <v>54000</v>
      </c>
      <c r="D32" s="2">
        <f>D1_JULIO_2025[[#This Row],[RECUPERO]]/C32</f>
        <v>0.15901851851851853</v>
      </c>
      <c r="E32" t="s">
        <v>2</v>
      </c>
      <c r="F32" t="s">
        <v>86</v>
      </c>
      <c r="G32">
        <v>8587</v>
      </c>
      <c r="H32" t="s">
        <v>466</v>
      </c>
      <c r="I32" s="56">
        <v>45798</v>
      </c>
      <c r="J32" t="s">
        <v>501</v>
      </c>
      <c r="L32" s="56"/>
      <c r="M32" s="1">
        <f>DATA_JULIO_2025[[#This Row],[RECUPERO]]/DATA_JULIO_2025[[#This Row],[META]]</f>
        <v>1.7149032258064516</v>
      </c>
      <c r="N32" t="str" cm="1">
        <f t="array" ref="N3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32" t="s">
        <v>7</v>
      </c>
      <c r="P32">
        <f>SUM(DATA_JULIO_2025[[#This Row],[1]:[31]])</f>
        <v>26581</v>
      </c>
      <c r="Q32">
        <v>15500</v>
      </c>
      <c r="R32" t="s">
        <v>105</v>
      </c>
      <c r="T32">
        <v>1650</v>
      </c>
      <c r="U32">
        <v>580</v>
      </c>
      <c r="V32">
        <v>300</v>
      </c>
      <c r="AA32">
        <v>750</v>
      </c>
      <c r="AD32">
        <v>0</v>
      </c>
      <c r="AF32">
        <v>3000</v>
      </c>
      <c r="AG32">
        <v>1467</v>
      </c>
      <c r="AI32">
        <v>2000</v>
      </c>
      <c r="AM32">
        <v>9500</v>
      </c>
      <c r="AV32">
        <v>1834</v>
      </c>
      <c r="AW32">
        <v>5500</v>
      </c>
      <c r="AX32" t="s">
        <v>152</v>
      </c>
    </row>
    <row r="33" spans="1:50" x14ac:dyDescent="0.25">
      <c r="A33" s="2" t="str">
        <f>D1_JULIO_2025[[#This Row],[SUPER2]]</f>
        <v>JORDAN</v>
      </c>
      <c r="B33" s="2" t="s">
        <v>67</v>
      </c>
      <c r="C33" s="2">
        <f>VLOOKUP(D1_JULIO_2025[[#This Row],[SUPER]],DATA_JULIO_2025[[SUPERVISOR]:[META]],3,0)</f>
        <v>54000</v>
      </c>
      <c r="D33" s="2">
        <f>D1_JULIO_2025[[#This Row],[RECUPERO]]/C33</f>
        <v>0.72612962962962968</v>
      </c>
      <c r="E33" t="s">
        <v>5</v>
      </c>
      <c r="F33" t="s">
        <v>67</v>
      </c>
      <c r="G33">
        <v>39211</v>
      </c>
      <c r="H33" t="s">
        <v>381</v>
      </c>
      <c r="I33" s="56">
        <v>44811</v>
      </c>
      <c r="J33" t="s">
        <v>501</v>
      </c>
      <c r="L33" s="56"/>
      <c r="M33" s="1">
        <f>DATA_JULIO_2025[[#This Row],[RECUPERO]]/DATA_JULIO_2025[[#This Row],[META]]</f>
        <v>1.3431481481481482</v>
      </c>
      <c r="N33" t="str" cm="1">
        <f t="array" ref="N3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33" t="s">
        <v>2</v>
      </c>
      <c r="P33">
        <f>SUM(DATA_JULIO_2025[[#This Row],[1]:[31]])</f>
        <v>72530</v>
      </c>
      <c r="Q33">
        <v>54000</v>
      </c>
      <c r="R33" t="s">
        <v>16</v>
      </c>
      <c r="T33">
        <v>1300</v>
      </c>
      <c r="U33">
        <v>2530</v>
      </c>
      <c r="Y33">
        <v>600</v>
      </c>
      <c r="AA33">
        <v>7000</v>
      </c>
      <c r="AD33">
        <v>150</v>
      </c>
      <c r="AF33">
        <v>600</v>
      </c>
      <c r="AH33">
        <v>15600</v>
      </c>
      <c r="AJ33">
        <v>22000</v>
      </c>
      <c r="AM33">
        <v>100</v>
      </c>
      <c r="AP33">
        <v>5000</v>
      </c>
      <c r="AV33">
        <v>11200</v>
      </c>
      <c r="AW33">
        <v>6450</v>
      </c>
      <c r="AX33" t="s">
        <v>150</v>
      </c>
    </row>
    <row r="34" spans="1:50" x14ac:dyDescent="0.25">
      <c r="A34" s="2" t="str">
        <f>D1_JULIO_2025[[#This Row],[SUPER2]]</f>
        <v>JORDAN</v>
      </c>
      <c r="B34" s="2" t="s">
        <v>70</v>
      </c>
      <c r="C34" s="2">
        <f>VLOOKUP(D1_JULIO_2025[[#This Row],[SUPER]],DATA_JULIO_2025[[SUPERVISOR]:[META]],3,0)</f>
        <v>54000</v>
      </c>
      <c r="D34" s="2">
        <f>D1_JULIO_2025[[#This Row],[RECUPERO]]/C34</f>
        <v>0.54594444444444445</v>
      </c>
      <c r="E34" t="s">
        <v>5</v>
      </c>
      <c r="F34" t="s">
        <v>70</v>
      </c>
      <c r="G34">
        <v>29481</v>
      </c>
      <c r="H34" t="s">
        <v>418</v>
      </c>
      <c r="I34" s="56">
        <v>44971</v>
      </c>
      <c r="J34" t="s">
        <v>501</v>
      </c>
      <c r="L34" s="56"/>
      <c r="M34" s="1">
        <f>DATA_JULIO_2025[[#This Row],[RECUPERO]]/DATA_JULIO_2025[[#This Row],[META]]</f>
        <v>0.24923076923076923</v>
      </c>
      <c r="N34" t="str" cm="1">
        <f t="array" ref="N3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34" t="s">
        <v>3</v>
      </c>
      <c r="P34">
        <f>SUM(DATA_JULIO_2025[[#This Row],[1]:[31]])</f>
        <v>16200</v>
      </c>
      <c r="Q34">
        <v>65000</v>
      </c>
      <c r="R34" t="s">
        <v>27</v>
      </c>
      <c r="S34">
        <v>800</v>
      </c>
      <c r="U34">
        <v>300</v>
      </c>
      <c r="Z34">
        <v>2000</v>
      </c>
      <c r="AJ34">
        <v>700</v>
      </c>
      <c r="AM34">
        <v>4000</v>
      </c>
      <c r="AN34">
        <v>1600</v>
      </c>
      <c r="AQ34">
        <v>800</v>
      </c>
      <c r="AV34">
        <v>6000</v>
      </c>
      <c r="AX34" t="s">
        <v>155</v>
      </c>
    </row>
    <row r="35" spans="1:50" x14ac:dyDescent="0.25">
      <c r="A35" s="2" t="str">
        <f>D1_JULIO_2025[[#This Row],[SUPER2]]</f>
        <v>JORDAN</v>
      </c>
      <c r="B35" s="2" t="s">
        <v>66</v>
      </c>
      <c r="C35" s="2">
        <f>VLOOKUP(D1_JULIO_2025[[#This Row],[SUPER]],DATA_JULIO_2025[[SUPERVISOR]:[META]],3,0)</f>
        <v>54000</v>
      </c>
      <c r="D35" s="2">
        <f>D1_JULIO_2025[[#This Row],[RECUPERO]]/C35</f>
        <v>0.50568518518518524</v>
      </c>
      <c r="E35" t="s">
        <v>5</v>
      </c>
      <c r="F35" t="s">
        <v>66</v>
      </c>
      <c r="G35">
        <v>27307</v>
      </c>
      <c r="H35" t="s">
        <v>383</v>
      </c>
      <c r="I35" s="56">
        <v>45457</v>
      </c>
      <c r="J35" t="s">
        <v>501</v>
      </c>
      <c r="L35" s="56"/>
      <c r="M35" s="1">
        <f>DATA_JULIO_2025[[#This Row],[RECUPERO]]/DATA_JULIO_2025[[#This Row],[META]]</f>
        <v>0.56653703703703706</v>
      </c>
      <c r="N35" t="str" cm="1">
        <f t="array" ref="N3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35" t="s">
        <v>2</v>
      </c>
      <c r="P35">
        <f>SUM(DATA_JULIO_2025[[#This Row],[1]:[31]])</f>
        <v>30593</v>
      </c>
      <c r="Q35">
        <v>54000</v>
      </c>
      <c r="R35" t="s">
        <v>12</v>
      </c>
      <c r="U35">
        <v>310</v>
      </c>
      <c r="V35">
        <v>2265</v>
      </c>
      <c r="AA35">
        <v>10300</v>
      </c>
      <c r="AC35">
        <v>5474</v>
      </c>
      <c r="AF35">
        <v>4500</v>
      </c>
      <c r="AG35">
        <v>1000</v>
      </c>
      <c r="AH35">
        <v>974</v>
      </c>
      <c r="AI35">
        <v>100</v>
      </c>
      <c r="AJ35">
        <v>1460</v>
      </c>
      <c r="AM35">
        <v>550</v>
      </c>
      <c r="AN35">
        <v>350</v>
      </c>
      <c r="AP35">
        <v>1000</v>
      </c>
      <c r="AW35">
        <v>2310</v>
      </c>
      <c r="AX35" t="s">
        <v>150</v>
      </c>
    </row>
    <row r="36" spans="1:50" x14ac:dyDescent="0.25">
      <c r="A36" s="2" t="str">
        <f>D1_JULIO_2025[[#This Row],[SUPER2]]</f>
        <v>JORDAN</v>
      </c>
      <c r="B36" s="2" t="s">
        <v>72</v>
      </c>
      <c r="C36" s="2">
        <f>VLOOKUP(D1_JULIO_2025[[#This Row],[SUPER]],DATA_JULIO_2025[[SUPERVISOR]:[META]],3,0)</f>
        <v>54000</v>
      </c>
      <c r="D36" s="2">
        <f>D1_JULIO_2025[[#This Row],[RECUPERO]]/C36</f>
        <v>0.46605555555555556</v>
      </c>
      <c r="E36" t="s">
        <v>5</v>
      </c>
      <c r="F36" t="s">
        <v>72</v>
      </c>
      <c r="G36">
        <v>25167</v>
      </c>
      <c r="H36" t="s">
        <v>450</v>
      </c>
      <c r="I36" s="56">
        <v>45084</v>
      </c>
      <c r="J36" t="s">
        <v>501</v>
      </c>
      <c r="L36" s="56"/>
      <c r="M36" s="1">
        <f>DATA_JULIO_2025[[#This Row],[RECUPERO]]/DATA_JULIO_2025[[#This Row],[META]]</f>
        <v>0.53812903225806452</v>
      </c>
      <c r="N36" t="str" cm="1">
        <f t="array" ref="N3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36" t="s">
        <v>9</v>
      </c>
      <c r="P36">
        <f>SUM(DATA_JULIO_2025[[#This Row],[1]:[31]])</f>
        <v>8341</v>
      </c>
      <c r="Q36">
        <v>15500</v>
      </c>
      <c r="R36" t="s">
        <v>51</v>
      </c>
      <c r="S36">
        <v>200</v>
      </c>
      <c r="T36">
        <v>400</v>
      </c>
      <c r="U36">
        <v>400</v>
      </c>
      <c r="Y36">
        <v>2031</v>
      </c>
      <c r="AB36">
        <v>200</v>
      </c>
      <c r="AC36">
        <v>500</v>
      </c>
      <c r="AI36">
        <v>250</v>
      </c>
      <c r="AP36">
        <v>100</v>
      </c>
      <c r="AQ36">
        <v>500</v>
      </c>
      <c r="AV36">
        <v>2200</v>
      </c>
      <c r="AW36">
        <v>1560</v>
      </c>
      <c r="AX36" t="s">
        <v>153</v>
      </c>
    </row>
    <row r="37" spans="1:50" x14ac:dyDescent="0.25">
      <c r="A37" s="2" t="str">
        <f>D1_JULIO_2025[[#This Row],[SUPER2]]</f>
        <v>JORDAN</v>
      </c>
      <c r="B37" s="2" t="s">
        <v>85</v>
      </c>
      <c r="C37" s="2">
        <f>VLOOKUP(D1_JULIO_2025[[#This Row],[SUPER]],DATA_JULIO_2025[[SUPERVISOR]:[META]],3,0)</f>
        <v>54000</v>
      </c>
      <c r="D37" s="2">
        <f>D1_JULIO_2025[[#This Row],[RECUPERO]]/C37</f>
        <v>0.4457962962962963</v>
      </c>
      <c r="E37" t="s">
        <v>5</v>
      </c>
      <c r="F37" t="s">
        <v>85</v>
      </c>
      <c r="G37">
        <v>24073</v>
      </c>
      <c r="H37" t="s">
        <v>380</v>
      </c>
      <c r="I37" s="56">
        <v>44811</v>
      </c>
      <c r="J37" t="s">
        <v>501</v>
      </c>
      <c r="L37" s="56"/>
      <c r="M37" s="1">
        <f>DATA_JULIO_2025[[#This Row],[RECUPERO]]/DATA_JULIO_2025[[#This Row],[META]]</f>
        <v>0.3280925925925926</v>
      </c>
      <c r="N37" t="str" cm="1">
        <f t="array" ref="N3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37" t="s">
        <v>2</v>
      </c>
      <c r="P37">
        <f>SUM(DATA_JULIO_2025[[#This Row],[1]:[31]])</f>
        <v>17717</v>
      </c>
      <c r="Q37">
        <v>54000</v>
      </c>
      <c r="R37" t="s">
        <v>13</v>
      </c>
      <c r="S37">
        <v>600</v>
      </c>
      <c r="T37">
        <v>6000</v>
      </c>
      <c r="AI37">
        <v>500</v>
      </c>
      <c r="AJ37">
        <v>992</v>
      </c>
      <c r="AK37">
        <v>825</v>
      </c>
      <c r="AP37">
        <v>1000</v>
      </c>
      <c r="AV37">
        <v>5000</v>
      </c>
      <c r="AW37">
        <v>2800</v>
      </c>
      <c r="AX37" t="s">
        <v>150</v>
      </c>
    </row>
    <row r="38" spans="1:50" x14ac:dyDescent="0.25">
      <c r="A38" s="2" t="str">
        <f>D1_JULIO_2025[[#This Row],[SUPER2]]</f>
        <v>JORDAN</v>
      </c>
      <c r="B38" s="2" t="s">
        <v>71</v>
      </c>
      <c r="C38" s="2">
        <f>VLOOKUP(D1_JULIO_2025[[#This Row],[SUPER]],DATA_JULIO_2025[[SUPERVISOR]:[META]],3,0)</f>
        <v>54000</v>
      </c>
      <c r="D38" s="2">
        <f>D1_JULIO_2025[[#This Row],[RECUPERO]]/C38</f>
        <v>0.41438888888888886</v>
      </c>
      <c r="E38" t="s">
        <v>5</v>
      </c>
      <c r="F38" t="s">
        <v>71</v>
      </c>
      <c r="G38">
        <v>22377</v>
      </c>
      <c r="H38" t="s">
        <v>414</v>
      </c>
      <c r="I38" s="56">
        <v>45423</v>
      </c>
      <c r="J38" t="s">
        <v>501</v>
      </c>
      <c r="L38" s="56"/>
      <c r="M38" s="1">
        <f>DATA_JULIO_2025[[#This Row],[RECUPERO]]/DATA_JULIO_2025[[#This Row],[META]]</f>
        <v>0.42935769230769227</v>
      </c>
      <c r="N38" t="str" cm="1">
        <f t="array" ref="N3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38" t="s">
        <v>6</v>
      </c>
      <c r="P38">
        <f>SUM(DATA_JULIO_2025[[#This Row],[1]:[31]])</f>
        <v>11163.3</v>
      </c>
      <c r="Q38">
        <v>26000</v>
      </c>
      <c r="R38" t="s">
        <v>32</v>
      </c>
      <c r="S38">
        <v>250</v>
      </c>
      <c r="Z38">
        <v>150</v>
      </c>
      <c r="AC38">
        <v>1000</v>
      </c>
      <c r="AG38">
        <v>700</v>
      </c>
      <c r="AH38">
        <v>777</v>
      </c>
      <c r="AJ38">
        <v>1900</v>
      </c>
      <c r="AN38">
        <v>385</v>
      </c>
      <c r="AQ38">
        <v>1041.3</v>
      </c>
      <c r="AV38">
        <v>1250</v>
      </c>
      <c r="AW38">
        <v>3710</v>
      </c>
      <c r="AX38" t="s">
        <v>156</v>
      </c>
    </row>
    <row r="39" spans="1:50" x14ac:dyDescent="0.25">
      <c r="A39" s="2" t="str">
        <f>D1_JULIO_2025[[#This Row],[SUPER2]]</f>
        <v>JORDAN</v>
      </c>
      <c r="B39" s="2" t="s">
        <v>68</v>
      </c>
      <c r="C39" s="2">
        <f>VLOOKUP(D1_JULIO_2025[[#This Row],[SUPER]],DATA_JULIO_2025[[SUPERVISOR]:[META]],3,0)</f>
        <v>54000</v>
      </c>
      <c r="D39" s="2">
        <f>D1_JULIO_2025[[#This Row],[RECUPERO]]/C39</f>
        <v>0.37994444444444442</v>
      </c>
      <c r="E39" t="s">
        <v>5</v>
      </c>
      <c r="F39" t="s">
        <v>68</v>
      </c>
      <c r="G39">
        <v>20517</v>
      </c>
      <c r="H39" t="s">
        <v>440</v>
      </c>
      <c r="I39" s="56">
        <v>45364</v>
      </c>
      <c r="J39" t="s">
        <v>501</v>
      </c>
      <c r="L39" s="56"/>
      <c r="M39" s="1">
        <f>DATA_JULIO_2025[[#This Row],[RECUPERO]]/DATA_JULIO_2025[[#This Row],[META]]</f>
        <v>0.50568518518518524</v>
      </c>
      <c r="N39" t="str" cm="1">
        <f t="array" ref="N3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39" t="s">
        <v>5</v>
      </c>
      <c r="P39">
        <f>SUM(DATA_JULIO_2025[[#This Row],[1]:[31]])</f>
        <v>27307</v>
      </c>
      <c r="Q39">
        <v>54000</v>
      </c>
      <c r="R39" t="s">
        <v>66</v>
      </c>
      <c r="S39">
        <v>1600</v>
      </c>
      <c r="AA39">
        <v>1540</v>
      </c>
      <c r="AC39">
        <v>2300</v>
      </c>
      <c r="AD39">
        <v>295</v>
      </c>
      <c r="AF39">
        <v>6500</v>
      </c>
      <c r="AG39">
        <v>1800</v>
      </c>
      <c r="AH39">
        <v>0</v>
      </c>
      <c r="AJ39">
        <v>580</v>
      </c>
      <c r="AM39">
        <v>3938</v>
      </c>
      <c r="AP39">
        <v>1795</v>
      </c>
      <c r="AQ39">
        <v>1853</v>
      </c>
      <c r="AS39">
        <v>700</v>
      </c>
      <c r="AV39">
        <v>4406</v>
      </c>
      <c r="AX39" t="s">
        <v>150</v>
      </c>
    </row>
    <row r="40" spans="1:50" x14ac:dyDescent="0.25">
      <c r="A40" s="2" t="str">
        <f>D1_JULIO_2025[[#This Row],[SUPER2]]</f>
        <v>JORDAN</v>
      </c>
      <c r="B40" s="2" t="s">
        <v>69</v>
      </c>
      <c r="C40" s="2">
        <f>VLOOKUP(D1_JULIO_2025[[#This Row],[SUPER]],DATA_JULIO_2025[[SUPERVISOR]:[META]],3,0)</f>
        <v>54000</v>
      </c>
      <c r="D40" s="2">
        <f>D1_JULIO_2025[[#This Row],[RECUPERO]]/C40</f>
        <v>0.26178703703703704</v>
      </c>
      <c r="E40" t="s">
        <v>5</v>
      </c>
      <c r="F40" t="s">
        <v>69</v>
      </c>
      <c r="G40">
        <v>14136.5</v>
      </c>
      <c r="H40" t="s">
        <v>379</v>
      </c>
      <c r="I40" s="56">
        <v>44461</v>
      </c>
      <c r="J40" t="s">
        <v>501</v>
      </c>
      <c r="L40" s="56"/>
      <c r="M40" s="1">
        <f>DATA_JULIO_2025[[#This Row],[RECUPERO]]/DATA_JULIO_2025[[#This Row],[META]]</f>
        <v>0.7246129032258064</v>
      </c>
      <c r="N40" t="str" cm="1">
        <f t="array" ref="N4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40" t="s">
        <v>8</v>
      </c>
      <c r="P40">
        <f>SUM(DATA_JULIO_2025[[#This Row],[1]:[31]])</f>
        <v>11231.5</v>
      </c>
      <c r="Q40">
        <v>15500</v>
      </c>
      <c r="R40" t="s">
        <v>44</v>
      </c>
      <c r="S40">
        <v>300</v>
      </c>
      <c r="T40">
        <v>330</v>
      </c>
      <c r="U40">
        <v>600</v>
      </c>
      <c r="V40">
        <v>150</v>
      </c>
      <c r="Y40">
        <v>630</v>
      </c>
      <c r="Z40">
        <v>1410</v>
      </c>
      <c r="AA40">
        <v>300</v>
      </c>
      <c r="AG40">
        <v>50</v>
      </c>
      <c r="AH40">
        <v>500</v>
      </c>
      <c r="AI40">
        <v>400</v>
      </c>
      <c r="AJ40">
        <v>1311</v>
      </c>
      <c r="AM40">
        <v>1150</v>
      </c>
      <c r="AP40">
        <v>792.5</v>
      </c>
      <c r="AQ40">
        <v>2226</v>
      </c>
      <c r="AV40">
        <v>284</v>
      </c>
      <c r="AW40">
        <v>798</v>
      </c>
      <c r="AX40" t="s">
        <v>153</v>
      </c>
    </row>
    <row r="41" spans="1:50" x14ac:dyDescent="0.25">
      <c r="A41" s="2" t="str">
        <f>D1_JULIO_2025[[#This Row],[SUPER2]]</f>
        <v>JORDAN</v>
      </c>
      <c r="B41" s="2" t="s">
        <v>79</v>
      </c>
      <c r="C41" s="2">
        <f>VLOOKUP(D1_JULIO_2025[[#This Row],[SUPER]],DATA_JULIO_2025[[SUPERVISOR]:[META]],3,0)</f>
        <v>54000</v>
      </c>
      <c r="D41" s="2">
        <f>D1_JULIO_2025[[#This Row],[RECUPERO]]/C41</f>
        <v>0.22816666666666666</v>
      </c>
      <c r="E41" t="s">
        <v>5</v>
      </c>
      <c r="F41" t="s">
        <v>79</v>
      </c>
      <c r="G41">
        <v>12321</v>
      </c>
      <c r="H41" t="s">
        <v>453</v>
      </c>
      <c r="I41" s="56">
        <v>44566</v>
      </c>
      <c r="J41" t="s">
        <v>501</v>
      </c>
      <c r="L41" s="56"/>
      <c r="M41" s="1">
        <f>DATA_JULIO_2025[[#This Row],[RECUPERO]]/DATA_JULIO_2025[[#This Row],[META]]</f>
        <v>0.41438888888888886</v>
      </c>
      <c r="N41" t="str" cm="1">
        <f t="array" ref="N4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1" t="s">
        <v>5</v>
      </c>
      <c r="P41">
        <f>SUM(DATA_JULIO_2025[[#This Row],[1]:[31]])</f>
        <v>22377</v>
      </c>
      <c r="Q41">
        <v>54000</v>
      </c>
      <c r="R41" t="s">
        <v>71</v>
      </c>
      <c r="T41">
        <v>1010</v>
      </c>
      <c r="Z41">
        <v>2629</v>
      </c>
      <c r="AC41">
        <v>3250</v>
      </c>
      <c r="AF41">
        <v>9000</v>
      </c>
      <c r="AG41">
        <v>1600</v>
      </c>
      <c r="AI41">
        <v>1130</v>
      </c>
      <c r="AJ41">
        <v>2000</v>
      </c>
      <c r="AM41">
        <v>200</v>
      </c>
      <c r="AV41">
        <v>1558</v>
      </c>
      <c r="AX41" t="s">
        <v>150</v>
      </c>
    </row>
    <row r="42" spans="1:50" x14ac:dyDescent="0.25">
      <c r="A42" s="2" t="str">
        <f>D1_JULIO_2025[[#This Row],[SUPER2]]</f>
        <v>KENNETH</v>
      </c>
      <c r="B42" s="2" t="s">
        <v>31</v>
      </c>
      <c r="C42" s="2">
        <f>VLOOKUP(D1_JULIO_2025[[#This Row],[SUPER]],DATA_JULIO_2025[[SUPERVISOR]:[META]],3,0)</f>
        <v>26000</v>
      </c>
      <c r="D42" s="2">
        <f>D1_JULIO_2025[[#This Row],[RECUPERO]]/C42</f>
        <v>2.4996923076923077</v>
      </c>
      <c r="E42" t="s">
        <v>6</v>
      </c>
      <c r="F42" t="s">
        <v>31</v>
      </c>
      <c r="G42">
        <v>64992</v>
      </c>
      <c r="H42" t="s">
        <v>403</v>
      </c>
      <c r="I42" s="56">
        <v>45334</v>
      </c>
      <c r="J42" t="s">
        <v>501</v>
      </c>
      <c r="L42" s="56"/>
      <c r="M42" s="1">
        <f>DATA_JULIO_2025[[#This Row],[RECUPERO]]/DATA_JULIO_2025[[#This Row],[META]]</f>
        <v>0.57270967741935486</v>
      </c>
      <c r="N42" t="str" cm="1">
        <f t="array" ref="N4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2" t="s">
        <v>8</v>
      </c>
      <c r="P42">
        <f>SUM(DATA_JULIO_2025[[#This Row],[1]:[31]])</f>
        <v>8877</v>
      </c>
      <c r="Q42">
        <v>15500</v>
      </c>
      <c r="R42" t="s">
        <v>42</v>
      </c>
      <c r="S42">
        <v>400</v>
      </c>
      <c r="U42">
        <v>2000</v>
      </c>
      <c r="Z42">
        <v>250</v>
      </c>
      <c r="AA42">
        <v>2800</v>
      </c>
      <c r="AG42">
        <v>400</v>
      </c>
      <c r="AH42">
        <v>400</v>
      </c>
      <c r="AP42">
        <v>500</v>
      </c>
      <c r="AV42">
        <v>1500</v>
      </c>
      <c r="AW42">
        <v>627</v>
      </c>
      <c r="AX42" t="s">
        <v>153</v>
      </c>
    </row>
    <row r="43" spans="1:50" x14ac:dyDescent="0.25">
      <c r="A43" s="2" t="str">
        <f>D1_JULIO_2025[[#This Row],[SUPER2]]</f>
        <v>KENNETH</v>
      </c>
      <c r="B43" s="2" t="s">
        <v>78</v>
      </c>
      <c r="C43" s="2">
        <f>VLOOKUP(D1_JULIO_2025[[#This Row],[SUPER]],DATA_JULIO_2025[[SUPERVISOR]:[META]],3,0)</f>
        <v>26000</v>
      </c>
      <c r="D43" s="2">
        <f>D1_JULIO_2025[[#This Row],[RECUPERO]]/C43</f>
        <v>2.1562692307692308</v>
      </c>
      <c r="E43" t="s">
        <v>6</v>
      </c>
      <c r="F43" t="s">
        <v>78</v>
      </c>
      <c r="G43">
        <v>56063</v>
      </c>
      <c r="H43" t="s">
        <v>397</v>
      </c>
      <c r="I43" s="56">
        <v>44945</v>
      </c>
      <c r="J43" t="s">
        <v>501</v>
      </c>
      <c r="L43" s="56"/>
      <c r="M43" s="1">
        <f>DATA_JULIO_2025[[#This Row],[RECUPERO]]/DATA_JULIO_2025[[#This Row],[META]]</f>
        <v>0.5776129032258065</v>
      </c>
      <c r="N43" t="str" cm="1">
        <f t="array" ref="N4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3" t="s">
        <v>8</v>
      </c>
      <c r="P43">
        <f>SUM(DATA_JULIO_2025[[#This Row],[1]:[31]])</f>
        <v>8953</v>
      </c>
      <c r="Q43">
        <v>15500</v>
      </c>
      <c r="R43" t="s">
        <v>83</v>
      </c>
      <c r="S43">
        <v>100</v>
      </c>
      <c r="T43">
        <v>500</v>
      </c>
      <c r="W43">
        <v>186</v>
      </c>
      <c r="AG43">
        <v>200</v>
      </c>
      <c r="AH43">
        <v>1335</v>
      </c>
      <c r="AJ43">
        <v>1739</v>
      </c>
      <c r="AM43">
        <v>250</v>
      </c>
      <c r="AN43">
        <v>1500</v>
      </c>
      <c r="AO43">
        <v>200</v>
      </c>
      <c r="AQ43">
        <v>150</v>
      </c>
      <c r="AU43">
        <v>400</v>
      </c>
      <c r="AV43">
        <v>700</v>
      </c>
      <c r="AW43">
        <v>1693</v>
      </c>
      <c r="AX43" t="s">
        <v>153</v>
      </c>
    </row>
    <row r="44" spans="1:50" x14ac:dyDescent="0.25">
      <c r="A44" s="2" t="str">
        <f>D1_JULIO_2025[[#This Row],[SUPER2]]</f>
        <v>KENNETH</v>
      </c>
      <c r="B44" s="2" t="s">
        <v>35</v>
      </c>
      <c r="C44" s="2">
        <f>VLOOKUP(D1_JULIO_2025[[#This Row],[SUPER]],DATA_JULIO_2025[[SUPERVISOR]:[META]],3,0)</f>
        <v>26000</v>
      </c>
      <c r="D44" s="2">
        <f>D1_JULIO_2025[[#This Row],[RECUPERO]]/C44</f>
        <v>1.3675730769230769</v>
      </c>
      <c r="E44" t="s">
        <v>6</v>
      </c>
      <c r="F44" t="s">
        <v>35</v>
      </c>
      <c r="G44">
        <v>35556.9</v>
      </c>
      <c r="H44" t="s">
        <v>401</v>
      </c>
      <c r="I44" s="56">
        <v>44748</v>
      </c>
      <c r="J44" t="s">
        <v>501</v>
      </c>
      <c r="L44" s="56"/>
      <c r="M44" s="1">
        <f>DATA_JULIO_2025[[#This Row],[RECUPERO]]/DATA_JULIO_2025[[#This Row],[META]]</f>
        <v>0.50055384615384613</v>
      </c>
      <c r="N44" t="str" cm="1">
        <f t="array" ref="N4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4" t="s">
        <v>4</v>
      </c>
      <c r="P44">
        <f>SUM(DATA_JULIO_2025[[#This Row],[1]:[31]])</f>
        <v>32536</v>
      </c>
      <c r="Q44">
        <v>65000</v>
      </c>
      <c r="R44" t="s">
        <v>57</v>
      </c>
      <c r="S44">
        <v>213</v>
      </c>
      <c r="T44">
        <v>216</v>
      </c>
      <c r="AM44">
        <v>7600</v>
      </c>
      <c r="AN44">
        <v>10000</v>
      </c>
      <c r="AQ44">
        <v>600</v>
      </c>
      <c r="AV44">
        <v>943</v>
      </c>
      <c r="AW44">
        <v>12964</v>
      </c>
      <c r="AX44" t="s">
        <v>155</v>
      </c>
    </row>
    <row r="45" spans="1:50" x14ac:dyDescent="0.25">
      <c r="A45" s="2" t="str">
        <f>D1_JULIO_2025[[#This Row],[SUPER2]]</f>
        <v>KENNETH</v>
      </c>
      <c r="B45" s="2" t="s">
        <v>33</v>
      </c>
      <c r="C45" s="2">
        <f>VLOOKUP(D1_JULIO_2025[[#This Row],[SUPER]],DATA_JULIO_2025[[SUPERVISOR]:[META]],3,0)</f>
        <v>26000</v>
      </c>
      <c r="D45" s="2">
        <f>D1_JULIO_2025[[#This Row],[RECUPERO]]/C45</f>
        <v>1.2695000000000001</v>
      </c>
      <c r="E45" t="s">
        <v>6</v>
      </c>
      <c r="F45" t="s">
        <v>33</v>
      </c>
      <c r="G45">
        <v>33007</v>
      </c>
      <c r="H45" t="s">
        <v>439</v>
      </c>
      <c r="I45" s="56">
        <v>44869</v>
      </c>
      <c r="J45" t="s">
        <v>501</v>
      </c>
      <c r="L45" s="56"/>
      <c r="M45" s="1">
        <f>DATA_JULIO_2025[[#This Row],[RECUPERO]]/DATA_JULIO_2025[[#This Row],[META]]</f>
        <v>0.80838709677419351</v>
      </c>
      <c r="N45" t="str" cm="1">
        <f t="array" ref="N4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45" t="s">
        <v>9</v>
      </c>
      <c r="P45">
        <f>SUM(DATA_JULIO_2025[[#This Row],[1]:[31]])</f>
        <v>12530</v>
      </c>
      <c r="Q45">
        <v>15500</v>
      </c>
      <c r="R45" t="s">
        <v>49</v>
      </c>
      <c r="S45">
        <v>250</v>
      </c>
      <c r="T45">
        <v>400</v>
      </c>
      <c r="U45">
        <v>700</v>
      </c>
      <c r="V45">
        <v>50</v>
      </c>
      <c r="Y45">
        <v>700</v>
      </c>
      <c r="Z45">
        <v>1500</v>
      </c>
      <c r="AA45">
        <v>180</v>
      </c>
      <c r="AC45">
        <v>200</v>
      </c>
      <c r="AF45">
        <v>350</v>
      </c>
      <c r="AG45">
        <v>1400</v>
      </c>
      <c r="AH45">
        <v>200</v>
      </c>
      <c r="AI45">
        <v>200</v>
      </c>
      <c r="AJ45">
        <v>2000</v>
      </c>
      <c r="AK45">
        <v>1000</v>
      </c>
      <c r="AN45">
        <v>200</v>
      </c>
      <c r="AQ45">
        <v>3000</v>
      </c>
      <c r="AV45">
        <v>200</v>
      </c>
      <c r="AX45" t="s">
        <v>153</v>
      </c>
    </row>
    <row r="46" spans="1:50" x14ac:dyDescent="0.25">
      <c r="A46" s="2" t="str">
        <f>D1_JULIO_2025[[#This Row],[SUPER2]]</f>
        <v>KENNETH</v>
      </c>
      <c r="B46" s="2" t="s">
        <v>36</v>
      </c>
      <c r="C46" s="2">
        <f>VLOOKUP(D1_JULIO_2025[[#This Row],[SUPER]],DATA_JULIO_2025[[SUPERVISOR]:[META]],3,0)</f>
        <v>26000</v>
      </c>
      <c r="D46" s="2">
        <f>D1_JULIO_2025[[#This Row],[RECUPERO]]/C46</f>
        <v>1.0028846153846154</v>
      </c>
      <c r="E46" t="s">
        <v>6</v>
      </c>
      <c r="F46" t="s">
        <v>36</v>
      </c>
      <c r="G46">
        <v>26075</v>
      </c>
      <c r="H46" t="s">
        <v>406</v>
      </c>
      <c r="I46" s="56">
        <v>44941</v>
      </c>
      <c r="J46" t="s">
        <v>501</v>
      </c>
      <c r="L46" s="56"/>
      <c r="M46" s="1">
        <f>DATA_JULIO_2025[[#This Row],[RECUPERO]]/DATA_JULIO_2025[[#This Row],[META]]</f>
        <v>0.54392307692307695</v>
      </c>
      <c r="N46" t="str" cm="1">
        <f t="array" ref="N4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6" t="s">
        <v>3</v>
      </c>
      <c r="P46">
        <f>SUM(DATA_JULIO_2025[[#This Row],[1]:[31]])</f>
        <v>35355</v>
      </c>
      <c r="Q46">
        <v>65000</v>
      </c>
      <c r="R46" t="s">
        <v>26</v>
      </c>
      <c r="V46">
        <v>450</v>
      </c>
      <c r="AA46">
        <v>200</v>
      </c>
      <c r="AB46">
        <v>4000</v>
      </c>
      <c r="AF46">
        <v>5700</v>
      </c>
      <c r="AG46">
        <v>4291</v>
      </c>
      <c r="AJ46">
        <v>2000</v>
      </c>
      <c r="AM46">
        <v>700</v>
      </c>
      <c r="AN46">
        <v>1500</v>
      </c>
      <c r="AP46">
        <v>4700</v>
      </c>
      <c r="AQ46">
        <v>1000</v>
      </c>
      <c r="AU46">
        <v>300</v>
      </c>
      <c r="AV46">
        <v>8014</v>
      </c>
      <c r="AW46">
        <v>2500</v>
      </c>
      <c r="AX46" t="s">
        <v>155</v>
      </c>
    </row>
    <row r="47" spans="1:50" x14ac:dyDescent="0.25">
      <c r="A47" s="2" t="str">
        <f>D1_JULIO_2025[[#This Row],[SUPER2]]</f>
        <v>KENNETH</v>
      </c>
      <c r="B47" s="2" t="s">
        <v>34</v>
      </c>
      <c r="C47" s="2">
        <f>VLOOKUP(D1_JULIO_2025[[#This Row],[SUPER]],DATA_JULIO_2025[[SUPERVISOR]:[META]],3,0)</f>
        <v>26000</v>
      </c>
      <c r="D47" s="2">
        <f>D1_JULIO_2025[[#This Row],[RECUPERO]]/C47</f>
        <v>0.85</v>
      </c>
      <c r="E47" t="s">
        <v>6</v>
      </c>
      <c r="F47" t="s">
        <v>34</v>
      </c>
      <c r="G47">
        <v>22100</v>
      </c>
      <c r="H47" t="s">
        <v>407</v>
      </c>
      <c r="I47" s="56">
        <v>45175</v>
      </c>
      <c r="J47" t="s">
        <v>501</v>
      </c>
      <c r="L47" s="56"/>
      <c r="M47" s="1">
        <f>DATA_JULIO_2025[[#This Row],[RECUPERO]]/DATA_JULIO_2025[[#This Row],[META]]</f>
        <v>0.48635384615384614</v>
      </c>
      <c r="N47" t="str" cm="1">
        <f t="array" ref="N4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7" t="s">
        <v>4</v>
      </c>
      <c r="P47">
        <f>SUM(DATA_JULIO_2025[[#This Row],[1]:[31]])</f>
        <v>31613</v>
      </c>
      <c r="Q47">
        <v>65000</v>
      </c>
      <c r="R47" t="s">
        <v>65</v>
      </c>
      <c r="T47">
        <v>1405</v>
      </c>
      <c r="U47">
        <v>1000</v>
      </c>
      <c r="Y47">
        <v>646</v>
      </c>
      <c r="AA47">
        <v>650</v>
      </c>
      <c r="AC47">
        <v>600</v>
      </c>
      <c r="AD47">
        <v>1950</v>
      </c>
      <c r="AF47">
        <v>1500</v>
      </c>
      <c r="AG47">
        <v>3500</v>
      </c>
      <c r="AH47">
        <v>500</v>
      </c>
      <c r="AI47">
        <v>836</v>
      </c>
      <c r="AJ47">
        <v>2300</v>
      </c>
      <c r="AM47">
        <v>7000</v>
      </c>
      <c r="AQ47">
        <v>816</v>
      </c>
      <c r="AS47">
        <v>1992</v>
      </c>
      <c r="AW47">
        <v>6918</v>
      </c>
      <c r="AX47" t="s">
        <v>155</v>
      </c>
    </row>
    <row r="48" spans="1:50" x14ac:dyDescent="0.25">
      <c r="A48" s="2" t="str">
        <f>D1_JULIO_2025[[#This Row],[SUPER2]]</f>
        <v>KENNETH</v>
      </c>
      <c r="B48" s="2" t="s">
        <v>37</v>
      </c>
      <c r="C48" s="2">
        <f>VLOOKUP(D1_JULIO_2025[[#This Row],[SUPER]],DATA_JULIO_2025[[SUPERVISOR]:[META]],3,0)</f>
        <v>26000</v>
      </c>
      <c r="D48" s="2">
        <f>D1_JULIO_2025[[#This Row],[RECUPERO]]/C48</f>
        <v>0.69415384615384612</v>
      </c>
      <c r="E48" t="s">
        <v>6</v>
      </c>
      <c r="F48" t="s">
        <v>37</v>
      </c>
      <c r="G48">
        <v>18048</v>
      </c>
      <c r="H48" t="s">
        <v>400</v>
      </c>
      <c r="I48" s="56">
        <v>43132</v>
      </c>
      <c r="J48" t="s">
        <v>501</v>
      </c>
      <c r="L48" s="56"/>
      <c r="M48" s="1">
        <f>DATA_JULIO_2025[[#This Row],[RECUPERO]]/DATA_JULIO_2025[[#This Row],[META]]</f>
        <v>0.23</v>
      </c>
      <c r="N48" t="str" cm="1">
        <f t="array" ref="N4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48" t="s">
        <v>7</v>
      </c>
      <c r="P48">
        <f>SUM(DATA_JULIO_2025[[#This Row],[1]:[31]])</f>
        <v>3565</v>
      </c>
      <c r="Q48">
        <v>15500</v>
      </c>
      <c r="R48" t="s">
        <v>20</v>
      </c>
      <c r="Y48">
        <v>500</v>
      </c>
      <c r="AG48">
        <v>2565</v>
      </c>
      <c r="AQ48">
        <v>500</v>
      </c>
      <c r="AX48" t="s">
        <v>152</v>
      </c>
    </row>
    <row r="49" spans="1:50" x14ac:dyDescent="0.25">
      <c r="A49" s="2" t="str">
        <f>D1_JULIO_2025[[#This Row],[SUPER2]]</f>
        <v>KENNETH</v>
      </c>
      <c r="B49" s="2" t="s">
        <v>38</v>
      </c>
      <c r="C49" s="2">
        <f>VLOOKUP(D1_JULIO_2025[[#This Row],[SUPER]],DATA_JULIO_2025[[SUPERVISOR]:[META]],3,0)</f>
        <v>26000</v>
      </c>
      <c r="D49" s="2">
        <f>D1_JULIO_2025[[#This Row],[RECUPERO]]/C49</f>
        <v>0.69242307692307692</v>
      </c>
      <c r="E49" t="s">
        <v>6</v>
      </c>
      <c r="F49" t="s">
        <v>38</v>
      </c>
      <c r="G49">
        <v>18003</v>
      </c>
      <c r="H49" t="s">
        <v>469</v>
      </c>
      <c r="I49" s="56">
        <v>45805</v>
      </c>
      <c r="J49" t="s">
        <v>501</v>
      </c>
      <c r="L49" s="56"/>
      <c r="M49" s="1">
        <f>DATA_JULIO_2025[[#This Row],[RECUPERO]]/DATA_JULIO_2025[[#This Row],[META]]</f>
        <v>0.69415384615384612</v>
      </c>
      <c r="N49" t="str" cm="1">
        <f t="array" ref="N4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49" t="s">
        <v>6</v>
      </c>
      <c r="P49">
        <f>SUM(DATA_JULIO_2025[[#This Row],[1]:[31]])</f>
        <v>18048</v>
      </c>
      <c r="Q49">
        <v>26000</v>
      </c>
      <c r="R49" t="s">
        <v>37</v>
      </c>
      <c r="U49">
        <v>7000</v>
      </c>
      <c r="Y49">
        <v>827</v>
      </c>
      <c r="Z49">
        <v>50</v>
      </c>
      <c r="AA49">
        <v>50</v>
      </c>
      <c r="AC49">
        <v>2900</v>
      </c>
      <c r="AG49">
        <v>2300</v>
      </c>
      <c r="AH49">
        <v>375.5</v>
      </c>
      <c r="AI49">
        <v>3000</v>
      </c>
      <c r="AM49">
        <v>170</v>
      </c>
      <c r="AQ49">
        <v>500</v>
      </c>
      <c r="AS49">
        <v>500</v>
      </c>
      <c r="AW49">
        <v>375.5</v>
      </c>
      <c r="AX49" t="s">
        <v>156</v>
      </c>
    </row>
    <row r="50" spans="1:50" x14ac:dyDescent="0.25">
      <c r="A50" s="2" t="str">
        <f>D1_JULIO_2025[[#This Row],[SUPER2]]</f>
        <v>KENNETH</v>
      </c>
      <c r="B50" s="2" t="s">
        <v>40</v>
      </c>
      <c r="C50" s="2">
        <f>VLOOKUP(D1_JULIO_2025[[#This Row],[SUPER]],DATA_JULIO_2025[[SUPERVISOR]:[META]],3,0)</f>
        <v>26000</v>
      </c>
      <c r="D50" s="2">
        <f>D1_JULIO_2025[[#This Row],[RECUPERO]]/C50</f>
        <v>0.59030769230769231</v>
      </c>
      <c r="E50" t="s">
        <v>6</v>
      </c>
      <c r="F50" t="s">
        <v>40</v>
      </c>
      <c r="G50">
        <v>15348</v>
      </c>
      <c r="H50" t="s">
        <v>424</v>
      </c>
      <c r="I50" s="56">
        <v>45429</v>
      </c>
      <c r="J50" t="s">
        <v>501</v>
      </c>
      <c r="L50" s="56"/>
      <c r="M50" s="1">
        <f>DATA_JULIO_2025[[#This Row],[RECUPERO]]/DATA_JULIO_2025[[#This Row],[META]]</f>
        <v>0.30193548387096775</v>
      </c>
      <c r="N50" t="str" cm="1">
        <f t="array" ref="N5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50" t="s">
        <v>7</v>
      </c>
      <c r="P50">
        <f>SUM(DATA_JULIO_2025[[#This Row],[1]:[31]])</f>
        <v>4680</v>
      </c>
      <c r="Q50">
        <v>15500</v>
      </c>
      <c r="R50" t="s">
        <v>106</v>
      </c>
      <c r="Y50">
        <v>500</v>
      </c>
      <c r="Z50">
        <v>300</v>
      </c>
      <c r="AG50">
        <v>1700</v>
      </c>
      <c r="AN50">
        <v>1700</v>
      </c>
      <c r="AW50">
        <v>480</v>
      </c>
      <c r="AX50" t="s">
        <v>152</v>
      </c>
    </row>
    <row r="51" spans="1:50" x14ac:dyDescent="0.25">
      <c r="A51" s="2" t="str">
        <f>D1_JULIO_2025[[#This Row],[SUPER2]]</f>
        <v>KENNETH</v>
      </c>
      <c r="B51" s="2" t="s">
        <v>32</v>
      </c>
      <c r="C51" s="2">
        <f>VLOOKUP(D1_JULIO_2025[[#This Row],[SUPER]],DATA_JULIO_2025[[SUPERVISOR]:[META]],3,0)</f>
        <v>26000</v>
      </c>
      <c r="D51" s="2">
        <f>D1_JULIO_2025[[#This Row],[RECUPERO]]/C51</f>
        <v>0.42935769230769227</v>
      </c>
      <c r="E51" t="s">
        <v>6</v>
      </c>
      <c r="F51" t="s">
        <v>32</v>
      </c>
      <c r="G51">
        <v>11163.3</v>
      </c>
      <c r="H51" t="s">
        <v>390</v>
      </c>
      <c r="I51" s="56">
        <v>45530</v>
      </c>
      <c r="J51" t="s">
        <v>501</v>
      </c>
      <c r="L51" s="56"/>
      <c r="M51" s="1">
        <f>DATA_JULIO_2025[[#This Row],[RECUPERO]]/DATA_JULIO_2025[[#This Row],[META]]</f>
        <v>1.0068387096774194</v>
      </c>
      <c r="N51" t="str" cm="1">
        <f t="array" ref="N5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51" t="s">
        <v>9</v>
      </c>
      <c r="P51">
        <f>SUM(DATA_JULIO_2025[[#This Row],[1]:[31]])</f>
        <v>15606</v>
      </c>
      <c r="Q51">
        <v>15500</v>
      </c>
      <c r="R51" t="s">
        <v>77</v>
      </c>
      <c r="T51">
        <v>189</v>
      </c>
      <c r="U51">
        <v>200</v>
      </c>
      <c r="V51">
        <v>300</v>
      </c>
      <c r="Y51">
        <v>200</v>
      </c>
      <c r="Z51">
        <v>500</v>
      </c>
      <c r="AB51">
        <v>230</v>
      </c>
      <c r="AC51">
        <v>4800</v>
      </c>
      <c r="AF51">
        <v>500</v>
      </c>
      <c r="AG51">
        <v>565</v>
      </c>
      <c r="AI51">
        <v>152</v>
      </c>
      <c r="AP51">
        <v>4000</v>
      </c>
      <c r="AQ51">
        <v>600</v>
      </c>
      <c r="AV51">
        <v>2150</v>
      </c>
      <c r="AW51">
        <v>1220</v>
      </c>
      <c r="AX51" t="s">
        <v>153</v>
      </c>
    </row>
    <row r="52" spans="1:50" x14ac:dyDescent="0.25">
      <c r="A52" s="2" t="str">
        <f>D1_JULIO_2025[[#This Row],[SUPER2]]</f>
        <v>KENNETH</v>
      </c>
      <c r="B52" s="2" t="s">
        <v>39</v>
      </c>
      <c r="C52" s="2">
        <f>VLOOKUP(D1_JULIO_2025[[#This Row],[SUPER]],DATA_JULIO_2025[[SUPERVISOR]:[META]],3,0)</f>
        <v>26000</v>
      </c>
      <c r="D52" s="2">
        <f>D1_JULIO_2025[[#This Row],[RECUPERO]]/C52</f>
        <v>0.43580769230769228</v>
      </c>
      <c r="E52" t="s">
        <v>6</v>
      </c>
      <c r="F52" t="s">
        <v>39</v>
      </c>
      <c r="G52">
        <v>11331</v>
      </c>
      <c r="H52" t="s">
        <v>452</v>
      </c>
      <c r="I52" s="56">
        <v>44951</v>
      </c>
      <c r="J52" t="s">
        <v>501</v>
      </c>
      <c r="L52" s="56"/>
      <c r="M52" s="1">
        <f>DATA_JULIO_2025[[#This Row],[RECUPERO]]/DATA_JULIO_2025[[#This Row],[META]]</f>
        <v>1.3675730769230769</v>
      </c>
      <c r="N52" t="str" cm="1">
        <f t="array" ref="N5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52" t="s">
        <v>6</v>
      </c>
      <c r="P52">
        <f>SUM(DATA_JULIO_2025[[#This Row],[1]:[31]])</f>
        <v>35556.9</v>
      </c>
      <c r="Q52">
        <v>26000</v>
      </c>
      <c r="R52" t="s">
        <v>35</v>
      </c>
      <c r="S52">
        <v>2500</v>
      </c>
      <c r="T52">
        <v>800</v>
      </c>
      <c r="U52">
        <v>500</v>
      </c>
      <c r="V52">
        <v>1500</v>
      </c>
      <c r="Y52">
        <v>1280</v>
      </c>
      <c r="Z52">
        <v>500</v>
      </c>
      <c r="AB52">
        <v>300</v>
      </c>
      <c r="AC52">
        <v>19000</v>
      </c>
      <c r="AG52">
        <v>100</v>
      </c>
      <c r="AI52">
        <v>925</v>
      </c>
      <c r="AJ52">
        <v>4000</v>
      </c>
      <c r="AM52">
        <v>1107</v>
      </c>
      <c r="AN52">
        <v>800</v>
      </c>
      <c r="AP52">
        <v>661</v>
      </c>
      <c r="AQ52">
        <v>1413.9</v>
      </c>
      <c r="AW52">
        <v>170</v>
      </c>
      <c r="AX52" t="s">
        <v>156</v>
      </c>
    </row>
    <row r="53" spans="1:50" x14ac:dyDescent="0.25">
      <c r="A53" s="2" t="str">
        <f>D1_JULIO_2025[[#This Row],[SUPER2]]</f>
        <v>LEONOR</v>
      </c>
      <c r="B53" s="2" t="s">
        <v>18</v>
      </c>
      <c r="C53" s="2">
        <f>VLOOKUP(D1_JULIO_2025[[#This Row],[SUPER]],DATA_JULIO_2025[[SUPERVISOR]:[META]],3,0)</f>
        <v>15500</v>
      </c>
      <c r="D53" s="2">
        <f>D1_JULIO_2025[[#This Row],[RECUPERO]]/C53</f>
        <v>2.116967741935484</v>
      </c>
      <c r="E53" t="s">
        <v>7</v>
      </c>
      <c r="F53" t="s">
        <v>18</v>
      </c>
      <c r="G53">
        <v>32813</v>
      </c>
      <c r="H53" t="s">
        <v>431</v>
      </c>
      <c r="I53" s="56">
        <v>45133</v>
      </c>
      <c r="J53" t="s">
        <v>501</v>
      </c>
      <c r="L53" s="56"/>
      <c r="M53" s="1">
        <f>DATA_JULIO_2025[[#This Row],[RECUPERO]]/DATA_JULIO_2025[[#This Row],[META]]</f>
        <v>0.15387096774193548</v>
      </c>
      <c r="N53" t="str" cm="1">
        <f t="array" ref="N5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53" t="s">
        <v>8</v>
      </c>
      <c r="P53">
        <f>SUM(DATA_JULIO_2025[[#This Row],[1]:[31]])</f>
        <v>2385</v>
      </c>
      <c r="Q53">
        <v>15500</v>
      </c>
      <c r="R53" t="s">
        <v>45</v>
      </c>
      <c r="V53">
        <v>590</v>
      </c>
      <c r="AA53">
        <v>100</v>
      </c>
      <c r="AC53">
        <v>300</v>
      </c>
      <c r="AF53">
        <v>350</v>
      </c>
      <c r="AG53">
        <v>280</v>
      </c>
      <c r="AH53">
        <v>165</v>
      </c>
      <c r="AI53">
        <v>400</v>
      </c>
      <c r="AP53">
        <v>200</v>
      </c>
      <c r="AX53" t="s">
        <v>153</v>
      </c>
    </row>
    <row r="54" spans="1:50" x14ac:dyDescent="0.25">
      <c r="A54" s="2" t="str">
        <f>D1_JULIO_2025[[#This Row],[SUPER2]]</f>
        <v>LEONOR</v>
      </c>
      <c r="B54" s="2" t="s">
        <v>105</v>
      </c>
      <c r="C54" s="2">
        <f>VLOOKUP(D1_JULIO_2025[[#This Row],[SUPER]],DATA_JULIO_2025[[SUPERVISOR]:[META]],3,0)</f>
        <v>15500</v>
      </c>
      <c r="D54" s="2">
        <f>D1_JULIO_2025[[#This Row],[RECUPERO]]/C54</f>
        <v>1.7149032258064516</v>
      </c>
      <c r="E54" t="s">
        <v>7</v>
      </c>
      <c r="F54" t="s">
        <v>105</v>
      </c>
      <c r="G54">
        <v>26581</v>
      </c>
      <c r="H54" t="s">
        <v>463</v>
      </c>
      <c r="I54" s="56">
        <v>45748</v>
      </c>
      <c r="J54" t="s">
        <v>501</v>
      </c>
      <c r="L54" s="56"/>
      <c r="M54" s="1">
        <f>DATA_JULIO_2025[[#This Row],[RECUPERO]]/DATA_JULIO_2025[[#This Row],[META]]</f>
        <v>0.25387096774193546</v>
      </c>
      <c r="N54" t="str" cm="1">
        <f t="array" ref="N5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54" t="s">
        <v>8</v>
      </c>
      <c r="P54">
        <f>SUM(DATA_JULIO_2025[[#This Row],[1]:[31]])</f>
        <v>3935</v>
      </c>
      <c r="Q54">
        <v>15500</v>
      </c>
      <c r="R54" t="s">
        <v>46</v>
      </c>
      <c r="S54">
        <v>200</v>
      </c>
      <c r="V54">
        <v>410</v>
      </c>
      <c r="AG54">
        <v>645</v>
      </c>
      <c r="AH54">
        <v>150</v>
      </c>
      <c r="AQ54">
        <v>630</v>
      </c>
      <c r="AV54">
        <v>1200</v>
      </c>
      <c r="AW54">
        <v>700</v>
      </c>
      <c r="AX54" t="s">
        <v>153</v>
      </c>
    </row>
    <row r="55" spans="1:50" x14ac:dyDescent="0.25">
      <c r="A55" s="2" t="str">
        <f>D1_JULIO_2025[[#This Row],[SUPER2]]</f>
        <v>LEONOR</v>
      </c>
      <c r="B55" s="2" t="s">
        <v>21</v>
      </c>
      <c r="C55" s="2">
        <f>VLOOKUP(D1_JULIO_2025[[#This Row],[SUPER]],DATA_JULIO_2025[[SUPERVISOR]:[META]],3,0)</f>
        <v>15500</v>
      </c>
      <c r="D55" s="2">
        <f>D1_JULIO_2025[[#This Row],[RECUPERO]]/C55</f>
        <v>1.0683870967741935</v>
      </c>
      <c r="E55" t="s">
        <v>7</v>
      </c>
      <c r="F55" t="s">
        <v>21</v>
      </c>
      <c r="G55">
        <v>16560</v>
      </c>
      <c r="H55" t="s">
        <v>409</v>
      </c>
      <c r="I55" s="56">
        <v>44301</v>
      </c>
      <c r="J55" t="s">
        <v>501</v>
      </c>
      <c r="L55" s="56"/>
      <c r="M55" s="1">
        <f>DATA_JULIO_2025[[#This Row],[RECUPERO]]/DATA_JULIO_2025[[#This Row],[META]]</f>
        <v>0.76419354838709674</v>
      </c>
      <c r="N55" t="str" cm="1">
        <f t="array" ref="N5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55" t="s">
        <v>9</v>
      </c>
      <c r="P55">
        <f>SUM(DATA_JULIO_2025[[#This Row],[1]:[31]])</f>
        <v>11845</v>
      </c>
      <c r="Q55">
        <v>15500</v>
      </c>
      <c r="R55" t="s">
        <v>50</v>
      </c>
      <c r="S55">
        <v>200</v>
      </c>
      <c r="V55">
        <v>1000</v>
      </c>
      <c r="AA55">
        <v>990</v>
      </c>
      <c r="AB55">
        <v>100</v>
      </c>
      <c r="AC55">
        <v>300</v>
      </c>
      <c r="AH55">
        <v>4300</v>
      </c>
      <c r="AJ55">
        <v>900</v>
      </c>
      <c r="AM55">
        <v>530</v>
      </c>
      <c r="AN55">
        <v>805</v>
      </c>
      <c r="AO55">
        <v>300</v>
      </c>
      <c r="AQ55">
        <v>300</v>
      </c>
      <c r="AW55">
        <v>2120</v>
      </c>
      <c r="AX55" t="s">
        <v>153</v>
      </c>
    </row>
    <row r="56" spans="1:50" x14ac:dyDescent="0.25">
      <c r="A56" s="2" t="str">
        <f>D1_JULIO_2025[[#This Row],[SUPER2]]</f>
        <v>LEONOR</v>
      </c>
      <c r="B56" s="2" t="s">
        <v>103</v>
      </c>
      <c r="C56" s="2">
        <f>VLOOKUP(D1_JULIO_2025[[#This Row],[SUPER]],DATA_JULIO_2025[[SUPERVISOR]:[META]],3,0)</f>
        <v>15500</v>
      </c>
      <c r="D56" s="2">
        <f>D1_JULIO_2025[[#This Row],[RECUPERO]]/C56</f>
        <v>0.80909677419354842</v>
      </c>
      <c r="E56" t="s">
        <v>7</v>
      </c>
      <c r="F56" t="s">
        <v>103</v>
      </c>
      <c r="G56">
        <v>12541</v>
      </c>
      <c r="H56" t="s">
        <v>419</v>
      </c>
      <c r="I56" s="56">
        <v>45451</v>
      </c>
      <c r="J56" t="s">
        <v>501</v>
      </c>
      <c r="L56" s="56"/>
      <c r="M56" s="1">
        <f>DATA_JULIO_2025[[#This Row],[RECUPERO]]/DATA_JULIO_2025[[#This Row],[META]]</f>
        <v>1.2695000000000001</v>
      </c>
      <c r="N56" t="str" cm="1">
        <f t="array" ref="N5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56" t="s">
        <v>6</v>
      </c>
      <c r="P56">
        <f>SUM(DATA_JULIO_2025[[#This Row],[1]:[31]])</f>
        <v>33007</v>
      </c>
      <c r="Q56">
        <v>26000</v>
      </c>
      <c r="R56" t="s">
        <v>33</v>
      </c>
      <c r="T56">
        <v>1500</v>
      </c>
      <c r="Y56">
        <v>410</v>
      </c>
      <c r="AA56">
        <v>316</v>
      </c>
      <c r="AC56">
        <v>5450</v>
      </c>
      <c r="AF56">
        <v>3000</v>
      </c>
      <c r="AJ56">
        <v>8500</v>
      </c>
      <c r="AM56">
        <v>5000</v>
      </c>
      <c r="AP56">
        <v>760</v>
      </c>
      <c r="AQ56">
        <v>6000</v>
      </c>
      <c r="AU56">
        <v>850</v>
      </c>
      <c r="AW56">
        <v>1221</v>
      </c>
      <c r="AX56" t="s">
        <v>156</v>
      </c>
    </row>
    <row r="57" spans="1:50" x14ac:dyDescent="0.25">
      <c r="A57" s="2" t="str">
        <f>D1_JULIO_2025[[#This Row],[SUPER2]]</f>
        <v>LEONOR</v>
      </c>
      <c r="B57" s="2" t="s">
        <v>104</v>
      </c>
      <c r="C57" s="2">
        <f>VLOOKUP(D1_JULIO_2025[[#This Row],[SUPER]],DATA_JULIO_2025[[SUPERVISOR]:[META]],3,0)</f>
        <v>15500</v>
      </c>
      <c r="D57" s="2">
        <f>D1_JULIO_2025[[#This Row],[RECUPERO]]/C57</f>
        <v>0.68387096774193545</v>
      </c>
      <c r="E57" t="s">
        <v>7</v>
      </c>
      <c r="F57" t="s">
        <v>104</v>
      </c>
      <c r="G57">
        <v>10600</v>
      </c>
      <c r="H57" t="s">
        <v>456</v>
      </c>
      <c r="I57" s="56">
        <v>44104</v>
      </c>
      <c r="J57" t="s">
        <v>501</v>
      </c>
      <c r="L57" s="56"/>
      <c r="M57" s="1">
        <f>DATA_JULIO_2025[[#This Row],[RECUPERO]]/DATA_JULIO_2025[[#This Row],[META]]</f>
        <v>1.4705384615384616</v>
      </c>
      <c r="N57" t="str" cm="1">
        <f t="array" ref="N5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57" t="s">
        <v>3</v>
      </c>
      <c r="P57">
        <f>SUM(DATA_JULIO_2025[[#This Row],[1]:[31]])</f>
        <v>95585</v>
      </c>
      <c r="Q57">
        <v>65000</v>
      </c>
      <c r="R57" t="s">
        <v>23</v>
      </c>
      <c r="S57">
        <v>5203</v>
      </c>
      <c r="U57">
        <v>7000</v>
      </c>
      <c r="Y57">
        <v>4700</v>
      </c>
      <c r="Z57">
        <v>13100</v>
      </c>
      <c r="AA57">
        <v>10045</v>
      </c>
      <c r="AB57">
        <v>1500</v>
      </c>
      <c r="AC57">
        <v>2500</v>
      </c>
      <c r="AD57">
        <v>1000</v>
      </c>
      <c r="AG57">
        <v>12301</v>
      </c>
      <c r="AH57">
        <v>600</v>
      </c>
      <c r="AI57">
        <v>5100</v>
      </c>
      <c r="AM57">
        <v>400</v>
      </c>
      <c r="AN57">
        <v>8800</v>
      </c>
      <c r="AQ57">
        <v>4000</v>
      </c>
      <c r="AV57">
        <v>1595</v>
      </c>
      <c r="AW57">
        <v>17741</v>
      </c>
      <c r="AX57" t="s">
        <v>155</v>
      </c>
    </row>
    <row r="58" spans="1:50" x14ac:dyDescent="0.25">
      <c r="A58" s="2" t="str">
        <f>D1_JULIO_2025[[#This Row],[SUPER2]]</f>
        <v>LEONOR</v>
      </c>
      <c r="B58" s="2" t="s">
        <v>19</v>
      </c>
      <c r="C58" s="2">
        <f>VLOOKUP(D1_JULIO_2025[[#This Row],[SUPER]],DATA_JULIO_2025[[SUPERVISOR]:[META]],3,0)</f>
        <v>15500</v>
      </c>
      <c r="D58" s="2">
        <f>D1_JULIO_2025[[#This Row],[RECUPERO]]/C58</f>
        <v>0.64451612903225808</v>
      </c>
      <c r="E58" t="s">
        <v>7</v>
      </c>
      <c r="F58" t="s">
        <v>19</v>
      </c>
      <c r="G58">
        <v>9990</v>
      </c>
      <c r="H58" t="s">
        <v>399</v>
      </c>
      <c r="I58" s="56">
        <v>44673</v>
      </c>
      <c r="J58" t="s">
        <v>501</v>
      </c>
      <c r="L58" s="56"/>
      <c r="M58" s="1">
        <f>DATA_JULIO_2025[[#This Row],[RECUPERO]]/DATA_JULIO_2025[[#This Row],[META]]</f>
        <v>0.37994444444444442</v>
      </c>
      <c r="N58" t="str" cm="1">
        <f t="array" ref="N5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58" t="s">
        <v>5</v>
      </c>
      <c r="P58">
        <f>SUM(DATA_JULIO_2025[[#This Row],[1]:[31]])</f>
        <v>20517</v>
      </c>
      <c r="Q58">
        <v>54000</v>
      </c>
      <c r="R58" t="s">
        <v>68</v>
      </c>
      <c r="S58">
        <v>250</v>
      </c>
      <c r="U58">
        <v>75</v>
      </c>
      <c r="V58">
        <v>2000</v>
      </c>
      <c r="W58">
        <v>800</v>
      </c>
      <c r="Y58">
        <v>2000</v>
      </c>
      <c r="AB58">
        <v>2000</v>
      </c>
      <c r="AH58">
        <v>200</v>
      </c>
      <c r="AI58">
        <v>1572</v>
      </c>
      <c r="AJ58">
        <v>1900</v>
      </c>
      <c r="AM58">
        <v>4800</v>
      </c>
      <c r="AN58">
        <v>700</v>
      </c>
      <c r="AP58">
        <v>3000</v>
      </c>
      <c r="AV58">
        <v>620</v>
      </c>
      <c r="AW58">
        <v>600</v>
      </c>
      <c r="AX58" t="s">
        <v>150</v>
      </c>
    </row>
    <row r="59" spans="1:50" x14ac:dyDescent="0.25">
      <c r="A59" s="2" t="str">
        <f>D1_JULIO_2025[[#This Row],[SUPER2]]</f>
        <v>LEONOR</v>
      </c>
      <c r="B59" s="2" t="s">
        <v>110</v>
      </c>
      <c r="C59" s="2">
        <f>VLOOKUP(D1_JULIO_2025[[#This Row],[SUPER]],DATA_JULIO_2025[[SUPERVISOR]:[META]],3,0)</f>
        <v>15500</v>
      </c>
      <c r="D59" s="2">
        <f>D1_JULIO_2025[[#This Row],[RECUPERO]]/C59</f>
        <v>0.57096774193548383</v>
      </c>
      <c r="E59" t="s">
        <v>7</v>
      </c>
      <c r="F59" t="s">
        <v>110</v>
      </c>
      <c r="G59">
        <v>8850</v>
      </c>
      <c r="H59" t="s">
        <v>454</v>
      </c>
      <c r="I59" s="56">
        <v>44993</v>
      </c>
      <c r="J59" t="s">
        <v>501</v>
      </c>
      <c r="L59" s="56"/>
      <c r="M59" s="1">
        <f>DATA_JULIO_2025[[#This Row],[RECUPERO]]/DATA_JULIO_2025[[#This Row],[META]]</f>
        <v>2.4996923076923077</v>
      </c>
      <c r="N59" t="str" cm="1">
        <f t="array" ref="N5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59" t="s">
        <v>6</v>
      </c>
      <c r="P59">
        <f>SUM(DATA_JULIO_2025[[#This Row],[1]:[31]])</f>
        <v>64992</v>
      </c>
      <c r="Q59">
        <v>26000</v>
      </c>
      <c r="R59" t="s">
        <v>31</v>
      </c>
      <c r="Y59">
        <v>7350</v>
      </c>
      <c r="AB59">
        <v>4350</v>
      </c>
      <c r="AC59">
        <v>350</v>
      </c>
      <c r="AF59">
        <v>12872</v>
      </c>
      <c r="AI59">
        <v>350</v>
      </c>
      <c r="AN59">
        <v>0</v>
      </c>
      <c r="AP59">
        <v>500</v>
      </c>
      <c r="AQ59">
        <v>500</v>
      </c>
      <c r="AV59">
        <v>5100</v>
      </c>
      <c r="AW59">
        <v>33620</v>
      </c>
      <c r="AX59" t="s">
        <v>156</v>
      </c>
    </row>
    <row r="60" spans="1:50" x14ac:dyDescent="0.25">
      <c r="A60" s="2" t="str">
        <f>D1_JULIO_2025[[#This Row],[SUPER2]]</f>
        <v>LEONOR</v>
      </c>
      <c r="B60" s="2" t="s">
        <v>106</v>
      </c>
      <c r="C60" s="2">
        <f>VLOOKUP(D1_JULIO_2025[[#This Row],[SUPER]],DATA_JULIO_2025[[SUPERVISOR]:[META]],3,0)</f>
        <v>15500</v>
      </c>
      <c r="D60" s="2">
        <f>D1_JULIO_2025[[#This Row],[RECUPERO]]/C60</f>
        <v>0.30193548387096775</v>
      </c>
      <c r="E60" t="s">
        <v>7</v>
      </c>
      <c r="F60" t="s">
        <v>106</v>
      </c>
      <c r="G60">
        <v>4680</v>
      </c>
      <c r="H60" t="s">
        <v>392</v>
      </c>
      <c r="I60" s="56">
        <v>44748</v>
      </c>
      <c r="J60" t="s">
        <v>501</v>
      </c>
      <c r="L60" s="56"/>
      <c r="M60" s="1">
        <f>DATA_JULIO_2025[[#This Row],[RECUPERO]]/DATA_JULIO_2025[[#This Row],[META]]</f>
        <v>0.43807692307692309</v>
      </c>
      <c r="N60" t="str" cm="1">
        <f t="array" ref="N6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60" t="s">
        <v>3</v>
      </c>
      <c r="P60">
        <f>SUM(DATA_JULIO_2025[[#This Row],[1]:[31]])</f>
        <v>28475</v>
      </c>
      <c r="Q60">
        <v>65000</v>
      </c>
      <c r="R60" t="s">
        <v>29</v>
      </c>
      <c r="U60">
        <v>5077</v>
      </c>
      <c r="Z60">
        <v>1000</v>
      </c>
      <c r="AE60">
        <v>282</v>
      </c>
      <c r="AF60">
        <v>700</v>
      </c>
      <c r="AG60">
        <v>257</v>
      </c>
      <c r="AJ60">
        <v>700</v>
      </c>
      <c r="AM60">
        <v>12476</v>
      </c>
      <c r="AN60">
        <v>686</v>
      </c>
      <c r="AP60">
        <v>800</v>
      </c>
      <c r="AQ60">
        <v>3400</v>
      </c>
      <c r="AW60">
        <v>3097</v>
      </c>
      <c r="AX60" t="s">
        <v>155</v>
      </c>
    </row>
    <row r="61" spans="1:50" x14ac:dyDescent="0.25">
      <c r="A61" s="2" t="str">
        <f>D1_JULIO_2025[[#This Row],[SUPER2]]</f>
        <v>LEONOR</v>
      </c>
      <c r="B61" s="2" t="s">
        <v>107</v>
      </c>
      <c r="C61" s="2">
        <f>VLOOKUP(D1_JULIO_2025[[#This Row],[SUPER]],DATA_JULIO_2025[[SUPERVISOR]:[META]],3,0)</f>
        <v>15500</v>
      </c>
      <c r="D61" s="2">
        <f>D1_JULIO_2025[[#This Row],[RECUPERO]]/C61</f>
        <v>0.28064516129032258</v>
      </c>
      <c r="E61" t="s">
        <v>7</v>
      </c>
      <c r="F61" t="s">
        <v>107</v>
      </c>
      <c r="G61">
        <v>4350</v>
      </c>
      <c r="H61" t="s">
        <v>458</v>
      </c>
      <c r="I61" s="56">
        <v>45727</v>
      </c>
      <c r="J61" t="s">
        <v>501</v>
      </c>
      <c r="L61" s="56"/>
      <c r="M61" s="1">
        <f>DATA_JULIO_2025[[#This Row],[RECUPERO]]/DATA_JULIO_2025[[#This Row],[META]]</f>
        <v>0.35909677419354841</v>
      </c>
      <c r="N61" t="str" cm="1">
        <f t="array" ref="N6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61" t="s">
        <v>8</v>
      </c>
      <c r="P61">
        <f>SUM(DATA_JULIO_2025[[#This Row],[1]:[31]])</f>
        <v>5566</v>
      </c>
      <c r="Q61">
        <v>15500</v>
      </c>
      <c r="R61" t="s">
        <v>43</v>
      </c>
      <c r="T61">
        <v>200</v>
      </c>
      <c r="W61">
        <v>208</v>
      </c>
      <c r="Z61">
        <v>265</v>
      </c>
      <c r="AC61">
        <v>515</v>
      </c>
      <c r="AF61">
        <v>1900</v>
      </c>
      <c r="AI61">
        <v>805</v>
      </c>
      <c r="AM61">
        <v>500</v>
      </c>
      <c r="AP61">
        <v>135</v>
      </c>
      <c r="AQ61">
        <v>698</v>
      </c>
      <c r="AV61">
        <v>340</v>
      </c>
      <c r="AX61" t="s">
        <v>153</v>
      </c>
    </row>
    <row r="62" spans="1:50" x14ac:dyDescent="0.25">
      <c r="A62" s="2" t="str">
        <f>D1_JULIO_2025[[#This Row],[SUPER2]]</f>
        <v>LEONOR</v>
      </c>
      <c r="B62" s="2" t="s">
        <v>74</v>
      </c>
      <c r="C62" s="2">
        <f>VLOOKUP(D1_JULIO_2025[[#This Row],[SUPER]],DATA_JULIO_2025[[SUPERVISOR]:[META]],3,0)</f>
        <v>15500</v>
      </c>
      <c r="D62" s="2">
        <f>D1_JULIO_2025[[#This Row],[RECUPERO]]/C62</f>
        <v>0.23148387096774192</v>
      </c>
      <c r="E62" t="s">
        <v>7</v>
      </c>
      <c r="F62" t="s">
        <v>74</v>
      </c>
      <c r="G62">
        <v>3588</v>
      </c>
      <c r="H62" t="s">
        <v>395</v>
      </c>
      <c r="I62" s="56">
        <v>44470</v>
      </c>
      <c r="J62" t="s">
        <v>501</v>
      </c>
      <c r="L62" s="56"/>
      <c r="M62" s="1">
        <f>DATA_JULIO_2025[[#This Row],[RECUPERO]]/DATA_JULIO_2025[[#This Row],[META]]</f>
        <v>0.71161538461538465</v>
      </c>
      <c r="N62" t="str" cm="1">
        <f t="array" ref="N6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62" t="s">
        <v>3</v>
      </c>
      <c r="P62">
        <f>SUM(DATA_JULIO_2025[[#This Row],[1]:[31]])</f>
        <v>46255</v>
      </c>
      <c r="Q62">
        <v>65000</v>
      </c>
      <c r="R62" t="s">
        <v>25</v>
      </c>
      <c r="Y62">
        <v>12000</v>
      </c>
      <c r="Z62">
        <v>455</v>
      </c>
      <c r="AB62">
        <v>1300</v>
      </c>
      <c r="AC62">
        <v>300</v>
      </c>
      <c r="AG62">
        <v>600</v>
      </c>
      <c r="AH62">
        <v>7000</v>
      </c>
      <c r="AI62">
        <v>2100</v>
      </c>
      <c r="AJ62">
        <v>6750</v>
      </c>
      <c r="AM62">
        <v>1500</v>
      </c>
      <c r="AQ62">
        <v>1900</v>
      </c>
      <c r="AV62">
        <v>10300</v>
      </c>
      <c r="AW62">
        <v>2050</v>
      </c>
      <c r="AX62" t="s">
        <v>155</v>
      </c>
    </row>
    <row r="63" spans="1:50" x14ac:dyDescent="0.25">
      <c r="A63" s="2" t="str">
        <f>D1_JULIO_2025[[#This Row],[SUPER2]]</f>
        <v>LEONOR</v>
      </c>
      <c r="B63" s="2" t="s">
        <v>20</v>
      </c>
      <c r="C63" s="2">
        <f>VLOOKUP(D1_JULIO_2025[[#This Row],[SUPER]],DATA_JULIO_2025[[SUPERVISOR]:[META]],3,0)</f>
        <v>15500</v>
      </c>
      <c r="D63" s="2">
        <f>D1_JULIO_2025[[#This Row],[RECUPERO]]/C63</f>
        <v>0.23</v>
      </c>
      <c r="E63" t="s">
        <v>7</v>
      </c>
      <c r="F63" t="s">
        <v>20</v>
      </c>
      <c r="G63">
        <v>3565</v>
      </c>
      <c r="H63" t="s">
        <v>427</v>
      </c>
      <c r="I63" s="56">
        <v>45142</v>
      </c>
      <c r="J63" t="s">
        <v>501</v>
      </c>
      <c r="L63" s="56"/>
      <c r="M63" s="1">
        <f>DATA_JULIO_2025[[#This Row],[RECUPERO]]/DATA_JULIO_2025[[#This Row],[META]]</f>
        <v>0.57096774193548383</v>
      </c>
      <c r="N63" t="str" cm="1">
        <f t="array" ref="N6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63" t="s">
        <v>7</v>
      </c>
      <c r="P63">
        <f>SUM(DATA_JULIO_2025[[#This Row],[1]:[31]])</f>
        <v>8850</v>
      </c>
      <c r="Q63">
        <v>15500</v>
      </c>
      <c r="R63" t="s">
        <v>110</v>
      </c>
      <c r="T63">
        <v>300</v>
      </c>
      <c r="AA63">
        <v>850</v>
      </c>
      <c r="AM63">
        <v>700</v>
      </c>
      <c r="AN63">
        <v>100</v>
      </c>
      <c r="AP63">
        <v>700</v>
      </c>
      <c r="AQ63">
        <v>5500</v>
      </c>
      <c r="AV63">
        <v>500</v>
      </c>
      <c r="AW63">
        <v>200</v>
      </c>
      <c r="AX63" t="s">
        <v>152</v>
      </c>
    </row>
    <row r="64" spans="1:50" x14ac:dyDescent="0.25">
      <c r="A64" s="2" t="str">
        <f>D1_JULIO_2025[[#This Row],[SUPER2]]</f>
        <v>BRYAN</v>
      </c>
      <c r="B64" s="2" t="s">
        <v>81</v>
      </c>
      <c r="C64" s="2">
        <f>VLOOKUP(D1_JULIO_2025[[#This Row],[SUPER]],DATA_JULIO_2025[[SUPERVISOR]:[META]],3,0)</f>
        <v>15500</v>
      </c>
      <c r="D64" s="2">
        <f>D1_JULIO_2025[[#This Row],[RECUPERO]]/C64</f>
        <v>0.81051612903225811</v>
      </c>
      <c r="E64" t="s">
        <v>8</v>
      </c>
      <c r="F64" t="s">
        <v>81</v>
      </c>
      <c r="G64">
        <v>12563</v>
      </c>
      <c r="H64" t="s">
        <v>425</v>
      </c>
      <c r="I64" s="56">
        <v>45506</v>
      </c>
      <c r="J64" t="s">
        <v>501</v>
      </c>
      <c r="L64" s="56"/>
      <c r="M64" s="1">
        <f>DATA_JULIO_2025[[#This Row],[RECUPERO]]/DATA_JULIO_2025[[#This Row],[META]]</f>
        <v>0.84044444444444444</v>
      </c>
      <c r="N64" t="str" cm="1">
        <f t="array" ref="N6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64" t="s">
        <v>2</v>
      </c>
      <c r="P64">
        <f>SUM(DATA_JULIO_2025[[#This Row],[1]:[31]])</f>
        <v>45384</v>
      </c>
      <c r="Q64">
        <v>54000</v>
      </c>
      <c r="R64" t="s">
        <v>17</v>
      </c>
      <c r="U64">
        <v>1105</v>
      </c>
      <c r="AB64">
        <v>4000</v>
      </c>
      <c r="AD64">
        <v>1062</v>
      </c>
      <c r="AF64">
        <v>21000</v>
      </c>
      <c r="AG64">
        <v>1600</v>
      </c>
      <c r="AH64">
        <v>1000</v>
      </c>
      <c r="AK64">
        <v>5333</v>
      </c>
      <c r="AL64">
        <v>1000</v>
      </c>
      <c r="AM64">
        <v>1254</v>
      </c>
      <c r="AQ64">
        <v>730</v>
      </c>
      <c r="AR64">
        <v>2000</v>
      </c>
      <c r="AT64">
        <v>300</v>
      </c>
      <c r="AV64">
        <v>5000</v>
      </c>
      <c r="AX64" t="s">
        <v>150</v>
      </c>
    </row>
    <row r="65" spans="1:50" x14ac:dyDescent="0.25">
      <c r="A65" s="2" t="str">
        <f>D1_JULIO_2025[[#This Row],[SUPER2]]</f>
        <v>BRYAN</v>
      </c>
      <c r="B65" s="2" t="s">
        <v>44</v>
      </c>
      <c r="C65" s="2">
        <f>VLOOKUP(D1_JULIO_2025[[#This Row],[SUPER]],DATA_JULIO_2025[[SUPERVISOR]:[META]],3,0)</f>
        <v>15500</v>
      </c>
      <c r="D65" s="2">
        <f>D1_JULIO_2025[[#This Row],[RECUPERO]]/C65</f>
        <v>0.7246129032258064</v>
      </c>
      <c r="E65" t="s">
        <v>8</v>
      </c>
      <c r="F65" t="s">
        <v>44</v>
      </c>
      <c r="G65">
        <v>11231.5</v>
      </c>
      <c r="H65" t="s">
        <v>467</v>
      </c>
      <c r="I65" s="56">
        <v>45804</v>
      </c>
      <c r="J65" t="s">
        <v>501</v>
      </c>
      <c r="L65" s="56"/>
      <c r="M65" s="1">
        <f>DATA_JULIO_2025[[#This Row],[RECUPERO]]/DATA_JULIO_2025[[#This Row],[META]]</f>
        <v>0.69242307692307692</v>
      </c>
      <c r="N65" t="str" cm="1">
        <f t="array" ref="N6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65" t="s">
        <v>6</v>
      </c>
      <c r="P65">
        <f>SUM(DATA_JULIO_2025[[#This Row],[1]:[31]])</f>
        <v>18003</v>
      </c>
      <c r="Q65">
        <v>26000</v>
      </c>
      <c r="R65" t="s">
        <v>38</v>
      </c>
      <c r="U65">
        <v>2500</v>
      </c>
      <c r="AA65">
        <v>230</v>
      </c>
      <c r="AF65">
        <v>902</v>
      </c>
      <c r="AH65">
        <v>8898</v>
      </c>
      <c r="AM65">
        <v>323</v>
      </c>
      <c r="AN65">
        <v>590</v>
      </c>
      <c r="AQ65">
        <v>3000</v>
      </c>
      <c r="AS65">
        <v>150</v>
      </c>
      <c r="AV65">
        <v>860</v>
      </c>
      <c r="AW65">
        <v>550</v>
      </c>
      <c r="AX65" t="s">
        <v>156</v>
      </c>
    </row>
    <row r="66" spans="1:50" x14ac:dyDescent="0.25">
      <c r="A66" s="2" t="str">
        <f>D1_JULIO_2025[[#This Row],[SUPER2]]</f>
        <v>BRYAN</v>
      </c>
      <c r="B66" s="2" t="s">
        <v>41</v>
      </c>
      <c r="C66" s="2">
        <f>VLOOKUP(D1_JULIO_2025[[#This Row],[SUPER]],DATA_JULIO_2025[[SUPERVISOR]:[META]],3,0)</f>
        <v>15500</v>
      </c>
      <c r="D66" s="2">
        <f>D1_JULIO_2025[[#This Row],[RECUPERO]]/C66</f>
        <v>0.79670967741935483</v>
      </c>
      <c r="E66" t="s">
        <v>8</v>
      </c>
      <c r="F66" t="s">
        <v>41</v>
      </c>
      <c r="G66">
        <v>12349</v>
      </c>
      <c r="H66" t="s">
        <v>387</v>
      </c>
      <c r="I66" s="56">
        <v>45304</v>
      </c>
      <c r="J66" t="s">
        <v>501</v>
      </c>
      <c r="L66" s="56"/>
      <c r="M66" s="1">
        <f>DATA_JULIO_2025[[#This Row],[RECUPERO]]/DATA_JULIO_2025[[#This Row],[META]]</f>
        <v>1.4679707692307693</v>
      </c>
      <c r="N66" t="str" cm="1">
        <f t="array" ref="N6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66" t="s">
        <v>4</v>
      </c>
      <c r="P66">
        <f>SUM(DATA_JULIO_2025[[#This Row],[1]:[31]])</f>
        <v>95418.1</v>
      </c>
      <c r="Q66">
        <v>65000</v>
      </c>
      <c r="R66" t="s">
        <v>75</v>
      </c>
      <c r="S66">
        <v>3650</v>
      </c>
      <c r="T66">
        <v>1000</v>
      </c>
      <c r="U66">
        <v>7000</v>
      </c>
      <c r="AA66">
        <v>350</v>
      </c>
      <c r="AB66">
        <v>300</v>
      </c>
      <c r="AC66">
        <v>12700</v>
      </c>
      <c r="AF66">
        <v>11000.1</v>
      </c>
      <c r="AG66">
        <v>27000</v>
      </c>
      <c r="AH66">
        <v>11000</v>
      </c>
      <c r="AJ66">
        <v>10000</v>
      </c>
      <c r="AN66">
        <v>700</v>
      </c>
      <c r="AQ66">
        <v>250</v>
      </c>
      <c r="AV66">
        <v>1400</v>
      </c>
      <c r="AW66">
        <v>9068</v>
      </c>
      <c r="AX66" t="s">
        <v>155</v>
      </c>
    </row>
    <row r="67" spans="1:50" x14ac:dyDescent="0.25">
      <c r="A67" s="2" t="str">
        <f>D1_JULIO_2025[[#This Row],[SUPER2]]</f>
        <v>BRYAN</v>
      </c>
      <c r="B67" s="2" t="s">
        <v>48</v>
      </c>
      <c r="C67" s="2">
        <f>VLOOKUP(D1_JULIO_2025[[#This Row],[SUPER]],DATA_JULIO_2025[[SUPERVISOR]:[META]],3,0)</f>
        <v>15500</v>
      </c>
      <c r="D67" s="2">
        <f>D1_JULIO_2025[[#This Row],[RECUPERO]]/C67</f>
        <v>0.7699677419354839</v>
      </c>
      <c r="E67" t="s">
        <v>8</v>
      </c>
      <c r="F67" t="s">
        <v>48</v>
      </c>
      <c r="G67">
        <v>11934.5</v>
      </c>
      <c r="H67" t="s">
        <v>421</v>
      </c>
      <c r="I67" s="56">
        <v>44748</v>
      </c>
      <c r="J67" t="s">
        <v>501</v>
      </c>
      <c r="L67" s="56"/>
      <c r="M67" s="1">
        <f>DATA_JULIO_2025[[#This Row],[RECUPERO]]/DATA_JULIO_2025[[#This Row],[META]]</f>
        <v>0.41625806451612901</v>
      </c>
      <c r="N67" t="str" cm="1">
        <f t="array" ref="N6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67" t="s">
        <v>9</v>
      </c>
      <c r="P67">
        <f>SUM(DATA_JULIO_2025[[#This Row],[1]:[31]])</f>
        <v>6452</v>
      </c>
      <c r="Q67">
        <v>15500</v>
      </c>
      <c r="R67" t="s">
        <v>55</v>
      </c>
      <c r="S67">
        <v>472</v>
      </c>
      <c r="U67">
        <v>650</v>
      </c>
      <c r="V67">
        <v>200</v>
      </c>
      <c r="Z67">
        <v>300</v>
      </c>
      <c r="AA67">
        <v>80</v>
      </c>
      <c r="AC67">
        <v>600</v>
      </c>
      <c r="AG67">
        <v>450</v>
      </c>
      <c r="AH67">
        <v>200</v>
      </c>
      <c r="AJ67">
        <v>500</v>
      </c>
      <c r="AN67">
        <v>1500</v>
      </c>
      <c r="AW67">
        <v>1500</v>
      </c>
      <c r="AX67" t="s">
        <v>153</v>
      </c>
    </row>
    <row r="68" spans="1:50" x14ac:dyDescent="0.25">
      <c r="A68" s="2" t="str">
        <f>D1_JULIO_2025[[#This Row],[SUPER2]]</f>
        <v>BRYAN</v>
      </c>
      <c r="B68" s="2" t="s">
        <v>83</v>
      </c>
      <c r="C68" s="2">
        <f>VLOOKUP(D1_JULIO_2025[[#This Row],[SUPER]],DATA_JULIO_2025[[SUPERVISOR]:[META]],3,0)</f>
        <v>15500</v>
      </c>
      <c r="D68" s="2">
        <f>D1_JULIO_2025[[#This Row],[RECUPERO]]/C68</f>
        <v>0.5776129032258065</v>
      </c>
      <c r="E68" t="s">
        <v>8</v>
      </c>
      <c r="F68" t="s">
        <v>83</v>
      </c>
      <c r="G68">
        <v>8953</v>
      </c>
      <c r="H68" t="s">
        <v>435</v>
      </c>
      <c r="I68" s="56">
        <v>44937</v>
      </c>
      <c r="J68" t="s">
        <v>501</v>
      </c>
      <c r="L68" s="56"/>
      <c r="M68" s="1">
        <f>DATA_JULIO_2025[[#This Row],[RECUPERO]]/DATA_JULIO_2025[[#This Row],[META]]</f>
        <v>1.0028846153846154</v>
      </c>
      <c r="N68" t="str" cm="1">
        <f t="array" ref="N6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68" t="s">
        <v>6</v>
      </c>
      <c r="P68">
        <f>SUM(DATA_JULIO_2025[[#This Row],[1]:[31]])</f>
        <v>26075</v>
      </c>
      <c r="Q68">
        <v>26000</v>
      </c>
      <c r="R68" t="s">
        <v>36</v>
      </c>
      <c r="U68">
        <v>1100</v>
      </c>
      <c r="Y68">
        <v>4122</v>
      </c>
      <c r="Z68">
        <v>4500</v>
      </c>
      <c r="AA68">
        <v>50</v>
      </c>
      <c r="AC68">
        <v>300</v>
      </c>
      <c r="AG68">
        <v>260</v>
      </c>
      <c r="AH68">
        <v>9102</v>
      </c>
      <c r="AI68">
        <v>984</v>
      </c>
      <c r="AJ68">
        <v>263</v>
      </c>
      <c r="AM68">
        <v>445</v>
      </c>
      <c r="AN68">
        <v>3785</v>
      </c>
      <c r="AQ68">
        <v>626</v>
      </c>
      <c r="AV68">
        <v>358</v>
      </c>
      <c r="AW68">
        <v>180</v>
      </c>
      <c r="AX68" t="s">
        <v>156</v>
      </c>
    </row>
    <row r="69" spans="1:50" x14ac:dyDescent="0.25">
      <c r="A69" s="2" t="str">
        <f>D1_JULIO_2025[[#This Row],[SUPER2]]</f>
        <v>BRYAN</v>
      </c>
      <c r="B69" s="2" t="s">
        <v>42</v>
      </c>
      <c r="C69" s="2">
        <f>VLOOKUP(D1_JULIO_2025[[#This Row],[SUPER]],DATA_JULIO_2025[[SUPERVISOR]:[META]],3,0)</f>
        <v>15500</v>
      </c>
      <c r="D69" s="2">
        <f>D1_JULIO_2025[[#This Row],[RECUPERO]]/C69</f>
        <v>0.57270967741935486</v>
      </c>
      <c r="E69" t="s">
        <v>8</v>
      </c>
      <c r="F69" t="s">
        <v>42</v>
      </c>
      <c r="G69">
        <v>8877</v>
      </c>
      <c r="H69" t="s">
        <v>415</v>
      </c>
      <c r="I69" s="56">
        <v>45399</v>
      </c>
      <c r="J69" t="s">
        <v>501</v>
      </c>
      <c r="L69" s="56"/>
      <c r="M69" s="1">
        <f>DATA_JULIO_2025[[#This Row],[RECUPERO]]/DATA_JULIO_2025[[#This Row],[META]]</f>
        <v>0.94044615384615382</v>
      </c>
      <c r="N69" t="str" cm="1">
        <f t="array" ref="N6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69" t="s">
        <v>4</v>
      </c>
      <c r="P69">
        <f>SUM(DATA_JULIO_2025[[#This Row],[1]:[31]])</f>
        <v>61129</v>
      </c>
      <c r="Q69">
        <v>65000</v>
      </c>
      <c r="R69" t="s">
        <v>62</v>
      </c>
      <c r="S69">
        <v>3500</v>
      </c>
      <c r="T69">
        <v>495</v>
      </c>
      <c r="V69">
        <v>800</v>
      </c>
      <c r="AB69">
        <v>2000</v>
      </c>
      <c r="AF69">
        <v>5323</v>
      </c>
      <c r="AK69">
        <v>2500</v>
      </c>
      <c r="AN69">
        <v>10000</v>
      </c>
      <c r="AP69">
        <v>2216</v>
      </c>
      <c r="AQ69">
        <v>13000</v>
      </c>
      <c r="AS69">
        <v>1600</v>
      </c>
      <c r="AV69">
        <v>17550</v>
      </c>
      <c r="AW69">
        <v>2145</v>
      </c>
      <c r="AX69" t="s">
        <v>155</v>
      </c>
    </row>
    <row r="70" spans="1:50" x14ac:dyDescent="0.25">
      <c r="A70" s="2" t="str">
        <f>D1_JULIO_2025[[#This Row],[SUPER2]]</f>
        <v>BRYAN</v>
      </c>
      <c r="B70" s="2" t="s">
        <v>84</v>
      </c>
      <c r="C70" s="2">
        <f>VLOOKUP(D1_JULIO_2025[[#This Row],[SUPER]],DATA_JULIO_2025[[SUPERVISOR]:[META]],3,0)</f>
        <v>15500</v>
      </c>
      <c r="D70" s="2">
        <f>D1_JULIO_2025[[#This Row],[RECUPERO]]/C70</f>
        <v>0.54141935483870973</v>
      </c>
      <c r="E70" t="s">
        <v>8</v>
      </c>
      <c r="F70" t="s">
        <v>84</v>
      </c>
      <c r="G70">
        <v>8392</v>
      </c>
      <c r="H70" t="s">
        <v>473</v>
      </c>
      <c r="I70" s="56">
        <v>45800</v>
      </c>
      <c r="J70" t="s">
        <v>501</v>
      </c>
      <c r="L70" s="56"/>
      <c r="M70" s="1">
        <f>DATA_JULIO_2025[[#This Row],[RECUPERO]]/DATA_JULIO_2025[[#This Row],[META]]</f>
        <v>0.54594444444444445</v>
      </c>
      <c r="N70" t="str" cm="1">
        <f t="array" ref="N7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70" t="s">
        <v>5</v>
      </c>
      <c r="P70">
        <f>SUM(DATA_JULIO_2025[[#This Row],[1]:[31]])</f>
        <v>29481</v>
      </c>
      <c r="Q70">
        <v>54000</v>
      </c>
      <c r="R70" t="s">
        <v>70</v>
      </c>
      <c r="Y70">
        <v>5500</v>
      </c>
      <c r="Z70">
        <v>550</v>
      </c>
      <c r="AC70">
        <v>2000</v>
      </c>
      <c r="AG70">
        <v>328</v>
      </c>
      <c r="AH70">
        <v>8243</v>
      </c>
      <c r="AI70">
        <v>4000</v>
      </c>
      <c r="AJ70">
        <v>3000</v>
      </c>
      <c r="AM70">
        <v>1800</v>
      </c>
      <c r="AQ70">
        <v>1310</v>
      </c>
      <c r="AS70">
        <v>1500</v>
      </c>
      <c r="AW70">
        <v>1250</v>
      </c>
      <c r="AX70" t="s">
        <v>150</v>
      </c>
    </row>
    <row r="71" spans="1:50" x14ac:dyDescent="0.25">
      <c r="A71" s="2" t="str">
        <f>D1_JULIO_2025[[#This Row],[SUPER2]]</f>
        <v>BRYAN</v>
      </c>
      <c r="B71" s="2" t="s">
        <v>43</v>
      </c>
      <c r="C71" s="2">
        <f>VLOOKUP(D1_JULIO_2025[[#This Row],[SUPER]],DATA_JULIO_2025[[SUPERVISOR]:[META]],3,0)</f>
        <v>15500</v>
      </c>
      <c r="D71" s="2">
        <f>D1_JULIO_2025[[#This Row],[RECUPERO]]/C71</f>
        <v>0.35909677419354841</v>
      </c>
      <c r="E71" t="s">
        <v>8</v>
      </c>
      <c r="F71" t="s">
        <v>43</v>
      </c>
      <c r="G71">
        <v>5566</v>
      </c>
      <c r="H71" t="s">
        <v>471</v>
      </c>
      <c r="I71" s="56">
        <v>45793</v>
      </c>
      <c r="J71" t="s">
        <v>501</v>
      </c>
      <c r="L71" s="56"/>
      <c r="M71" s="1">
        <f>DATA_JULIO_2025[[#This Row],[RECUPERO]]/DATA_JULIO_2025[[#This Row],[META]]</f>
        <v>0.68861538461538463</v>
      </c>
      <c r="N71" t="str" cm="1">
        <f t="array" ref="N7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71" t="s">
        <v>4</v>
      </c>
      <c r="P71">
        <f>SUM(DATA_JULIO_2025[[#This Row],[1]:[31]])</f>
        <v>44760</v>
      </c>
      <c r="Q71">
        <v>65000</v>
      </c>
      <c r="R71" t="s">
        <v>64</v>
      </c>
      <c r="S71">
        <v>6100</v>
      </c>
      <c r="T71">
        <v>300</v>
      </c>
      <c r="Z71">
        <v>4200</v>
      </c>
      <c r="AC71">
        <v>13650</v>
      </c>
      <c r="AG71">
        <v>4250</v>
      </c>
      <c r="AH71">
        <v>1600</v>
      </c>
      <c r="AN71">
        <v>330</v>
      </c>
      <c r="AP71">
        <v>800</v>
      </c>
      <c r="AQ71">
        <v>900</v>
      </c>
      <c r="AV71">
        <v>530</v>
      </c>
      <c r="AW71">
        <v>12100</v>
      </c>
      <c r="AX71" t="s">
        <v>155</v>
      </c>
    </row>
    <row r="72" spans="1:50" x14ac:dyDescent="0.25">
      <c r="A72" s="2" t="str">
        <f>D1_JULIO_2025[[#This Row],[SUPER2]]</f>
        <v>BRYAN</v>
      </c>
      <c r="B72" s="2" t="s">
        <v>46</v>
      </c>
      <c r="C72" s="2">
        <f>VLOOKUP(D1_JULIO_2025[[#This Row],[SUPER]],DATA_JULIO_2025[[SUPERVISOR]:[META]],3,0)</f>
        <v>15500</v>
      </c>
      <c r="D72" s="2">
        <f>D1_JULIO_2025[[#This Row],[RECUPERO]]/C72</f>
        <v>0.25387096774193546</v>
      </c>
      <c r="E72" t="s">
        <v>8</v>
      </c>
      <c r="F72" t="s">
        <v>46</v>
      </c>
      <c r="G72">
        <v>3935</v>
      </c>
      <c r="H72" t="s">
        <v>394</v>
      </c>
      <c r="I72" s="56">
        <v>45344</v>
      </c>
      <c r="J72" t="s">
        <v>501</v>
      </c>
      <c r="L72" s="56"/>
      <c r="M72" s="1">
        <f>DATA_JULIO_2025[[#This Row],[RECUPERO]]/DATA_JULIO_2025[[#This Row],[META]]</f>
        <v>0.28064516129032258</v>
      </c>
      <c r="N72" t="str" cm="1">
        <f t="array" ref="N7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72" t="s">
        <v>7</v>
      </c>
      <c r="P72">
        <f>SUM(DATA_JULIO_2025[[#This Row],[1]:[31]])</f>
        <v>4350</v>
      </c>
      <c r="Q72">
        <v>15500</v>
      </c>
      <c r="R72" t="s">
        <v>107</v>
      </c>
      <c r="W72">
        <v>1000</v>
      </c>
      <c r="Y72">
        <v>500</v>
      </c>
      <c r="AB72">
        <v>350</v>
      </c>
      <c r="AC72">
        <v>700</v>
      </c>
      <c r="AS72">
        <v>400</v>
      </c>
      <c r="AV72">
        <v>400</v>
      </c>
      <c r="AW72">
        <v>1000</v>
      </c>
      <c r="AX72" t="s">
        <v>152</v>
      </c>
    </row>
    <row r="73" spans="1:50" x14ac:dyDescent="0.25">
      <c r="A73" s="2" t="str">
        <f>D1_JULIO_2025[[#This Row],[SUPER2]]</f>
        <v>BRYAN</v>
      </c>
      <c r="B73" s="2" t="s">
        <v>45</v>
      </c>
      <c r="C73" s="2">
        <f>VLOOKUP(D1_JULIO_2025[[#This Row],[SUPER]],DATA_JULIO_2025[[SUPERVISOR]:[META]],3,0)</f>
        <v>15500</v>
      </c>
      <c r="D73" s="2">
        <f>D1_JULIO_2025[[#This Row],[RECUPERO]]/C73</f>
        <v>0.15387096774193548</v>
      </c>
      <c r="E73" t="s">
        <v>8</v>
      </c>
      <c r="F73" t="s">
        <v>45</v>
      </c>
      <c r="G73">
        <v>2385</v>
      </c>
      <c r="H73" t="s">
        <v>476</v>
      </c>
      <c r="I73" s="56">
        <v>38525</v>
      </c>
      <c r="J73" t="s">
        <v>501</v>
      </c>
      <c r="L73" s="56"/>
      <c r="M73" s="1">
        <f>DATA_JULIO_2025[[#This Row],[RECUPERO]]/DATA_JULIO_2025[[#This Row],[META]]</f>
        <v>0.50240740740740741</v>
      </c>
      <c r="N73" t="str" cm="1">
        <f t="array" ref="N7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73" t="s">
        <v>2</v>
      </c>
      <c r="P73">
        <f>SUM(DATA_JULIO_2025[[#This Row],[1]:[31]])</f>
        <v>27130</v>
      </c>
      <c r="Q73">
        <v>54000</v>
      </c>
      <c r="R73" t="s">
        <v>11</v>
      </c>
      <c r="S73">
        <v>1720</v>
      </c>
      <c r="V73">
        <v>600</v>
      </c>
      <c r="X73">
        <v>1000</v>
      </c>
      <c r="Y73">
        <v>600</v>
      </c>
      <c r="AA73">
        <v>1155</v>
      </c>
      <c r="AB73">
        <v>3000</v>
      </c>
      <c r="AC73">
        <v>900</v>
      </c>
      <c r="AG73">
        <v>4100</v>
      </c>
      <c r="AH73">
        <v>1000</v>
      </c>
      <c r="AI73">
        <v>1000</v>
      </c>
      <c r="AK73">
        <v>7317</v>
      </c>
      <c r="AN73">
        <v>550</v>
      </c>
      <c r="AP73">
        <v>688</v>
      </c>
      <c r="AQ73">
        <v>1250</v>
      </c>
      <c r="AW73">
        <v>2250</v>
      </c>
      <c r="AX73" t="s">
        <v>150</v>
      </c>
    </row>
    <row r="74" spans="1:50" x14ac:dyDescent="0.25">
      <c r="A74" s="2" t="str">
        <f>D1_JULIO_2025[[#This Row],[SUPER2]]</f>
        <v>BRYAN</v>
      </c>
      <c r="B74" s="2" t="s">
        <v>47</v>
      </c>
      <c r="C74" s="2">
        <f>VLOOKUP(D1_JULIO_2025[[#This Row],[SUPER]],DATA_JULIO_2025[[SUPERVISOR]:[META]],3,0)</f>
        <v>15500</v>
      </c>
      <c r="D74" s="2">
        <f>D1_JULIO_2025[[#This Row],[RECUPERO]]/C74</f>
        <v>0</v>
      </c>
      <c r="E74" t="s">
        <v>8</v>
      </c>
      <c r="F74" t="s">
        <v>47</v>
      </c>
      <c r="G74">
        <v>0</v>
      </c>
      <c r="H74" t="s">
        <v>479</v>
      </c>
      <c r="I74" s="56">
        <v>45853</v>
      </c>
      <c r="J74" t="s">
        <v>501</v>
      </c>
      <c r="L74" s="56"/>
      <c r="M74" s="1">
        <f>DATA_JULIO_2025[[#This Row],[RECUPERO]]/DATA_JULIO_2025[[#This Row],[META]]</f>
        <v>0.23148387096774192</v>
      </c>
      <c r="N74" t="str" cm="1">
        <f t="array" ref="N7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74" t="s">
        <v>7</v>
      </c>
      <c r="P74">
        <f>SUM(DATA_JULIO_2025[[#This Row],[1]:[31]])</f>
        <v>3588</v>
      </c>
      <c r="Q74">
        <v>15500</v>
      </c>
      <c r="R74" t="s">
        <v>74</v>
      </c>
      <c r="Y74">
        <v>918</v>
      </c>
      <c r="AA74">
        <v>1300</v>
      </c>
      <c r="AG74">
        <v>300</v>
      </c>
      <c r="AM74">
        <v>550</v>
      </c>
      <c r="AP74">
        <v>300</v>
      </c>
      <c r="AQ74">
        <v>220</v>
      </c>
      <c r="AX74" t="s">
        <v>152</v>
      </c>
    </row>
    <row r="75" spans="1:50" x14ac:dyDescent="0.25">
      <c r="A75" s="2" t="str">
        <f>D1_JULIO_2025[[#This Row],[SUPER2]]</f>
        <v>LUIS</v>
      </c>
      <c r="B75" s="2" t="s">
        <v>73</v>
      </c>
      <c r="C75" s="2">
        <f>VLOOKUP(D1_JULIO_2025[[#This Row],[SUPER]],DATA_JULIO_2025[[SUPERVISOR]:[META]],3,0)</f>
        <v>15500</v>
      </c>
      <c r="D75" s="2">
        <f>D1_JULIO_2025[[#This Row],[RECUPERO]]/C75</f>
        <v>1.421741935483871</v>
      </c>
      <c r="E75" t="s">
        <v>9</v>
      </c>
      <c r="F75" t="s">
        <v>73</v>
      </c>
      <c r="G75">
        <v>22037</v>
      </c>
      <c r="H75" t="s">
        <v>420</v>
      </c>
      <c r="I75" s="56">
        <v>45145</v>
      </c>
      <c r="J75" t="s">
        <v>501</v>
      </c>
      <c r="L75" s="56"/>
      <c r="M75" s="1">
        <f>DATA_JULIO_2025[[#This Row],[RECUPERO]]/DATA_JULIO_2025[[#This Row],[META]]</f>
        <v>0.22816666666666666</v>
      </c>
      <c r="N75" t="str" cm="1">
        <f t="array" ref="N7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75" t="s">
        <v>5</v>
      </c>
      <c r="P75">
        <f>SUM(DATA_JULIO_2025[[#This Row],[1]:[31]])</f>
        <v>12321</v>
      </c>
      <c r="Q75">
        <v>54000</v>
      </c>
      <c r="R75" t="s">
        <v>79</v>
      </c>
      <c r="W75">
        <v>500</v>
      </c>
      <c r="Y75">
        <v>1000</v>
      </c>
      <c r="Z75">
        <v>1164</v>
      </c>
      <c r="AA75">
        <v>1500</v>
      </c>
      <c r="AF75">
        <v>1525</v>
      </c>
      <c r="AG75">
        <v>200</v>
      </c>
      <c r="AI75">
        <v>1600</v>
      </c>
      <c r="AP75">
        <v>1260</v>
      </c>
      <c r="AQ75">
        <v>212</v>
      </c>
      <c r="AV75">
        <v>2060</v>
      </c>
      <c r="AW75">
        <v>1300</v>
      </c>
      <c r="AX75" t="s">
        <v>150</v>
      </c>
    </row>
    <row r="76" spans="1:50" x14ac:dyDescent="0.25">
      <c r="A76" s="2" t="str">
        <f>D1_JULIO_2025[[#This Row],[SUPER2]]</f>
        <v>LUIS</v>
      </c>
      <c r="B76" s="2" t="s">
        <v>77</v>
      </c>
      <c r="C76" s="2">
        <f>VLOOKUP(D1_JULIO_2025[[#This Row],[SUPER]],DATA_JULIO_2025[[SUPERVISOR]:[META]],3,0)</f>
        <v>15500</v>
      </c>
      <c r="D76" s="2">
        <f>D1_JULIO_2025[[#This Row],[RECUPERO]]/C76</f>
        <v>1.0068387096774194</v>
      </c>
      <c r="E76" t="s">
        <v>9</v>
      </c>
      <c r="F76" t="s">
        <v>77</v>
      </c>
      <c r="G76">
        <v>15606</v>
      </c>
      <c r="H76" t="s">
        <v>393</v>
      </c>
      <c r="I76" s="56">
        <v>44840</v>
      </c>
      <c r="J76" t="s">
        <v>501</v>
      </c>
      <c r="L76" s="56"/>
      <c r="M76" s="1">
        <f>DATA_JULIO_2025[[#This Row],[RECUPERO]]/DATA_JULIO_2025[[#This Row],[META]]</f>
        <v>2.1010089230769231</v>
      </c>
      <c r="N76" t="str" cm="1">
        <f t="array" ref="N7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76" t="s">
        <v>4</v>
      </c>
      <c r="P76">
        <f>SUM(DATA_JULIO_2025[[#This Row],[1]:[31]])</f>
        <v>136565.58000000002</v>
      </c>
      <c r="Q76">
        <v>65000</v>
      </c>
      <c r="R76" t="s">
        <v>59</v>
      </c>
      <c r="S76">
        <v>2600</v>
      </c>
      <c r="T76">
        <v>5250</v>
      </c>
      <c r="U76">
        <v>4950</v>
      </c>
      <c r="Y76">
        <v>809.58</v>
      </c>
      <c r="AB76">
        <v>10000</v>
      </c>
      <c r="AC76">
        <v>600</v>
      </c>
      <c r="AF76">
        <v>17900</v>
      </c>
      <c r="AG76">
        <v>3600</v>
      </c>
      <c r="AH76">
        <v>8300</v>
      </c>
      <c r="AJ76">
        <v>34600</v>
      </c>
      <c r="AK76">
        <v>5000</v>
      </c>
      <c r="AM76">
        <v>8100</v>
      </c>
      <c r="AN76">
        <v>3780</v>
      </c>
      <c r="AO76">
        <v>4000</v>
      </c>
      <c r="AP76">
        <v>3984</v>
      </c>
      <c r="AQ76">
        <v>14392</v>
      </c>
      <c r="AS76">
        <v>1500</v>
      </c>
      <c r="AV76">
        <v>4000</v>
      </c>
      <c r="AW76">
        <v>3200</v>
      </c>
      <c r="AX76" t="s">
        <v>155</v>
      </c>
    </row>
    <row r="77" spans="1:50" x14ac:dyDescent="0.25">
      <c r="A77" s="2" t="str">
        <f>D1_JULIO_2025[[#This Row],[SUPER2]]</f>
        <v>LUIS</v>
      </c>
      <c r="B77" s="2" t="s">
        <v>49</v>
      </c>
      <c r="C77" s="2">
        <f>VLOOKUP(D1_JULIO_2025[[#This Row],[SUPER]],DATA_JULIO_2025[[SUPERVISOR]:[META]],3,0)</f>
        <v>15500</v>
      </c>
      <c r="D77" s="2">
        <f>D1_JULIO_2025[[#This Row],[RECUPERO]]/C77</f>
        <v>0.80838709677419351</v>
      </c>
      <c r="E77" t="s">
        <v>9</v>
      </c>
      <c r="F77" t="s">
        <v>49</v>
      </c>
      <c r="G77">
        <v>12530</v>
      </c>
      <c r="H77" t="s">
        <v>436</v>
      </c>
      <c r="I77" s="56">
        <v>42814</v>
      </c>
      <c r="J77" t="s">
        <v>501</v>
      </c>
      <c r="L77" s="56"/>
      <c r="M77" s="1">
        <f>DATA_JULIO_2025[[#This Row],[RECUPERO]]/DATA_JULIO_2025[[#This Row],[META]]</f>
        <v>0.54141935483870973</v>
      </c>
      <c r="N77" t="str" cm="1">
        <f t="array" ref="N7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77" t="s">
        <v>8</v>
      </c>
      <c r="P77">
        <f>SUM(DATA_JULIO_2025[[#This Row],[1]:[31]])</f>
        <v>8392</v>
      </c>
      <c r="Q77">
        <v>15500</v>
      </c>
      <c r="R77" t="s">
        <v>84</v>
      </c>
      <c r="T77">
        <v>2000</v>
      </c>
      <c r="U77">
        <v>700</v>
      </c>
      <c r="V77">
        <v>230</v>
      </c>
      <c r="Z77">
        <v>310</v>
      </c>
      <c r="AC77">
        <v>1550</v>
      </c>
      <c r="AI77">
        <v>1000</v>
      </c>
      <c r="AM77">
        <v>350</v>
      </c>
      <c r="AR77">
        <v>200</v>
      </c>
      <c r="AV77">
        <v>2052</v>
      </c>
      <c r="AX77" t="s">
        <v>153</v>
      </c>
    </row>
    <row r="78" spans="1:50" x14ac:dyDescent="0.25">
      <c r="A78" s="2" t="str">
        <f>D1_JULIO_2025[[#This Row],[SUPER2]]</f>
        <v>LUIS</v>
      </c>
      <c r="B78" s="2" t="s">
        <v>50</v>
      </c>
      <c r="C78" s="2">
        <f>VLOOKUP(D1_JULIO_2025[[#This Row],[SUPER]],DATA_JULIO_2025[[SUPERVISOR]:[META]],3,0)</f>
        <v>15500</v>
      </c>
      <c r="D78" s="2">
        <f>D1_JULIO_2025[[#This Row],[RECUPERO]]/C78</f>
        <v>0.76419354838709674</v>
      </c>
      <c r="E78" t="s">
        <v>9</v>
      </c>
      <c r="F78" t="s">
        <v>50</v>
      </c>
      <c r="G78">
        <v>11845</v>
      </c>
      <c r="H78" t="s">
        <v>402</v>
      </c>
      <c r="I78" s="56">
        <v>45523</v>
      </c>
      <c r="J78" t="s">
        <v>501</v>
      </c>
      <c r="L78" s="56"/>
      <c r="M78" s="1">
        <f>DATA_JULIO_2025[[#This Row],[RECUPERO]]/DATA_JULIO_2025[[#This Row],[META]]</f>
        <v>0.25064615384615385</v>
      </c>
      <c r="N78" t="str" cm="1">
        <f t="array" ref="N7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78" t="s">
        <v>4</v>
      </c>
      <c r="P78">
        <f>SUM(DATA_JULIO_2025[[#This Row],[1]:[31]])</f>
        <v>16292</v>
      </c>
      <c r="Q78">
        <v>65000</v>
      </c>
      <c r="R78" t="s">
        <v>63</v>
      </c>
      <c r="S78">
        <v>260</v>
      </c>
      <c r="AC78">
        <v>2760</v>
      </c>
      <c r="AI78">
        <v>1500</v>
      </c>
      <c r="AQ78">
        <v>3000</v>
      </c>
      <c r="AV78">
        <v>6072</v>
      </c>
      <c r="AW78">
        <v>2700</v>
      </c>
      <c r="AX78" t="s">
        <v>155</v>
      </c>
    </row>
    <row r="79" spans="1:50" x14ac:dyDescent="0.25">
      <c r="A79" s="2" t="str">
        <f>D1_JULIO_2025[[#This Row],[SUPER2]]</f>
        <v>LUIS</v>
      </c>
      <c r="B79" s="2" t="s">
        <v>53</v>
      </c>
      <c r="C79" s="2">
        <f>VLOOKUP(D1_JULIO_2025[[#This Row],[SUPER]],DATA_JULIO_2025[[SUPERVISOR]:[META]],3,0)</f>
        <v>15500</v>
      </c>
      <c r="D79" s="2">
        <f>D1_JULIO_2025[[#This Row],[RECUPERO]]/C79</f>
        <v>0.8180645161290323</v>
      </c>
      <c r="E79" t="s">
        <v>9</v>
      </c>
      <c r="F79" t="s">
        <v>53</v>
      </c>
      <c r="G79">
        <v>12680</v>
      </c>
      <c r="H79" t="s">
        <v>457</v>
      </c>
      <c r="I79" s="56">
        <v>45727</v>
      </c>
      <c r="J79" t="s">
        <v>501</v>
      </c>
      <c r="L79" s="56"/>
      <c r="M79" s="1">
        <f>DATA_JULIO_2025[[#This Row],[RECUPERO]]/DATA_JULIO_2025[[#This Row],[META]]</f>
        <v>0.80909677419354842</v>
      </c>
      <c r="N79" t="str" cm="1">
        <f t="array" ref="N7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79" t="s">
        <v>7</v>
      </c>
      <c r="P79">
        <f>SUM(DATA_JULIO_2025[[#This Row],[1]:[31]])</f>
        <v>12541</v>
      </c>
      <c r="Q79">
        <v>15500</v>
      </c>
      <c r="R79" t="s">
        <v>103</v>
      </c>
      <c r="T79">
        <v>2300</v>
      </c>
      <c r="Y79">
        <v>200</v>
      </c>
      <c r="AG79">
        <v>3000</v>
      </c>
      <c r="AH79">
        <v>3300</v>
      </c>
      <c r="AI79">
        <v>241</v>
      </c>
      <c r="AJ79">
        <v>2500</v>
      </c>
      <c r="AM79">
        <v>1000</v>
      </c>
      <c r="AX79" t="s">
        <v>152</v>
      </c>
    </row>
    <row r="80" spans="1:50" x14ac:dyDescent="0.25">
      <c r="A80" s="2" t="str">
        <f>D1_JULIO_2025[[#This Row],[SUPER2]]</f>
        <v>LUIS</v>
      </c>
      <c r="B80" s="2" t="s">
        <v>56</v>
      </c>
      <c r="C80" s="2">
        <f>VLOOKUP(D1_JULIO_2025[[#This Row],[SUPER]],DATA_JULIO_2025[[SUPERVISOR]:[META]],3,0)</f>
        <v>15500</v>
      </c>
      <c r="D80" s="2">
        <f>D1_JULIO_2025[[#This Row],[RECUPERO]]/C80</f>
        <v>0.58606451612903221</v>
      </c>
      <c r="E80" t="s">
        <v>9</v>
      </c>
      <c r="F80" t="s">
        <v>56</v>
      </c>
      <c r="G80">
        <v>9084</v>
      </c>
      <c r="H80" t="s">
        <v>464</v>
      </c>
      <c r="I80" s="56">
        <v>45772</v>
      </c>
      <c r="J80" t="s">
        <v>501</v>
      </c>
      <c r="L80" s="56"/>
      <c r="M80" s="1">
        <f>DATA_JULIO_2025[[#This Row],[RECUPERO]]/DATA_JULIO_2025[[#This Row],[META]]</f>
        <v>1.421741935483871</v>
      </c>
      <c r="N80" t="str" cm="1">
        <f t="array" ref="N80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80" t="s">
        <v>9</v>
      </c>
      <c r="P80">
        <f>SUM(DATA_JULIO_2025[[#This Row],[1]:[31]])</f>
        <v>22037</v>
      </c>
      <c r="Q80">
        <v>15500</v>
      </c>
      <c r="R80" t="s">
        <v>73</v>
      </c>
      <c r="S80">
        <v>1000</v>
      </c>
      <c r="T80">
        <v>417</v>
      </c>
      <c r="U80">
        <v>200</v>
      </c>
      <c r="V80">
        <v>1000</v>
      </c>
      <c r="Z80">
        <v>200</v>
      </c>
      <c r="AA80">
        <v>200</v>
      </c>
      <c r="AB80">
        <v>3000</v>
      </c>
      <c r="AF80">
        <v>2500</v>
      </c>
      <c r="AG80">
        <v>200</v>
      </c>
      <c r="AI80">
        <v>1500</v>
      </c>
      <c r="AJ80">
        <v>1440</v>
      </c>
      <c r="AM80">
        <v>200</v>
      </c>
      <c r="AN80">
        <v>3000</v>
      </c>
      <c r="AQ80">
        <v>1400</v>
      </c>
      <c r="AV80">
        <v>900</v>
      </c>
      <c r="AW80">
        <v>4880</v>
      </c>
      <c r="AX80" t="s">
        <v>153</v>
      </c>
    </row>
    <row r="81" spans="1:50" x14ac:dyDescent="0.25">
      <c r="A81" s="2" t="str">
        <f>D1_JULIO_2025[[#This Row],[SUPER2]]</f>
        <v>LUIS</v>
      </c>
      <c r="B81" s="2" t="s">
        <v>51</v>
      </c>
      <c r="C81" s="2">
        <f>VLOOKUP(D1_JULIO_2025[[#This Row],[SUPER]],DATA_JULIO_2025[[SUPERVISOR]:[META]],3,0)</f>
        <v>15500</v>
      </c>
      <c r="D81" s="2">
        <f>D1_JULIO_2025[[#This Row],[RECUPERO]]/C81</f>
        <v>0.53812903225806452</v>
      </c>
      <c r="E81" t="s">
        <v>9</v>
      </c>
      <c r="F81" t="s">
        <v>51</v>
      </c>
      <c r="G81">
        <v>8341</v>
      </c>
      <c r="H81" t="s">
        <v>413</v>
      </c>
      <c r="I81" s="56">
        <v>45674</v>
      </c>
      <c r="J81" t="s">
        <v>501</v>
      </c>
      <c r="L81" s="56"/>
      <c r="M81" s="1">
        <f>DATA_JULIO_2025[[#This Row],[RECUPERO]]/DATA_JULIO_2025[[#This Row],[META]]</f>
        <v>0.15901851851851853</v>
      </c>
      <c r="N81" t="str" cm="1">
        <f t="array" ref="N81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81" t="s">
        <v>2</v>
      </c>
      <c r="P81">
        <f>SUM(DATA_JULIO_2025[[#This Row],[1]:[31]])</f>
        <v>8587</v>
      </c>
      <c r="Q81">
        <v>54000</v>
      </c>
      <c r="R81" t="s">
        <v>86</v>
      </c>
      <c r="S81">
        <v>1300</v>
      </c>
      <c r="Z81">
        <v>537</v>
      </c>
      <c r="AB81">
        <v>600</v>
      </c>
      <c r="AG81">
        <v>3500</v>
      </c>
      <c r="AK81">
        <v>450</v>
      </c>
      <c r="AQ81">
        <v>2200</v>
      </c>
      <c r="AX81" t="s">
        <v>150</v>
      </c>
    </row>
    <row r="82" spans="1:50" x14ac:dyDescent="0.25">
      <c r="A82" s="2" t="str">
        <f>D1_JULIO_2025[[#This Row],[SUPER2]]</f>
        <v>LUIS</v>
      </c>
      <c r="B82" s="2" t="s">
        <v>54</v>
      </c>
      <c r="C82" s="2">
        <f>VLOOKUP(D1_JULIO_2025[[#This Row],[SUPER]],DATA_JULIO_2025[[SUPERVISOR]:[META]],3,0)</f>
        <v>15500</v>
      </c>
      <c r="D82" s="2">
        <f>D1_JULIO_2025[[#This Row],[RECUPERO]]/C82</f>
        <v>0.50638709677419358</v>
      </c>
      <c r="E82" t="s">
        <v>9</v>
      </c>
      <c r="F82" t="s">
        <v>54</v>
      </c>
      <c r="G82">
        <v>7849</v>
      </c>
      <c r="H82" t="s">
        <v>474</v>
      </c>
      <c r="I82" s="56">
        <v>45819</v>
      </c>
      <c r="J82" t="s">
        <v>501</v>
      </c>
      <c r="L82" s="56"/>
      <c r="M82" s="1">
        <f>DATA_JULIO_2025[[#This Row],[RECUPERO]]/DATA_JULIO_2025[[#This Row],[META]]</f>
        <v>0.85</v>
      </c>
      <c r="N82" t="str" cm="1">
        <f t="array" ref="N82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82" t="s">
        <v>6</v>
      </c>
      <c r="P82">
        <f>SUM(DATA_JULIO_2025[[#This Row],[1]:[31]])</f>
        <v>22100</v>
      </c>
      <c r="Q82">
        <v>26000</v>
      </c>
      <c r="R82" t="s">
        <v>34</v>
      </c>
      <c r="S82">
        <v>500</v>
      </c>
      <c r="U82">
        <v>3600</v>
      </c>
      <c r="Y82">
        <v>2220</v>
      </c>
      <c r="Z82">
        <v>220</v>
      </c>
      <c r="AA82">
        <v>200</v>
      </c>
      <c r="AF82">
        <v>3087</v>
      </c>
      <c r="AG82">
        <v>5500</v>
      </c>
      <c r="AH82">
        <v>800</v>
      </c>
      <c r="AJ82">
        <v>450</v>
      </c>
      <c r="AM82">
        <v>500</v>
      </c>
      <c r="AN82">
        <v>400</v>
      </c>
      <c r="AQ82">
        <v>1270</v>
      </c>
      <c r="AV82">
        <v>1300</v>
      </c>
      <c r="AW82">
        <v>2053</v>
      </c>
      <c r="AX82" t="s">
        <v>156</v>
      </c>
    </row>
    <row r="83" spans="1:50" x14ac:dyDescent="0.25">
      <c r="A83" s="2" t="str">
        <f>D1_JULIO_2025[[#This Row],[SUPER2]]</f>
        <v>LUIS</v>
      </c>
      <c r="B83" s="2" t="s">
        <v>55</v>
      </c>
      <c r="C83" s="2">
        <f>VLOOKUP(D1_JULIO_2025[[#This Row],[SUPER]],DATA_JULIO_2025[[SUPERVISOR]:[META]],3,0)</f>
        <v>15500</v>
      </c>
      <c r="D83" s="2">
        <f>D1_JULIO_2025[[#This Row],[RECUPERO]]/C83</f>
        <v>0.41625806451612901</v>
      </c>
      <c r="E83" t="s">
        <v>9</v>
      </c>
      <c r="F83" t="s">
        <v>55</v>
      </c>
      <c r="G83">
        <v>6452</v>
      </c>
      <c r="H83" t="s">
        <v>475</v>
      </c>
      <c r="I83" s="56">
        <v>45818</v>
      </c>
      <c r="J83" t="s">
        <v>501</v>
      </c>
      <c r="L83" s="56"/>
      <c r="M83" s="1">
        <f>DATA_JULIO_2025[[#This Row],[RECUPERO]]/DATA_JULIO_2025[[#This Row],[META]]</f>
        <v>0.13592307692307692</v>
      </c>
      <c r="N83" t="str" cm="1">
        <f t="array" ref="N83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&gt;0%</v>
      </c>
      <c r="O83" t="s">
        <v>3</v>
      </c>
      <c r="P83">
        <f>SUM(DATA_JULIO_2025[[#This Row],[1]:[31]])</f>
        <v>8835</v>
      </c>
      <c r="Q83">
        <v>65000</v>
      </c>
      <c r="R83" t="s">
        <v>30</v>
      </c>
      <c r="S83">
        <v>2650</v>
      </c>
      <c r="Y83">
        <v>1500</v>
      </c>
      <c r="Z83">
        <v>100</v>
      </c>
      <c r="AC83">
        <v>618</v>
      </c>
      <c r="AN83">
        <v>490</v>
      </c>
      <c r="AW83">
        <v>3477</v>
      </c>
      <c r="AX83" t="s">
        <v>155</v>
      </c>
    </row>
    <row r="84" spans="1:50" x14ac:dyDescent="0.25">
      <c r="A84" s="2" t="str">
        <f>D1_JULIO_2025[[#This Row],[SUPER2]]</f>
        <v>LUIS</v>
      </c>
      <c r="B84" s="2" t="s">
        <v>82</v>
      </c>
      <c r="C84" s="2">
        <f>VLOOKUP(D1_JULIO_2025[[#This Row],[SUPER]],DATA_JULIO_2025[[SUPERVISOR]:[META]],3,0)</f>
        <v>15500</v>
      </c>
      <c r="D84" s="2">
        <f>D1_JULIO_2025[[#This Row],[RECUPERO]]/C84</f>
        <v>0.21612903225806451</v>
      </c>
      <c r="E84" t="s">
        <v>9</v>
      </c>
      <c r="F84" t="s">
        <v>82</v>
      </c>
      <c r="G84">
        <v>3350</v>
      </c>
      <c r="H84" t="s">
        <v>465</v>
      </c>
      <c r="I84" s="56">
        <v>45798</v>
      </c>
      <c r="J84" t="s">
        <v>501</v>
      </c>
      <c r="L84" s="56"/>
      <c r="M84" s="1">
        <f>DATA_JULIO_2025[[#This Row],[RECUPERO]]/DATA_JULIO_2025[[#This Row],[META]]</f>
        <v>2.1562692307692308</v>
      </c>
      <c r="N84" t="str" cm="1">
        <f t="array" ref="N84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84" t="s">
        <v>6</v>
      </c>
      <c r="P84">
        <f>SUM(DATA_JULIO_2025[[#This Row],[1]:[31]])</f>
        <v>56063</v>
      </c>
      <c r="Q84">
        <v>26000</v>
      </c>
      <c r="R84" t="s">
        <v>78</v>
      </c>
      <c r="V84">
        <v>800</v>
      </c>
      <c r="Y84">
        <v>853</v>
      </c>
      <c r="AA84">
        <v>25812</v>
      </c>
      <c r="AC84">
        <v>8000</v>
      </c>
      <c r="AF84">
        <v>1500</v>
      </c>
      <c r="AG84">
        <v>1200</v>
      </c>
      <c r="AH84">
        <v>843</v>
      </c>
      <c r="AI84">
        <v>1700</v>
      </c>
      <c r="AJ84">
        <v>3700</v>
      </c>
      <c r="AM84">
        <v>2395</v>
      </c>
      <c r="AV84">
        <v>6800</v>
      </c>
      <c r="AW84">
        <v>2460</v>
      </c>
      <c r="AX84" t="s">
        <v>156</v>
      </c>
    </row>
    <row r="85" spans="1:50" x14ac:dyDescent="0.25">
      <c r="A85" s="2" t="str">
        <f>D1_JULIO_2025[[#This Row],[SUPER2]]</f>
        <v>LUIS</v>
      </c>
      <c r="B85" s="2" t="s">
        <v>52</v>
      </c>
      <c r="C85" s="2">
        <f>VLOOKUP(D1_JULIO_2025[[#This Row],[SUPER]],DATA_JULIO_2025[[SUPERVISOR]:[META]],3,0)</f>
        <v>15500</v>
      </c>
      <c r="D85" s="2">
        <f>D1_JULIO_2025[[#This Row],[RECUPERO]]/C85</f>
        <v>0</v>
      </c>
      <c r="E85" t="s">
        <v>9</v>
      </c>
      <c r="F85" t="s">
        <v>52</v>
      </c>
      <c r="G85">
        <v>0</v>
      </c>
      <c r="H85" t="s">
        <v>480</v>
      </c>
      <c r="I85" s="56">
        <v>45862</v>
      </c>
      <c r="J85" t="s">
        <v>501</v>
      </c>
      <c r="L85" s="56"/>
      <c r="M85" s="1">
        <f>DATA_JULIO_2025[[#This Row],[RECUPERO]]/DATA_JULIO_2025[[#This Row],[META]]</f>
        <v>0.7699677419354839</v>
      </c>
      <c r="N85" t="str" cm="1">
        <f t="array" ref="N85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85" t="s">
        <v>8</v>
      </c>
      <c r="P85">
        <f>SUM(DATA_JULIO_2025[[#This Row],[1]:[31]])</f>
        <v>11934.5</v>
      </c>
      <c r="Q85">
        <v>15500</v>
      </c>
      <c r="R85" t="s">
        <v>48</v>
      </c>
      <c r="S85">
        <v>150</v>
      </c>
      <c r="T85">
        <v>250</v>
      </c>
      <c r="V85">
        <v>928</v>
      </c>
      <c r="Y85">
        <v>219.2</v>
      </c>
      <c r="Z85">
        <v>257.3</v>
      </c>
      <c r="AC85">
        <v>1500</v>
      </c>
      <c r="AF85">
        <v>775</v>
      </c>
      <c r="AG85">
        <v>400</v>
      </c>
      <c r="AI85">
        <v>1200</v>
      </c>
      <c r="AJ85">
        <v>1500</v>
      </c>
      <c r="AM85">
        <v>350</v>
      </c>
      <c r="AN85">
        <v>1700</v>
      </c>
      <c r="AP85">
        <v>200</v>
      </c>
      <c r="AQ85">
        <v>250</v>
      </c>
      <c r="AU85">
        <v>845</v>
      </c>
      <c r="AV85">
        <v>1000</v>
      </c>
      <c r="AW85">
        <v>410</v>
      </c>
      <c r="AX85" t="s">
        <v>153</v>
      </c>
    </row>
    <row r="86" spans="1:50" x14ac:dyDescent="0.25">
      <c r="M86" s="1">
        <f>DATA_JULIO_2025[[#This Row],[RECUPERO]]/DATA_JULIO_2025[[#This Row],[META]]</f>
        <v>0.94387037037037036</v>
      </c>
      <c r="N86" t="str" cm="1">
        <f t="array" ref="N86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&gt;70%</v>
      </c>
      <c r="O86" t="s">
        <v>2</v>
      </c>
      <c r="P86">
        <f>SUM(DATA_JULIO_2025[[#This Row],[1]:[31]])</f>
        <v>50969</v>
      </c>
      <c r="Q86">
        <v>54000</v>
      </c>
      <c r="R86" t="s">
        <v>10</v>
      </c>
      <c r="S86">
        <v>50</v>
      </c>
      <c r="T86">
        <v>1250</v>
      </c>
      <c r="U86">
        <v>1500</v>
      </c>
      <c r="Z86">
        <v>2200</v>
      </c>
      <c r="AA86">
        <v>400</v>
      </c>
      <c r="AF86">
        <v>1200</v>
      </c>
      <c r="AG86">
        <v>4500</v>
      </c>
      <c r="AH86">
        <v>1400</v>
      </c>
      <c r="AJ86">
        <v>4000</v>
      </c>
      <c r="AM86">
        <v>4100</v>
      </c>
      <c r="AP86">
        <v>2000</v>
      </c>
      <c r="AQ86">
        <v>362</v>
      </c>
      <c r="AS86">
        <v>485</v>
      </c>
      <c r="AT86">
        <v>642</v>
      </c>
      <c r="AV86">
        <v>4180</v>
      </c>
      <c r="AW86">
        <v>22700</v>
      </c>
      <c r="AX86" t="s">
        <v>150</v>
      </c>
    </row>
    <row r="87" spans="1:50" x14ac:dyDescent="0.25">
      <c r="M87" s="1">
        <f>DATA_JULIO_2025[[#This Row],[RECUPERO]]/DATA_JULIO_2025[[#This Row],[META]]</f>
        <v>2.1022955384615383</v>
      </c>
      <c r="N87" t="str" cm="1">
        <f t="array" ref="N87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&gt;100%</v>
      </c>
      <c r="O87" t="s">
        <v>3</v>
      </c>
      <c r="P87">
        <f>SUM(DATA_JULIO_2025[[#This Row],[1]:[31]])</f>
        <v>136649.21</v>
      </c>
      <c r="Q87">
        <v>65000</v>
      </c>
      <c r="R87" t="s">
        <v>76</v>
      </c>
      <c r="U87">
        <v>30826.81</v>
      </c>
      <c r="Y87">
        <v>9762</v>
      </c>
      <c r="Z87">
        <v>2000</v>
      </c>
      <c r="AB87">
        <v>2000</v>
      </c>
      <c r="AC87">
        <v>20700</v>
      </c>
      <c r="AF87">
        <v>15870</v>
      </c>
      <c r="AG87">
        <v>3420</v>
      </c>
      <c r="AH87">
        <v>2800</v>
      </c>
      <c r="AL87">
        <v>600</v>
      </c>
      <c r="AM87">
        <v>17264</v>
      </c>
      <c r="AP87">
        <v>506.4</v>
      </c>
      <c r="AV87">
        <v>12500</v>
      </c>
      <c r="AW87">
        <v>18400</v>
      </c>
      <c r="AX87" t="s">
        <v>155</v>
      </c>
    </row>
    <row r="88" spans="1:50" x14ac:dyDescent="0.25">
      <c r="M88" s="1">
        <f>DATA_JULIO_2025[[#This Row],[RECUPERO]]/DATA_JULIO_2025[[#This Row],[META]]</f>
        <v>0.43580769230769228</v>
      </c>
      <c r="N88" t="str" cm="1">
        <f t="array" ref="N88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88" t="s">
        <v>6</v>
      </c>
      <c r="P88">
        <f>SUM(DATA_JULIO_2025[[#This Row],[1]:[31]])</f>
        <v>11331</v>
      </c>
      <c r="Q88">
        <v>26000</v>
      </c>
      <c r="R88" t="s">
        <v>39</v>
      </c>
      <c r="T88">
        <v>231</v>
      </c>
      <c r="Y88">
        <v>50</v>
      </c>
      <c r="AA88">
        <v>233</v>
      </c>
      <c r="AC88">
        <v>155</v>
      </c>
      <c r="AF88">
        <v>1849</v>
      </c>
      <c r="AG88">
        <v>609</v>
      </c>
      <c r="AH88">
        <v>1352</v>
      </c>
      <c r="AI88">
        <v>500</v>
      </c>
      <c r="AJ88">
        <v>3000</v>
      </c>
      <c r="AM88">
        <v>467</v>
      </c>
      <c r="AN88">
        <v>450</v>
      </c>
      <c r="AQ88">
        <v>400</v>
      </c>
      <c r="AV88">
        <v>406</v>
      </c>
      <c r="AW88">
        <v>1629</v>
      </c>
      <c r="AX88" t="s">
        <v>156</v>
      </c>
    </row>
    <row r="89" spans="1:50" x14ac:dyDescent="0.25">
      <c r="M89" s="1">
        <f>DATA_JULIO_2025[[#This Row],[RECUPERO]]/DATA_JULIO_2025[[#This Row],[META]]</f>
        <v>0.58606451612903221</v>
      </c>
      <c r="N89" t="str" cm="1">
        <f t="array" ref="N89">IF(DATA_JULIO_2025[[#This Row],[ASER_]]="","",IFERROR(_xlfn.IFS(DATA_JULIO_2025[[#This Row],[AL_AC]]&gt;=100%,"&gt;100%",AND(DATA_JULIO_2025[[#This Row],[AL_AC]]&lt;100%,DATA_JULIO_2025[[#This Row],[AL_AC]]&gt;=70%),"&gt;70%",AND(DATA_JULIO_2025[[#This Row],[AL_AC]]&lt;70%,DATA_JULIO_2025[[#This Row],[AL_AC]]&gt;=40%),"&gt;40%",AND(DATA_JULIO_2025[[#This Row],[AL_AC]]&lt;40%,DATA_JULIO_2025[[#This Row],[AL_AC]]&gt;=0%),"&gt;0%"),""))</f>
        <v>&gt;40%</v>
      </c>
      <c r="O89" t="s">
        <v>9</v>
      </c>
      <c r="P89">
        <f>SUM(DATA_JULIO_2025[[#This Row],[1]:[31]])</f>
        <v>9084</v>
      </c>
      <c r="Q89">
        <v>15500</v>
      </c>
      <c r="R89" t="s">
        <v>56</v>
      </c>
      <c r="S89">
        <v>250</v>
      </c>
      <c r="T89">
        <v>1000</v>
      </c>
      <c r="U89">
        <v>207</v>
      </c>
      <c r="Y89">
        <v>300</v>
      </c>
      <c r="Z89">
        <v>750</v>
      </c>
      <c r="AA89">
        <v>200</v>
      </c>
      <c r="AB89">
        <v>900</v>
      </c>
      <c r="AI89">
        <v>667</v>
      </c>
      <c r="AJ89">
        <v>1600</v>
      </c>
      <c r="AM89">
        <v>1000</v>
      </c>
      <c r="AN89">
        <v>560</v>
      </c>
      <c r="AQ89">
        <v>350</v>
      </c>
      <c r="AV89">
        <v>250</v>
      </c>
      <c r="AW89">
        <v>1050</v>
      </c>
      <c r="AX89" t="s">
        <v>153</v>
      </c>
    </row>
  </sheetData>
  <sheetProtection formatCells="0" insertColumns="0" insertRows="0" deleteColumns="0" deleteRows="0" sort="0" autoFilter="0" pivotTables="0"/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0B0C-DA6F-416C-8C67-D086E138C113}">
  <sheetPr codeName="Hoja2"/>
  <dimension ref="A1:CI91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9.42578125" customWidth="1"/>
    <col min="2" max="3" width="22.7109375" customWidth="1"/>
    <col min="4" max="5" width="13.42578125" customWidth="1"/>
    <col min="6" max="6" width="12.28515625" customWidth="1"/>
    <col min="7" max="7" width="10.42578125" customWidth="1"/>
    <col min="8" max="8" width="11.42578125" customWidth="1"/>
    <col min="9" max="9" width="11.42578125" style="56" customWidth="1"/>
    <col min="10" max="12" width="11.42578125" customWidth="1"/>
    <col min="13" max="13" width="16" bestFit="1" customWidth="1"/>
    <col min="14" max="14" width="15.140625" bestFit="1" customWidth="1"/>
    <col min="15" max="15" width="22.7109375" customWidth="1"/>
    <col min="16" max="16" width="11.42578125" customWidth="1"/>
    <col min="18" max="18" width="27.28515625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58" t="s">
        <v>376</v>
      </c>
      <c r="I2" s="70" t="s">
        <v>558</v>
      </c>
      <c r="J2" s="60" t="s">
        <v>499</v>
      </c>
      <c r="K2" s="60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67" t="str">
        <f>D1_AGOSTO_2025[[#This Row],[SUPER2]]</f>
        <v>LEONOR</v>
      </c>
      <c r="B3" s="66" t="s">
        <v>74</v>
      </c>
      <c r="C3" s="67"/>
      <c r="D3" s="67"/>
      <c r="E3" s="67" t="s">
        <v>7</v>
      </c>
      <c r="F3" s="66" t="s">
        <v>74</v>
      </c>
      <c r="G3" s="66"/>
      <c r="H3" s="66" t="s">
        <v>395</v>
      </c>
      <c r="I3" s="68">
        <v>44470</v>
      </c>
      <c r="J3" s="68" t="s">
        <v>500</v>
      </c>
      <c r="L3" s="56"/>
      <c r="M3" s="33">
        <v>2025</v>
      </c>
      <c r="N3" s="33" t="s">
        <v>146</v>
      </c>
      <c r="O3" s="33">
        <v>20</v>
      </c>
    </row>
    <row r="4" spans="1:87" x14ac:dyDescent="0.25">
      <c r="A4" s="67" t="str">
        <f>D1_AGOSTO_2025[[#This Row],[SUPER2]]</f>
        <v>MELINA</v>
      </c>
      <c r="B4" s="66" t="s">
        <v>75</v>
      </c>
      <c r="C4" s="67"/>
      <c r="D4" s="67"/>
      <c r="E4" s="67" t="s">
        <v>4</v>
      </c>
      <c r="F4" s="66" t="s">
        <v>75</v>
      </c>
      <c r="G4" s="66"/>
      <c r="H4" s="66" t="s">
        <v>428</v>
      </c>
      <c r="I4" s="68">
        <v>44714</v>
      </c>
      <c r="J4" s="68" t="s">
        <v>500</v>
      </c>
      <c r="L4" s="56"/>
    </row>
    <row r="5" spans="1:87" x14ac:dyDescent="0.25">
      <c r="A5" s="67" t="str">
        <f>D1_AGOSTO_2025[[#This Row],[SUPER2]]</f>
        <v>JOHAN</v>
      </c>
      <c r="B5" s="66" t="s">
        <v>76</v>
      </c>
      <c r="C5" s="67"/>
      <c r="D5" s="67"/>
      <c r="E5" s="67" t="s">
        <v>125</v>
      </c>
      <c r="F5" s="66" t="s">
        <v>76</v>
      </c>
      <c r="G5" s="66"/>
      <c r="H5" s="66" t="s">
        <v>408</v>
      </c>
      <c r="I5" s="68">
        <v>44817</v>
      </c>
      <c r="J5" s="68" t="s">
        <v>500</v>
      </c>
      <c r="L5" s="56"/>
    </row>
    <row r="6" spans="1:87" x14ac:dyDescent="0.25">
      <c r="A6" s="67" t="str">
        <f>D1_AGOSTO_2025[[#This Row],[SUPER2]]</f>
        <v>LUIS</v>
      </c>
      <c r="B6" s="66" t="s">
        <v>77</v>
      </c>
      <c r="C6" s="67"/>
      <c r="D6" s="67"/>
      <c r="E6" s="67" t="s">
        <v>9</v>
      </c>
      <c r="F6" s="66" t="s">
        <v>77</v>
      </c>
      <c r="G6" s="66"/>
      <c r="H6" s="66" t="s">
        <v>393</v>
      </c>
      <c r="I6" s="68">
        <v>44838</v>
      </c>
      <c r="J6" s="68" t="s">
        <v>500</v>
      </c>
      <c r="L6" s="56"/>
    </row>
    <row r="7" spans="1:87" x14ac:dyDescent="0.25">
      <c r="A7" s="67" t="str">
        <f>D1_AGOSTO_2025[[#This Row],[SUPER2]]</f>
        <v>KENNETH</v>
      </c>
      <c r="B7" s="66" t="s">
        <v>78</v>
      </c>
      <c r="C7" s="67"/>
      <c r="D7" s="67"/>
      <c r="E7" s="67" t="s">
        <v>6</v>
      </c>
      <c r="F7" s="66" t="s">
        <v>78</v>
      </c>
      <c r="G7" s="66"/>
      <c r="H7" s="66" t="s">
        <v>397</v>
      </c>
      <c r="I7" s="68">
        <v>44943</v>
      </c>
      <c r="J7" s="68" t="s">
        <v>500</v>
      </c>
      <c r="L7" s="56"/>
    </row>
    <row r="8" spans="1:87" x14ac:dyDescent="0.25">
      <c r="A8" s="67" t="str">
        <f>D1_AGOSTO_2025[[#This Row],[SUPER2]]</f>
        <v>JORDAN</v>
      </c>
      <c r="B8" s="66" t="s">
        <v>79</v>
      </c>
      <c r="C8" s="67"/>
      <c r="D8" s="67"/>
      <c r="E8" s="67" t="s">
        <v>5</v>
      </c>
      <c r="F8" s="66" t="s">
        <v>79</v>
      </c>
      <c r="G8" s="66"/>
      <c r="H8" s="66" t="s">
        <v>453</v>
      </c>
      <c r="I8" s="68">
        <v>45145</v>
      </c>
      <c r="J8" s="68" t="s">
        <v>500</v>
      </c>
      <c r="L8" s="56"/>
      <c r="M8" s="41" t="s">
        <v>87</v>
      </c>
      <c r="N8" s="42" t="s">
        <v>89</v>
      </c>
      <c r="O8" s="43" t="s">
        <v>133</v>
      </c>
      <c r="P8" s="43" t="s">
        <v>95</v>
      </c>
      <c r="Q8" s="43" t="s">
        <v>90</v>
      </c>
      <c r="R8" s="44" t="s">
        <v>88</v>
      </c>
      <c r="S8" s="71" t="s">
        <v>533</v>
      </c>
      <c r="T8" s="71" t="s">
        <v>503</v>
      </c>
      <c r="U8" s="71" t="s">
        <v>525</v>
      </c>
      <c r="V8" s="71" t="s">
        <v>529</v>
      </c>
      <c r="W8" s="71" t="s">
        <v>504</v>
      </c>
      <c r="X8" s="71" t="s">
        <v>505</v>
      </c>
      <c r="Y8" s="71" t="s">
        <v>506</v>
      </c>
      <c r="Z8" s="71" t="s">
        <v>507</v>
      </c>
      <c r="AA8" s="71" t="s">
        <v>508</v>
      </c>
      <c r="AB8" s="71" t="s">
        <v>526</v>
      </c>
      <c r="AC8" s="71" t="s">
        <v>530</v>
      </c>
      <c r="AD8" s="71" t="s">
        <v>509</v>
      </c>
      <c r="AE8" s="71" t="s">
        <v>510</v>
      </c>
      <c r="AF8" s="71" t="s">
        <v>511</v>
      </c>
      <c r="AG8" s="71" t="s">
        <v>512</v>
      </c>
      <c r="AH8" s="71" t="s">
        <v>513</v>
      </c>
      <c r="AI8" s="71" t="s">
        <v>527</v>
      </c>
      <c r="AJ8" s="71" t="s">
        <v>531</v>
      </c>
      <c r="AK8" s="71" t="s">
        <v>514</v>
      </c>
      <c r="AL8" s="71" t="s">
        <v>515</v>
      </c>
      <c r="AM8" s="71" t="s">
        <v>516</v>
      </c>
      <c r="AN8" s="71" t="s">
        <v>517</v>
      </c>
      <c r="AO8" s="71" t="s">
        <v>518</v>
      </c>
      <c r="AP8" s="71" t="s">
        <v>528</v>
      </c>
      <c r="AQ8" s="71" t="s">
        <v>532</v>
      </c>
      <c r="AR8" s="71" t="s">
        <v>519</v>
      </c>
      <c r="AS8" s="71" t="s">
        <v>520</v>
      </c>
      <c r="AT8" s="71" t="s">
        <v>521</v>
      </c>
      <c r="AU8" s="71" t="s">
        <v>522</v>
      </c>
      <c r="AV8" s="71" t="s">
        <v>523</v>
      </c>
      <c r="AW8" s="71" t="s">
        <v>524</v>
      </c>
      <c r="AX8" s="65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s="67" t="str">
        <f>D1_AGOSTO_2025[[#This Row],[SUPER2]]</f>
        <v>MELINA</v>
      </c>
      <c r="B9" s="66" t="s">
        <v>80</v>
      </c>
      <c r="C9" s="67"/>
      <c r="D9" s="67"/>
      <c r="E9" s="67" t="s">
        <v>4</v>
      </c>
      <c r="F9" s="66" t="s">
        <v>80</v>
      </c>
      <c r="G9" s="66"/>
      <c r="H9" s="66" t="s">
        <v>433</v>
      </c>
      <c r="I9" s="68">
        <v>45281</v>
      </c>
      <c r="J9" s="68" t="s">
        <v>500</v>
      </c>
      <c r="L9" s="56"/>
      <c r="M9" s="1">
        <f>DATA_AGOSTO_2025[[#This Row],[RECUPERO]]/DATA_AGOSTO_2025[[#This Row],[META]]</f>
        <v>0.64258064516129032</v>
      </c>
      <c r="N9" t="str" cm="1">
        <f t="array" ref="N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9" t="s">
        <v>7</v>
      </c>
      <c r="P9">
        <f>SUM(DATA_AGOSTO_2025[[#This Row],[1]:[31]])</f>
        <v>9960</v>
      </c>
      <c r="Q9">
        <v>15500</v>
      </c>
      <c r="R9" t="s">
        <v>18</v>
      </c>
      <c r="S9">
        <v>500</v>
      </c>
      <c r="W9">
        <v>1900</v>
      </c>
      <c r="AE9">
        <v>410</v>
      </c>
      <c r="AG9">
        <v>150</v>
      </c>
      <c r="AT9">
        <v>7000</v>
      </c>
      <c r="AX9" t="s">
        <v>152</v>
      </c>
      <c r="AZ9">
        <v>132595</v>
      </c>
      <c r="BA9" s="11">
        <f>MAX(DITE_AGOSTO_2025[[#This Row],[1]:[31]])</f>
        <v>109432.26000000001</v>
      </c>
      <c r="BB9" s="17">
        <f>DITE_AGOSTO_2025[[#This Row],[RECUPERO SUPERVISOR]]/DITE_AGOSTO_2025[[#This Row],[META SUPER]]</f>
        <v>0.82531211584147224</v>
      </c>
      <c r="BC9" t="s">
        <v>8</v>
      </c>
      <c r="BD9">
        <v>3153.8</v>
      </c>
      <c r="BE9">
        <v>3153.8</v>
      </c>
      <c r="BF9">
        <v>3733.8</v>
      </c>
      <c r="BG9">
        <v>7085.8</v>
      </c>
      <c r="BH9">
        <v>10179.799999999999</v>
      </c>
      <c r="BI9">
        <v>10179.799999999999</v>
      </c>
      <c r="BJ9">
        <v>15387.8</v>
      </c>
      <c r="BK9">
        <v>19184.8</v>
      </c>
      <c r="BL9">
        <v>19884.8</v>
      </c>
      <c r="BM9">
        <v>19884.8</v>
      </c>
      <c r="BN9">
        <v>22534.799999999999</v>
      </c>
      <c r="BO9">
        <v>24655.8</v>
      </c>
      <c r="BP9">
        <v>29045.8</v>
      </c>
      <c r="BQ9">
        <v>33795.800000000003</v>
      </c>
      <c r="BR9">
        <v>43807.8</v>
      </c>
      <c r="BS9">
        <v>43957.8</v>
      </c>
      <c r="BT9">
        <v>43957.8</v>
      </c>
      <c r="BU9">
        <v>52934.8</v>
      </c>
      <c r="BV9">
        <v>54554.8</v>
      </c>
      <c r="BW9">
        <v>60954.8</v>
      </c>
      <c r="BX9">
        <v>65799.8</v>
      </c>
      <c r="BY9">
        <v>74284.800000000003</v>
      </c>
      <c r="BZ9">
        <v>74634.8</v>
      </c>
      <c r="CA9">
        <v>74834.8</v>
      </c>
      <c r="CB9">
        <v>78552.800000000003</v>
      </c>
      <c r="CC9">
        <v>86160.8</v>
      </c>
      <c r="CD9">
        <v>87410.8</v>
      </c>
      <c r="CE9">
        <v>92670.8</v>
      </c>
      <c r="CF9">
        <v>109432.26000000001</v>
      </c>
      <c r="CG9">
        <v>109432.26000000001</v>
      </c>
      <c r="CH9">
        <v>109432.26000000001</v>
      </c>
      <c r="CI9" s="11" t="s">
        <v>153</v>
      </c>
    </row>
    <row r="10" spans="1:87" x14ac:dyDescent="0.25">
      <c r="A10" s="67" t="str">
        <f>D1_AGOSTO_2025[[#This Row],[SUPER2]]</f>
        <v>BRYAN</v>
      </c>
      <c r="B10" s="66" t="s">
        <v>81</v>
      </c>
      <c r="C10" s="67"/>
      <c r="D10" s="67"/>
      <c r="E10" s="67" t="s">
        <v>8</v>
      </c>
      <c r="F10" s="66" t="s">
        <v>81</v>
      </c>
      <c r="G10" s="66"/>
      <c r="H10" s="66" t="s">
        <v>425</v>
      </c>
      <c r="I10" s="68">
        <v>45511</v>
      </c>
      <c r="J10" s="68" t="s">
        <v>500</v>
      </c>
      <c r="L10" s="56"/>
      <c r="M10" s="1">
        <f>DATA_AGOSTO_2025[[#This Row],[RECUPERO]]/DATA_AGOSTO_2025[[#This Row],[META]]</f>
        <v>0.37806451612903225</v>
      </c>
      <c r="N10" t="str" cm="1">
        <f t="array" ref="N1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10" t="s">
        <v>7</v>
      </c>
      <c r="P10">
        <f>SUM(DATA_AGOSTO_2025[[#This Row],[1]:[31]])</f>
        <v>5860</v>
      </c>
      <c r="Q10">
        <v>15500</v>
      </c>
      <c r="R10" t="s">
        <v>21</v>
      </c>
      <c r="AE10">
        <v>100</v>
      </c>
      <c r="AF10">
        <v>1000</v>
      </c>
      <c r="AM10">
        <v>1500</v>
      </c>
      <c r="AS10">
        <v>260</v>
      </c>
      <c r="AT10">
        <v>3000</v>
      </c>
      <c r="AX10" t="s">
        <v>152</v>
      </c>
      <c r="AZ10">
        <v>683530</v>
      </c>
      <c r="BA10" s="11">
        <f>MAX(DITE_AGOSTO_2025[[#This Row],[1]:[31]])</f>
        <v>532733.6</v>
      </c>
      <c r="BB10" s="17">
        <f>DITE_AGOSTO_2025[[#This Row],[RECUPERO SUPERVISOR]]/DITE_AGOSTO_2025[[#This Row],[META SUPER]]</f>
        <v>0.77938583529618299</v>
      </c>
      <c r="BC10" t="s">
        <v>125</v>
      </c>
      <c r="BD10">
        <v>30080</v>
      </c>
      <c r="BE10">
        <v>30656</v>
      </c>
      <c r="BF10">
        <v>30656</v>
      </c>
      <c r="BG10">
        <v>37206</v>
      </c>
      <c r="BH10">
        <v>67206</v>
      </c>
      <c r="BI10">
        <v>68468</v>
      </c>
      <c r="BJ10">
        <v>95016.1</v>
      </c>
      <c r="BK10">
        <v>141501.1</v>
      </c>
      <c r="BL10">
        <v>145724.1</v>
      </c>
      <c r="BM10">
        <v>146530.1</v>
      </c>
      <c r="BN10">
        <v>171475.1</v>
      </c>
      <c r="BO10">
        <v>186675.1</v>
      </c>
      <c r="BP10">
        <v>211775.1</v>
      </c>
      <c r="BQ10">
        <v>218806.1</v>
      </c>
      <c r="BR10">
        <v>276851.09999999998</v>
      </c>
      <c r="BS10">
        <v>277751.09999999998</v>
      </c>
      <c r="BT10">
        <v>277751.09999999998</v>
      </c>
      <c r="BU10">
        <v>283269.09999999998</v>
      </c>
      <c r="BV10">
        <v>296069.09999999998</v>
      </c>
      <c r="BW10">
        <v>309469.09999999998</v>
      </c>
      <c r="BX10">
        <v>326633.09999999998</v>
      </c>
      <c r="BY10">
        <v>342136.1</v>
      </c>
      <c r="BZ10">
        <v>352936.1</v>
      </c>
      <c r="CA10">
        <v>352936.1</v>
      </c>
      <c r="CB10">
        <v>377886.1</v>
      </c>
      <c r="CC10">
        <v>384866.1</v>
      </c>
      <c r="CD10">
        <v>399466.1</v>
      </c>
      <c r="CE10">
        <v>413233.1</v>
      </c>
      <c r="CF10">
        <v>527247.6</v>
      </c>
      <c r="CG10">
        <v>532733.6</v>
      </c>
      <c r="CH10">
        <v>532733.6</v>
      </c>
      <c r="CI10" s="11" t="s">
        <v>155</v>
      </c>
    </row>
    <row r="11" spans="1:87" x14ac:dyDescent="0.25">
      <c r="A11" s="2" t="str">
        <f>D1_AGOSTO_2025[[#This Row],[SUPER2]]</f>
        <v>JOHAN</v>
      </c>
      <c r="B11" s="2" t="s">
        <v>23</v>
      </c>
      <c r="C11" s="2">
        <f>VLOOKUP(D1_AGOSTO_2025[[#This Row],[SUPER]],DATA_AGOSTO_2025[[SUPERVISOR]:[META]],3,0)</f>
        <v>72000</v>
      </c>
      <c r="D11" s="2">
        <f>D1_AGOSTO_2025[[#This Row],[RECUPERO]]/C11</f>
        <v>0.90440277777777778</v>
      </c>
      <c r="E11" t="s">
        <v>125</v>
      </c>
      <c r="F11" t="s">
        <v>23</v>
      </c>
      <c r="G11">
        <v>65117</v>
      </c>
      <c r="H11" t="s">
        <v>445</v>
      </c>
      <c r="I11" s="56">
        <v>44111</v>
      </c>
      <c r="J11" t="s">
        <v>501</v>
      </c>
      <c r="L11" s="56"/>
      <c r="M11" s="1">
        <f>DATA_AGOSTO_2025[[#This Row],[RECUPERO]]/DATA_AGOSTO_2025[[#This Row],[META]]</f>
        <v>0.71472222222222226</v>
      </c>
      <c r="N11" t="str" cm="1">
        <f t="array" ref="N1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11" t="s">
        <v>4</v>
      </c>
      <c r="P11">
        <f>SUM(DATA_AGOSTO_2025[[#This Row],[1]:[31]])</f>
        <v>51460</v>
      </c>
      <c r="Q11">
        <v>72000</v>
      </c>
      <c r="R11" t="s">
        <v>58</v>
      </c>
      <c r="S11">
        <v>1650</v>
      </c>
      <c r="V11">
        <v>19500</v>
      </c>
      <c r="W11">
        <v>4300</v>
      </c>
      <c r="Z11">
        <v>500</v>
      </c>
      <c r="AC11">
        <v>7200</v>
      </c>
      <c r="AD11">
        <v>350</v>
      </c>
      <c r="AG11">
        <v>282</v>
      </c>
      <c r="AH11">
        <v>475</v>
      </c>
      <c r="AL11">
        <v>600</v>
      </c>
      <c r="AM11">
        <v>823</v>
      </c>
      <c r="AO11">
        <v>1500</v>
      </c>
      <c r="AQ11">
        <v>650</v>
      </c>
      <c r="AR11">
        <v>630</v>
      </c>
      <c r="AT11">
        <v>13000</v>
      </c>
      <c r="AX11" t="s">
        <v>155</v>
      </c>
      <c r="AZ11">
        <v>458800</v>
      </c>
      <c r="BA11" s="11">
        <f>MAX(DITE_AGOSTO_2025[[#This Row],[1]:[31]])</f>
        <v>208377.07</v>
      </c>
      <c r="BB11" s="17">
        <f>DITE_AGOSTO_2025[[#This Row],[RECUPERO SUPERVISOR]]/DITE_AGOSTO_2025[[#This Row],[META SUPER]]</f>
        <v>0.45417844376634703</v>
      </c>
      <c r="BC11" t="s">
        <v>5</v>
      </c>
      <c r="BD11">
        <v>9877</v>
      </c>
      <c r="BE11">
        <v>10962</v>
      </c>
      <c r="BF11">
        <v>10962</v>
      </c>
      <c r="BG11">
        <v>17344.57</v>
      </c>
      <c r="BH11">
        <v>18864.57</v>
      </c>
      <c r="BI11">
        <v>19364.57</v>
      </c>
      <c r="BJ11">
        <v>28619.57</v>
      </c>
      <c r="BK11">
        <v>41672.07</v>
      </c>
      <c r="BL11">
        <v>42272.07</v>
      </c>
      <c r="BM11">
        <v>42272.07</v>
      </c>
      <c r="BN11">
        <v>47272.07</v>
      </c>
      <c r="BO11">
        <v>51272.07</v>
      </c>
      <c r="BP11">
        <v>52836.07</v>
      </c>
      <c r="BQ11">
        <v>62616.07</v>
      </c>
      <c r="BR11">
        <v>72999.070000000007</v>
      </c>
      <c r="BS11">
        <v>73599.070000000007</v>
      </c>
      <c r="BT11">
        <v>73599.070000000007</v>
      </c>
      <c r="BU11">
        <v>85913.07</v>
      </c>
      <c r="BV11">
        <v>99303.07</v>
      </c>
      <c r="BW11">
        <v>106684.07</v>
      </c>
      <c r="BX11">
        <v>111984.07</v>
      </c>
      <c r="BY11">
        <v>127222.07</v>
      </c>
      <c r="BZ11">
        <v>130429.07</v>
      </c>
      <c r="CA11">
        <v>130709.07</v>
      </c>
      <c r="CB11">
        <v>142709.07</v>
      </c>
      <c r="CC11">
        <v>153080.07</v>
      </c>
      <c r="CD11">
        <v>164580.07</v>
      </c>
      <c r="CE11">
        <v>177073.07</v>
      </c>
      <c r="CF11">
        <v>206712.07</v>
      </c>
      <c r="CG11">
        <v>207882.07</v>
      </c>
      <c r="CH11">
        <v>208377.07</v>
      </c>
      <c r="CI11" s="11" t="s">
        <v>150</v>
      </c>
    </row>
    <row r="12" spans="1:87" x14ac:dyDescent="0.25">
      <c r="A12" s="2" t="str">
        <f>D1_AGOSTO_2025[[#This Row],[SUPER2]]</f>
        <v>JOHAN</v>
      </c>
      <c r="B12" s="2" t="s">
        <v>24</v>
      </c>
      <c r="C12" s="2">
        <f>VLOOKUP(D1_AGOSTO_2025[[#This Row],[SUPER]],DATA_AGOSTO_2025[[SUPERVISOR]:[META]],3,0)</f>
        <v>72000</v>
      </c>
      <c r="D12" s="2">
        <f>D1_AGOSTO_2025[[#This Row],[RECUPERO]]/C12</f>
        <v>0.91249999999999998</v>
      </c>
      <c r="E12" t="s">
        <v>125</v>
      </c>
      <c r="F12" t="s">
        <v>24</v>
      </c>
      <c r="G12">
        <v>65700</v>
      </c>
      <c r="H12" t="s">
        <v>434</v>
      </c>
      <c r="I12" s="56">
        <v>45334</v>
      </c>
      <c r="J12" t="s">
        <v>501</v>
      </c>
      <c r="L12" s="56"/>
      <c r="M12" s="1">
        <f>DATA_AGOSTO_2025[[#This Row],[RECUPERO]]/DATA_AGOSTO_2025[[#This Row],[META]]</f>
        <v>0.35775625</v>
      </c>
      <c r="N12" t="str" cm="1">
        <f t="array" ref="N1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12" t="s">
        <v>9</v>
      </c>
      <c r="P12">
        <f>SUM(DATA_AGOSTO_2025[[#This Row],[1]:[31]])</f>
        <v>5724.1</v>
      </c>
      <c r="Q12">
        <v>16000</v>
      </c>
      <c r="R12" t="s">
        <v>54</v>
      </c>
      <c r="S12">
        <v>200</v>
      </c>
      <c r="V12">
        <v>150</v>
      </c>
      <c r="W12">
        <v>300</v>
      </c>
      <c r="Z12">
        <v>2108.1</v>
      </c>
      <c r="AC12">
        <v>300</v>
      </c>
      <c r="AF12">
        <v>150</v>
      </c>
      <c r="AG12">
        <v>766</v>
      </c>
      <c r="AH12">
        <v>100</v>
      </c>
      <c r="AL12">
        <v>800</v>
      </c>
      <c r="AM12">
        <v>200</v>
      </c>
      <c r="AR12">
        <v>200</v>
      </c>
      <c r="AT12">
        <v>450</v>
      </c>
      <c r="AX12" t="s">
        <v>153</v>
      </c>
      <c r="AZ12">
        <v>458800</v>
      </c>
      <c r="BA12" s="11">
        <f>MAX(DITE_AGOSTO_2025[[#This Row],[1]:[31]])</f>
        <v>246696.56</v>
      </c>
      <c r="BB12" s="17">
        <f>DITE_AGOSTO_2025[[#This Row],[RECUPERO SUPERVISOR]]/DITE_AGOSTO_2025[[#This Row],[META SUPER]]</f>
        <v>0.53769956408020925</v>
      </c>
      <c r="BC12" t="s">
        <v>2</v>
      </c>
      <c r="BD12">
        <v>5180</v>
      </c>
      <c r="BE12">
        <v>5180</v>
      </c>
      <c r="BF12">
        <v>6380</v>
      </c>
      <c r="BG12">
        <v>13199</v>
      </c>
      <c r="BH12">
        <v>24372</v>
      </c>
      <c r="BI12">
        <v>25072</v>
      </c>
      <c r="BJ12">
        <v>29997</v>
      </c>
      <c r="BK12">
        <v>34997</v>
      </c>
      <c r="BL12">
        <v>35337</v>
      </c>
      <c r="BM12">
        <v>35337</v>
      </c>
      <c r="BN12">
        <v>37862</v>
      </c>
      <c r="BO12">
        <v>45082</v>
      </c>
      <c r="BP12">
        <v>50782</v>
      </c>
      <c r="BQ12">
        <v>52482</v>
      </c>
      <c r="BR12">
        <v>69005</v>
      </c>
      <c r="BS12">
        <v>69605</v>
      </c>
      <c r="BT12">
        <v>69605</v>
      </c>
      <c r="BU12">
        <v>71105</v>
      </c>
      <c r="BV12">
        <v>72267</v>
      </c>
      <c r="BW12">
        <v>98830</v>
      </c>
      <c r="BX12">
        <v>111182</v>
      </c>
      <c r="BY12">
        <v>123182</v>
      </c>
      <c r="BZ12">
        <v>125947</v>
      </c>
      <c r="CA12">
        <v>126635</v>
      </c>
      <c r="CB12">
        <v>147797</v>
      </c>
      <c r="CC12">
        <v>152597</v>
      </c>
      <c r="CD12">
        <v>171937.56</v>
      </c>
      <c r="CE12">
        <v>176656.56</v>
      </c>
      <c r="CF12">
        <v>242486.56</v>
      </c>
      <c r="CG12">
        <v>244186.56</v>
      </c>
      <c r="CH12">
        <v>246696.56</v>
      </c>
      <c r="CI12" s="11" t="s">
        <v>150</v>
      </c>
    </row>
    <row r="13" spans="1:87" x14ac:dyDescent="0.25">
      <c r="A13" s="2" t="str">
        <f>D1_AGOSTO_2025[[#This Row],[SUPER2]]</f>
        <v>JOHAN</v>
      </c>
      <c r="B13" s="2" t="s">
        <v>22</v>
      </c>
      <c r="C13" s="2">
        <f>VLOOKUP(D1_AGOSTO_2025[[#This Row],[SUPER]],DATA_AGOSTO_2025[[SUPERVISOR]:[META]],3,0)</f>
        <v>72000</v>
      </c>
      <c r="D13" s="2">
        <f>D1_AGOSTO_2025[[#This Row],[RECUPERO]]/C13</f>
        <v>0.80141666666666667</v>
      </c>
      <c r="E13" t="s">
        <v>125</v>
      </c>
      <c r="F13" t="s">
        <v>22</v>
      </c>
      <c r="G13">
        <v>57702</v>
      </c>
      <c r="H13" t="s">
        <v>442</v>
      </c>
      <c r="I13" s="56">
        <v>45299</v>
      </c>
      <c r="J13" t="s">
        <v>501</v>
      </c>
      <c r="L13" s="56"/>
      <c r="M13" s="1">
        <f>DATA_AGOSTO_2025[[#This Row],[RECUPERO]]/DATA_AGOSTO_2025[[#This Row],[META]]</f>
        <v>1.0126402777777779</v>
      </c>
      <c r="N13" t="str" cm="1">
        <f t="array" ref="N1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13" t="s">
        <v>4</v>
      </c>
      <c r="P13">
        <f>SUM(DATA_AGOSTO_2025[[#This Row],[1]:[31]])</f>
        <v>72910.100000000006</v>
      </c>
      <c r="Q13">
        <v>72000</v>
      </c>
      <c r="R13" t="s">
        <v>60</v>
      </c>
      <c r="T13">
        <v>800</v>
      </c>
      <c r="V13">
        <v>15100</v>
      </c>
      <c r="W13">
        <v>3000</v>
      </c>
      <c r="Z13">
        <v>2000.1</v>
      </c>
      <c r="AC13">
        <v>8200</v>
      </c>
      <c r="AE13">
        <v>15000</v>
      </c>
      <c r="AG13">
        <v>1000</v>
      </c>
      <c r="AH13">
        <v>1350</v>
      </c>
      <c r="AJ13">
        <v>2500</v>
      </c>
      <c r="AM13">
        <v>12200</v>
      </c>
      <c r="AN13">
        <v>260</v>
      </c>
      <c r="AO13">
        <v>1500</v>
      </c>
      <c r="AQ13">
        <v>2000</v>
      </c>
      <c r="AR13">
        <v>6500</v>
      </c>
      <c r="AS13">
        <v>1500</v>
      </c>
      <c r="AX13" t="s">
        <v>155</v>
      </c>
      <c r="AZ13">
        <v>260350</v>
      </c>
      <c r="BA13" s="11">
        <f>MAX(DITE_AGOSTO_2025[[#This Row],[1]:[31]])</f>
        <v>308948.83999999997</v>
      </c>
      <c r="BB13" s="17">
        <f>DITE_AGOSTO_2025[[#This Row],[RECUPERO SUPERVISOR]]/DITE_AGOSTO_2025[[#This Row],[META SUPER]]</f>
        <v>1.1866673324371038</v>
      </c>
      <c r="BC13" t="s">
        <v>6</v>
      </c>
      <c r="BD13">
        <v>4586</v>
      </c>
      <c r="BE13">
        <v>8586</v>
      </c>
      <c r="BF13">
        <v>8586</v>
      </c>
      <c r="BG13">
        <v>24176</v>
      </c>
      <c r="BH13">
        <v>27716</v>
      </c>
      <c r="BI13">
        <v>27766</v>
      </c>
      <c r="BJ13">
        <v>30484</v>
      </c>
      <c r="BK13">
        <v>33974</v>
      </c>
      <c r="BL13">
        <v>33974</v>
      </c>
      <c r="BM13">
        <v>33974</v>
      </c>
      <c r="BN13">
        <v>62859</v>
      </c>
      <c r="BO13">
        <v>66379</v>
      </c>
      <c r="BP13">
        <v>79601</v>
      </c>
      <c r="BQ13">
        <v>86246</v>
      </c>
      <c r="BR13">
        <v>89181.5</v>
      </c>
      <c r="BS13">
        <v>90581.8</v>
      </c>
      <c r="BT13">
        <v>90581.8</v>
      </c>
      <c r="BU13">
        <v>119408.8</v>
      </c>
      <c r="BV13">
        <v>126689.8</v>
      </c>
      <c r="BW13">
        <v>141659.79999999999</v>
      </c>
      <c r="BX13">
        <v>156216.79999999999</v>
      </c>
      <c r="BY13">
        <v>164806.79999999999</v>
      </c>
      <c r="BZ13">
        <v>165506.79999999999</v>
      </c>
      <c r="CA13">
        <v>165506.79999999999</v>
      </c>
      <c r="CB13">
        <v>194252.34</v>
      </c>
      <c r="CC13">
        <v>202437.34</v>
      </c>
      <c r="CD13">
        <v>207876.84</v>
      </c>
      <c r="CE13">
        <v>275539.83999999997</v>
      </c>
      <c r="CF13">
        <v>306948.83999999997</v>
      </c>
      <c r="CG13">
        <v>306948.83999999997</v>
      </c>
      <c r="CH13">
        <v>308948.83999999997</v>
      </c>
      <c r="CI13" s="11" t="s">
        <v>156</v>
      </c>
    </row>
    <row r="14" spans="1:87" x14ac:dyDescent="0.25">
      <c r="A14" s="2" t="str">
        <f>D1_AGOSTO_2025[[#This Row],[SUPER2]]</f>
        <v>JOHAN</v>
      </c>
      <c r="B14" s="2" t="s">
        <v>26</v>
      </c>
      <c r="C14" s="2">
        <f>VLOOKUP(D1_AGOSTO_2025[[#This Row],[SUPER]],DATA_AGOSTO_2025[[SUPERVISOR]:[META]],3,0)</f>
        <v>72000</v>
      </c>
      <c r="D14" s="2">
        <f>D1_AGOSTO_2025[[#This Row],[RECUPERO]]/C14</f>
        <v>0.53088888888888885</v>
      </c>
      <c r="E14" t="s">
        <v>125</v>
      </c>
      <c r="F14" t="s">
        <v>26</v>
      </c>
      <c r="G14">
        <v>38224</v>
      </c>
      <c r="H14" t="s">
        <v>391</v>
      </c>
      <c r="I14" s="56">
        <v>44259</v>
      </c>
      <c r="J14" t="s">
        <v>501</v>
      </c>
      <c r="L14" s="56"/>
      <c r="M14" s="1">
        <f>DATA_AGOSTO_2025[[#This Row],[RECUPERO]]/DATA_AGOSTO_2025[[#This Row],[META]]</f>
        <v>0.10811111111111112</v>
      </c>
      <c r="N14" t="str" cm="1">
        <f t="array" ref="N1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14" t="s">
        <v>2</v>
      </c>
      <c r="P14">
        <f>SUM(DATA_AGOSTO_2025[[#This Row],[1]:[31]])</f>
        <v>5838</v>
      </c>
      <c r="Q14">
        <v>54000</v>
      </c>
      <c r="R14" t="s">
        <v>15</v>
      </c>
      <c r="V14">
        <v>919</v>
      </c>
      <c r="AL14">
        <v>700</v>
      </c>
      <c r="AM14">
        <v>1800</v>
      </c>
      <c r="AO14">
        <v>1500</v>
      </c>
      <c r="AT14">
        <v>919</v>
      </c>
      <c r="AX14" t="s">
        <v>150</v>
      </c>
      <c r="AZ14">
        <v>154800</v>
      </c>
      <c r="BA14" s="11">
        <f>MAX(DITE_AGOSTO_2025[[#This Row],[1]:[31]])</f>
        <v>75445</v>
      </c>
      <c r="BB14" s="17">
        <f>DITE_AGOSTO_2025[[#This Row],[RECUPERO SUPERVISOR]]/DITE_AGOSTO_2025[[#This Row],[META SUPER]]</f>
        <v>0.48737080103359171</v>
      </c>
      <c r="BC14" t="s">
        <v>7</v>
      </c>
      <c r="BD14">
        <v>500</v>
      </c>
      <c r="BE14">
        <v>500</v>
      </c>
      <c r="BF14">
        <v>500</v>
      </c>
      <c r="BG14">
        <v>800</v>
      </c>
      <c r="BH14">
        <v>4200</v>
      </c>
      <c r="BI14">
        <v>4200</v>
      </c>
      <c r="BJ14">
        <v>5800</v>
      </c>
      <c r="BK14">
        <v>9470</v>
      </c>
      <c r="BL14">
        <v>9470</v>
      </c>
      <c r="BM14">
        <v>9470</v>
      </c>
      <c r="BN14">
        <v>13870</v>
      </c>
      <c r="BO14">
        <v>16870</v>
      </c>
      <c r="BP14">
        <v>25880</v>
      </c>
      <c r="BQ14">
        <v>27440</v>
      </c>
      <c r="BR14">
        <v>31470</v>
      </c>
      <c r="BS14">
        <v>31470</v>
      </c>
      <c r="BT14">
        <v>31470</v>
      </c>
      <c r="BU14">
        <v>34013</v>
      </c>
      <c r="BV14">
        <v>34363</v>
      </c>
      <c r="BW14">
        <v>36263</v>
      </c>
      <c r="BX14">
        <v>39463</v>
      </c>
      <c r="BY14">
        <v>39703</v>
      </c>
      <c r="BZ14">
        <v>39703</v>
      </c>
      <c r="CA14">
        <v>39703</v>
      </c>
      <c r="CB14">
        <v>40623</v>
      </c>
      <c r="CC14">
        <v>44023</v>
      </c>
      <c r="CD14">
        <v>44683</v>
      </c>
      <c r="CE14">
        <v>55983</v>
      </c>
      <c r="CF14">
        <v>74370</v>
      </c>
      <c r="CG14">
        <v>75295</v>
      </c>
      <c r="CH14">
        <v>75445</v>
      </c>
      <c r="CI14" s="11" t="s">
        <v>152</v>
      </c>
    </row>
    <row r="15" spans="1:87" x14ac:dyDescent="0.25">
      <c r="A15" s="2" t="str">
        <f>D1_AGOSTO_2025[[#This Row],[SUPER2]]</f>
        <v>JOHAN</v>
      </c>
      <c r="B15" s="2" t="s">
        <v>25</v>
      </c>
      <c r="C15" s="2">
        <f>VLOOKUP(D1_AGOSTO_2025[[#This Row],[SUPER]],DATA_AGOSTO_2025[[SUPERVISOR]:[META]],3,0)</f>
        <v>72000</v>
      </c>
      <c r="D15" s="2">
        <f>D1_AGOSTO_2025[[#This Row],[RECUPERO]]/C15</f>
        <v>0.65984722222222225</v>
      </c>
      <c r="E15" t="s">
        <v>125</v>
      </c>
      <c r="F15" t="s">
        <v>25</v>
      </c>
      <c r="G15">
        <v>47509</v>
      </c>
      <c r="H15" t="s">
        <v>446</v>
      </c>
      <c r="I15" s="56">
        <v>44820</v>
      </c>
      <c r="J15" t="s">
        <v>501</v>
      </c>
      <c r="L15" s="56"/>
      <c r="M15" s="1">
        <f>DATA_AGOSTO_2025[[#This Row],[RECUPERO]]/DATA_AGOSTO_2025[[#This Row],[META]]</f>
        <v>0.1125</v>
      </c>
      <c r="N15" t="str" cm="1">
        <f t="array" ref="N1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15" t="s">
        <v>8</v>
      </c>
      <c r="P15">
        <f>SUM(DATA_AGOSTO_2025[[#This Row],[1]:[31]])</f>
        <v>1800</v>
      </c>
      <c r="Q15">
        <v>16000</v>
      </c>
      <c r="R15" t="s">
        <v>92</v>
      </c>
      <c r="AD15">
        <v>400</v>
      </c>
      <c r="AG15">
        <v>200</v>
      </c>
      <c r="AJ15">
        <v>1000</v>
      </c>
      <c r="AQ15">
        <v>200</v>
      </c>
      <c r="AX15" t="s">
        <v>153</v>
      </c>
      <c r="AZ15">
        <v>132595</v>
      </c>
      <c r="BA15" s="11">
        <f>MAX(DITE_AGOSTO_2025[[#This Row],[1]:[31]])</f>
        <v>82855.570000000007</v>
      </c>
      <c r="BB15" s="17">
        <f>DITE_AGOSTO_2025[[#This Row],[RECUPERO SUPERVISOR]]/DITE_AGOSTO_2025[[#This Row],[META SUPER]]</f>
        <v>0.62487703156227614</v>
      </c>
      <c r="BC15" t="s">
        <v>9</v>
      </c>
      <c r="BD15">
        <v>2750</v>
      </c>
      <c r="BE15">
        <v>3350</v>
      </c>
      <c r="BF15">
        <v>3350</v>
      </c>
      <c r="BG15">
        <v>7287</v>
      </c>
      <c r="BH15">
        <v>14782</v>
      </c>
      <c r="BI15">
        <v>14782</v>
      </c>
      <c r="BJ15">
        <v>16662</v>
      </c>
      <c r="BK15">
        <v>26214.1</v>
      </c>
      <c r="BL15">
        <v>26564.1</v>
      </c>
      <c r="BM15">
        <v>26864.1</v>
      </c>
      <c r="BN15">
        <v>29674.1</v>
      </c>
      <c r="BO15">
        <v>35040.1</v>
      </c>
      <c r="BP15">
        <v>37630.1</v>
      </c>
      <c r="BQ15">
        <v>38998.1</v>
      </c>
      <c r="BR15">
        <v>46886.1</v>
      </c>
      <c r="BS15">
        <v>47086.1</v>
      </c>
      <c r="BT15">
        <v>47086.1</v>
      </c>
      <c r="BU15">
        <v>49705.1</v>
      </c>
      <c r="BV15">
        <v>52485.1</v>
      </c>
      <c r="BW15">
        <v>54265.1</v>
      </c>
      <c r="BX15">
        <v>57043.6</v>
      </c>
      <c r="BY15">
        <v>57856.01</v>
      </c>
      <c r="BZ15">
        <v>57856.01</v>
      </c>
      <c r="CA15">
        <v>57856.01</v>
      </c>
      <c r="CB15">
        <v>58256.01</v>
      </c>
      <c r="CC15">
        <v>59185.01</v>
      </c>
      <c r="CD15">
        <v>65520.57</v>
      </c>
      <c r="CE15">
        <v>71719.570000000007</v>
      </c>
      <c r="CF15">
        <v>81634.570000000007</v>
      </c>
      <c r="CG15">
        <v>82855.570000000007</v>
      </c>
      <c r="CH15">
        <v>82855.570000000007</v>
      </c>
      <c r="CI15" s="11" t="s">
        <v>153</v>
      </c>
    </row>
    <row r="16" spans="1:87" x14ac:dyDescent="0.25">
      <c r="A16" s="2" t="str">
        <f>D1_AGOSTO_2025[[#This Row],[SUPER2]]</f>
        <v>JOHAN</v>
      </c>
      <c r="B16" s="2" t="s">
        <v>29</v>
      </c>
      <c r="C16" s="2">
        <f>VLOOKUP(D1_AGOSTO_2025[[#This Row],[SUPER]],DATA_AGOSTO_2025[[SUPERVISOR]:[META]],3,0)</f>
        <v>72000</v>
      </c>
      <c r="D16" s="2">
        <f>D1_AGOSTO_2025[[#This Row],[RECUPERO]]/C16</f>
        <v>0.52913888888888894</v>
      </c>
      <c r="E16" t="s">
        <v>125</v>
      </c>
      <c r="F16" t="s">
        <v>29</v>
      </c>
      <c r="G16">
        <v>38098</v>
      </c>
      <c r="H16" t="s">
        <v>416</v>
      </c>
      <c r="I16" s="56">
        <v>44687</v>
      </c>
      <c r="J16" t="s">
        <v>501</v>
      </c>
      <c r="L16" s="56"/>
      <c r="M16" s="1">
        <f>DATA_AGOSTO_2025[[#This Row],[RECUPERO]]/DATA_AGOSTO_2025[[#This Row],[META]]</f>
        <v>0.67654629629629626</v>
      </c>
      <c r="N16" t="str" cm="1">
        <f t="array" ref="N1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16" t="s">
        <v>5</v>
      </c>
      <c r="P16">
        <f>SUM(DATA_AGOSTO_2025[[#This Row],[1]:[31]])</f>
        <v>36533.5</v>
      </c>
      <c r="Q16">
        <v>54000</v>
      </c>
      <c r="R16" t="s">
        <v>69</v>
      </c>
      <c r="S16">
        <v>1417</v>
      </c>
      <c r="T16">
        <v>150</v>
      </c>
      <c r="V16">
        <v>765</v>
      </c>
      <c r="W16">
        <v>220</v>
      </c>
      <c r="X16">
        <v>500</v>
      </c>
      <c r="Y16">
        <v>205</v>
      </c>
      <c r="Z16">
        <v>10882.5</v>
      </c>
      <c r="AC16">
        <v>1000</v>
      </c>
      <c r="AF16">
        <v>2400</v>
      </c>
      <c r="AG16">
        <v>5139</v>
      </c>
      <c r="AK16">
        <v>1750</v>
      </c>
      <c r="AL16">
        <v>1957</v>
      </c>
      <c r="AM16">
        <v>300</v>
      </c>
      <c r="AO16">
        <v>1007</v>
      </c>
      <c r="AP16">
        <v>280</v>
      </c>
      <c r="AR16">
        <v>861</v>
      </c>
      <c r="AS16">
        <v>3000</v>
      </c>
      <c r="AT16">
        <v>4700</v>
      </c>
      <c r="AX16" t="s">
        <v>150</v>
      </c>
      <c r="AZ16">
        <v>683530</v>
      </c>
      <c r="BA16" s="11">
        <f>MAX(DITE_AGOSTO_2025[[#This Row],[1]:[31]])</f>
        <v>552575.6</v>
      </c>
      <c r="BB16" s="17">
        <f>DITE_AGOSTO_2025[[#This Row],[RECUPERO SUPERVISOR]]/DITE_AGOSTO_2025[[#This Row],[META SUPER]]</f>
        <v>0.80841455386010852</v>
      </c>
      <c r="BC16" t="s">
        <v>4</v>
      </c>
      <c r="BD16">
        <v>8920</v>
      </c>
      <c r="BE16">
        <v>10720</v>
      </c>
      <c r="BF16">
        <v>11420</v>
      </c>
      <c r="BG16">
        <v>65720</v>
      </c>
      <c r="BH16">
        <v>123220</v>
      </c>
      <c r="BI16">
        <v>125570</v>
      </c>
      <c r="BJ16">
        <v>152170</v>
      </c>
      <c r="BK16">
        <v>172200.1</v>
      </c>
      <c r="BL16">
        <v>179200.1</v>
      </c>
      <c r="BM16">
        <v>179200.1</v>
      </c>
      <c r="BN16">
        <v>196906.1</v>
      </c>
      <c r="BO16">
        <v>206556.1</v>
      </c>
      <c r="BP16">
        <v>229576.1</v>
      </c>
      <c r="BQ16">
        <v>240294.1</v>
      </c>
      <c r="BR16">
        <v>271036.09999999998</v>
      </c>
      <c r="BS16">
        <v>272861.09999999998</v>
      </c>
      <c r="BT16">
        <v>272861.09999999998</v>
      </c>
      <c r="BU16">
        <v>288117.09999999998</v>
      </c>
      <c r="BV16">
        <v>308297.09999999998</v>
      </c>
      <c r="BW16">
        <v>328515.09999999998</v>
      </c>
      <c r="BX16">
        <v>378608.1</v>
      </c>
      <c r="BY16">
        <v>391454.1</v>
      </c>
      <c r="BZ16">
        <v>394454.1</v>
      </c>
      <c r="CA16">
        <v>396088.1</v>
      </c>
      <c r="CB16">
        <v>433201.1</v>
      </c>
      <c r="CC16">
        <v>457401.1</v>
      </c>
      <c r="CD16">
        <v>482206.1</v>
      </c>
      <c r="CE16">
        <v>513640.1</v>
      </c>
      <c r="CF16">
        <v>547173.1</v>
      </c>
      <c r="CG16">
        <v>549103.1</v>
      </c>
      <c r="CH16">
        <v>552575.6</v>
      </c>
      <c r="CI16" s="11" t="s">
        <v>155</v>
      </c>
    </row>
    <row r="17" spans="1:50" x14ac:dyDescent="0.25">
      <c r="A17" s="2" t="str">
        <f>D1_AGOSTO_2025[[#This Row],[SUPER2]]</f>
        <v>JOHAN</v>
      </c>
      <c r="B17" s="2" t="s">
        <v>27</v>
      </c>
      <c r="C17" s="2">
        <f>VLOOKUP(D1_AGOSTO_2025[[#This Row],[SUPER]],DATA_AGOSTO_2025[[SUPERVISOR]:[META]],3,0)</f>
        <v>72000</v>
      </c>
      <c r="D17" s="2">
        <f>D1_AGOSTO_2025[[#This Row],[RECUPERO]]/C17</f>
        <v>0.63636249999999994</v>
      </c>
      <c r="E17" t="s">
        <v>125</v>
      </c>
      <c r="F17" t="s">
        <v>27</v>
      </c>
      <c r="G17">
        <v>45818.1</v>
      </c>
      <c r="H17" t="s">
        <v>412</v>
      </c>
      <c r="I17" s="56">
        <v>45675</v>
      </c>
      <c r="J17" t="s">
        <v>501</v>
      </c>
      <c r="L17" s="56"/>
      <c r="M17" s="1">
        <f>DATA_AGOSTO_2025[[#This Row],[RECUPERO]]/DATA_AGOSTO_2025[[#This Row],[META]]</f>
        <v>0.46387037037037038</v>
      </c>
      <c r="N17" t="str" cm="1">
        <f t="array" ref="N1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17" t="s">
        <v>5</v>
      </c>
      <c r="P17">
        <f>SUM(DATA_AGOSTO_2025[[#This Row],[1]:[31]])</f>
        <v>25049</v>
      </c>
      <c r="Q17">
        <v>54000</v>
      </c>
      <c r="R17" t="s">
        <v>67</v>
      </c>
      <c r="S17">
        <v>3214</v>
      </c>
      <c r="T17">
        <v>935</v>
      </c>
      <c r="V17">
        <v>3000</v>
      </c>
      <c r="Z17">
        <v>370</v>
      </c>
      <c r="AA17">
        <v>600</v>
      </c>
      <c r="AG17">
        <v>1830</v>
      </c>
      <c r="AJ17">
        <v>600</v>
      </c>
      <c r="AM17">
        <v>5000</v>
      </c>
      <c r="AN17">
        <v>8000</v>
      </c>
      <c r="AO17">
        <v>1500</v>
      </c>
      <c r="AX17" t="s">
        <v>150</v>
      </c>
    </row>
    <row r="18" spans="1:50" x14ac:dyDescent="0.25">
      <c r="A18" s="2" t="str">
        <f>D1_AGOSTO_2025[[#This Row],[SUPER2]]</f>
        <v>JOHAN</v>
      </c>
      <c r="B18" s="2" t="s">
        <v>28</v>
      </c>
      <c r="C18" s="2">
        <f>VLOOKUP(D1_AGOSTO_2025[[#This Row],[SUPER]],DATA_AGOSTO_2025[[SUPERVISOR]:[META]],3,0)</f>
        <v>72000</v>
      </c>
      <c r="D18" s="2">
        <f>D1_AGOSTO_2025[[#This Row],[RECUPERO]]/C18</f>
        <v>0.33152777777777775</v>
      </c>
      <c r="E18" t="s">
        <v>125</v>
      </c>
      <c r="F18" t="s">
        <v>28</v>
      </c>
      <c r="G18">
        <v>23870</v>
      </c>
      <c r="H18" t="s">
        <v>478</v>
      </c>
      <c r="I18" s="56">
        <v>45845</v>
      </c>
      <c r="J18" t="s">
        <v>501</v>
      </c>
      <c r="L18" s="56"/>
      <c r="M18" s="1">
        <f>DATA_AGOSTO_2025[[#This Row],[RECUPERO]]/DATA_AGOSTO_2025[[#This Row],[META]]</f>
        <v>0.15362148148148147</v>
      </c>
      <c r="N18" t="str" cm="1">
        <f t="array" ref="N1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18" t="s">
        <v>2</v>
      </c>
      <c r="P18">
        <f>SUM(DATA_AGOSTO_2025[[#This Row],[1]:[31]])</f>
        <v>8295.56</v>
      </c>
      <c r="Q18">
        <v>54000</v>
      </c>
      <c r="R18" t="s">
        <v>14</v>
      </c>
      <c r="S18">
        <v>1200</v>
      </c>
      <c r="V18">
        <v>1100</v>
      </c>
      <c r="W18">
        <v>145</v>
      </c>
      <c r="AG18">
        <v>398</v>
      </c>
      <c r="AJ18">
        <v>1000</v>
      </c>
      <c r="AK18">
        <v>100</v>
      </c>
      <c r="AQ18">
        <v>600</v>
      </c>
      <c r="AR18">
        <v>400</v>
      </c>
      <c r="AS18">
        <v>761.56</v>
      </c>
      <c r="AT18">
        <v>600</v>
      </c>
      <c r="AU18">
        <v>1991</v>
      </c>
      <c r="AX18" t="s">
        <v>150</v>
      </c>
    </row>
    <row r="19" spans="1:50" x14ac:dyDescent="0.25">
      <c r="A19" s="2" t="str">
        <f>D1_AGOSTO_2025[[#This Row],[SUPER2]]</f>
        <v>JOHAN</v>
      </c>
      <c r="B19" s="2" t="s">
        <v>30</v>
      </c>
      <c r="C19" s="2">
        <f>VLOOKUP(D1_AGOSTO_2025[[#This Row],[SUPER]],DATA_AGOSTO_2025[[SUPERVISOR]:[META]],3,0)</f>
        <v>72000</v>
      </c>
      <c r="D19" s="2">
        <f>D1_AGOSTO_2025[[#This Row],[RECUPERO]]/C19</f>
        <v>9.2291666666666661E-2</v>
      </c>
      <c r="E19" t="s">
        <v>125</v>
      </c>
      <c r="F19" t="s">
        <v>30</v>
      </c>
      <c r="G19">
        <v>6645</v>
      </c>
      <c r="H19" t="s">
        <v>448</v>
      </c>
      <c r="I19" s="56">
        <v>45399</v>
      </c>
      <c r="J19" t="s">
        <v>501</v>
      </c>
      <c r="L19" s="56"/>
      <c r="M19" s="1">
        <f>DATA_AGOSTO_2025[[#This Row],[RECUPERO]]/DATA_AGOSTO_2025[[#This Row],[META]]</f>
        <v>3.2258064516129031E-2</v>
      </c>
      <c r="N19" t="str" cm="1">
        <f t="array" ref="N1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19" t="s">
        <v>7</v>
      </c>
      <c r="P19">
        <f>SUM(DATA_AGOSTO_2025[[#This Row],[1]:[31]])</f>
        <v>500</v>
      </c>
      <c r="Q19">
        <v>15500</v>
      </c>
      <c r="R19" t="s">
        <v>104</v>
      </c>
      <c r="AR19">
        <v>500</v>
      </c>
      <c r="AX19" t="s">
        <v>152</v>
      </c>
    </row>
    <row r="20" spans="1:50" x14ac:dyDescent="0.25">
      <c r="A20" s="2" t="str">
        <f>D1_AGOSTO_2025[[#This Row],[SUPER2]]</f>
        <v>JOHAN</v>
      </c>
      <c r="B20" s="2" t="s">
        <v>102</v>
      </c>
      <c r="C20" s="2">
        <f>VLOOKUP(D1_AGOSTO_2025[[#This Row],[SUPER]],DATA_AGOSTO_2025[[SUPERVISOR]:[META]],3,0)</f>
        <v>72000</v>
      </c>
      <c r="D20" s="2">
        <f>D1_AGOSTO_2025[[#This Row],[RECUPERO]]/C20</f>
        <v>0.20069444444444445</v>
      </c>
      <c r="E20" t="s">
        <v>125</v>
      </c>
      <c r="F20" t="s">
        <v>102</v>
      </c>
      <c r="G20">
        <v>14450</v>
      </c>
      <c r="H20" t="s">
        <v>481</v>
      </c>
      <c r="I20" s="56">
        <v>45875</v>
      </c>
      <c r="J20" t="s">
        <v>501</v>
      </c>
      <c r="L20" s="56"/>
      <c r="M20" s="1">
        <f>DATA_AGOSTO_2025[[#This Row],[RECUPERO]]/DATA_AGOSTO_2025[[#This Row],[META]]</f>
        <v>0.50464516129032255</v>
      </c>
      <c r="N20" t="str" cm="1">
        <f t="array" ref="N2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20" t="s">
        <v>7</v>
      </c>
      <c r="P20">
        <f>SUM(DATA_AGOSTO_2025[[#This Row],[1]:[31]])</f>
        <v>7822</v>
      </c>
      <c r="Q20">
        <v>15500</v>
      </c>
      <c r="R20" t="s">
        <v>19</v>
      </c>
      <c r="V20">
        <v>300</v>
      </c>
      <c r="W20">
        <v>0</v>
      </c>
      <c r="Y20">
        <v>1600</v>
      </c>
      <c r="AC20">
        <v>500</v>
      </c>
      <c r="AE20">
        <v>1700</v>
      </c>
      <c r="AF20">
        <v>50</v>
      </c>
      <c r="AG20">
        <v>1080</v>
      </c>
      <c r="AJ20">
        <v>1502</v>
      </c>
      <c r="AM20">
        <v>850</v>
      </c>
      <c r="AN20">
        <v>240</v>
      </c>
      <c r="AX20" t="s">
        <v>152</v>
      </c>
    </row>
    <row r="21" spans="1:50" x14ac:dyDescent="0.25">
      <c r="A21" s="2" t="str">
        <f>D1_AGOSTO_2025[[#This Row],[SUPER2]]</f>
        <v>MELINA</v>
      </c>
      <c r="B21" s="2" t="s">
        <v>59</v>
      </c>
      <c r="C21" s="2">
        <f>VLOOKUP(D1_AGOSTO_2025[[#This Row],[SUPER]],DATA_AGOSTO_2025[[SUPERVISOR]:[META]],3,0)</f>
        <v>72000</v>
      </c>
      <c r="D21" s="2">
        <f>D1_AGOSTO_2025[[#This Row],[RECUPERO]]/C21</f>
        <v>1.3984027777777779</v>
      </c>
      <c r="E21" t="s">
        <v>4</v>
      </c>
      <c r="F21" t="s">
        <v>59</v>
      </c>
      <c r="G21">
        <v>100685</v>
      </c>
      <c r="H21" t="s">
        <v>430</v>
      </c>
      <c r="I21" s="56">
        <v>45348</v>
      </c>
      <c r="J21" t="s">
        <v>501</v>
      </c>
      <c r="L21" s="56"/>
      <c r="M21" s="1">
        <f>DATA_AGOSTO_2025[[#This Row],[RECUPERO]]/DATA_AGOSTO_2025[[#This Row],[META]]</f>
        <v>0.449994375</v>
      </c>
      <c r="N21" t="str" cm="1">
        <f t="array" ref="N2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21" t="s">
        <v>9</v>
      </c>
      <c r="P21">
        <f>SUM(DATA_AGOSTO_2025[[#This Row],[1]:[31]])</f>
        <v>7199.91</v>
      </c>
      <c r="Q21">
        <v>16000</v>
      </c>
      <c r="R21" t="s">
        <v>53</v>
      </c>
      <c r="V21">
        <v>500</v>
      </c>
      <c r="W21">
        <v>500</v>
      </c>
      <c r="Z21">
        <v>300</v>
      </c>
      <c r="AC21">
        <v>100</v>
      </c>
      <c r="AD21">
        <v>50</v>
      </c>
      <c r="AE21">
        <v>2000</v>
      </c>
      <c r="AG21">
        <v>2500</v>
      </c>
      <c r="AM21">
        <v>707.5</v>
      </c>
      <c r="AN21">
        <v>542.41</v>
      </c>
      <c r="AX21" t="s">
        <v>153</v>
      </c>
    </row>
    <row r="22" spans="1:50" x14ac:dyDescent="0.25">
      <c r="A22" s="2" t="str">
        <f>D1_AGOSTO_2025[[#This Row],[SUPER2]]</f>
        <v>MELINA</v>
      </c>
      <c r="B22" s="2" t="s">
        <v>57</v>
      </c>
      <c r="C22" s="2">
        <f>VLOOKUP(D1_AGOSTO_2025[[#This Row],[SUPER]],DATA_AGOSTO_2025[[SUPERVISOR]:[META]],3,0)</f>
        <v>72000</v>
      </c>
      <c r="D22" s="2">
        <f>D1_AGOSTO_2025[[#This Row],[RECUPERO]]/C22</f>
        <v>1.1887222222222222</v>
      </c>
      <c r="E22" t="s">
        <v>4</v>
      </c>
      <c r="F22" t="s">
        <v>57</v>
      </c>
      <c r="G22">
        <v>85588</v>
      </c>
      <c r="H22" t="s">
        <v>443</v>
      </c>
      <c r="I22" s="56">
        <v>45590</v>
      </c>
      <c r="J22" t="s">
        <v>501</v>
      </c>
      <c r="L22" s="56"/>
      <c r="M22" s="1">
        <f>DATA_AGOSTO_2025[[#This Row],[RECUPERO]]/DATA_AGOSTO_2025[[#This Row],[META]]</f>
        <v>0.73243749999999996</v>
      </c>
      <c r="N22" t="str" cm="1">
        <f t="array" ref="N2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22" t="s">
        <v>8</v>
      </c>
      <c r="P22">
        <f>SUM(DATA_AGOSTO_2025[[#This Row],[1]:[31]])</f>
        <v>11719</v>
      </c>
      <c r="Q22">
        <v>16000</v>
      </c>
      <c r="R22" t="s">
        <v>41</v>
      </c>
      <c r="S22">
        <v>1500</v>
      </c>
      <c r="U22">
        <v>380</v>
      </c>
      <c r="V22">
        <v>400</v>
      </c>
      <c r="Y22">
        <v>480</v>
      </c>
      <c r="Z22">
        <v>1272</v>
      </c>
      <c r="AA22">
        <v>700</v>
      </c>
      <c r="AC22">
        <v>400</v>
      </c>
      <c r="AD22">
        <v>600</v>
      </c>
      <c r="AE22">
        <v>300</v>
      </c>
      <c r="AG22">
        <v>1150</v>
      </c>
      <c r="AJ22">
        <v>1587</v>
      </c>
      <c r="AL22">
        <v>1200</v>
      </c>
      <c r="AO22">
        <v>350</v>
      </c>
      <c r="AQ22">
        <v>800</v>
      </c>
      <c r="AS22">
        <v>200</v>
      </c>
      <c r="AT22">
        <v>400</v>
      </c>
      <c r="AX22" t="s">
        <v>153</v>
      </c>
    </row>
    <row r="23" spans="1:50" x14ac:dyDescent="0.25">
      <c r="A23" s="2" t="str">
        <f>D1_AGOSTO_2025[[#This Row],[SUPER2]]</f>
        <v>MELINA</v>
      </c>
      <c r="B23" s="2" t="s">
        <v>60</v>
      </c>
      <c r="C23" s="2">
        <f>VLOOKUP(D1_AGOSTO_2025[[#This Row],[SUPER]],DATA_AGOSTO_2025[[SUPERVISOR]:[META]],3,0)</f>
        <v>72000</v>
      </c>
      <c r="D23" s="2">
        <f>D1_AGOSTO_2025[[#This Row],[RECUPERO]]/C23</f>
        <v>1.0126402777777779</v>
      </c>
      <c r="E23" t="s">
        <v>4</v>
      </c>
      <c r="F23" t="s">
        <v>60</v>
      </c>
      <c r="G23">
        <v>72910.100000000006</v>
      </c>
      <c r="H23" t="s">
        <v>423</v>
      </c>
      <c r="I23" s="56">
        <v>45323</v>
      </c>
      <c r="J23" t="s">
        <v>501</v>
      </c>
      <c r="L23" s="56"/>
      <c r="M23" s="1">
        <f>DATA_AGOSTO_2025[[#This Row],[RECUPERO]]/DATA_AGOSTO_2025[[#This Row],[META]]</f>
        <v>0.69958333333333333</v>
      </c>
      <c r="N23" t="str" cm="1">
        <f t="array" ref="N2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23" t="s">
        <v>4</v>
      </c>
      <c r="P23">
        <f>SUM(DATA_AGOSTO_2025[[#This Row],[1]:[31]])</f>
        <v>50370</v>
      </c>
      <c r="Q23">
        <v>72000</v>
      </c>
      <c r="R23" t="s">
        <v>61</v>
      </c>
      <c r="V23">
        <v>100</v>
      </c>
      <c r="W23">
        <v>15000</v>
      </c>
      <c r="AD23">
        <v>1000</v>
      </c>
      <c r="AE23">
        <v>1320</v>
      </c>
      <c r="AG23">
        <v>500</v>
      </c>
      <c r="AL23">
        <v>6750</v>
      </c>
      <c r="AM23">
        <v>5000</v>
      </c>
      <c r="AN23">
        <v>2000</v>
      </c>
      <c r="AR23">
        <v>12900</v>
      </c>
      <c r="AT23">
        <v>5800</v>
      </c>
      <c r="AX23" t="s">
        <v>155</v>
      </c>
    </row>
    <row r="24" spans="1:50" x14ac:dyDescent="0.25">
      <c r="A24" s="2" t="str">
        <f>D1_AGOSTO_2025[[#This Row],[SUPER2]]</f>
        <v>MELINA</v>
      </c>
      <c r="B24" s="2" t="s">
        <v>62</v>
      </c>
      <c r="C24" s="2">
        <f>VLOOKUP(D1_AGOSTO_2025[[#This Row],[SUPER]],DATA_AGOSTO_2025[[SUPERVISOR]:[META]],3,0)</f>
        <v>72000</v>
      </c>
      <c r="D24" s="2">
        <f>D1_AGOSTO_2025[[#This Row],[RECUPERO]]/C24</f>
        <v>0.71975</v>
      </c>
      <c r="E24" t="s">
        <v>4</v>
      </c>
      <c r="F24" t="s">
        <v>62</v>
      </c>
      <c r="G24">
        <v>51822</v>
      </c>
      <c r="H24" t="s">
        <v>386</v>
      </c>
      <c r="I24" s="56">
        <v>45334</v>
      </c>
      <c r="J24" t="s">
        <v>501</v>
      </c>
      <c r="L24" s="56"/>
      <c r="M24" s="1">
        <f>DATA_AGOSTO_2025[[#This Row],[RECUPERO]]/DATA_AGOSTO_2025[[#This Row],[META]]</f>
        <v>8.1125000000000003E-2</v>
      </c>
      <c r="N24" t="str" cm="1">
        <f t="array" ref="N2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24" t="s">
        <v>8</v>
      </c>
      <c r="P24">
        <f>SUM(DATA_AGOSTO_2025[[#This Row],[1]:[31]])</f>
        <v>1298</v>
      </c>
      <c r="Q24">
        <v>16000</v>
      </c>
      <c r="R24" t="s">
        <v>47</v>
      </c>
      <c r="U24">
        <v>200</v>
      </c>
      <c r="W24">
        <v>150</v>
      </c>
      <c r="Y24">
        <v>398</v>
      </c>
      <c r="Z24">
        <v>250</v>
      </c>
      <c r="AG24">
        <v>300</v>
      </c>
      <c r="AX24" t="s">
        <v>153</v>
      </c>
    </row>
    <row r="25" spans="1:50" x14ac:dyDescent="0.25">
      <c r="A25" s="2" t="str">
        <f>D1_AGOSTO_2025[[#This Row],[SUPER2]]</f>
        <v>MELINA</v>
      </c>
      <c r="B25" s="2" t="s">
        <v>58</v>
      </c>
      <c r="C25" s="2">
        <f>VLOOKUP(D1_AGOSTO_2025[[#This Row],[SUPER]],DATA_AGOSTO_2025[[SUPERVISOR]:[META]],3,0)</f>
        <v>72000</v>
      </c>
      <c r="D25" s="2">
        <f>D1_AGOSTO_2025[[#This Row],[RECUPERO]]/C25</f>
        <v>0.71472222222222226</v>
      </c>
      <c r="E25" t="s">
        <v>4</v>
      </c>
      <c r="F25" t="s">
        <v>58</v>
      </c>
      <c r="G25">
        <v>51460</v>
      </c>
      <c r="H25" t="s">
        <v>441</v>
      </c>
      <c r="I25" s="56">
        <v>43035</v>
      </c>
      <c r="J25" t="s">
        <v>501</v>
      </c>
      <c r="L25" s="56"/>
      <c r="M25" s="1">
        <f>DATA_AGOSTO_2025[[#This Row],[RECUPERO]]/DATA_AGOSTO_2025[[#This Row],[META]]</f>
        <v>0.56053846153846154</v>
      </c>
      <c r="N25" t="str" cm="1">
        <f t="array" ref="N2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25" t="s">
        <v>6</v>
      </c>
      <c r="P25">
        <f>SUM(DATA_AGOSTO_2025[[#This Row],[1]:[31]])</f>
        <v>14574</v>
      </c>
      <c r="Q25">
        <v>26000</v>
      </c>
      <c r="R25" t="s">
        <v>40</v>
      </c>
      <c r="S25">
        <v>600</v>
      </c>
      <c r="Z25">
        <v>50</v>
      </c>
      <c r="AD25">
        <v>220</v>
      </c>
      <c r="AG25">
        <v>100</v>
      </c>
      <c r="AJ25">
        <v>500</v>
      </c>
      <c r="AK25">
        <v>315</v>
      </c>
      <c r="AM25">
        <v>1200</v>
      </c>
      <c r="AN25">
        <v>50</v>
      </c>
      <c r="AQ25">
        <v>589</v>
      </c>
      <c r="AT25">
        <v>10950</v>
      </c>
      <c r="AX25" t="s">
        <v>156</v>
      </c>
    </row>
    <row r="26" spans="1:50" x14ac:dyDescent="0.25">
      <c r="A26" s="2" t="str">
        <f>D1_AGOSTO_2025[[#This Row],[SUPER2]]</f>
        <v>MELINA</v>
      </c>
      <c r="B26" s="2" t="s">
        <v>61</v>
      </c>
      <c r="C26" s="2">
        <f>VLOOKUP(D1_AGOSTO_2025[[#This Row],[SUPER]],DATA_AGOSTO_2025[[SUPERVISOR]:[META]],3,0)</f>
        <v>72000</v>
      </c>
      <c r="D26" s="2">
        <f>D1_AGOSTO_2025[[#This Row],[RECUPERO]]/C26</f>
        <v>0.69958333333333333</v>
      </c>
      <c r="E26" t="s">
        <v>4</v>
      </c>
      <c r="F26" t="s">
        <v>61</v>
      </c>
      <c r="G26">
        <v>50370</v>
      </c>
      <c r="H26" t="s">
        <v>411</v>
      </c>
      <c r="I26" s="56">
        <v>44909</v>
      </c>
      <c r="J26" t="s">
        <v>501</v>
      </c>
      <c r="L26" s="56"/>
      <c r="M26" s="1">
        <f>DATA_AGOSTO_2025[[#This Row],[RECUPERO]]/DATA_AGOSTO_2025[[#This Row],[META]]</f>
        <v>0.33152777777777775</v>
      </c>
      <c r="N26" t="str" cm="1">
        <f t="array" ref="N2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26" t="s">
        <v>125</v>
      </c>
      <c r="P26">
        <f>SUM(DATA_AGOSTO_2025[[#This Row],[1]:[31]])</f>
        <v>23870</v>
      </c>
      <c r="Q26">
        <v>72000</v>
      </c>
      <c r="R26" t="s">
        <v>28</v>
      </c>
      <c r="V26">
        <v>1000</v>
      </c>
      <c r="W26">
        <v>3000</v>
      </c>
      <c r="Y26">
        <v>600</v>
      </c>
      <c r="Z26">
        <v>520</v>
      </c>
      <c r="AE26">
        <v>4000</v>
      </c>
      <c r="AG26">
        <v>10000</v>
      </c>
      <c r="AJ26">
        <v>750</v>
      </c>
      <c r="AS26">
        <v>4000</v>
      </c>
      <c r="AX26" t="s">
        <v>155</v>
      </c>
    </row>
    <row r="27" spans="1:50" x14ac:dyDescent="0.25">
      <c r="A27" s="2" t="str">
        <f>D1_AGOSTO_2025[[#This Row],[SUPER2]]</f>
        <v>MELINA</v>
      </c>
      <c r="B27" s="2" t="s">
        <v>64</v>
      </c>
      <c r="C27" s="2">
        <f>VLOOKUP(D1_AGOSTO_2025[[#This Row],[SUPER]],DATA_AGOSTO_2025[[SUPERVISOR]:[META]],3,0)</f>
        <v>72000</v>
      </c>
      <c r="D27" s="2">
        <f>D1_AGOSTO_2025[[#This Row],[RECUPERO]]/C27</f>
        <v>0.51527777777777772</v>
      </c>
      <c r="E27" t="s">
        <v>4</v>
      </c>
      <c r="F27" t="s">
        <v>64</v>
      </c>
      <c r="G27">
        <v>37100</v>
      </c>
      <c r="H27" t="s">
        <v>455</v>
      </c>
      <c r="I27" s="56">
        <v>45700</v>
      </c>
      <c r="J27" t="s">
        <v>501</v>
      </c>
      <c r="L27" s="56"/>
      <c r="M27" s="1">
        <f>DATA_AGOSTO_2025[[#This Row],[RECUPERO]]/DATA_AGOSTO_2025[[#This Row],[META]]</f>
        <v>0.17964018518518518</v>
      </c>
      <c r="N27" t="str" cm="1">
        <f t="array" ref="N2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27" t="s">
        <v>5</v>
      </c>
      <c r="P27">
        <f>SUM(DATA_AGOSTO_2025[[#This Row],[1]:[31]])</f>
        <v>9700.57</v>
      </c>
      <c r="Q27">
        <v>54000</v>
      </c>
      <c r="R27" t="s">
        <v>72</v>
      </c>
      <c r="S27">
        <v>316</v>
      </c>
      <c r="V27">
        <v>117.57</v>
      </c>
      <c r="W27">
        <v>300</v>
      </c>
      <c r="AC27">
        <v>1000</v>
      </c>
      <c r="AE27">
        <v>1164</v>
      </c>
      <c r="AF27">
        <v>380</v>
      </c>
      <c r="AJ27">
        <v>234</v>
      </c>
      <c r="AK27">
        <v>3070</v>
      </c>
      <c r="AL27">
        <v>219</v>
      </c>
      <c r="AN27">
        <v>500</v>
      </c>
      <c r="AQ27">
        <v>1400</v>
      </c>
      <c r="AR27">
        <v>1000</v>
      </c>
      <c r="AX27" t="s">
        <v>150</v>
      </c>
    </row>
    <row r="28" spans="1:50" x14ac:dyDescent="0.25">
      <c r="A28" s="2" t="str">
        <f>D1_AGOSTO_2025[[#This Row],[SUPER2]]</f>
        <v>MELINA</v>
      </c>
      <c r="B28" s="2" t="s">
        <v>65</v>
      </c>
      <c r="C28" s="2">
        <f>VLOOKUP(D1_AGOSTO_2025[[#This Row],[SUPER]],DATA_AGOSTO_2025[[SUPERVISOR]:[META]],3,0)</f>
        <v>72000</v>
      </c>
      <c r="D28" s="2">
        <f>D1_AGOSTO_2025[[#This Row],[RECUPERO]]/C28</f>
        <v>0.23395833333333332</v>
      </c>
      <c r="E28" t="s">
        <v>4</v>
      </c>
      <c r="F28" t="s">
        <v>65</v>
      </c>
      <c r="G28">
        <v>16845</v>
      </c>
      <c r="H28" t="s">
        <v>438</v>
      </c>
      <c r="I28" s="56">
        <v>45021</v>
      </c>
      <c r="J28" t="s">
        <v>501</v>
      </c>
      <c r="L28" s="56"/>
      <c r="M28" s="1">
        <f>DATA_AGOSTO_2025[[#This Row],[RECUPERO]]/DATA_AGOSTO_2025[[#This Row],[META]]</f>
        <v>0.80141666666666667</v>
      </c>
      <c r="N28" t="str" cm="1">
        <f t="array" ref="N2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28" t="s">
        <v>125</v>
      </c>
      <c r="P28">
        <f>SUM(DATA_AGOSTO_2025[[#This Row],[1]:[31]])</f>
        <v>57702</v>
      </c>
      <c r="Q28">
        <v>72000</v>
      </c>
      <c r="R28" t="s">
        <v>22</v>
      </c>
      <c r="S28">
        <v>10700</v>
      </c>
      <c r="V28">
        <v>250</v>
      </c>
      <c r="X28">
        <v>1262</v>
      </c>
      <c r="Y28">
        <v>9000</v>
      </c>
      <c r="Z28">
        <v>1000</v>
      </c>
      <c r="AC28">
        <v>1290</v>
      </c>
      <c r="AE28">
        <v>600</v>
      </c>
      <c r="AG28">
        <v>7400</v>
      </c>
      <c r="AJ28">
        <v>500</v>
      </c>
      <c r="AK28">
        <v>6500</v>
      </c>
      <c r="AL28">
        <v>4300</v>
      </c>
      <c r="AM28">
        <v>600</v>
      </c>
      <c r="AN28">
        <v>400</v>
      </c>
      <c r="AQ28">
        <v>13900</v>
      </c>
      <c r="AX28" t="s">
        <v>155</v>
      </c>
    </row>
    <row r="29" spans="1:50" x14ac:dyDescent="0.25">
      <c r="A29" s="2" t="str">
        <f>D1_AGOSTO_2025[[#This Row],[SUPER2]]</f>
        <v>MELINA</v>
      </c>
      <c r="B29" s="2" t="s">
        <v>63</v>
      </c>
      <c r="C29" s="2">
        <f>VLOOKUP(D1_AGOSTO_2025[[#This Row],[SUPER]],DATA_AGOSTO_2025[[SUPERVISOR]:[META]],3,0)</f>
        <v>72000</v>
      </c>
      <c r="D29" s="2">
        <f>D1_AGOSTO_2025[[#This Row],[RECUPERO]]/C29</f>
        <v>0.31055555555555553</v>
      </c>
      <c r="E29" t="s">
        <v>4</v>
      </c>
      <c r="F29" t="s">
        <v>63</v>
      </c>
      <c r="G29">
        <v>22360</v>
      </c>
      <c r="H29" t="s">
        <v>447</v>
      </c>
      <c r="I29" s="56">
        <v>45316</v>
      </c>
      <c r="J29" t="s">
        <v>501</v>
      </c>
      <c r="L29" s="56"/>
      <c r="M29" s="1">
        <f>DATA_AGOSTO_2025[[#This Row],[RECUPERO]]/DATA_AGOSTO_2025[[#This Row],[META]]</f>
        <v>0.91249999999999998</v>
      </c>
      <c r="N29" t="str" cm="1">
        <f t="array" ref="N2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29" t="s">
        <v>125</v>
      </c>
      <c r="P29">
        <f>SUM(DATA_AGOSTO_2025[[#This Row],[1]:[31]])</f>
        <v>65700</v>
      </c>
      <c r="Q29">
        <v>72000</v>
      </c>
      <c r="R29" t="s">
        <v>24</v>
      </c>
      <c r="V29">
        <v>2500</v>
      </c>
      <c r="W29">
        <v>12000</v>
      </c>
      <c r="Y29">
        <v>5000</v>
      </c>
      <c r="AC29">
        <v>10000</v>
      </c>
      <c r="AD29">
        <v>300</v>
      </c>
      <c r="AE29">
        <v>17000</v>
      </c>
      <c r="AG29">
        <v>6700</v>
      </c>
      <c r="AL29">
        <v>1000</v>
      </c>
      <c r="AQ29">
        <v>5500</v>
      </c>
      <c r="AS29">
        <v>5700</v>
      </c>
      <c r="AX29" t="s">
        <v>155</v>
      </c>
    </row>
    <row r="30" spans="1:50" x14ac:dyDescent="0.25">
      <c r="A30" s="2" t="str">
        <f>D1_AGOSTO_2025[[#This Row],[SUPER2]]</f>
        <v>MELINA</v>
      </c>
      <c r="B30" s="2" t="s">
        <v>93</v>
      </c>
      <c r="C30" s="2">
        <f>VLOOKUP(D1_AGOSTO_2025[[#This Row],[SUPER]],DATA_AGOSTO_2025[[SUPERVISOR]:[META]],3,0)</f>
        <v>72000</v>
      </c>
      <c r="D30" s="2">
        <f>D1_AGOSTO_2025[[#This Row],[RECUPERO]]/C30</f>
        <v>9.7222222222222224E-2</v>
      </c>
      <c r="E30" t="s">
        <v>4</v>
      </c>
      <c r="F30" t="s">
        <v>93</v>
      </c>
      <c r="G30">
        <v>7000</v>
      </c>
      <c r="H30" t="s">
        <v>482</v>
      </c>
      <c r="I30" s="56">
        <v>44644</v>
      </c>
      <c r="J30" t="s">
        <v>501</v>
      </c>
      <c r="L30" s="56"/>
      <c r="M30" s="1">
        <f>DATA_AGOSTO_2025[[#This Row],[RECUPERO]]/DATA_AGOSTO_2025[[#This Row],[META]]</f>
        <v>0.44516129032258067</v>
      </c>
      <c r="N30" t="str" cm="1">
        <f t="array" ref="N3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30" t="s">
        <v>7</v>
      </c>
      <c r="P30">
        <f>SUM(DATA_AGOSTO_2025[[#This Row],[1]:[31]])</f>
        <v>6900</v>
      </c>
      <c r="Q30">
        <v>15500</v>
      </c>
      <c r="R30" t="s">
        <v>105</v>
      </c>
      <c r="AC30">
        <v>3500</v>
      </c>
      <c r="AL30">
        <v>100</v>
      </c>
      <c r="AR30">
        <v>2000</v>
      </c>
      <c r="AT30">
        <v>1300</v>
      </c>
      <c r="AX30" t="s">
        <v>152</v>
      </c>
    </row>
    <row r="31" spans="1:50" x14ac:dyDescent="0.25">
      <c r="A31" s="2" t="str">
        <f>D1_AGOSTO_2025[[#This Row],[SUPER2]]</f>
        <v>JORGE</v>
      </c>
      <c r="B31" s="2" t="s">
        <v>10</v>
      </c>
      <c r="C31" s="2">
        <f>VLOOKUP(D1_AGOSTO_2025[[#This Row],[SUPER]],DATA_AGOSTO_2025[[SUPERVISOR]:[META]],3,0)</f>
        <v>54000</v>
      </c>
      <c r="D31" s="2">
        <f>D1_AGOSTO_2025[[#This Row],[RECUPERO]]/C31</f>
        <v>0.89207407407407402</v>
      </c>
      <c r="E31" t="s">
        <v>2</v>
      </c>
      <c r="F31" t="s">
        <v>10</v>
      </c>
      <c r="G31">
        <v>48172</v>
      </c>
      <c r="H31" t="s">
        <v>449</v>
      </c>
      <c r="I31" s="56">
        <v>44706</v>
      </c>
      <c r="J31" t="s">
        <v>501</v>
      </c>
      <c r="L31" s="56"/>
      <c r="M31" s="1">
        <f>DATA_AGOSTO_2025[[#This Row],[RECUPERO]]/DATA_AGOSTO_2025[[#This Row],[META]]</f>
        <v>0.62574074074074071</v>
      </c>
      <c r="N31" t="str" cm="1">
        <f t="array" ref="N3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31" t="s">
        <v>2</v>
      </c>
      <c r="P31">
        <f>SUM(DATA_AGOSTO_2025[[#This Row],[1]:[31]])</f>
        <v>33790</v>
      </c>
      <c r="Q31">
        <v>54000</v>
      </c>
      <c r="R31" t="s">
        <v>16</v>
      </c>
      <c r="X31">
        <v>700</v>
      </c>
      <c r="AA31">
        <v>340</v>
      </c>
      <c r="AE31">
        <v>2000</v>
      </c>
      <c r="AG31">
        <v>5000</v>
      </c>
      <c r="AH31">
        <v>600</v>
      </c>
      <c r="AL31">
        <v>2000</v>
      </c>
      <c r="AM31">
        <v>450</v>
      </c>
      <c r="AN31">
        <v>2000</v>
      </c>
      <c r="AS31">
        <v>12000</v>
      </c>
      <c r="AT31">
        <v>700</v>
      </c>
      <c r="AU31">
        <v>6400</v>
      </c>
      <c r="AV31">
        <v>600</v>
      </c>
      <c r="AW31">
        <v>1000</v>
      </c>
      <c r="AX31" t="s">
        <v>150</v>
      </c>
    </row>
    <row r="32" spans="1:50" x14ac:dyDescent="0.25">
      <c r="A32" s="2" t="str">
        <f>D1_AGOSTO_2025[[#This Row],[SUPER2]]</f>
        <v>JORGE</v>
      </c>
      <c r="B32" s="2" t="s">
        <v>17</v>
      </c>
      <c r="C32" s="2">
        <f>VLOOKUP(D1_AGOSTO_2025[[#This Row],[SUPER]],DATA_AGOSTO_2025[[SUPERVISOR]:[META]],3,0)</f>
        <v>54000</v>
      </c>
      <c r="D32" s="2">
        <f>D1_AGOSTO_2025[[#This Row],[RECUPERO]]/C32</f>
        <v>0.4843703703703704</v>
      </c>
      <c r="E32" t="s">
        <v>2</v>
      </c>
      <c r="F32" t="s">
        <v>17</v>
      </c>
      <c r="G32">
        <v>26156</v>
      </c>
      <c r="H32" t="s">
        <v>385</v>
      </c>
      <c r="I32" s="56">
        <v>44888</v>
      </c>
      <c r="J32" t="s">
        <v>501</v>
      </c>
      <c r="L32" s="56"/>
      <c r="M32" s="1">
        <f>DATA_AGOSTO_2025[[#This Row],[RECUPERO]]/DATA_AGOSTO_2025[[#This Row],[META]]</f>
        <v>0.63636249999999994</v>
      </c>
      <c r="N32" t="str" cm="1">
        <f t="array" ref="N3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32" t="s">
        <v>125</v>
      </c>
      <c r="P32">
        <f>SUM(DATA_AGOSTO_2025[[#This Row],[1]:[31]])</f>
        <v>45818.1</v>
      </c>
      <c r="Q32">
        <v>72000</v>
      </c>
      <c r="R32" t="s">
        <v>27</v>
      </c>
      <c r="V32">
        <v>2000</v>
      </c>
      <c r="Y32">
        <v>3000.1</v>
      </c>
      <c r="Z32">
        <v>19506</v>
      </c>
      <c r="AF32">
        <v>1517</v>
      </c>
      <c r="AG32">
        <v>10000</v>
      </c>
      <c r="AN32">
        <v>800</v>
      </c>
      <c r="AO32">
        <v>7000</v>
      </c>
      <c r="AQ32">
        <v>1500</v>
      </c>
      <c r="AR32">
        <v>495</v>
      </c>
      <c r="AX32" t="s">
        <v>155</v>
      </c>
    </row>
    <row r="33" spans="1:50" x14ac:dyDescent="0.25">
      <c r="A33" s="2" t="str">
        <f>D1_AGOSTO_2025[[#This Row],[SUPER2]]</f>
        <v>JORGE</v>
      </c>
      <c r="B33" s="2" t="s">
        <v>11</v>
      </c>
      <c r="C33" s="2">
        <f>VLOOKUP(D1_AGOSTO_2025[[#This Row],[SUPER]],DATA_AGOSTO_2025[[SUPERVISOR]:[META]],3,0)</f>
        <v>54000</v>
      </c>
      <c r="D33" s="2">
        <f>D1_AGOSTO_2025[[#This Row],[RECUPERO]]/C33</f>
        <v>0.50524074074074077</v>
      </c>
      <c r="E33" t="s">
        <v>2</v>
      </c>
      <c r="F33" t="s">
        <v>11</v>
      </c>
      <c r="G33">
        <v>27283</v>
      </c>
      <c r="H33" t="s">
        <v>429</v>
      </c>
      <c r="I33" s="56">
        <v>45371</v>
      </c>
      <c r="J33" t="s">
        <v>501</v>
      </c>
      <c r="L33" s="56"/>
      <c r="M33" s="1">
        <f>DATA_AGOSTO_2025[[#This Row],[RECUPERO]]/DATA_AGOSTO_2025[[#This Row],[META]]</f>
        <v>0.31546296296296295</v>
      </c>
      <c r="N33" t="str" cm="1">
        <f t="array" ref="N3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33" t="s">
        <v>2</v>
      </c>
      <c r="P33">
        <f>SUM(DATA_AGOSTO_2025[[#This Row],[1]:[31]])</f>
        <v>17035</v>
      </c>
      <c r="Q33">
        <v>54000</v>
      </c>
      <c r="R33" t="s">
        <v>12</v>
      </c>
      <c r="S33">
        <v>1710</v>
      </c>
      <c r="V33">
        <v>1700</v>
      </c>
      <c r="AC33">
        <v>600</v>
      </c>
      <c r="AG33">
        <v>7700</v>
      </c>
      <c r="AL33">
        <v>2260</v>
      </c>
      <c r="AO33">
        <v>265</v>
      </c>
      <c r="AR33">
        <v>2800</v>
      </c>
      <c r="AX33" t="s">
        <v>150</v>
      </c>
    </row>
    <row r="34" spans="1:50" x14ac:dyDescent="0.25">
      <c r="A34" s="2" t="str">
        <f>D1_AGOSTO_2025[[#This Row],[SUPER2]]</f>
        <v>JORGE</v>
      </c>
      <c r="B34" s="2" t="s">
        <v>16</v>
      </c>
      <c r="C34" s="2">
        <f>VLOOKUP(D1_AGOSTO_2025[[#This Row],[SUPER]],DATA_AGOSTO_2025[[SUPERVISOR]:[META]],3,0)</f>
        <v>54000</v>
      </c>
      <c r="D34" s="2">
        <f>D1_AGOSTO_2025[[#This Row],[RECUPERO]]/C34</f>
        <v>0.62574074074074071</v>
      </c>
      <c r="E34" t="s">
        <v>2</v>
      </c>
      <c r="F34" t="s">
        <v>16</v>
      </c>
      <c r="G34">
        <v>33790</v>
      </c>
      <c r="H34" t="s">
        <v>388</v>
      </c>
      <c r="I34" s="56">
        <v>45334</v>
      </c>
      <c r="J34" t="s">
        <v>501</v>
      </c>
      <c r="L34" s="56"/>
      <c r="M34" s="1">
        <f>DATA_AGOSTO_2025[[#This Row],[RECUPERO]]/DATA_AGOSTO_2025[[#This Row],[META]]</f>
        <v>0.65774999999999995</v>
      </c>
      <c r="N34" t="str" cm="1">
        <f t="array" ref="N3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34" t="s">
        <v>9</v>
      </c>
      <c r="P34">
        <f>SUM(DATA_AGOSTO_2025[[#This Row],[1]:[31]])</f>
        <v>10524</v>
      </c>
      <c r="Q34">
        <v>16000</v>
      </c>
      <c r="R34" t="s">
        <v>51</v>
      </c>
      <c r="S34">
        <v>500</v>
      </c>
      <c r="V34">
        <v>1900</v>
      </c>
      <c r="W34">
        <v>520</v>
      </c>
      <c r="AC34">
        <v>1200</v>
      </c>
      <c r="AD34">
        <v>1320</v>
      </c>
      <c r="AG34">
        <v>2509</v>
      </c>
      <c r="AK34">
        <v>1500</v>
      </c>
      <c r="AM34">
        <v>600</v>
      </c>
      <c r="AT34">
        <v>475</v>
      </c>
      <c r="AX34" t="s">
        <v>153</v>
      </c>
    </row>
    <row r="35" spans="1:50" x14ac:dyDescent="0.25">
      <c r="A35" s="2" t="str">
        <f>D1_AGOSTO_2025[[#This Row],[SUPER2]]</f>
        <v>JORGE</v>
      </c>
      <c r="B35" s="2" t="s">
        <v>13</v>
      </c>
      <c r="C35" s="2">
        <f>VLOOKUP(D1_AGOSTO_2025[[#This Row],[SUPER]],DATA_AGOSTO_2025[[SUPERVISOR]:[META]],3,0)</f>
        <v>54000</v>
      </c>
      <c r="D35" s="2">
        <f>D1_AGOSTO_2025[[#This Row],[RECUPERO]]/C35</f>
        <v>0.28472222222222221</v>
      </c>
      <c r="E35" t="s">
        <v>2</v>
      </c>
      <c r="F35" t="s">
        <v>13</v>
      </c>
      <c r="G35">
        <v>15375</v>
      </c>
      <c r="H35" t="s">
        <v>382</v>
      </c>
      <c r="I35" s="56">
        <v>44811</v>
      </c>
      <c r="J35" t="s">
        <v>501</v>
      </c>
      <c r="L35" s="56"/>
      <c r="M35" s="1">
        <f>DATA_AGOSTO_2025[[#This Row],[RECUPERO]]/DATA_AGOSTO_2025[[#This Row],[META]]</f>
        <v>9.7222222222222224E-2</v>
      </c>
      <c r="N35" t="str" cm="1">
        <f t="array" ref="N3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35" t="s">
        <v>4</v>
      </c>
      <c r="P35">
        <f>SUM(DATA_AGOSTO_2025[[#This Row],[1]:[31]])</f>
        <v>7000</v>
      </c>
      <c r="Q35">
        <v>72000</v>
      </c>
      <c r="R35" t="s">
        <v>93</v>
      </c>
      <c r="AE35">
        <v>300</v>
      </c>
      <c r="AK35">
        <v>580</v>
      </c>
      <c r="AM35">
        <v>320</v>
      </c>
      <c r="AN35">
        <v>5000</v>
      </c>
      <c r="AQ35">
        <v>800</v>
      </c>
      <c r="AX35" t="s">
        <v>155</v>
      </c>
    </row>
    <row r="36" spans="1:50" x14ac:dyDescent="0.25">
      <c r="A36" s="2" t="str">
        <f>D1_AGOSTO_2025[[#This Row],[SUPER2]]</f>
        <v>JORGE</v>
      </c>
      <c r="B36" s="2" t="s">
        <v>12</v>
      </c>
      <c r="C36" s="2">
        <f>VLOOKUP(D1_AGOSTO_2025[[#This Row],[SUPER]],DATA_AGOSTO_2025[[SUPERVISOR]:[META]],3,0)</f>
        <v>54000</v>
      </c>
      <c r="D36" s="2">
        <f>D1_AGOSTO_2025[[#This Row],[RECUPERO]]/C36</f>
        <v>0.31546296296296295</v>
      </c>
      <c r="E36" t="s">
        <v>2</v>
      </c>
      <c r="F36" t="s">
        <v>12</v>
      </c>
      <c r="G36">
        <v>17035</v>
      </c>
      <c r="H36" t="s">
        <v>389</v>
      </c>
      <c r="I36" s="56">
        <v>44870</v>
      </c>
      <c r="J36" t="s">
        <v>501</v>
      </c>
      <c r="L36" s="56"/>
      <c r="M36" s="1">
        <f>DATA_AGOSTO_2025[[#This Row],[RECUPERO]]/DATA_AGOSTO_2025[[#This Row],[META]]</f>
        <v>0.28472222222222221</v>
      </c>
      <c r="N36" t="str" cm="1">
        <f t="array" ref="N3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36" t="s">
        <v>2</v>
      </c>
      <c r="P36">
        <f>SUM(DATA_AGOSTO_2025[[#This Row],[1]:[31]])</f>
        <v>15375</v>
      </c>
      <c r="Q36">
        <v>54000</v>
      </c>
      <c r="R36" t="s">
        <v>13</v>
      </c>
      <c r="S36">
        <v>650</v>
      </c>
      <c r="V36">
        <v>500</v>
      </c>
      <c r="Y36">
        <v>825</v>
      </c>
      <c r="AD36">
        <v>3000</v>
      </c>
      <c r="AF36">
        <v>700</v>
      </c>
      <c r="AG36">
        <v>2000</v>
      </c>
      <c r="AL36">
        <v>500</v>
      </c>
      <c r="AN36">
        <v>5000</v>
      </c>
      <c r="AO36">
        <v>1000</v>
      </c>
      <c r="AS36">
        <v>1200</v>
      </c>
      <c r="AX36" t="s">
        <v>150</v>
      </c>
    </row>
    <row r="37" spans="1:50" x14ac:dyDescent="0.25">
      <c r="A37" s="2" t="str">
        <f>D1_AGOSTO_2025[[#This Row],[SUPER2]]</f>
        <v>JORGE</v>
      </c>
      <c r="B37" s="2" t="s">
        <v>15</v>
      </c>
      <c r="C37" s="2">
        <f>VLOOKUP(D1_AGOSTO_2025[[#This Row],[SUPER]],DATA_AGOSTO_2025[[SUPERVISOR]:[META]],3,0)</f>
        <v>54000</v>
      </c>
      <c r="D37" s="2">
        <f>D1_AGOSTO_2025[[#This Row],[RECUPERO]]/C37</f>
        <v>0.10811111111111112</v>
      </c>
      <c r="E37" t="s">
        <v>2</v>
      </c>
      <c r="F37" t="s">
        <v>15</v>
      </c>
      <c r="G37">
        <v>5838</v>
      </c>
      <c r="H37" t="s">
        <v>410</v>
      </c>
      <c r="I37" s="56">
        <v>44735</v>
      </c>
      <c r="J37" t="s">
        <v>501</v>
      </c>
      <c r="L37" s="56"/>
      <c r="M37" s="1">
        <f>DATA_AGOSTO_2025[[#This Row],[RECUPERO]]/DATA_AGOSTO_2025[[#This Row],[META]]</f>
        <v>1.0142807692307692</v>
      </c>
      <c r="N37" t="str" cm="1">
        <f t="array" ref="N3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37" t="s">
        <v>6</v>
      </c>
      <c r="P37">
        <f>SUM(DATA_AGOSTO_2025[[#This Row],[1]:[31]])</f>
        <v>26371.3</v>
      </c>
      <c r="Q37">
        <v>26000</v>
      </c>
      <c r="R37" t="s">
        <v>32</v>
      </c>
      <c r="S37">
        <v>300</v>
      </c>
      <c r="V37">
        <v>4850</v>
      </c>
      <c r="W37">
        <v>710</v>
      </c>
      <c r="Y37">
        <v>100</v>
      </c>
      <c r="Z37">
        <v>220</v>
      </c>
      <c r="AC37">
        <v>600</v>
      </c>
      <c r="AG37">
        <v>1050</v>
      </c>
      <c r="AH37">
        <v>1041.3</v>
      </c>
      <c r="AL37">
        <v>1000</v>
      </c>
      <c r="AO37">
        <v>200</v>
      </c>
      <c r="AQ37">
        <v>8800</v>
      </c>
      <c r="AR37">
        <v>400</v>
      </c>
      <c r="AT37">
        <v>100</v>
      </c>
      <c r="AU37">
        <v>4800</v>
      </c>
      <c r="AV37">
        <v>200</v>
      </c>
      <c r="AW37">
        <v>2000</v>
      </c>
      <c r="AX37" t="s">
        <v>156</v>
      </c>
    </row>
    <row r="38" spans="1:50" x14ac:dyDescent="0.25">
      <c r="A38" s="2" t="str">
        <f>D1_AGOSTO_2025[[#This Row],[SUPER2]]</f>
        <v>JORGE</v>
      </c>
      <c r="B38" s="2" t="s">
        <v>91</v>
      </c>
      <c r="C38" s="2">
        <f>VLOOKUP(D1_AGOSTO_2025[[#This Row],[SUPER]],DATA_AGOSTO_2025[[SUPERVISOR]:[META]],3,0)</f>
        <v>54000</v>
      </c>
      <c r="D38" s="2">
        <f>D1_AGOSTO_2025[[#This Row],[RECUPERO]]/C38</f>
        <v>0.16435185185185186</v>
      </c>
      <c r="E38" t="s">
        <v>2</v>
      </c>
      <c r="F38" t="s">
        <v>91</v>
      </c>
      <c r="G38">
        <v>8875</v>
      </c>
      <c r="H38" t="s">
        <v>483</v>
      </c>
      <c r="I38" s="56">
        <v>45882</v>
      </c>
      <c r="J38" t="s">
        <v>501</v>
      </c>
      <c r="L38" s="56"/>
      <c r="M38" s="1">
        <f>DATA_AGOSTO_2025[[#This Row],[RECUPERO]]/DATA_AGOSTO_2025[[#This Row],[META]]</f>
        <v>0.39811111111111114</v>
      </c>
      <c r="N38" t="str" cm="1">
        <f t="array" ref="N3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38" t="s">
        <v>5</v>
      </c>
      <c r="P38">
        <f>SUM(DATA_AGOSTO_2025[[#This Row],[1]:[31]])</f>
        <v>21498</v>
      </c>
      <c r="Q38">
        <v>54000</v>
      </c>
      <c r="R38" t="s">
        <v>66</v>
      </c>
      <c r="S38">
        <v>2480</v>
      </c>
      <c r="V38">
        <v>2500</v>
      </c>
      <c r="Y38">
        <v>5000</v>
      </c>
      <c r="AD38">
        <v>2000</v>
      </c>
      <c r="AJ38">
        <v>1180</v>
      </c>
      <c r="AK38">
        <v>4500</v>
      </c>
      <c r="AN38">
        <v>838</v>
      </c>
      <c r="AS38">
        <v>3000</v>
      </c>
      <c r="AX38" t="s">
        <v>150</v>
      </c>
    </row>
    <row r="39" spans="1:50" x14ac:dyDescent="0.25">
      <c r="A39" s="2" t="str">
        <f>D1_AGOSTO_2025[[#This Row],[SUPER2]]</f>
        <v>JORGE</v>
      </c>
      <c r="B39" s="2" t="s">
        <v>14</v>
      </c>
      <c r="C39" s="2">
        <f>VLOOKUP(D1_AGOSTO_2025[[#This Row],[SUPER]],DATA_AGOSTO_2025[[SUPERVISOR]:[META]],3,0)</f>
        <v>54000</v>
      </c>
      <c r="D39" s="2">
        <f>D1_AGOSTO_2025[[#This Row],[RECUPERO]]/C39</f>
        <v>0.15362148148148147</v>
      </c>
      <c r="E39" t="s">
        <v>2</v>
      </c>
      <c r="F39" t="s">
        <v>14</v>
      </c>
      <c r="G39">
        <v>8295.56</v>
      </c>
      <c r="H39" t="s">
        <v>432</v>
      </c>
      <c r="I39" s="56">
        <v>45133</v>
      </c>
      <c r="J39" t="s">
        <v>501</v>
      </c>
      <c r="L39" s="56"/>
      <c r="M39" s="1">
        <f>DATA_AGOSTO_2025[[#This Row],[RECUPERO]]/DATA_AGOSTO_2025[[#This Row],[META]]</f>
        <v>0.69581249999999994</v>
      </c>
      <c r="N39" t="str" cm="1">
        <f t="array" ref="N3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39" t="s">
        <v>8</v>
      </c>
      <c r="P39">
        <f>SUM(DATA_AGOSTO_2025[[#This Row],[1]:[31]])</f>
        <v>11133</v>
      </c>
      <c r="Q39">
        <v>16000</v>
      </c>
      <c r="R39" t="s">
        <v>44</v>
      </c>
      <c r="S39">
        <v>800</v>
      </c>
      <c r="V39">
        <v>252</v>
      </c>
      <c r="Y39">
        <v>1300</v>
      </c>
      <c r="Z39">
        <v>150</v>
      </c>
      <c r="AC39">
        <v>150</v>
      </c>
      <c r="AF39">
        <v>500</v>
      </c>
      <c r="AG39">
        <v>1050</v>
      </c>
      <c r="AJ39">
        <v>700</v>
      </c>
      <c r="AK39">
        <v>200</v>
      </c>
      <c r="AM39">
        <v>3070</v>
      </c>
      <c r="AN39">
        <v>200</v>
      </c>
      <c r="AP39">
        <v>200</v>
      </c>
      <c r="AQ39">
        <v>290</v>
      </c>
      <c r="AR39">
        <v>620</v>
      </c>
      <c r="AT39">
        <v>1651</v>
      </c>
      <c r="AX39" t="s">
        <v>153</v>
      </c>
    </row>
    <row r="40" spans="1:50" x14ac:dyDescent="0.25">
      <c r="A40" s="2" t="str">
        <f>D1_AGOSTO_2025[[#This Row],[SUPER2]]</f>
        <v>JORDAN</v>
      </c>
      <c r="B40" s="2" t="s">
        <v>69</v>
      </c>
      <c r="C40" s="2">
        <f>VLOOKUP(D1_AGOSTO_2025[[#This Row],[SUPER]],DATA_AGOSTO_2025[[SUPERVISOR]:[META]],3,0)</f>
        <v>54000</v>
      </c>
      <c r="D40" s="2">
        <f>D1_AGOSTO_2025[[#This Row],[RECUPERO]]/C40</f>
        <v>0.67654629629629626</v>
      </c>
      <c r="E40" t="s">
        <v>5</v>
      </c>
      <c r="F40" t="s">
        <v>69</v>
      </c>
      <c r="G40">
        <v>36533.5</v>
      </c>
      <c r="H40" t="s">
        <v>379</v>
      </c>
      <c r="I40" s="56">
        <v>44461</v>
      </c>
      <c r="J40" t="s">
        <v>501</v>
      </c>
      <c r="L40" s="56"/>
      <c r="M40" s="1">
        <f>DATA_AGOSTO_2025[[#This Row],[RECUPERO]]/DATA_AGOSTO_2025[[#This Row],[META]]</f>
        <v>0.39690740740740743</v>
      </c>
      <c r="N40" t="str" cm="1">
        <f t="array" ref="N4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40" t="s">
        <v>5</v>
      </c>
      <c r="P40">
        <f>SUM(DATA_AGOSTO_2025[[#This Row],[1]:[31]])</f>
        <v>21433</v>
      </c>
      <c r="Q40">
        <v>54000</v>
      </c>
      <c r="R40" t="s">
        <v>71</v>
      </c>
      <c r="S40">
        <v>1300</v>
      </c>
      <c r="AG40">
        <v>2833</v>
      </c>
      <c r="AJ40">
        <v>600</v>
      </c>
      <c r="AK40">
        <v>2000</v>
      </c>
      <c r="AL40">
        <v>1200</v>
      </c>
      <c r="AQ40">
        <v>8900</v>
      </c>
      <c r="AR40">
        <v>4000</v>
      </c>
      <c r="AT40">
        <v>600</v>
      </c>
      <c r="AX40" t="s">
        <v>150</v>
      </c>
    </row>
    <row r="41" spans="1:50" x14ac:dyDescent="0.25">
      <c r="A41" s="2" t="str">
        <f>D1_AGOSTO_2025[[#This Row],[SUPER2]]</f>
        <v>JORDAN</v>
      </c>
      <c r="B41" s="2" t="s">
        <v>66</v>
      </c>
      <c r="C41" s="2">
        <f>VLOOKUP(D1_AGOSTO_2025[[#This Row],[SUPER]],DATA_AGOSTO_2025[[SUPERVISOR]:[META]],3,0)</f>
        <v>54000</v>
      </c>
      <c r="D41" s="2">
        <f>D1_AGOSTO_2025[[#This Row],[RECUPERO]]/C41</f>
        <v>0.39811111111111114</v>
      </c>
      <c r="E41" t="s">
        <v>5</v>
      </c>
      <c r="F41" t="s">
        <v>66</v>
      </c>
      <c r="G41">
        <v>21498</v>
      </c>
      <c r="H41" t="s">
        <v>383</v>
      </c>
      <c r="I41" s="56">
        <v>45457</v>
      </c>
      <c r="J41" t="s">
        <v>501</v>
      </c>
      <c r="L41" s="56"/>
      <c r="M41" s="1">
        <f>DATA_AGOSTO_2025[[#This Row],[RECUPERO]]/DATA_AGOSTO_2025[[#This Row],[META]]</f>
        <v>0.75612500000000005</v>
      </c>
      <c r="N41" t="str" cm="1">
        <f t="array" ref="N4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41" t="s">
        <v>8</v>
      </c>
      <c r="P41">
        <f>SUM(DATA_AGOSTO_2025[[#This Row],[1]:[31]])</f>
        <v>12098</v>
      </c>
      <c r="Q41">
        <v>16000</v>
      </c>
      <c r="R41" t="s">
        <v>42</v>
      </c>
      <c r="S41">
        <v>100</v>
      </c>
      <c r="W41">
        <v>750</v>
      </c>
      <c r="Y41">
        <v>2700</v>
      </c>
      <c r="Z41">
        <v>425</v>
      </c>
      <c r="AE41">
        <v>640</v>
      </c>
      <c r="AF41">
        <v>250</v>
      </c>
      <c r="AG41">
        <v>1200</v>
      </c>
      <c r="AJ41">
        <v>955</v>
      </c>
      <c r="AL41">
        <v>400</v>
      </c>
      <c r="AM41">
        <v>700</v>
      </c>
      <c r="AN41">
        <v>2300</v>
      </c>
      <c r="AQ41">
        <v>1428</v>
      </c>
      <c r="AS41">
        <v>250</v>
      </c>
      <c r="AX41" t="s">
        <v>153</v>
      </c>
    </row>
    <row r="42" spans="1:50" x14ac:dyDescent="0.25">
      <c r="A42" s="2" t="str">
        <f>D1_AGOSTO_2025[[#This Row],[SUPER2]]</f>
        <v>JORDAN</v>
      </c>
      <c r="B42" s="2" t="s">
        <v>70</v>
      </c>
      <c r="C42" s="2">
        <f>VLOOKUP(D1_AGOSTO_2025[[#This Row],[SUPER]],DATA_AGOSTO_2025[[SUPERVISOR]:[META]],3,0)</f>
        <v>54000</v>
      </c>
      <c r="D42" s="2">
        <f>D1_AGOSTO_2025[[#This Row],[RECUPERO]]/C42</f>
        <v>0.51500000000000001</v>
      </c>
      <c r="E42" t="s">
        <v>5</v>
      </c>
      <c r="F42" t="s">
        <v>70</v>
      </c>
      <c r="G42">
        <v>27810</v>
      </c>
      <c r="H42" t="s">
        <v>418</v>
      </c>
      <c r="I42" s="56">
        <v>44971</v>
      </c>
      <c r="J42" t="s">
        <v>501</v>
      </c>
      <c r="L42" s="56"/>
      <c r="M42" s="1">
        <f>DATA_AGOSTO_2025[[#This Row],[RECUPERO]]/DATA_AGOSTO_2025[[#This Row],[META]]</f>
        <v>3.1E-2</v>
      </c>
      <c r="N42" t="str" cm="1">
        <f t="array" ref="N4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42" t="s">
        <v>9</v>
      </c>
      <c r="P42">
        <f>SUM(DATA_AGOSTO_2025[[#This Row],[1]:[31]])</f>
        <v>496</v>
      </c>
      <c r="Q42">
        <v>16000</v>
      </c>
      <c r="R42" t="s">
        <v>100</v>
      </c>
      <c r="AR42">
        <v>200</v>
      </c>
      <c r="AT42">
        <v>296</v>
      </c>
      <c r="AX42" t="s">
        <v>153</v>
      </c>
    </row>
    <row r="43" spans="1:50" x14ac:dyDescent="0.25">
      <c r="A43" s="2" t="str">
        <f>D1_AGOSTO_2025[[#This Row],[SUPER2]]</f>
        <v>JORDAN</v>
      </c>
      <c r="B43" s="2" t="s">
        <v>67</v>
      </c>
      <c r="C43" s="2">
        <f>VLOOKUP(D1_AGOSTO_2025[[#This Row],[SUPER]],DATA_AGOSTO_2025[[SUPERVISOR]:[META]],3,0)</f>
        <v>54000</v>
      </c>
      <c r="D43" s="2">
        <f>D1_AGOSTO_2025[[#This Row],[RECUPERO]]/C43</f>
        <v>0.46387037037037038</v>
      </c>
      <c r="E43" t="s">
        <v>5</v>
      </c>
      <c r="F43" t="s">
        <v>67</v>
      </c>
      <c r="G43">
        <v>25049</v>
      </c>
      <c r="H43" t="s">
        <v>381</v>
      </c>
      <c r="I43" s="56">
        <v>44811</v>
      </c>
      <c r="J43" t="s">
        <v>501</v>
      </c>
      <c r="L43" s="56"/>
      <c r="M43" s="1">
        <f>DATA_AGOSTO_2025[[#This Row],[RECUPERO]]/DATA_AGOSTO_2025[[#This Row],[META]]</f>
        <v>1.1887222222222222</v>
      </c>
      <c r="N43" t="str" cm="1">
        <f t="array" ref="N4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43" t="s">
        <v>4</v>
      </c>
      <c r="P43">
        <f>SUM(DATA_AGOSTO_2025[[#This Row],[1]:[31]])</f>
        <v>85588</v>
      </c>
      <c r="Q43">
        <v>72000</v>
      </c>
      <c r="R43" t="s">
        <v>57</v>
      </c>
      <c r="W43">
        <v>28600</v>
      </c>
      <c r="Y43">
        <v>10400</v>
      </c>
      <c r="Z43">
        <v>2430</v>
      </c>
      <c r="AA43">
        <v>7000</v>
      </c>
      <c r="AK43">
        <v>10600</v>
      </c>
      <c r="AM43">
        <v>8700</v>
      </c>
      <c r="AQ43">
        <v>17858</v>
      </c>
      <c r="AX43" t="s">
        <v>155</v>
      </c>
    </row>
    <row r="44" spans="1:50" x14ac:dyDescent="0.25">
      <c r="A44" s="2" t="str">
        <f>D1_AGOSTO_2025[[#This Row],[SUPER2]]</f>
        <v>JORDAN</v>
      </c>
      <c r="B44" s="2" t="s">
        <v>68</v>
      </c>
      <c r="C44" s="2">
        <f>VLOOKUP(D1_AGOSTO_2025[[#This Row],[SUPER]],DATA_AGOSTO_2025[[SUPERVISOR]:[META]],3,0)</f>
        <v>54000</v>
      </c>
      <c r="D44" s="2">
        <f>D1_AGOSTO_2025[[#This Row],[RECUPERO]]/C44</f>
        <v>0.47129629629629627</v>
      </c>
      <c r="E44" t="s">
        <v>5</v>
      </c>
      <c r="F44" t="s">
        <v>68</v>
      </c>
      <c r="G44">
        <v>25450</v>
      </c>
      <c r="H44" t="s">
        <v>440</v>
      </c>
      <c r="I44" s="56">
        <v>45364</v>
      </c>
      <c r="J44" t="s">
        <v>501</v>
      </c>
      <c r="L44" s="56"/>
      <c r="M44" s="1">
        <f>DATA_AGOSTO_2025[[#This Row],[RECUPERO]]/DATA_AGOSTO_2025[[#This Row],[META]]</f>
        <v>0.75306249999999997</v>
      </c>
      <c r="N44" t="str" cm="1">
        <f t="array" ref="N4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44" t="s">
        <v>9</v>
      </c>
      <c r="P44">
        <f>SUM(DATA_AGOSTO_2025[[#This Row],[1]:[31]])</f>
        <v>12049</v>
      </c>
      <c r="Q44">
        <v>16000</v>
      </c>
      <c r="R44" t="s">
        <v>49</v>
      </c>
      <c r="V44">
        <v>200</v>
      </c>
      <c r="W44">
        <v>4875</v>
      </c>
      <c r="Y44">
        <v>200</v>
      </c>
      <c r="AB44">
        <v>300</v>
      </c>
      <c r="AC44">
        <v>350</v>
      </c>
      <c r="AD44">
        <v>1646</v>
      </c>
      <c r="AE44">
        <v>300</v>
      </c>
      <c r="AF44">
        <v>350</v>
      </c>
      <c r="AG44">
        <v>300</v>
      </c>
      <c r="AJ44">
        <v>500</v>
      </c>
      <c r="AS44">
        <v>1950</v>
      </c>
      <c r="AT44">
        <v>1078</v>
      </c>
      <c r="AX44" t="s">
        <v>153</v>
      </c>
    </row>
    <row r="45" spans="1:50" x14ac:dyDescent="0.25">
      <c r="A45" s="2" t="str">
        <f>D1_AGOSTO_2025[[#This Row],[SUPER2]]</f>
        <v>JORDAN</v>
      </c>
      <c r="B45" s="2" t="s">
        <v>71</v>
      </c>
      <c r="C45" s="2">
        <f>VLOOKUP(D1_AGOSTO_2025[[#This Row],[SUPER]],DATA_AGOSTO_2025[[SUPERVISOR]:[META]],3,0)</f>
        <v>54000</v>
      </c>
      <c r="D45" s="2">
        <f>D1_AGOSTO_2025[[#This Row],[RECUPERO]]/C45</f>
        <v>0.39690740740740743</v>
      </c>
      <c r="E45" t="s">
        <v>5</v>
      </c>
      <c r="F45" t="s">
        <v>71</v>
      </c>
      <c r="G45">
        <v>21433</v>
      </c>
      <c r="H45" t="s">
        <v>414</v>
      </c>
      <c r="I45" s="56">
        <v>45423</v>
      </c>
      <c r="J45" t="s">
        <v>501</v>
      </c>
      <c r="L45" s="56"/>
      <c r="M45" s="1">
        <f>DATA_AGOSTO_2025[[#This Row],[RECUPERO]]/DATA_AGOSTO_2025[[#This Row],[META]]</f>
        <v>0.53088888888888885</v>
      </c>
      <c r="N45" t="str" cm="1">
        <f t="array" ref="N4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45" t="s">
        <v>125</v>
      </c>
      <c r="P45">
        <f>SUM(DATA_AGOSTO_2025[[#This Row],[1]:[31]])</f>
        <v>38224</v>
      </c>
      <c r="Q45">
        <v>72000</v>
      </c>
      <c r="R45" t="s">
        <v>26</v>
      </c>
      <c r="S45">
        <v>5030</v>
      </c>
      <c r="AC45">
        <v>1400</v>
      </c>
      <c r="AD45">
        <v>6200</v>
      </c>
      <c r="AE45">
        <v>600</v>
      </c>
      <c r="AF45">
        <v>1900</v>
      </c>
      <c r="AG45">
        <v>491</v>
      </c>
      <c r="AJ45">
        <v>1000</v>
      </c>
      <c r="AM45">
        <v>8464</v>
      </c>
      <c r="AN45">
        <v>3530</v>
      </c>
      <c r="AQ45">
        <v>2300</v>
      </c>
      <c r="AS45">
        <v>2000</v>
      </c>
      <c r="AT45">
        <v>5309</v>
      </c>
      <c r="AX45" t="s">
        <v>155</v>
      </c>
    </row>
    <row r="46" spans="1:50" x14ac:dyDescent="0.25">
      <c r="A46" s="2" t="str">
        <f>D1_AGOSTO_2025[[#This Row],[SUPER2]]</f>
        <v>JORDAN</v>
      </c>
      <c r="B46" s="2" t="s">
        <v>72</v>
      </c>
      <c r="C46" s="2">
        <f>VLOOKUP(D1_AGOSTO_2025[[#This Row],[SUPER]],DATA_AGOSTO_2025[[SUPERVISOR]:[META]],3,0)</f>
        <v>54000</v>
      </c>
      <c r="D46" s="2">
        <f>D1_AGOSTO_2025[[#This Row],[RECUPERO]]/C46</f>
        <v>0.17964018518518518</v>
      </c>
      <c r="E46" t="s">
        <v>5</v>
      </c>
      <c r="F46" t="s">
        <v>72</v>
      </c>
      <c r="G46">
        <v>9700.57</v>
      </c>
      <c r="H46" t="s">
        <v>450</v>
      </c>
      <c r="I46" s="56">
        <v>45084</v>
      </c>
      <c r="J46" t="s">
        <v>501</v>
      </c>
      <c r="L46" s="56"/>
      <c r="M46" s="1">
        <f>DATA_AGOSTO_2025[[#This Row],[RECUPERO]]/DATA_AGOSTO_2025[[#This Row],[META]]</f>
        <v>3.0944444444444445E-2</v>
      </c>
      <c r="N46" t="str" cm="1">
        <f t="array" ref="N4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46" t="s">
        <v>5</v>
      </c>
      <c r="P46">
        <f>SUM(DATA_AGOSTO_2025[[#This Row],[1]:[31]])</f>
        <v>1671</v>
      </c>
      <c r="Q46">
        <v>54000</v>
      </c>
      <c r="R46" t="s">
        <v>96</v>
      </c>
      <c r="AG46">
        <v>381</v>
      </c>
      <c r="AQ46">
        <v>1000</v>
      </c>
      <c r="AT46">
        <v>290</v>
      </c>
      <c r="AX46" t="s">
        <v>150</v>
      </c>
    </row>
    <row r="47" spans="1:50" x14ac:dyDescent="0.25">
      <c r="A47" s="2" t="str">
        <f>D1_AGOSTO_2025[[#This Row],[SUPER2]]</f>
        <v>JORDAN</v>
      </c>
      <c r="B47" s="2" t="s">
        <v>73</v>
      </c>
      <c r="C47" s="2">
        <f>VLOOKUP(D1_AGOSTO_2025[[#This Row],[SUPER]],DATA_AGOSTO_2025[[SUPERVISOR]:[META]],3,0)</f>
        <v>54000</v>
      </c>
      <c r="D47" s="2">
        <f>D1_AGOSTO_2025[[#This Row],[RECUPERO]]/C47</f>
        <v>0.10972222222222222</v>
      </c>
      <c r="E47" t="s">
        <v>5</v>
      </c>
      <c r="F47" t="s">
        <v>73</v>
      </c>
      <c r="G47">
        <v>5925</v>
      </c>
      <c r="H47" t="s">
        <v>420</v>
      </c>
      <c r="I47" s="56">
        <v>45145</v>
      </c>
      <c r="J47" t="s">
        <v>501</v>
      </c>
      <c r="L47" s="56"/>
      <c r="M47" s="1">
        <f>DATA_AGOSTO_2025[[#This Row],[RECUPERO]]/DATA_AGOSTO_2025[[#This Row],[META]]</f>
        <v>0.1125</v>
      </c>
      <c r="N47" t="str" cm="1">
        <f t="array" ref="N4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47" t="s">
        <v>8</v>
      </c>
      <c r="P47">
        <f>SUM(DATA_AGOSTO_2025[[#This Row],[1]:[31]])</f>
        <v>1800</v>
      </c>
      <c r="Q47">
        <v>16000</v>
      </c>
      <c r="R47" t="s">
        <v>98</v>
      </c>
      <c r="AN47">
        <v>1700</v>
      </c>
      <c r="AT47">
        <v>100</v>
      </c>
      <c r="AX47" t="s">
        <v>153</v>
      </c>
    </row>
    <row r="48" spans="1:50" x14ac:dyDescent="0.25">
      <c r="A48" s="2" t="str">
        <f>D1_AGOSTO_2025[[#This Row],[SUPER2]]</f>
        <v>JORDAN</v>
      </c>
      <c r="B48" s="2" t="s">
        <v>96</v>
      </c>
      <c r="C48" s="2">
        <f>VLOOKUP(D1_AGOSTO_2025[[#This Row],[SUPER]],DATA_AGOSTO_2025[[SUPERVISOR]:[META]],3,0)</f>
        <v>54000</v>
      </c>
      <c r="D48" s="2">
        <f>D1_AGOSTO_2025[[#This Row],[RECUPERO]]/C48</f>
        <v>3.0944444444444445E-2</v>
      </c>
      <c r="E48" t="s">
        <v>5</v>
      </c>
      <c r="F48" t="s">
        <v>96</v>
      </c>
      <c r="G48">
        <v>1671</v>
      </c>
      <c r="H48" t="s">
        <v>437</v>
      </c>
      <c r="I48" s="56">
        <v>45671</v>
      </c>
      <c r="J48" t="s">
        <v>501</v>
      </c>
      <c r="L48" s="56"/>
      <c r="M48" s="1">
        <f>DATA_AGOSTO_2025[[#This Row],[RECUPERO]]/DATA_AGOSTO_2025[[#This Row],[META]]</f>
        <v>0.23395833333333332</v>
      </c>
      <c r="N48" t="str" cm="1">
        <f t="array" ref="N4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48" t="s">
        <v>4</v>
      </c>
      <c r="P48">
        <f>SUM(DATA_AGOSTO_2025[[#This Row],[1]:[31]])</f>
        <v>16845</v>
      </c>
      <c r="Q48">
        <v>72000</v>
      </c>
      <c r="R48" t="s">
        <v>65</v>
      </c>
      <c r="S48">
        <v>955</v>
      </c>
      <c r="U48">
        <v>700</v>
      </c>
      <c r="V48">
        <v>600</v>
      </c>
      <c r="Y48">
        <v>400</v>
      </c>
      <c r="Z48">
        <v>1500</v>
      </c>
      <c r="AF48">
        <v>618</v>
      </c>
      <c r="AG48">
        <v>1000</v>
      </c>
      <c r="AJ48">
        <v>1256</v>
      </c>
      <c r="AK48">
        <v>500</v>
      </c>
      <c r="AL48">
        <v>268</v>
      </c>
      <c r="AM48">
        <v>1150</v>
      </c>
      <c r="AN48">
        <v>1900</v>
      </c>
      <c r="AQ48">
        <v>805</v>
      </c>
      <c r="AR48">
        <v>1370</v>
      </c>
      <c r="AS48">
        <v>805</v>
      </c>
      <c r="AT48">
        <v>3018</v>
      </c>
      <c r="AX48" t="s">
        <v>155</v>
      </c>
    </row>
    <row r="49" spans="1:50" x14ac:dyDescent="0.25">
      <c r="A49" s="2" t="str">
        <f>D1_AGOSTO_2025[[#This Row],[SUPER2]]</f>
        <v>KENNETH</v>
      </c>
      <c r="B49" s="2" t="s">
        <v>31</v>
      </c>
      <c r="C49" s="2">
        <f>VLOOKUP(D1_AGOSTO_2025[[#This Row],[SUPER]],DATA_AGOSTO_2025[[SUPERVISOR]:[META]],3,0)</f>
        <v>26000</v>
      </c>
      <c r="D49" s="2">
        <f>D1_AGOSTO_2025[[#This Row],[RECUPERO]]/C49</f>
        <v>2.2034615384615384</v>
      </c>
      <c r="E49" t="s">
        <v>6</v>
      </c>
      <c r="F49" t="s">
        <v>31</v>
      </c>
      <c r="G49">
        <v>57290</v>
      </c>
      <c r="H49" t="s">
        <v>403</v>
      </c>
      <c r="I49" s="56">
        <v>45334</v>
      </c>
      <c r="J49" t="s">
        <v>501</v>
      </c>
      <c r="L49" s="56"/>
      <c r="M49" s="1">
        <f>DATA_AGOSTO_2025[[#This Row],[RECUPERO]]/DATA_AGOSTO_2025[[#This Row],[META]]</f>
        <v>0.24258064516129033</v>
      </c>
      <c r="N49" t="str" cm="1">
        <f t="array" ref="N4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49" t="s">
        <v>7</v>
      </c>
      <c r="P49">
        <f>SUM(DATA_AGOSTO_2025[[#This Row],[1]:[31]])</f>
        <v>3760</v>
      </c>
      <c r="Q49">
        <v>15500</v>
      </c>
      <c r="R49" t="s">
        <v>20</v>
      </c>
      <c r="W49">
        <v>500</v>
      </c>
      <c r="AE49">
        <v>150</v>
      </c>
      <c r="AF49">
        <v>510</v>
      </c>
      <c r="AG49">
        <v>700</v>
      </c>
      <c r="AJ49">
        <v>300</v>
      </c>
      <c r="AQ49">
        <v>700</v>
      </c>
      <c r="AR49">
        <v>900</v>
      </c>
      <c r="AX49" t="s">
        <v>152</v>
      </c>
    </row>
    <row r="50" spans="1:50" x14ac:dyDescent="0.25">
      <c r="A50" s="2" t="str">
        <f>D1_AGOSTO_2025[[#This Row],[SUPER2]]</f>
        <v>KENNETH</v>
      </c>
      <c r="B50" s="2" t="s">
        <v>34</v>
      </c>
      <c r="C50" s="2">
        <f>VLOOKUP(D1_AGOSTO_2025[[#This Row],[SUPER]],DATA_AGOSTO_2025[[SUPERVISOR]:[META]],3,0)</f>
        <v>26000</v>
      </c>
      <c r="D50" s="2">
        <f>D1_AGOSTO_2025[[#This Row],[RECUPERO]]/C50</f>
        <v>1.8715592307692308</v>
      </c>
      <c r="E50" t="s">
        <v>6</v>
      </c>
      <c r="F50" t="s">
        <v>34</v>
      </c>
      <c r="G50">
        <v>48660.54</v>
      </c>
      <c r="H50" t="s">
        <v>407</v>
      </c>
      <c r="I50" s="56">
        <v>45175</v>
      </c>
      <c r="J50" t="s">
        <v>501</v>
      </c>
      <c r="L50" s="56"/>
      <c r="M50" s="1">
        <f>DATA_AGOSTO_2025[[#This Row],[RECUPERO]]/DATA_AGOSTO_2025[[#This Row],[META]]</f>
        <v>1.3813076923076923</v>
      </c>
      <c r="N50" t="str" cm="1">
        <f t="array" ref="N5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50" t="s">
        <v>6</v>
      </c>
      <c r="P50">
        <f>SUM(DATA_AGOSTO_2025[[#This Row],[1]:[31]])</f>
        <v>35914</v>
      </c>
      <c r="Q50">
        <v>26000</v>
      </c>
      <c r="R50" t="s">
        <v>37</v>
      </c>
      <c r="S50">
        <v>451</v>
      </c>
      <c r="X50">
        <v>50</v>
      </c>
      <c r="Y50">
        <v>600</v>
      </c>
      <c r="AC50">
        <v>110</v>
      </c>
      <c r="AG50">
        <v>207</v>
      </c>
      <c r="AJ50">
        <v>9000</v>
      </c>
      <c r="AK50">
        <v>1000</v>
      </c>
      <c r="AL50">
        <v>100</v>
      </c>
      <c r="AM50">
        <v>5156</v>
      </c>
      <c r="AO50">
        <v>500</v>
      </c>
      <c r="AQ50">
        <v>100</v>
      </c>
      <c r="AS50">
        <v>730</v>
      </c>
      <c r="AT50">
        <v>16610</v>
      </c>
      <c r="AU50">
        <v>1300</v>
      </c>
      <c r="AX50" t="s">
        <v>156</v>
      </c>
    </row>
    <row r="51" spans="1:50" x14ac:dyDescent="0.25">
      <c r="A51" s="2" t="str">
        <f>D1_AGOSTO_2025[[#This Row],[SUPER2]]</f>
        <v>KENNETH</v>
      </c>
      <c r="B51" s="2" t="s">
        <v>37</v>
      </c>
      <c r="C51" s="2">
        <f>VLOOKUP(D1_AGOSTO_2025[[#This Row],[SUPER]],DATA_AGOSTO_2025[[SUPERVISOR]:[META]],3,0)</f>
        <v>26000</v>
      </c>
      <c r="D51" s="2">
        <f>D1_AGOSTO_2025[[#This Row],[RECUPERO]]/C51</f>
        <v>1.3813076923076923</v>
      </c>
      <c r="E51" t="s">
        <v>6</v>
      </c>
      <c r="F51" t="s">
        <v>37</v>
      </c>
      <c r="G51">
        <v>35914</v>
      </c>
      <c r="H51" t="s">
        <v>400</v>
      </c>
      <c r="I51" s="56">
        <v>43132</v>
      </c>
      <c r="J51" t="s">
        <v>501</v>
      </c>
      <c r="L51" s="56"/>
      <c r="M51" s="1">
        <f>DATA_AGOSTO_2025[[#This Row],[RECUPERO]]/DATA_AGOSTO_2025[[#This Row],[META]]</f>
        <v>7.5483870967741937E-2</v>
      </c>
      <c r="N51" t="str" cm="1">
        <f t="array" ref="N5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51" t="s">
        <v>7</v>
      </c>
      <c r="P51">
        <f>SUM(DATA_AGOSTO_2025[[#This Row],[1]:[31]])</f>
        <v>1170</v>
      </c>
      <c r="Q51">
        <v>15500</v>
      </c>
      <c r="R51" t="s">
        <v>106</v>
      </c>
      <c r="AK51">
        <v>350</v>
      </c>
      <c r="AL51">
        <v>600</v>
      </c>
      <c r="AQ51">
        <v>220</v>
      </c>
      <c r="AX51" t="s">
        <v>152</v>
      </c>
    </row>
    <row r="52" spans="1:50" x14ac:dyDescent="0.25">
      <c r="A52" s="2" t="str">
        <f>D1_AGOSTO_2025[[#This Row],[SUPER2]]</f>
        <v>KENNETH</v>
      </c>
      <c r="B52" s="2" t="s">
        <v>35</v>
      </c>
      <c r="C52" s="2">
        <f>VLOOKUP(D1_AGOSTO_2025[[#This Row],[SUPER]],DATA_AGOSTO_2025[[SUPERVISOR]:[META]],3,0)</f>
        <v>26000</v>
      </c>
      <c r="D52" s="2">
        <f>D1_AGOSTO_2025[[#This Row],[RECUPERO]]/C52</f>
        <v>1.1013461538461538</v>
      </c>
      <c r="E52" t="s">
        <v>6</v>
      </c>
      <c r="F52" t="s">
        <v>35</v>
      </c>
      <c r="G52">
        <v>28635</v>
      </c>
      <c r="H52" t="s">
        <v>401</v>
      </c>
      <c r="I52" s="56">
        <v>44748</v>
      </c>
      <c r="J52" t="s">
        <v>501</v>
      </c>
      <c r="L52" s="56"/>
      <c r="M52" s="1">
        <f>DATA_AGOSTO_2025[[#This Row],[RECUPERO]]/DATA_AGOSTO_2025[[#This Row],[META]]</f>
        <v>1.1013461538461538</v>
      </c>
      <c r="N52" t="str" cm="1">
        <f t="array" ref="N5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52" t="s">
        <v>6</v>
      </c>
      <c r="P52">
        <f>SUM(DATA_AGOSTO_2025[[#This Row],[1]:[31]])</f>
        <v>28635</v>
      </c>
      <c r="Q52">
        <v>26000</v>
      </c>
      <c r="R52" t="s">
        <v>35</v>
      </c>
      <c r="S52">
        <v>635</v>
      </c>
      <c r="V52">
        <v>1800</v>
      </c>
      <c r="AC52">
        <v>5200</v>
      </c>
      <c r="AE52">
        <v>10000</v>
      </c>
      <c r="AF52">
        <v>250</v>
      </c>
      <c r="AG52">
        <v>200</v>
      </c>
      <c r="AJ52">
        <v>400</v>
      </c>
      <c r="AK52">
        <v>5000</v>
      </c>
      <c r="AL52">
        <v>500</v>
      </c>
      <c r="AM52">
        <v>1500</v>
      </c>
      <c r="AN52">
        <v>1950</v>
      </c>
      <c r="AS52">
        <v>200</v>
      </c>
      <c r="AT52">
        <v>1000</v>
      </c>
      <c r="AX52" t="s">
        <v>156</v>
      </c>
    </row>
    <row r="53" spans="1:50" x14ac:dyDescent="0.25">
      <c r="A53" s="2" t="str">
        <f>D1_AGOSTO_2025[[#This Row],[SUPER2]]</f>
        <v>KENNETH</v>
      </c>
      <c r="B53" s="2" t="s">
        <v>32</v>
      </c>
      <c r="C53" s="2">
        <f>VLOOKUP(D1_AGOSTO_2025[[#This Row],[SUPER]],DATA_AGOSTO_2025[[SUPERVISOR]:[META]],3,0)</f>
        <v>26000</v>
      </c>
      <c r="D53" s="2">
        <f>D1_AGOSTO_2025[[#This Row],[RECUPERO]]/C53</f>
        <v>1.0142807692307692</v>
      </c>
      <c r="E53" t="s">
        <v>6</v>
      </c>
      <c r="F53" t="s">
        <v>32</v>
      </c>
      <c r="G53">
        <v>26371.3</v>
      </c>
      <c r="H53" t="s">
        <v>390</v>
      </c>
      <c r="I53" s="56">
        <v>45530</v>
      </c>
      <c r="J53" t="s">
        <v>501</v>
      </c>
      <c r="L53" s="56"/>
      <c r="M53" s="1">
        <f>DATA_AGOSTO_2025[[#This Row],[RECUPERO]]/DATA_AGOSTO_2025[[#This Row],[META]]</f>
        <v>0.51831249999999995</v>
      </c>
      <c r="N53" t="str" cm="1">
        <f t="array" ref="N5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53" t="s">
        <v>8</v>
      </c>
      <c r="P53">
        <f>SUM(DATA_AGOSTO_2025[[#This Row],[1]:[31]])</f>
        <v>8293</v>
      </c>
      <c r="Q53">
        <v>16000</v>
      </c>
      <c r="R53" t="s">
        <v>45</v>
      </c>
      <c r="V53">
        <v>600</v>
      </c>
      <c r="W53">
        <v>400</v>
      </c>
      <c r="Y53">
        <v>150</v>
      </c>
      <c r="AC53">
        <v>100</v>
      </c>
      <c r="AE53">
        <v>600</v>
      </c>
      <c r="AG53">
        <v>1200</v>
      </c>
      <c r="AJ53">
        <v>2430</v>
      </c>
      <c r="AK53">
        <v>200</v>
      </c>
      <c r="AL53">
        <v>300</v>
      </c>
      <c r="AM53">
        <v>125</v>
      </c>
      <c r="AR53">
        <v>1188</v>
      </c>
      <c r="AS53">
        <v>200</v>
      </c>
      <c r="AT53">
        <v>800</v>
      </c>
      <c r="AX53" t="s">
        <v>153</v>
      </c>
    </row>
    <row r="54" spans="1:50" x14ac:dyDescent="0.25">
      <c r="A54" s="2" t="str">
        <f>D1_AGOSTO_2025[[#This Row],[SUPER2]]</f>
        <v>KENNETH</v>
      </c>
      <c r="B54" s="2" t="s">
        <v>40</v>
      </c>
      <c r="C54" s="2">
        <f>VLOOKUP(D1_AGOSTO_2025[[#This Row],[SUPER]],DATA_AGOSTO_2025[[SUPERVISOR]:[META]],3,0)</f>
        <v>26000</v>
      </c>
      <c r="D54" s="2">
        <f>D1_AGOSTO_2025[[#This Row],[RECUPERO]]/C54</f>
        <v>0.56053846153846154</v>
      </c>
      <c r="E54" t="s">
        <v>6</v>
      </c>
      <c r="F54" t="s">
        <v>40</v>
      </c>
      <c r="G54">
        <v>14574</v>
      </c>
      <c r="H54" t="s">
        <v>424</v>
      </c>
      <c r="I54" s="56">
        <v>45429</v>
      </c>
      <c r="J54" t="s">
        <v>501</v>
      </c>
      <c r="L54" s="56"/>
      <c r="M54" s="1">
        <f>DATA_AGOSTO_2025[[#This Row],[RECUPERO]]/DATA_AGOSTO_2025[[#This Row],[META]]</f>
        <v>0.74131250000000004</v>
      </c>
      <c r="N54" t="str" cm="1">
        <f t="array" ref="N5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54" t="s">
        <v>8</v>
      </c>
      <c r="P54">
        <f>SUM(DATA_AGOSTO_2025[[#This Row],[1]:[31]])</f>
        <v>11861</v>
      </c>
      <c r="Q54">
        <v>16000</v>
      </c>
      <c r="R54" t="s">
        <v>46</v>
      </c>
      <c r="S54">
        <v>537</v>
      </c>
      <c r="W54">
        <v>386</v>
      </c>
      <c r="Y54">
        <v>180</v>
      </c>
      <c r="Z54">
        <v>500</v>
      </c>
      <c r="AC54">
        <v>1500</v>
      </c>
      <c r="AD54">
        <v>321</v>
      </c>
      <c r="AF54">
        <v>800</v>
      </c>
      <c r="AJ54">
        <v>955</v>
      </c>
      <c r="AK54">
        <v>800</v>
      </c>
      <c r="AL54">
        <v>950</v>
      </c>
      <c r="AM54">
        <v>300</v>
      </c>
      <c r="AN54">
        <v>3800</v>
      </c>
      <c r="AT54">
        <v>832</v>
      </c>
      <c r="AX54" t="s">
        <v>153</v>
      </c>
    </row>
    <row r="55" spans="1:50" x14ac:dyDescent="0.25">
      <c r="A55" s="2" t="str">
        <f>D1_AGOSTO_2025[[#This Row],[SUPER2]]</f>
        <v>KENNETH</v>
      </c>
      <c r="B55" s="2" t="s">
        <v>38</v>
      </c>
      <c r="C55" s="2">
        <f>VLOOKUP(D1_AGOSTO_2025[[#This Row],[SUPER]],DATA_AGOSTO_2025[[SUPERVISOR]:[META]],3,0)</f>
        <v>26000</v>
      </c>
      <c r="D55" s="2">
        <f>D1_AGOSTO_2025[[#This Row],[RECUPERO]]/C55</f>
        <v>0.43226923076923079</v>
      </c>
      <c r="E55" t="s">
        <v>6</v>
      </c>
      <c r="F55" t="s">
        <v>38</v>
      </c>
      <c r="G55">
        <v>11239</v>
      </c>
      <c r="H55" t="s">
        <v>469</v>
      </c>
      <c r="I55" s="56">
        <v>45805</v>
      </c>
      <c r="J55" t="s">
        <v>501</v>
      </c>
      <c r="L55" s="56"/>
      <c r="M55" s="1">
        <f>DATA_AGOSTO_2025[[#This Row],[RECUPERO]]/DATA_AGOSTO_2025[[#This Row],[META]]</f>
        <v>0.60659750000000001</v>
      </c>
      <c r="N55" t="str" cm="1">
        <f t="array" ref="N5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55" t="s">
        <v>9</v>
      </c>
      <c r="P55">
        <f>SUM(DATA_AGOSTO_2025[[#This Row],[1]:[31]])</f>
        <v>9705.56</v>
      </c>
      <c r="Q55">
        <v>16000</v>
      </c>
      <c r="R55" t="s">
        <v>50</v>
      </c>
      <c r="S55">
        <v>1950</v>
      </c>
      <c r="T55">
        <v>600</v>
      </c>
      <c r="V55">
        <v>600</v>
      </c>
      <c r="Z55">
        <v>1500</v>
      </c>
      <c r="AA55">
        <v>350</v>
      </c>
      <c r="AC55">
        <v>360</v>
      </c>
      <c r="AF55">
        <v>388</v>
      </c>
      <c r="AG55">
        <v>863</v>
      </c>
      <c r="AK55">
        <v>600</v>
      </c>
      <c r="AL55">
        <v>450</v>
      </c>
      <c r="AM55">
        <v>400</v>
      </c>
      <c r="AR55">
        <v>209</v>
      </c>
      <c r="AS55">
        <v>1235.56</v>
      </c>
      <c r="AT55">
        <v>200</v>
      </c>
      <c r="AX55" t="s">
        <v>153</v>
      </c>
    </row>
    <row r="56" spans="1:50" x14ac:dyDescent="0.25">
      <c r="A56" s="2" t="str">
        <f>D1_AGOSTO_2025[[#This Row],[SUPER2]]</f>
        <v>KENNETH</v>
      </c>
      <c r="B56" s="2" t="s">
        <v>33</v>
      </c>
      <c r="C56" s="2">
        <f>VLOOKUP(D1_AGOSTO_2025[[#This Row],[SUPER]],DATA_AGOSTO_2025[[SUPERVISOR]:[META]],3,0)</f>
        <v>26000</v>
      </c>
      <c r="D56" s="2">
        <f>D1_AGOSTO_2025[[#This Row],[RECUPERO]]/C56</f>
        <v>0.41446153846153844</v>
      </c>
      <c r="E56" t="s">
        <v>6</v>
      </c>
      <c r="F56" t="s">
        <v>33</v>
      </c>
      <c r="G56">
        <v>10776</v>
      </c>
      <c r="H56" t="s">
        <v>439</v>
      </c>
      <c r="I56" s="56">
        <v>44869</v>
      </c>
      <c r="J56" t="s">
        <v>501</v>
      </c>
      <c r="L56" s="56"/>
      <c r="M56" s="1">
        <f>DATA_AGOSTO_2025[[#This Row],[RECUPERO]]/DATA_AGOSTO_2025[[#This Row],[META]]</f>
        <v>0.41446153846153844</v>
      </c>
      <c r="N56" t="str" cm="1">
        <f t="array" ref="N5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56" t="s">
        <v>6</v>
      </c>
      <c r="P56">
        <f>SUM(DATA_AGOSTO_2025[[#This Row],[1]:[31]])</f>
        <v>10776</v>
      </c>
      <c r="Q56">
        <v>26000</v>
      </c>
      <c r="R56" t="s">
        <v>33</v>
      </c>
      <c r="T56">
        <v>4000</v>
      </c>
      <c r="Z56">
        <v>150</v>
      </c>
      <c r="AF56">
        <v>660</v>
      </c>
      <c r="AJ56">
        <v>3000</v>
      </c>
      <c r="AK56">
        <v>316</v>
      </c>
      <c r="AL56">
        <v>2000</v>
      </c>
      <c r="AM56">
        <v>250</v>
      </c>
      <c r="AT56">
        <v>400</v>
      </c>
      <c r="AX56" t="s">
        <v>156</v>
      </c>
    </row>
    <row r="57" spans="1:50" x14ac:dyDescent="0.25">
      <c r="A57" s="2" t="str">
        <f>D1_AGOSTO_2025[[#This Row],[SUPER2]]</f>
        <v>KENNETH</v>
      </c>
      <c r="B57" s="2" t="s">
        <v>39</v>
      </c>
      <c r="C57" s="2">
        <f>VLOOKUP(D1_AGOSTO_2025[[#This Row],[SUPER]],DATA_AGOSTO_2025[[SUPERVISOR]:[META]],3,0)</f>
        <v>26000</v>
      </c>
      <c r="D57" s="2">
        <f>D1_AGOSTO_2025[[#This Row],[RECUPERO]]/C57</f>
        <v>0.44034615384615383</v>
      </c>
      <c r="E57" t="s">
        <v>6</v>
      </c>
      <c r="F57" t="s">
        <v>39</v>
      </c>
      <c r="G57">
        <v>11449</v>
      </c>
      <c r="H57" t="s">
        <v>452</v>
      </c>
      <c r="I57" s="56">
        <v>44951</v>
      </c>
      <c r="J57" t="s">
        <v>501</v>
      </c>
      <c r="L57" s="56"/>
      <c r="M57" s="1">
        <f>DATA_AGOSTO_2025[[#This Row],[RECUPERO]]/DATA_AGOSTO_2025[[#This Row],[META]]</f>
        <v>0.90440277777777778</v>
      </c>
      <c r="N57" t="str" cm="1">
        <f t="array" ref="N5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57" t="s">
        <v>125</v>
      </c>
      <c r="P57">
        <f>SUM(DATA_AGOSTO_2025[[#This Row],[1]:[31]])</f>
        <v>65117</v>
      </c>
      <c r="Q57">
        <v>72000</v>
      </c>
      <c r="R57" t="s">
        <v>23</v>
      </c>
      <c r="S57">
        <v>13600</v>
      </c>
      <c r="V57">
        <v>800</v>
      </c>
      <c r="Y57">
        <v>6745</v>
      </c>
      <c r="Z57">
        <v>15454</v>
      </c>
      <c r="AA57">
        <v>4000</v>
      </c>
      <c r="AF57">
        <v>323</v>
      </c>
      <c r="AG57">
        <v>4000</v>
      </c>
      <c r="AH57">
        <v>600</v>
      </c>
      <c r="AJ57">
        <v>2800</v>
      </c>
      <c r="AL57">
        <v>500</v>
      </c>
      <c r="AN57">
        <v>9500</v>
      </c>
      <c r="AO57">
        <v>3000</v>
      </c>
      <c r="AR57">
        <v>1995</v>
      </c>
      <c r="AS57">
        <v>800</v>
      </c>
      <c r="AT57">
        <v>1000</v>
      </c>
      <c r="AX57" t="s">
        <v>155</v>
      </c>
    </row>
    <row r="58" spans="1:50" x14ac:dyDescent="0.25">
      <c r="A58" s="2" t="str">
        <f>D1_AGOSTO_2025[[#This Row],[SUPER2]]</f>
        <v>KENNETH</v>
      </c>
      <c r="B58" s="2" t="s">
        <v>36</v>
      </c>
      <c r="C58" s="2">
        <f>VLOOKUP(D1_AGOSTO_2025[[#This Row],[SUPER]],DATA_AGOSTO_2025[[SUPERVISOR]:[META]],3,0)</f>
        <v>26000</v>
      </c>
      <c r="D58" s="2">
        <f>D1_AGOSTO_2025[[#This Row],[RECUPERO]]/C58</f>
        <v>0.35561538461538461</v>
      </c>
      <c r="E58" t="s">
        <v>6</v>
      </c>
      <c r="F58" t="s">
        <v>36</v>
      </c>
      <c r="G58">
        <v>9246</v>
      </c>
      <c r="H58" t="s">
        <v>406</v>
      </c>
      <c r="I58" s="56">
        <v>44941</v>
      </c>
      <c r="J58" t="s">
        <v>501</v>
      </c>
      <c r="L58" s="56"/>
      <c r="M58" s="1">
        <f>DATA_AGOSTO_2025[[#This Row],[RECUPERO]]/DATA_AGOSTO_2025[[#This Row],[META]]</f>
        <v>0.47129629629629627</v>
      </c>
      <c r="N58" t="str" cm="1">
        <f t="array" ref="N5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58" t="s">
        <v>5</v>
      </c>
      <c r="P58">
        <f>SUM(DATA_AGOSTO_2025[[#This Row],[1]:[31]])</f>
        <v>25450</v>
      </c>
      <c r="Q58">
        <v>54000</v>
      </c>
      <c r="R58" t="s">
        <v>68</v>
      </c>
      <c r="S58">
        <v>750</v>
      </c>
      <c r="W58">
        <v>1000</v>
      </c>
      <c r="Y58">
        <v>2000</v>
      </c>
      <c r="Z58">
        <v>1800</v>
      </c>
      <c r="AC58">
        <v>1000</v>
      </c>
      <c r="AE58">
        <v>400</v>
      </c>
      <c r="AF58">
        <v>5000</v>
      </c>
      <c r="AJ58">
        <v>1700</v>
      </c>
      <c r="AL58">
        <v>1700</v>
      </c>
      <c r="AN58">
        <v>700</v>
      </c>
      <c r="AQ58">
        <v>700</v>
      </c>
      <c r="AR58">
        <v>700</v>
      </c>
      <c r="AS58">
        <v>3000</v>
      </c>
      <c r="AT58">
        <v>5000</v>
      </c>
      <c r="AX58" t="s">
        <v>150</v>
      </c>
    </row>
    <row r="59" spans="1:50" x14ac:dyDescent="0.25">
      <c r="A59" s="2" t="str">
        <f>D1_AGOSTO_2025[[#This Row],[SUPER2]]</f>
        <v>KENNETH</v>
      </c>
      <c r="B59" s="2" t="s">
        <v>99</v>
      </c>
      <c r="C59" s="2">
        <f>VLOOKUP(D1_AGOSTO_2025[[#This Row],[SUPER]],DATA_AGOSTO_2025[[SUPERVISOR]:[META]],3,0)</f>
        <v>26000</v>
      </c>
      <c r="D59" s="2">
        <f>D1_AGOSTO_2025[[#This Row],[RECUPERO]]/C59</f>
        <v>1.0961538461538462E-2</v>
      </c>
      <c r="E59" t="s">
        <v>6</v>
      </c>
      <c r="F59" t="s">
        <v>99</v>
      </c>
      <c r="G59">
        <v>285</v>
      </c>
      <c r="H59" t="s">
        <v>484</v>
      </c>
      <c r="I59" s="56">
        <v>45896</v>
      </c>
      <c r="J59" t="s">
        <v>501</v>
      </c>
      <c r="L59" s="56"/>
      <c r="M59" s="1">
        <f>DATA_AGOSTO_2025[[#This Row],[RECUPERO]]/DATA_AGOSTO_2025[[#This Row],[META]]</f>
        <v>2.2034615384615384</v>
      </c>
      <c r="N59" t="str" cm="1">
        <f t="array" ref="N5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59" t="s">
        <v>6</v>
      </c>
      <c r="P59">
        <f>SUM(DATA_AGOSTO_2025[[#This Row],[1]:[31]])</f>
        <v>57290</v>
      </c>
      <c r="Q59">
        <v>26000</v>
      </c>
      <c r="R59" t="s">
        <v>31</v>
      </c>
      <c r="V59">
        <v>8160</v>
      </c>
      <c r="W59">
        <v>2000</v>
      </c>
      <c r="Z59">
        <v>1700</v>
      </c>
      <c r="AE59">
        <v>500</v>
      </c>
      <c r="AJ59">
        <v>2000</v>
      </c>
      <c r="AL59">
        <v>10000</v>
      </c>
      <c r="AM59">
        <v>2380</v>
      </c>
      <c r="AN59">
        <v>3000</v>
      </c>
      <c r="AR59">
        <v>3000</v>
      </c>
      <c r="AT59">
        <v>24550</v>
      </c>
      <c r="AX59" t="s">
        <v>156</v>
      </c>
    </row>
    <row r="60" spans="1:50" x14ac:dyDescent="0.25">
      <c r="A60" s="2" t="str">
        <f>D1_AGOSTO_2025[[#This Row],[SUPER2]]</f>
        <v>LEONOR</v>
      </c>
      <c r="B60" s="2" t="s">
        <v>19</v>
      </c>
      <c r="C60" s="2">
        <f>VLOOKUP(D1_AGOSTO_2025[[#This Row],[SUPER]],DATA_AGOSTO_2025[[SUPERVISOR]:[META]],3,0)</f>
        <v>15500</v>
      </c>
      <c r="D60" s="2">
        <f>D1_AGOSTO_2025[[#This Row],[RECUPERO]]/C60</f>
        <v>0.50464516129032255</v>
      </c>
      <c r="E60" t="s">
        <v>7</v>
      </c>
      <c r="F60" t="s">
        <v>19</v>
      </c>
      <c r="G60">
        <v>7822</v>
      </c>
      <c r="H60" t="s">
        <v>399</v>
      </c>
      <c r="I60" s="56">
        <v>44673</v>
      </c>
      <c r="J60" t="s">
        <v>501</v>
      </c>
      <c r="L60" s="56"/>
      <c r="M60" s="1">
        <f>DATA_AGOSTO_2025[[#This Row],[RECUPERO]]/DATA_AGOSTO_2025[[#This Row],[META]]</f>
        <v>0.26250000000000001</v>
      </c>
      <c r="N60" t="str" cm="1">
        <f t="array" ref="N6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60" t="s">
        <v>9</v>
      </c>
      <c r="P60">
        <f>SUM(DATA_AGOSTO_2025[[#This Row],[1]:[31]])</f>
        <v>4200</v>
      </c>
      <c r="Q60">
        <v>16000</v>
      </c>
      <c r="R60" t="s">
        <v>101</v>
      </c>
      <c r="AC60">
        <v>200</v>
      </c>
      <c r="AJ60">
        <v>500</v>
      </c>
      <c r="AM60">
        <v>500</v>
      </c>
      <c r="AS60">
        <v>3000</v>
      </c>
      <c r="AX60" t="s">
        <v>153</v>
      </c>
    </row>
    <row r="61" spans="1:50" x14ac:dyDescent="0.25">
      <c r="A61" s="2" t="str">
        <f>D1_AGOSTO_2025[[#This Row],[SUPER2]]</f>
        <v>LEONOR</v>
      </c>
      <c r="B61" s="2" t="s">
        <v>18</v>
      </c>
      <c r="C61" s="2">
        <f>VLOOKUP(D1_AGOSTO_2025[[#This Row],[SUPER]],DATA_AGOSTO_2025[[SUPERVISOR]:[META]],3,0)</f>
        <v>15500</v>
      </c>
      <c r="D61" s="2">
        <f>D1_AGOSTO_2025[[#This Row],[RECUPERO]]/C61</f>
        <v>0.64258064516129032</v>
      </c>
      <c r="E61" t="s">
        <v>7</v>
      </c>
      <c r="F61" t="s">
        <v>18</v>
      </c>
      <c r="G61">
        <v>9960</v>
      </c>
      <c r="H61" t="s">
        <v>431</v>
      </c>
      <c r="I61" s="56">
        <v>45133</v>
      </c>
      <c r="J61" t="s">
        <v>501</v>
      </c>
      <c r="L61" s="56"/>
      <c r="M61" s="1">
        <f>DATA_AGOSTO_2025[[#This Row],[RECUPERO]]/DATA_AGOSTO_2025[[#This Row],[META]]</f>
        <v>0.52913888888888894</v>
      </c>
      <c r="N61" t="str" cm="1">
        <f t="array" ref="N6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61" t="s">
        <v>125</v>
      </c>
      <c r="P61">
        <f>SUM(DATA_AGOSTO_2025[[#This Row],[1]:[31]])</f>
        <v>38098</v>
      </c>
      <c r="Q61">
        <v>72000</v>
      </c>
      <c r="R61" t="s">
        <v>29</v>
      </c>
      <c r="S61">
        <v>750</v>
      </c>
      <c r="T61">
        <v>576</v>
      </c>
      <c r="Y61">
        <v>2203</v>
      </c>
      <c r="Z61">
        <v>4000</v>
      </c>
      <c r="AA61">
        <v>223</v>
      </c>
      <c r="AB61">
        <v>806</v>
      </c>
      <c r="AD61">
        <v>4700</v>
      </c>
      <c r="AE61">
        <v>1000</v>
      </c>
      <c r="AF61">
        <v>1291</v>
      </c>
      <c r="AG61">
        <v>9600</v>
      </c>
      <c r="AJ61">
        <v>468</v>
      </c>
      <c r="AK61">
        <v>1300</v>
      </c>
      <c r="AM61">
        <v>8100</v>
      </c>
      <c r="AN61">
        <v>323</v>
      </c>
      <c r="AO61">
        <v>800</v>
      </c>
      <c r="AQ61">
        <v>1000</v>
      </c>
      <c r="AT61">
        <v>958</v>
      </c>
      <c r="AX61" t="s">
        <v>155</v>
      </c>
    </row>
    <row r="62" spans="1:50" x14ac:dyDescent="0.25">
      <c r="A62" s="2" t="str">
        <f>D1_AGOSTO_2025[[#This Row],[SUPER2]]</f>
        <v>LEONOR</v>
      </c>
      <c r="B62" s="2" t="s">
        <v>105</v>
      </c>
      <c r="C62" s="2">
        <f>VLOOKUP(D1_AGOSTO_2025[[#This Row],[SUPER]],DATA_AGOSTO_2025[[SUPERVISOR]:[META]],3,0)</f>
        <v>15500</v>
      </c>
      <c r="D62" s="2">
        <f>D1_AGOSTO_2025[[#This Row],[RECUPERO]]/C62</f>
        <v>0.44516129032258067</v>
      </c>
      <c r="E62" t="s">
        <v>7</v>
      </c>
      <c r="F62" t="s">
        <v>105</v>
      </c>
      <c r="G62">
        <v>6900</v>
      </c>
      <c r="H62" t="s">
        <v>463</v>
      </c>
      <c r="I62" s="56">
        <v>45748</v>
      </c>
      <c r="J62" t="s">
        <v>501</v>
      </c>
      <c r="L62" s="56"/>
      <c r="M62" s="1">
        <f>DATA_AGOSTO_2025[[#This Row],[RECUPERO]]/DATA_AGOSTO_2025[[#This Row],[META]]</f>
        <v>1.0961538461538462E-2</v>
      </c>
      <c r="N62" t="str" cm="1">
        <f t="array" ref="N6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62" t="s">
        <v>6</v>
      </c>
      <c r="P62">
        <f>SUM(DATA_AGOSTO_2025[[#This Row],[1]:[31]])</f>
        <v>285</v>
      </c>
      <c r="Q62">
        <v>26000</v>
      </c>
      <c r="R62" t="s">
        <v>99</v>
      </c>
      <c r="AR62">
        <v>285</v>
      </c>
      <c r="AX62" t="s">
        <v>156</v>
      </c>
    </row>
    <row r="63" spans="1:50" x14ac:dyDescent="0.25">
      <c r="A63" s="2" t="str">
        <f>D1_AGOSTO_2025[[#This Row],[SUPER2]]</f>
        <v>LEONOR</v>
      </c>
      <c r="B63" s="2" t="s">
        <v>21</v>
      </c>
      <c r="C63" s="2">
        <f>VLOOKUP(D1_AGOSTO_2025[[#This Row],[SUPER]],DATA_AGOSTO_2025[[SUPERVISOR]:[META]],3,0)</f>
        <v>15500</v>
      </c>
      <c r="D63" s="2">
        <f>D1_AGOSTO_2025[[#This Row],[RECUPERO]]/C63</f>
        <v>0.37806451612903225</v>
      </c>
      <c r="E63" t="s">
        <v>7</v>
      </c>
      <c r="F63" t="s">
        <v>21</v>
      </c>
      <c r="G63">
        <v>5860</v>
      </c>
      <c r="H63" t="s">
        <v>409</v>
      </c>
      <c r="I63" s="56">
        <v>44301</v>
      </c>
      <c r="J63" t="s">
        <v>501</v>
      </c>
      <c r="L63" s="56"/>
      <c r="M63" s="1">
        <f>DATA_AGOSTO_2025[[#This Row],[RECUPERO]]/DATA_AGOSTO_2025[[#This Row],[META]]</f>
        <v>0.58886249999999996</v>
      </c>
      <c r="N63" t="str" cm="1">
        <f t="array" ref="N6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63" t="s">
        <v>8</v>
      </c>
      <c r="P63">
        <f>SUM(DATA_AGOSTO_2025[[#This Row],[1]:[31]])</f>
        <v>9421.7999999999993</v>
      </c>
      <c r="Q63">
        <v>16000</v>
      </c>
      <c r="R63" t="s">
        <v>43</v>
      </c>
      <c r="S63">
        <v>216.8</v>
      </c>
      <c r="V63">
        <v>500</v>
      </c>
      <c r="W63">
        <v>1408</v>
      </c>
      <c r="Z63">
        <v>950</v>
      </c>
      <c r="AC63">
        <v>500</v>
      </c>
      <c r="AD63">
        <v>800</v>
      </c>
      <c r="AF63">
        <v>2000</v>
      </c>
      <c r="AG63">
        <v>912</v>
      </c>
      <c r="AH63">
        <v>150</v>
      </c>
      <c r="AJ63">
        <v>850</v>
      </c>
      <c r="AM63">
        <v>650</v>
      </c>
      <c r="AN63">
        <v>485</v>
      </c>
      <c r="AX63" t="s">
        <v>153</v>
      </c>
    </row>
    <row r="64" spans="1:50" x14ac:dyDescent="0.25">
      <c r="A64" s="2" t="str">
        <f>D1_AGOSTO_2025[[#This Row],[SUPER2]]</f>
        <v>LEONOR</v>
      </c>
      <c r="B64" s="2" t="s">
        <v>107</v>
      </c>
      <c r="C64" s="2">
        <f>VLOOKUP(D1_AGOSTO_2025[[#This Row],[SUPER]],DATA_AGOSTO_2025[[SUPERVISOR]:[META]],3,0)</f>
        <v>15500</v>
      </c>
      <c r="D64" s="2">
        <f>D1_AGOSTO_2025[[#This Row],[RECUPERO]]/C64</f>
        <v>0.33548387096774196</v>
      </c>
      <c r="E64" t="s">
        <v>7</v>
      </c>
      <c r="F64" t="s">
        <v>107</v>
      </c>
      <c r="G64">
        <v>5200</v>
      </c>
      <c r="H64" t="s">
        <v>458</v>
      </c>
      <c r="I64" s="56">
        <v>45727</v>
      </c>
      <c r="J64" t="s">
        <v>501</v>
      </c>
      <c r="L64" s="56"/>
      <c r="M64" s="1">
        <f>DATA_AGOSTO_2025[[#This Row],[RECUPERO]]/DATA_AGOSTO_2025[[#This Row],[META]]</f>
        <v>0.65984722222222225</v>
      </c>
      <c r="N64" t="str" cm="1">
        <f t="array" ref="N6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64" t="s">
        <v>125</v>
      </c>
      <c r="P64">
        <f>SUM(DATA_AGOSTO_2025[[#This Row],[1]:[31]])</f>
        <v>47509</v>
      </c>
      <c r="Q64">
        <v>72000</v>
      </c>
      <c r="R64" t="s">
        <v>25</v>
      </c>
      <c r="W64">
        <v>15000</v>
      </c>
      <c r="Z64">
        <v>5000</v>
      </c>
      <c r="AC64">
        <v>10755</v>
      </c>
      <c r="AG64">
        <v>10354</v>
      </c>
      <c r="AH64">
        <v>300</v>
      </c>
      <c r="AL64">
        <v>3100</v>
      </c>
      <c r="AS64">
        <v>2100</v>
      </c>
      <c r="AT64">
        <v>900</v>
      </c>
      <c r="AX64" t="s">
        <v>155</v>
      </c>
    </row>
    <row r="65" spans="1:50" x14ac:dyDescent="0.25">
      <c r="A65" s="2" t="str">
        <f>D1_AGOSTO_2025[[#This Row],[SUPER2]]</f>
        <v>LEONOR</v>
      </c>
      <c r="B65" s="2" t="s">
        <v>103</v>
      </c>
      <c r="C65" s="2">
        <f>VLOOKUP(D1_AGOSTO_2025[[#This Row],[SUPER]],DATA_AGOSTO_2025[[SUPERVISOR]:[META]],3,0)</f>
        <v>15500</v>
      </c>
      <c r="D65" s="2">
        <f>D1_AGOSTO_2025[[#This Row],[RECUPERO]]/C65</f>
        <v>0.25425806451612903</v>
      </c>
      <c r="E65" t="s">
        <v>7</v>
      </c>
      <c r="F65" t="s">
        <v>103</v>
      </c>
      <c r="G65">
        <v>3941</v>
      </c>
      <c r="H65" t="s">
        <v>419</v>
      </c>
      <c r="I65" s="56">
        <v>45451</v>
      </c>
      <c r="J65" t="s">
        <v>501</v>
      </c>
      <c r="L65" s="56"/>
      <c r="M65" s="1">
        <f>DATA_AGOSTO_2025[[#This Row],[RECUPERO]]/DATA_AGOSTO_2025[[#This Row],[META]]</f>
        <v>0.58750000000000002</v>
      </c>
      <c r="N65" t="str" cm="1">
        <f t="array" ref="N6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65" t="s">
        <v>9</v>
      </c>
      <c r="P65">
        <f>SUM(DATA_AGOSTO_2025[[#This Row],[1]:[31]])</f>
        <v>9400</v>
      </c>
      <c r="Q65">
        <v>16000</v>
      </c>
      <c r="R65" t="s">
        <v>52</v>
      </c>
      <c r="V65">
        <v>380</v>
      </c>
      <c r="W65">
        <v>1000</v>
      </c>
      <c r="Y65">
        <v>1600</v>
      </c>
      <c r="Z65">
        <v>5000</v>
      </c>
      <c r="AF65">
        <v>250</v>
      </c>
      <c r="AG65">
        <v>500</v>
      </c>
      <c r="AL65">
        <v>470</v>
      </c>
      <c r="AN65">
        <v>200</v>
      </c>
      <c r="AX65" t="s">
        <v>153</v>
      </c>
    </row>
    <row r="66" spans="1:50" x14ac:dyDescent="0.25">
      <c r="A66" s="2" t="str">
        <f>D1_AGOSTO_2025[[#This Row],[SUPER2]]</f>
        <v>LEONOR</v>
      </c>
      <c r="B66" s="2" t="s">
        <v>20</v>
      </c>
      <c r="C66" s="2">
        <f>VLOOKUP(D1_AGOSTO_2025[[#This Row],[SUPER]],DATA_AGOSTO_2025[[SUPERVISOR]:[META]],3,0)</f>
        <v>15500</v>
      </c>
      <c r="D66" s="2">
        <f>D1_AGOSTO_2025[[#This Row],[RECUPERO]]/C66</f>
        <v>0.24258064516129033</v>
      </c>
      <c r="E66" t="s">
        <v>7</v>
      </c>
      <c r="F66" t="s">
        <v>20</v>
      </c>
      <c r="G66">
        <v>3760</v>
      </c>
      <c r="H66" t="s">
        <v>427</v>
      </c>
      <c r="I66" s="56">
        <v>45142</v>
      </c>
      <c r="J66" t="s">
        <v>501</v>
      </c>
      <c r="L66" s="56"/>
      <c r="M66" s="1">
        <f>DATA_AGOSTO_2025[[#This Row],[RECUPERO]]/DATA_AGOSTO_2025[[#This Row],[META]]</f>
        <v>5.4838709677419356E-2</v>
      </c>
      <c r="N66" t="str" cm="1">
        <f t="array" ref="N6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66" t="s">
        <v>7</v>
      </c>
      <c r="P66">
        <f>SUM(DATA_AGOSTO_2025[[#This Row],[1]:[31]])</f>
        <v>850</v>
      </c>
      <c r="Q66">
        <v>15500</v>
      </c>
      <c r="R66" t="s">
        <v>110</v>
      </c>
      <c r="AM66">
        <v>850</v>
      </c>
      <c r="AX66" t="s">
        <v>152</v>
      </c>
    </row>
    <row r="67" spans="1:50" x14ac:dyDescent="0.25">
      <c r="A67" s="2" t="str">
        <f>D1_AGOSTO_2025[[#This Row],[SUPER2]]</f>
        <v>LEONOR</v>
      </c>
      <c r="B67" s="2" t="s">
        <v>110</v>
      </c>
      <c r="C67" s="2">
        <f>VLOOKUP(D1_AGOSTO_2025[[#This Row],[SUPER]],DATA_AGOSTO_2025[[SUPERVISOR]:[META]],3,0)</f>
        <v>15500</v>
      </c>
      <c r="D67" s="2">
        <f>D1_AGOSTO_2025[[#This Row],[RECUPERO]]/C67</f>
        <v>5.4838709677419356E-2</v>
      </c>
      <c r="E67" t="s">
        <v>7</v>
      </c>
      <c r="F67" t="s">
        <v>110</v>
      </c>
      <c r="G67">
        <v>850</v>
      </c>
      <c r="H67" t="s">
        <v>454</v>
      </c>
      <c r="I67" s="56">
        <v>44993</v>
      </c>
      <c r="J67" t="s">
        <v>501</v>
      </c>
      <c r="L67" s="56"/>
      <c r="M67" s="1">
        <f>DATA_AGOSTO_2025[[#This Row],[RECUPERO]]/DATA_AGOSTO_2025[[#This Row],[META]]</f>
        <v>0.4843703703703704</v>
      </c>
      <c r="N67" t="str" cm="1">
        <f t="array" ref="N6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67" t="s">
        <v>2</v>
      </c>
      <c r="P67">
        <f>SUM(DATA_AGOSTO_2025[[#This Row],[1]:[31]])</f>
        <v>26156</v>
      </c>
      <c r="Q67">
        <v>54000</v>
      </c>
      <c r="R67" t="s">
        <v>17</v>
      </c>
      <c r="Y67">
        <v>600</v>
      </c>
      <c r="AC67">
        <v>1000</v>
      </c>
      <c r="AK67">
        <v>1062</v>
      </c>
      <c r="AL67">
        <v>10000</v>
      </c>
      <c r="AM67">
        <v>1000</v>
      </c>
      <c r="AQ67">
        <v>10200</v>
      </c>
      <c r="AS67">
        <v>2294</v>
      </c>
      <c r="AX67" t="s">
        <v>150</v>
      </c>
    </row>
    <row r="68" spans="1:50" x14ac:dyDescent="0.25">
      <c r="A68" s="2" t="str">
        <f>D1_AGOSTO_2025[[#This Row],[SUPER2]]</f>
        <v>LEONOR</v>
      </c>
      <c r="B68" s="2" t="s">
        <v>106</v>
      </c>
      <c r="C68" s="2">
        <f>VLOOKUP(D1_AGOSTO_2025[[#This Row],[SUPER]],DATA_AGOSTO_2025[[SUPERVISOR]:[META]],3,0)</f>
        <v>15500</v>
      </c>
      <c r="D68" s="2">
        <f>D1_AGOSTO_2025[[#This Row],[RECUPERO]]/C68</f>
        <v>7.5483870967741937E-2</v>
      </c>
      <c r="E68" t="s">
        <v>7</v>
      </c>
      <c r="F68" t="s">
        <v>106</v>
      </c>
      <c r="G68">
        <v>1170</v>
      </c>
      <c r="H68" t="s">
        <v>392</v>
      </c>
      <c r="I68" s="56">
        <v>44748</v>
      </c>
      <c r="J68" t="s">
        <v>501</v>
      </c>
      <c r="L68" s="56"/>
      <c r="M68" s="1">
        <f>DATA_AGOSTO_2025[[#This Row],[RECUPERO]]/DATA_AGOSTO_2025[[#This Row],[META]]</f>
        <v>0.43226923076923079</v>
      </c>
      <c r="N68" t="str" cm="1">
        <f t="array" ref="N6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68" t="s">
        <v>6</v>
      </c>
      <c r="P68">
        <f>SUM(DATA_AGOSTO_2025[[#This Row],[1]:[31]])</f>
        <v>11239</v>
      </c>
      <c r="Q68">
        <v>26000</v>
      </c>
      <c r="R68" t="s">
        <v>38</v>
      </c>
      <c r="Y68">
        <v>610</v>
      </c>
      <c r="Z68">
        <v>230</v>
      </c>
      <c r="AC68">
        <v>850</v>
      </c>
      <c r="AG68">
        <v>615.5</v>
      </c>
      <c r="AJ68">
        <v>200</v>
      </c>
      <c r="AL68">
        <v>500</v>
      </c>
      <c r="AM68">
        <v>3871</v>
      </c>
      <c r="AQ68">
        <v>3000</v>
      </c>
      <c r="AS68">
        <v>459.5</v>
      </c>
      <c r="AT68">
        <v>903</v>
      </c>
      <c r="AX68" t="s">
        <v>156</v>
      </c>
    </row>
    <row r="69" spans="1:50" x14ac:dyDescent="0.25">
      <c r="A69" s="2" t="str">
        <f>D1_AGOSTO_2025[[#This Row],[SUPER2]]</f>
        <v>LEONOR</v>
      </c>
      <c r="B69" s="2" t="s">
        <v>104</v>
      </c>
      <c r="C69" s="2">
        <f>VLOOKUP(D1_AGOSTO_2025[[#This Row],[SUPER]],DATA_AGOSTO_2025[[SUPERVISOR]:[META]],3,0)</f>
        <v>15500</v>
      </c>
      <c r="D69" s="2">
        <f>D1_AGOSTO_2025[[#This Row],[RECUPERO]]/C69</f>
        <v>3.2258064516129031E-2</v>
      </c>
      <c r="E69" t="s">
        <v>7</v>
      </c>
      <c r="F69" t="s">
        <v>104</v>
      </c>
      <c r="G69">
        <v>500</v>
      </c>
      <c r="H69" t="s">
        <v>456</v>
      </c>
      <c r="I69" s="56">
        <v>44104</v>
      </c>
      <c r="J69" t="s">
        <v>501</v>
      </c>
      <c r="L69" s="56"/>
      <c r="M69" s="1">
        <f>DATA_AGOSTO_2025[[#This Row],[RECUPERO]]/DATA_AGOSTO_2025[[#This Row],[META]]</f>
        <v>0.38093749999999998</v>
      </c>
      <c r="N69" t="str" cm="1">
        <f t="array" ref="N6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69" t="s">
        <v>9</v>
      </c>
      <c r="P69">
        <f>SUM(DATA_AGOSTO_2025[[#This Row],[1]:[31]])</f>
        <v>6095</v>
      </c>
      <c r="Q69">
        <v>16000</v>
      </c>
      <c r="R69" t="s">
        <v>55</v>
      </c>
      <c r="S69">
        <v>100</v>
      </c>
      <c r="W69">
        <v>300</v>
      </c>
      <c r="Y69">
        <v>80</v>
      </c>
      <c r="Z69">
        <v>644</v>
      </c>
      <c r="AD69">
        <v>2200</v>
      </c>
      <c r="AE69">
        <v>140</v>
      </c>
      <c r="AF69">
        <v>230</v>
      </c>
      <c r="AG69">
        <v>100</v>
      </c>
      <c r="AJ69">
        <v>650</v>
      </c>
      <c r="AK69">
        <v>680</v>
      </c>
      <c r="AL69">
        <v>60</v>
      </c>
      <c r="AM69">
        <v>371</v>
      </c>
      <c r="AN69">
        <v>70</v>
      </c>
      <c r="AR69">
        <v>320</v>
      </c>
      <c r="AS69">
        <v>150</v>
      </c>
      <c r="AX69" t="s">
        <v>153</v>
      </c>
    </row>
    <row r="70" spans="1:50" x14ac:dyDescent="0.25">
      <c r="A70" s="2" t="str">
        <f>D1_AGOSTO_2025[[#This Row],[SUPER2]]</f>
        <v>BRYAN</v>
      </c>
      <c r="B70" s="2" t="s">
        <v>42</v>
      </c>
      <c r="C70" s="2">
        <f>VLOOKUP(D1_AGOSTO_2025[[#This Row],[SUPER]],DATA_AGOSTO_2025[[SUPERVISOR]:[META]],3,0)</f>
        <v>16000</v>
      </c>
      <c r="D70" s="2">
        <f>D1_AGOSTO_2025[[#This Row],[RECUPERO]]/C70</f>
        <v>0.75612500000000005</v>
      </c>
      <c r="E70" t="s">
        <v>8</v>
      </c>
      <c r="F70" t="s">
        <v>42</v>
      </c>
      <c r="G70">
        <v>12098</v>
      </c>
      <c r="H70" t="s">
        <v>415</v>
      </c>
      <c r="I70" s="56">
        <v>45399</v>
      </c>
      <c r="J70" t="s">
        <v>501</v>
      </c>
      <c r="L70" s="56"/>
      <c r="M70" s="1">
        <f>DATA_AGOSTO_2025[[#This Row],[RECUPERO]]/DATA_AGOSTO_2025[[#This Row],[META]]</f>
        <v>0.35561538461538461</v>
      </c>
      <c r="N70" t="str" cm="1">
        <f t="array" ref="N7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70" t="s">
        <v>6</v>
      </c>
      <c r="P70">
        <f>SUM(DATA_AGOSTO_2025[[#This Row],[1]:[31]])</f>
        <v>9246</v>
      </c>
      <c r="Q70">
        <v>26000</v>
      </c>
      <c r="R70" t="s">
        <v>36</v>
      </c>
      <c r="S70">
        <v>100</v>
      </c>
      <c r="V70">
        <v>630</v>
      </c>
      <c r="W70">
        <v>330</v>
      </c>
      <c r="Y70">
        <v>1226</v>
      </c>
      <c r="Z70">
        <v>1140</v>
      </c>
      <c r="AC70">
        <v>35</v>
      </c>
      <c r="AD70">
        <v>100</v>
      </c>
      <c r="AE70">
        <v>292</v>
      </c>
      <c r="AF70">
        <v>363</v>
      </c>
      <c r="AG70">
        <v>413</v>
      </c>
      <c r="AJ70">
        <v>177</v>
      </c>
      <c r="AK70">
        <v>0</v>
      </c>
      <c r="AN70">
        <v>440</v>
      </c>
      <c r="AR70">
        <v>1000</v>
      </c>
      <c r="AS70">
        <v>3000</v>
      </c>
      <c r="AX70" t="s">
        <v>156</v>
      </c>
    </row>
    <row r="71" spans="1:50" x14ac:dyDescent="0.25">
      <c r="A71" s="2" t="str">
        <f>D1_AGOSTO_2025[[#This Row],[SUPER2]]</f>
        <v>BRYAN</v>
      </c>
      <c r="B71" s="2" t="s">
        <v>44</v>
      </c>
      <c r="C71" s="2">
        <f>VLOOKUP(D1_AGOSTO_2025[[#This Row],[SUPER]],DATA_AGOSTO_2025[[SUPERVISOR]:[META]],3,0)</f>
        <v>16000</v>
      </c>
      <c r="D71" s="2">
        <f>D1_AGOSTO_2025[[#This Row],[RECUPERO]]/C71</f>
        <v>0.69581249999999994</v>
      </c>
      <c r="E71" t="s">
        <v>8</v>
      </c>
      <c r="F71" t="s">
        <v>44</v>
      </c>
      <c r="G71">
        <v>11133</v>
      </c>
      <c r="H71" t="s">
        <v>467</v>
      </c>
      <c r="I71" s="56">
        <v>45804</v>
      </c>
      <c r="J71" t="s">
        <v>501</v>
      </c>
      <c r="L71" s="56"/>
      <c r="M71" s="1">
        <f>DATA_AGOSTO_2025[[#This Row],[RECUPERO]]/DATA_AGOSTO_2025[[#This Row],[META]]</f>
        <v>0.71975</v>
      </c>
      <c r="N71" t="str" cm="1">
        <f t="array" ref="N7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71" t="s">
        <v>4</v>
      </c>
      <c r="P71">
        <f>SUM(DATA_AGOSTO_2025[[#This Row],[1]:[31]])</f>
        <v>51822</v>
      </c>
      <c r="Q71">
        <v>72000</v>
      </c>
      <c r="R71" t="s">
        <v>62</v>
      </c>
      <c r="S71">
        <v>1000</v>
      </c>
      <c r="T71">
        <v>1000</v>
      </c>
      <c r="V71">
        <v>3000</v>
      </c>
      <c r="X71">
        <v>350</v>
      </c>
      <c r="Y71">
        <v>8000</v>
      </c>
      <c r="Z71">
        <v>1000</v>
      </c>
      <c r="AC71">
        <v>1800</v>
      </c>
      <c r="AE71">
        <v>350</v>
      </c>
      <c r="AF71">
        <v>1800</v>
      </c>
      <c r="AG71">
        <v>10100</v>
      </c>
      <c r="AJ71">
        <v>5500</v>
      </c>
      <c r="AK71">
        <v>3000</v>
      </c>
      <c r="AM71">
        <v>9400</v>
      </c>
      <c r="AN71">
        <v>906</v>
      </c>
      <c r="AT71">
        <v>4616</v>
      </c>
      <c r="AX71" t="s">
        <v>155</v>
      </c>
    </row>
    <row r="72" spans="1:50" x14ac:dyDescent="0.25">
      <c r="A72" s="2" t="str">
        <f>D1_AGOSTO_2025[[#This Row],[SUPER2]]</f>
        <v>BRYAN</v>
      </c>
      <c r="B72" s="2" t="s">
        <v>41</v>
      </c>
      <c r="C72" s="2">
        <f>VLOOKUP(D1_AGOSTO_2025[[#This Row],[SUPER]],DATA_AGOSTO_2025[[SUPERVISOR]:[META]],3,0)</f>
        <v>16000</v>
      </c>
      <c r="D72" s="2">
        <f>D1_AGOSTO_2025[[#This Row],[RECUPERO]]/C72</f>
        <v>0.73243749999999996</v>
      </c>
      <c r="E72" t="s">
        <v>8</v>
      </c>
      <c r="F72" t="s">
        <v>41</v>
      </c>
      <c r="G72">
        <v>11719</v>
      </c>
      <c r="H72" t="s">
        <v>387</v>
      </c>
      <c r="I72" s="56">
        <v>45304</v>
      </c>
      <c r="J72" t="s">
        <v>501</v>
      </c>
      <c r="L72" s="56"/>
      <c r="M72" s="1">
        <f>DATA_AGOSTO_2025[[#This Row],[RECUPERO]]/DATA_AGOSTO_2025[[#This Row],[META]]</f>
        <v>0.51500000000000001</v>
      </c>
      <c r="N72" t="str" cm="1">
        <f t="array" ref="N7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72" t="s">
        <v>5</v>
      </c>
      <c r="P72">
        <f>SUM(DATA_AGOSTO_2025[[#This Row],[1]:[31]])</f>
        <v>27810</v>
      </c>
      <c r="Q72">
        <v>54000</v>
      </c>
      <c r="R72" t="s">
        <v>70</v>
      </c>
      <c r="Y72">
        <v>1800</v>
      </c>
      <c r="AC72">
        <v>2000</v>
      </c>
      <c r="AD72">
        <v>2000</v>
      </c>
      <c r="AH72">
        <v>600</v>
      </c>
      <c r="AJ72">
        <v>8000</v>
      </c>
      <c r="AL72">
        <v>2000</v>
      </c>
      <c r="AN72">
        <v>5000</v>
      </c>
      <c r="AR72">
        <v>3810</v>
      </c>
      <c r="AS72">
        <v>2100</v>
      </c>
      <c r="AT72">
        <v>500</v>
      </c>
      <c r="AX72" t="s">
        <v>150</v>
      </c>
    </row>
    <row r="73" spans="1:50" x14ac:dyDescent="0.25">
      <c r="A73" s="2" t="str">
        <f>D1_AGOSTO_2025[[#This Row],[SUPER2]]</f>
        <v>BRYAN</v>
      </c>
      <c r="B73" s="2" t="s">
        <v>46</v>
      </c>
      <c r="C73" s="2">
        <f>VLOOKUP(D1_AGOSTO_2025[[#This Row],[SUPER]],DATA_AGOSTO_2025[[SUPERVISOR]:[META]],3,0)</f>
        <v>16000</v>
      </c>
      <c r="D73" s="2">
        <f>D1_AGOSTO_2025[[#This Row],[RECUPERO]]/C73</f>
        <v>0.74131250000000004</v>
      </c>
      <c r="E73" t="s">
        <v>8</v>
      </c>
      <c r="F73" t="s">
        <v>46</v>
      </c>
      <c r="G73">
        <v>11861</v>
      </c>
      <c r="H73" t="s">
        <v>394</v>
      </c>
      <c r="I73" s="56">
        <v>45344</v>
      </c>
      <c r="J73" t="s">
        <v>501</v>
      </c>
      <c r="L73" s="56"/>
      <c r="M73" s="1">
        <f>DATA_AGOSTO_2025[[#This Row],[RECUPERO]]/DATA_AGOSTO_2025[[#This Row],[META]]</f>
        <v>0.51527777777777772</v>
      </c>
      <c r="N73" t="str" cm="1">
        <f t="array" ref="N7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73" t="s">
        <v>4</v>
      </c>
      <c r="P73">
        <f>SUM(DATA_AGOSTO_2025[[#This Row],[1]:[31]])</f>
        <v>37100</v>
      </c>
      <c r="Q73">
        <v>72000</v>
      </c>
      <c r="R73" t="s">
        <v>64</v>
      </c>
      <c r="S73">
        <v>400</v>
      </c>
      <c r="Y73">
        <v>7000</v>
      </c>
      <c r="Z73">
        <v>4600</v>
      </c>
      <c r="AE73">
        <v>3050</v>
      </c>
      <c r="AF73">
        <v>3300</v>
      </c>
      <c r="AG73">
        <v>1000</v>
      </c>
      <c r="AJ73">
        <v>850</v>
      </c>
      <c r="AL73">
        <v>600</v>
      </c>
      <c r="AM73">
        <v>2000</v>
      </c>
      <c r="AR73">
        <v>2800</v>
      </c>
      <c r="AS73">
        <v>11500</v>
      </c>
      <c r="AX73" t="s">
        <v>155</v>
      </c>
    </row>
    <row r="74" spans="1:50" x14ac:dyDescent="0.25">
      <c r="A74" s="2" t="str">
        <f>D1_AGOSTO_2025[[#This Row],[SUPER2]]</f>
        <v>BRYAN</v>
      </c>
      <c r="B74" s="2" t="s">
        <v>43</v>
      </c>
      <c r="C74" s="2">
        <f>VLOOKUP(D1_AGOSTO_2025[[#This Row],[SUPER]],DATA_AGOSTO_2025[[SUPERVISOR]:[META]],3,0)</f>
        <v>16000</v>
      </c>
      <c r="D74" s="2">
        <f>D1_AGOSTO_2025[[#This Row],[RECUPERO]]/C74</f>
        <v>0.58886249999999996</v>
      </c>
      <c r="E74" t="s">
        <v>8</v>
      </c>
      <c r="F74" t="s">
        <v>43</v>
      </c>
      <c r="G74">
        <v>9421.7999999999993</v>
      </c>
      <c r="H74" t="s">
        <v>471</v>
      </c>
      <c r="I74" s="56">
        <v>45793</v>
      </c>
      <c r="J74" t="s">
        <v>501</v>
      </c>
      <c r="L74" s="56"/>
      <c r="M74" s="1">
        <f>DATA_AGOSTO_2025[[#This Row],[RECUPERO]]/DATA_AGOSTO_2025[[#This Row],[META]]</f>
        <v>0.33548387096774196</v>
      </c>
      <c r="N74" t="str" cm="1">
        <f t="array" ref="N7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74" t="s">
        <v>7</v>
      </c>
      <c r="P74">
        <f>SUM(DATA_AGOSTO_2025[[#This Row],[1]:[31]])</f>
        <v>5200</v>
      </c>
      <c r="Q74">
        <v>15500</v>
      </c>
      <c r="R74" t="s">
        <v>107</v>
      </c>
      <c r="W74">
        <v>1000</v>
      </c>
      <c r="AD74">
        <v>3000</v>
      </c>
      <c r="AE74">
        <v>200</v>
      </c>
      <c r="AG74">
        <v>600</v>
      </c>
      <c r="AS74">
        <v>400</v>
      </c>
      <c r="AX74" t="s">
        <v>152</v>
      </c>
    </row>
    <row r="75" spans="1:50" x14ac:dyDescent="0.25">
      <c r="A75" s="2" t="str">
        <f>D1_AGOSTO_2025[[#This Row],[SUPER2]]</f>
        <v>BRYAN</v>
      </c>
      <c r="B75" s="2" t="s">
        <v>48</v>
      </c>
      <c r="C75" s="2">
        <f>VLOOKUP(D1_AGOSTO_2025[[#This Row],[SUPER]],DATA_AGOSTO_2025[[SUPERVISOR]:[META]],3,0)</f>
        <v>16000</v>
      </c>
      <c r="D75" s="2">
        <f>D1_AGOSTO_2025[[#This Row],[RECUPERO]]/C75</f>
        <v>0.44500000000000001</v>
      </c>
      <c r="E75" t="s">
        <v>8</v>
      </c>
      <c r="F75" t="s">
        <v>48</v>
      </c>
      <c r="G75">
        <v>7120</v>
      </c>
      <c r="H75" t="s">
        <v>421</v>
      </c>
      <c r="I75" s="56">
        <v>44748</v>
      </c>
      <c r="J75" t="s">
        <v>501</v>
      </c>
      <c r="L75" s="56"/>
      <c r="M75" s="1">
        <f>DATA_AGOSTO_2025[[#This Row],[RECUPERO]]/DATA_AGOSTO_2025[[#This Row],[META]]</f>
        <v>0.50524074074074077</v>
      </c>
      <c r="N75" t="str" cm="1">
        <f t="array" ref="N7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75" t="s">
        <v>2</v>
      </c>
      <c r="P75">
        <f>SUM(DATA_AGOSTO_2025[[#This Row],[1]:[31]])</f>
        <v>27283</v>
      </c>
      <c r="Q75">
        <v>54000</v>
      </c>
      <c r="R75" t="s">
        <v>11</v>
      </c>
      <c r="S75">
        <v>1620</v>
      </c>
      <c r="U75">
        <v>1200</v>
      </c>
      <c r="W75">
        <v>700</v>
      </c>
      <c r="Y75">
        <v>3500</v>
      </c>
      <c r="AD75">
        <v>220</v>
      </c>
      <c r="AF75">
        <v>1000</v>
      </c>
      <c r="AG75">
        <v>250</v>
      </c>
      <c r="AL75">
        <v>11103</v>
      </c>
      <c r="AM75">
        <v>602</v>
      </c>
      <c r="AN75">
        <v>5000</v>
      </c>
      <c r="AP75">
        <v>688</v>
      </c>
      <c r="AU75">
        <v>300</v>
      </c>
      <c r="AV75">
        <v>1100</v>
      </c>
      <c r="AX75" t="s">
        <v>150</v>
      </c>
    </row>
    <row r="76" spans="1:50" x14ac:dyDescent="0.25">
      <c r="A76" s="2" t="str">
        <f>D1_AGOSTO_2025[[#This Row],[SUPER2]]</f>
        <v>BRYAN</v>
      </c>
      <c r="B76" s="2" t="s">
        <v>45</v>
      </c>
      <c r="C76" s="2">
        <f>VLOOKUP(D1_AGOSTO_2025[[#This Row],[SUPER]],DATA_AGOSTO_2025[[SUPERVISOR]:[META]],3,0)</f>
        <v>16000</v>
      </c>
      <c r="D76" s="2">
        <f>D1_AGOSTO_2025[[#This Row],[RECUPERO]]/C76</f>
        <v>0.51831249999999995</v>
      </c>
      <c r="E76" t="s">
        <v>8</v>
      </c>
      <c r="F76" t="s">
        <v>45</v>
      </c>
      <c r="G76">
        <v>8293</v>
      </c>
      <c r="H76" t="s">
        <v>476</v>
      </c>
      <c r="I76" s="56">
        <v>38525</v>
      </c>
      <c r="J76" t="s">
        <v>501</v>
      </c>
      <c r="L76" s="56"/>
      <c r="M76" s="1">
        <f>DATA_AGOSTO_2025[[#This Row],[RECUPERO]]/DATA_AGOSTO_2025[[#This Row],[META]]</f>
        <v>0.16435185185185186</v>
      </c>
      <c r="N76" t="str" cm="1">
        <f t="array" ref="N7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76" t="s">
        <v>2</v>
      </c>
      <c r="P76">
        <f>SUM(DATA_AGOSTO_2025[[#This Row],[1]:[31]])</f>
        <v>8875</v>
      </c>
      <c r="Q76">
        <v>54000</v>
      </c>
      <c r="R76" t="s">
        <v>91</v>
      </c>
      <c r="AE76">
        <v>400</v>
      </c>
      <c r="AG76">
        <v>375</v>
      </c>
      <c r="AM76">
        <v>7000</v>
      </c>
      <c r="AR76">
        <v>600</v>
      </c>
      <c r="AT76">
        <v>500</v>
      </c>
      <c r="AX76" t="s">
        <v>150</v>
      </c>
    </row>
    <row r="77" spans="1:50" x14ac:dyDescent="0.25">
      <c r="A77" s="2" t="str">
        <f>D1_AGOSTO_2025[[#This Row],[SUPER2]]</f>
        <v>BRYAN</v>
      </c>
      <c r="B77" s="2" t="s">
        <v>97</v>
      </c>
      <c r="C77" s="2">
        <f>VLOOKUP(D1_AGOSTO_2025[[#This Row],[SUPER]],DATA_AGOSTO_2025[[SUPERVISOR]:[META]],3,0)</f>
        <v>16000</v>
      </c>
      <c r="D77" s="2">
        <f>D1_AGOSTO_2025[[#This Row],[RECUPERO]]/C77</f>
        <v>0.34612500000000002</v>
      </c>
      <c r="E77" t="s">
        <v>8</v>
      </c>
      <c r="F77" t="s">
        <v>97</v>
      </c>
      <c r="G77">
        <v>5538</v>
      </c>
      <c r="H77" t="s">
        <v>485</v>
      </c>
      <c r="I77" s="56">
        <v>45889</v>
      </c>
      <c r="J77" t="s">
        <v>501</v>
      </c>
      <c r="L77" s="56"/>
      <c r="M77" s="1">
        <f>DATA_AGOSTO_2025[[#This Row],[RECUPERO]]/DATA_AGOSTO_2025[[#This Row],[META]]</f>
        <v>0.34612500000000002</v>
      </c>
      <c r="N77" t="str" cm="1">
        <f t="array" ref="N7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77" t="s">
        <v>8</v>
      </c>
      <c r="P77">
        <f>SUM(DATA_AGOSTO_2025[[#This Row],[1]:[31]])</f>
        <v>5538</v>
      </c>
      <c r="Q77">
        <v>16000</v>
      </c>
      <c r="R77" t="s">
        <v>97</v>
      </c>
      <c r="AJ77">
        <v>350</v>
      </c>
      <c r="AK77">
        <v>100</v>
      </c>
      <c r="AL77">
        <v>3550</v>
      </c>
      <c r="AR77">
        <v>1000</v>
      </c>
      <c r="AS77">
        <v>200</v>
      </c>
      <c r="AT77">
        <v>338</v>
      </c>
      <c r="AX77" t="s">
        <v>153</v>
      </c>
    </row>
    <row r="78" spans="1:50" x14ac:dyDescent="0.25">
      <c r="A78" s="2" t="str">
        <f>D1_AGOSTO_2025[[#This Row],[SUPER2]]</f>
        <v>BRYAN</v>
      </c>
      <c r="B78" s="2" t="s">
        <v>92</v>
      </c>
      <c r="C78" s="2">
        <f>VLOOKUP(D1_AGOSTO_2025[[#This Row],[SUPER]],DATA_AGOSTO_2025[[SUPERVISOR]:[META]],3,0)</f>
        <v>16000</v>
      </c>
      <c r="D78" s="2">
        <f>D1_AGOSTO_2025[[#This Row],[RECUPERO]]/C78</f>
        <v>0.1125</v>
      </c>
      <c r="E78" t="s">
        <v>8</v>
      </c>
      <c r="F78" t="s">
        <v>92</v>
      </c>
      <c r="G78">
        <v>1800</v>
      </c>
      <c r="H78" t="s">
        <v>486</v>
      </c>
      <c r="I78" s="56">
        <v>45399</v>
      </c>
      <c r="J78" t="s">
        <v>501</v>
      </c>
      <c r="L78" s="56"/>
      <c r="M78" s="1">
        <f>DATA_AGOSTO_2025[[#This Row],[RECUPERO]]/DATA_AGOSTO_2025[[#This Row],[META]]</f>
        <v>1.3984027777777779</v>
      </c>
      <c r="N78" t="str" cm="1">
        <f t="array" ref="N7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78" t="s">
        <v>4</v>
      </c>
      <c r="P78">
        <f>SUM(DATA_AGOSTO_2025[[#This Row],[1]:[31]])</f>
        <v>100685</v>
      </c>
      <c r="Q78">
        <v>72000</v>
      </c>
      <c r="R78" t="s">
        <v>59</v>
      </c>
      <c r="S78">
        <v>1515</v>
      </c>
      <c r="V78">
        <v>12000</v>
      </c>
      <c r="W78">
        <v>6600</v>
      </c>
      <c r="Y78">
        <v>800</v>
      </c>
      <c r="AC78">
        <v>506</v>
      </c>
      <c r="AD78">
        <v>8300</v>
      </c>
      <c r="AE78">
        <v>3000</v>
      </c>
      <c r="AF78">
        <v>5000</v>
      </c>
      <c r="AG78">
        <v>11400</v>
      </c>
      <c r="AJ78">
        <v>3650</v>
      </c>
      <c r="AK78">
        <v>5500</v>
      </c>
      <c r="AM78">
        <v>10500</v>
      </c>
      <c r="AN78">
        <v>2780</v>
      </c>
      <c r="AP78">
        <v>1634</v>
      </c>
      <c r="AQ78">
        <v>15000</v>
      </c>
      <c r="AS78">
        <v>11000</v>
      </c>
      <c r="AT78">
        <v>1500</v>
      </c>
      <c r="AX78" t="s">
        <v>155</v>
      </c>
    </row>
    <row r="79" spans="1:50" x14ac:dyDescent="0.25">
      <c r="A79" s="2" t="str">
        <f>D1_AGOSTO_2025[[#This Row],[SUPER2]]</f>
        <v>BRYAN</v>
      </c>
      <c r="B79" s="2" t="s">
        <v>98</v>
      </c>
      <c r="C79" s="2">
        <f>VLOOKUP(D1_AGOSTO_2025[[#This Row],[SUPER]],DATA_AGOSTO_2025[[SUPERVISOR]:[META]],3,0)</f>
        <v>16000</v>
      </c>
      <c r="D79" s="2">
        <f>D1_AGOSTO_2025[[#This Row],[RECUPERO]]/C79</f>
        <v>0.1125</v>
      </c>
      <c r="E79" t="s">
        <v>8</v>
      </c>
      <c r="F79" t="s">
        <v>98</v>
      </c>
      <c r="G79">
        <v>1800</v>
      </c>
      <c r="H79" t="s">
        <v>487</v>
      </c>
      <c r="I79" s="56">
        <v>45896</v>
      </c>
      <c r="J79" t="s">
        <v>501</v>
      </c>
      <c r="L79" s="56"/>
      <c r="M79" s="1">
        <f>DATA_AGOSTO_2025[[#This Row],[RECUPERO]]/DATA_AGOSTO_2025[[#This Row],[META]]</f>
        <v>1.8062499999999999E-2</v>
      </c>
      <c r="N79" t="str" cm="1">
        <f t="array" ref="N7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79" t="s">
        <v>8</v>
      </c>
      <c r="P79">
        <f>SUM(DATA_AGOSTO_2025[[#This Row],[1]:[31]])</f>
        <v>289</v>
      </c>
      <c r="Q79">
        <v>16000</v>
      </c>
      <c r="R79" t="s">
        <v>84</v>
      </c>
      <c r="AT79">
        <v>289</v>
      </c>
      <c r="AX79" t="s">
        <v>153</v>
      </c>
    </row>
    <row r="80" spans="1:50" x14ac:dyDescent="0.25">
      <c r="A80" s="2" t="str">
        <f>D1_AGOSTO_2025[[#This Row],[SUPER2]]</f>
        <v>BRYAN</v>
      </c>
      <c r="B80" s="2" t="s">
        <v>47</v>
      </c>
      <c r="C80" s="2">
        <f>VLOOKUP(D1_AGOSTO_2025[[#This Row],[SUPER]],DATA_AGOSTO_2025[[SUPERVISOR]:[META]],3,0)</f>
        <v>16000</v>
      </c>
      <c r="D80" s="2">
        <f>D1_AGOSTO_2025[[#This Row],[RECUPERO]]/C80</f>
        <v>8.1125000000000003E-2</v>
      </c>
      <c r="E80" t="s">
        <v>8</v>
      </c>
      <c r="F80" t="s">
        <v>47</v>
      </c>
      <c r="G80">
        <v>1298</v>
      </c>
      <c r="H80" t="s">
        <v>479</v>
      </c>
      <c r="I80" s="56">
        <v>45853</v>
      </c>
      <c r="J80" t="s">
        <v>501</v>
      </c>
      <c r="L80" s="56"/>
      <c r="M80" s="1">
        <f>DATA_AGOSTO_2025[[#This Row],[RECUPERO]]/DATA_AGOSTO_2025[[#This Row],[META]]</f>
        <v>0.31055555555555553</v>
      </c>
      <c r="N80" t="str" cm="1">
        <f t="array" ref="N80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80" t="s">
        <v>4</v>
      </c>
      <c r="P80">
        <f>SUM(DATA_AGOSTO_2025[[#This Row],[1]:[31]])</f>
        <v>22360</v>
      </c>
      <c r="Q80">
        <v>72000</v>
      </c>
      <c r="R80" t="s">
        <v>63</v>
      </c>
      <c r="S80">
        <v>3400</v>
      </c>
      <c r="V80">
        <v>4000</v>
      </c>
      <c r="Z80">
        <v>8000</v>
      </c>
      <c r="AG80">
        <v>5460</v>
      </c>
      <c r="AJ80">
        <v>1500</v>
      </c>
      <c r="AX80" t="s">
        <v>155</v>
      </c>
    </row>
    <row r="81" spans="1:50" x14ac:dyDescent="0.25">
      <c r="A81" s="2" t="str">
        <f>D1_AGOSTO_2025[[#This Row],[SUPER2]]</f>
        <v>LUIS</v>
      </c>
      <c r="B81" s="2" t="s">
        <v>50</v>
      </c>
      <c r="C81" s="2">
        <f>VLOOKUP(D1_AGOSTO_2025[[#This Row],[SUPER]],DATA_AGOSTO_2025[[SUPERVISOR]:[META]],3,0)</f>
        <v>16000</v>
      </c>
      <c r="D81" s="2">
        <f>D1_AGOSTO_2025[[#This Row],[RECUPERO]]/C81</f>
        <v>0.60659750000000001</v>
      </c>
      <c r="E81" t="s">
        <v>9</v>
      </c>
      <c r="F81" t="s">
        <v>50</v>
      </c>
      <c r="G81">
        <v>9705.56</v>
      </c>
      <c r="H81" t="s">
        <v>402</v>
      </c>
      <c r="I81" s="56">
        <v>45523</v>
      </c>
      <c r="J81" t="s">
        <v>501</v>
      </c>
      <c r="L81" s="56"/>
      <c r="M81" s="1">
        <f>DATA_AGOSTO_2025[[#This Row],[RECUPERO]]/DATA_AGOSTO_2025[[#This Row],[META]]</f>
        <v>0.20069444444444445</v>
      </c>
      <c r="N81" t="str" cm="1">
        <f t="array" ref="N81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81" t="s">
        <v>125</v>
      </c>
      <c r="P81">
        <f>SUM(DATA_AGOSTO_2025[[#This Row],[1]:[31]])</f>
        <v>14450</v>
      </c>
      <c r="Q81">
        <v>72000</v>
      </c>
      <c r="R81" t="s">
        <v>102</v>
      </c>
      <c r="AC81">
        <v>1500</v>
      </c>
      <c r="AD81">
        <v>3000</v>
      </c>
      <c r="AK81">
        <v>5000</v>
      </c>
      <c r="AN81">
        <v>950</v>
      </c>
      <c r="AR81">
        <v>4000</v>
      </c>
      <c r="AX81" t="s">
        <v>155</v>
      </c>
    </row>
    <row r="82" spans="1:50" x14ac:dyDescent="0.25">
      <c r="A82" s="2" t="str">
        <f>D1_AGOSTO_2025[[#This Row],[SUPER2]]</f>
        <v>LUIS</v>
      </c>
      <c r="B82" s="2" t="s">
        <v>49</v>
      </c>
      <c r="C82" s="2">
        <f>VLOOKUP(D1_AGOSTO_2025[[#This Row],[SUPER]],DATA_AGOSTO_2025[[SUPERVISOR]:[META]],3,0)</f>
        <v>16000</v>
      </c>
      <c r="D82" s="2">
        <f>D1_AGOSTO_2025[[#This Row],[RECUPERO]]/C82</f>
        <v>0.75306249999999997</v>
      </c>
      <c r="E82" t="s">
        <v>9</v>
      </c>
      <c r="F82" t="s">
        <v>49</v>
      </c>
      <c r="G82">
        <v>12049</v>
      </c>
      <c r="H82" t="s">
        <v>436</v>
      </c>
      <c r="I82" s="56">
        <v>42814</v>
      </c>
      <c r="J82" t="s">
        <v>501</v>
      </c>
      <c r="L82" s="56"/>
      <c r="M82" s="1">
        <f>DATA_AGOSTO_2025[[#This Row],[RECUPERO]]/DATA_AGOSTO_2025[[#This Row],[META]]</f>
        <v>0.25425806451612903</v>
      </c>
      <c r="N82" t="str" cm="1">
        <f t="array" ref="N82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82" t="s">
        <v>7</v>
      </c>
      <c r="P82">
        <f>SUM(DATA_AGOSTO_2025[[#This Row],[1]:[31]])</f>
        <v>3941</v>
      </c>
      <c r="Q82">
        <v>15500</v>
      </c>
      <c r="R82" t="s">
        <v>103</v>
      </c>
      <c r="AE82">
        <v>2000</v>
      </c>
      <c r="AJ82">
        <v>741</v>
      </c>
      <c r="AL82">
        <v>1200</v>
      </c>
      <c r="AX82" t="s">
        <v>152</v>
      </c>
    </row>
    <row r="83" spans="1:50" x14ac:dyDescent="0.25">
      <c r="A83" s="2" t="str">
        <f>D1_AGOSTO_2025[[#This Row],[SUPER2]]</f>
        <v>LUIS</v>
      </c>
      <c r="B83" s="2" t="s">
        <v>51</v>
      </c>
      <c r="C83" s="2">
        <f>VLOOKUP(D1_AGOSTO_2025[[#This Row],[SUPER]],DATA_AGOSTO_2025[[SUPERVISOR]:[META]],3,0)</f>
        <v>16000</v>
      </c>
      <c r="D83" s="2">
        <f>D1_AGOSTO_2025[[#This Row],[RECUPERO]]/C83</f>
        <v>0.65774999999999995</v>
      </c>
      <c r="E83" t="s">
        <v>9</v>
      </c>
      <c r="F83" t="s">
        <v>51</v>
      </c>
      <c r="G83">
        <v>10524</v>
      </c>
      <c r="H83" t="s">
        <v>413</v>
      </c>
      <c r="I83" s="56">
        <v>45674</v>
      </c>
      <c r="J83" t="s">
        <v>501</v>
      </c>
      <c r="M83" s="1">
        <f>DATA_AGOSTO_2025[[#This Row],[RECUPERO]]/DATA_AGOSTO_2025[[#This Row],[META]]</f>
        <v>0.10972222222222222</v>
      </c>
      <c r="N83" t="str" cm="1">
        <f t="array" ref="N83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83" t="s">
        <v>5</v>
      </c>
      <c r="P83">
        <f>SUM(DATA_AGOSTO_2025[[#This Row],[1]:[31]])</f>
        <v>5925</v>
      </c>
      <c r="Q83">
        <v>54000</v>
      </c>
      <c r="R83" t="s">
        <v>73</v>
      </c>
      <c r="S83">
        <v>400</v>
      </c>
      <c r="Y83">
        <v>250</v>
      </c>
      <c r="AF83">
        <v>2000</v>
      </c>
      <c r="AK83">
        <v>2070</v>
      </c>
      <c r="AL83">
        <v>305</v>
      </c>
      <c r="AM83">
        <v>0</v>
      </c>
      <c r="AN83">
        <v>200</v>
      </c>
      <c r="AO83">
        <v>700</v>
      </c>
      <c r="AX83" t="s">
        <v>150</v>
      </c>
    </row>
    <row r="84" spans="1:50" x14ac:dyDescent="0.25">
      <c r="A84" s="2" t="str">
        <f>D1_AGOSTO_2025[[#This Row],[SUPER2]]</f>
        <v>LUIS</v>
      </c>
      <c r="B84" s="2" t="s">
        <v>52</v>
      </c>
      <c r="C84" s="2">
        <f>VLOOKUP(D1_AGOSTO_2025[[#This Row],[SUPER]],DATA_AGOSTO_2025[[SUPERVISOR]:[META]],3,0)</f>
        <v>16000</v>
      </c>
      <c r="D84" s="2">
        <f>D1_AGOSTO_2025[[#This Row],[RECUPERO]]/C84</f>
        <v>0.58750000000000002</v>
      </c>
      <c r="E84" t="s">
        <v>9</v>
      </c>
      <c r="F84" t="s">
        <v>52</v>
      </c>
      <c r="G84">
        <v>9400</v>
      </c>
      <c r="H84" t="s">
        <v>480</v>
      </c>
      <c r="I84" s="56">
        <v>45862</v>
      </c>
      <c r="J84" t="s">
        <v>501</v>
      </c>
      <c r="M84" s="1">
        <f>DATA_AGOSTO_2025[[#This Row],[RECUPERO]]/DATA_AGOSTO_2025[[#This Row],[META]]</f>
        <v>1.8715592307692308</v>
      </c>
      <c r="N84" t="str" cm="1">
        <f t="array" ref="N84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&gt;100%</v>
      </c>
      <c r="O84" t="s">
        <v>6</v>
      </c>
      <c r="P84">
        <f>SUM(DATA_AGOSTO_2025[[#This Row],[1]:[31]])</f>
        <v>48660.54</v>
      </c>
      <c r="Q84">
        <v>26000</v>
      </c>
      <c r="R84" t="s">
        <v>34</v>
      </c>
      <c r="S84">
        <v>2500</v>
      </c>
      <c r="W84">
        <v>200</v>
      </c>
      <c r="Y84">
        <v>182</v>
      </c>
      <c r="AC84">
        <v>13150</v>
      </c>
      <c r="AD84">
        <v>2700</v>
      </c>
      <c r="AE84">
        <v>1530</v>
      </c>
      <c r="AF84">
        <v>2372</v>
      </c>
      <c r="AG84">
        <v>100</v>
      </c>
      <c r="AJ84">
        <v>1550</v>
      </c>
      <c r="AK84">
        <v>500</v>
      </c>
      <c r="AL84">
        <v>870</v>
      </c>
      <c r="AM84">
        <v>200</v>
      </c>
      <c r="AQ84">
        <v>15856.54</v>
      </c>
      <c r="AR84">
        <v>3300</v>
      </c>
      <c r="AS84">
        <v>150</v>
      </c>
      <c r="AT84">
        <v>3500</v>
      </c>
      <c r="AX84" t="s">
        <v>156</v>
      </c>
    </row>
    <row r="85" spans="1:50" x14ac:dyDescent="0.25">
      <c r="A85" s="2" t="str">
        <f>D1_AGOSTO_2025[[#This Row],[SUPER2]]</f>
        <v>LUIS</v>
      </c>
      <c r="B85" s="2" t="s">
        <v>53</v>
      </c>
      <c r="C85" s="2">
        <f>VLOOKUP(D1_AGOSTO_2025[[#This Row],[SUPER]],DATA_AGOSTO_2025[[SUPERVISOR]:[META]],3,0)</f>
        <v>16000</v>
      </c>
      <c r="D85" s="2">
        <f>D1_AGOSTO_2025[[#This Row],[RECUPERO]]/C85</f>
        <v>0.449994375</v>
      </c>
      <c r="E85" t="s">
        <v>9</v>
      </c>
      <c r="F85" t="s">
        <v>53</v>
      </c>
      <c r="G85">
        <v>7199.91</v>
      </c>
      <c r="H85" t="s">
        <v>457</v>
      </c>
      <c r="I85" s="56">
        <v>45727</v>
      </c>
      <c r="J85" t="s">
        <v>501</v>
      </c>
      <c r="M85" s="1">
        <f>DATA_AGOSTO_2025[[#This Row],[RECUPERO]]/DATA_AGOSTO_2025[[#This Row],[META]]</f>
        <v>9.2291666666666661E-2</v>
      </c>
      <c r="N85" t="str" cm="1">
        <f t="array" ref="N85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85" t="s">
        <v>125</v>
      </c>
      <c r="P85">
        <f>SUM(DATA_AGOSTO_2025[[#This Row],[1]:[31]])</f>
        <v>6645</v>
      </c>
      <c r="Q85">
        <v>72000</v>
      </c>
      <c r="R85" t="s">
        <v>30</v>
      </c>
      <c r="Z85">
        <v>1005</v>
      </c>
      <c r="AD85">
        <v>1000</v>
      </c>
      <c r="AE85">
        <v>1900</v>
      </c>
      <c r="AG85">
        <v>1500</v>
      </c>
      <c r="AQ85">
        <v>750</v>
      </c>
      <c r="AR85">
        <v>490</v>
      </c>
      <c r="AX85" t="s">
        <v>155</v>
      </c>
    </row>
    <row r="86" spans="1:50" x14ac:dyDescent="0.25">
      <c r="A86" s="2" t="str">
        <f>D1_AGOSTO_2025[[#This Row],[SUPER2]]</f>
        <v>LUIS</v>
      </c>
      <c r="B86" s="2" t="s">
        <v>55</v>
      </c>
      <c r="C86" s="2">
        <f>VLOOKUP(D1_AGOSTO_2025[[#This Row],[SUPER]],DATA_AGOSTO_2025[[SUPERVISOR]:[META]],3,0)</f>
        <v>16000</v>
      </c>
      <c r="D86" s="2">
        <f>D1_AGOSTO_2025[[#This Row],[RECUPERO]]/C86</f>
        <v>0.38093749999999998</v>
      </c>
      <c r="E86" t="s">
        <v>9</v>
      </c>
      <c r="F86" t="s">
        <v>55</v>
      </c>
      <c r="G86">
        <v>6095</v>
      </c>
      <c r="H86" t="s">
        <v>475</v>
      </c>
      <c r="I86" s="56">
        <v>45818</v>
      </c>
      <c r="J86" t="s">
        <v>501</v>
      </c>
      <c r="M86" s="1">
        <f>DATA_AGOSTO_2025[[#This Row],[RECUPERO]]/DATA_AGOSTO_2025[[#This Row],[META]]</f>
        <v>0.44500000000000001</v>
      </c>
      <c r="N86" t="str" cm="1">
        <f t="array" ref="N86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86" t="s">
        <v>8</v>
      </c>
      <c r="P86">
        <f>SUM(DATA_AGOSTO_2025[[#This Row],[1]:[31]])</f>
        <v>7120</v>
      </c>
      <c r="Q86">
        <v>16000</v>
      </c>
      <c r="R86" t="s">
        <v>48</v>
      </c>
      <c r="V86">
        <v>300</v>
      </c>
      <c r="Z86">
        <v>250</v>
      </c>
      <c r="AE86">
        <v>350</v>
      </c>
      <c r="AG86">
        <v>4000</v>
      </c>
      <c r="AJ86">
        <v>150</v>
      </c>
      <c r="AK86">
        <v>320</v>
      </c>
      <c r="AQ86">
        <v>1000</v>
      </c>
      <c r="AS86">
        <v>400</v>
      </c>
      <c r="AT86">
        <v>350</v>
      </c>
      <c r="AX86" t="s">
        <v>153</v>
      </c>
    </row>
    <row r="87" spans="1:50" x14ac:dyDescent="0.25">
      <c r="A87" s="2" t="str">
        <f>D1_AGOSTO_2025[[#This Row],[SUPER2]]</f>
        <v>LUIS</v>
      </c>
      <c r="B87" s="2" t="s">
        <v>54</v>
      </c>
      <c r="C87" s="2">
        <f>VLOOKUP(D1_AGOSTO_2025[[#This Row],[SUPER]],DATA_AGOSTO_2025[[SUPERVISOR]:[META]],3,0)</f>
        <v>16000</v>
      </c>
      <c r="D87" s="2">
        <f>D1_AGOSTO_2025[[#This Row],[RECUPERO]]/C87</f>
        <v>0.35775625</v>
      </c>
      <c r="E87" t="s">
        <v>9</v>
      </c>
      <c r="F87" t="s">
        <v>54</v>
      </c>
      <c r="G87">
        <v>5724.1</v>
      </c>
      <c r="H87" t="s">
        <v>474</v>
      </c>
      <c r="I87" s="56">
        <v>45819</v>
      </c>
      <c r="J87" t="s">
        <v>501</v>
      </c>
      <c r="M87" s="1">
        <f>DATA_AGOSTO_2025[[#This Row],[RECUPERO]]/DATA_AGOSTO_2025[[#This Row],[META]]</f>
        <v>0.89207407407407402</v>
      </c>
      <c r="N87" t="str" cm="1">
        <f t="array" ref="N87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&gt;70%</v>
      </c>
      <c r="O87" t="s">
        <v>2</v>
      </c>
      <c r="P87">
        <f>SUM(DATA_AGOSTO_2025[[#This Row],[1]:[31]])</f>
        <v>48172</v>
      </c>
      <c r="Q87">
        <v>54000</v>
      </c>
      <c r="R87" t="s">
        <v>10</v>
      </c>
      <c r="W87">
        <v>10328</v>
      </c>
      <c r="Z87">
        <v>5000</v>
      </c>
      <c r="AC87">
        <v>925</v>
      </c>
      <c r="AD87">
        <v>4000</v>
      </c>
      <c r="AE87">
        <v>3300</v>
      </c>
      <c r="AG87">
        <v>800</v>
      </c>
      <c r="AJ87">
        <v>500</v>
      </c>
      <c r="AM87">
        <v>1500</v>
      </c>
      <c r="AQ87">
        <v>10362</v>
      </c>
      <c r="AS87">
        <v>1085</v>
      </c>
      <c r="AT87">
        <v>2000</v>
      </c>
      <c r="AU87">
        <v>8062</v>
      </c>
      <c r="AW87">
        <v>310</v>
      </c>
      <c r="AX87" t="s">
        <v>150</v>
      </c>
    </row>
    <row r="88" spans="1:50" x14ac:dyDescent="0.25">
      <c r="A88" s="2" t="str">
        <f>D1_AGOSTO_2025[[#This Row],[SUPER2]]</f>
        <v>LUIS</v>
      </c>
      <c r="B88" s="2" t="s">
        <v>101</v>
      </c>
      <c r="C88" s="2">
        <f>VLOOKUP(D1_AGOSTO_2025[[#This Row],[SUPER]],DATA_AGOSTO_2025[[SUPERVISOR]:[META]],3,0)</f>
        <v>16000</v>
      </c>
      <c r="D88" s="2">
        <f>D1_AGOSTO_2025[[#This Row],[RECUPERO]]/C88</f>
        <v>0.26250000000000001</v>
      </c>
      <c r="E88" t="s">
        <v>9</v>
      </c>
      <c r="F88" t="s">
        <v>101</v>
      </c>
      <c r="G88">
        <v>4200</v>
      </c>
      <c r="H88" t="s">
        <v>488</v>
      </c>
      <c r="I88" s="56">
        <v>45875</v>
      </c>
      <c r="J88" t="s">
        <v>501</v>
      </c>
      <c r="M88" s="1">
        <f>DATA_AGOSTO_2025[[#This Row],[RECUPERO]]/DATA_AGOSTO_2025[[#This Row],[META]]</f>
        <v>0.44034615384615383</v>
      </c>
      <c r="N88" t="str" cm="1">
        <f t="array" ref="N88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&gt;40%</v>
      </c>
      <c r="O88" t="s">
        <v>6</v>
      </c>
      <c r="P88">
        <f>SUM(DATA_AGOSTO_2025[[#This Row],[1]:[31]])</f>
        <v>11449</v>
      </c>
      <c r="Q88">
        <v>26000</v>
      </c>
      <c r="R88" t="s">
        <v>39</v>
      </c>
      <c r="V88">
        <v>150</v>
      </c>
      <c r="W88">
        <v>300</v>
      </c>
      <c r="AC88">
        <v>1440</v>
      </c>
      <c r="AD88">
        <v>500</v>
      </c>
      <c r="AG88">
        <v>250</v>
      </c>
      <c r="AH88">
        <v>359</v>
      </c>
      <c r="AK88">
        <v>150</v>
      </c>
      <c r="AN88">
        <v>3150</v>
      </c>
      <c r="AQ88">
        <v>400</v>
      </c>
      <c r="AR88">
        <v>200</v>
      </c>
      <c r="AS88">
        <v>900</v>
      </c>
      <c r="AT88">
        <v>650</v>
      </c>
      <c r="AU88">
        <v>3000</v>
      </c>
      <c r="AX88" t="s">
        <v>156</v>
      </c>
    </row>
    <row r="89" spans="1:50" x14ac:dyDescent="0.25">
      <c r="A89" s="2" t="str">
        <f>D1_AGOSTO_2025[[#This Row],[SUPER2]]</f>
        <v>LUIS</v>
      </c>
      <c r="B89" s="2" t="s">
        <v>56</v>
      </c>
      <c r="C89" s="2">
        <f>VLOOKUP(D1_AGOSTO_2025[[#This Row],[SUPER]],DATA_AGOSTO_2025[[SUPERVISOR]:[META]],3,0)</f>
        <v>16000</v>
      </c>
      <c r="D89" s="2">
        <f>D1_AGOSTO_2025[[#This Row],[RECUPERO]]/C89</f>
        <v>0.16412499999999999</v>
      </c>
      <c r="E89" t="s">
        <v>9</v>
      </c>
      <c r="F89" t="s">
        <v>56</v>
      </c>
      <c r="G89">
        <v>2626</v>
      </c>
      <c r="H89" t="s">
        <v>464</v>
      </c>
      <c r="I89" s="56">
        <v>45772</v>
      </c>
      <c r="J89" t="s">
        <v>501</v>
      </c>
      <c r="M89" s="1">
        <f>DATA_AGOSTO_2025[[#This Row],[RECUPERO]]/DATA_AGOSTO_2025[[#This Row],[META]]</f>
        <v>0.16412499999999999</v>
      </c>
      <c r="N89" t="str" cm="1">
        <f t="array" ref="N89">IF(DATA_AGOSTO_2025[[#This Row],[ASER_]]="","",IFERROR(_xlfn.IFS(DATA_AGOSTO_2025[[#This Row],[AL_AC]]&gt;=100%,"&gt;100%",AND(DATA_AGOSTO_2025[[#This Row],[AL_AC]]&lt;100%,DATA_AGOSTO_2025[[#This Row],[AL_AC]]&gt;=70%),"&gt;70%",AND(DATA_AGOSTO_2025[[#This Row],[AL_AC]]&lt;70%,DATA_AGOSTO_2025[[#This Row],[AL_AC]]&gt;=40%),"&gt;40%",AND(DATA_AGOSTO_2025[[#This Row],[AL_AC]]&lt;40%,DATA_AGOSTO_2025[[#This Row],[AL_AC]]&gt;=0%),"&gt;0%"),""))</f>
        <v>&gt;0%</v>
      </c>
      <c r="O89" t="s">
        <v>9</v>
      </c>
      <c r="P89">
        <f>SUM(DATA_AGOSTO_2025[[#This Row],[1]:[31]])</f>
        <v>2626</v>
      </c>
      <c r="Q89">
        <v>16000</v>
      </c>
      <c r="R89" t="s">
        <v>56</v>
      </c>
      <c r="V89">
        <v>207</v>
      </c>
      <c r="AC89">
        <v>300</v>
      </c>
      <c r="AD89">
        <v>150</v>
      </c>
      <c r="AE89">
        <v>150</v>
      </c>
      <c r="AG89">
        <v>350</v>
      </c>
      <c r="AH89">
        <v>100</v>
      </c>
      <c r="AJ89">
        <v>969</v>
      </c>
      <c r="AQ89">
        <v>400</v>
      </c>
      <c r="AX89" t="s">
        <v>153</v>
      </c>
    </row>
    <row r="90" spans="1:50" x14ac:dyDescent="0.25">
      <c r="A90" s="2" t="str">
        <f>D1_AGOSTO_2025[[#This Row],[SUPER2]]</f>
        <v>LUIS</v>
      </c>
      <c r="B90" s="2" t="s">
        <v>100</v>
      </c>
      <c r="C90" s="2">
        <f>VLOOKUP(D1_AGOSTO_2025[[#This Row],[SUPER]],DATA_AGOSTO_2025[[SUPERVISOR]:[META]],3,0)</f>
        <v>16000</v>
      </c>
      <c r="D90" s="2">
        <f>D1_AGOSTO_2025[[#This Row],[RECUPERO]]/C90</f>
        <v>3.1E-2</v>
      </c>
      <c r="E90" t="s">
        <v>9</v>
      </c>
      <c r="F90" t="s">
        <v>100</v>
      </c>
      <c r="G90">
        <v>496</v>
      </c>
      <c r="H90" t="s">
        <v>489</v>
      </c>
      <c r="I90" s="56">
        <v>45895</v>
      </c>
      <c r="J90" t="s">
        <v>501</v>
      </c>
    </row>
    <row r="91" spans="1:50" x14ac:dyDescent="0.25">
      <c r="A91" s="2" t="str">
        <f>D1_AGOSTO_2025[[#This Row],[SUPER2]]</f>
        <v>BRYAN</v>
      </c>
      <c r="B91" s="72" t="str">
        <f>D1_AGOSTO_2025[[#This Row],[ASESOR]]</f>
        <v>RAQUEL RICO</v>
      </c>
      <c r="C91" s="2">
        <f>VLOOKUP(D1_AGOSTO_2025[[#This Row],[SUPER]],DATA_AGOSTO_2025[[SUPERVISOR]:[META]],3,0)</f>
        <v>16000</v>
      </c>
      <c r="D91" s="2">
        <f>D1_AGOSTO_2025[[#This Row],[RECUPERO]]/C91</f>
        <v>1.8062499999999999E-2</v>
      </c>
      <c r="E91" t="s">
        <v>8</v>
      </c>
      <c r="F91" t="s">
        <v>84</v>
      </c>
      <c r="G91">
        <v>289</v>
      </c>
      <c r="H91" t="s">
        <v>473</v>
      </c>
      <c r="I91" s="56">
        <v>45800</v>
      </c>
      <c r="J91" t="s">
        <v>501</v>
      </c>
    </row>
  </sheetData>
  <sheetProtection formatCells="0" insertColumns="0" insertRows="0" deleteColumns="0" deleteRows="0" sort="0" autoFilter="0" pivotTables="0"/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C382-896C-48E3-967E-003D8C3BB4E1}">
  <sheetPr codeName="Hoja3"/>
  <dimension ref="A1:AQ86"/>
  <sheetViews>
    <sheetView zoomScale="70" zoomScaleNormal="70" workbookViewId="0">
      <selection activeCell="G29" sqref="G29"/>
    </sheetView>
  </sheetViews>
  <sheetFormatPr baseColWidth="10" defaultRowHeight="15" x14ac:dyDescent="0.25"/>
  <cols>
    <col min="1" max="1" width="10.7109375" customWidth="1"/>
    <col min="2" max="2" width="30.28515625" customWidth="1"/>
    <col min="3" max="3" width="13" bestFit="1" customWidth="1"/>
    <col min="4" max="4" width="16" bestFit="1" customWidth="1"/>
    <col min="5" max="5" width="16" customWidth="1"/>
    <col min="6" max="6" width="30.28515625" bestFit="1" customWidth="1"/>
    <col min="7" max="7" width="17.85546875" bestFit="1" customWidth="1"/>
    <col min="8" max="8" width="12.28515625" customWidth="1"/>
    <col min="9" max="9" width="17.140625" customWidth="1"/>
    <col min="10" max="10" width="13.140625" bestFit="1" customWidth="1"/>
    <col min="11" max="11" width="20.28515625" bestFit="1" customWidth="1"/>
    <col min="12" max="12" width="20.140625" customWidth="1"/>
    <col min="13" max="13" width="22.7109375" customWidth="1"/>
    <col min="14" max="14" width="11.42578125" customWidth="1"/>
  </cols>
  <sheetData>
    <row r="1" spans="1:43" ht="15" customHeight="1" x14ac:dyDescent="0.25"/>
    <row r="2" spans="1:43" x14ac:dyDescent="0.25">
      <c r="A2" s="8" t="s">
        <v>94</v>
      </c>
      <c r="B2" s="8" t="s">
        <v>108</v>
      </c>
      <c r="C2" s="31" t="s">
        <v>178</v>
      </c>
      <c r="D2" s="31" t="s">
        <v>1</v>
      </c>
      <c r="E2" s="31" t="s">
        <v>202</v>
      </c>
      <c r="F2" s="37" t="s">
        <v>0</v>
      </c>
      <c r="G2" s="37" t="s">
        <v>95</v>
      </c>
      <c r="H2" s="57" t="s">
        <v>376</v>
      </c>
      <c r="I2" s="57" t="s">
        <v>378</v>
      </c>
      <c r="J2" s="32" t="s">
        <v>166</v>
      </c>
      <c r="K2" s="32" t="s">
        <v>136</v>
      </c>
      <c r="L2" s="32" t="s">
        <v>205</v>
      </c>
    </row>
    <row r="3" spans="1:43" ht="26.25" x14ac:dyDescent="0.4">
      <c r="A3" s="2" t="s">
        <v>3</v>
      </c>
      <c r="B3" s="2" t="s">
        <v>97</v>
      </c>
      <c r="C3" s="2">
        <v>10487</v>
      </c>
      <c r="D3" s="2">
        <v>0.74907142857142861</v>
      </c>
      <c r="E3" t="s">
        <v>3</v>
      </c>
      <c r="F3" t="s">
        <v>97</v>
      </c>
      <c r="G3">
        <v>10487</v>
      </c>
      <c r="H3" t="s">
        <v>485</v>
      </c>
      <c r="I3" s="56">
        <v>45889</v>
      </c>
      <c r="J3" s="33">
        <v>2025</v>
      </c>
      <c r="K3" s="33" t="s">
        <v>147</v>
      </c>
      <c r="L3" s="33">
        <v>22</v>
      </c>
    </row>
    <row r="4" spans="1:43" x14ac:dyDescent="0.25">
      <c r="A4" s="2" t="s">
        <v>3</v>
      </c>
      <c r="B4" s="2" t="s">
        <v>44</v>
      </c>
      <c r="C4" s="2">
        <v>35897</v>
      </c>
      <c r="D4" s="2">
        <v>2.5640714285714288</v>
      </c>
      <c r="E4" t="s">
        <v>3</v>
      </c>
      <c r="F4" t="s">
        <v>44</v>
      </c>
      <c r="G4">
        <v>35897</v>
      </c>
      <c r="H4" t="s">
        <v>467</v>
      </c>
      <c r="I4" s="56">
        <v>45804</v>
      </c>
    </row>
    <row r="5" spans="1:43" x14ac:dyDescent="0.25">
      <c r="A5" s="2" t="s">
        <v>3</v>
      </c>
      <c r="B5" s="2" t="s">
        <v>48</v>
      </c>
      <c r="C5" s="2">
        <v>11064</v>
      </c>
      <c r="D5" s="2">
        <v>0.79028571428571426</v>
      </c>
      <c r="E5" t="s">
        <v>3</v>
      </c>
      <c r="F5" t="s">
        <v>48</v>
      </c>
      <c r="G5">
        <v>11064</v>
      </c>
      <c r="H5" t="s">
        <v>421</v>
      </c>
      <c r="I5" s="56">
        <v>44748</v>
      </c>
    </row>
    <row r="6" spans="1:43" x14ac:dyDescent="0.25">
      <c r="A6" s="2" t="s">
        <v>3</v>
      </c>
      <c r="B6" s="2" t="s">
        <v>27</v>
      </c>
      <c r="C6" s="2">
        <v>4612</v>
      </c>
      <c r="D6" s="2">
        <v>0.3294285714285714</v>
      </c>
      <c r="E6" t="s">
        <v>3</v>
      </c>
      <c r="F6" t="s">
        <v>27</v>
      </c>
      <c r="G6">
        <v>4612</v>
      </c>
      <c r="H6" t="s">
        <v>412</v>
      </c>
      <c r="I6" s="56">
        <v>45675</v>
      </c>
    </row>
    <row r="7" spans="1:43" x14ac:dyDescent="0.25">
      <c r="A7" s="2" t="s">
        <v>3</v>
      </c>
      <c r="B7" s="2" t="s">
        <v>102</v>
      </c>
      <c r="C7" s="2">
        <v>2200</v>
      </c>
      <c r="D7" s="2">
        <v>0.15714285714285714</v>
      </c>
      <c r="E7" t="s">
        <v>3</v>
      </c>
      <c r="F7" t="s">
        <v>102</v>
      </c>
      <c r="G7">
        <v>2200</v>
      </c>
      <c r="H7" t="s">
        <v>481</v>
      </c>
      <c r="I7" s="56">
        <v>45875</v>
      </c>
    </row>
    <row r="8" spans="1:43" x14ac:dyDescent="0.25">
      <c r="A8" s="2" t="s">
        <v>3</v>
      </c>
      <c r="B8" s="2" t="s">
        <v>43</v>
      </c>
      <c r="C8" s="2">
        <v>9523</v>
      </c>
      <c r="D8" s="2">
        <v>0.68021428571428566</v>
      </c>
      <c r="E8" t="s">
        <v>3</v>
      </c>
      <c r="F8" t="s">
        <v>43</v>
      </c>
      <c r="G8">
        <v>9523</v>
      </c>
      <c r="H8" t="s">
        <v>471</v>
      </c>
      <c r="I8" s="56">
        <v>45793</v>
      </c>
      <c r="J8" s="41" t="s">
        <v>87</v>
      </c>
      <c r="K8" s="42" t="s">
        <v>89</v>
      </c>
      <c r="L8" s="43" t="s">
        <v>133</v>
      </c>
      <c r="M8" s="43" t="s">
        <v>95</v>
      </c>
      <c r="N8" s="43" t="s">
        <v>90</v>
      </c>
      <c r="O8" s="44" t="s">
        <v>88</v>
      </c>
      <c r="Q8" s="18" t="s">
        <v>135</v>
      </c>
      <c r="R8" s="18" t="s">
        <v>137</v>
      </c>
      <c r="S8" s="18" t="s">
        <v>138</v>
      </c>
      <c r="T8" s="40" t="s">
        <v>94</v>
      </c>
      <c r="U8" s="40" t="s">
        <v>180</v>
      </c>
      <c r="V8" s="40" t="s">
        <v>181</v>
      </c>
      <c r="W8" s="40" t="s">
        <v>182</v>
      </c>
      <c r="X8" s="40" t="s">
        <v>183</v>
      </c>
      <c r="Y8" s="40" t="s">
        <v>184</v>
      </c>
      <c r="Z8" s="40" t="s">
        <v>185</v>
      </c>
      <c r="AA8" s="40" t="s">
        <v>186</v>
      </c>
      <c r="AB8" s="40" t="s">
        <v>187</v>
      </c>
      <c r="AC8" s="40" t="s">
        <v>188</v>
      </c>
      <c r="AD8" s="40" t="s">
        <v>189</v>
      </c>
      <c r="AE8" s="40" t="s">
        <v>190</v>
      </c>
      <c r="AF8" s="40" t="s">
        <v>191</v>
      </c>
      <c r="AG8" s="40" t="s">
        <v>192</v>
      </c>
      <c r="AH8" s="40" t="s">
        <v>193</v>
      </c>
      <c r="AI8" s="40" t="s">
        <v>194</v>
      </c>
      <c r="AJ8" s="40" t="s">
        <v>195</v>
      </c>
      <c r="AK8" s="40" t="s">
        <v>196</v>
      </c>
      <c r="AL8" s="40" t="s">
        <v>197</v>
      </c>
      <c r="AM8" s="40" t="s">
        <v>198</v>
      </c>
      <c r="AN8" s="40" t="s">
        <v>199</v>
      </c>
      <c r="AO8" s="40" t="s">
        <v>200</v>
      </c>
      <c r="AP8" s="40" t="s">
        <v>201</v>
      </c>
      <c r="AQ8" s="18" t="s">
        <v>134</v>
      </c>
    </row>
    <row r="9" spans="1:43" x14ac:dyDescent="0.25">
      <c r="A9" s="2" t="s">
        <v>3</v>
      </c>
      <c r="B9" s="2" t="s">
        <v>56</v>
      </c>
      <c r="C9" s="2">
        <v>6610</v>
      </c>
      <c r="D9" s="2">
        <v>0.47214285714285714</v>
      </c>
      <c r="E9" t="s">
        <v>3</v>
      </c>
      <c r="F9" t="s">
        <v>56</v>
      </c>
      <c r="G9">
        <v>6610</v>
      </c>
      <c r="H9" t="s">
        <v>464</v>
      </c>
      <c r="I9" s="56">
        <v>45772</v>
      </c>
      <c r="J9" s="1">
        <v>0.74907142857142861</v>
      </c>
      <c r="K9" t="s">
        <v>163</v>
      </c>
      <c r="L9" t="s">
        <v>3</v>
      </c>
      <c r="M9">
        <v>10487</v>
      </c>
      <c r="N9">
        <v>14000</v>
      </c>
      <c r="O9" t="s">
        <v>97</v>
      </c>
      <c r="Q9">
        <v>200950</v>
      </c>
      <c r="R9" s="11">
        <v>212215.35</v>
      </c>
      <c r="S9" s="17">
        <v>0.74817922042259521</v>
      </c>
      <c r="T9" t="s">
        <v>3</v>
      </c>
      <c r="U9">
        <v>1350</v>
      </c>
      <c r="V9">
        <v>11150</v>
      </c>
      <c r="W9">
        <v>15869.35</v>
      </c>
      <c r="X9">
        <v>70269.350000000006</v>
      </c>
      <c r="Y9">
        <v>87631.35</v>
      </c>
      <c r="Z9">
        <v>87731.35</v>
      </c>
      <c r="AA9">
        <v>88281.35</v>
      </c>
      <c r="AB9">
        <v>94331.35</v>
      </c>
      <c r="AC9">
        <v>102552.35</v>
      </c>
      <c r="AD9">
        <v>120622.35</v>
      </c>
      <c r="AE9">
        <v>138212.35</v>
      </c>
      <c r="AF9">
        <v>140432.35</v>
      </c>
      <c r="AG9">
        <v>142682.35</v>
      </c>
      <c r="AH9">
        <v>149397.35</v>
      </c>
      <c r="AI9">
        <v>155319.35</v>
      </c>
      <c r="AJ9">
        <v>156219.35</v>
      </c>
      <c r="AK9">
        <v>170503.35</v>
      </c>
      <c r="AL9">
        <v>171653.35</v>
      </c>
      <c r="AM9">
        <v>178993.35</v>
      </c>
      <c r="AN9">
        <v>186793.35</v>
      </c>
      <c r="AO9">
        <v>196752.35</v>
      </c>
      <c r="AP9">
        <v>212215.35</v>
      </c>
      <c r="AQ9" s="11" t="s">
        <v>157</v>
      </c>
    </row>
    <row r="10" spans="1:43" x14ac:dyDescent="0.25">
      <c r="A10" s="2" t="s">
        <v>3</v>
      </c>
      <c r="B10" s="2" t="s">
        <v>101</v>
      </c>
      <c r="C10" s="2">
        <v>2200</v>
      </c>
      <c r="D10" s="2">
        <v>0.15714285714285714</v>
      </c>
      <c r="E10" t="s">
        <v>3</v>
      </c>
      <c r="F10" t="s">
        <v>101</v>
      </c>
      <c r="G10">
        <v>2200</v>
      </c>
      <c r="H10" t="s">
        <v>488</v>
      </c>
      <c r="I10" s="56">
        <v>45875</v>
      </c>
      <c r="J10" s="1">
        <v>2.5640714285714288</v>
      </c>
      <c r="K10" t="s">
        <v>162</v>
      </c>
      <c r="L10" t="s">
        <v>3</v>
      </c>
      <c r="M10">
        <v>35897</v>
      </c>
      <c r="N10">
        <v>14000</v>
      </c>
      <c r="O10" t="s">
        <v>44</v>
      </c>
      <c r="Q10">
        <v>200950</v>
      </c>
      <c r="R10" s="11">
        <v>108153</v>
      </c>
      <c r="S10" s="17">
        <v>0.36733582277155291</v>
      </c>
      <c r="T10" t="s">
        <v>4</v>
      </c>
      <c r="U10">
        <v>3835</v>
      </c>
      <c r="V10">
        <v>17035</v>
      </c>
      <c r="W10">
        <v>22535</v>
      </c>
      <c r="X10">
        <v>31235</v>
      </c>
      <c r="Y10">
        <v>48635</v>
      </c>
      <c r="Z10">
        <v>48985</v>
      </c>
      <c r="AA10">
        <v>51485</v>
      </c>
      <c r="AB10">
        <v>51585</v>
      </c>
      <c r="AC10">
        <v>54585</v>
      </c>
      <c r="AD10">
        <v>57009</v>
      </c>
      <c r="AE10">
        <v>64483</v>
      </c>
      <c r="AF10">
        <v>66950</v>
      </c>
      <c r="AG10">
        <v>68800</v>
      </c>
      <c r="AH10">
        <v>72170</v>
      </c>
      <c r="AI10">
        <v>77970</v>
      </c>
      <c r="AJ10">
        <v>77970</v>
      </c>
      <c r="AK10">
        <v>82030</v>
      </c>
      <c r="AL10">
        <v>91360</v>
      </c>
      <c r="AM10">
        <v>92850</v>
      </c>
      <c r="AN10">
        <v>94840</v>
      </c>
      <c r="AO10">
        <v>100245</v>
      </c>
      <c r="AP10">
        <v>108153</v>
      </c>
      <c r="AQ10" s="11" t="s">
        <v>157</v>
      </c>
    </row>
    <row r="11" spans="1:43" x14ac:dyDescent="0.25">
      <c r="A11" s="2" t="s">
        <v>3</v>
      </c>
      <c r="B11" s="2" t="s">
        <v>107</v>
      </c>
      <c r="C11" s="2">
        <v>5780</v>
      </c>
      <c r="D11" s="2">
        <v>0.41285714285714287</v>
      </c>
      <c r="E11" t="s">
        <v>3</v>
      </c>
      <c r="F11" t="s">
        <v>107</v>
      </c>
      <c r="G11">
        <v>5780</v>
      </c>
      <c r="H11" t="s">
        <v>458</v>
      </c>
      <c r="I11" s="56">
        <v>45727</v>
      </c>
      <c r="J11" s="1">
        <v>0.79028571428571426</v>
      </c>
      <c r="K11" t="s">
        <v>163</v>
      </c>
      <c r="L11" t="s">
        <v>3</v>
      </c>
      <c r="M11">
        <v>11064</v>
      </c>
      <c r="N11">
        <v>14000</v>
      </c>
      <c r="O11" t="s">
        <v>48</v>
      </c>
      <c r="Q11">
        <v>301000</v>
      </c>
      <c r="R11" s="11">
        <v>102179</v>
      </c>
      <c r="S11" s="17">
        <v>0.31282056614539733</v>
      </c>
      <c r="T11" t="s">
        <v>5</v>
      </c>
      <c r="U11">
        <v>13963</v>
      </c>
      <c r="V11">
        <v>18098</v>
      </c>
      <c r="W11">
        <v>19598</v>
      </c>
      <c r="X11">
        <v>21498</v>
      </c>
      <c r="Y11">
        <v>23318</v>
      </c>
      <c r="Z11">
        <v>27818</v>
      </c>
      <c r="AA11">
        <v>28158</v>
      </c>
      <c r="AB11">
        <v>30618</v>
      </c>
      <c r="AC11">
        <v>40958</v>
      </c>
      <c r="AD11">
        <v>47118</v>
      </c>
      <c r="AE11">
        <v>49218</v>
      </c>
      <c r="AF11">
        <v>62927</v>
      </c>
      <c r="AG11">
        <v>69626</v>
      </c>
      <c r="AH11">
        <v>69712</v>
      </c>
      <c r="AI11">
        <v>70212</v>
      </c>
      <c r="AJ11">
        <v>76414</v>
      </c>
      <c r="AK11">
        <v>88617</v>
      </c>
      <c r="AL11">
        <v>90151</v>
      </c>
      <c r="AM11">
        <v>93415</v>
      </c>
      <c r="AN11">
        <v>94218</v>
      </c>
      <c r="AO11">
        <v>94518</v>
      </c>
      <c r="AP11">
        <v>102179</v>
      </c>
      <c r="AQ11" s="11" t="s">
        <v>158</v>
      </c>
    </row>
    <row r="12" spans="1:43" x14ac:dyDescent="0.25">
      <c r="A12" s="2" t="s">
        <v>3</v>
      </c>
      <c r="B12" s="2" t="s">
        <v>106</v>
      </c>
      <c r="C12" s="2">
        <v>300</v>
      </c>
      <c r="D12" s="2">
        <v>2.1428571428571429E-2</v>
      </c>
      <c r="E12" t="s">
        <v>3</v>
      </c>
      <c r="F12" t="s">
        <v>106</v>
      </c>
      <c r="G12">
        <v>300</v>
      </c>
      <c r="H12" t="s">
        <v>392</v>
      </c>
      <c r="I12" s="56">
        <v>44748</v>
      </c>
      <c r="J12" s="1">
        <v>0.3294285714285714</v>
      </c>
      <c r="K12" t="s">
        <v>165</v>
      </c>
      <c r="L12" t="s">
        <v>3</v>
      </c>
      <c r="M12">
        <v>4612</v>
      </c>
      <c r="N12">
        <v>14000</v>
      </c>
      <c r="O12" t="s">
        <v>27</v>
      </c>
      <c r="Q12">
        <v>301000</v>
      </c>
      <c r="R12" s="11">
        <v>186881</v>
      </c>
      <c r="S12" s="17">
        <v>0.57568518336147745</v>
      </c>
      <c r="T12" t="s">
        <v>2</v>
      </c>
      <c r="U12">
        <v>18900</v>
      </c>
      <c r="V12">
        <v>28100</v>
      </c>
      <c r="W12">
        <v>28100</v>
      </c>
      <c r="X12">
        <v>30205</v>
      </c>
      <c r="Y12">
        <v>39541</v>
      </c>
      <c r="Z12">
        <v>39541</v>
      </c>
      <c r="AA12">
        <v>41471</v>
      </c>
      <c r="AB12">
        <v>43396</v>
      </c>
      <c r="AC12">
        <v>44496</v>
      </c>
      <c r="AD12">
        <v>88278</v>
      </c>
      <c r="AE12">
        <v>95353</v>
      </c>
      <c r="AF12">
        <v>110226</v>
      </c>
      <c r="AG12">
        <v>110476</v>
      </c>
      <c r="AH12">
        <v>116158</v>
      </c>
      <c r="AI12">
        <v>132509</v>
      </c>
      <c r="AJ12">
        <v>149109</v>
      </c>
      <c r="AK12">
        <v>168557.5</v>
      </c>
      <c r="AL12">
        <v>169157.5</v>
      </c>
      <c r="AM12">
        <v>170157.5</v>
      </c>
      <c r="AN12">
        <v>170822.5</v>
      </c>
      <c r="AO12">
        <v>174441.5</v>
      </c>
      <c r="AP12">
        <v>186881</v>
      </c>
      <c r="AQ12" s="11" t="s">
        <v>158</v>
      </c>
    </row>
    <row r="13" spans="1:43" x14ac:dyDescent="0.25">
      <c r="A13" s="2" t="s">
        <v>3</v>
      </c>
      <c r="B13" s="2" t="s">
        <v>32</v>
      </c>
      <c r="C13" s="2">
        <v>4022</v>
      </c>
      <c r="D13" s="2">
        <v>0.28728571428571431</v>
      </c>
      <c r="E13" t="s">
        <v>3</v>
      </c>
      <c r="F13" t="s">
        <v>32</v>
      </c>
      <c r="G13">
        <v>4022</v>
      </c>
      <c r="H13" t="s">
        <v>390</v>
      </c>
      <c r="I13" s="56">
        <v>45530</v>
      </c>
      <c r="J13" s="1">
        <v>0.15714285714285714</v>
      </c>
      <c r="K13" t="s">
        <v>165</v>
      </c>
      <c r="L13" t="s">
        <v>3</v>
      </c>
      <c r="M13">
        <v>2200</v>
      </c>
      <c r="N13">
        <v>14000</v>
      </c>
      <c r="O13" t="s">
        <v>102</v>
      </c>
      <c r="Q13">
        <v>643200</v>
      </c>
      <c r="R13" s="11">
        <v>127275.5</v>
      </c>
      <c r="S13" s="17">
        <v>0.24713255190343655</v>
      </c>
      <c r="T13" t="s">
        <v>125</v>
      </c>
      <c r="U13">
        <v>14335</v>
      </c>
      <c r="V13">
        <v>17562.5</v>
      </c>
      <c r="W13">
        <v>18412.5</v>
      </c>
      <c r="X13">
        <v>20771.5</v>
      </c>
      <c r="Y13">
        <v>21543.5</v>
      </c>
      <c r="Z13">
        <v>21543.5</v>
      </c>
      <c r="AA13">
        <v>24133.5</v>
      </c>
      <c r="AB13">
        <v>79297.5</v>
      </c>
      <c r="AC13">
        <v>79997.5</v>
      </c>
      <c r="AD13">
        <v>79997.5</v>
      </c>
      <c r="AE13">
        <v>81811.5</v>
      </c>
      <c r="AF13">
        <v>81811.5</v>
      </c>
      <c r="AG13">
        <v>81984.5</v>
      </c>
      <c r="AH13">
        <v>87114.5</v>
      </c>
      <c r="AI13">
        <v>88645.5</v>
      </c>
      <c r="AJ13">
        <v>89095.5</v>
      </c>
      <c r="AK13">
        <v>93595.5</v>
      </c>
      <c r="AL13">
        <v>94915.5</v>
      </c>
      <c r="AM13">
        <v>97057.5</v>
      </c>
      <c r="AN13">
        <v>110657.5</v>
      </c>
      <c r="AO13">
        <v>115897.5</v>
      </c>
      <c r="AP13">
        <v>127275.5</v>
      </c>
      <c r="AQ13" s="11" t="s">
        <v>159</v>
      </c>
    </row>
    <row r="14" spans="1:43" x14ac:dyDescent="0.25">
      <c r="A14" s="2" t="s">
        <v>3</v>
      </c>
      <c r="B14" s="2" t="s">
        <v>33</v>
      </c>
      <c r="C14" s="2">
        <v>6610</v>
      </c>
      <c r="D14" s="2">
        <v>0.47214285714285714</v>
      </c>
      <c r="E14" t="s">
        <v>3</v>
      </c>
      <c r="F14" t="s">
        <v>33</v>
      </c>
      <c r="G14">
        <v>6610</v>
      </c>
      <c r="H14" t="s">
        <v>439</v>
      </c>
      <c r="I14" s="56">
        <v>44869</v>
      </c>
      <c r="J14" s="1">
        <v>0.68021428571428566</v>
      </c>
      <c r="K14" t="s">
        <v>164</v>
      </c>
      <c r="L14" t="s">
        <v>3</v>
      </c>
      <c r="M14">
        <v>9523</v>
      </c>
      <c r="N14">
        <v>14000</v>
      </c>
      <c r="O14" t="s">
        <v>43</v>
      </c>
      <c r="Q14">
        <v>643200</v>
      </c>
      <c r="R14" s="11">
        <v>111281</v>
      </c>
      <c r="S14" s="17">
        <v>0.26612242807281422</v>
      </c>
      <c r="T14" t="s">
        <v>7</v>
      </c>
      <c r="U14">
        <v>220</v>
      </c>
      <c r="V14">
        <v>7250</v>
      </c>
      <c r="W14">
        <v>15250</v>
      </c>
      <c r="X14">
        <v>17150</v>
      </c>
      <c r="Y14">
        <v>18982</v>
      </c>
      <c r="Z14">
        <v>19482</v>
      </c>
      <c r="AA14">
        <v>19482</v>
      </c>
      <c r="AB14">
        <v>21882</v>
      </c>
      <c r="AC14">
        <v>22682</v>
      </c>
      <c r="AD14">
        <v>25682</v>
      </c>
      <c r="AE14">
        <v>27062</v>
      </c>
      <c r="AF14">
        <v>36462</v>
      </c>
      <c r="AG14">
        <v>37302</v>
      </c>
      <c r="AH14">
        <v>52902</v>
      </c>
      <c r="AI14">
        <v>53502</v>
      </c>
      <c r="AJ14">
        <v>74542</v>
      </c>
      <c r="AK14">
        <v>77142</v>
      </c>
      <c r="AL14">
        <v>77142</v>
      </c>
      <c r="AM14">
        <v>81104</v>
      </c>
      <c r="AN14">
        <v>86989</v>
      </c>
      <c r="AO14">
        <v>91721</v>
      </c>
      <c r="AP14">
        <v>111281</v>
      </c>
      <c r="AQ14" s="11" t="s">
        <v>159</v>
      </c>
    </row>
    <row r="15" spans="1:43" x14ac:dyDescent="0.25">
      <c r="A15" s="2" t="s">
        <v>4</v>
      </c>
      <c r="B15" s="2" t="s">
        <v>104</v>
      </c>
      <c r="C15" s="2">
        <v>6594</v>
      </c>
      <c r="D15" s="2">
        <v>0.47099999999999997</v>
      </c>
      <c r="E15" t="s">
        <v>4</v>
      </c>
      <c r="F15" t="s">
        <v>104</v>
      </c>
      <c r="G15">
        <v>6594</v>
      </c>
      <c r="H15" t="s">
        <v>456</v>
      </c>
      <c r="I15" s="56">
        <v>44104</v>
      </c>
      <c r="J15" s="1">
        <v>0.47214285714285714</v>
      </c>
      <c r="K15" t="s">
        <v>164</v>
      </c>
      <c r="L15" t="s">
        <v>3</v>
      </c>
      <c r="M15">
        <v>6610</v>
      </c>
      <c r="N15">
        <v>14000</v>
      </c>
      <c r="O15" t="s">
        <v>56</v>
      </c>
      <c r="Q15">
        <v>209800</v>
      </c>
      <c r="R15" s="11">
        <v>103487.5</v>
      </c>
      <c r="S15" s="17">
        <v>0.5224831730265449</v>
      </c>
      <c r="T15" t="s">
        <v>9</v>
      </c>
      <c r="U15">
        <v>2775</v>
      </c>
      <c r="V15">
        <v>3650</v>
      </c>
      <c r="W15">
        <v>7670</v>
      </c>
      <c r="X15">
        <v>8627</v>
      </c>
      <c r="Y15">
        <v>10527</v>
      </c>
      <c r="Z15">
        <v>10927</v>
      </c>
      <c r="AA15">
        <v>14077</v>
      </c>
      <c r="AB15">
        <v>19265</v>
      </c>
      <c r="AC15">
        <v>34205</v>
      </c>
      <c r="AD15">
        <v>37162</v>
      </c>
      <c r="AE15">
        <v>40672</v>
      </c>
      <c r="AF15">
        <v>55740.5</v>
      </c>
      <c r="AG15">
        <v>55740.5</v>
      </c>
      <c r="AH15">
        <v>55890.5</v>
      </c>
      <c r="AI15">
        <v>56390.5</v>
      </c>
      <c r="AJ15">
        <v>61750.5</v>
      </c>
      <c r="AK15">
        <v>62650.5</v>
      </c>
      <c r="AL15">
        <v>65369.5</v>
      </c>
      <c r="AM15">
        <v>67447</v>
      </c>
      <c r="AN15">
        <v>68867</v>
      </c>
      <c r="AO15">
        <v>82101</v>
      </c>
      <c r="AP15">
        <v>103487.5</v>
      </c>
      <c r="AQ15" s="11" t="s">
        <v>156</v>
      </c>
    </row>
    <row r="16" spans="1:43" x14ac:dyDescent="0.25">
      <c r="A16" s="2" t="s">
        <v>4</v>
      </c>
      <c r="B16" s="2" t="s">
        <v>55</v>
      </c>
      <c r="C16" s="2">
        <v>10540</v>
      </c>
      <c r="D16" s="2">
        <v>0.75285714285714289</v>
      </c>
      <c r="E16" t="s">
        <v>4</v>
      </c>
      <c r="F16" t="s">
        <v>55</v>
      </c>
      <c r="G16">
        <v>10540</v>
      </c>
      <c r="H16" t="s">
        <v>475</v>
      </c>
      <c r="I16" s="56">
        <v>45818</v>
      </c>
      <c r="J16" s="1">
        <v>0.15714285714285714</v>
      </c>
      <c r="K16" t="s">
        <v>165</v>
      </c>
      <c r="L16" t="s">
        <v>3</v>
      </c>
      <c r="M16">
        <v>2200</v>
      </c>
      <c r="N16">
        <v>14000</v>
      </c>
      <c r="O16" t="s">
        <v>101</v>
      </c>
      <c r="Q16">
        <v>749600</v>
      </c>
      <c r="R16" s="11">
        <v>237130</v>
      </c>
      <c r="S16" s="17">
        <v>0.37669968815375443</v>
      </c>
      <c r="T16" t="s">
        <v>8</v>
      </c>
      <c r="U16">
        <v>970</v>
      </c>
      <c r="V16">
        <v>1970</v>
      </c>
      <c r="W16">
        <v>3000</v>
      </c>
      <c r="X16">
        <v>4518</v>
      </c>
      <c r="Y16">
        <v>9723</v>
      </c>
      <c r="Z16">
        <v>10023</v>
      </c>
      <c r="AA16">
        <v>10823</v>
      </c>
      <c r="AB16">
        <v>16953</v>
      </c>
      <c r="AC16">
        <v>19451</v>
      </c>
      <c r="AD16">
        <v>45636</v>
      </c>
      <c r="AE16">
        <v>64141</v>
      </c>
      <c r="AF16">
        <v>70558</v>
      </c>
      <c r="AG16">
        <v>105361</v>
      </c>
      <c r="AH16">
        <v>111810</v>
      </c>
      <c r="AI16">
        <v>112165</v>
      </c>
      <c r="AJ16">
        <v>117645</v>
      </c>
      <c r="AK16">
        <v>124388</v>
      </c>
      <c r="AL16">
        <v>124878</v>
      </c>
      <c r="AM16">
        <v>126518</v>
      </c>
      <c r="AN16">
        <v>150310</v>
      </c>
      <c r="AO16">
        <v>191676</v>
      </c>
      <c r="AP16">
        <v>237130</v>
      </c>
      <c r="AQ16" s="11" t="s">
        <v>155</v>
      </c>
    </row>
    <row r="17" spans="1:15" x14ac:dyDescent="0.25">
      <c r="A17" s="2" t="s">
        <v>4</v>
      </c>
      <c r="B17" s="2" t="s">
        <v>110</v>
      </c>
      <c r="C17" s="2">
        <v>6148</v>
      </c>
      <c r="D17" s="2">
        <v>0.43914285714285717</v>
      </c>
      <c r="E17" t="s">
        <v>4</v>
      </c>
      <c r="F17" t="s">
        <v>110</v>
      </c>
      <c r="G17">
        <v>6148</v>
      </c>
      <c r="H17" t="s">
        <v>454</v>
      </c>
      <c r="I17" s="56">
        <v>44993</v>
      </c>
      <c r="J17" s="1">
        <v>0.41285714285714287</v>
      </c>
      <c r="K17" t="s">
        <v>164</v>
      </c>
      <c r="L17" t="s">
        <v>3</v>
      </c>
      <c r="M17">
        <v>5780</v>
      </c>
      <c r="N17">
        <v>14000</v>
      </c>
      <c r="O17" t="s">
        <v>107</v>
      </c>
    </row>
    <row r="18" spans="1:15" x14ac:dyDescent="0.25">
      <c r="A18" s="2" t="s">
        <v>4</v>
      </c>
      <c r="B18" s="2" t="s">
        <v>39</v>
      </c>
      <c r="C18" s="2">
        <v>6059</v>
      </c>
      <c r="D18" s="2">
        <v>0.43278571428571427</v>
      </c>
      <c r="E18" t="s">
        <v>4</v>
      </c>
      <c r="F18" t="s">
        <v>39</v>
      </c>
      <c r="G18">
        <v>6059</v>
      </c>
      <c r="H18" t="s">
        <v>452</v>
      </c>
      <c r="I18" s="56">
        <v>44951</v>
      </c>
      <c r="J18" s="1">
        <v>2.1428571428571429E-2</v>
      </c>
      <c r="K18" t="s">
        <v>165</v>
      </c>
      <c r="L18" t="s">
        <v>3</v>
      </c>
      <c r="M18">
        <v>300</v>
      </c>
      <c r="N18">
        <v>14000</v>
      </c>
      <c r="O18" t="s">
        <v>106</v>
      </c>
    </row>
    <row r="19" spans="1:15" x14ac:dyDescent="0.25">
      <c r="A19" s="2" t="s">
        <v>4</v>
      </c>
      <c r="B19" s="2" t="s">
        <v>40</v>
      </c>
      <c r="C19" s="2">
        <v>1000</v>
      </c>
      <c r="D19" s="2">
        <v>7.1428571428571425E-2</v>
      </c>
      <c r="E19" t="s">
        <v>4</v>
      </c>
      <c r="F19" t="s">
        <v>40</v>
      </c>
      <c r="G19">
        <v>1000</v>
      </c>
      <c r="H19" t="s">
        <v>424</v>
      </c>
      <c r="I19" s="56">
        <v>45429</v>
      </c>
      <c r="J19" s="1">
        <v>0.28728571428571431</v>
      </c>
      <c r="K19" t="s">
        <v>165</v>
      </c>
      <c r="L19" t="s">
        <v>3</v>
      </c>
      <c r="M19">
        <v>4022</v>
      </c>
      <c r="N19">
        <v>14000</v>
      </c>
      <c r="O19" t="s">
        <v>32</v>
      </c>
    </row>
    <row r="20" spans="1:15" x14ac:dyDescent="0.25">
      <c r="A20" s="2" t="s">
        <v>4</v>
      </c>
      <c r="B20" s="2" t="s">
        <v>42</v>
      </c>
      <c r="C20" s="2">
        <v>7660</v>
      </c>
      <c r="D20" s="2">
        <v>0.54714285714285715</v>
      </c>
      <c r="E20" t="s">
        <v>4</v>
      </c>
      <c r="F20" t="s">
        <v>42</v>
      </c>
      <c r="G20">
        <v>7660</v>
      </c>
      <c r="H20" t="s">
        <v>415</v>
      </c>
      <c r="I20" s="56">
        <v>45399</v>
      </c>
      <c r="J20" s="1">
        <v>0.47214285714285714</v>
      </c>
      <c r="K20" t="s">
        <v>164</v>
      </c>
      <c r="L20" t="s">
        <v>3</v>
      </c>
      <c r="M20">
        <v>6610</v>
      </c>
      <c r="N20">
        <v>14000</v>
      </c>
      <c r="O20" t="s">
        <v>33</v>
      </c>
    </row>
    <row r="21" spans="1:15" x14ac:dyDescent="0.25">
      <c r="A21" s="2" t="s">
        <v>4</v>
      </c>
      <c r="B21" s="2" t="s">
        <v>49</v>
      </c>
      <c r="C21" s="2">
        <v>5318</v>
      </c>
      <c r="D21" s="2">
        <v>0.37985714285714284</v>
      </c>
      <c r="E21" t="s">
        <v>4</v>
      </c>
      <c r="F21" t="s">
        <v>49</v>
      </c>
      <c r="G21">
        <v>5318</v>
      </c>
      <c r="H21" t="s">
        <v>436</v>
      </c>
      <c r="I21" s="56">
        <v>42814</v>
      </c>
      <c r="J21" s="1">
        <v>0.47099999999999997</v>
      </c>
      <c r="K21" t="s">
        <v>164</v>
      </c>
      <c r="L21" t="s">
        <v>4</v>
      </c>
      <c r="M21">
        <v>6594</v>
      </c>
      <c r="N21">
        <v>14000</v>
      </c>
      <c r="O21" t="s">
        <v>104</v>
      </c>
    </row>
    <row r="22" spans="1:15" x14ac:dyDescent="0.25">
      <c r="A22" s="2" t="s">
        <v>4</v>
      </c>
      <c r="B22" s="2" t="s">
        <v>71</v>
      </c>
      <c r="C22" s="2">
        <v>42000</v>
      </c>
      <c r="D22" s="2">
        <v>3</v>
      </c>
      <c r="E22" t="s">
        <v>4</v>
      </c>
      <c r="F22" t="s">
        <v>71</v>
      </c>
      <c r="G22">
        <v>42000</v>
      </c>
      <c r="H22" t="s">
        <v>414</v>
      </c>
      <c r="I22" s="56">
        <v>45423</v>
      </c>
      <c r="J22" s="1">
        <v>0.75285714285714289</v>
      </c>
      <c r="K22" t="s">
        <v>163</v>
      </c>
      <c r="L22" t="s">
        <v>4</v>
      </c>
      <c r="M22">
        <v>10540</v>
      </c>
      <c r="N22">
        <v>14000</v>
      </c>
      <c r="O22" t="s">
        <v>55</v>
      </c>
    </row>
    <row r="23" spans="1:15" x14ac:dyDescent="0.25">
      <c r="A23" s="2" t="s">
        <v>4</v>
      </c>
      <c r="B23" s="2" t="s">
        <v>53</v>
      </c>
      <c r="C23" s="2">
        <v>22365</v>
      </c>
      <c r="D23" s="2">
        <v>1.5974999999999999</v>
      </c>
      <c r="E23" t="s">
        <v>4</v>
      </c>
      <c r="F23" t="s">
        <v>53</v>
      </c>
      <c r="G23">
        <v>22365</v>
      </c>
      <c r="H23" t="s">
        <v>457</v>
      </c>
      <c r="I23" s="56">
        <v>45727</v>
      </c>
      <c r="J23" s="1">
        <v>0.43914285714285717</v>
      </c>
      <c r="K23" t="s">
        <v>164</v>
      </c>
      <c r="L23" t="s">
        <v>4</v>
      </c>
      <c r="M23">
        <v>6148</v>
      </c>
      <c r="N23">
        <v>14000</v>
      </c>
      <c r="O23" t="s">
        <v>110</v>
      </c>
    </row>
    <row r="24" spans="1:15" x14ac:dyDescent="0.25">
      <c r="A24" s="2" t="s">
        <v>4</v>
      </c>
      <c r="B24" s="2" t="s">
        <v>93</v>
      </c>
      <c r="C24" s="2">
        <v>34420</v>
      </c>
      <c r="D24" s="2">
        <v>2.4585714285714286</v>
      </c>
      <c r="E24" t="s">
        <v>4</v>
      </c>
      <c r="F24" t="s">
        <v>93</v>
      </c>
      <c r="G24">
        <v>34420</v>
      </c>
      <c r="H24" t="s">
        <v>482</v>
      </c>
      <c r="I24" s="56">
        <v>44644</v>
      </c>
      <c r="J24" s="1">
        <v>0.43278571428571427</v>
      </c>
      <c r="K24" t="s">
        <v>164</v>
      </c>
      <c r="L24" t="s">
        <v>4</v>
      </c>
      <c r="M24">
        <v>6059</v>
      </c>
      <c r="N24">
        <v>14000</v>
      </c>
      <c r="O24" t="s">
        <v>39</v>
      </c>
    </row>
    <row r="25" spans="1:15" x14ac:dyDescent="0.25">
      <c r="A25" s="2" t="s">
        <v>4</v>
      </c>
      <c r="B25" s="2" t="s">
        <v>114</v>
      </c>
      <c r="C25" s="2">
        <v>0.4</v>
      </c>
      <c r="D25" s="2">
        <v>2.8571428571428574E-5</v>
      </c>
      <c r="E25" t="s">
        <v>4</v>
      </c>
      <c r="F25" t="s">
        <v>114</v>
      </c>
      <c r="G25">
        <v>0.4</v>
      </c>
      <c r="H25" t="s">
        <v>490</v>
      </c>
      <c r="I25" s="56">
        <v>45917</v>
      </c>
      <c r="J25" s="1">
        <v>7.1428571428571425E-2</v>
      </c>
      <c r="K25" t="s">
        <v>165</v>
      </c>
      <c r="L25" t="s">
        <v>4</v>
      </c>
      <c r="M25">
        <v>1000</v>
      </c>
      <c r="N25">
        <v>14000</v>
      </c>
      <c r="O25" t="s">
        <v>40</v>
      </c>
    </row>
    <row r="26" spans="1:15" x14ac:dyDescent="0.25">
      <c r="A26" s="2" t="s">
        <v>4</v>
      </c>
      <c r="B26" s="2" t="s">
        <v>74</v>
      </c>
      <c r="C26" s="2">
        <v>4635</v>
      </c>
      <c r="D26" s="2">
        <v>0.33107142857142857</v>
      </c>
      <c r="E26" t="s">
        <v>4</v>
      </c>
      <c r="F26" t="s">
        <v>74</v>
      </c>
      <c r="G26">
        <v>4635</v>
      </c>
      <c r="H26" t="s">
        <v>395</v>
      </c>
      <c r="I26" s="56">
        <v>44470</v>
      </c>
      <c r="J26" s="1">
        <v>0.54714285714285715</v>
      </c>
      <c r="K26" t="s">
        <v>164</v>
      </c>
      <c r="L26" t="s">
        <v>4</v>
      </c>
      <c r="M26">
        <v>7660</v>
      </c>
      <c r="N26">
        <v>14000</v>
      </c>
      <c r="O26" t="s">
        <v>42</v>
      </c>
    </row>
    <row r="27" spans="1:15" x14ac:dyDescent="0.25">
      <c r="A27" s="2" t="s">
        <v>2</v>
      </c>
      <c r="B27" s="2" t="s">
        <v>12</v>
      </c>
      <c r="C27" s="2">
        <v>14302</v>
      </c>
      <c r="D27" s="2">
        <v>0.37636842105263157</v>
      </c>
      <c r="E27" t="s">
        <v>2</v>
      </c>
      <c r="F27" t="s">
        <v>12</v>
      </c>
      <c r="G27">
        <v>14302</v>
      </c>
      <c r="H27" t="s">
        <v>389</v>
      </c>
      <c r="I27" s="56">
        <v>44870</v>
      </c>
      <c r="J27" s="1">
        <v>0.37985714285714284</v>
      </c>
      <c r="K27" t="s">
        <v>165</v>
      </c>
      <c r="L27" t="s">
        <v>4</v>
      </c>
      <c r="M27">
        <v>5318</v>
      </c>
      <c r="N27">
        <v>14000</v>
      </c>
      <c r="O27" t="s">
        <v>49</v>
      </c>
    </row>
    <row r="28" spans="1:15" x14ac:dyDescent="0.25">
      <c r="A28" s="2" t="s">
        <v>2</v>
      </c>
      <c r="B28" s="2" t="s">
        <v>91</v>
      </c>
      <c r="C28" s="2">
        <v>24100</v>
      </c>
      <c r="D28" s="2">
        <v>0.63421052631578945</v>
      </c>
      <c r="E28" t="s">
        <v>2</v>
      </c>
      <c r="F28" t="s">
        <v>91</v>
      </c>
      <c r="G28">
        <v>24100</v>
      </c>
      <c r="H28" t="s">
        <v>483</v>
      </c>
      <c r="I28" s="56">
        <v>45882</v>
      </c>
      <c r="J28" s="1">
        <v>3</v>
      </c>
      <c r="K28" t="s">
        <v>162</v>
      </c>
      <c r="L28" t="s">
        <v>4</v>
      </c>
      <c r="M28">
        <v>42000</v>
      </c>
      <c r="N28">
        <v>14000</v>
      </c>
      <c r="O28" t="s">
        <v>71</v>
      </c>
    </row>
    <row r="29" spans="1:15" x14ac:dyDescent="0.25">
      <c r="A29" s="2" t="s">
        <v>2</v>
      </c>
      <c r="B29" s="2" t="s">
        <v>41</v>
      </c>
      <c r="C29" s="2">
        <v>5309</v>
      </c>
      <c r="D29" s="2">
        <v>0.13971052631578948</v>
      </c>
      <c r="E29" t="s">
        <v>2</v>
      </c>
      <c r="F29" t="s">
        <v>41</v>
      </c>
      <c r="G29">
        <v>5309</v>
      </c>
      <c r="H29" t="s">
        <v>387</v>
      </c>
      <c r="I29" s="56">
        <v>45304</v>
      </c>
      <c r="J29" s="1">
        <v>1.5974999999999999</v>
      </c>
      <c r="K29" t="s">
        <v>162</v>
      </c>
      <c r="L29" t="s">
        <v>4</v>
      </c>
      <c r="M29">
        <v>22365</v>
      </c>
      <c r="N29">
        <v>14000</v>
      </c>
      <c r="O29" t="s">
        <v>53</v>
      </c>
    </row>
    <row r="30" spans="1:15" x14ac:dyDescent="0.25">
      <c r="A30" s="2" t="s">
        <v>2</v>
      </c>
      <c r="B30" s="2" t="s">
        <v>66</v>
      </c>
      <c r="C30" s="2">
        <v>5000</v>
      </c>
      <c r="D30" s="2">
        <v>0.13157894736842105</v>
      </c>
      <c r="E30" t="s">
        <v>2</v>
      </c>
      <c r="F30" t="s">
        <v>66</v>
      </c>
      <c r="G30">
        <v>5000</v>
      </c>
      <c r="H30" t="s">
        <v>383</v>
      </c>
      <c r="I30" s="56">
        <v>45457</v>
      </c>
      <c r="J30" s="1">
        <v>2.4585714285714286</v>
      </c>
      <c r="K30" t="s">
        <v>162</v>
      </c>
      <c r="L30" t="s">
        <v>4</v>
      </c>
      <c r="M30">
        <v>34420</v>
      </c>
      <c r="N30">
        <v>14000</v>
      </c>
      <c r="O30" t="s">
        <v>93</v>
      </c>
    </row>
    <row r="31" spans="1:15" x14ac:dyDescent="0.25">
      <c r="A31" s="2" t="s">
        <v>2</v>
      </c>
      <c r="B31" s="2" t="s">
        <v>38</v>
      </c>
      <c r="C31" s="2">
        <v>9379</v>
      </c>
      <c r="D31" s="2">
        <v>0.24681578947368421</v>
      </c>
      <c r="E31" t="s">
        <v>2</v>
      </c>
      <c r="F31" t="s">
        <v>38</v>
      </c>
      <c r="G31">
        <v>9379</v>
      </c>
      <c r="H31" t="s">
        <v>469</v>
      </c>
      <c r="I31" s="56">
        <v>45805</v>
      </c>
      <c r="J31" s="1">
        <v>2.8571428571428574E-5</v>
      </c>
      <c r="K31" t="s">
        <v>165</v>
      </c>
      <c r="L31" t="s">
        <v>4</v>
      </c>
      <c r="M31">
        <v>0.4</v>
      </c>
      <c r="N31">
        <v>14000</v>
      </c>
      <c r="O31" t="s">
        <v>114</v>
      </c>
    </row>
    <row r="32" spans="1:15" x14ac:dyDescent="0.25">
      <c r="A32" s="2" t="s">
        <v>2</v>
      </c>
      <c r="B32" s="2" t="s">
        <v>65</v>
      </c>
      <c r="C32" s="2">
        <v>4966</v>
      </c>
      <c r="D32" s="2">
        <v>0.13068421052631579</v>
      </c>
      <c r="E32" t="s">
        <v>2</v>
      </c>
      <c r="F32" t="s">
        <v>65</v>
      </c>
      <c r="G32">
        <v>4966</v>
      </c>
      <c r="H32" t="s">
        <v>438</v>
      </c>
      <c r="I32" s="56">
        <v>45021</v>
      </c>
      <c r="J32" s="1">
        <v>0.33107142857142857</v>
      </c>
      <c r="K32" t="s">
        <v>165</v>
      </c>
      <c r="L32" t="s">
        <v>4</v>
      </c>
      <c r="M32">
        <v>4635</v>
      </c>
      <c r="N32">
        <v>14000</v>
      </c>
      <c r="O32" t="s">
        <v>74</v>
      </c>
    </row>
    <row r="33" spans="1:15" x14ac:dyDescent="0.25">
      <c r="A33" s="2" t="s">
        <v>2</v>
      </c>
      <c r="B33" s="2" t="s">
        <v>15</v>
      </c>
      <c r="C33" s="2">
        <v>4350</v>
      </c>
      <c r="D33" s="2">
        <v>0.11447368421052631</v>
      </c>
      <c r="E33" t="s">
        <v>2</v>
      </c>
      <c r="F33" t="s">
        <v>15</v>
      </c>
      <c r="G33">
        <v>4350</v>
      </c>
      <c r="H33" t="s">
        <v>410</v>
      </c>
      <c r="I33" s="56">
        <v>44735</v>
      </c>
      <c r="J33" s="1">
        <v>0.37636842105263157</v>
      </c>
      <c r="K33" t="s">
        <v>165</v>
      </c>
      <c r="L33" t="s">
        <v>2</v>
      </c>
      <c r="M33">
        <v>14302</v>
      </c>
      <c r="N33">
        <v>38000</v>
      </c>
      <c r="O33" t="s">
        <v>12</v>
      </c>
    </row>
    <row r="34" spans="1:15" x14ac:dyDescent="0.25">
      <c r="A34" s="2" t="s">
        <v>2</v>
      </c>
      <c r="B34" s="2" t="s">
        <v>16</v>
      </c>
      <c r="C34" s="2">
        <v>18082</v>
      </c>
      <c r="D34" s="2">
        <v>0.4758421052631579</v>
      </c>
      <c r="E34" t="s">
        <v>2</v>
      </c>
      <c r="F34" t="s">
        <v>16</v>
      </c>
      <c r="G34">
        <v>18082</v>
      </c>
      <c r="H34" t="s">
        <v>388</v>
      </c>
      <c r="I34" s="56">
        <v>45334</v>
      </c>
      <c r="J34" s="1">
        <v>0.63421052631578945</v>
      </c>
      <c r="K34" t="s">
        <v>164</v>
      </c>
      <c r="L34" t="s">
        <v>2</v>
      </c>
      <c r="M34">
        <v>24100</v>
      </c>
      <c r="N34">
        <v>38000</v>
      </c>
      <c r="O34" t="s">
        <v>91</v>
      </c>
    </row>
    <row r="35" spans="1:15" x14ac:dyDescent="0.25">
      <c r="A35" s="2" t="s">
        <v>5</v>
      </c>
      <c r="B35" s="2" t="s">
        <v>103</v>
      </c>
      <c r="C35" s="2">
        <v>13360</v>
      </c>
      <c r="D35" s="2">
        <v>0.35157894736842105</v>
      </c>
      <c r="E35" t="s">
        <v>5</v>
      </c>
      <c r="F35" t="s">
        <v>103</v>
      </c>
      <c r="G35">
        <v>13360</v>
      </c>
      <c r="H35" t="s">
        <v>419</v>
      </c>
      <c r="I35" s="56">
        <v>45451</v>
      </c>
      <c r="J35" s="1">
        <v>0.13971052631578948</v>
      </c>
      <c r="K35" t="s">
        <v>165</v>
      </c>
      <c r="L35" t="s">
        <v>2</v>
      </c>
      <c r="M35">
        <v>5309</v>
      </c>
      <c r="N35">
        <v>38000</v>
      </c>
      <c r="O35" t="s">
        <v>41</v>
      </c>
    </row>
    <row r="36" spans="1:15" x14ac:dyDescent="0.25">
      <c r="A36" s="2" t="s">
        <v>5</v>
      </c>
      <c r="B36" s="2" t="s">
        <v>68</v>
      </c>
      <c r="C36" s="2">
        <v>10519</v>
      </c>
      <c r="D36" s="2">
        <v>0.27681578947368424</v>
      </c>
      <c r="E36" t="s">
        <v>5</v>
      </c>
      <c r="F36" t="s">
        <v>68</v>
      </c>
      <c r="G36">
        <v>10519</v>
      </c>
      <c r="H36" t="s">
        <v>440</v>
      </c>
      <c r="I36" s="56">
        <v>45364</v>
      </c>
      <c r="J36" s="1">
        <v>0.13157894736842105</v>
      </c>
      <c r="K36" t="s">
        <v>165</v>
      </c>
      <c r="L36" t="s">
        <v>2</v>
      </c>
      <c r="M36">
        <v>5000</v>
      </c>
      <c r="N36">
        <v>38000</v>
      </c>
      <c r="O36" t="s">
        <v>66</v>
      </c>
    </row>
    <row r="37" spans="1:15" x14ac:dyDescent="0.25">
      <c r="A37" s="2" t="s">
        <v>5</v>
      </c>
      <c r="B37" s="2" t="s">
        <v>72</v>
      </c>
      <c r="C37" s="2">
        <v>14766</v>
      </c>
      <c r="D37" s="2">
        <v>0.38857894736842108</v>
      </c>
      <c r="E37" t="s">
        <v>5</v>
      </c>
      <c r="F37" t="s">
        <v>72</v>
      </c>
      <c r="G37">
        <v>14766</v>
      </c>
      <c r="H37" t="s">
        <v>450</v>
      </c>
      <c r="I37" s="56">
        <v>45084</v>
      </c>
      <c r="J37" s="1">
        <v>0.24681578947368421</v>
      </c>
      <c r="K37" t="s">
        <v>165</v>
      </c>
      <c r="L37" t="s">
        <v>2</v>
      </c>
      <c r="M37">
        <v>9379</v>
      </c>
      <c r="N37">
        <v>38000</v>
      </c>
      <c r="O37" t="s">
        <v>38</v>
      </c>
    </row>
    <row r="38" spans="1:15" x14ac:dyDescent="0.25">
      <c r="A38" s="2" t="s">
        <v>5</v>
      </c>
      <c r="B38" s="2" t="s">
        <v>70</v>
      </c>
      <c r="C38" s="2">
        <v>4272</v>
      </c>
      <c r="D38" s="2">
        <v>0.11242105263157895</v>
      </c>
      <c r="E38" t="s">
        <v>5</v>
      </c>
      <c r="F38" t="s">
        <v>70</v>
      </c>
      <c r="G38">
        <v>4272</v>
      </c>
      <c r="H38" t="s">
        <v>418</v>
      </c>
      <c r="I38" s="56">
        <v>44971</v>
      </c>
      <c r="J38" s="1">
        <v>0.13068421052631579</v>
      </c>
      <c r="K38" t="s">
        <v>165</v>
      </c>
      <c r="L38" t="s">
        <v>2</v>
      </c>
      <c r="M38">
        <v>4966</v>
      </c>
      <c r="N38">
        <v>38000</v>
      </c>
      <c r="O38" t="s">
        <v>65</v>
      </c>
    </row>
    <row r="39" spans="1:15" x14ac:dyDescent="0.25">
      <c r="A39" s="2" t="s">
        <v>5</v>
      </c>
      <c r="B39" s="2" t="s">
        <v>26</v>
      </c>
      <c r="C39" s="2">
        <v>14142</v>
      </c>
      <c r="D39" s="2">
        <v>0.37215789473684213</v>
      </c>
      <c r="E39" t="s">
        <v>5</v>
      </c>
      <c r="F39" t="s">
        <v>26</v>
      </c>
      <c r="G39">
        <v>14142</v>
      </c>
      <c r="H39" t="s">
        <v>391</v>
      </c>
      <c r="I39" s="56">
        <v>44259</v>
      </c>
      <c r="J39" s="1">
        <v>0.11447368421052631</v>
      </c>
      <c r="K39" t="s">
        <v>165</v>
      </c>
      <c r="L39" t="s">
        <v>2</v>
      </c>
      <c r="M39">
        <v>4350</v>
      </c>
      <c r="N39">
        <v>38000</v>
      </c>
      <c r="O39" t="s">
        <v>15</v>
      </c>
    </row>
    <row r="40" spans="1:15" x14ac:dyDescent="0.25">
      <c r="A40" s="2" t="s">
        <v>5</v>
      </c>
      <c r="B40" s="2" t="s">
        <v>79</v>
      </c>
      <c r="C40" s="2">
        <v>4880</v>
      </c>
      <c r="D40" s="2">
        <v>0.12842105263157894</v>
      </c>
      <c r="E40" t="s">
        <v>5</v>
      </c>
      <c r="F40" t="s">
        <v>79</v>
      </c>
      <c r="G40">
        <v>4880</v>
      </c>
      <c r="H40" t="s">
        <v>453</v>
      </c>
      <c r="I40" s="56">
        <v>44566</v>
      </c>
      <c r="J40" s="1">
        <v>0.4758421052631579</v>
      </c>
      <c r="K40" t="s">
        <v>164</v>
      </c>
      <c r="L40" t="s">
        <v>2</v>
      </c>
      <c r="M40">
        <v>18082</v>
      </c>
      <c r="N40">
        <v>38000</v>
      </c>
      <c r="O40" t="s">
        <v>16</v>
      </c>
    </row>
    <row r="41" spans="1:15" x14ac:dyDescent="0.25">
      <c r="A41" s="2" t="s">
        <v>5</v>
      </c>
      <c r="B41" s="2" t="s">
        <v>96</v>
      </c>
      <c r="C41" s="2">
        <v>4143</v>
      </c>
      <c r="D41" s="2">
        <v>0.10902631578947368</v>
      </c>
      <c r="E41" t="s">
        <v>5</v>
      </c>
      <c r="F41" t="s">
        <v>96</v>
      </c>
      <c r="G41">
        <v>4143</v>
      </c>
      <c r="H41" t="s">
        <v>437</v>
      </c>
      <c r="I41" s="56">
        <v>45671</v>
      </c>
      <c r="J41" s="1">
        <v>0.35157894736842105</v>
      </c>
      <c r="K41" t="s">
        <v>165</v>
      </c>
      <c r="L41" t="s">
        <v>5</v>
      </c>
      <c r="M41">
        <v>13360</v>
      </c>
      <c r="N41">
        <v>38000</v>
      </c>
      <c r="O41" t="s">
        <v>103</v>
      </c>
    </row>
    <row r="42" spans="1:15" x14ac:dyDescent="0.25">
      <c r="A42" s="2" t="s">
        <v>5</v>
      </c>
      <c r="B42" s="2" t="s">
        <v>28</v>
      </c>
      <c r="C42" s="2">
        <v>10800</v>
      </c>
      <c r="D42" s="2">
        <v>0.28421052631578947</v>
      </c>
      <c r="E42" t="s">
        <v>5</v>
      </c>
      <c r="F42" t="s">
        <v>28</v>
      </c>
      <c r="G42">
        <v>10800</v>
      </c>
      <c r="H42" t="s">
        <v>478</v>
      </c>
      <c r="I42" s="56">
        <v>45845</v>
      </c>
      <c r="J42" s="1">
        <v>0.27681578947368424</v>
      </c>
      <c r="K42" t="s">
        <v>165</v>
      </c>
      <c r="L42" t="s">
        <v>5</v>
      </c>
      <c r="M42">
        <v>10519</v>
      </c>
      <c r="N42">
        <v>38000</v>
      </c>
      <c r="O42" t="s">
        <v>68</v>
      </c>
    </row>
    <row r="43" spans="1:15" x14ac:dyDescent="0.25">
      <c r="A43" s="2" t="s">
        <v>125</v>
      </c>
      <c r="B43" s="2" t="s">
        <v>99</v>
      </c>
      <c r="C43" s="2">
        <v>10174</v>
      </c>
      <c r="D43" s="2">
        <v>0.11058695652173912</v>
      </c>
      <c r="E43" t="s">
        <v>125</v>
      </c>
      <c r="F43" t="s">
        <v>99</v>
      </c>
      <c r="G43">
        <v>10174</v>
      </c>
      <c r="H43" t="s">
        <v>484</v>
      </c>
      <c r="I43" s="56">
        <v>45896</v>
      </c>
      <c r="J43" s="1">
        <v>0.38857894736842108</v>
      </c>
      <c r="K43" t="s">
        <v>165</v>
      </c>
      <c r="L43" t="s">
        <v>5</v>
      </c>
      <c r="M43">
        <v>14766</v>
      </c>
      <c r="N43">
        <v>38000</v>
      </c>
      <c r="O43" t="s">
        <v>72</v>
      </c>
    </row>
    <row r="44" spans="1:15" x14ac:dyDescent="0.25">
      <c r="A44" s="2" t="s">
        <v>125</v>
      </c>
      <c r="B44" s="2" t="s">
        <v>75</v>
      </c>
      <c r="C44" s="2">
        <v>12050</v>
      </c>
      <c r="D44" s="2">
        <v>0.13097826086956521</v>
      </c>
      <c r="E44" t="s">
        <v>125</v>
      </c>
      <c r="F44" t="s">
        <v>75</v>
      </c>
      <c r="G44">
        <v>12050</v>
      </c>
      <c r="H44" t="s">
        <v>428</v>
      </c>
      <c r="I44" s="56">
        <v>44716</v>
      </c>
      <c r="J44" s="1">
        <v>0.11242105263157895</v>
      </c>
      <c r="K44" t="s">
        <v>165</v>
      </c>
      <c r="L44" t="s">
        <v>5</v>
      </c>
      <c r="M44">
        <v>4272</v>
      </c>
      <c r="N44">
        <v>38000</v>
      </c>
      <c r="O44" t="s">
        <v>70</v>
      </c>
    </row>
    <row r="45" spans="1:15" x14ac:dyDescent="0.25">
      <c r="A45" s="2" t="s">
        <v>125</v>
      </c>
      <c r="B45" s="2" t="s">
        <v>78</v>
      </c>
      <c r="C45" s="2">
        <v>25330.65</v>
      </c>
      <c r="D45" s="2">
        <v>0.27533315217391308</v>
      </c>
      <c r="E45" t="s">
        <v>125</v>
      </c>
      <c r="F45" t="s">
        <v>78</v>
      </c>
      <c r="G45">
        <v>25330.65</v>
      </c>
      <c r="H45" t="s">
        <v>397</v>
      </c>
      <c r="I45" s="56">
        <v>44945</v>
      </c>
      <c r="J45" s="1">
        <v>0.37215789473684213</v>
      </c>
      <c r="K45" t="s">
        <v>165</v>
      </c>
      <c r="L45" t="s">
        <v>5</v>
      </c>
      <c r="M45">
        <v>14142</v>
      </c>
      <c r="N45">
        <v>38000</v>
      </c>
      <c r="O45" t="s">
        <v>26</v>
      </c>
    </row>
    <row r="46" spans="1:15" x14ac:dyDescent="0.25">
      <c r="A46" s="2" t="s">
        <v>125</v>
      </c>
      <c r="B46" s="2" t="s">
        <v>22</v>
      </c>
      <c r="C46" s="2">
        <v>11418</v>
      </c>
      <c r="D46" s="2">
        <v>0.12410869565217392</v>
      </c>
      <c r="E46" t="s">
        <v>125</v>
      </c>
      <c r="F46" t="s">
        <v>22</v>
      </c>
      <c r="G46">
        <v>11418</v>
      </c>
      <c r="H46" t="s">
        <v>442</v>
      </c>
      <c r="I46" s="56">
        <v>45299</v>
      </c>
      <c r="J46" s="1">
        <v>0.12842105263157894</v>
      </c>
      <c r="K46" t="s">
        <v>165</v>
      </c>
      <c r="L46" t="s">
        <v>5</v>
      </c>
      <c r="M46">
        <v>4880</v>
      </c>
      <c r="N46">
        <v>38000</v>
      </c>
      <c r="O46" t="s">
        <v>79</v>
      </c>
    </row>
    <row r="47" spans="1:15" x14ac:dyDescent="0.25">
      <c r="A47" s="2" t="s">
        <v>125</v>
      </c>
      <c r="B47" s="2" t="s">
        <v>31</v>
      </c>
      <c r="C47" s="2">
        <v>19573</v>
      </c>
      <c r="D47" s="2">
        <v>0.21274999999999999</v>
      </c>
      <c r="E47" t="s">
        <v>125</v>
      </c>
      <c r="F47" t="s">
        <v>31</v>
      </c>
      <c r="G47">
        <v>19573</v>
      </c>
      <c r="H47" t="s">
        <v>403</v>
      </c>
      <c r="I47" s="56">
        <v>45334</v>
      </c>
      <c r="J47" s="1">
        <v>0.10902631578947368</v>
      </c>
      <c r="K47" t="s">
        <v>165</v>
      </c>
      <c r="L47" t="s">
        <v>5</v>
      </c>
      <c r="M47">
        <v>4143</v>
      </c>
      <c r="N47">
        <v>38000</v>
      </c>
      <c r="O47" t="s">
        <v>96</v>
      </c>
    </row>
    <row r="48" spans="1:15" x14ac:dyDescent="0.25">
      <c r="A48" s="2" t="s">
        <v>125</v>
      </c>
      <c r="B48" s="2" t="s">
        <v>17</v>
      </c>
      <c r="C48" s="2">
        <v>21200</v>
      </c>
      <c r="D48" s="2">
        <v>0.23043478260869565</v>
      </c>
      <c r="E48" t="s">
        <v>125</v>
      </c>
      <c r="F48" t="s">
        <v>17</v>
      </c>
      <c r="G48">
        <v>21200</v>
      </c>
      <c r="H48" t="s">
        <v>385</v>
      </c>
      <c r="I48" s="56">
        <v>44888</v>
      </c>
      <c r="J48" s="1">
        <v>0.28421052631578947</v>
      </c>
      <c r="K48" t="s">
        <v>165</v>
      </c>
      <c r="L48" t="s">
        <v>5</v>
      </c>
      <c r="M48">
        <v>10800</v>
      </c>
      <c r="N48">
        <v>38000</v>
      </c>
      <c r="O48" t="s">
        <v>28</v>
      </c>
    </row>
    <row r="49" spans="1:15" x14ac:dyDescent="0.25">
      <c r="A49" s="2" t="s">
        <v>125</v>
      </c>
      <c r="B49" s="2" t="s">
        <v>29</v>
      </c>
      <c r="C49" s="2">
        <v>25825</v>
      </c>
      <c r="D49" s="2">
        <v>0.28070652173913041</v>
      </c>
      <c r="E49" t="s">
        <v>125</v>
      </c>
      <c r="F49" t="s">
        <v>29</v>
      </c>
      <c r="G49">
        <v>25825</v>
      </c>
      <c r="H49" t="s">
        <v>416</v>
      </c>
      <c r="I49" s="56">
        <v>44687</v>
      </c>
      <c r="J49" s="1">
        <v>0.11058695652173912</v>
      </c>
      <c r="K49" t="s">
        <v>165</v>
      </c>
      <c r="L49" t="s">
        <v>125</v>
      </c>
      <c r="M49">
        <v>10174</v>
      </c>
      <c r="N49">
        <v>92000</v>
      </c>
      <c r="O49" t="s">
        <v>99</v>
      </c>
    </row>
    <row r="50" spans="1:15" x14ac:dyDescent="0.25">
      <c r="A50" s="2" t="s">
        <v>125</v>
      </c>
      <c r="B50" s="2" t="s">
        <v>36</v>
      </c>
      <c r="C50" s="2">
        <v>6190</v>
      </c>
      <c r="D50" s="2">
        <v>6.7282608695652169E-2</v>
      </c>
      <c r="E50" t="s">
        <v>125</v>
      </c>
      <c r="F50" t="s">
        <v>36</v>
      </c>
      <c r="G50">
        <v>6190</v>
      </c>
      <c r="H50" t="s">
        <v>406</v>
      </c>
      <c r="I50" s="56">
        <v>44941</v>
      </c>
      <c r="J50" s="1">
        <v>0.13097826086956521</v>
      </c>
      <c r="K50" t="s">
        <v>165</v>
      </c>
      <c r="L50" t="s">
        <v>125</v>
      </c>
      <c r="M50">
        <v>12050</v>
      </c>
      <c r="N50">
        <v>92000</v>
      </c>
      <c r="O50" t="s">
        <v>75</v>
      </c>
    </row>
    <row r="51" spans="1:15" x14ac:dyDescent="0.25">
      <c r="A51" s="2" t="s">
        <v>7</v>
      </c>
      <c r="B51" s="2" t="s">
        <v>60</v>
      </c>
      <c r="C51" s="2">
        <v>9116</v>
      </c>
      <c r="D51" s="2">
        <v>9.9086956521739128E-2</v>
      </c>
      <c r="E51" t="s">
        <v>7</v>
      </c>
      <c r="F51" t="s">
        <v>60</v>
      </c>
      <c r="G51">
        <v>9116</v>
      </c>
      <c r="H51" t="s">
        <v>423</v>
      </c>
      <c r="I51" s="56">
        <v>45323</v>
      </c>
      <c r="J51" s="1">
        <v>0.27533315217391308</v>
      </c>
      <c r="K51" t="s">
        <v>165</v>
      </c>
      <c r="L51" t="s">
        <v>125</v>
      </c>
      <c r="M51">
        <v>25330.65</v>
      </c>
      <c r="N51">
        <v>92000</v>
      </c>
      <c r="O51" t="s">
        <v>78</v>
      </c>
    </row>
    <row r="52" spans="1:15" x14ac:dyDescent="0.25">
      <c r="A52" s="2" t="s">
        <v>7</v>
      </c>
      <c r="B52" s="2" t="s">
        <v>69</v>
      </c>
      <c r="C52" s="2">
        <v>9943</v>
      </c>
      <c r="D52" s="2">
        <v>0.10807608695652174</v>
      </c>
      <c r="E52" t="s">
        <v>7</v>
      </c>
      <c r="F52" t="s">
        <v>69</v>
      </c>
      <c r="G52">
        <v>9943</v>
      </c>
      <c r="H52" t="s">
        <v>379</v>
      </c>
      <c r="I52" s="56">
        <v>44461</v>
      </c>
      <c r="J52" s="1">
        <v>0.12410869565217392</v>
      </c>
      <c r="K52" t="s">
        <v>165</v>
      </c>
      <c r="L52" t="s">
        <v>125</v>
      </c>
      <c r="M52">
        <v>11418</v>
      </c>
      <c r="N52">
        <v>92000</v>
      </c>
      <c r="O52" t="s">
        <v>22</v>
      </c>
    </row>
    <row r="53" spans="1:15" x14ac:dyDescent="0.25">
      <c r="A53" s="2" t="s">
        <v>7</v>
      </c>
      <c r="B53" s="2" t="s">
        <v>105</v>
      </c>
      <c r="C53" s="2">
        <v>8184</v>
      </c>
      <c r="D53" s="2">
        <v>8.8956521739130434E-2</v>
      </c>
      <c r="E53" t="s">
        <v>7</v>
      </c>
      <c r="F53" t="s">
        <v>105</v>
      </c>
      <c r="G53">
        <v>8184</v>
      </c>
      <c r="H53" t="s">
        <v>463</v>
      </c>
      <c r="I53" s="56">
        <v>44657</v>
      </c>
      <c r="J53" s="1">
        <v>0.21274999999999999</v>
      </c>
      <c r="K53" t="s">
        <v>165</v>
      </c>
      <c r="L53" t="s">
        <v>125</v>
      </c>
      <c r="M53">
        <v>19573</v>
      </c>
      <c r="N53">
        <v>92000</v>
      </c>
      <c r="O53" t="s">
        <v>31</v>
      </c>
    </row>
    <row r="54" spans="1:15" x14ac:dyDescent="0.25">
      <c r="A54" s="2" t="s">
        <v>7</v>
      </c>
      <c r="B54" s="2" t="s">
        <v>11</v>
      </c>
      <c r="C54" s="2">
        <v>10790.5</v>
      </c>
      <c r="D54" s="2">
        <v>0.11728804347826087</v>
      </c>
      <c r="E54" t="s">
        <v>7</v>
      </c>
      <c r="F54" t="s">
        <v>11</v>
      </c>
      <c r="G54">
        <v>10790.5</v>
      </c>
      <c r="H54" t="s">
        <v>429</v>
      </c>
      <c r="I54" s="56">
        <v>45371</v>
      </c>
      <c r="J54" s="1">
        <v>0.23043478260869565</v>
      </c>
      <c r="K54" t="s">
        <v>165</v>
      </c>
      <c r="L54" t="s">
        <v>125</v>
      </c>
      <c r="M54">
        <v>21200</v>
      </c>
      <c r="N54">
        <v>92000</v>
      </c>
      <c r="O54" t="s">
        <v>17</v>
      </c>
    </row>
    <row r="55" spans="1:15" x14ac:dyDescent="0.25">
      <c r="A55" s="2" t="s">
        <v>7</v>
      </c>
      <c r="B55" s="2" t="s">
        <v>20</v>
      </c>
      <c r="C55" s="2">
        <v>28830</v>
      </c>
      <c r="D55" s="2">
        <v>0.31336956521739129</v>
      </c>
      <c r="E55" t="s">
        <v>7</v>
      </c>
      <c r="F55" t="s">
        <v>20</v>
      </c>
      <c r="G55">
        <v>28830</v>
      </c>
      <c r="H55" t="s">
        <v>427</v>
      </c>
      <c r="I55" s="56">
        <v>45142</v>
      </c>
      <c r="J55" s="1">
        <v>0.28070652173913041</v>
      </c>
      <c r="K55" t="s">
        <v>165</v>
      </c>
      <c r="L55" t="s">
        <v>125</v>
      </c>
      <c r="M55">
        <v>25825</v>
      </c>
      <c r="N55">
        <v>92000</v>
      </c>
      <c r="O55" t="s">
        <v>29</v>
      </c>
    </row>
    <row r="56" spans="1:15" x14ac:dyDescent="0.25">
      <c r="A56" s="2" t="s">
        <v>7</v>
      </c>
      <c r="B56" s="2" t="s">
        <v>58</v>
      </c>
      <c r="C56" s="2">
        <v>5965</v>
      </c>
      <c r="D56" s="2">
        <v>6.4836956521739125E-2</v>
      </c>
      <c r="E56" t="s">
        <v>7</v>
      </c>
      <c r="F56" t="s">
        <v>58</v>
      </c>
      <c r="G56">
        <v>5965</v>
      </c>
      <c r="H56" t="s">
        <v>441</v>
      </c>
      <c r="I56" s="56">
        <v>43035</v>
      </c>
      <c r="J56" s="1">
        <v>6.7282608695652169E-2</v>
      </c>
      <c r="K56" t="s">
        <v>165</v>
      </c>
      <c r="L56" t="s">
        <v>125</v>
      </c>
      <c r="M56">
        <v>6190</v>
      </c>
      <c r="N56">
        <v>92000</v>
      </c>
      <c r="O56" t="s">
        <v>36</v>
      </c>
    </row>
    <row r="57" spans="1:15" x14ac:dyDescent="0.25">
      <c r="A57" s="2" t="s">
        <v>7</v>
      </c>
      <c r="B57" s="2" t="s">
        <v>18</v>
      </c>
      <c r="C57" s="2">
        <v>8710</v>
      </c>
      <c r="D57" s="2">
        <v>9.4673913043478261E-2</v>
      </c>
      <c r="E57" t="s">
        <v>7</v>
      </c>
      <c r="F57" t="s">
        <v>18</v>
      </c>
      <c r="G57">
        <v>8710</v>
      </c>
      <c r="H57" t="s">
        <v>431</v>
      </c>
      <c r="I57" s="56">
        <v>45133</v>
      </c>
      <c r="J57" s="1">
        <v>9.9086956521739128E-2</v>
      </c>
      <c r="K57" t="s">
        <v>165</v>
      </c>
      <c r="L57" t="s">
        <v>7</v>
      </c>
      <c r="M57">
        <v>9116</v>
      </c>
      <c r="N57">
        <v>92000</v>
      </c>
      <c r="O57" t="s">
        <v>60</v>
      </c>
    </row>
    <row r="58" spans="1:15" x14ac:dyDescent="0.25">
      <c r="A58" s="2" t="s">
        <v>7</v>
      </c>
      <c r="B58" s="2" t="s">
        <v>110</v>
      </c>
      <c r="C58" s="2">
        <v>6148</v>
      </c>
      <c r="D58" s="2">
        <v>6.6826086956521744E-2</v>
      </c>
      <c r="E58" t="s">
        <v>7</v>
      </c>
      <c r="F58" t="s">
        <v>110</v>
      </c>
      <c r="G58">
        <v>6148</v>
      </c>
      <c r="H58" t="s">
        <v>454</v>
      </c>
      <c r="I58" s="56">
        <v>44993</v>
      </c>
      <c r="J58" s="1">
        <v>0.10807608695652174</v>
      </c>
      <c r="K58" t="s">
        <v>165</v>
      </c>
      <c r="L58" t="s">
        <v>7</v>
      </c>
      <c r="M58">
        <v>9943</v>
      </c>
      <c r="N58">
        <v>92000</v>
      </c>
      <c r="O58" t="s">
        <v>69</v>
      </c>
    </row>
    <row r="59" spans="1:15" x14ac:dyDescent="0.25">
      <c r="A59" s="2" t="s">
        <v>7</v>
      </c>
      <c r="B59" s="2" t="s">
        <v>19</v>
      </c>
      <c r="C59" s="2">
        <v>30020</v>
      </c>
      <c r="D59" s="2">
        <v>0.32630434782608697</v>
      </c>
      <c r="E59" t="s">
        <v>7</v>
      </c>
      <c r="F59" t="s">
        <v>19</v>
      </c>
      <c r="G59">
        <v>30020</v>
      </c>
      <c r="H59" t="s">
        <v>399</v>
      </c>
      <c r="I59" s="56">
        <v>44673</v>
      </c>
      <c r="J59" s="1">
        <v>8.8956521739130434E-2</v>
      </c>
      <c r="K59" t="s">
        <v>165</v>
      </c>
      <c r="L59" t="s">
        <v>7</v>
      </c>
      <c r="M59">
        <v>8184</v>
      </c>
      <c r="N59">
        <v>92000</v>
      </c>
      <c r="O59" t="s">
        <v>105</v>
      </c>
    </row>
    <row r="60" spans="1:15" x14ac:dyDescent="0.25">
      <c r="A60" s="2" t="s">
        <v>7</v>
      </c>
      <c r="B60" s="2" t="s">
        <v>21</v>
      </c>
      <c r="C60" s="2">
        <v>10930</v>
      </c>
      <c r="D60" s="2">
        <v>0.11880434782608695</v>
      </c>
      <c r="E60" t="s">
        <v>7</v>
      </c>
      <c r="F60" t="s">
        <v>21</v>
      </c>
      <c r="G60">
        <v>10930</v>
      </c>
      <c r="H60" t="s">
        <v>409</v>
      </c>
      <c r="I60" s="56">
        <v>44301</v>
      </c>
      <c r="J60" s="1">
        <v>0.11728804347826087</v>
      </c>
      <c r="K60" t="s">
        <v>165</v>
      </c>
      <c r="L60" t="s">
        <v>7</v>
      </c>
      <c r="M60">
        <v>10790.5</v>
      </c>
      <c r="N60">
        <v>92000</v>
      </c>
      <c r="O60" t="s">
        <v>11</v>
      </c>
    </row>
    <row r="61" spans="1:15" x14ac:dyDescent="0.25">
      <c r="A61" s="2" t="s">
        <v>8</v>
      </c>
      <c r="B61" s="2" t="s">
        <v>81</v>
      </c>
      <c r="C61" s="2">
        <v>42400.5</v>
      </c>
      <c r="D61" s="2">
        <v>0.56533999999999995</v>
      </c>
      <c r="E61" t="s">
        <v>8</v>
      </c>
      <c r="F61" t="s">
        <v>81</v>
      </c>
      <c r="G61">
        <v>42400.5</v>
      </c>
      <c r="H61" t="s">
        <v>425</v>
      </c>
      <c r="I61" s="56">
        <v>45506</v>
      </c>
      <c r="J61" s="1">
        <v>0.31336956521739129</v>
      </c>
      <c r="K61" t="s">
        <v>165</v>
      </c>
      <c r="L61" t="s">
        <v>7</v>
      </c>
      <c r="M61">
        <v>28830</v>
      </c>
      <c r="N61">
        <v>92000</v>
      </c>
      <c r="O61" t="s">
        <v>20</v>
      </c>
    </row>
    <row r="62" spans="1:15" x14ac:dyDescent="0.25">
      <c r="A62" s="2" t="s">
        <v>8</v>
      </c>
      <c r="B62" s="2" t="s">
        <v>61</v>
      </c>
      <c r="C62" s="2">
        <v>8809</v>
      </c>
      <c r="D62" s="2">
        <v>0.11745333333333334</v>
      </c>
      <c r="E62" t="s">
        <v>8</v>
      </c>
      <c r="F62" t="s">
        <v>61</v>
      </c>
      <c r="G62">
        <v>8809</v>
      </c>
      <c r="H62" t="s">
        <v>411</v>
      </c>
      <c r="I62" s="56">
        <v>44909</v>
      </c>
      <c r="J62" s="1">
        <v>6.4836956521739125E-2</v>
      </c>
      <c r="K62" t="s">
        <v>165</v>
      </c>
      <c r="L62" t="s">
        <v>7</v>
      </c>
      <c r="M62">
        <v>5965</v>
      </c>
      <c r="N62">
        <v>92000</v>
      </c>
      <c r="O62" t="s">
        <v>58</v>
      </c>
    </row>
    <row r="63" spans="1:15" x14ac:dyDescent="0.25">
      <c r="A63" s="2" t="s">
        <v>8</v>
      </c>
      <c r="B63" s="2" t="s">
        <v>10</v>
      </c>
      <c r="C63" s="2">
        <v>25401</v>
      </c>
      <c r="D63" s="2">
        <v>0.33867999999999998</v>
      </c>
      <c r="E63" t="s">
        <v>8</v>
      </c>
      <c r="F63" t="s">
        <v>10</v>
      </c>
      <c r="G63">
        <v>25401</v>
      </c>
      <c r="H63" t="s">
        <v>449</v>
      </c>
      <c r="I63" s="56">
        <v>44706</v>
      </c>
      <c r="J63" s="1">
        <v>9.4673913043478261E-2</v>
      </c>
      <c r="K63" t="s">
        <v>165</v>
      </c>
      <c r="L63" t="s">
        <v>7</v>
      </c>
      <c r="M63">
        <v>8710</v>
      </c>
      <c r="N63">
        <v>92000</v>
      </c>
      <c r="O63" t="s">
        <v>18</v>
      </c>
    </row>
    <row r="64" spans="1:15" x14ac:dyDescent="0.25">
      <c r="A64" s="2" t="s">
        <v>8</v>
      </c>
      <c r="B64" s="2" t="s">
        <v>62</v>
      </c>
      <c r="C64" s="2">
        <v>21534</v>
      </c>
      <c r="D64" s="2">
        <v>0.28711999999999999</v>
      </c>
      <c r="E64" t="s">
        <v>8</v>
      </c>
      <c r="F64" t="s">
        <v>62</v>
      </c>
      <c r="G64">
        <v>21534</v>
      </c>
      <c r="H64" t="s">
        <v>386</v>
      </c>
      <c r="I64" s="56">
        <v>45334</v>
      </c>
      <c r="J64" s="1">
        <v>0.43914285714285717</v>
      </c>
      <c r="K64" t="s">
        <v>164</v>
      </c>
      <c r="L64" t="s">
        <v>4</v>
      </c>
      <c r="M64">
        <v>6148</v>
      </c>
      <c r="N64">
        <v>14000</v>
      </c>
      <c r="O64" t="s">
        <v>110</v>
      </c>
    </row>
    <row r="65" spans="1:15" x14ac:dyDescent="0.25">
      <c r="A65" s="2" t="s">
        <v>8</v>
      </c>
      <c r="B65" s="2" t="s">
        <v>59</v>
      </c>
      <c r="C65" s="2">
        <v>27723</v>
      </c>
      <c r="D65" s="2">
        <v>0.36964000000000002</v>
      </c>
      <c r="E65" t="s">
        <v>8</v>
      </c>
      <c r="F65" t="s">
        <v>59</v>
      </c>
      <c r="G65">
        <v>27723</v>
      </c>
      <c r="H65" t="s">
        <v>430</v>
      </c>
      <c r="I65" s="56">
        <v>45348</v>
      </c>
      <c r="J65" s="1">
        <v>0.32630434782608697</v>
      </c>
      <c r="K65" t="s">
        <v>165</v>
      </c>
      <c r="L65" t="s">
        <v>7</v>
      </c>
      <c r="M65">
        <v>30020</v>
      </c>
      <c r="N65">
        <v>92000</v>
      </c>
      <c r="O65" t="s">
        <v>19</v>
      </c>
    </row>
    <row r="66" spans="1:15" x14ac:dyDescent="0.25">
      <c r="A66" s="2" t="s">
        <v>8</v>
      </c>
      <c r="B66" s="2" t="s">
        <v>76</v>
      </c>
      <c r="C66" s="2">
        <v>33946</v>
      </c>
      <c r="D66" s="2">
        <v>0.45261333333333331</v>
      </c>
      <c r="E66" t="s">
        <v>8</v>
      </c>
      <c r="F66" t="s">
        <v>76</v>
      </c>
      <c r="G66">
        <v>33946</v>
      </c>
      <c r="H66" t="s">
        <v>408</v>
      </c>
      <c r="I66" s="56">
        <v>44819</v>
      </c>
      <c r="J66" s="1">
        <v>0.11880434782608695</v>
      </c>
      <c r="K66" t="s">
        <v>165</v>
      </c>
      <c r="L66" t="s">
        <v>7</v>
      </c>
      <c r="M66">
        <v>10930</v>
      </c>
      <c r="N66">
        <v>92000</v>
      </c>
      <c r="O66" t="s">
        <v>21</v>
      </c>
    </row>
    <row r="67" spans="1:15" x14ac:dyDescent="0.25">
      <c r="A67" s="2" t="s">
        <v>8</v>
      </c>
      <c r="B67" s="2" t="s">
        <v>113</v>
      </c>
      <c r="C67" s="2">
        <v>4168</v>
      </c>
      <c r="D67" s="2">
        <v>5.5573333333333336E-2</v>
      </c>
      <c r="E67" t="s">
        <v>8</v>
      </c>
      <c r="F67" t="s">
        <v>113</v>
      </c>
      <c r="G67">
        <v>4168</v>
      </c>
      <c r="H67" t="s">
        <v>491</v>
      </c>
      <c r="I67" s="56">
        <v>45911</v>
      </c>
      <c r="J67" s="1">
        <v>0.56533999999999995</v>
      </c>
      <c r="K67" t="s">
        <v>164</v>
      </c>
      <c r="L67" t="s">
        <v>8</v>
      </c>
      <c r="M67">
        <v>42400.5</v>
      </c>
      <c r="N67">
        <v>75000</v>
      </c>
      <c r="O67" t="s">
        <v>81</v>
      </c>
    </row>
    <row r="68" spans="1:15" x14ac:dyDescent="0.25">
      <c r="A68" s="2" t="s">
        <v>8</v>
      </c>
      <c r="B68" s="2" t="s">
        <v>92</v>
      </c>
      <c r="C68" s="2">
        <v>9765</v>
      </c>
      <c r="D68" s="2">
        <v>0.13020000000000001</v>
      </c>
      <c r="E68" t="s">
        <v>8</v>
      </c>
      <c r="F68" t="s">
        <v>92</v>
      </c>
      <c r="G68">
        <v>9765</v>
      </c>
      <c r="H68" t="s">
        <v>486</v>
      </c>
      <c r="I68" s="56">
        <v>45399</v>
      </c>
      <c r="J68" s="1">
        <v>0.11745333333333334</v>
      </c>
      <c r="K68" t="s">
        <v>165</v>
      </c>
      <c r="L68" t="s">
        <v>8</v>
      </c>
      <c r="M68">
        <v>8809</v>
      </c>
      <c r="N68">
        <v>75000</v>
      </c>
      <c r="O68" t="s">
        <v>61</v>
      </c>
    </row>
    <row r="69" spans="1:15" x14ac:dyDescent="0.25">
      <c r="A69" s="2" t="s">
        <v>8</v>
      </c>
      <c r="B69" s="2" t="s">
        <v>46</v>
      </c>
      <c r="C69" s="2">
        <v>8772</v>
      </c>
      <c r="D69" s="2">
        <v>0.11695999999999999</v>
      </c>
      <c r="E69" t="s">
        <v>8</v>
      </c>
      <c r="F69" t="s">
        <v>46</v>
      </c>
      <c r="G69">
        <v>8772</v>
      </c>
      <c r="H69" t="s">
        <v>394</v>
      </c>
      <c r="I69" s="56">
        <v>45344</v>
      </c>
      <c r="J69" s="1">
        <v>0.33867999999999998</v>
      </c>
      <c r="K69" t="s">
        <v>165</v>
      </c>
      <c r="L69" t="s">
        <v>8</v>
      </c>
      <c r="M69">
        <v>25401</v>
      </c>
      <c r="N69">
        <v>75000</v>
      </c>
      <c r="O69" t="s">
        <v>10</v>
      </c>
    </row>
    <row r="70" spans="1:15" x14ac:dyDescent="0.25">
      <c r="A70" s="2" t="s">
        <v>8</v>
      </c>
      <c r="B70" s="2" t="s">
        <v>25</v>
      </c>
      <c r="C70" s="2">
        <v>12146</v>
      </c>
      <c r="D70" s="2">
        <v>0.16194666666666666</v>
      </c>
      <c r="E70" t="s">
        <v>8</v>
      </c>
      <c r="F70" t="s">
        <v>25</v>
      </c>
      <c r="G70">
        <v>12146</v>
      </c>
      <c r="H70" t="s">
        <v>446</v>
      </c>
      <c r="I70" s="56">
        <v>44820</v>
      </c>
      <c r="J70" s="1">
        <v>0.28711999999999999</v>
      </c>
      <c r="K70" t="s">
        <v>165</v>
      </c>
      <c r="L70" t="s">
        <v>8</v>
      </c>
      <c r="M70">
        <v>21534</v>
      </c>
      <c r="N70">
        <v>75000</v>
      </c>
      <c r="O70" t="s">
        <v>62</v>
      </c>
    </row>
    <row r="71" spans="1:15" x14ac:dyDescent="0.25">
      <c r="A71" s="2" t="s">
        <v>9</v>
      </c>
      <c r="B71" s="2" t="s">
        <v>24</v>
      </c>
      <c r="C71" s="2">
        <v>25269</v>
      </c>
      <c r="D71" s="2">
        <v>1.2032857142857143</v>
      </c>
      <c r="E71" t="s">
        <v>9</v>
      </c>
      <c r="F71" t="s">
        <v>24</v>
      </c>
      <c r="G71">
        <v>25269</v>
      </c>
      <c r="H71" t="s">
        <v>434</v>
      </c>
      <c r="I71" s="56">
        <v>45334</v>
      </c>
      <c r="J71" s="1">
        <v>0.36964000000000002</v>
      </c>
      <c r="K71" t="s">
        <v>165</v>
      </c>
      <c r="L71" t="s">
        <v>8</v>
      </c>
      <c r="M71">
        <v>27723</v>
      </c>
      <c r="N71">
        <v>75000</v>
      </c>
      <c r="O71" t="s">
        <v>59</v>
      </c>
    </row>
    <row r="72" spans="1:15" x14ac:dyDescent="0.25">
      <c r="A72" s="2" t="s">
        <v>9</v>
      </c>
      <c r="B72" s="2" t="s">
        <v>50</v>
      </c>
      <c r="C72" s="2">
        <v>13256</v>
      </c>
      <c r="D72" s="2">
        <v>0.63123809523809526</v>
      </c>
      <c r="E72" t="s">
        <v>9</v>
      </c>
      <c r="F72" t="s">
        <v>50</v>
      </c>
      <c r="G72">
        <v>13256</v>
      </c>
      <c r="H72" t="s">
        <v>402</v>
      </c>
      <c r="I72" s="56">
        <v>45523</v>
      </c>
      <c r="J72" s="1">
        <v>0.45261333333333331</v>
      </c>
      <c r="K72" t="s">
        <v>164</v>
      </c>
      <c r="L72" t="s">
        <v>8</v>
      </c>
      <c r="M72">
        <v>33946</v>
      </c>
      <c r="N72">
        <v>75000</v>
      </c>
      <c r="O72" t="s">
        <v>76</v>
      </c>
    </row>
    <row r="73" spans="1:15" x14ac:dyDescent="0.25">
      <c r="A73" s="2" t="s">
        <v>9</v>
      </c>
      <c r="B73" s="2" t="s">
        <v>77</v>
      </c>
      <c r="C73" s="2">
        <v>7869</v>
      </c>
      <c r="D73" s="2">
        <v>0.37471428571428572</v>
      </c>
      <c r="E73" t="s">
        <v>9</v>
      </c>
      <c r="F73" t="s">
        <v>77</v>
      </c>
      <c r="G73">
        <v>7869</v>
      </c>
      <c r="H73" t="s">
        <v>393</v>
      </c>
      <c r="I73" s="56">
        <v>44840</v>
      </c>
      <c r="J73" s="1">
        <v>5.5573333333333336E-2</v>
      </c>
      <c r="K73" t="s">
        <v>165</v>
      </c>
      <c r="L73" t="s">
        <v>8</v>
      </c>
      <c r="M73">
        <v>4168</v>
      </c>
      <c r="N73">
        <v>75000</v>
      </c>
      <c r="O73" t="s">
        <v>113</v>
      </c>
    </row>
    <row r="74" spans="1:15" x14ac:dyDescent="0.25">
      <c r="A74" s="2" t="s">
        <v>9</v>
      </c>
      <c r="B74" s="2" t="s">
        <v>51</v>
      </c>
      <c r="C74" s="2">
        <v>5977</v>
      </c>
      <c r="D74" s="2">
        <v>0.2846190476190476</v>
      </c>
      <c r="E74" t="s">
        <v>9</v>
      </c>
      <c r="F74" t="s">
        <v>51</v>
      </c>
      <c r="G74">
        <v>5977</v>
      </c>
      <c r="H74" t="s">
        <v>413</v>
      </c>
      <c r="I74" s="56">
        <v>45674</v>
      </c>
      <c r="J74" s="1">
        <v>0.13020000000000001</v>
      </c>
      <c r="K74" t="s">
        <v>165</v>
      </c>
      <c r="L74" t="s">
        <v>8</v>
      </c>
      <c r="M74">
        <v>9765</v>
      </c>
      <c r="N74">
        <v>75000</v>
      </c>
      <c r="O74" t="s">
        <v>92</v>
      </c>
    </row>
    <row r="75" spans="1:15" x14ac:dyDescent="0.25">
      <c r="A75" s="2" t="s">
        <v>9</v>
      </c>
      <c r="B75" s="2" t="s">
        <v>34</v>
      </c>
      <c r="C75" s="2">
        <v>17892</v>
      </c>
      <c r="D75" s="2">
        <v>0.85199999999999998</v>
      </c>
      <c r="E75" t="s">
        <v>9</v>
      </c>
      <c r="F75" t="s">
        <v>34</v>
      </c>
      <c r="G75">
        <v>17892</v>
      </c>
      <c r="H75" t="s">
        <v>407</v>
      </c>
      <c r="I75" s="56">
        <v>45175</v>
      </c>
      <c r="J75" s="1">
        <v>0.11695999999999999</v>
      </c>
      <c r="K75" t="s">
        <v>165</v>
      </c>
      <c r="L75" t="s">
        <v>8</v>
      </c>
      <c r="M75">
        <v>8772</v>
      </c>
      <c r="N75">
        <v>75000</v>
      </c>
      <c r="O75" t="s">
        <v>46</v>
      </c>
    </row>
    <row r="76" spans="1:15" x14ac:dyDescent="0.25">
      <c r="A76" s="2" t="s">
        <v>9</v>
      </c>
      <c r="B76" s="2" t="s">
        <v>19</v>
      </c>
      <c r="C76" s="2">
        <v>30020</v>
      </c>
      <c r="D76" s="2">
        <v>1.4295238095238094</v>
      </c>
      <c r="E76" t="s">
        <v>9</v>
      </c>
      <c r="F76" t="s">
        <v>19</v>
      </c>
      <c r="G76">
        <v>30020</v>
      </c>
      <c r="H76" t="s">
        <v>399</v>
      </c>
      <c r="I76" s="56">
        <v>44673</v>
      </c>
      <c r="J76" s="1">
        <v>0.16194666666666666</v>
      </c>
      <c r="K76" t="s">
        <v>165</v>
      </c>
      <c r="L76" t="s">
        <v>8</v>
      </c>
      <c r="M76">
        <v>12146</v>
      </c>
      <c r="N76">
        <v>75000</v>
      </c>
      <c r="O76" t="s">
        <v>25</v>
      </c>
    </row>
    <row r="77" spans="1:15" x14ac:dyDescent="0.25">
      <c r="A77" s="2" t="s">
        <v>9</v>
      </c>
      <c r="B77" s="2" t="s">
        <v>54</v>
      </c>
      <c r="C77" s="2">
        <v>2112</v>
      </c>
      <c r="D77" s="2">
        <v>0.10057142857142858</v>
      </c>
      <c r="E77" t="s">
        <v>9</v>
      </c>
      <c r="F77" t="s">
        <v>54</v>
      </c>
      <c r="G77">
        <v>2112</v>
      </c>
      <c r="H77" t="s">
        <v>474</v>
      </c>
      <c r="I77" s="56">
        <v>45819</v>
      </c>
      <c r="J77" s="1">
        <v>1.2032857142857143</v>
      </c>
      <c r="K77" t="s">
        <v>162</v>
      </c>
      <c r="L77" t="s">
        <v>9</v>
      </c>
      <c r="M77">
        <v>25269</v>
      </c>
      <c r="N77">
        <v>21000</v>
      </c>
      <c r="O77" t="s">
        <v>24</v>
      </c>
    </row>
    <row r="78" spans="1:15" x14ac:dyDescent="0.25">
      <c r="A78" s="2" t="s">
        <v>9</v>
      </c>
      <c r="B78" s="2" t="s">
        <v>80</v>
      </c>
      <c r="C78" s="2">
        <v>1640</v>
      </c>
      <c r="D78" s="2">
        <v>7.8095238095238093E-2</v>
      </c>
      <c r="E78" t="s">
        <v>9</v>
      </c>
      <c r="F78" t="s">
        <v>80</v>
      </c>
      <c r="G78">
        <v>1640</v>
      </c>
      <c r="H78" t="s">
        <v>433</v>
      </c>
      <c r="I78" s="56">
        <v>45285</v>
      </c>
      <c r="J78" s="1">
        <v>0.63123809523809526</v>
      </c>
      <c r="K78" t="s">
        <v>164</v>
      </c>
      <c r="L78" t="s">
        <v>9</v>
      </c>
      <c r="M78">
        <v>13256</v>
      </c>
      <c r="N78">
        <v>21000</v>
      </c>
      <c r="O78" t="s">
        <v>50</v>
      </c>
    </row>
    <row r="79" spans="1:15" x14ac:dyDescent="0.25">
      <c r="A79" s="2" t="s">
        <v>9</v>
      </c>
      <c r="B79" s="2" t="s">
        <v>37</v>
      </c>
      <c r="C79" s="2">
        <v>11921</v>
      </c>
      <c r="D79" s="2">
        <v>0.56766666666666665</v>
      </c>
      <c r="E79" t="s">
        <v>9</v>
      </c>
      <c r="F79" t="s">
        <v>37</v>
      </c>
      <c r="G79">
        <v>11921</v>
      </c>
      <c r="H79" t="s">
        <v>400</v>
      </c>
      <c r="I79" s="56">
        <v>43132</v>
      </c>
      <c r="J79" s="1">
        <v>0.37471428571428572</v>
      </c>
      <c r="K79" t="s">
        <v>165</v>
      </c>
      <c r="L79" t="s">
        <v>9</v>
      </c>
      <c r="M79">
        <v>7869</v>
      </c>
      <c r="N79">
        <v>21000</v>
      </c>
      <c r="O79" t="s">
        <v>77</v>
      </c>
    </row>
    <row r="80" spans="1:15" x14ac:dyDescent="0.25">
      <c r="A80" s="2" t="s">
        <v>9</v>
      </c>
      <c r="B80" s="2" t="s">
        <v>100</v>
      </c>
      <c r="C80" s="2">
        <v>5720</v>
      </c>
      <c r="D80" s="2">
        <v>0.27238095238095239</v>
      </c>
      <c r="E80" t="s">
        <v>9</v>
      </c>
      <c r="F80" t="s">
        <v>100</v>
      </c>
      <c r="G80">
        <v>5720</v>
      </c>
      <c r="H80" t="s">
        <v>489</v>
      </c>
      <c r="I80" s="56">
        <v>45895</v>
      </c>
      <c r="J80" s="1">
        <v>0.2846190476190476</v>
      </c>
      <c r="K80" t="s">
        <v>165</v>
      </c>
      <c r="L80" t="s">
        <v>9</v>
      </c>
      <c r="M80">
        <v>5977</v>
      </c>
      <c r="N80">
        <v>21000</v>
      </c>
      <c r="O80" t="s">
        <v>51</v>
      </c>
    </row>
    <row r="81" spans="10:15" x14ac:dyDescent="0.25">
      <c r="J81" s="1">
        <v>0.85199999999999998</v>
      </c>
      <c r="K81" t="s">
        <v>163</v>
      </c>
      <c r="L81" t="s">
        <v>9</v>
      </c>
      <c r="M81">
        <v>17892</v>
      </c>
      <c r="N81">
        <v>21000</v>
      </c>
      <c r="O81" t="s">
        <v>34</v>
      </c>
    </row>
    <row r="82" spans="10:15" x14ac:dyDescent="0.25">
      <c r="J82" s="1">
        <v>0.32630434782608697</v>
      </c>
      <c r="K82" t="s">
        <v>165</v>
      </c>
      <c r="L82" t="s">
        <v>7</v>
      </c>
      <c r="M82">
        <v>30020</v>
      </c>
      <c r="N82">
        <v>92000</v>
      </c>
      <c r="O82" t="s">
        <v>19</v>
      </c>
    </row>
    <row r="83" spans="10:15" x14ac:dyDescent="0.25">
      <c r="J83" s="1">
        <v>0.10057142857142858</v>
      </c>
      <c r="K83" t="s">
        <v>165</v>
      </c>
      <c r="L83" t="s">
        <v>9</v>
      </c>
      <c r="M83">
        <v>2112</v>
      </c>
      <c r="N83">
        <v>21000</v>
      </c>
      <c r="O83" t="s">
        <v>54</v>
      </c>
    </row>
    <row r="84" spans="10:15" x14ac:dyDescent="0.25">
      <c r="J84" s="1">
        <v>7.8095238095238093E-2</v>
      </c>
      <c r="K84" t="s">
        <v>165</v>
      </c>
      <c r="L84" t="s">
        <v>9</v>
      </c>
      <c r="M84">
        <v>1640</v>
      </c>
      <c r="N84">
        <v>21000</v>
      </c>
      <c r="O84" t="s">
        <v>80</v>
      </c>
    </row>
    <row r="85" spans="10:15" x14ac:dyDescent="0.25">
      <c r="J85" s="1">
        <v>0.56766666666666665</v>
      </c>
      <c r="K85" t="s">
        <v>164</v>
      </c>
      <c r="L85" t="s">
        <v>9</v>
      </c>
      <c r="M85">
        <v>11921</v>
      </c>
      <c r="N85">
        <v>21000</v>
      </c>
      <c r="O85" t="s">
        <v>37</v>
      </c>
    </row>
    <row r="86" spans="10:15" x14ac:dyDescent="0.25">
      <c r="J86" s="1">
        <v>0.27238095238095239</v>
      </c>
      <c r="K86" t="s">
        <v>165</v>
      </c>
      <c r="L86" t="s">
        <v>9</v>
      </c>
      <c r="M86">
        <v>5720</v>
      </c>
      <c r="N86">
        <v>21000</v>
      </c>
      <c r="O86" t="s">
        <v>100</v>
      </c>
    </row>
  </sheetData>
  <sheetProtection formatCells="0" insertColumns="0" insertRows="0" deleteColumns="0" deleteRows="0" sort="0" autoFilter="0" pivotTables="0"/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E8E0-BE0C-412C-AFB8-5D9F131A6A72}">
  <dimension ref="A1:CI159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13" bestFit="1" customWidth="1"/>
    <col min="2" max="2" width="30.28515625" bestFit="1" customWidth="1"/>
    <col min="3" max="3" width="13" bestFit="1" customWidth="1"/>
    <col min="4" max="4" width="16" bestFit="1" customWidth="1"/>
    <col min="5" max="5" width="16" customWidth="1"/>
    <col min="6" max="6" width="30.28515625" customWidth="1"/>
    <col min="7" max="7" width="17.85546875" bestFit="1" customWidth="1"/>
    <col min="8" max="8" width="11.42578125" customWidth="1"/>
    <col min="9" max="9" width="27.85546875" style="56" bestFit="1" customWidth="1"/>
    <col min="10" max="13" width="11.42578125" customWidth="1"/>
    <col min="14" max="14" width="17.7109375" bestFit="1" customWidth="1"/>
    <col min="15" max="15" width="20.28515625" bestFit="1" customWidth="1"/>
    <col min="16" max="16" width="11.42578125" customWidth="1"/>
    <col min="18" max="18" width="30.28515625" bestFit="1" customWidth="1"/>
    <col min="22" max="29" width="11.7109375" customWidth="1"/>
    <col min="30" max="52" width="12.7109375" customWidth="1"/>
    <col min="53" max="53" width="20" bestFit="1" customWidth="1"/>
    <col min="54" max="54" width="15.140625" customWidth="1"/>
    <col min="55" max="55" width="14.42578125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69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67" t="s">
        <v>6</v>
      </c>
      <c r="B3" s="66" t="s">
        <v>17</v>
      </c>
      <c r="C3" s="67"/>
      <c r="D3" s="67"/>
      <c r="E3" s="67" t="s">
        <v>6</v>
      </c>
      <c r="F3" s="66" t="s">
        <v>17</v>
      </c>
      <c r="G3" s="66"/>
      <c r="H3" s="66" t="s">
        <v>385</v>
      </c>
      <c r="I3" s="68">
        <v>44886</v>
      </c>
      <c r="J3" s="68" t="s">
        <v>500</v>
      </c>
      <c r="K3" s="56"/>
      <c r="L3" s="56"/>
      <c r="M3" s="33">
        <v>2025</v>
      </c>
      <c r="N3" s="33" t="s">
        <v>148</v>
      </c>
      <c r="O3" s="33">
        <v>22</v>
      </c>
    </row>
    <row r="4" spans="1:87" x14ac:dyDescent="0.25">
      <c r="A4" s="67" t="s">
        <v>9</v>
      </c>
      <c r="B4" s="66" t="s">
        <v>37</v>
      </c>
      <c r="C4" s="67"/>
      <c r="D4" s="67"/>
      <c r="E4" s="67" t="s">
        <v>9</v>
      </c>
      <c r="F4" s="66" t="s">
        <v>37</v>
      </c>
      <c r="G4" s="66"/>
      <c r="H4" s="66" t="s">
        <v>400</v>
      </c>
      <c r="I4" s="68">
        <v>45112</v>
      </c>
      <c r="J4" s="68" t="s">
        <v>500</v>
      </c>
      <c r="K4" s="56"/>
      <c r="L4" s="56"/>
    </row>
    <row r="5" spans="1:87" x14ac:dyDescent="0.25">
      <c r="A5" s="67" t="s">
        <v>8</v>
      </c>
      <c r="B5" s="66" t="s">
        <v>59</v>
      </c>
      <c r="C5" s="67"/>
      <c r="D5" s="67"/>
      <c r="E5" s="67" t="s">
        <v>8</v>
      </c>
      <c r="F5" s="66" t="s">
        <v>59</v>
      </c>
      <c r="G5" s="66"/>
      <c r="H5" s="66" t="s">
        <v>430</v>
      </c>
      <c r="I5" s="68">
        <v>45344</v>
      </c>
      <c r="J5" s="68" t="s">
        <v>500</v>
      </c>
      <c r="K5" s="56"/>
      <c r="L5" s="56"/>
    </row>
    <row r="6" spans="1:87" x14ac:dyDescent="0.25">
      <c r="A6" s="67" t="s">
        <v>3</v>
      </c>
      <c r="B6" s="66" t="s">
        <v>32</v>
      </c>
      <c r="C6" s="67"/>
      <c r="D6" s="67"/>
      <c r="E6" s="67" t="s">
        <v>3</v>
      </c>
      <c r="F6" s="66" t="s">
        <v>32</v>
      </c>
      <c r="G6" s="66"/>
      <c r="H6" s="66" t="s">
        <v>390</v>
      </c>
      <c r="I6" s="68">
        <v>45526</v>
      </c>
      <c r="J6" s="68" t="s">
        <v>500</v>
      </c>
      <c r="K6" s="56"/>
      <c r="L6" s="56"/>
    </row>
    <row r="7" spans="1:87" x14ac:dyDescent="0.25">
      <c r="A7" s="67" t="s">
        <v>125</v>
      </c>
      <c r="B7" s="66" t="s">
        <v>66</v>
      </c>
      <c r="C7" s="67"/>
      <c r="D7" s="67"/>
      <c r="E7" s="67" t="s">
        <v>125</v>
      </c>
      <c r="F7" s="66" t="s">
        <v>66</v>
      </c>
      <c r="G7" s="66"/>
      <c r="H7" s="66" t="s">
        <v>383</v>
      </c>
      <c r="I7" s="68">
        <v>45457</v>
      </c>
      <c r="J7" s="68" t="s">
        <v>500</v>
      </c>
      <c r="K7" s="56"/>
      <c r="L7" s="56"/>
    </row>
    <row r="8" spans="1:87" x14ac:dyDescent="0.25">
      <c r="A8" s="67" t="s">
        <v>4</v>
      </c>
      <c r="B8" s="66" t="s">
        <v>110</v>
      </c>
      <c r="C8" s="67"/>
      <c r="D8" s="67"/>
      <c r="E8" s="67" t="s">
        <v>4</v>
      </c>
      <c r="F8" s="66" t="s">
        <v>110</v>
      </c>
      <c r="G8" s="66"/>
      <c r="H8" s="66" t="s">
        <v>454</v>
      </c>
      <c r="I8" s="68">
        <v>44993</v>
      </c>
      <c r="J8" s="68" t="s">
        <v>500</v>
      </c>
      <c r="K8" s="56"/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40" t="s">
        <v>94</v>
      </c>
      <c r="BD8" s="40" t="s">
        <v>533</v>
      </c>
      <c r="BE8" s="40" t="s">
        <v>503</v>
      </c>
      <c r="BF8" s="40" t="s">
        <v>525</v>
      </c>
      <c r="BG8" s="40" t="s">
        <v>529</v>
      </c>
      <c r="BH8" s="40" t="s">
        <v>504</v>
      </c>
      <c r="BI8" s="40" t="s">
        <v>505</v>
      </c>
      <c r="BJ8" s="40" t="s">
        <v>506</v>
      </c>
      <c r="BK8" s="40" t="s">
        <v>507</v>
      </c>
      <c r="BL8" s="40" t="s">
        <v>508</v>
      </c>
      <c r="BM8" s="40" t="s">
        <v>526</v>
      </c>
      <c r="BN8" s="40" t="s">
        <v>530</v>
      </c>
      <c r="BO8" s="40" t="s">
        <v>509</v>
      </c>
      <c r="BP8" s="40" t="s">
        <v>510</v>
      </c>
      <c r="BQ8" s="40" t="s">
        <v>511</v>
      </c>
      <c r="BR8" s="40" t="s">
        <v>512</v>
      </c>
      <c r="BS8" s="40" t="s">
        <v>513</v>
      </c>
      <c r="BT8" s="40" t="s">
        <v>527</v>
      </c>
      <c r="BU8" s="40" t="s">
        <v>531</v>
      </c>
      <c r="BV8" s="40" t="s">
        <v>514</v>
      </c>
      <c r="BW8" s="40" t="s">
        <v>515</v>
      </c>
      <c r="BX8" s="40" t="s">
        <v>516</v>
      </c>
      <c r="BY8" s="40" t="s">
        <v>517</v>
      </c>
      <c r="BZ8" s="40" t="s">
        <v>518</v>
      </c>
      <c r="CA8" s="40" t="s">
        <v>528</v>
      </c>
      <c r="CB8" s="40" t="s">
        <v>532</v>
      </c>
      <c r="CC8" s="40" t="s">
        <v>519</v>
      </c>
      <c r="CD8" s="40" t="s">
        <v>520</v>
      </c>
      <c r="CE8" s="40" t="s">
        <v>521</v>
      </c>
      <c r="CF8" s="40" t="s">
        <v>522</v>
      </c>
      <c r="CG8" s="40" t="s">
        <v>523</v>
      </c>
      <c r="CH8" s="40" t="s">
        <v>524</v>
      </c>
      <c r="CI8" s="18" t="s">
        <v>134</v>
      </c>
    </row>
    <row r="9" spans="1:87" x14ac:dyDescent="0.25">
      <c r="A9" t="s">
        <v>3</v>
      </c>
      <c r="B9" t="s">
        <v>23</v>
      </c>
      <c r="C9">
        <f>VLOOKUP(D1_OCTUBRE_2025[[#This Row],[SUPER]],DATA_OCTUBRE_2025[[SUPERVISOR]:[META]],3,0)</f>
        <v>22000</v>
      </c>
      <c r="D9">
        <f>D1_OCTUBRE_2025[[#This Row],[RECUPERO]]/D1_OCTUBRE_2025[[#This Row],[META]]</f>
        <v>2.6484327272727275</v>
      </c>
      <c r="E9" t="s">
        <v>3</v>
      </c>
      <c r="F9" t="s">
        <v>23</v>
      </c>
      <c r="G9">
        <v>58265.520000000004</v>
      </c>
      <c r="H9" t="s">
        <v>445</v>
      </c>
      <c r="I9" s="56">
        <v>44111</v>
      </c>
      <c r="J9" s="56" t="s">
        <v>501</v>
      </c>
      <c r="K9" s="56"/>
      <c r="L9" s="56"/>
      <c r="M9" s="1">
        <f>DATA_OCTUBRE_2025[[#This Row],[RECUPERO]]/DATA_OCTUBRE_2025[[#This Row],[META]]</f>
        <v>0.26792452830188679</v>
      </c>
      <c r="N9" t="str" cm="1">
        <f t="array" ref="N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9" t="s">
        <v>7</v>
      </c>
      <c r="P9">
        <f>SUM(DATA_OCTUBRE_2025[[#This Row],[1]:[31]])</f>
        <v>14200</v>
      </c>
      <c r="Q9">
        <v>53000</v>
      </c>
      <c r="R9" t="s">
        <v>18</v>
      </c>
      <c r="AH9">
        <v>600</v>
      </c>
      <c r="AQ9">
        <v>2100</v>
      </c>
      <c r="AT9">
        <v>5000</v>
      </c>
      <c r="AV9">
        <v>1500</v>
      </c>
      <c r="AW9">
        <v>5000</v>
      </c>
      <c r="AX9" t="s">
        <v>159</v>
      </c>
      <c r="AZ9">
        <f>VLOOKUP($M$3&amp;$N$3&amp;DITE_OCTUBRE_2025[[#This Row],[SUPER]],TablaMeta[],5,0)</f>
        <v>698156</v>
      </c>
      <c r="BA9" s="11">
        <f>MAX(DITE_OCTUBRE_2025[[#This Row],[1]:[31]])</f>
        <v>617356.96</v>
      </c>
      <c r="BB9" s="17">
        <f>IFERROR(DITE_OCTUBRE_2025[[#This Row],[RECUPERO SUPERVISOR]]/DITE_OCTUBRE_2025[[#This Row],[META SUPER]],"")</f>
        <v>0.88426792865777848</v>
      </c>
      <c r="BC9" t="s">
        <v>8</v>
      </c>
      <c r="BD9">
        <v>22865</v>
      </c>
      <c r="BE9">
        <v>22865</v>
      </c>
      <c r="BF9">
        <v>25141</v>
      </c>
      <c r="BG9">
        <v>25141</v>
      </c>
      <c r="BH9">
        <v>25141</v>
      </c>
      <c r="BI9">
        <v>41451</v>
      </c>
      <c r="BJ9">
        <v>75907</v>
      </c>
      <c r="BK9">
        <v>75907</v>
      </c>
      <c r="BL9">
        <v>103907</v>
      </c>
      <c r="BM9">
        <v>170407</v>
      </c>
      <c r="BN9">
        <v>170630</v>
      </c>
      <c r="BO9">
        <v>170630</v>
      </c>
      <c r="BP9">
        <v>195080</v>
      </c>
      <c r="BQ9">
        <v>240108.05</v>
      </c>
      <c r="BR9">
        <v>283227.05</v>
      </c>
      <c r="BS9">
        <v>305572.05</v>
      </c>
      <c r="BT9">
        <v>319859.55</v>
      </c>
      <c r="BU9">
        <v>320214.55</v>
      </c>
      <c r="BV9">
        <v>320214.55</v>
      </c>
      <c r="BW9">
        <v>331040.55</v>
      </c>
      <c r="BX9">
        <v>375363.55</v>
      </c>
      <c r="BY9">
        <v>396859.55</v>
      </c>
      <c r="BZ9">
        <v>422884.55</v>
      </c>
      <c r="CA9">
        <v>442221.55</v>
      </c>
      <c r="CB9">
        <v>442871.55</v>
      </c>
      <c r="CC9">
        <v>442871.55</v>
      </c>
      <c r="CD9">
        <v>449721.55</v>
      </c>
      <c r="CE9">
        <v>462221.55</v>
      </c>
      <c r="CF9">
        <v>517936.95999999996</v>
      </c>
      <c r="CG9">
        <v>554515.96</v>
      </c>
      <c r="CH9">
        <v>617356.96</v>
      </c>
      <c r="CI9" s="11" t="str">
        <f>VLOOKUP($M$3&amp;$N$3&amp;DITE_OCTUBRE_2025[[#This Row],[SUPER]],TablaMeta[],7,0)</f>
        <v>BBVA - NUEVO</v>
      </c>
    </row>
    <row r="10" spans="1:87" x14ac:dyDescent="0.25">
      <c r="A10" t="s">
        <v>3</v>
      </c>
      <c r="B10" t="s">
        <v>44</v>
      </c>
      <c r="C10">
        <f>VLOOKUP(D1_OCTUBRE_2025[[#This Row],[SUPER]],DATA_OCTUBRE_2025[[SUPERVISOR]:[META]],3,0)</f>
        <v>22000</v>
      </c>
      <c r="D10">
        <f>D1_OCTUBRE_2025[[#This Row],[RECUPERO]]/D1_OCTUBRE_2025[[#This Row],[META]]</f>
        <v>1.1218181818181818</v>
      </c>
      <c r="E10" t="s">
        <v>3</v>
      </c>
      <c r="F10" t="s">
        <v>44</v>
      </c>
      <c r="G10">
        <v>24680</v>
      </c>
      <c r="H10" t="s">
        <v>467</v>
      </c>
      <c r="I10" s="56">
        <v>45804</v>
      </c>
      <c r="J10" s="56" t="s">
        <v>501</v>
      </c>
      <c r="K10" s="56"/>
      <c r="L10" s="56"/>
      <c r="M10" s="1">
        <f>DATA_OCTUBRE_2025[[#This Row],[RECUPERO]]/DATA_OCTUBRE_2025[[#This Row],[META]]</f>
        <v>0.53933962264150948</v>
      </c>
      <c r="N10" t="str" cm="1">
        <f t="array" ref="N1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10" t="s">
        <v>7</v>
      </c>
      <c r="P10">
        <f>SUM(DATA_OCTUBRE_2025[[#This Row],[1]:[31]])</f>
        <v>28585</v>
      </c>
      <c r="Q10">
        <v>53000</v>
      </c>
      <c r="R10" t="s">
        <v>21</v>
      </c>
      <c r="Y10">
        <v>400</v>
      </c>
      <c r="AG10">
        <v>600</v>
      </c>
      <c r="AL10">
        <v>600</v>
      </c>
      <c r="AM10">
        <v>15800</v>
      </c>
      <c r="AN10">
        <v>2300</v>
      </c>
      <c r="AP10">
        <v>485</v>
      </c>
      <c r="AS10">
        <v>1400</v>
      </c>
      <c r="AV10">
        <v>7000</v>
      </c>
      <c r="AX10" t="s">
        <v>159</v>
      </c>
      <c r="AZ10">
        <f>VLOOKUP($M$3&amp;$N$3&amp;DITE_OCTUBRE_2025[[#This Row],[SUPER]],TablaMeta[],5,0)</f>
        <v>253237</v>
      </c>
      <c r="BA10" s="11">
        <f>MAX(DITE_OCTUBRE_2025[[#This Row],[1]:[31]])</f>
        <v>228768</v>
      </c>
      <c r="BB10" s="17">
        <f>IFERROR(DITE_OCTUBRE_2025[[#This Row],[RECUPERO SUPERVISOR]]/DITE_OCTUBRE_2025[[#This Row],[META SUPER]],"")</f>
        <v>0.90337509921535952</v>
      </c>
      <c r="BC10" t="s">
        <v>125</v>
      </c>
      <c r="BD10">
        <v>1753</v>
      </c>
      <c r="BE10">
        <v>1753</v>
      </c>
      <c r="BF10">
        <v>6603</v>
      </c>
      <c r="BG10">
        <v>6603</v>
      </c>
      <c r="BH10">
        <v>6603</v>
      </c>
      <c r="BI10">
        <v>8053</v>
      </c>
      <c r="BJ10">
        <v>11253</v>
      </c>
      <c r="BK10">
        <v>11253</v>
      </c>
      <c r="BL10">
        <v>14806</v>
      </c>
      <c r="BM10">
        <v>19411</v>
      </c>
      <c r="BN10">
        <v>19411</v>
      </c>
      <c r="BO10">
        <v>19411</v>
      </c>
      <c r="BP10">
        <v>32222</v>
      </c>
      <c r="BQ10">
        <v>58522</v>
      </c>
      <c r="BR10">
        <v>61917.5</v>
      </c>
      <c r="BS10">
        <v>89372.5</v>
      </c>
      <c r="BT10">
        <v>94452.5</v>
      </c>
      <c r="BU10">
        <v>94452.5</v>
      </c>
      <c r="BV10">
        <v>94452.5</v>
      </c>
      <c r="BW10">
        <v>98837.5</v>
      </c>
      <c r="BX10">
        <v>103437.5</v>
      </c>
      <c r="BY10">
        <v>116587.5</v>
      </c>
      <c r="BZ10">
        <v>120587.5</v>
      </c>
      <c r="CA10">
        <v>131797.5</v>
      </c>
      <c r="CB10">
        <v>131797.5</v>
      </c>
      <c r="CC10">
        <v>133297.5</v>
      </c>
      <c r="CD10">
        <v>134707.5</v>
      </c>
      <c r="CE10">
        <v>157607.5</v>
      </c>
      <c r="CF10">
        <v>160357.5</v>
      </c>
      <c r="CG10">
        <v>173730.5</v>
      </c>
      <c r="CH10">
        <v>228768</v>
      </c>
      <c r="CI10" s="11" t="str">
        <f>VLOOKUP($M$3&amp;$N$3&amp;DITE_OCTUBRE_2025[[#This Row],[SUPER]],TablaMeta[],7,0)</f>
        <v>S2</v>
      </c>
    </row>
    <row r="11" spans="1:87" x14ac:dyDescent="0.25">
      <c r="A11" t="s">
        <v>3</v>
      </c>
      <c r="B11" t="s">
        <v>48</v>
      </c>
      <c r="C11">
        <f>VLOOKUP(D1_OCTUBRE_2025[[#This Row],[SUPER]],DATA_OCTUBRE_2025[[SUPERVISOR]:[META]],3,0)</f>
        <v>22000</v>
      </c>
      <c r="D11">
        <f>D1_OCTUBRE_2025[[#This Row],[RECUPERO]]/D1_OCTUBRE_2025[[#This Row],[META]]</f>
        <v>1.079690909090909</v>
      </c>
      <c r="E11" t="s">
        <v>3</v>
      </c>
      <c r="F11" t="s">
        <v>48</v>
      </c>
      <c r="G11">
        <v>23753.200000000001</v>
      </c>
      <c r="H11" t="s">
        <v>421</v>
      </c>
      <c r="I11" s="56">
        <v>44748</v>
      </c>
      <c r="J11" s="56" t="s">
        <v>501</v>
      </c>
      <c r="K11" s="56"/>
      <c r="L11" s="56"/>
      <c r="M11" s="1">
        <f>DATA_OCTUBRE_2025[[#This Row],[RECUPERO]]/DATA_OCTUBRE_2025[[#This Row],[META]]</f>
        <v>0.45182075471698113</v>
      </c>
      <c r="N11" t="str" cm="1">
        <f t="array" ref="N1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11" t="s">
        <v>7</v>
      </c>
      <c r="P11">
        <f>SUM(DATA_OCTUBRE_2025[[#This Row],[1]:[31]])</f>
        <v>23946.5</v>
      </c>
      <c r="Q11">
        <v>53000</v>
      </c>
      <c r="R11" t="s">
        <v>58</v>
      </c>
      <c r="U11">
        <v>4000</v>
      </c>
      <c r="X11">
        <v>2120</v>
      </c>
      <c r="Y11">
        <v>700</v>
      </c>
      <c r="AE11">
        <v>2300</v>
      </c>
      <c r="AG11">
        <v>600</v>
      </c>
      <c r="AM11">
        <v>3000</v>
      </c>
      <c r="AP11">
        <v>688</v>
      </c>
      <c r="AV11">
        <v>700</v>
      </c>
      <c r="AW11">
        <v>9838.5</v>
      </c>
      <c r="AX11" t="s">
        <v>159</v>
      </c>
      <c r="AZ11">
        <f>VLOOKUP($M$3&amp;$N$3&amp;DITE_OCTUBRE_2025[[#This Row],[SUPER]],TablaMeta[],5,0)</f>
        <v>253237</v>
      </c>
      <c r="BA11" s="11">
        <f>MAX(DITE_OCTUBRE_2025[[#This Row],[1]:[31]])</f>
        <v>200576.3</v>
      </c>
      <c r="BB11" s="17">
        <f>IFERROR(DITE_OCTUBRE_2025[[#This Row],[RECUPERO SUPERVISOR]]/DITE_OCTUBRE_2025[[#This Row],[META SUPER]],"")</f>
        <v>0.79204973996690842</v>
      </c>
      <c r="BC11" t="s">
        <v>5</v>
      </c>
      <c r="BD11">
        <v>1600</v>
      </c>
      <c r="BE11">
        <v>1600</v>
      </c>
      <c r="BF11">
        <v>4107</v>
      </c>
      <c r="BG11">
        <v>4107</v>
      </c>
      <c r="BH11">
        <v>4107</v>
      </c>
      <c r="BI11">
        <v>7869</v>
      </c>
      <c r="BJ11">
        <v>11219</v>
      </c>
      <c r="BK11">
        <v>11219</v>
      </c>
      <c r="BL11">
        <v>21870</v>
      </c>
      <c r="BM11">
        <v>26370</v>
      </c>
      <c r="BN11">
        <v>26370</v>
      </c>
      <c r="BO11">
        <v>26970</v>
      </c>
      <c r="BP11">
        <v>29309</v>
      </c>
      <c r="BQ11">
        <v>38159</v>
      </c>
      <c r="BR11">
        <v>39200.300000000003</v>
      </c>
      <c r="BS11">
        <v>43159.3</v>
      </c>
      <c r="BT11">
        <v>48759.3</v>
      </c>
      <c r="BU11">
        <v>48759.3</v>
      </c>
      <c r="BV11">
        <v>48759.3</v>
      </c>
      <c r="BW11">
        <v>56668.3</v>
      </c>
      <c r="BX11">
        <v>62843.3</v>
      </c>
      <c r="BY11">
        <v>71443.3</v>
      </c>
      <c r="BZ11">
        <v>76712.3</v>
      </c>
      <c r="CA11">
        <v>97207.3</v>
      </c>
      <c r="CB11">
        <v>100041.3</v>
      </c>
      <c r="CC11">
        <v>100041.3</v>
      </c>
      <c r="CD11">
        <v>110955.3</v>
      </c>
      <c r="CE11">
        <v>121465.3</v>
      </c>
      <c r="CF11">
        <v>128909.3</v>
      </c>
      <c r="CG11">
        <v>174999.3</v>
      </c>
      <c r="CH11">
        <v>200576.3</v>
      </c>
      <c r="CI11" s="11" t="str">
        <f>VLOOKUP($M$3&amp;$N$3&amp;DITE_OCTUBRE_2025[[#This Row],[SUPER]],TablaMeta[],7,0)</f>
        <v>S2</v>
      </c>
    </row>
    <row r="12" spans="1:87" x14ac:dyDescent="0.25">
      <c r="A12" t="s">
        <v>3</v>
      </c>
      <c r="B12" t="s">
        <v>43</v>
      </c>
      <c r="C12">
        <f>VLOOKUP(D1_OCTUBRE_2025[[#This Row],[SUPER]],DATA_OCTUBRE_2025[[SUPERVISOR]:[META]],3,0)</f>
        <v>22000</v>
      </c>
      <c r="D12">
        <f>D1_OCTUBRE_2025[[#This Row],[RECUPERO]]/D1_OCTUBRE_2025[[#This Row],[META]]</f>
        <v>1.011590909090909</v>
      </c>
      <c r="E12" t="s">
        <v>3</v>
      </c>
      <c r="F12" t="s">
        <v>43</v>
      </c>
      <c r="G12">
        <v>22255</v>
      </c>
      <c r="H12" t="s">
        <v>471</v>
      </c>
      <c r="I12" s="56">
        <v>45793</v>
      </c>
      <c r="J12" s="56" t="s">
        <v>501</v>
      </c>
      <c r="K12" s="56"/>
      <c r="L12" s="56"/>
      <c r="M12" s="1">
        <f>DATA_OCTUBRE_2025[[#This Row],[RECUPERO]]/DATA_OCTUBRE_2025[[#This Row],[META]]</f>
        <v>0.39830434782608698</v>
      </c>
      <c r="N12" t="str" cm="1">
        <f t="array" ref="N1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12" t="s">
        <v>9</v>
      </c>
      <c r="P12">
        <f>SUM(DATA_OCTUBRE_2025[[#This Row],[1]:[31]])</f>
        <v>9161</v>
      </c>
      <c r="Q12">
        <v>23000</v>
      </c>
      <c r="R12" t="s">
        <v>54</v>
      </c>
      <c r="S12">
        <v>300</v>
      </c>
      <c r="U12">
        <v>130</v>
      </c>
      <c r="Y12">
        <v>300</v>
      </c>
      <c r="AE12">
        <v>200</v>
      </c>
      <c r="AG12">
        <v>83</v>
      </c>
      <c r="AM12">
        <v>2800</v>
      </c>
      <c r="AN12">
        <v>3500</v>
      </c>
      <c r="AU12">
        <v>848</v>
      </c>
      <c r="AW12">
        <v>1000</v>
      </c>
      <c r="AX12" t="s">
        <v>156</v>
      </c>
      <c r="AZ12">
        <f>VLOOKUP($M$3&amp;$N$3&amp;DITE_OCTUBRE_2025[[#This Row],[SUPER]],TablaMeta[],5,0)</f>
        <v>420827</v>
      </c>
      <c r="BA12" s="11">
        <f>MAX(DITE_OCTUBRE_2025[[#This Row],[1]:[31]])</f>
        <v>342721.12</v>
      </c>
      <c r="BB12" s="17">
        <f>IFERROR(DITE_OCTUBRE_2025[[#This Row],[RECUPERO SUPERVISOR]]/DITE_OCTUBRE_2025[[#This Row],[META SUPER]],"")</f>
        <v>0.81439907610490769</v>
      </c>
      <c r="BC12" t="s">
        <v>6</v>
      </c>
      <c r="BD12">
        <v>6448</v>
      </c>
      <c r="BE12">
        <v>8878</v>
      </c>
      <c r="BF12">
        <v>14878</v>
      </c>
      <c r="BG12">
        <v>17678</v>
      </c>
      <c r="BH12">
        <v>17678</v>
      </c>
      <c r="BI12">
        <v>18178</v>
      </c>
      <c r="BJ12">
        <v>23487</v>
      </c>
      <c r="BK12">
        <v>23487</v>
      </c>
      <c r="BL12">
        <v>24237</v>
      </c>
      <c r="BM12">
        <v>29137</v>
      </c>
      <c r="BN12">
        <v>29429</v>
      </c>
      <c r="BO12">
        <v>29429</v>
      </c>
      <c r="BP12">
        <v>85478</v>
      </c>
      <c r="BQ12">
        <v>121378</v>
      </c>
      <c r="BR12">
        <v>132978</v>
      </c>
      <c r="BS12">
        <v>157161</v>
      </c>
      <c r="BT12">
        <v>166461</v>
      </c>
      <c r="BU12">
        <v>166961</v>
      </c>
      <c r="BV12">
        <v>166961</v>
      </c>
      <c r="BW12">
        <v>171718</v>
      </c>
      <c r="BX12">
        <v>173857</v>
      </c>
      <c r="BY12">
        <v>176557</v>
      </c>
      <c r="BZ12">
        <v>178164</v>
      </c>
      <c r="CA12">
        <v>181039</v>
      </c>
      <c r="CB12">
        <v>190319</v>
      </c>
      <c r="CC12">
        <v>193619</v>
      </c>
      <c r="CD12">
        <v>213407</v>
      </c>
      <c r="CE12">
        <v>234007</v>
      </c>
      <c r="CF12">
        <v>241974</v>
      </c>
      <c r="CG12">
        <v>264728</v>
      </c>
      <c r="CH12">
        <v>342721.12</v>
      </c>
      <c r="CI12" s="11" t="str">
        <f>VLOOKUP($M$3&amp;$N$3&amp;DITE_OCTUBRE_2025[[#This Row],[SUPER]],TablaMeta[],7,0)</f>
        <v>S1</v>
      </c>
    </row>
    <row r="13" spans="1:87" x14ac:dyDescent="0.25">
      <c r="A13" t="s">
        <v>3</v>
      </c>
      <c r="B13" t="s">
        <v>102</v>
      </c>
      <c r="C13">
        <f>VLOOKUP(D1_OCTUBRE_2025[[#This Row],[SUPER]],DATA_OCTUBRE_2025[[SUPERVISOR]:[META]],3,0)</f>
        <v>22000</v>
      </c>
      <c r="D13">
        <f>D1_OCTUBRE_2025[[#This Row],[RECUPERO]]/D1_OCTUBRE_2025[[#This Row],[META]]</f>
        <v>0.94077272727272732</v>
      </c>
      <c r="E13" t="s">
        <v>3</v>
      </c>
      <c r="F13" t="s">
        <v>102</v>
      </c>
      <c r="G13">
        <v>20697</v>
      </c>
      <c r="H13" t="s">
        <v>481</v>
      </c>
      <c r="I13" s="56">
        <v>45875</v>
      </c>
      <c r="J13" s="56" t="s">
        <v>501</v>
      </c>
      <c r="K13" s="56"/>
      <c r="L13" s="56"/>
      <c r="M13" s="1">
        <f>DATA_OCTUBRE_2025[[#This Row],[RECUPERO]]/DATA_OCTUBRE_2025[[#This Row],[META]]</f>
        <v>0.55169811320754714</v>
      </c>
      <c r="N13" t="str" cm="1">
        <f t="array" ref="N1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13" t="s">
        <v>7</v>
      </c>
      <c r="P13">
        <f>SUM(DATA_OCTUBRE_2025[[#This Row],[1]:[31]])</f>
        <v>29240</v>
      </c>
      <c r="Q13">
        <v>53000</v>
      </c>
      <c r="R13" t="s">
        <v>60</v>
      </c>
      <c r="S13">
        <v>340</v>
      </c>
      <c r="U13">
        <v>750</v>
      </c>
      <c r="AI13">
        <v>600</v>
      </c>
      <c r="AJ13">
        <v>600</v>
      </c>
      <c r="AN13">
        <v>5000</v>
      </c>
      <c r="AP13">
        <v>3000</v>
      </c>
      <c r="AQ13">
        <v>700</v>
      </c>
      <c r="AS13">
        <v>1700</v>
      </c>
      <c r="AT13">
        <v>1500</v>
      </c>
      <c r="AW13">
        <v>15050</v>
      </c>
      <c r="AX13" t="s">
        <v>159</v>
      </c>
      <c r="AZ13">
        <f>VLOOKUP($M$3&amp;$N$3&amp;DITE_OCTUBRE_2025[[#This Row],[SUPER]],TablaMeta[],5,0)</f>
        <v>420827</v>
      </c>
      <c r="BA13" s="11">
        <f>MAX(DITE_OCTUBRE_2025[[#This Row],[1]:[31]])</f>
        <v>226204.5</v>
      </c>
      <c r="BB13" s="17">
        <f>IFERROR(DITE_OCTUBRE_2025[[#This Row],[RECUPERO SUPERVISOR]]/DITE_OCTUBRE_2025[[#This Row],[META SUPER]],"")</f>
        <v>0.53752373303043766</v>
      </c>
      <c r="BC13" t="s">
        <v>7</v>
      </c>
      <c r="BD13">
        <v>20340</v>
      </c>
      <c r="BE13">
        <v>21040</v>
      </c>
      <c r="BF13">
        <v>25790</v>
      </c>
      <c r="BG13">
        <v>26590</v>
      </c>
      <c r="BH13">
        <v>26590</v>
      </c>
      <c r="BI13">
        <v>29910</v>
      </c>
      <c r="BJ13">
        <v>33672</v>
      </c>
      <c r="BK13">
        <v>33672</v>
      </c>
      <c r="BL13">
        <v>35772</v>
      </c>
      <c r="BM13">
        <v>36164</v>
      </c>
      <c r="BN13">
        <v>36164</v>
      </c>
      <c r="BO13">
        <v>36164</v>
      </c>
      <c r="BP13">
        <v>41464</v>
      </c>
      <c r="BQ13">
        <v>43814</v>
      </c>
      <c r="BR13">
        <v>62014</v>
      </c>
      <c r="BS13">
        <v>76391</v>
      </c>
      <c r="BT13">
        <v>86891</v>
      </c>
      <c r="BU13">
        <v>87491</v>
      </c>
      <c r="BV13">
        <v>87491</v>
      </c>
      <c r="BW13">
        <v>91091</v>
      </c>
      <c r="BX13">
        <v>115541</v>
      </c>
      <c r="BY13">
        <v>123091</v>
      </c>
      <c r="BZ13">
        <v>127461</v>
      </c>
      <c r="CA13">
        <v>139834</v>
      </c>
      <c r="CB13">
        <v>142996</v>
      </c>
      <c r="CC13">
        <v>142996</v>
      </c>
      <c r="CD13">
        <v>150246</v>
      </c>
      <c r="CE13">
        <v>174446</v>
      </c>
      <c r="CF13">
        <v>175446</v>
      </c>
      <c r="CG13">
        <v>192846</v>
      </c>
      <c r="CH13">
        <v>226204.5</v>
      </c>
      <c r="CI13" s="11" t="str">
        <f>VLOOKUP($M$3&amp;$N$3&amp;DITE_OCTUBRE_2025[[#This Row],[SUPER]],TablaMeta[],7,0)</f>
        <v>S1</v>
      </c>
    </row>
    <row r="14" spans="1:87" x14ac:dyDescent="0.25">
      <c r="A14" t="s">
        <v>3</v>
      </c>
      <c r="B14" t="s">
        <v>97</v>
      </c>
      <c r="C14">
        <f>VLOOKUP(D1_OCTUBRE_2025[[#This Row],[SUPER]],DATA_OCTUBRE_2025[[SUPERVISOR]:[META]],3,0)</f>
        <v>22000</v>
      </c>
      <c r="D14">
        <f>D1_OCTUBRE_2025[[#This Row],[RECUPERO]]/D1_OCTUBRE_2025[[#This Row],[META]]</f>
        <v>0.85445454545454547</v>
      </c>
      <c r="E14" t="s">
        <v>3</v>
      </c>
      <c r="F14" t="s">
        <v>97</v>
      </c>
      <c r="G14">
        <v>18798</v>
      </c>
      <c r="H14" t="s">
        <v>485</v>
      </c>
      <c r="I14" s="56">
        <v>45889</v>
      </c>
      <c r="J14" s="56" t="s">
        <v>501</v>
      </c>
      <c r="K14" s="56"/>
      <c r="L14" s="56"/>
      <c r="M14" s="1">
        <f>DATA_OCTUBRE_2025[[#This Row],[RECUPERO]]/DATA_OCTUBRE_2025[[#This Row],[META]]</f>
        <v>0.96356249999999999</v>
      </c>
      <c r="N14" t="str" cm="1">
        <f t="array" ref="N1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14" t="s">
        <v>125</v>
      </c>
      <c r="P14">
        <f>SUM(DATA_OCTUBRE_2025[[#This Row],[1]:[31]])</f>
        <v>30834</v>
      </c>
      <c r="Q14">
        <v>32000</v>
      </c>
      <c r="R14" t="s">
        <v>15</v>
      </c>
      <c r="S14">
        <v>450</v>
      </c>
      <c r="U14">
        <v>600</v>
      </c>
      <c r="AB14">
        <v>330</v>
      </c>
      <c r="AE14">
        <v>254</v>
      </c>
      <c r="AF14">
        <v>20000</v>
      </c>
      <c r="AL14">
        <v>500</v>
      </c>
      <c r="AM14">
        <v>3000</v>
      </c>
      <c r="AN14">
        <v>2100</v>
      </c>
      <c r="AW14">
        <v>3600</v>
      </c>
      <c r="AX14" t="s">
        <v>158</v>
      </c>
      <c r="AZ14">
        <f>VLOOKUP($M$3&amp;$N$3&amp;DITE_OCTUBRE_2025[[#This Row],[SUPER]],TablaMeta[],5,0)</f>
        <v>230608</v>
      </c>
      <c r="BA14" s="11">
        <f>MAX(DITE_OCTUBRE_2025[[#This Row],[1]:[31]])</f>
        <v>256224</v>
      </c>
      <c r="BB14" s="17">
        <f>IFERROR(DITE_OCTUBRE_2025[[#This Row],[RECUPERO SUPERVISOR]]/DITE_OCTUBRE_2025[[#This Row],[META SUPER]],"")</f>
        <v>1.1110802747519601</v>
      </c>
      <c r="BC14" t="s">
        <v>9</v>
      </c>
      <c r="BD14">
        <v>3318</v>
      </c>
      <c r="BE14">
        <v>5784</v>
      </c>
      <c r="BF14">
        <v>8674</v>
      </c>
      <c r="BG14">
        <v>8674</v>
      </c>
      <c r="BH14">
        <v>8674</v>
      </c>
      <c r="BI14">
        <v>16654</v>
      </c>
      <c r="BJ14">
        <v>21711</v>
      </c>
      <c r="BK14">
        <v>21711</v>
      </c>
      <c r="BL14">
        <v>28619</v>
      </c>
      <c r="BM14">
        <v>31669</v>
      </c>
      <c r="BN14">
        <v>31669</v>
      </c>
      <c r="BO14">
        <v>31669</v>
      </c>
      <c r="BP14">
        <v>32499</v>
      </c>
      <c r="BQ14">
        <v>46929</v>
      </c>
      <c r="BR14">
        <v>48562</v>
      </c>
      <c r="BS14">
        <v>107742</v>
      </c>
      <c r="BT14">
        <v>115276</v>
      </c>
      <c r="BU14">
        <v>115976</v>
      </c>
      <c r="BV14">
        <v>115976</v>
      </c>
      <c r="BW14">
        <v>124110</v>
      </c>
      <c r="BX14">
        <v>133728</v>
      </c>
      <c r="BY14">
        <v>148428</v>
      </c>
      <c r="BZ14">
        <v>170911</v>
      </c>
      <c r="CA14">
        <v>172211</v>
      </c>
      <c r="CB14">
        <v>172211</v>
      </c>
      <c r="CC14">
        <v>172211</v>
      </c>
      <c r="CD14">
        <v>177161</v>
      </c>
      <c r="CE14">
        <v>193391</v>
      </c>
      <c r="CF14">
        <v>211939</v>
      </c>
      <c r="CG14">
        <v>243145</v>
      </c>
      <c r="CH14">
        <v>256224</v>
      </c>
      <c r="CI14" s="11" t="str">
        <f>VLOOKUP($M$3&amp;$N$3&amp;DITE_OCTUBRE_2025[[#This Row],[SUPER]],TablaMeta[],7,0)</f>
        <v>IBK - NUEVO</v>
      </c>
    </row>
    <row r="15" spans="1:87" x14ac:dyDescent="0.25">
      <c r="A15" t="s">
        <v>3</v>
      </c>
      <c r="B15" t="s">
        <v>33</v>
      </c>
      <c r="C15">
        <f>VLOOKUP(D1_OCTUBRE_2025[[#This Row],[SUPER]],DATA_OCTUBRE_2025[[SUPERVISOR]:[META]],3,0)</f>
        <v>22000</v>
      </c>
      <c r="D15">
        <f>D1_OCTUBRE_2025[[#This Row],[RECUPERO]]/D1_OCTUBRE_2025[[#This Row],[META]]</f>
        <v>0.76181818181818184</v>
      </c>
      <c r="E15" t="s">
        <v>3</v>
      </c>
      <c r="F15" t="s">
        <v>33</v>
      </c>
      <c r="G15">
        <v>16760</v>
      </c>
      <c r="H15" t="s">
        <v>439</v>
      </c>
      <c r="I15" s="56">
        <v>44869</v>
      </c>
      <c r="J15" s="56" t="s">
        <v>501</v>
      </c>
      <c r="K15" s="56"/>
      <c r="L15" s="56"/>
      <c r="M15" s="1">
        <f>DATA_OCTUBRE_2025[[#This Row],[RECUPERO]]/DATA_OCTUBRE_2025[[#This Row],[META]]</f>
        <v>0.43795454545454543</v>
      </c>
      <c r="N15" t="str" cm="1">
        <f t="array" ref="N1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15" t="s">
        <v>4</v>
      </c>
      <c r="P15">
        <f>SUM(DATA_OCTUBRE_2025[[#This Row],[1]:[31]])</f>
        <v>9635</v>
      </c>
      <c r="Q15">
        <v>22000</v>
      </c>
      <c r="R15" t="s">
        <v>92</v>
      </c>
      <c r="T15">
        <v>50</v>
      </c>
      <c r="U15">
        <v>400</v>
      </c>
      <c r="X15">
        <v>2500</v>
      </c>
      <c r="Y15">
        <v>400</v>
      </c>
      <c r="AE15">
        <v>100</v>
      </c>
      <c r="AI15">
        <v>600</v>
      </c>
      <c r="AL15">
        <v>150</v>
      </c>
      <c r="AN15">
        <v>450</v>
      </c>
      <c r="AP15">
        <v>4000</v>
      </c>
      <c r="AV15">
        <v>985</v>
      </c>
      <c r="AX15" t="s">
        <v>157</v>
      </c>
      <c r="AZ15">
        <f>VLOOKUP($M$3&amp;$N$3&amp;DITE_OCTUBRE_2025[[#This Row],[SUPER]],TablaMeta[],5,0)</f>
        <v>239472</v>
      </c>
      <c r="BA15" s="11">
        <f>MAX(DITE_OCTUBRE_2025[[#This Row],[1]:[31]])</f>
        <v>186482.05</v>
      </c>
      <c r="BB15" s="17">
        <f>IFERROR(DITE_OCTUBRE_2025[[#This Row],[RECUPERO SUPERVISOR]]/DITE_OCTUBRE_2025[[#This Row],[META SUPER]],"")</f>
        <v>0.77872172947150398</v>
      </c>
      <c r="BC15" t="s">
        <v>4</v>
      </c>
      <c r="BD15">
        <v>4856.05</v>
      </c>
      <c r="BE15">
        <v>6196.05</v>
      </c>
      <c r="BF15">
        <v>7556.05</v>
      </c>
      <c r="BG15">
        <v>8456.0499999999993</v>
      </c>
      <c r="BH15">
        <v>8456.0499999999993</v>
      </c>
      <c r="BI15">
        <v>10956.05</v>
      </c>
      <c r="BJ15">
        <v>14336.05</v>
      </c>
      <c r="BK15">
        <v>14336.05</v>
      </c>
      <c r="BL15">
        <v>16336.05</v>
      </c>
      <c r="BM15">
        <v>23136.05</v>
      </c>
      <c r="BN15">
        <v>23136.05</v>
      </c>
      <c r="BO15">
        <v>23336.05</v>
      </c>
      <c r="BP15">
        <v>29176.05</v>
      </c>
      <c r="BQ15">
        <v>30374.05</v>
      </c>
      <c r="BR15">
        <v>52974.05</v>
      </c>
      <c r="BS15">
        <v>74874.05</v>
      </c>
      <c r="BT15">
        <v>75974.05</v>
      </c>
      <c r="BU15">
        <v>76254.05</v>
      </c>
      <c r="BV15">
        <v>76254.05</v>
      </c>
      <c r="BW15">
        <v>95344.05</v>
      </c>
      <c r="BX15">
        <v>98292.05</v>
      </c>
      <c r="BY15">
        <v>102788.05</v>
      </c>
      <c r="BZ15">
        <v>110176.05</v>
      </c>
      <c r="CA15">
        <v>118849.05</v>
      </c>
      <c r="CB15">
        <v>121069.05</v>
      </c>
      <c r="CC15">
        <v>121069.05</v>
      </c>
      <c r="CD15">
        <v>126749.05</v>
      </c>
      <c r="CE15">
        <v>128909.05</v>
      </c>
      <c r="CF15">
        <v>135969.04999999999</v>
      </c>
      <c r="CG15">
        <v>154516.04999999999</v>
      </c>
      <c r="CH15">
        <v>186482.05</v>
      </c>
      <c r="CI15" s="11" t="str">
        <f>VLOOKUP($M$3&amp;$N$3&amp;DITE_OCTUBRE_2025[[#This Row],[SUPER]],TablaMeta[],7,0)</f>
        <v>S3 - 4</v>
      </c>
    </row>
    <row r="16" spans="1:87" x14ac:dyDescent="0.25">
      <c r="A16" t="s">
        <v>3</v>
      </c>
      <c r="B16" t="s">
        <v>106</v>
      </c>
      <c r="C16">
        <f>VLOOKUP(D1_OCTUBRE_2025[[#This Row],[SUPER]],DATA_OCTUBRE_2025[[SUPERVISOR]:[META]],3,0)</f>
        <v>22000</v>
      </c>
      <c r="D16">
        <f>D1_OCTUBRE_2025[[#This Row],[RECUPERO]]/D1_OCTUBRE_2025[[#This Row],[META]]</f>
        <v>0.69650000000000001</v>
      </c>
      <c r="E16" t="s">
        <v>3</v>
      </c>
      <c r="F16" t="s">
        <v>106</v>
      </c>
      <c r="G16">
        <v>15323</v>
      </c>
      <c r="H16" t="s">
        <v>392</v>
      </c>
      <c r="I16" s="56">
        <v>44748</v>
      </c>
      <c r="J16" s="56" t="s">
        <v>501</v>
      </c>
      <c r="K16" s="56"/>
      <c r="L16" s="56"/>
      <c r="M16" s="1">
        <f>DATA_OCTUBRE_2025[[#This Row],[RECUPERO]]/DATA_OCTUBRE_2025[[#This Row],[META]]</f>
        <v>1.3928301886792454</v>
      </c>
      <c r="N16" t="str" cm="1">
        <f t="array" ref="N1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16" t="s">
        <v>7</v>
      </c>
      <c r="P16">
        <f>SUM(DATA_OCTUBRE_2025[[#This Row],[1]:[31]])</f>
        <v>73820</v>
      </c>
      <c r="Q16">
        <v>53000</v>
      </c>
      <c r="R16" t="s">
        <v>69</v>
      </c>
      <c r="S16">
        <v>20000</v>
      </c>
      <c r="V16">
        <v>800</v>
      </c>
      <c r="AA16">
        <v>2100</v>
      </c>
      <c r="AE16">
        <v>3000</v>
      </c>
      <c r="AG16">
        <v>10000</v>
      </c>
      <c r="AH16">
        <v>7500</v>
      </c>
      <c r="AI16">
        <v>5900</v>
      </c>
      <c r="AL16">
        <v>3000</v>
      </c>
      <c r="AO16">
        <v>170</v>
      </c>
      <c r="AP16">
        <v>3500</v>
      </c>
      <c r="AS16">
        <v>150</v>
      </c>
      <c r="AT16">
        <v>10500</v>
      </c>
      <c r="AV16">
        <v>5600</v>
      </c>
      <c r="AW16">
        <v>1600</v>
      </c>
      <c r="AX16" t="s">
        <v>159</v>
      </c>
      <c r="AZ16">
        <f>VLOOKUP($M$3&amp;$N$3&amp;DITE_OCTUBRE_2025[[#This Row],[SUPER]],TablaMeta[],5,0)</f>
        <v>239472</v>
      </c>
      <c r="BA16" s="11">
        <f>MAX(DITE_OCTUBRE_2025[[#This Row],[1]:[31]])</f>
        <v>238244.12</v>
      </c>
      <c r="BB16" s="17">
        <f>IFERROR(DITE_OCTUBRE_2025[[#This Row],[RECUPERO SUPERVISOR]]/DITE_OCTUBRE_2025[[#This Row],[META SUPER]],"")</f>
        <v>0.99487255294982291</v>
      </c>
      <c r="BC16" t="s">
        <v>3</v>
      </c>
      <c r="BD16">
        <v>7646.4</v>
      </c>
      <c r="BE16">
        <v>8664.4</v>
      </c>
      <c r="BF16">
        <v>10177.4</v>
      </c>
      <c r="BG16">
        <v>11633.4</v>
      </c>
      <c r="BH16">
        <v>11633.4</v>
      </c>
      <c r="BI16">
        <v>15914.4</v>
      </c>
      <c r="BJ16">
        <v>17824.400000000001</v>
      </c>
      <c r="BK16">
        <v>17824.400000000001</v>
      </c>
      <c r="BL16">
        <v>19549.400000000001</v>
      </c>
      <c r="BM16">
        <v>27081.4</v>
      </c>
      <c r="BN16">
        <v>27931.4</v>
      </c>
      <c r="BO16">
        <v>27931.4</v>
      </c>
      <c r="BP16">
        <v>37476.400000000001</v>
      </c>
      <c r="BQ16">
        <v>60726.92</v>
      </c>
      <c r="BR16">
        <v>74182.92</v>
      </c>
      <c r="BS16">
        <v>76157.919999999998</v>
      </c>
      <c r="BT16">
        <v>85004.92</v>
      </c>
      <c r="BU16">
        <v>85344.92</v>
      </c>
      <c r="BV16">
        <v>85344.92</v>
      </c>
      <c r="BW16">
        <v>97047.92</v>
      </c>
      <c r="BX16">
        <v>117722.92</v>
      </c>
      <c r="BY16">
        <v>131956.91999999998</v>
      </c>
      <c r="BZ16">
        <v>145676.91999999998</v>
      </c>
      <c r="CA16">
        <v>150545.91999999998</v>
      </c>
      <c r="CB16">
        <v>151921.91999999998</v>
      </c>
      <c r="CC16">
        <v>151921.91999999998</v>
      </c>
      <c r="CD16">
        <v>167377.91999999998</v>
      </c>
      <c r="CE16">
        <v>172477.91999999998</v>
      </c>
      <c r="CF16">
        <v>186972.91999999998</v>
      </c>
      <c r="CG16">
        <v>215601.12</v>
      </c>
      <c r="CH16">
        <v>238244.12</v>
      </c>
      <c r="CI16" s="11" t="str">
        <f>VLOOKUP($M$3&amp;$N$3&amp;DITE_OCTUBRE_2025[[#This Row],[SUPER]],TablaMeta[],7,0)</f>
        <v>S3 - 4</v>
      </c>
    </row>
    <row r="17" spans="1:50" x14ac:dyDescent="0.25">
      <c r="A17" t="s">
        <v>3</v>
      </c>
      <c r="B17" t="s">
        <v>53</v>
      </c>
      <c r="C17">
        <f>VLOOKUP(D1_OCTUBRE_2025[[#This Row],[SUPER]],DATA_OCTUBRE_2025[[SUPERVISOR]:[META]],3,0)</f>
        <v>22000</v>
      </c>
      <c r="D17">
        <f>D1_OCTUBRE_2025[[#This Row],[RECUPERO]]/D1_OCTUBRE_2025[[#This Row],[META]]</f>
        <v>0.45429090909090908</v>
      </c>
      <c r="E17" t="s">
        <v>3</v>
      </c>
      <c r="F17" t="s">
        <v>53</v>
      </c>
      <c r="G17">
        <v>9994.4</v>
      </c>
      <c r="H17" t="s">
        <v>457</v>
      </c>
      <c r="I17" s="56">
        <v>45727</v>
      </c>
      <c r="J17" s="56" t="s">
        <v>501</v>
      </c>
      <c r="K17" s="56"/>
      <c r="L17" s="56"/>
      <c r="M17" s="1">
        <f>DATA_OCTUBRE_2025[[#This Row],[RECUPERO]]/DATA_OCTUBRE_2025[[#This Row],[META]]</f>
        <v>0.84500226415094348</v>
      </c>
      <c r="N17" t="str" cm="1">
        <f t="array" ref="N1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17" t="s">
        <v>6</v>
      </c>
      <c r="P17">
        <f>SUM(DATA_OCTUBRE_2025[[#This Row],[1]:[31]])</f>
        <v>44785.120000000003</v>
      </c>
      <c r="Q17">
        <v>53000</v>
      </c>
      <c r="R17" t="s">
        <v>67</v>
      </c>
      <c r="S17">
        <v>531</v>
      </c>
      <c r="T17">
        <v>830</v>
      </c>
      <c r="AB17">
        <v>1900</v>
      </c>
      <c r="AE17">
        <v>7000</v>
      </c>
      <c r="AG17">
        <v>4000</v>
      </c>
      <c r="AL17">
        <v>1000</v>
      </c>
      <c r="AN17">
        <v>1000</v>
      </c>
      <c r="AQ17">
        <v>5000</v>
      </c>
      <c r="AS17">
        <v>700</v>
      </c>
      <c r="AT17">
        <v>12700</v>
      </c>
      <c r="AU17">
        <v>1315</v>
      </c>
      <c r="AV17">
        <v>2505</v>
      </c>
      <c r="AW17">
        <v>6304.12</v>
      </c>
      <c r="AX17" t="s">
        <v>159</v>
      </c>
    </row>
    <row r="18" spans="1:50" x14ac:dyDescent="0.25">
      <c r="A18" t="s">
        <v>3</v>
      </c>
      <c r="B18" t="s">
        <v>101</v>
      </c>
      <c r="C18">
        <f>VLOOKUP(D1_OCTUBRE_2025[[#This Row],[SUPER]],DATA_OCTUBRE_2025[[SUPERVISOR]:[META]],3,0)</f>
        <v>22000</v>
      </c>
      <c r="D18">
        <f>D1_OCTUBRE_2025[[#This Row],[RECUPERO]]/D1_OCTUBRE_2025[[#This Row],[META]]</f>
        <v>0.32363636363636361</v>
      </c>
      <c r="E18" t="s">
        <v>3</v>
      </c>
      <c r="F18" t="s">
        <v>101</v>
      </c>
      <c r="G18">
        <v>7120</v>
      </c>
      <c r="H18" t="s">
        <v>488</v>
      </c>
      <c r="I18" s="56">
        <v>45875</v>
      </c>
      <c r="J18" s="56" t="s">
        <v>501</v>
      </c>
      <c r="K18" s="56"/>
      <c r="L18" s="56"/>
      <c r="M18" s="1">
        <f>DATA_OCTUBRE_2025[[#This Row],[RECUPERO]]/DATA_OCTUBRE_2025[[#This Row],[META]]</f>
        <v>0.42222727272727273</v>
      </c>
      <c r="N18" t="str" cm="1">
        <f t="array" ref="N1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18" t="s">
        <v>4</v>
      </c>
      <c r="P18">
        <f>SUM(DATA_OCTUBRE_2025[[#This Row],[1]:[31]])</f>
        <v>9289</v>
      </c>
      <c r="Q18">
        <v>22000</v>
      </c>
      <c r="R18" t="s">
        <v>104</v>
      </c>
      <c r="U18">
        <v>200</v>
      </c>
      <c r="AA18">
        <v>300</v>
      </c>
      <c r="AG18">
        <v>350</v>
      </c>
      <c r="AH18">
        <v>2000</v>
      </c>
      <c r="AM18">
        <v>248</v>
      </c>
      <c r="AN18">
        <v>1400</v>
      </c>
      <c r="AO18">
        <v>300</v>
      </c>
      <c r="AP18">
        <v>650</v>
      </c>
      <c r="AS18">
        <v>750</v>
      </c>
      <c r="AU18">
        <v>1000</v>
      </c>
      <c r="AV18">
        <v>1230</v>
      </c>
      <c r="AW18">
        <v>861</v>
      </c>
      <c r="AX18" t="s">
        <v>157</v>
      </c>
    </row>
    <row r="19" spans="1:50" x14ac:dyDescent="0.25">
      <c r="A19" t="s">
        <v>4</v>
      </c>
      <c r="B19" t="s">
        <v>40</v>
      </c>
      <c r="C19">
        <f>VLOOKUP(D1_OCTUBRE_2025[[#This Row],[SUPER]],DATA_OCTUBRE_2025[[SUPERVISOR]:[META]],3,0)</f>
        <v>22000</v>
      </c>
      <c r="D19">
        <f>D1_OCTUBRE_2025[[#This Row],[RECUPERO]]/D1_OCTUBRE_2025[[#This Row],[META]]</f>
        <v>2.3106363636363638</v>
      </c>
      <c r="E19" t="s">
        <v>4</v>
      </c>
      <c r="F19" t="s">
        <v>40</v>
      </c>
      <c r="G19">
        <v>50834</v>
      </c>
      <c r="H19" t="s">
        <v>424</v>
      </c>
      <c r="I19" s="56">
        <v>45429</v>
      </c>
      <c r="J19" s="56" t="s">
        <v>501</v>
      </c>
      <c r="K19" s="56"/>
      <c r="L19" s="56"/>
      <c r="M19" s="1">
        <f>DATA_OCTUBRE_2025[[#This Row],[RECUPERO]]/DATA_OCTUBRE_2025[[#This Row],[META]]</f>
        <v>1.4431739130434782</v>
      </c>
      <c r="N19" t="str" cm="1">
        <f t="array" ref="N1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19" t="s">
        <v>9</v>
      </c>
      <c r="P19">
        <f>SUM(DATA_OCTUBRE_2025[[#This Row],[1]:[31]])</f>
        <v>33193</v>
      </c>
      <c r="Q19">
        <v>23000</v>
      </c>
      <c r="R19" t="s">
        <v>19</v>
      </c>
      <c r="T19">
        <v>500</v>
      </c>
      <c r="U19">
        <v>2255</v>
      </c>
      <c r="Y19">
        <v>1750</v>
      </c>
      <c r="AA19">
        <v>258</v>
      </c>
      <c r="AE19">
        <v>130</v>
      </c>
      <c r="AJ19">
        <v>700</v>
      </c>
      <c r="AL19">
        <v>1000</v>
      </c>
      <c r="AN19">
        <v>6700</v>
      </c>
      <c r="AO19">
        <v>1000</v>
      </c>
      <c r="AS19">
        <v>2000</v>
      </c>
      <c r="AU19">
        <v>1300</v>
      </c>
      <c r="AV19">
        <v>14000</v>
      </c>
      <c r="AW19">
        <v>1600</v>
      </c>
      <c r="AX19" t="s">
        <v>156</v>
      </c>
    </row>
    <row r="20" spans="1:50" x14ac:dyDescent="0.25">
      <c r="A20" t="s">
        <v>4</v>
      </c>
      <c r="B20" t="s">
        <v>93</v>
      </c>
      <c r="C20">
        <f>VLOOKUP(D1_OCTUBRE_2025[[#This Row],[SUPER]],DATA_OCTUBRE_2025[[SUPERVISOR]:[META]],3,0)</f>
        <v>22000</v>
      </c>
      <c r="D20">
        <f>D1_OCTUBRE_2025[[#This Row],[RECUPERO]]/D1_OCTUBRE_2025[[#This Row],[META]]</f>
        <v>1.1891818181818181</v>
      </c>
      <c r="E20" t="s">
        <v>4</v>
      </c>
      <c r="F20" t="s">
        <v>93</v>
      </c>
      <c r="G20">
        <v>26162</v>
      </c>
      <c r="H20" t="s">
        <v>482</v>
      </c>
      <c r="I20" s="56">
        <v>44644</v>
      </c>
      <c r="J20" s="56" t="s">
        <v>501</v>
      </c>
      <c r="K20" s="56"/>
      <c r="L20" s="56"/>
      <c r="M20" s="1">
        <f>DATA_OCTUBRE_2025[[#This Row],[RECUPERO]]/DATA_OCTUBRE_2025[[#This Row],[META]]</f>
        <v>0.45429090909090908</v>
      </c>
      <c r="N20" t="str" cm="1">
        <f t="array" ref="N2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20" t="s">
        <v>3</v>
      </c>
      <c r="P20">
        <f>SUM(DATA_OCTUBRE_2025[[#This Row],[1]:[31]])</f>
        <v>9994.4</v>
      </c>
      <c r="Q20">
        <v>22000</v>
      </c>
      <c r="R20" t="s">
        <v>53</v>
      </c>
      <c r="S20">
        <v>506.4</v>
      </c>
      <c r="T20">
        <v>318</v>
      </c>
      <c r="AG20">
        <v>7000</v>
      </c>
      <c r="AI20">
        <v>560</v>
      </c>
      <c r="AL20">
        <v>1610</v>
      </c>
      <c r="AX20" t="s">
        <v>157</v>
      </c>
    </row>
    <row r="21" spans="1:50" x14ac:dyDescent="0.25">
      <c r="A21" t="s">
        <v>4</v>
      </c>
      <c r="B21" t="s">
        <v>35</v>
      </c>
      <c r="C21">
        <f>VLOOKUP(D1_OCTUBRE_2025[[#This Row],[SUPER]],DATA_OCTUBRE_2025[[SUPERVISOR]:[META]],3,0)</f>
        <v>22000</v>
      </c>
      <c r="D21">
        <f>D1_OCTUBRE_2025[[#This Row],[RECUPERO]]/D1_OCTUBRE_2025[[#This Row],[META]]</f>
        <v>0.80418181818181822</v>
      </c>
      <c r="E21" t="s">
        <v>4</v>
      </c>
      <c r="F21" t="s">
        <v>35</v>
      </c>
      <c r="G21">
        <v>17692</v>
      </c>
      <c r="H21" t="s">
        <v>401</v>
      </c>
      <c r="I21" s="56">
        <v>44748</v>
      </c>
      <c r="J21" s="56" t="s">
        <v>501</v>
      </c>
      <c r="K21" s="56"/>
      <c r="L21" s="56"/>
      <c r="M21" s="1">
        <f>DATA_OCTUBRE_2025[[#This Row],[RECUPERO]]/DATA_OCTUBRE_2025[[#This Row],[META]]</f>
        <v>0.3354375</v>
      </c>
      <c r="N21" t="str" cm="1">
        <f t="array" ref="N2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21" t="s">
        <v>125</v>
      </c>
      <c r="P21">
        <f>SUM(DATA_OCTUBRE_2025[[#This Row],[1]:[31]])</f>
        <v>10734</v>
      </c>
      <c r="Q21">
        <v>32000</v>
      </c>
      <c r="R21" t="s">
        <v>41</v>
      </c>
      <c r="AB21">
        <v>320</v>
      </c>
      <c r="AE21">
        <v>257</v>
      </c>
      <c r="AH21">
        <v>300</v>
      </c>
      <c r="AI21">
        <v>230</v>
      </c>
      <c r="AN21">
        <v>1000</v>
      </c>
      <c r="AO21">
        <v>300</v>
      </c>
      <c r="AP21">
        <v>5500</v>
      </c>
      <c r="AS21">
        <v>1000</v>
      </c>
      <c r="AU21">
        <v>650</v>
      </c>
      <c r="AW21">
        <v>1177</v>
      </c>
      <c r="AX21" t="s">
        <v>158</v>
      </c>
    </row>
    <row r="22" spans="1:50" x14ac:dyDescent="0.25">
      <c r="A22" t="s">
        <v>4</v>
      </c>
      <c r="B22" t="s">
        <v>55</v>
      </c>
      <c r="C22">
        <f>VLOOKUP(D1_OCTUBRE_2025[[#This Row],[SUPER]],DATA_OCTUBRE_2025[[SUPERVISOR]:[META]],3,0)</f>
        <v>22000</v>
      </c>
      <c r="D22">
        <f>D1_OCTUBRE_2025[[#This Row],[RECUPERO]]/D1_OCTUBRE_2025[[#This Row],[META]]</f>
        <v>0.72113863636363629</v>
      </c>
      <c r="E22" t="s">
        <v>4</v>
      </c>
      <c r="F22" t="s">
        <v>55</v>
      </c>
      <c r="G22">
        <v>15865.05</v>
      </c>
      <c r="H22" t="s">
        <v>475</v>
      </c>
      <c r="I22" s="56">
        <v>45818</v>
      </c>
      <c r="J22" s="56" t="s">
        <v>501</v>
      </c>
      <c r="K22" s="56"/>
      <c r="L22" s="56"/>
      <c r="M22" s="1">
        <f>DATA_OCTUBRE_2025[[#This Row],[RECUPERO]]/DATA_OCTUBRE_2025[[#This Row],[META]]</f>
        <v>1.6813142857142858</v>
      </c>
      <c r="N22" t="str" cm="1">
        <f t="array" ref="N2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2" t="s">
        <v>8</v>
      </c>
      <c r="P22">
        <f>SUM(DATA_OCTUBRE_2025[[#This Row],[1]:[31]])</f>
        <v>117692</v>
      </c>
      <c r="Q22">
        <v>70000</v>
      </c>
      <c r="R22" t="s">
        <v>61</v>
      </c>
      <c r="S22">
        <v>1000</v>
      </c>
      <c r="U22">
        <v>700</v>
      </c>
      <c r="AB22">
        <v>21000</v>
      </c>
      <c r="AG22">
        <v>10855</v>
      </c>
      <c r="AH22">
        <v>11500</v>
      </c>
      <c r="AI22">
        <v>6690</v>
      </c>
      <c r="AM22">
        <v>20000</v>
      </c>
      <c r="AN22">
        <v>8200</v>
      </c>
      <c r="AO22">
        <v>7300</v>
      </c>
      <c r="AP22">
        <v>6132</v>
      </c>
      <c r="AS22">
        <v>900</v>
      </c>
      <c r="AU22">
        <v>3600</v>
      </c>
      <c r="AV22">
        <v>6315</v>
      </c>
      <c r="AW22">
        <v>13500</v>
      </c>
      <c r="AX22" t="s">
        <v>155</v>
      </c>
    </row>
    <row r="23" spans="1:50" x14ac:dyDescent="0.25">
      <c r="A23" t="s">
        <v>4</v>
      </c>
      <c r="B23" t="s">
        <v>71</v>
      </c>
      <c r="C23">
        <f>VLOOKUP(D1_OCTUBRE_2025[[#This Row],[SUPER]],DATA_OCTUBRE_2025[[SUPERVISOR]:[META]],3,0)</f>
        <v>22000</v>
      </c>
      <c r="D23">
        <f>D1_OCTUBRE_2025[[#This Row],[RECUPERO]]/D1_OCTUBRE_2025[[#This Row],[META]]</f>
        <v>0.54481818181818187</v>
      </c>
      <c r="E23" t="s">
        <v>4</v>
      </c>
      <c r="F23" t="s">
        <v>71</v>
      </c>
      <c r="G23">
        <v>11986</v>
      </c>
      <c r="H23" t="s">
        <v>414</v>
      </c>
      <c r="I23" s="56">
        <v>45423</v>
      </c>
      <c r="J23" s="56" t="s">
        <v>501</v>
      </c>
      <c r="K23" s="56"/>
      <c r="L23" s="56"/>
      <c r="M23" s="1">
        <f>DATA_OCTUBRE_2025[[#This Row],[RECUPERO]]/DATA_OCTUBRE_2025[[#This Row],[META]]</f>
        <v>1.7717391304347827</v>
      </c>
      <c r="N23" t="str" cm="1">
        <f t="array" ref="N2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3" t="s">
        <v>9</v>
      </c>
      <c r="P23">
        <f>SUM(DATA_OCTUBRE_2025[[#This Row],[1]:[31]])</f>
        <v>40750</v>
      </c>
      <c r="Q23">
        <v>23000</v>
      </c>
      <c r="R23" t="s">
        <v>80</v>
      </c>
      <c r="S23">
        <v>235</v>
      </c>
      <c r="AA23">
        <v>800</v>
      </c>
      <c r="AB23">
        <v>365</v>
      </c>
      <c r="AF23">
        <v>800</v>
      </c>
      <c r="AH23">
        <v>38000</v>
      </c>
      <c r="AL23">
        <v>400</v>
      </c>
      <c r="AM23">
        <v>150</v>
      </c>
      <c r="AX23" t="s">
        <v>156</v>
      </c>
    </row>
    <row r="24" spans="1:50" x14ac:dyDescent="0.25">
      <c r="A24" t="s">
        <v>4</v>
      </c>
      <c r="B24" t="s">
        <v>74</v>
      </c>
      <c r="C24">
        <f>VLOOKUP(D1_OCTUBRE_2025[[#This Row],[SUPER]],DATA_OCTUBRE_2025[[SUPERVISOR]:[META]],3,0)</f>
        <v>22000</v>
      </c>
      <c r="D24">
        <f>D1_OCTUBRE_2025[[#This Row],[RECUPERO]]/D1_OCTUBRE_2025[[#This Row],[META]]</f>
        <v>0.53149999999999997</v>
      </c>
      <c r="E24" t="s">
        <v>4</v>
      </c>
      <c r="F24" t="s">
        <v>74</v>
      </c>
      <c r="G24">
        <v>11693</v>
      </c>
      <c r="H24" t="s">
        <v>395</v>
      </c>
      <c r="I24" s="56">
        <v>44470</v>
      </c>
      <c r="J24" s="56" t="s">
        <v>501</v>
      </c>
      <c r="K24" s="56"/>
      <c r="L24" s="56"/>
      <c r="M24" s="1">
        <f>DATA_OCTUBRE_2025[[#This Row],[RECUPERO]]/DATA_OCTUBRE_2025[[#This Row],[META]]</f>
        <v>2.3106363636363638</v>
      </c>
      <c r="N24" t="str" cm="1">
        <f t="array" ref="N2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4" t="s">
        <v>4</v>
      </c>
      <c r="P24">
        <f>SUM(DATA_OCTUBRE_2025[[#This Row],[1]:[31]])</f>
        <v>50834</v>
      </c>
      <c r="Q24">
        <v>22000</v>
      </c>
      <c r="R24" t="s">
        <v>40</v>
      </c>
      <c r="S24">
        <v>1700</v>
      </c>
      <c r="AA24">
        <v>1700</v>
      </c>
      <c r="AB24">
        <v>800</v>
      </c>
      <c r="AD24">
        <v>200</v>
      </c>
      <c r="AE24">
        <v>1000</v>
      </c>
      <c r="AF24">
        <v>300</v>
      </c>
      <c r="AG24">
        <v>20300</v>
      </c>
      <c r="AJ24">
        <v>280</v>
      </c>
      <c r="AL24">
        <v>390</v>
      </c>
      <c r="AN24">
        <v>700</v>
      </c>
      <c r="AP24">
        <v>294</v>
      </c>
      <c r="AQ24">
        <v>220</v>
      </c>
      <c r="AS24">
        <v>1200</v>
      </c>
      <c r="AW24">
        <v>21750</v>
      </c>
      <c r="AX24" t="s">
        <v>157</v>
      </c>
    </row>
    <row r="25" spans="1:50" x14ac:dyDescent="0.25">
      <c r="A25" t="s">
        <v>4</v>
      </c>
      <c r="B25" t="s">
        <v>92</v>
      </c>
      <c r="C25">
        <f>VLOOKUP(D1_OCTUBRE_2025[[#This Row],[SUPER]],DATA_OCTUBRE_2025[[SUPERVISOR]:[META]],3,0)</f>
        <v>22000</v>
      </c>
      <c r="D25">
        <f>D1_OCTUBRE_2025[[#This Row],[RECUPERO]]/D1_OCTUBRE_2025[[#This Row],[META]]</f>
        <v>0.43795454545454543</v>
      </c>
      <c r="E25" t="s">
        <v>4</v>
      </c>
      <c r="F25" t="s">
        <v>92</v>
      </c>
      <c r="G25">
        <v>9635</v>
      </c>
      <c r="H25" t="s">
        <v>486</v>
      </c>
      <c r="I25" s="56">
        <v>45399</v>
      </c>
      <c r="J25" s="56" t="s">
        <v>501</v>
      </c>
      <c r="K25" s="56"/>
      <c r="L25" s="56"/>
      <c r="M25" s="1">
        <f>DATA_OCTUBRE_2025[[#This Row],[RECUPERO]]/DATA_OCTUBRE_2025[[#This Row],[META]]</f>
        <v>1.3420721428571429</v>
      </c>
      <c r="N25" t="str" cm="1">
        <f t="array" ref="N2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5" t="s">
        <v>8</v>
      </c>
      <c r="P25">
        <f>SUM(DATA_OCTUBRE_2025[[#This Row],[1]:[31]])</f>
        <v>93945.05</v>
      </c>
      <c r="Q25">
        <v>70000</v>
      </c>
      <c r="R25" t="s">
        <v>81</v>
      </c>
      <c r="S25">
        <v>400</v>
      </c>
      <c r="U25">
        <v>1000</v>
      </c>
      <c r="Y25">
        <v>18882</v>
      </c>
      <c r="AB25">
        <v>2000</v>
      </c>
      <c r="AC25">
        <v>223</v>
      </c>
      <c r="AF25">
        <v>36128.050000000003</v>
      </c>
      <c r="AG25">
        <v>3959</v>
      </c>
      <c r="AH25">
        <v>220</v>
      </c>
      <c r="AJ25">
        <v>355</v>
      </c>
      <c r="AL25">
        <v>3020</v>
      </c>
      <c r="AM25">
        <v>6000</v>
      </c>
      <c r="AN25">
        <v>1741</v>
      </c>
      <c r="AP25">
        <v>5900</v>
      </c>
      <c r="AS25">
        <v>400</v>
      </c>
      <c r="AT25">
        <v>600</v>
      </c>
      <c r="AU25">
        <v>6000</v>
      </c>
      <c r="AV25">
        <v>6430</v>
      </c>
      <c r="AW25">
        <v>687</v>
      </c>
      <c r="AX25" t="s">
        <v>155</v>
      </c>
    </row>
    <row r="26" spans="1:50" x14ac:dyDescent="0.25">
      <c r="A26" t="s">
        <v>4</v>
      </c>
      <c r="B26" t="s">
        <v>114</v>
      </c>
      <c r="C26">
        <f>VLOOKUP(D1_OCTUBRE_2025[[#This Row],[SUPER]],DATA_OCTUBRE_2025[[SUPERVISOR]:[META]],3,0)</f>
        <v>22000</v>
      </c>
      <c r="D26">
        <f>D1_OCTUBRE_2025[[#This Row],[RECUPERO]]/D1_OCTUBRE_2025[[#This Row],[META]]</f>
        <v>0.41581818181818181</v>
      </c>
      <c r="E26" t="s">
        <v>4</v>
      </c>
      <c r="F26" t="s">
        <v>114</v>
      </c>
      <c r="G26">
        <v>9148</v>
      </c>
      <c r="H26" t="s">
        <v>490</v>
      </c>
      <c r="I26" s="56">
        <v>45917</v>
      </c>
      <c r="J26" s="56" t="s">
        <v>501</v>
      </c>
      <c r="K26" s="56"/>
      <c r="L26" s="56"/>
      <c r="M26" s="1">
        <f>DATA_OCTUBRE_2025[[#This Row],[RECUPERO]]/DATA_OCTUBRE_2025[[#This Row],[META]]</f>
        <v>0.36471874999999998</v>
      </c>
      <c r="N26" t="str" cm="1">
        <f t="array" ref="N2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26" t="s">
        <v>5</v>
      </c>
      <c r="P26">
        <f>SUM(DATA_OCTUBRE_2025[[#This Row],[1]:[31]])</f>
        <v>11671</v>
      </c>
      <c r="Q26">
        <v>32000</v>
      </c>
      <c r="R26" t="s">
        <v>28</v>
      </c>
      <c r="U26">
        <v>207</v>
      </c>
      <c r="X26">
        <v>2000</v>
      </c>
      <c r="AB26">
        <v>800</v>
      </c>
      <c r="AM26">
        <v>400</v>
      </c>
      <c r="AO26">
        <v>2700</v>
      </c>
      <c r="AS26">
        <v>314</v>
      </c>
      <c r="AT26">
        <v>850</v>
      </c>
      <c r="AV26">
        <v>400</v>
      </c>
      <c r="AW26">
        <v>4000</v>
      </c>
      <c r="AX26" t="s">
        <v>158</v>
      </c>
    </row>
    <row r="27" spans="1:50" x14ac:dyDescent="0.25">
      <c r="A27" t="s">
        <v>4</v>
      </c>
      <c r="B27" t="s">
        <v>49</v>
      </c>
      <c r="C27">
        <f>VLOOKUP(D1_OCTUBRE_2025[[#This Row],[SUPER]],DATA_OCTUBRE_2025[[SUPERVISOR]:[META]],3,0)</f>
        <v>22000</v>
      </c>
      <c r="D27">
        <f>D1_OCTUBRE_2025[[#This Row],[RECUPERO]]/D1_OCTUBRE_2025[[#This Row],[META]]</f>
        <v>0.42295454545454547</v>
      </c>
      <c r="E27" t="s">
        <v>4</v>
      </c>
      <c r="F27" t="s">
        <v>49</v>
      </c>
      <c r="G27">
        <v>9305</v>
      </c>
      <c r="H27" t="s">
        <v>436</v>
      </c>
      <c r="I27" s="56">
        <v>42814</v>
      </c>
      <c r="J27" s="56" t="s">
        <v>501</v>
      </c>
      <c r="K27" s="56"/>
      <c r="L27" s="56"/>
      <c r="M27" s="1">
        <f>DATA_OCTUBRE_2025[[#This Row],[RECUPERO]]/DATA_OCTUBRE_2025[[#This Row],[META]]</f>
        <v>1.5539156250000001</v>
      </c>
      <c r="N27" t="str" cm="1">
        <f t="array" ref="N2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7" t="s">
        <v>5</v>
      </c>
      <c r="P27">
        <f>SUM(DATA_OCTUBRE_2025[[#This Row],[1]:[31]])</f>
        <v>49725.3</v>
      </c>
      <c r="Q27">
        <v>32000</v>
      </c>
      <c r="R27" t="s">
        <v>72</v>
      </c>
      <c r="Y27">
        <v>850</v>
      </c>
      <c r="AE27">
        <v>650</v>
      </c>
      <c r="AF27">
        <v>950</v>
      </c>
      <c r="AG27">
        <v>1041.3</v>
      </c>
      <c r="AH27">
        <v>2200</v>
      </c>
      <c r="AO27">
        <v>2000</v>
      </c>
      <c r="AP27">
        <v>2550</v>
      </c>
      <c r="AQ27">
        <v>2134</v>
      </c>
      <c r="AS27">
        <v>1100</v>
      </c>
      <c r="AT27">
        <v>9500</v>
      </c>
      <c r="AV27">
        <v>25550</v>
      </c>
      <c r="AW27">
        <v>1200</v>
      </c>
      <c r="AX27" t="s">
        <v>158</v>
      </c>
    </row>
    <row r="28" spans="1:50" x14ac:dyDescent="0.25">
      <c r="A28" t="s">
        <v>4</v>
      </c>
      <c r="B28" t="s">
        <v>104</v>
      </c>
      <c r="C28">
        <f>VLOOKUP(D1_OCTUBRE_2025[[#This Row],[SUPER]],DATA_OCTUBRE_2025[[SUPERVISOR]:[META]],3,0)</f>
        <v>22000</v>
      </c>
      <c r="D28">
        <f>D1_OCTUBRE_2025[[#This Row],[RECUPERO]]/D1_OCTUBRE_2025[[#This Row],[META]]</f>
        <v>0.42222727272727273</v>
      </c>
      <c r="E28" t="s">
        <v>4</v>
      </c>
      <c r="F28" t="s">
        <v>104</v>
      </c>
      <c r="G28">
        <v>9289</v>
      </c>
      <c r="H28" t="s">
        <v>456</v>
      </c>
      <c r="I28" s="56">
        <v>44104</v>
      </c>
      <c r="J28" s="56" t="s">
        <v>501</v>
      </c>
      <c r="K28" s="56"/>
      <c r="L28" s="56"/>
      <c r="M28" s="1">
        <f>DATA_OCTUBRE_2025[[#This Row],[RECUPERO]]/DATA_OCTUBRE_2025[[#This Row],[META]]</f>
        <v>1.1283018867924528</v>
      </c>
      <c r="N28" t="str" cm="1">
        <f t="array" ref="N2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8" t="s">
        <v>6</v>
      </c>
      <c r="P28">
        <f>SUM(DATA_OCTUBRE_2025[[#This Row],[1]:[31]])</f>
        <v>59800</v>
      </c>
      <c r="Q28">
        <v>53000</v>
      </c>
      <c r="R28" t="s">
        <v>22</v>
      </c>
      <c r="T28">
        <v>1000</v>
      </c>
      <c r="Y28">
        <v>145</v>
      </c>
      <c r="AA28">
        <v>350</v>
      </c>
      <c r="AB28">
        <v>3000</v>
      </c>
      <c r="AE28">
        <v>17830</v>
      </c>
      <c r="AH28">
        <v>19283</v>
      </c>
      <c r="AI28">
        <v>2300</v>
      </c>
      <c r="AN28">
        <v>800</v>
      </c>
      <c r="AO28">
        <v>687</v>
      </c>
      <c r="AQ28">
        <v>4000</v>
      </c>
      <c r="AU28">
        <v>5000</v>
      </c>
      <c r="AW28">
        <v>5405</v>
      </c>
      <c r="AX28" t="s">
        <v>159</v>
      </c>
    </row>
    <row r="29" spans="1:50" x14ac:dyDescent="0.25">
      <c r="A29" t="s">
        <v>125</v>
      </c>
      <c r="B29" t="s">
        <v>65</v>
      </c>
      <c r="C29">
        <f>VLOOKUP(D1_OCTUBRE_2025[[#This Row],[SUPER]],DATA_OCTUBRE_2025[[SUPERVISOR]:[META]],3,0)</f>
        <v>32000</v>
      </c>
      <c r="D29">
        <f>D1_OCTUBRE_2025[[#This Row],[RECUPERO]]/D1_OCTUBRE_2025[[#This Row],[META]]</f>
        <v>1.3979375000000001</v>
      </c>
      <c r="E29" t="s">
        <v>125</v>
      </c>
      <c r="F29" t="s">
        <v>65</v>
      </c>
      <c r="G29">
        <v>44734</v>
      </c>
      <c r="H29" t="s">
        <v>438</v>
      </c>
      <c r="I29" s="56">
        <v>45021</v>
      </c>
      <c r="J29" s="56" t="s">
        <v>501</v>
      </c>
      <c r="K29" s="56"/>
      <c r="L29" s="56"/>
      <c r="M29" s="1">
        <f>DATA_OCTUBRE_2025[[#This Row],[RECUPERO]]/DATA_OCTUBRE_2025[[#This Row],[META]]</f>
        <v>1.0704347826086957</v>
      </c>
      <c r="N29" t="str" cm="1">
        <f t="array" ref="N2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29" t="s">
        <v>9</v>
      </c>
      <c r="P29">
        <f>SUM(DATA_OCTUBRE_2025[[#This Row],[1]:[31]])</f>
        <v>24620</v>
      </c>
      <c r="Q29">
        <v>23000</v>
      </c>
      <c r="R29" t="s">
        <v>24</v>
      </c>
      <c r="X29">
        <v>250</v>
      </c>
      <c r="Y29">
        <v>210</v>
      </c>
      <c r="AA29">
        <v>500</v>
      </c>
      <c r="AH29">
        <v>160</v>
      </c>
      <c r="AI29">
        <v>6000</v>
      </c>
      <c r="AL29">
        <v>5544</v>
      </c>
      <c r="AM29">
        <v>800</v>
      </c>
      <c r="AO29">
        <v>2000</v>
      </c>
      <c r="AP29">
        <v>250</v>
      </c>
      <c r="AT29">
        <v>500</v>
      </c>
      <c r="AU29">
        <v>1300</v>
      </c>
      <c r="AV29">
        <v>5906</v>
      </c>
      <c r="AW29">
        <v>1200</v>
      </c>
      <c r="AX29" t="s">
        <v>156</v>
      </c>
    </row>
    <row r="30" spans="1:50" x14ac:dyDescent="0.25">
      <c r="A30" t="s">
        <v>125</v>
      </c>
      <c r="B30" t="s">
        <v>91</v>
      </c>
      <c r="C30">
        <f>VLOOKUP(D1_OCTUBRE_2025[[#This Row],[SUPER]],DATA_OCTUBRE_2025[[SUPERVISOR]:[META]],3,0)</f>
        <v>32000</v>
      </c>
      <c r="D30">
        <f>D1_OCTUBRE_2025[[#This Row],[RECUPERO]]/D1_OCTUBRE_2025[[#This Row],[META]]</f>
        <v>0.99562499999999998</v>
      </c>
      <c r="E30" t="s">
        <v>125</v>
      </c>
      <c r="F30" t="s">
        <v>91</v>
      </c>
      <c r="G30">
        <v>31860</v>
      </c>
      <c r="H30" t="s">
        <v>483</v>
      </c>
      <c r="I30" s="56">
        <v>45882</v>
      </c>
      <c r="J30" s="56" t="s">
        <v>501</v>
      </c>
      <c r="K30" s="56"/>
      <c r="L30" s="56"/>
      <c r="M30" s="1">
        <f>DATA_OCTUBRE_2025[[#This Row],[RECUPERO]]/DATA_OCTUBRE_2025[[#This Row],[META]]</f>
        <v>0.34173584905660376</v>
      </c>
      <c r="N30" t="str" cm="1">
        <f t="array" ref="N3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30" t="s">
        <v>7</v>
      </c>
      <c r="P30">
        <f>SUM(DATA_OCTUBRE_2025[[#This Row],[1]:[31]])</f>
        <v>18112</v>
      </c>
      <c r="Q30">
        <v>53000</v>
      </c>
      <c r="R30" t="s">
        <v>105</v>
      </c>
      <c r="Y30">
        <v>1862</v>
      </c>
      <c r="AG30">
        <v>4000</v>
      </c>
      <c r="AH30">
        <v>4000</v>
      </c>
      <c r="AO30">
        <v>4200</v>
      </c>
      <c r="AP30">
        <v>700</v>
      </c>
      <c r="AT30">
        <v>1800</v>
      </c>
      <c r="AV30">
        <v>300</v>
      </c>
      <c r="AW30">
        <v>1250</v>
      </c>
      <c r="AX30" t="s">
        <v>159</v>
      </c>
    </row>
    <row r="31" spans="1:50" x14ac:dyDescent="0.25">
      <c r="A31" t="s">
        <v>125</v>
      </c>
      <c r="B31" t="s">
        <v>16</v>
      </c>
      <c r="C31">
        <f>VLOOKUP(D1_OCTUBRE_2025[[#This Row],[SUPER]],DATA_OCTUBRE_2025[[SUPERVISOR]:[META]],3,0)</f>
        <v>32000</v>
      </c>
      <c r="D31">
        <f>D1_OCTUBRE_2025[[#This Row],[RECUPERO]]/D1_OCTUBRE_2025[[#This Row],[META]]</f>
        <v>0.95665624999999999</v>
      </c>
      <c r="E31" t="s">
        <v>125</v>
      </c>
      <c r="F31" t="s">
        <v>16</v>
      </c>
      <c r="G31">
        <v>30613</v>
      </c>
      <c r="H31" t="s">
        <v>388</v>
      </c>
      <c r="I31" s="56">
        <v>45334</v>
      </c>
      <c r="J31" s="56" t="s">
        <v>501</v>
      </c>
      <c r="K31" s="56"/>
      <c r="L31" s="56"/>
      <c r="M31" s="1">
        <f>DATA_OCTUBRE_2025[[#This Row],[RECUPERO]]/DATA_OCTUBRE_2025[[#This Row],[META]]</f>
        <v>0.95665624999999999</v>
      </c>
      <c r="N31" t="str" cm="1">
        <f t="array" ref="N3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31" t="s">
        <v>125</v>
      </c>
      <c r="P31">
        <f>SUM(DATA_OCTUBRE_2025[[#This Row],[1]:[31]])</f>
        <v>30613</v>
      </c>
      <c r="Q31">
        <v>32000</v>
      </c>
      <c r="R31" t="s">
        <v>16</v>
      </c>
      <c r="S31">
        <v>600</v>
      </c>
      <c r="U31">
        <v>600</v>
      </c>
      <c r="AA31">
        <v>600</v>
      </c>
      <c r="AE31">
        <v>8800</v>
      </c>
      <c r="AF31">
        <v>2900</v>
      </c>
      <c r="AI31">
        <v>3000</v>
      </c>
      <c r="AL31">
        <v>600</v>
      </c>
      <c r="AO31">
        <v>400</v>
      </c>
      <c r="AT31">
        <v>5000</v>
      </c>
      <c r="AU31">
        <v>1500</v>
      </c>
      <c r="AV31">
        <v>813</v>
      </c>
      <c r="AW31">
        <v>5800</v>
      </c>
      <c r="AX31" t="s">
        <v>158</v>
      </c>
    </row>
    <row r="32" spans="1:50" x14ac:dyDescent="0.25">
      <c r="A32" t="s">
        <v>125</v>
      </c>
      <c r="B32" t="s">
        <v>15</v>
      </c>
      <c r="C32">
        <f>VLOOKUP(D1_OCTUBRE_2025[[#This Row],[SUPER]],DATA_OCTUBRE_2025[[SUPERVISOR]:[META]],3,0)</f>
        <v>32000</v>
      </c>
      <c r="D32">
        <f>D1_OCTUBRE_2025[[#This Row],[RECUPERO]]/D1_OCTUBRE_2025[[#This Row],[META]]</f>
        <v>0.96356249999999999</v>
      </c>
      <c r="E32" t="s">
        <v>125</v>
      </c>
      <c r="F32" t="s">
        <v>15</v>
      </c>
      <c r="G32">
        <v>30834</v>
      </c>
      <c r="H32" t="s">
        <v>410</v>
      </c>
      <c r="I32" s="56">
        <v>44735</v>
      </c>
      <c r="J32" s="56" t="s">
        <v>501</v>
      </c>
      <c r="K32" s="56"/>
      <c r="L32" s="56"/>
      <c r="M32" s="1">
        <f>DATA_OCTUBRE_2025[[#This Row],[RECUPERO]]/DATA_OCTUBRE_2025[[#This Row],[META]]</f>
        <v>0.7658571428571429</v>
      </c>
      <c r="N32" t="str" cm="1">
        <f t="array" ref="N3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32" t="s">
        <v>8</v>
      </c>
      <c r="P32">
        <f>SUM(DATA_OCTUBRE_2025[[#This Row],[1]:[31]])</f>
        <v>53610</v>
      </c>
      <c r="Q32">
        <v>70000</v>
      </c>
      <c r="R32" t="s">
        <v>27</v>
      </c>
      <c r="U32">
        <v>576</v>
      </c>
      <c r="X32">
        <v>5000</v>
      </c>
      <c r="AF32">
        <v>1000</v>
      </c>
      <c r="AG32">
        <v>1000</v>
      </c>
      <c r="AU32">
        <v>25600</v>
      </c>
      <c r="AV32">
        <v>2034</v>
      </c>
      <c r="AW32">
        <v>18400</v>
      </c>
      <c r="AX32" t="s">
        <v>155</v>
      </c>
    </row>
    <row r="33" spans="1:50" x14ac:dyDescent="0.25">
      <c r="A33" t="s">
        <v>125</v>
      </c>
      <c r="B33" t="s">
        <v>38</v>
      </c>
      <c r="C33">
        <f>VLOOKUP(D1_OCTUBRE_2025[[#This Row],[SUPER]],DATA_OCTUBRE_2025[[SUPERVISOR]:[META]],3,0)</f>
        <v>32000</v>
      </c>
      <c r="D33">
        <f>D1_OCTUBRE_2025[[#This Row],[RECUPERO]]/D1_OCTUBRE_2025[[#This Row],[META]]</f>
        <v>0.95709374999999997</v>
      </c>
      <c r="E33" t="s">
        <v>125</v>
      </c>
      <c r="F33" t="s">
        <v>38</v>
      </c>
      <c r="G33">
        <v>30627</v>
      </c>
      <c r="H33" t="s">
        <v>469</v>
      </c>
      <c r="I33" s="56">
        <v>45805</v>
      </c>
      <c r="J33" s="56" t="s">
        <v>501</v>
      </c>
      <c r="K33" s="56"/>
      <c r="L33" s="56"/>
      <c r="M33" s="1">
        <f>DATA_OCTUBRE_2025[[#This Row],[RECUPERO]]/DATA_OCTUBRE_2025[[#This Row],[META]]</f>
        <v>0.86759375000000005</v>
      </c>
      <c r="N33" t="str" cm="1">
        <f t="array" ref="N3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33" t="s">
        <v>125</v>
      </c>
      <c r="P33">
        <f>SUM(DATA_OCTUBRE_2025[[#This Row],[1]:[31]])</f>
        <v>27763</v>
      </c>
      <c r="Q33">
        <v>32000</v>
      </c>
      <c r="R33" t="s">
        <v>12</v>
      </c>
      <c r="U33">
        <v>1900</v>
      </c>
      <c r="X33">
        <v>600</v>
      </c>
      <c r="AA33">
        <v>1100</v>
      </c>
      <c r="AB33">
        <v>800</v>
      </c>
      <c r="AE33">
        <v>3500</v>
      </c>
      <c r="AG33">
        <v>1282</v>
      </c>
      <c r="AM33">
        <v>600</v>
      </c>
      <c r="AN33">
        <v>3450</v>
      </c>
      <c r="AV33">
        <v>531</v>
      </c>
      <c r="AW33">
        <v>14000</v>
      </c>
      <c r="AX33" t="s">
        <v>158</v>
      </c>
    </row>
    <row r="34" spans="1:50" x14ac:dyDescent="0.25">
      <c r="A34" t="s">
        <v>125</v>
      </c>
      <c r="B34" t="s">
        <v>12</v>
      </c>
      <c r="C34">
        <f>VLOOKUP(D1_OCTUBRE_2025[[#This Row],[SUPER]],DATA_OCTUBRE_2025[[SUPERVISOR]:[META]],3,0)</f>
        <v>32000</v>
      </c>
      <c r="D34">
        <f>D1_OCTUBRE_2025[[#This Row],[RECUPERO]]/D1_OCTUBRE_2025[[#This Row],[META]]</f>
        <v>0.86759375000000005</v>
      </c>
      <c r="E34" t="s">
        <v>125</v>
      </c>
      <c r="F34" t="s">
        <v>12</v>
      </c>
      <c r="G34">
        <v>27763</v>
      </c>
      <c r="H34" t="s">
        <v>389</v>
      </c>
      <c r="I34" s="56">
        <v>44870</v>
      </c>
      <c r="J34" s="56" t="s">
        <v>501</v>
      </c>
      <c r="K34" s="56"/>
      <c r="L34" s="56"/>
      <c r="M34" s="1">
        <f>DATA_OCTUBRE_2025[[#This Row],[RECUPERO]]/DATA_OCTUBRE_2025[[#This Row],[META]]</f>
        <v>0.72826086956521741</v>
      </c>
      <c r="N34" t="str" cm="1">
        <f t="array" ref="N3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34" t="s">
        <v>9</v>
      </c>
      <c r="P34">
        <f>SUM(DATA_OCTUBRE_2025[[#This Row],[1]:[31]])</f>
        <v>16750</v>
      </c>
      <c r="Q34">
        <v>23000</v>
      </c>
      <c r="R34" t="s">
        <v>51</v>
      </c>
      <c r="X34">
        <v>1580</v>
      </c>
      <c r="AE34">
        <v>500</v>
      </c>
      <c r="AG34">
        <v>160</v>
      </c>
      <c r="AH34">
        <v>720</v>
      </c>
      <c r="AI34">
        <v>380</v>
      </c>
      <c r="AL34">
        <v>650</v>
      </c>
      <c r="AP34">
        <v>400</v>
      </c>
      <c r="AS34">
        <v>400</v>
      </c>
      <c r="AU34">
        <v>4800</v>
      </c>
      <c r="AV34">
        <v>7000</v>
      </c>
      <c r="AW34">
        <v>160</v>
      </c>
      <c r="AX34" t="s">
        <v>156</v>
      </c>
    </row>
    <row r="35" spans="1:50" x14ac:dyDescent="0.25">
      <c r="A35" t="s">
        <v>125</v>
      </c>
      <c r="B35" t="s">
        <v>73</v>
      </c>
      <c r="C35">
        <f>VLOOKUP(D1_OCTUBRE_2025[[#This Row],[SUPER]],DATA_OCTUBRE_2025[[SUPERVISOR]:[META]],3,0)</f>
        <v>32000</v>
      </c>
      <c r="D35">
        <f>D1_OCTUBRE_2025[[#This Row],[RECUPERO]]/D1_OCTUBRE_2025[[#This Row],[META]]</f>
        <v>0.44046875000000002</v>
      </c>
      <c r="E35" t="s">
        <v>125</v>
      </c>
      <c r="F35" t="s">
        <v>73</v>
      </c>
      <c r="G35">
        <v>14095</v>
      </c>
      <c r="H35" t="s">
        <v>420</v>
      </c>
      <c r="I35" s="56">
        <v>45145</v>
      </c>
      <c r="J35" s="56" t="s">
        <v>501</v>
      </c>
      <c r="K35" s="56"/>
      <c r="L35" s="56"/>
      <c r="M35" s="1">
        <f>DATA_OCTUBRE_2025[[#This Row],[RECUPERO]]/DATA_OCTUBRE_2025[[#This Row],[META]]</f>
        <v>1.1891818181818181</v>
      </c>
      <c r="N35" t="str" cm="1">
        <f t="array" ref="N3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35" t="s">
        <v>4</v>
      </c>
      <c r="P35">
        <f>SUM(DATA_OCTUBRE_2025[[#This Row],[1]:[31]])</f>
        <v>26162</v>
      </c>
      <c r="Q35">
        <v>22000</v>
      </c>
      <c r="R35" t="s">
        <v>93</v>
      </c>
      <c r="S35">
        <v>200</v>
      </c>
      <c r="AE35">
        <v>540</v>
      </c>
      <c r="AG35">
        <v>200</v>
      </c>
      <c r="AH35">
        <v>14200</v>
      </c>
      <c r="AI35">
        <v>100</v>
      </c>
      <c r="AL35">
        <v>5000</v>
      </c>
      <c r="AM35">
        <v>300</v>
      </c>
      <c r="AN35">
        <v>230</v>
      </c>
      <c r="AS35">
        <v>590</v>
      </c>
      <c r="AU35">
        <v>2180</v>
      </c>
      <c r="AV35">
        <v>800</v>
      </c>
      <c r="AW35">
        <v>1822</v>
      </c>
      <c r="AX35" t="s">
        <v>157</v>
      </c>
    </row>
    <row r="36" spans="1:50" x14ac:dyDescent="0.25">
      <c r="A36" t="s">
        <v>125</v>
      </c>
      <c r="B36" t="s">
        <v>41</v>
      </c>
      <c r="C36">
        <f>VLOOKUP(D1_OCTUBRE_2025[[#This Row],[SUPER]],DATA_OCTUBRE_2025[[SUPERVISOR]:[META]],3,0)</f>
        <v>32000</v>
      </c>
      <c r="D36">
        <f>D1_OCTUBRE_2025[[#This Row],[RECUPERO]]/D1_OCTUBRE_2025[[#This Row],[META]]</f>
        <v>0.3354375</v>
      </c>
      <c r="E36" t="s">
        <v>125</v>
      </c>
      <c r="F36" t="s">
        <v>41</v>
      </c>
      <c r="G36">
        <v>10734</v>
      </c>
      <c r="H36" t="s">
        <v>387</v>
      </c>
      <c r="I36" s="56">
        <v>45304</v>
      </c>
      <c r="J36" s="56" t="s">
        <v>501</v>
      </c>
      <c r="K36" s="56"/>
      <c r="L36" s="56"/>
      <c r="M36" s="1">
        <f>DATA_OCTUBRE_2025[[#This Row],[RECUPERO]]/DATA_OCTUBRE_2025[[#This Row],[META]]</f>
        <v>1.1452608695652173</v>
      </c>
      <c r="N36" t="str" cm="1">
        <f t="array" ref="N3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36" t="s">
        <v>9</v>
      </c>
      <c r="P36">
        <f>SUM(DATA_OCTUBRE_2025[[#This Row],[1]:[31]])</f>
        <v>26341</v>
      </c>
      <c r="Q36">
        <v>23000</v>
      </c>
      <c r="R36" t="s">
        <v>13</v>
      </c>
      <c r="S36">
        <v>1800</v>
      </c>
      <c r="T36">
        <v>266</v>
      </c>
      <c r="X36">
        <v>4200</v>
      </c>
      <c r="Y36">
        <v>2000</v>
      </c>
      <c r="AA36">
        <v>350</v>
      </c>
      <c r="AB36">
        <v>1365</v>
      </c>
      <c r="AM36">
        <v>360</v>
      </c>
      <c r="AO36">
        <v>16000</v>
      </c>
      <c r="AX36" t="s">
        <v>156</v>
      </c>
    </row>
    <row r="37" spans="1:50" x14ac:dyDescent="0.25">
      <c r="A37" t="s">
        <v>5</v>
      </c>
      <c r="B37" t="s">
        <v>72</v>
      </c>
      <c r="C37">
        <f>VLOOKUP(D1_OCTUBRE_2025[[#This Row],[SUPER]],DATA_OCTUBRE_2025[[SUPERVISOR]:[META]],3,0)</f>
        <v>32000</v>
      </c>
      <c r="D37">
        <f>D1_OCTUBRE_2025[[#This Row],[RECUPERO]]/D1_OCTUBRE_2025[[#This Row],[META]]</f>
        <v>1.5539156250000001</v>
      </c>
      <c r="E37" t="s">
        <v>5</v>
      </c>
      <c r="F37" t="s">
        <v>72</v>
      </c>
      <c r="G37">
        <v>49725.3</v>
      </c>
      <c r="H37" t="s">
        <v>450</v>
      </c>
      <c r="I37" s="56">
        <v>45084</v>
      </c>
      <c r="J37" s="56" t="s">
        <v>501</v>
      </c>
      <c r="K37" s="56"/>
      <c r="L37" s="56"/>
      <c r="M37" s="1">
        <f>DATA_OCTUBRE_2025[[#This Row],[RECUPERO]]/DATA_OCTUBRE_2025[[#This Row],[META]]</f>
        <v>1.1218181818181818</v>
      </c>
      <c r="N37" t="str" cm="1">
        <f t="array" ref="N3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37" t="s">
        <v>3</v>
      </c>
      <c r="P37">
        <f>SUM(DATA_OCTUBRE_2025[[#This Row],[1]:[31]])</f>
        <v>24680</v>
      </c>
      <c r="Q37">
        <v>22000</v>
      </c>
      <c r="R37" t="s">
        <v>44</v>
      </c>
      <c r="S37">
        <v>1000</v>
      </c>
      <c r="U37">
        <v>270</v>
      </c>
      <c r="AC37">
        <v>650</v>
      </c>
      <c r="AF37">
        <v>12000</v>
      </c>
      <c r="AG37">
        <v>1300</v>
      </c>
      <c r="AH37">
        <v>300</v>
      </c>
      <c r="AL37">
        <v>550</v>
      </c>
      <c r="AM37">
        <v>2800</v>
      </c>
      <c r="AN37">
        <v>150</v>
      </c>
      <c r="AS37">
        <v>1900</v>
      </c>
      <c r="AT37">
        <v>500</v>
      </c>
      <c r="AV37">
        <v>180</v>
      </c>
      <c r="AW37">
        <v>3080</v>
      </c>
      <c r="AX37" t="s">
        <v>157</v>
      </c>
    </row>
    <row r="38" spans="1:50" x14ac:dyDescent="0.25">
      <c r="A38" t="s">
        <v>5</v>
      </c>
      <c r="B38" t="s">
        <v>68</v>
      </c>
      <c r="C38">
        <f>VLOOKUP(D1_OCTUBRE_2025[[#This Row],[SUPER]],DATA_OCTUBRE_2025[[SUPERVISOR]:[META]],3,0)</f>
        <v>32000</v>
      </c>
      <c r="D38">
        <f>D1_OCTUBRE_2025[[#This Row],[RECUPERO]]/D1_OCTUBRE_2025[[#This Row],[META]]</f>
        <v>0.94443750000000004</v>
      </c>
      <c r="E38" t="s">
        <v>5</v>
      </c>
      <c r="F38" t="s">
        <v>68</v>
      </c>
      <c r="G38">
        <v>30222</v>
      </c>
      <c r="H38" t="s">
        <v>440</v>
      </c>
      <c r="I38" s="56">
        <v>45364</v>
      </c>
      <c r="J38" s="56" t="s">
        <v>501</v>
      </c>
      <c r="K38" s="56"/>
      <c r="L38" s="56"/>
      <c r="M38" s="1">
        <f>DATA_OCTUBRE_2025[[#This Row],[RECUPERO]]/DATA_OCTUBRE_2025[[#This Row],[META]]</f>
        <v>0.54481818181818187</v>
      </c>
      <c r="N38" t="str" cm="1">
        <f t="array" ref="N3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38" t="s">
        <v>4</v>
      </c>
      <c r="P38">
        <f>SUM(DATA_OCTUBRE_2025[[#This Row],[1]:[31]])</f>
        <v>11986</v>
      </c>
      <c r="Q38">
        <v>22000</v>
      </c>
      <c r="R38" t="s">
        <v>71</v>
      </c>
      <c r="S38">
        <v>153</v>
      </c>
      <c r="T38">
        <v>690</v>
      </c>
      <c r="AE38">
        <v>700</v>
      </c>
      <c r="AG38">
        <v>200</v>
      </c>
      <c r="AL38">
        <v>250</v>
      </c>
      <c r="AN38">
        <v>1716</v>
      </c>
      <c r="AO38">
        <v>720</v>
      </c>
      <c r="AP38">
        <v>2137</v>
      </c>
      <c r="AQ38">
        <v>1500</v>
      </c>
      <c r="AS38">
        <v>1050</v>
      </c>
      <c r="AU38">
        <v>2400</v>
      </c>
      <c r="AV38">
        <v>270</v>
      </c>
      <c r="AW38">
        <v>200</v>
      </c>
      <c r="AX38" t="s">
        <v>157</v>
      </c>
    </row>
    <row r="39" spans="1:50" x14ac:dyDescent="0.25">
      <c r="A39" t="s">
        <v>5</v>
      </c>
      <c r="B39" t="s">
        <v>79</v>
      </c>
      <c r="C39">
        <f>VLOOKUP(D1_OCTUBRE_2025[[#This Row],[SUPER]],DATA_OCTUBRE_2025[[SUPERVISOR]:[META]],3,0)</f>
        <v>32000</v>
      </c>
      <c r="D39">
        <f>D1_OCTUBRE_2025[[#This Row],[RECUPERO]]/D1_OCTUBRE_2025[[#This Row],[META]]</f>
        <v>0.89687499999999998</v>
      </c>
      <c r="E39" t="s">
        <v>5</v>
      </c>
      <c r="F39" t="s">
        <v>79</v>
      </c>
      <c r="G39">
        <v>28700</v>
      </c>
      <c r="H39" t="s">
        <v>453</v>
      </c>
      <c r="I39" s="56">
        <v>44566</v>
      </c>
      <c r="J39" s="56" t="s">
        <v>501</v>
      </c>
      <c r="K39" s="56"/>
      <c r="L39" s="56"/>
      <c r="M39" s="1">
        <f>DATA_OCTUBRE_2025[[#This Row],[RECUPERO]]/DATA_OCTUBRE_2025[[#This Row],[META]]</f>
        <v>0.64928571428571424</v>
      </c>
      <c r="N39" t="str" cm="1">
        <f t="array" ref="N3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39" t="s">
        <v>8</v>
      </c>
      <c r="P39">
        <f>SUM(DATA_OCTUBRE_2025[[#This Row],[1]:[31]])</f>
        <v>45450</v>
      </c>
      <c r="Q39">
        <v>70000</v>
      </c>
      <c r="R39" t="s">
        <v>42</v>
      </c>
      <c r="AA39">
        <v>8700</v>
      </c>
      <c r="AB39">
        <v>3500</v>
      </c>
      <c r="AF39">
        <v>2900</v>
      </c>
      <c r="AO39">
        <v>5000</v>
      </c>
      <c r="AQ39">
        <v>650</v>
      </c>
      <c r="AT39">
        <v>5000</v>
      </c>
      <c r="AU39">
        <v>3200</v>
      </c>
      <c r="AV39">
        <v>5500</v>
      </c>
      <c r="AW39">
        <v>11000</v>
      </c>
      <c r="AX39" t="s">
        <v>155</v>
      </c>
    </row>
    <row r="40" spans="1:50" x14ac:dyDescent="0.25">
      <c r="A40" t="s">
        <v>5</v>
      </c>
      <c r="B40" t="s">
        <v>96</v>
      </c>
      <c r="C40">
        <f>VLOOKUP(D1_OCTUBRE_2025[[#This Row],[SUPER]],DATA_OCTUBRE_2025[[SUPERVISOR]:[META]],3,0)</f>
        <v>32000</v>
      </c>
      <c r="D40">
        <f>D1_OCTUBRE_2025[[#This Row],[RECUPERO]]/D1_OCTUBRE_2025[[#This Row],[META]]</f>
        <v>0.88634374999999999</v>
      </c>
      <c r="E40" t="s">
        <v>5</v>
      </c>
      <c r="F40" t="s">
        <v>96</v>
      </c>
      <c r="G40">
        <v>28363</v>
      </c>
      <c r="H40" t="s">
        <v>437</v>
      </c>
      <c r="I40" s="56">
        <v>45671</v>
      </c>
      <c r="J40" s="56" t="s">
        <v>501</v>
      </c>
      <c r="K40" s="56"/>
      <c r="L40" s="56"/>
      <c r="M40" s="1">
        <f>DATA_OCTUBRE_2025[[#This Row],[RECUPERO]]/DATA_OCTUBRE_2025[[#This Row],[META]]</f>
        <v>0.41581818181818181</v>
      </c>
      <c r="N40" t="str" cm="1">
        <f t="array" ref="N4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40" t="s">
        <v>4</v>
      </c>
      <c r="P40">
        <f>SUM(DATA_OCTUBRE_2025[[#This Row],[1]:[31]])</f>
        <v>9148</v>
      </c>
      <c r="Q40">
        <v>22000</v>
      </c>
      <c r="R40" t="s">
        <v>114</v>
      </c>
      <c r="AB40">
        <v>1000</v>
      </c>
      <c r="AF40">
        <v>398</v>
      </c>
      <c r="AG40">
        <v>750</v>
      </c>
      <c r="AV40">
        <v>7000</v>
      </c>
      <c r="AX40" t="s">
        <v>157</v>
      </c>
    </row>
    <row r="41" spans="1:50" x14ac:dyDescent="0.25">
      <c r="A41" t="s">
        <v>5</v>
      </c>
      <c r="B41" t="s">
        <v>26</v>
      </c>
      <c r="C41">
        <f>VLOOKUP(D1_OCTUBRE_2025[[#This Row],[SUPER]],DATA_OCTUBRE_2025[[SUPERVISOR]:[META]],3,0)</f>
        <v>32000</v>
      </c>
      <c r="D41">
        <f>D1_OCTUBRE_2025[[#This Row],[RECUPERO]]/D1_OCTUBRE_2025[[#This Row],[META]]</f>
        <v>0.80615625000000002</v>
      </c>
      <c r="E41" t="s">
        <v>5</v>
      </c>
      <c r="F41" t="s">
        <v>26</v>
      </c>
      <c r="G41">
        <v>25797</v>
      </c>
      <c r="H41" t="s">
        <v>391</v>
      </c>
      <c r="I41" s="56">
        <v>44259</v>
      </c>
      <c r="J41" s="56" t="s">
        <v>501</v>
      </c>
      <c r="K41" s="56"/>
      <c r="L41" s="56"/>
      <c r="M41" s="1">
        <f>DATA_OCTUBRE_2025[[#This Row],[RECUPERO]]/DATA_OCTUBRE_2025[[#This Row],[META]]</f>
        <v>0.2713913043478261</v>
      </c>
      <c r="N41" t="str" cm="1">
        <f t="array" ref="N4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41" t="s">
        <v>9</v>
      </c>
      <c r="P41">
        <f>SUM(DATA_OCTUBRE_2025[[#This Row],[1]:[31]])</f>
        <v>6242</v>
      </c>
      <c r="Q41">
        <v>23000</v>
      </c>
      <c r="R41" t="s">
        <v>100</v>
      </c>
      <c r="AB41">
        <v>475</v>
      </c>
      <c r="AG41">
        <v>252</v>
      </c>
      <c r="AH41">
        <v>1500</v>
      </c>
      <c r="AI41">
        <v>100</v>
      </c>
      <c r="AN41">
        <v>2000</v>
      </c>
      <c r="AP41">
        <v>650</v>
      </c>
      <c r="AT41">
        <v>230</v>
      </c>
      <c r="AU41">
        <v>475</v>
      </c>
      <c r="AV41">
        <v>300</v>
      </c>
      <c r="AW41">
        <v>260</v>
      </c>
      <c r="AX41" t="s">
        <v>156</v>
      </c>
    </row>
    <row r="42" spans="1:50" x14ac:dyDescent="0.25">
      <c r="A42" t="s">
        <v>5</v>
      </c>
      <c r="B42" t="s">
        <v>103</v>
      </c>
      <c r="C42">
        <f>VLOOKUP(D1_OCTUBRE_2025[[#This Row],[SUPER]],DATA_OCTUBRE_2025[[SUPERVISOR]:[META]],3,0)</f>
        <v>32000</v>
      </c>
      <c r="D42">
        <f>D1_OCTUBRE_2025[[#This Row],[RECUPERO]]/D1_OCTUBRE_2025[[#This Row],[META]]</f>
        <v>0.60309374999999998</v>
      </c>
      <c r="E42" t="s">
        <v>5</v>
      </c>
      <c r="F42" t="s">
        <v>103</v>
      </c>
      <c r="G42">
        <v>19299</v>
      </c>
      <c r="H42" t="s">
        <v>419</v>
      </c>
      <c r="I42" s="56">
        <v>45451</v>
      </c>
      <c r="J42" s="56" t="s">
        <v>501</v>
      </c>
      <c r="K42" s="56"/>
      <c r="L42" s="56"/>
      <c r="M42" s="1">
        <f>DATA_OCTUBRE_2025[[#This Row],[RECUPERO]]/DATA_OCTUBRE_2025[[#This Row],[META]]</f>
        <v>0.28318571428571426</v>
      </c>
      <c r="N42" t="str" cm="1">
        <f t="array" ref="N4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42" t="s">
        <v>8</v>
      </c>
      <c r="P42">
        <f>SUM(DATA_OCTUBRE_2025[[#This Row],[1]:[31]])</f>
        <v>19823</v>
      </c>
      <c r="Q42">
        <v>70000</v>
      </c>
      <c r="R42" t="s">
        <v>57</v>
      </c>
      <c r="AF42">
        <v>5000</v>
      </c>
      <c r="AG42">
        <v>9000</v>
      </c>
      <c r="AM42">
        <v>823</v>
      </c>
      <c r="AT42">
        <v>5000</v>
      </c>
      <c r="AX42" t="s">
        <v>155</v>
      </c>
    </row>
    <row r="43" spans="1:50" x14ac:dyDescent="0.25">
      <c r="A43" t="s">
        <v>5</v>
      </c>
      <c r="B43" t="s">
        <v>28</v>
      </c>
      <c r="C43">
        <f>VLOOKUP(D1_OCTUBRE_2025[[#This Row],[SUPER]],DATA_OCTUBRE_2025[[SUPERVISOR]:[META]],3,0)</f>
        <v>32000</v>
      </c>
      <c r="D43">
        <f>D1_OCTUBRE_2025[[#This Row],[RECUPERO]]/D1_OCTUBRE_2025[[#This Row],[META]]</f>
        <v>0.36471874999999998</v>
      </c>
      <c r="E43" t="s">
        <v>5</v>
      </c>
      <c r="F43" t="s">
        <v>28</v>
      </c>
      <c r="G43">
        <v>11671</v>
      </c>
      <c r="H43" t="s">
        <v>478</v>
      </c>
      <c r="I43" s="56">
        <v>45845</v>
      </c>
      <c r="J43" s="56" t="s">
        <v>501</v>
      </c>
      <c r="K43" s="56"/>
      <c r="L43" s="56"/>
      <c r="M43" s="1">
        <f>DATA_OCTUBRE_2025[[#This Row],[RECUPERO]]/DATA_OCTUBRE_2025[[#This Row],[META]]</f>
        <v>0.42295454545454547</v>
      </c>
      <c r="N43" t="str" cm="1">
        <f t="array" ref="N4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43" t="s">
        <v>4</v>
      </c>
      <c r="P43">
        <f>SUM(DATA_OCTUBRE_2025[[#This Row],[1]:[31]])</f>
        <v>9305</v>
      </c>
      <c r="Q43">
        <v>22000</v>
      </c>
      <c r="R43" t="s">
        <v>49</v>
      </c>
      <c r="Y43">
        <v>680</v>
      </c>
      <c r="AF43">
        <v>500</v>
      </c>
      <c r="AG43">
        <v>100</v>
      </c>
      <c r="AH43">
        <v>500</v>
      </c>
      <c r="AI43">
        <v>400</v>
      </c>
      <c r="AM43">
        <v>2000</v>
      </c>
      <c r="AP43">
        <v>1000</v>
      </c>
      <c r="AQ43">
        <v>500</v>
      </c>
      <c r="AT43">
        <v>325</v>
      </c>
      <c r="AU43">
        <v>700</v>
      </c>
      <c r="AV43">
        <v>300</v>
      </c>
      <c r="AW43">
        <v>2300</v>
      </c>
      <c r="AX43" t="s">
        <v>157</v>
      </c>
    </row>
    <row r="44" spans="1:50" x14ac:dyDescent="0.25">
      <c r="A44" t="s">
        <v>5</v>
      </c>
      <c r="B44" t="s">
        <v>70</v>
      </c>
      <c r="C44">
        <f>VLOOKUP(D1_OCTUBRE_2025[[#This Row],[SUPER]],DATA_OCTUBRE_2025[[SUPERVISOR]:[META]],3,0)</f>
        <v>32000</v>
      </c>
      <c r="D44">
        <f>D1_OCTUBRE_2025[[#This Row],[RECUPERO]]/D1_OCTUBRE_2025[[#This Row],[META]]</f>
        <v>0.13746875</v>
      </c>
      <c r="E44" t="s">
        <v>5</v>
      </c>
      <c r="F44" t="s">
        <v>70</v>
      </c>
      <c r="G44">
        <v>4399</v>
      </c>
      <c r="H44" t="s">
        <v>418</v>
      </c>
      <c r="I44" s="56">
        <v>44971</v>
      </c>
      <c r="J44" s="56" t="s">
        <v>501</v>
      </c>
      <c r="K44" s="56"/>
      <c r="L44" s="56"/>
      <c r="M44" s="1">
        <f>DATA_OCTUBRE_2025[[#This Row],[RECUPERO]]/DATA_OCTUBRE_2025[[#This Row],[META]]</f>
        <v>0.80615625000000002</v>
      </c>
      <c r="N44" t="str" cm="1">
        <f t="array" ref="N4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44" t="s">
        <v>5</v>
      </c>
      <c r="P44">
        <f>SUM(DATA_OCTUBRE_2025[[#This Row],[1]:[31]])</f>
        <v>25797</v>
      </c>
      <c r="Q44">
        <v>32000</v>
      </c>
      <c r="R44" t="s">
        <v>26</v>
      </c>
      <c r="U44">
        <v>400</v>
      </c>
      <c r="X44">
        <v>1262</v>
      </c>
      <c r="AA44">
        <v>800</v>
      </c>
      <c r="AB44">
        <v>3000</v>
      </c>
      <c r="AF44">
        <v>3500</v>
      </c>
      <c r="AH44">
        <v>800</v>
      </c>
      <c r="AI44">
        <v>3500</v>
      </c>
      <c r="AL44">
        <v>510</v>
      </c>
      <c r="AM44">
        <v>775</v>
      </c>
      <c r="AW44">
        <v>11250</v>
      </c>
      <c r="AX44" t="s">
        <v>158</v>
      </c>
    </row>
    <row r="45" spans="1:50" x14ac:dyDescent="0.25">
      <c r="A45" t="s">
        <v>6</v>
      </c>
      <c r="B45" t="s">
        <v>75</v>
      </c>
      <c r="C45">
        <f>VLOOKUP(D1_OCTUBRE_2025[[#This Row],[SUPER]],DATA_OCTUBRE_2025[[SUPERVISOR]:[META]],3,0)</f>
        <v>53000</v>
      </c>
      <c r="D45">
        <f>D1_OCTUBRE_2025[[#This Row],[RECUPERO]]/D1_OCTUBRE_2025[[#This Row],[META]]</f>
        <v>1.9579811320754716</v>
      </c>
      <c r="E45" t="s">
        <v>6</v>
      </c>
      <c r="F45" t="s">
        <v>75</v>
      </c>
      <c r="G45">
        <v>103773</v>
      </c>
      <c r="H45" t="s">
        <v>428</v>
      </c>
      <c r="I45" s="56">
        <v>44716</v>
      </c>
      <c r="J45" s="56" t="s">
        <v>501</v>
      </c>
      <c r="K45" s="56"/>
      <c r="L45" s="56"/>
      <c r="M45" s="1">
        <f>DATA_OCTUBRE_2025[[#This Row],[RECUPERO]]/DATA_OCTUBRE_2025[[#This Row],[META]]</f>
        <v>0.88634374999999999</v>
      </c>
      <c r="N45" t="str" cm="1">
        <f t="array" ref="N4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45" t="s">
        <v>5</v>
      </c>
      <c r="P45">
        <f>SUM(DATA_OCTUBRE_2025[[#This Row],[1]:[31]])</f>
        <v>28363</v>
      </c>
      <c r="Q45">
        <v>32000</v>
      </c>
      <c r="R45" t="s">
        <v>96</v>
      </c>
      <c r="AF45">
        <v>1200</v>
      </c>
      <c r="AH45">
        <v>600</v>
      </c>
      <c r="AM45">
        <v>5000</v>
      </c>
      <c r="AO45">
        <v>300</v>
      </c>
      <c r="AP45">
        <v>5800</v>
      </c>
      <c r="AT45">
        <v>160</v>
      </c>
      <c r="AU45">
        <v>4383</v>
      </c>
      <c r="AV45">
        <v>4520</v>
      </c>
      <c r="AW45">
        <v>6400</v>
      </c>
      <c r="AX45" t="s">
        <v>158</v>
      </c>
    </row>
    <row r="46" spans="1:50" x14ac:dyDescent="0.25">
      <c r="A46" t="s">
        <v>6</v>
      </c>
      <c r="B46" t="s">
        <v>22</v>
      </c>
      <c r="C46">
        <f>VLOOKUP(D1_OCTUBRE_2025[[#This Row],[SUPER]],DATA_OCTUBRE_2025[[SUPERVISOR]:[META]],3,0)</f>
        <v>53000</v>
      </c>
      <c r="D46">
        <f>D1_OCTUBRE_2025[[#This Row],[RECUPERO]]/D1_OCTUBRE_2025[[#This Row],[META]]</f>
        <v>1.1283018867924528</v>
      </c>
      <c r="E46" t="s">
        <v>6</v>
      </c>
      <c r="F46" t="s">
        <v>22</v>
      </c>
      <c r="G46">
        <v>59800</v>
      </c>
      <c r="H46" t="s">
        <v>442</v>
      </c>
      <c r="I46" s="56">
        <v>45299</v>
      </c>
      <c r="J46" s="56" t="s">
        <v>501</v>
      </c>
      <c r="K46" s="56"/>
      <c r="L46" s="56"/>
      <c r="M46" s="1">
        <f>DATA_OCTUBRE_2025[[#This Row],[RECUPERO]]/DATA_OCTUBRE_2025[[#This Row],[META]]</f>
        <v>1.3979375000000001</v>
      </c>
      <c r="N46" t="str" cm="1">
        <f t="array" ref="N4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46" t="s">
        <v>125</v>
      </c>
      <c r="P46">
        <f>SUM(DATA_OCTUBRE_2025[[#This Row],[1]:[31]])</f>
        <v>44734</v>
      </c>
      <c r="Q46">
        <v>32000</v>
      </c>
      <c r="R46" t="s">
        <v>65</v>
      </c>
      <c r="U46">
        <v>1200</v>
      </c>
      <c r="Y46">
        <v>3200</v>
      </c>
      <c r="AB46">
        <v>800</v>
      </c>
      <c r="AF46">
        <v>3400</v>
      </c>
      <c r="AI46">
        <v>1500</v>
      </c>
      <c r="AL46">
        <v>1498</v>
      </c>
      <c r="AM46">
        <v>1000</v>
      </c>
      <c r="AO46">
        <v>1400</v>
      </c>
      <c r="AP46">
        <v>3200</v>
      </c>
      <c r="AT46">
        <v>13300</v>
      </c>
      <c r="AV46">
        <v>10319</v>
      </c>
      <c r="AW46">
        <v>3917</v>
      </c>
      <c r="AX46" t="s">
        <v>158</v>
      </c>
    </row>
    <row r="47" spans="1:50" x14ac:dyDescent="0.25">
      <c r="A47" t="s">
        <v>6</v>
      </c>
      <c r="B47" t="s">
        <v>78</v>
      </c>
      <c r="C47">
        <f>VLOOKUP(D1_OCTUBRE_2025[[#This Row],[SUPER]],DATA_OCTUBRE_2025[[SUPERVISOR]:[META]],3,0)</f>
        <v>53000</v>
      </c>
      <c r="D47">
        <f>D1_OCTUBRE_2025[[#This Row],[RECUPERO]]/D1_OCTUBRE_2025[[#This Row],[META]]</f>
        <v>0.95771698113207548</v>
      </c>
      <c r="E47" t="s">
        <v>6</v>
      </c>
      <c r="F47" t="s">
        <v>78</v>
      </c>
      <c r="G47">
        <v>50759</v>
      </c>
      <c r="H47" t="s">
        <v>397</v>
      </c>
      <c r="I47" s="56">
        <v>44945</v>
      </c>
      <c r="J47" s="56" t="s">
        <v>501</v>
      </c>
      <c r="K47" s="56"/>
      <c r="L47" s="56"/>
      <c r="M47" s="1">
        <f>DATA_OCTUBRE_2025[[#This Row],[RECUPERO]]/DATA_OCTUBRE_2025[[#This Row],[META]]</f>
        <v>0.26111320754716982</v>
      </c>
      <c r="N47" t="str" cm="1">
        <f t="array" ref="N4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47" t="s">
        <v>7</v>
      </c>
      <c r="P47">
        <f>SUM(DATA_OCTUBRE_2025[[#This Row],[1]:[31]])</f>
        <v>13839</v>
      </c>
      <c r="Q47">
        <v>53000</v>
      </c>
      <c r="R47" t="s">
        <v>20</v>
      </c>
      <c r="T47">
        <v>700</v>
      </c>
      <c r="Y47">
        <v>800</v>
      </c>
      <c r="AF47">
        <v>2350</v>
      </c>
      <c r="AH47">
        <v>2277</v>
      </c>
      <c r="AM47">
        <v>650</v>
      </c>
      <c r="AP47">
        <v>4000</v>
      </c>
      <c r="AQ47">
        <v>362</v>
      </c>
      <c r="AT47">
        <v>400</v>
      </c>
      <c r="AV47">
        <v>2300</v>
      </c>
      <c r="AX47" t="s">
        <v>159</v>
      </c>
    </row>
    <row r="48" spans="1:50" x14ac:dyDescent="0.25">
      <c r="A48" t="s">
        <v>6</v>
      </c>
      <c r="B48" t="s">
        <v>67</v>
      </c>
      <c r="C48">
        <f>VLOOKUP(D1_OCTUBRE_2025[[#This Row],[SUPER]],DATA_OCTUBRE_2025[[SUPERVISOR]:[META]],3,0)</f>
        <v>53000</v>
      </c>
      <c r="D48">
        <f>D1_OCTUBRE_2025[[#This Row],[RECUPERO]]/D1_OCTUBRE_2025[[#This Row],[META]]</f>
        <v>0.84500226415094348</v>
      </c>
      <c r="E48" t="s">
        <v>6</v>
      </c>
      <c r="F48" t="s">
        <v>67</v>
      </c>
      <c r="G48">
        <v>44785.120000000003</v>
      </c>
      <c r="H48" t="s">
        <v>381</v>
      </c>
      <c r="I48" s="56">
        <v>44811</v>
      </c>
      <c r="J48" s="56" t="s">
        <v>501</v>
      </c>
      <c r="K48" s="56"/>
      <c r="L48" s="56"/>
      <c r="M48" s="1">
        <f>DATA_OCTUBRE_2025[[#This Row],[RECUPERO]]/DATA_OCTUBRE_2025[[#This Row],[META]]</f>
        <v>0.69650000000000001</v>
      </c>
      <c r="N48" t="str" cm="1">
        <f t="array" ref="N4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48" t="s">
        <v>3</v>
      </c>
      <c r="P48">
        <f>SUM(DATA_OCTUBRE_2025[[#This Row],[1]:[31]])</f>
        <v>15323</v>
      </c>
      <c r="Q48">
        <v>22000</v>
      </c>
      <c r="R48" t="s">
        <v>106</v>
      </c>
      <c r="X48">
        <v>150</v>
      </c>
      <c r="Y48">
        <v>200</v>
      </c>
      <c r="AC48">
        <v>200</v>
      </c>
      <c r="AG48">
        <v>550</v>
      </c>
      <c r="AS48">
        <v>3305</v>
      </c>
      <c r="AU48">
        <v>600</v>
      </c>
      <c r="AV48">
        <v>6000</v>
      </c>
      <c r="AW48">
        <v>4318</v>
      </c>
      <c r="AX48" t="s">
        <v>157</v>
      </c>
    </row>
    <row r="49" spans="1:50" x14ac:dyDescent="0.25">
      <c r="A49" t="s">
        <v>6</v>
      </c>
      <c r="B49" t="s">
        <v>99</v>
      </c>
      <c r="C49">
        <f>VLOOKUP(D1_OCTUBRE_2025[[#This Row],[SUPER]],DATA_OCTUBRE_2025[[SUPERVISOR]:[META]],3,0)</f>
        <v>53000</v>
      </c>
      <c r="D49">
        <f>D1_OCTUBRE_2025[[#This Row],[RECUPERO]]/D1_OCTUBRE_2025[[#This Row],[META]]</f>
        <v>0.73509433962264148</v>
      </c>
      <c r="E49" t="s">
        <v>6</v>
      </c>
      <c r="F49" t="s">
        <v>99</v>
      </c>
      <c r="G49">
        <v>38960</v>
      </c>
      <c r="H49" t="s">
        <v>484</v>
      </c>
      <c r="I49" s="56">
        <v>45896</v>
      </c>
      <c r="J49" s="56" t="s">
        <v>501</v>
      </c>
      <c r="K49" s="56"/>
      <c r="L49" s="56"/>
      <c r="M49" s="1">
        <f>DATA_OCTUBRE_2025[[#This Row],[RECUPERO]]/DATA_OCTUBRE_2025[[#This Row],[META]]</f>
        <v>0.65221739130434786</v>
      </c>
      <c r="N49" t="str" cm="1">
        <f t="array" ref="N4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49" t="s">
        <v>9</v>
      </c>
      <c r="P49">
        <f>SUM(DATA_OCTUBRE_2025[[#This Row],[1]:[31]])</f>
        <v>15001</v>
      </c>
      <c r="Q49">
        <v>23000</v>
      </c>
      <c r="R49" t="s">
        <v>77</v>
      </c>
      <c r="AB49">
        <v>160</v>
      </c>
      <c r="AF49">
        <v>130</v>
      </c>
      <c r="AG49">
        <v>113</v>
      </c>
      <c r="AI49">
        <v>1054</v>
      </c>
      <c r="AL49">
        <v>330</v>
      </c>
      <c r="AM49">
        <v>258</v>
      </c>
      <c r="AS49">
        <v>400</v>
      </c>
      <c r="AT49">
        <v>4000</v>
      </c>
      <c r="AU49">
        <v>250</v>
      </c>
      <c r="AW49">
        <v>8306</v>
      </c>
      <c r="AX49" t="s">
        <v>156</v>
      </c>
    </row>
    <row r="50" spans="1:50" x14ac:dyDescent="0.25">
      <c r="A50" t="s">
        <v>6</v>
      </c>
      <c r="B50" t="s">
        <v>36</v>
      </c>
      <c r="C50">
        <f>VLOOKUP(D1_OCTUBRE_2025[[#This Row],[SUPER]],DATA_OCTUBRE_2025[[SUPERVISOR]:[META]],3,0)</f>
        <v>53000</v>
      </c>
      <c r="D50">
        <f>D1_OCTUBRE_2025[[#This Row],[RECUPERO]]/D1_OCTUBRE_2025[[#This Row],[META]]</f>
        <v>0.27422641509433965</v>
      </c>
      <c r="E50" t="s">
        <v>6</v>
      </c>
      <c r="F50" t="s">
        <v>36</v>
      </c>
      <c r="G50">
        <v>14534</v>
      </c>
      <c r="H50" t="s">
        <v>406</v>
      </c>
      <c r="I50" s="56">
        <v>44941</v>
      </c>
      <c r="J50" s="56" t="s">
        <v>501</v>
      </c>
      <c r="K50" s="56"/>
      <c r="L50" s="56"/>
      <c r="M50" s="1">
        <f>DATA_OCTUBRE_2025[[#This Row],[RECUPERO]]/DATA_OCTUBRE_2025[[#This Row],[META]]</f>
        <v>0.80418181818181822</v>
      </c>
      <c r="N50" t="str" cm="1">
        <f t="array" ref="N5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50" t="s">
        <v>4</v>
      </c>
      <c r="P50">
        <f>SUM(DATA_OCTUBRE_2025[[#This Row],[1]:[31]])</f>
        <v>17692</v>
      </c>
      <c r="Q50">
        <v>22000</v>
      </c>
      <c r="R50" t="s">
        <v>35</v>
      </c>
      <c r="S50">
        <v>520</v>
      </c>
      <c r="T50">
        <v>600</v>
      </c>
      <c r="Y50">
        <v>2000</v>
      </c>
      <c r="AB50">
        <v>4400</v>
      </c>
      <c r="AG50">
        <v>700</v>
      </c>
      <c r="AH50">
        <v>700</v>
      </c>
      <c r="AL50">
        <v>2300</v>
      </c>
      <c r="AO50">
        <v>368</v>
      </c>
      <c r="AP50">
        <v>592</v>
      </c>
      <c r="AS50">
        <v>290</v>
      </c>
      <c r="AV50">
        <v>2222</v>
      </c>
      <c r="AW50">
        <v>3000</v>
      </c>
      <c r="AX50" t="s">
        <v>157</v>
      </c>
    </row>
    <row r="51" spans="1:50" x14ac:dyDescent="0.25">
      <c r="A51" t="s">
        <v>6</v>
      </c>
      <c r="B51" t="s">
        <v>29</v>
      </c>
      <c r="C51">
        <f>VLOOKUP(D1_OCTUBRE_2025[[#This Row],[SUPER]],DATA_OCTUBRE_2025[[SUPERVISOR]:[META]],3,0)</f>
        <v>53000</v>
      </c>
      <c r="D51">
        <f>D1_OCTUBRE_2025[[#This Row],[RECUPERO]]/D1_OCTUBRE_2025[[#This Row],[META]]</f>
        <v>0.19549056603773585</v>
      </c>
      <c r="E51" t="s">
        <v>6</v>
      </c>
      <c r="F51" t="s">
        <v>29</v>
      </c>
      <c r="G51">
        <v>10361</v>
      </c>
      <c r="H51" t="s">
        <v>416</v>
      </c>
      <c r="I51" s="56">
        <v>44687</v>
      </c>
      <c r="J51" s="56" t="s">
        <v>501</v>
      </c>
      <c r="K51" s="56"/>
      <c r="L51" s="56"/>
      <c r="M51" s="1">
        <f>DATA_OCTUBRE_2025[[#This Row],[RECUPERO]]/DATA_OCTUBRE_2025[[#This Row],[META]]</f>
        <v>0.37164285714285716</v>
      </c>
      <c r="N51" t="str" cm="1">
        <f t="array" ref="N5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51" t="s">
        <v>8</v>
      </c>
      <c r="P51">
        <f>SUM(DATA_OCTUBRE_2025[[#This Row],[1]:[31]])</f>
        <v>26015</v>
      </c>
      <c r="Q51">
        <v>70000</v>
      </c>
      <c r="R51" t="s">
        <v>46</v>
      </c>
      <c r="S51">
        <v>16005</v>
      </c>
      <c r="X51">
        <v>1310</v>
      </c>
      <c r="Y51">
        <v>4350</v>
      </c>
      <c r="AG51">
        <v>600</v>
      </c>
      <c r="AH51">
        <v>3750</v>
      </c>
      <c r="AX51" t="s">
        <v>155</v>
      </c>
    </row>
    <row r="52" spans="1:50" x14ac:dyDescent="0.25">
      <c r="A52" t="s">
        <v>6</v>
      </c>
      <c r="B52" t="s">
        <v>31</v>
      </c>
      <c r="C52">
        <f>VLOOKUP(D1_OCTUBRE_2025[[#This Row],[SUPER]],DATA_OCTUBRE_2025[[SUPERVISOR]:[META]],3,0)</f>
        <v>53000</v>
      </c>
      <c r="D52">
        <f>D1_OCTUBRE_2025[[#This Row],[RECUPERO]]/D1_OCTUBRE_2025[[#This Row],[META]]</f>
        <v>0.14150943396226415</v>
      </c>
      <c r="E52" t="s">
        <v>6</v>
      </c>
      <c r="F52" t="s">
        <v>31</v>
      </c>
      <c r="G52">
        <v>7500</v>
      </c>
      <c r="H52" t="s">
        <v>403</v>
      </c>
      <c r="I52" s="56">
        <v>45334</v>
      </c>
      <c r="J52" s="56" t="s">
        <v>501</v>
      </c>
      <c r="K52" s="56"/>
      <c r="L52" s="56"/>
      <c r="M52" s="1">
        <f>DATA_OCTUBRE_2025[[#This Row],[RECUPERO]]/DATA_OCTUBRE_2025[[#This Row],[META]]</f>
        <v>0.16347826086956521</v>
      </c>
      <c r="N52" t="str" cm="1">
        <f t="array" ref="N5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52" t="s">
        <v>9</v>
      </c>
      <c r="P52">
        <f>SUM(DATA_OCTUBRE_2025[[#This Row],[1]:[31]])</f>
        <v>3760</v>
      </c>
      <c r="Q52">
        <v>23000</v>
      </c>
      <c r="R52" t="s">
        <v>50</v>
      </c>
      <c r="AB52">
        <v>685</v>
      </c>
      <c r="AN52">
        <v>2500</v>
      </c>
      <c r="AU52">
        <v>575</v>
      </c>
      <c r="AX52" t="s">
        <v>156</v>
      </c>
    </row>
    <row r="53" spans="1:50" x14ac:dyDescent="0.25">
      <c r="A53" t="s">
        <v>7</v>
      </c>
      <c r="B53" t="s">
        <v>69</v>
      </c>
      <c r="C53">
        <f>VLOOKUP(D1_OCTUBRE_2025[[#This Row],[SUPER]],DATA_OCTUBRE_2025[[SUPERVISOR]:[META]],3,0)</f>
        <v>53000</v>
      </c>
      <c r="D53">
        <f>D1_OCTUBRE_2025[[#This Row],[RECUPERO]]/D1_OCTUBRE_2025[[#This Row],[META]]</f>
        <v>1.3928301886792454</v>
      </c>
      <c r="E53" t="s">
        <v>7</v>
      </c>
      <c r="F53" t="s">
        <v>69</v>
      </c>
      <c r="G53">
        <v>73820</v>
      </c>
      <c r="H53" t="s">
        <v>379</v>
      </c>
      <c r="I53" s="56">
        <v>44461</v>
      </c>
      <c r="J53" s="56" t="s">
        <v>501</v>
      </c>
      <c r="K53" s="56"/>
      <c r="L53" s="56"/>
      <c r="M53" s="1">
        <f>DATA_OCTUBRE_2025[[#This Row],[RECUPERO]]/DATA_OCTUBRE_2025[[#This Row],[META]]</f>
        <v>0.76181818181818184</v>
      </c>
      <c r="N53" t="str" cm="1">
        <f t="array" ref="N5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53" t="s">
        <v>3</v>
      </c>
      <c r="P53">
        <f>SUM(DATA_OCTUBRE_2025[[#This Row],[1]:[31]])</f>
        <v>16760</v>
      </c>
      <c r="Q53">
        <v>22000</v>
      </c>
      <c r="R53" t="s">
        <v>33</v>
      </c>
      <c r="V53">
        <v>1062</v>
      </c>
      <c r="X53">
        <v>400</v>
      </c>
      <c r="Y53">
        <v>150</v>
      </c>
      <c r="AF53">
        <v>300</v>
      </c>
      <c r="AG53">
        <v>618</v>
      </c>
      <c r="AI53">
        <v>2000</v>
      </c>
      <c r="AL53">
        <v>4500</v>
      </c>
      <c r="AO53">
        <v>820</v>
      </c>
      <c r="AP53">
        <v>400</v>
      </c>
      <c r="AS53">
        <v>3000</v>
      </c>
      <c r="AT53">
        <v>500</v>
      </c>
      <c r="AV53">
        <v>1310</v>
      </c>
      <c r="AW53">
        <v>1700</v>
      </c>
      <c r="AX53" t="s">
        <v>157</v>
      </c>
    </row>
    <row r="54" spans="1:50" x14ac:dyDescent="0.25">
      <c r="A54" t="s">
        <v>7</v>
      </c>
      <c r="B54" t="s">
        <v>60</v>
      </c>
      <c r="C54">
        <f>VLOOKUP(D1_OCTUBRE_2025[[#This Row],[SUPER]],DATA_OCTUBRE_2025[[SUPERVISOR]:[META]],3,0)</f>
        <v>53000</v>
      </c>
      <c r="D54">
        <f>D1_OCTUBRE_2025[[#This Row],[RECUPERO]]/D1_OCTUBRE_2025[[#This Row],[META]]</f>
        <v>0.55169811320754714</v>
      </c>
      <c r="E54" t="s">
        <v>7</v>
      </c>
      <c r="F54" t="s">
        <v>60</v>
      </c>
      <c r="G54">
        <v>29240</v>
      </c>
      <c r="H54" t="s">
        <v>423</v>
      </c>
      <c r="I54" s="56">
        <v>45323</v>
      </c>
      <c r="J54" s="56" t="s">
        <v>501</v>
      </c>
      <c r="K54" s="56"/>
      <c r="L54" s="56"/>
      <c r="M54" s="1">
        <f>DATA_OCTUBRE_2025[[#This Row],[RECUPERO]]/DATA_OCTUBRE_2025[[#This Row],[META]]</f>
        <v>2.6484327272727275</v>
      </c>
      <c r="N54" t="str" cm="1">
        <f t="array" ref="N5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54" t="s">
        <v>3</v>
      </c>
      <c r="P54">
        <f>SUM(DATA_OCTUBRE_2025[[#This Row],[1]:[31]])</f>
        <v>58265.520000000004</v>
      </c>
      <c r="Q54">
        <v>22000</v>
      </c>
      <c r="R54" t="s">
        <v>23</v>
      </c>
      <c r="S54">
        <v>350</v>
      </c>
      <c r="U54">
        <v>403</v>
      </c>
      <c r="X54">
        <v>400</v>
      </c>
      <c r="AA54">
        <v>1045</v>
      </c>
      <c r="AB54">
        <v>3832</v>
      </c>
      <c r="AE54">
        <v>5300</v>
      </c>
      <c r="AF54">
        <v>8500.52</v>
      </c>
      <c r="AG54">
        <v>1300</v>
      </c>
      <c r="AH54">
        <v>600</v>
      </c>
      <c r="AL54">
        <v>860</v>
      </c>
      <c r="AM54">
        <v>10950</v>
      </c>
      <c r="AO54">
        <v>4000</v>
      </c>
      <c r="AP54">
        <v>200</v>
      </c>
      <c r="AS54">
        <v>3000</v>
      </c>
      <c r="AT54">
        <v>2500</v>
      </c>
      <c r="AU54">
        <v>3200</v>
      </c>
      <c r="AV54">
        <v>4000</v>
      </c>
      <c r="AW54">
        <v>7825</v>
      </c>
      <c r="AX54" t="s">
        <v>157</v>
      </c>
    </row>
    <row r="55" spans="1:50" x14ac:dyDescent="0.25">
      <c r="A55" t="s">
        <v>7</v>
      </c>
      <c r="B55" t="s">
        <v>21</v>
      </c>
      <c r="C55">
        <f>VLOOKUP(D1_OCTUBRE_2025[[#This Row],[SUPER]],DATA_OCTUBRE_2025[[SUPERVISOR]:[META]],3,0)</f>
        <v>53000</v>
      </c>
      <c r="D55">
        <f>D1_OCTUBRE_2025[[#This Row],[RECUPERO]]/D1_OCTUBRE_2025[[#This Row],[META]]</f>
        <v>0.53933962264150948</v>
      </c>
      <c r="E55" t="s">
        <v>7</v>
      </c>
      <c r="F55" t="s">
        <v>21</v>
      </c>
      <c r="G55">
        <v>28585</v>
      </c>
      <c r="H55" t="s">
        <v>409</v>
      </c>
      <c r="I55" s="56">
        <v>44301</v>
      </c>
      <c r="J55" s="56" t="s">
        <v>501</v>
      </c>
      <c r="K55" s="56"/>
      <c r="L55" s="56"/>
      <c r="M55" s="1">
        <f>DATA_OCTUBRE_2025[[#This Row],[RECUPERO]]/DATA_OCTUBRE_2025[[#This Row],[META]]</f>
        <v>0.94443750000000004</v>
      </c>
      <c r="N55" t="str" cm="1">
        <f t="array" ref="N5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55" t="s">
        <v>5</v>
      </c>
      <c r="P55">
        <f>SUM(DATA_OCTUBRE_2025[[#This Row],[1]:[31]])</f>
        <v>30222</v>
      </c>
      <c r="Q55">
        <v>32000</v>
      </c>
      <c r="R55" t="s">
        <v>68</v>
      </c>
      <c r="S55">
        <v>1000</v>
      </c>
      <c r="Y55">
        <v>300</v>
      </c>
      <c r="AI55">
        <v>2100</v>
      </c>
      <c r="AN55">
        <v>2000</v>
      </c>
      <c r="AO55">
        <v>269</v>
      </c>
      <c r="AP55">
        <v>10545</v>
      </c>
      <c r="AS55">
        <v>8000</v>
      </c>
      <c r="AU55">
        <v>261</v>
      </c>
      <c r="AV55">
        <v>4920</v>
      </c>
      <c r="AW55">
        <v>827</v>
      </c>
      <c r="AX55" t="s">
        <v>158</v>
      </c>
    </row>
    <row r="56" spans="1:50" x14ac:dyDescent="0.25">
      <c r="A56" t="s">
        <v>7</v>
      </c>
      <c r="B56" t="s">
        <v>11</v>
      </c>
      <c r="C56">
        <f>VLOOKUP(D1_OCTUBRE_2025[[#This Row],[SUPER]],DATA_OCTUBRE_2025[[SUPERVISOR]:[META]],3,0)</f>
        <v>53000</v>
      </c>
      <c r="D56">
        <f>D1_OCTUBRE_2025[[#This Row],[RECUPERO]]/D1_OCTUBRE_2025[[#This Row],[META]]</f>
        <v>0.46154716981132077</v>
      </c>
      <c r="E56" t="s">
        <v>7</v>
      </c>
      <c r="F56" t="s">
        <v>11</v>
      </c>
      <c r="G56">
        <v>24462</v>
      </c>
      <c r="H56" t="s">
        <v>429</v>
      </c>
      <c r="I56" s="56">
        <v>45371</v>
      </c>
      <c r="J56" s="56" t="s">
        <v>501</v>
      </c>
      <c r="K56" s="56"/>
      <c r="L56" s="56"/>
      <c r="M56" s="1">
        <f>DATA_OCTUBRE_2025[[#This Row],[RECUPERO]]/DATA_OCTUBRE_2025[[#This Row],[META]]</f>
        <v>0.14150943396226415</v>
      </c>
      <c r="N56" t="str" cm="1">
        <f t="array" ref="N5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56" t="s">
        <v>6</v>
      </c>
      <c r="P56">
        <f>SUM(DATA_OCTUBRE_2025[[#This Row],[1]:[31]])</f>
        <v>7500</v>
      </c>
      <c r="Q56">
        <v>53000</v>
      </c>
      <c r="R56" t="s">
        <v>31</v>
      </c>
      <c r="AP56">
        <v>1000</v>
      </c>
      <c r="AS56">
        <v>4000</v>
      </c>
      <c r="AV56">
        <v>2500</v>
      </c>
      <c r="AX56" t="s">
        <v>159</v>
      </c>
    </row>
    <row r="57" spans="1:50" x14ac:dyDescent="0.25">
      <c r="A57" t="s">
        <v>7</v>
      </c>
      <c r="B57" t="s">
        <v>58</v>
      </c>
      <c r="C57">
        <f>VLOOKUP(D1_OCTUBRE_2025[[#This Row],[SUPER]],DATA_OCTUBRE_2025[[SUPERVISOR]:[META]],3,0)</f>
        <v>53000</v>
      </c>
      <c r="D57">
        <f>D1_OCTUBRE_2025[[#This Row],[RECUPERO]]/D1_OCTUBRE_2025[[#This Row],[META]]</f>
        <v>0.45182075471698113</v>
      </c>
      <c r="E57" t="s">
        <v>7</v>
      </c>
      <c r="F57" t="s">
        <v>58</v>
      </c>
      <c r="G57">
        <v>23946.5</v>
      </c>
      <c r="H57" t="s">
        <v>441</v>
      </c>
      <c r="I57" s="56">
        <v>43035</v>
      </c>
      <c r="J57" s="56" t="s">
        <v>501</v>
      </c>
      <c r="K57" s="56"/>
      <c r="L57" s="56"/>
      <c r="M57" s="1">
        <f>DATA_OCTUBRE_2025[[#This Row],[RECUPERO]]/DATA_OCTUBRE_2025[[#This Row],[META]]</f>
        <v>0.32363636363636361</v>
      </c>
      <c r="N57" t="str" cm="1">
        <f t="array" ref="N5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57" t="s">
        <v>3</v>
      </c>
      <c r="P57">
        <f>SUM(DATA_OCTUBRE_2025[[#This Row],[1]:[31]])</f>
        <v>7120</v>
      </c>
      <c r="Q57">
        <v>22000</v>
      </c>
      <c r="R57" t="s">
        <v>101</v>
      </c>
      <c r="S57">
        <v>2520</v>
      </c>
      <c r="AA57">
        <v>380</v>
      </c>
      <c r="AG57">
        <v>1000</v>
      </c>
      <c r="AI57">
        <v>2200</v>
      </c>
      <c r="AN57">
        <v>500</v>
      </c>
      <c r="AP57">
        <v>300</v>
      </c>
      <c r="AQ57">
        <v>220</v>
      </c>
      <c r="AX57" t="s">
        <v>157</v>
      </c>
    </row>
    <row r="58" spans="1:50" x14ac:dyDescent="0.25">
      <c r="A58" t="s">
        <v>7</v>
      </c>
      <c r="B58" t="s">
        <v>105</v>
      </c>
      <c r="C58">
        <f>VLOOKUP(D1_OCTUBRE_2025[[#This Row],[SUPER]],DATA_OCTUBRE_2025[[SUPERVISOR]:[META]],3,0)</f>
        <v>53000</v>
      </c>
      <c r="D58">
        <f>D1_OCTUBRE_2025[[#This Row],[RECUPERO]]/D1_OCTUBRE_2025[[#This Row],[META]]</f>
        <v>0.34173584905660376</v>
      </c>
      <c r="E58" t="s">
        <v>7</v>
      </c>
      <c r="F58" t="s">
        <v>105</v>
      </c>
      <c r="G58">
        <v>18112</v>
      </c>
      <c r="H58" t="s">
        <v>463</v>
      </c>
      <c r="I58" s="56">
        <v>45748</v>
      </c>
      <c r="J58" s="56" t="s">
        <v>501</v>
      </c>
      <c r="K58" s="56"/>
      <c r="L58" s="56"/>
      <c r="M58" s="1">
        <f>DATA_OCTUBRE_2025[[#This Row],[RECUPERO]]/DATA_OCTUBRE_2025[[#This Row],[META]]</f>
        <v>0.19549056603773585</v>
      </c>
      <c r="N58" t="str" cm="1">
        <f t="array" ref="N5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58" t="s">
        <v>6</v>
      </c>
      <c r="P58">
        <f>SUM(DATA_OCTUBRE_2025[[#This Row],[1]:[31]])</f>
        <v>10361</v>
      </c>
      <c r="Q58">
        <v>53000</v>
      </c>
      <c r="R58" t="s">
        <v>29</v>
      </c>
      <c r="S58">
        <v>600</v>
      </c>
      <c r="AC58">
        <v>292</v>
      </c>
      <c r="AE58">
        <v>569</v>
      </c>
      <c r="AH58">
        <v>2000</v>
      </c>
      <c r="AL58">
        <v>600</v>
      </c>
      <c r="AO58">
        <v>500</v>
      </c>
      <c r="AT58">
        <v>2000</v>
      </c>
      <c r="AV58">
        <v>3000</v>
      </c>
      <c r="AW58">
        <v>800</v>
      </c>
      <c r="AX58" t="s">
        <v>159</v>
      </c>
    </row>
    <row r="59" spans="1:50" x14ac:dyDescent="0.25">
      <c r="A59" t="s">
        <v>7</v>
      </c>
      <c r="B59" t="s">
        <v>18</v>
      </c>
      <c r="C59">
        <f>VLOOKUP(D1_OCTUBRE_2025[[#This Row],[SUPER]],DATA_OCTUBRE_2025[[SUPERVISOR]:[META]],3,0)</f>
        <v>53000</v>
      </c>
      <c r="D59">
        <f>D1_OCTUBRE_2025[[#This Row],[RECUPERO]]/D1_OCTUBRE_2025[[#This Row],[META]]</f>
        <v>0.26792452830188679</v>
      </c>
      <c r="E59" t="s">
        <v>7</v>
      </c>
      <c r="F59" t="s">
        <v>18</v>
      </c>
      <c r="G59">
        <v>14200</v>
      </c>
      <c r="H59" t="s">
        <v>431</v>
      </c>
      <c r="I59" s="56">
        <v>45133</v>
      </c>
      <c r="J59" s="56" t="s">
        <v>501</v>
      </c>
      <c r="K59" s="56"/>
      <c r="L59" s="56"/>
      <c r="M59" s="1">
        <f>DATA_OCTUBRE_2025[[#This Row],[RECUPERO]]/DATA_OCTUBRE_2025[[#This Row],[META]]</f>
        <v>0.73509433962264148</v>
      </c>
      <c r="N59" t="str" cm="1">
        <f t="array" ref="N5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59" t="s">
        <v>6</v>
      </c>
      <c r="P59">
        <f>SUM(DATA_OCTUBRE_2025[[#This Row],[1]:[31]])</f>
        <v>38960</v>
      </c>
      <c r="Q59">
        <v>53000</v>
      </c>
      <c r="R59" t="s">
        <v>99</v>
      </c>
      <c r="U59">
        <v>5000</v>
      </c>
      <c r="AG59">
        <v>4000</v>
      </c>
      <c r="AH59">
        <v>2900</v>
      </c>
      <c r="AM59">
        <v>150</v>
      </c>
      <c r="AQ59">
        <v>280</v>
      </c>
      <c r="AR59">
        <v>1300</v>
      </c>
      <c r="AS59">
        <v>2000</v>
      </c>
      <c r="AV59">
        <v>4500</v>
      </c>
      <c r="AW59">
        <v>18830</v>
      </c>
      <c r="AX59" t="s">
        <v>159</v>
      </c>
    </row>
    <row r="60" spans="1:50" x14ac:dyDescent="0.25">
      <c r="A60" t="s">
        <v>7</v>
      </c>
      <c r="B60" t="s">
        <v>20</v>
      </c>
      <c r="C60">
        <f>VLOOKUP(D1_OCTUBRE_2025[[#This Row],[SUPER]],DATA_OCTUBRE_2025[[SUPERVISOR]:[META]],3,0)</f>
        <v>53000</v>
      </c>
      <c r="D60">
        <f>D1_OCTUBRE_2025[[#This Row],[RECUPERO]]/D1_OCTUBRE_2025[[#This Row],[META]]</f>
        <v>0.26111320754716982</v>
      </c>
      <c r="E60" t="s">
        <v>7</v>
      </c>
      <c r="F60" t="s">
        <v>20</v>
      </c>
      <c r="G60">
        <v>13839</v>
      </c>
      <c r="H60" t="s">
        <v>427</v>
      </c>
      <c r="I60" s="56">
        <v>45142</v>
      </c>
      <c r="J60" s="56" t="s">
        <v>501</v>
      </c>
      <c r="K60" s="56"/>
      <c r="L60" s="56"/>
      <c r="M60" s="1">
        <f>DATA_OCTUBRE_2025[[#This Row],[RECUPERO]]/DATA_OCTUBRE_2025[[#This Row],[META]]</f>
        <v>1.011590909090909</v>
      </c>
      <c r="N60" t="str" cm="1">
        <f t="array" ref="N6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60" t="s">
        <v>3</v>
      </c>
      <c r="P60">
        <f>SUM(DATA_OCTUBRE_2025[[#This Row],[1]:[31]])</f>
        <v>22255</v>
      </c>
      <c r="Q60">
        <v>22000</v>
      </c>
      <c r="R60" t="s">
        <v>43</v>
      </c>
      <c r="V60">
        <v>208</v>
      </c>
      <c r="Y60">
        <v>560</v>
      </c>
      <c r="AF60">
        <v>2000</v>
      </c>
      <c r="AG60">
        <v>1100</v>
      </c>
      <c r="AI60">
        <v>1047</v>
      </c>
      <c r="AL60">
        <v>2500</v>
      </c>
      <c r="AO60">
        <v>1000</v>
      </c>
      <c r="AP60">
        <v>775</v>
      </c>
      <c r="AS60">
        <v>100</v>
      </c>
      <c r="AU60">
        <v>9240</v>
      </c>
      <c r="AV60">
        <v>3725</v>
      </c>
      <c r="AX60" t="s">
        <v>157</v>
      </c>
    </row>
    <row r="61" spans="1:50" x14ac:dyDescent="0.25">
      <c r="A61" t="s">
        <v>8</v>
      </c>
      <c r="B61" t="s">
        <v>61</v>
      </c>
      <c r="C61">
        <f>VLOOKUP(D1_OCTUBRE_2025[[#This Row],[SUPER]],DATA_OCTUBRE_2025[[SUPERVISOR]:[META]],3,0)</f>
        <v>70000</v>
      </c>
      <c r="D61">
        <f>D1_OCTUBRE_2025[[#This Row],[RECUPERO]]/D1_OCTUBRE_2025[[#This Row],[META]]</f>
        <v>1.6813142857142858</v>
      </c>
      <c r="E61" t="s">
        <v>8</v>
      </c>
      <c r="F61" t="s">
        <v>61</v>
      </c>
      <c r="G61">
        <v>117692</v>
      </c>
      <c r="H61" t="s">
        <v>411</v>
      </c>
      <c r="I61" s="56">
        <v>44909</v>
      </c>
      <c r="J61" s="56" t="s">
        <v>501</v>
      </c>
      <c r="K61" s="56"/>
      <c r="L61" s="56"/>
      <c r="M61" s="1">
        <f>DATA_OCTUBRE_2025[[#This Row],[RECUPERO]]/DATA_OCTUBRE_2025[[#This Row],[META]]</f>
        <v>0.52096428571428577</v>
      </c>
      <c r="N61" t="str" cm="1">
        <f t="array" ref="N6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61" t="s">
        <v>8</v>
      </c>
      <c r="P61">
        <f>SUM(DATA_OCTUBRE_2025[[#This Row],[1]:[31]])</f>
        <v>36467.5</v>
      </c>
      <c r="Q61">
        <v>70000</v>
      </c>
      <c r="R61" t="s">
        <v>25</v>
      </c>
      <c r="S61">
        <v>3000</v>
      </c>
      <c r="Y61">
        <v>5000</v>
      </c>
      <c r="AH61">
        <v>1000</v>
      </c>
      <c r="AI61">
        <v>7097.5</v>
      </c>
      <c r="AL61">
        <v>506</v>
      </c>
      <c r="AO61">
        <v>2925</v>
      </c>
      <c r="AP61">
        <v>2925</v>
      </c>
      <c r="AS61">
        <v>5000</v>
      </c>
      <c r="AU61">
        <v>6500</v>
      </c>
      <c r="AW61">
        <v>2514</v>
      </c>
      <c r="AX61" t="s">
        <v>155</v>
      </c>
    </row>
    <row r="62" spans="1:50" x14ac:dyDescent="0.25">
      <c r="A62" t="s">
        <v>8</v>
      </c>
      <c r="B62" t="s">
        <v>81</v>
      </c>
      <c r="C62">
        <f>VLOOKUP(D1_OCTUBRE_2025[[#This Row],[SUPER]],DATA_OCTUBRE_2025[[SUPERVISOR]:[META]],3,0)</f>
        <v>70000</v>
      </c>
      <c r="D62">
        <f>D1_OCTUBRE_2025[[#This Row],[RECUPERO]]/D1_OCTUBRE_2025[[#This Row],[META]]</f>
        <v>1.3420721428571429</v>
      </c>
      <c r="E62" t="s">
        <v>8</v>
      </c>
      <c r="F62" t="s">
        <v>81</v>
      </c>
      <c r="G62">
        <v>93945.05</v>
      </c>
      <c r="H62" t="s">
        <v>425</v>
      </c>
      <c r="I62" s="56">
        <v>45506</v>
      </c>
      <c r="J62" s="56" t="s">
        <v>501</v>
      </c>
      <c r="K62" s="56"/>
      <c r="L62" s="56"/>
      <c r="M62" s="1">
        <f>DATA_OCTUBRE_2025[[#This Row],[RECUPERO]]/DATA_OCTUBRE_2025[[#This Row],[META]]</f>
        <v>0.95709374999999997</v>
      </c>
      <c r="N62" t="str" cm="1">
        <f t="array" ref="N6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62" t="s">
        <v>125</v>
      </c>
      <c r="P62">
        <f>SUM(DATA_OCTUBRE_2025[[#This Row],[1]:[31]])</f>
        <v>30627</v>
      </c>
      <c r="Q62">
        <v>32000</v>
      </c>
      <c r="R62" t="s">
        <v>38</v>
      </c>
      <c r="U62">
        <v>550</v>
      </c>
      <c r="X62">
        <v>850</v>
      </c>
      <c r="AA62">
        <v>158</v>
      </c>
      <c r="AB62">
        <v>1600</v>
      </c>
      <c r="AG62">
        <v>428.5</v>
      </c>
      <c r="AH62">
        <v>13975</v>
      </c>
      <c r="AL62">
        <v>787</v>
      </c>
      <c r="AN62">
        <v>600</v>
      </c>
      <c r="AO62">
        <v>1300</v>
      </c>
      <c r="AP62">
        <v>1000</v>
      </c>
      <c r="AS62">
        <v>100</v>
      </c>
      <c r="AT62">
        <v>4000</v>
      </c>
      <c r="AW62">
        <v>5278.5</v>
      </c>
      <c r="AX62" t="s">
        <v>158</v>
      </c>
    </row>
    <row r="63" spans="1:50" x14ac:dyDescent="0.25">
      <c r="A63" t="s">
        <v>8</v>
      </c>
      <c r="B63" t="s">
        <v>76</v>
      </c>
      <c r="C63">
        <f>VLOOKUP(D1_OCTUBRE_2025[[#This Row],[SUPER]],DATA_OCTUBRE_2025[[SUPERVISOR]:[META]],3,0)</f>
        <v>70000</v>
      </c>
      <c r="D63">
        <f>D1_OCTUBRE_2025[[#This Row],[RECUPERO]]/D1_OCTUBRE_2025[[#This Row],[META]]</f>
        <v>0.91550585714285715</v>
      </c>
      <c r="E63" t="s">
        <v>8</v>
      </c>
      <c r="F63" t="s">
        <v>76</v>
      </c>
      <c r="G63">
        <v>64085.41</v>
      </c>
      <c r="H63" t="s">
        <v>408</v>
      </c>
      <c r="I63" s="56">
        <v>44819</v>
      </c>
      <c r="J63" s="56" t="s">
        <v>501</v>
      </c>
      <c r="K63" s="56"/>
      <c r="L63" s="56"/>
      <c r="M63" s="1">
        <f>DATA_OCTUBRE_2025[[#This Row],[RECUPERO]]/DATA_OCTUBRE_2025[[#This Row],[META]]</f>
        <v>1.9579811320754716</v>
      </c>
      <c r="N63" t="str" cm="1">
        <f t="array" ref="N6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63" t="s">
        <v>6</v>
      </c>
      <c r="P63">
        <f>SUM(DATA_OCTUBRE_2025[[#This Row],[1]:[31]])</f>
        <v>103773</v>
      </c>
      <c r="Q63">
        <v>53000</v>
      </c>
      <c r="R63" t="s">
        <v>75</v>
      </c>
      <c r="S63">
        <v>1500</v>
      </c>
      <c r="V63">
        <v>600</v>
      </c>
      <c r="AE63">
        <v>28500</v>
      </c>
      <c r="AF63">
        <v>15000</v>
      </c>
      <c r="AI63">
        <v>7000</v>
      </c>
      <c r="AR63">
        <v>2000</v>
      </c>
      <c r="AS63">
        <v>10000</v>
      </c>
      <c r="AT63">
        <v>1600</v>
      </c>
      <c r="AU63">
        <v>420</v>
      </c>
      <c r="AV63">
        <v>1049</v>
      </c>
      <c r="AW63">
        <v>36104</v>
      </c>
      <c r="AX63" t="s">
        <v>159</v>
      </c>
    </row>
    <row r="64" spans="1:50" x14ac:dyDescent="0.25">
      <c r="A64" t="s">
        <v>8</v>
      </c>
      <c r="B64" t="s">
        <v>10</v>
      </c>
      <c r="C64">
        <f>VLOOKUP(D1_OCTUBRE_2025[[#This Row],[SUPER]],DATA_OCTUBRE_2025[[SUPERVISOR]:[META]],3,0)</f>
        <v>70000</v>
      </c>
      <c r="D64">
        <f>D1_OCTUBRE_2025[[#This Row],[RECUPERO]]/D1_OCTUBRE_2025[[#This Row],[META]]</f>
        <v>0.87085714285714289</v>
      </c>
      <c r="E64" t="s">
        <v>8</v>
      </c>
      <c r="F64" t="s">
        <v>10</v>
      </c>
      <c r="G64">
        <v>60960</v>
      </c>
      <c r="H64" t="s">
        <v>449</v>
      </c>
      <c r="I64" s="56">
        <v>44706</v>
      </c>
      <c r="J64" s="56" t="s">
        <v>501</v>
      </c>
      <c r="K64" s="56"/>
      <c r="L64" s="56"/>
      <c r="M64" s="1">
        <f>DATA_OCTUBRE_2025[[#This Row],[RECUPERO]]/DATA_OCTUBRE_2025[[#This Row],[META]]</f>
        <v>0.72113863636363629</v>
      </c>
      <c r="N64" t="str" cm="1">
        <f t="array" ref="N6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64" t="s">
        <v>4</v>
      </c>
      <c r="P64">
        <f>SUM(DATA_OCTUBRE_2025[[#This Row],[1]:[31]])</f>
        <v>15865.05</v>
      </c>
      <c r="Q64">
        <v>22000</v>
      </c>
      <c r="R64" t="s">
        <v>55</v>
      </c>
      <c r="S64">
        <v>1100.05</v>
      </c>
      <c r="U64">
        <v>510</v>
      </c>
      <c r="V64">
        <v>200</v>
      </c>
      <c r="Y64">
        <v>300</v>
      </c>
      <c r="AB64">
        <v>100</v>
      </c>
      <c r="AH64">
        <v>4000</v>
      </c>
      <c r="AL64">
        <v>6000</v>
      </c>
      <c r="AM64">
        <v>400</v>
      </c>
      <c r="AS64">
        <v>200</v>
      </c>
      <c r="AT64">
        <v>1575</v>
      </c>
      <c r="AU64">
        <v>480</v>
      </c>
      <c r="AV64">
        <v>200</v>
      </c>
      <c r="AW64">
        <v>800</v>
      </c>
      <c r="AX64" t="s">
        <v>157</v>
      </c>
    </row>
    <row r="65" spans="1:50" x14ac:dyDescent="0.25">
      <c r="A65" t="s">
        <v>8</v>
      </c>
      <c r="B65" t="s">
        <v>27</v>
      </c>
      <c r="C65">
        <f>VLOOKUP(D1_OCTUBRE_2025[[#This Row],[SUPER]],DATA_OCTUBRE_2025[[SUPERVISOR]:[META]],3,0)</f>
        <v>70000</v>
      </c>
      <c r="D65">
        <f>D1_OCTUBRE_2025[[#This Row],[RECUPERO]]/D1_OCTUBRE_2025[[#This Row],[META]]</f>
        <v>0.7658571428571429</v>
      </c>
      <c r="E65" t="s">
        <v>8</v>
      </c>
      <c r="F65" t="s">
        <v>27</v>
      </c>
      <c r="G65">
        <v>53610</v>
      </c>
      <c r="H65" t="s">
        <v>412</v>
      </c>
      <c r="I65" s="56">
        <v>45675</v>
      </c>
      <c r="J65" s="56" t="s">
        <v>501</v>
      </c>
      <c r="K65" s="56"/>
      <c r="L65" s="56"/>
      <c r="M65" s="1">
        <f>DATA_OCTUBRE_2025[[#This Row],[RECUPERO]]/DATA_OCTUBRE_2025[[#This Row],[META]]</f>
        <v>0.27422641509433965</v>
      </c>
      <c r="N65" t="str" cm="1">
        <f t="array" ref="N6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65" t="s">
        <v>6</v>
      </c>
      <c r="P65">
        <f>SUM(DATA_OCTUBRE_2025[[#This Row],[1]:[31]])</f>
        <v>14534</v>
      </c>
      <c r="Q65">
        <v>53000</v>
      </c>
      <c r="R65" t="s">
        <v>36</v>
      </c>
      <c r="T65">
        <v>600</v>
      </c>
      <c r="Y65">
        <v>1164</v>
      </c>
      <c r="AF65">
        <v>900</v>
      </c>
      <c r="AL65">
        <v>600</v>
      </c>
      <c r="AM65">
        <v>770</v>
      </c>
      <c r="AN65">
        <v>600</v>
      </c>
      <c r="AS65">
        <v>3000</v>
      </c>
      <c r="AT65">
        <v>300</v>
      </c>
      <c r="AV65">
        <v>600</v>
      </c>
      <c r="AW65">
        <v>6000</v>
      </c>
      <c r="AX65" t="s">
        <v>159</v>
      </c>
    </row>
    <row r="66" spans="1:50" x14ac:dyDescent="0.25">
      <c r="A66" t="s">
        <v>8</v>
      </c>
      <c r="B66" t="s">
        <v>42</v>
      </c>
      <c r="C66">
        <f>VLOOKUP(D1_OCTUBRE_2025[[#This Row],[SUPER]],DATA_OCTUBRE_2025[[SUPERVISOR]:[META]],3,0)</f>
        <v>70000</v>
      </c>
      <c r="D66">
        <f>D1_OCTUBRE_2025[[#This Row],[RECUPERO]]/D1_OCTUBRE_2025[[#This Row],[META]]</f>
        <v>0.64928571428571424</v>
      </c>
      <c r="E66" t="s">
        <v>8</v>
      </c>
      <c r="F66" t="s">
        <v>42</v>
      </c>
      <c r="G66">
        <v>45450</v>
      </c>
      <c r="H66" t="s">
        <v>415</v>
      </c>
      <c r="I66" s="56">
        <v>45399</v>
      </c>
      <c r="J66" s="56" t="s">
        <v>501</v>
      </c>
      <c r="K66" s="56"/>
      <c r="L66" s="56"/>
      <c r="M66" s="1">
        <f>DATA_OCTUBRE_2025[[#This Row],[RECUPERO]]/DATA_OCTUBRE_2025[[#This Row],[META]]</f>
        <v>0.13746875</v>
      </c>
      <c r="N66" t="str" cm="1">
        <f t="array" ref="N6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&gt;0%</v>
      </c>
      <c r="O66" t="s">
        <v>5</v>
      </c>
      <c r="P66">
        <f>SUM(DATA_OCTUBRE_2025[[#This Row],[1]:[31]])</f>
        <v>4399</v>
      </c>
      <c r="Q66">
        <v>32000</v>
      </c>
      <c r="R66" t="s">
        <v>70</v>
      </c>
      <c r="AA66">
        <v>851</v>
      </c>
      <c r="AE66">
        <v>1289</v>
      </c>
      <c r="AH66">
        <v>359</v>
      </c>
      <c r="AQ66">
        <v>700</v>
      </c>
      <c r="AU66">
        <v>200</v>
      </c>
      <c r="AV66">
        <v>1000</v>
      </c>
      <c r="AX66" t="s">
        <v>158</v>
      </c>
    </row>
    <row r="67" spans="1:50" x14ac:dyDescent="0.25">
      <c r="A67" t="s">
        <v>8</v>
      </c>
      <c r="B67" t="s">
        <v>25</v>
      </c>
      <c r="C67">
        <f>VLOOKUP(D1_OCTUBRE_2025[[#This Row],[SUPER]],DATA_OCTUBRE_2025[[SUPERVISOR]:[META]],3,0)</f>
        <v>70000</v>
      </c>
      <c r="D67">
        <f>D1_OCTUBRE_2025[[#This Row],[RECUPERO]]/D1_OCTUBRE_2025[[#This Row],[META]]</f>
        <v>0.52096428571428577</v>
      </c>
      <c r="E67" t="s">
        <v>8</v>
      </c>
      <c r="F67" t="s">
        <v>25</v>
      </c>
      <c r="G67">
        <v>36467.5</v>
      </c>
      <c r="H67" t="s">
        <v>446</v>
      </c>
      <c r="I67" s="56">
        <v>44820</v>
      </c>
      <c r="J67" s="56" t="s">
        <v>501</v>
      </c>
      <c r="K67" s="56"/>
      <c r="L67" s="56"/>
      <c r="M67" s="1">
        <f>DATA_OCTUBRE_2025[[#This Row],[RECUPERO]]/DATA_OCTUBRE_2025[[#This Row],[META]]</f>
        <v>0.46154716981132077</v>
      </c>
      <c r="N67" t="str" cm="1">
        <f t="array" ref="N6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67" t="s">
        <v>7</v>
      </c>
      <c r="P67">
        <f>SUM(DATA_OCTUBRE_2025[[#This Row],[1]:[31]])</f>
        <v>24462</v>
      </c>
      <c r="Q67">
        <v>53000</v>
      </c>
      <c r="R67" t="s">
        <v>11</v>
      </c>
      <c r="X67">
        <v>1200</v>
      </c>
      <c r="AB67">
        <v>392</v>
      </c>
      <c r="AG67">
        <v>3000</v>
      </c>
      <c r="AI67">
        <v>4000</v>
      </c>
      <c r="AM67">
        <v>5000</v>
      </c>
      <c r="AN67">
        <v>250</v>
      </c>
      <c r="AS67">
        <v>4000</v>
      </c>
      <c r="AT67">
        <v>5000</v>
      </c>
      <c r="AU67">
        <v>1000</v>
      </c>
      <c r="AW67">
        <v>620</v>
      </c>
      <c r="AX67" t="s">
        <v>159</v>
      </c>
    </row>
    <row r="68" spans="1:50" x14ac:dyDescent="0.25">
      <c r="A68" t="s">
        <v>8</v>
      </c>
      <c r="B68" t="s">
        <v>57</v>
      </c>
      <c r="C68">
        <f>VLOOKUP(D1_OCTUBRE_2025[[#This Row],[SUPER]],DATA_OCTUBRE_2025[[SUPERVISOR]:[META]],3,0)</f>
        <v>70000</v>
      </c>
      <c r="D68">
        <f>D1_OCTUBRE_2025[[#This Row],[RECUPERO]]/D1_OCTUBRE_2025[[#This Row],[META]]</f>
        <v>0.28318571428571426</v>
      </c>
      <c r="E68" t="s">
        <v>8</v>
      </c>
      <c r="F68" t="s">
        <v>57</v>
      </c>
      <c r="G68">
        <v>19823</v>
      </c>
      <c r="H68" t="s">
        <v>443</v>
      </c>
      <c r="I68" s="56">
        <v>45590</v>
      </c>
      <c r="J68" s="56" t="s">
        <v>501</v>
      </c>
      <c r="K68" s="56"/>
      <c r="L68" s="56"/>
      <c r="M68" s="1">
        <f>DATA_OCTUBRE_2025[[#This Row],[RECUPERO]]/DATA_OCTUBRE_2025[[#This Row],[META]]</f>
        <v>0.99562499999999998</v>
      </c>
      <c r="N68" t="str" cm="1">
        <f t="array" ref="N6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68" t="s">
        <v>125</v>
      </c>
      <c r="P68">
        <f>SUM(DATA_OCTUBRE_2025[[#This Row],[1]:[31]])</f>
        <v>31860</v>
      </c>
      <c r="Q68">
        <v>32000</v>
      </c>
      <c r="R68" t="s">
        <v>91</v>
      </c>
      <c r="AB68">
        <v>105</v>
      </c>
      <c r="AG68">
        <v>985</v>
      </c>
      <c r="AH68">
        <v>13000</v>
      </c>
      <c r="AI68">
        <v>350</v>
      </c>
      <c r="AP68">
        <v>1000</v>
      </c>
      <c r="AR68">
        <v>1500</v>
      </c>
      <c r="AU68">
        <v>600</v>
      </c>
      <c r="AV68">
        <v>860</v>
      </c>
      <c r="AW68">
        <v>13460</v>
      </c>
      <c r="AX68" t="s">
        <v>158</v>
      </c>
    </row>
    <row r="69" spans="1:50" x14ac:dyDescent="0.25">
      <c r="A69" t="s">
        <v>9</v>
      </c>
      <c r="B69" t="s">
        <v>80</v>
      </c>
      <c r="C69">
        <f>VLOOKUP(D1_OCTUBRE_2025[[#This Row],[SUPER]],DATA_OCTUBRE_2025[[SUPERVISOR]:[META]],3,0)</f>
        <v>23000</v>
      </c>
      <c r="D69">
        <f>D1_OCTUBRE_2025[[#This Row],[RECUPERO]]/D1_OCTUBRE_2025[[#This Row],[META]]</f>
        <v>1.7717391304347827</v>
      </c>
      <c r="E69" t="s">
        <v>9</v>
      </c>
      <c r="F69" t="s">
        <v>80</v>
      </c>
      <c r="G69">
        <v>40750</v>
      </c>
      <c r="H69" t="s">
        <v>433</v>
      </c>
      <c r="I69" s="56">
        <v>45285</v>
      </c>
      <c r="J69" s="56" t="s">
        <v>501</v>
      </c>
      <c r="K69" s="56"/>
      <c r="L69" s="56"/>
      <c r="M69" s="1">
        <f>DATA_OCTUBRE_2025[[#This Row],[RECUPERO]]/DATA_OCTUBRE_2025[[#This Row],[META]]</f>
        <v>0.53149999999999997</v>
      </c>
      <c r="N69" t="str" cm="1">
        <f t="array" ref="N6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69" t="s">
        <v>4</v>
      </c>
      <c r="P69">
        <f>SUM(DATA_OCTUBRE_2025[[#This Row],[1]:[31]])</f>
        <v>11693</v>
      </c>
      <c r="Q69">
        <v>22000</v>
      </c>
      <c r="R69" t="s">
        <v>74</v>
      </c>
      <c r="S69">
        <v>120</v>
      </c>
      <c r="U69">
        <v>250</v>
      </c>
      <c r="AE69">
        <v>3500</v>
      </c>
      <c r="AH69">
        <v>500</v>
      </c>
      <c r="AO69">
        <v>6000</v>
      </c>
      <c r="AT69">
        <v>260</v>
      </c>
      <c r="AU69">
        <v>300</v>
      </c>
      <c r="AV69">
        <v>340</v>
      </c>
      <c r="AW69">
        <v>423</v>
      </c>
      <c r="AX69" t="s">
        <v>157</v>
      </c>
    </row>
    <row r="70" spans="1:50" x14ac:dyDescent="0.25">
      <c r="A70" t="s">
        <v>9</v>
      </c>
      <c r="B70" t="s">
        <v>19</v>
      </c>
      <c r="C70">
        <f>VLOOKUP(D1_OCTUBRE_2025[[#This Row],[SUPER]],DATA_OCTUBRE_2025[[SUPERVISOR]:[META]],3,0)</f>
        <v>23000</v>
      </c>
      <c r="D70">
        <f>D1_OCTUBRE_2025[[#This Row],[RECUPERO]]/D1_OCTUBRE_2025[[#This Row],[META]]</f>
        <v>1.4431739130434782</v>
      </c>
      <c r="E70" t="s">
        <v>9</v>
      </c>
      <c r="F70" t="s">
        <v>19</v>
      </c>
      <c r="G70">
        <v>33193</v>
      </c>
      <c r="H70" t="s">
        <v>399</v>
      </c>
      <c r="I70" s="56">
        <v>44673</v>
      </c>
      <c r="J70" s="56" t="s">
        <v>501</v>
      </c>
      <c r="K70" s="56"/>
      <c r="L70" s="56"/>
      <c r="M70" s="1">
        <f>DATA_OCTUBRE_2025[[#This Row],[RECUPERO]]/DATA_OCTUBRE_2025[[#This Row],[META]]</f>
        <v>0.89687499999999998</v>
      </c>
      <c r="N70" t="str" cm="1">
        <f t="array" ref="N70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70" t="s">
        <v>5</v>
      </c>
      <c r="P70">
        <f>SUM(DATA_OCTUBRE_2025[[#This Row],[1]:[31]])</f>
        <v>28700</v>
      </c>
      <c r="Q70">
        <v>32000</v>
      </c>
      <c r="R70" t="s">
        <v>79</v>
      </c>
      <c r="Y70">
        <v>2200</v>
      </c>
      <c r="AA70">
        <v>9000</v>
      </c>
      <c r="AE70">
        <v>400</v>
      </c>
      <c r="AF70">
        <v>3200</v>
      </c>
      <c r="AL70">
        <v>1500</v>
      </c>
      <c r="AN70">
        <v>6600</v>
      </c>
      <c r="AP70">
        <v>1600</v>
      </c>
      <c r="AV70">
        <v>3800</v>
      </c>
      <c r="AW70">
        <v>400</v>
      </c>
      <c r="AX70" t="s">
        <v>158</v>
      </c>
    </row>
    <row r="71" spans="1:50" x14ac:dyDescent="0.25">
      <c r="A71" t="s">
        <v>9</v>
      </c>
      <c r="B71" t="s">
        <v>34</v>
      </c>
      <c r="C71">
        <f>VLOOKUP(D1_OCTUBRE_2025[[#This Row],[SUPER]],DATA_OCTUBRE_2025[[SUPERVISOR]:[META]],3,0)</f>
        <v>23000</v>
      </c>
      <c r="D71">
        <f>D1_OCTUBRE_2025[[#This Row],[RECUPERO]]/D1_OCTUBRE_2025[[#This Row],[META]]</f>
        <v>1.2923913043478261</v>
      </c>
      <c r="E71" t="s">
        <v>9</v>
      </c>
      <c r="F71" t="s">
        <v>34</v>
      </c>
      <c r="G71">
        <v>29725</v>
      </c>
      <c r="H71" t="s">
        <v>407</v>
      </c>
      <c r="I71" s="56">
        <v>45175</v>
      </c>
      <c r="J71" s="56" t="s">
        <v>501</v>
      </c>
      <c r="K71" s="56"/>
      <c r="L71" s="56"/>
      <c r="M71" s="1">
        <f>DATA_OCTUBRE_2025[[#This Row],[RECUPERO]]/DATA_OCTUBRE_2025[[#This Row],[META]]</f>
        <v>0.85445454545454547</v>
      </c>
      <c r="N71" t="str" cm="1">
        <f t="array" ref="N71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71" t="s">
        <v>3</v>
      </c>
      <c r="P71">
        <f>SUM(DATA_OCTUBRE_2025[[#This Row],[1]:[31]])</f>
        <v>18798</v>
      </c>
      <c r="Q71">
        <v>22000</v>
      </c>
      <c r="R71" t="s">
        <v>97</v>
      </c>
      <c r="S71">
        <v>300</v>
      </c>
      <c r="T71">
        <v>200</v>
      </c>
      <c r="X71">
        <v>1070</v>
      </c>
      <c r="Y71">
        <v>1000</v>
      </c>
      <c r="AA71">
        <v>300</v>
      </c>
      <c r="AE71">
        <v>1310</v>
      </c>
      <c r="AF71">
        <v>300</v>
      </c>
      <c r="AG71">
        <v>288</v>
      </c>
      <c r="AI71">
        <v>1040</v>
      </c>
      <c r="AL71">
        <v>1150</v>
      </c>
      <c r="AM71">
        <v>475</v>
      </c>
      <c r="AO71">
        <v>7500</v>
      </c>
      <c r="AP71">
        <v>1570</v>
      </c>
      <c r="AS71">
        <v>200</v>
      </c>
      <c r="AU71">
        <v>175</v>
      </c>
      <c r="AV71">
        <v>1400</v>
      </c>
      <c r="AW71">
        <v>520</v>
      </c>
      <c r="AX71" t="s">
        <v>157</v>
      </c>
    </row>
    <row r="72" spans="1:50" x14ac:dyDescent="0.25">
      <c r="A72" t="s">
        <v>9</v>
      </c>
      <c r="B72" t="s">
        <v>13</v>
      </c>
      <c r="C72">
        <f>VLOOKUP(D1_OCTUBRE_2025[[#This Row],[SUPER]],DATA_OCTUBRE_2025[[SUPERVISOR]:[META]],3,0)</f>
        <v>23000</v>
      </c>
      <c r="D72">
        <f>D1_OCTUBRE_2025[[#This Row],[RECUPERO]]/D1_OCTUBRE_2025[[#This Row],[META]]</f>
        <v>1.1452608695652173</v>
      </c>
      <c r="E72" t="s">
        <v>9</v>
      </c>
      <c r="F72" t="s">
        <v>13</v>
      </c>
      <c r="G72">
        <v>26341</v>
      </c>
      <c r="H72" t="s">
        <v>382</v>
      </c>
      <c r="I72" s="56">
        <v>44811</v>
      </c>
      <c r="J72" s="56" t="s">
        <v>501</v>
      </c>
      <c r="K72" s="56"/>
      <c r="L72" s="56"/>
      <c r="M72" s="1">
        <f>DATA_OCTUBRE_2025[[#This Row],[RECUPERO]]/DATA_OCTUBRE_2025[[#This Row],[META]]</f>
        <v>0.94077272727272732</v>
      </c>
      <c r="N72" t="str" cm="1">
        <f t="array" ref="N72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72" t="s">
        <v>3</v>
      </c>
      <c r="P72">
        <f>SUM(DATA_OCTUBRE_2025[[#This Row],[1]:[31]])</f>
        <v>20697</v>
      </c>
      <c r="Q72">
        <v>22000</v>
      </c>
      <c r="R72" t="s">
        <v>102</v>
      </c>
      <c r="T72">
        <v>500</v>
      </c>
      <c r="U72">
        <v>340</v>
      </c>
      <c r="X72">
        <v>500</v>
      </c>
      <c r="AB72">
        <v>2000</v>
      </c>
      <c r="AG72">
        <v>300</v>
      </c>
      <c r="AH72">
        <v>375</v>
      </c>
      <c r="AJ72">
        <v>340</v>
      </c>
      <c r="AM72">
        <v>800</v>
      </c>
      <c r="AN72">
        <v>3584</v>
      </c>
      <c r="AP72">
        <v>1026</v>
      </c>
      <c r="AQ72">
        <v>806</v>
      </c>
      <c r="AS72">
        <v>3551</v>
      </c>
      <c r="AU72">
        <v>880</v>
      </c>
      <c r="AV72">
        <v>695</v>
      </c>
      <c r="AW72">
        <v>5000</v>
      </c>
      <c r="AX72" t="s">
        <v>157</v>
      </c>
    </row>
    <row r="73" spans="1:50" x14ac:dyDescent="0.25">
      <c r="A73" t="s">
        <v>9</v>
      </c>
      <c r="B73" t="s">
        <v>24</v>
      </c>
      <c r="C73">
        <f>VLOOKUP(D1_OCTUBRE_2025[[#This Row],[SUPER]],DATA_OCTUBRE_2025[[SUPERVISOR]:[META]],3,0)</f>
        <v>23000</v>
      </c>
      <c r="D73">
        <f>D1_OCTUBRE_2025[[#This Row],[RECUPERO]]/D1_OCTUBRE_2025[[#This Row],[META]]</f>
        <v>1.0704347826086957</v>
      </c>
      <c r="E73" t="s">
        <v>9</v>
      </c>
      <c r="F73" t="s">
        <v>24</v>
      </c>
      <c r="G73">
        <v>24620</v>
      </c>
      <c r="H73" t="s">
        <v>434</v>
      </c>
      <c r="I73" s="56">
        <v>45334</v>
      </c>
      <c r="J73" s="56" t="s">
        <v>501</v>
      </c>
      <c r="M73" s="1">
        <f>DATA_OCTUBRE_2025[[#This Row],[RECUPERO]]/DATA_OCTUBRE_2025[[#This Row],[META]]</f>
        <v>0.60309374999999998</v>
      </c>
      <c r="N73" t="str" cm="1">
        <f t="array" ref="N73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73" t="s">
        <v>5</v>
      </c>
      <c r="P73">
        <f>SUM(DATA_OCTUBRE_2025[[#This Row],[1]:[31]])</f>
        <v>19299</v>
      </c>
      <c r="Q73">
        <v>32000</v>
      </c>
      <c r="R73" t="s">
        <v>103</v>
      </c>
      <c r="U73">
        <v>1900</v>
      </c>
      <c r="AL73">
        <v>5899</v>
      </c>
      <c r="AS73">
        <v>1500</v>
      </c>
      <c r="AU73">
        <v>2600</v>
      </c>
      <c r="AV73">
        <v>5900</v>
      </c>
      <c r="AW73">
        <v>1500</v>
      </c>
      <c r="AX73" t="s">
        <v>158</v>
      </c>
    </row>
    <row r="74" spans="1:50" x14ac:dyDescent="0.25">
      <c r="A74" t="s">
        <v>9</v>
      </c>
      <c r="B74" t="s">
        <v>51</v>
      </c>
      <c r="C74">
        <f>VLOOKUP(D1_OCTUBRE_2025[[#This Row],[SUPER]],DATA_OCTUBRE_2025[[SUPERVISOR]:[META]],3,0)</f>
        <v>23000</v>
      </c>
      <c r="D74">
        <f>D1_OCTUBRE_2025[[#This Row],[RECUPERO]]/D1_OCTUBRE_2025[[#This Row],[META]]</f>
        <v>0.72826086956521741</v>
      </c>
      <c r="E74" t="s">
        <v>9</v>
      </c>
      <c r="F74" t="s">
        <v>51</v>
      </c>
      <c r="G74">
        <v>16750</v>
      </c>
      <c r="H74" t="s">
        <v>413</v>
      </c>
      <c r="I74" s="56">
        <v>45674</v>
      </c>
      <c r="J74" s="56" t="s">
        <v>501</v>
      </c>
      <c r="M74" s="1">
        <f>DATA_OCTUBRE_2025[[#This Row],[RECUPERO]]/DATA_OCTUBRE_2025[[#This Row],[META]]</f>
        <v>0.44046875000000002</v>
      </c>
      <c r="N74" t="str" cm="1">
        <f t="array" ref="N74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&gt;40%</v>
      </c>
      <c r="O74" t="s">
        <v>125</v>
      </c>
      <c r="P74">
        <f>SUM(DATA_OCTUBRE_2025[[#This Row],[1]:[31]])</f>
        <v>14095</v>
      </c>
      <c r="Q74">
        <v>32000</v>
      </c>
      <c r="R74" t="s">
        <v>73</v>
      </c>
      <c r="AA74">
        <v>1200</v>
      </c>
      <c r="AB74">
        <v>650</v>
      </c>
      <c r="AG74">
        <v>700</v>
      </c>
      <c r="AH74">
        <v>180</v>
      </c>
      <c r="AN74">
        <v>4500</v>
      </c>
      <c r="AP74">
        <v>510</v>
      </c>
      <c r="AV74">
        <v>850</v>
      </c>
      <c r="AW74">
        <v>5505</v>
      </c>
      <c r="AX74" t="s">
        <v>158</v>
      </c>
    </row>
    <row r="75" spans="1:50" x14ac:dyDescent="0.25">
      <c r="A75" t="s">
        <v>9</v>
      </c>
      <c r="B75" t="s">
        <v>77</v>
      </c>
      <c r="C75">
        <f>VLOOKUP(D1_OCTUBRE_2025[[#This Row],[SUPER]],DATA_OCTUBRE_2025[[SUPERVISOR]:[META]],3,0)</f>
        <v>23000</v>
      </c>
      <c r="D75">
        <f>D1_OCTUBRE_2025[[#This Row],[RECUPERO]]/D1_OCTUBRE_2025[[#This Row],[META]]</f>
        <v>0.65221739130434786</v>
      </c>
      <c r="E75" t="s">
        <v>9</v>
      </c>
      <c r="F75" t="s">
        <v>77</v>
      </c>
      <c r="G75">
        <v>15001</v>
      </c>
      <c r="H75" t="s">
        <v>393</v>
      </c>
      <c r="I75" s="56">
        <v>44840</v>
      </c>
      <c r="J75" s="56" t="s">
        <v>501</v>
      </c>
      <c r="M75" s="1">
        <f>DATA_OCTUBRE_2025[[#This Row],[RECUPERO]]/DATA_OCTUBRE_2025[[#This Row],[META]]</f>
        <v>1.2923913043478261</v>
      </c>
      <c r="N75" t="str" cm="1">
        <f t="array" ref="N75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75" t="s">
        <v>9</v>
      </c>
      <c r="P75">
        <f>SUM(DATA_OCTUBRE_2025[[#This Row],[1]:[31]])</f>
        <v>29725</v>
      </c>
      <c r="Q75">
        <v>23000</v>
      </c>
      <c r="R75" t="s">
        <v>34</v>
      </c>
      <c r="S75">
        <v>430</v>
      </c>
      <c r="T75">
        <v>1700</v>
      </c>
      <c r="U75">
        <v>310</v>
      </c>
      <c r="X75">
        <v>450</v>
      </c>
      <c r="Y75">
        <v>400</v>
      </c>
      <c r="AA75">
        <v>5000</v>
      </c>
      <c r="AF75">
        <v>13500</v>
      </c>
      <c r="AG75">
        <v>1025</v>
      </c>
      <c r="AH75">
        <v>800</v>
      </c>
      <c r="AL75">
        <v>210</v>
      </c>
      <c r="AM75">
        <v>250</v>
      </c>
      <c r="AS75">
        <v>2150</v>
      </c>
      <c r="AT75">
        <v>1500</v>
      </c>
      <c r="AU75">
        <v>2000</v>
      </c>
      <c r="AX75" t="s">
        <v>156</v>
      </c>
    </row>
    <row r="76" spans="1:50" x14ac:dyDescent="0.25">
      <c r="A76" t="s">
        <v>9</v>
      </c>
      <c r="B76" t="s">
        <v>54</v>
      </c>
      <c r="C76">
        <f>VLOOKUP(D1_OCTUBRE_2025[[#This Row],[SUPER]],DATA_OCTUBRE_2025[[SUPERVISOR]:[META]],3,0)</f>
        <v>23000</v>
      </c>
      <c r="D76">
        <f>D1_OCTUBRE_2025[[#This Row],[RECUPERO]]/D1_OCTUBRE_2025[[#This Row],[META]]</f>
        <v>0.39830434782608698</v>
      </c>
      <c r="E76" t="s">
        <v>9</v>
      </c>
      <c r="F76" t="s">
        <v>54</v>
      </c>
      <c r="G76">
        <v>9161</v>
      </c>
      <c r="H76" t="s">
        <v>474</v>
      </c>
      <c r="I76" s="56">
        <v>45819</v>
      </c>
      <c r="J76" s="56" t="s">
        <v>501</v>
      </c>
      <c r="M76" s="1">
        <f>DATA_OCTUBRE_2025[[#This Row],[RECUPERO]]/DATA_OCTUBRE_2025[[#This Row],[META]]</f>
        <v>0.95771698113207548</v>
      </c>
      <c r="N76" t="str" cm="1">
        <f t="array" ref="N76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76" t="s">
        <v>6</v>
      </c>
      <c r="P76">
        <f>SUM(DATA_OCTUBRE_2025[[#This Row],[1]:[31]])</f>
        <v>50759</v>
      </c>
      <c r="Q76">
        <v>53000</v>
      </c>
      <c r="R76" t="s">
        <v>78</v>
      </c>
      <c r="U76">
        <v>1000</v>
      </c>
      <c r="X76">
        <v>500</v>
      </c>
      <c r="AA76">
        <v>400</v>
      </c>
      <c r="AE76">
        <v>2150</v>
      </c>
      <c r="AF76">
        <v>20000</v>
      </c>
      <c r="AG76">
        <v>3600</v>
      </c>
      <c r="AL76">
        <v>1057</v>
      </c>
      <c r="AM76">
        <v>1219</v>
      </c>
      <c r="AN76">
        <v>300</v>
      </c>
      <c r="AO76">
        <v>420</v>
      </c>
      <c r="AP76">
        <v>1875</v>
      </c>
      <c r="AS76">
        <v>88</v>
      </c>
      <c r="AT76">
        <v>4000</v>
      </c>
      <c r="AU76">
        <v>1000</v>
      </c>
      <c r="AV76">
        <v>8600</v>
      </c>
      <c r="AW76">
        <v>4550</v>
      </c>
      <c r="AX76" t="s">
        <v>159</v>
      </c>
    </row>
    <row r="77" spans="1:50" x14ac:dyDescent="0.25">
      <c r="A77" t="s">
        <v>9</v>
      </c>
      <c r="B77" t="s">
        <v>100</v>
      </c>
      <c r="C77">
        <f>VLOOKUP(D1_OCTUBRE_2025[[#This Row],[SUPER]],DATA_OCTUBRE_2025[[SUPERVISOR]:[META]],3,0)</f>
        <v>23000</v>
      </c>
      <c r="D77">
        <f>D1_OCTUBRE_2025[[#This Row],[RECUPERO]]/D1_OCTUBRE_2025[[#This Row],[META]]</f>
        <v>0.2713913043478261</v>
      </c>
      <c r="E77" t="s">
        <v>9</v>
      </c>
      <c r="F77" t="s">
        <v>100</v>
      </c>
      <c r="G77">
        <v>6242</v>
      </c>
      <c r="H77" t="s">
        <v>489</v>
      </c>
      <c r="I77" s="56">
        <v>45895</v>
      </c>
      <c r="J77" s="56" t="s">
        <v>501</v>
      </c>
      <c r="M77" s="1">
        <f>DATA_OCTUBRE_2025[[#This Row],[RECUPERO]]/DATA_OCTUBRE_2025[[#This Row],[META]]</f>
        <v>1.079690909090909</v>
      </c>
      <c r="N77" t="str" cm="1">
        <f t="array" ref="N77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&gt;100%</v>
      </c>
      <c r="O77" t="s">
        <v>3</v>
      </c>
      <c r="P77">
        <f>SUM(DATA_OCTUBRE_2025[[#This Row],[1]:[31]])</f>
        <v>23753.200000000001</v>
      </c>
      <c r="Q77">
        <v>22000</v>
      </c>
      <c r="R77" t="s">
        <v>48</v>
      </c>
      <c r="U77">
        <v>500</v>
      </c>
      <c r="AB77">
        <v>1700</v>
      </c>
      <c r="AE77">
        <v>2485</v>
      </c>
      <c r="AF77">
        <v>150</v>
      </c>
      <c r="AH77">
        <v>700</v>
      </c>
      <c r="AM77">
        <v>3500</v>
      </c>
      <c r="AN77">
        <v>10000</v>
      </c>
      <c r="AS77">
        <v>400</v>
      </c>
      <c r="AV77">
        <v>4318.2</v>
      </c>
      <c r="AW77">
        <v>0</v>
      </c>
      <c r="AX77" t="s">
        <v>157</v>
      </c>
    </row>
    <row r="78" spans="1:50" x14ac:dyDescent="0.25">
      <c r="A78" t="s">
        <v>9</v>
      </c>
      <c r="B78" t="s">
        <v>50</v>
      </c>
      <c r="C78">
        <f>VLOOKUP(D1_OCTUBRE_2025[[#This Row],[SUPER]],DATA_OCTUBRE_2025[[SUPERVISOR]:[META]],3,0)</f>
        <v>23000</v>
      </c>
      <c r="D78">
        <f>D1_OCTUBRE_2025[[#This Row],[RECUPERO]]/D1_OCTUBRE_2025[[#This Row],[META]]</f>
        <v>0.16347826086956521</v>
      </c>
      <c r="E78" t="s">
        <v>9</v>
      </c>
      <c r="F78" t="s">
        <v>50</v>
      </c>
      <c r="G78">
        <v>3760</v>
      </c>
      <c r="H78" t="s">
        <v>402</v>
      </c>
      <c r="I78" s="56">
        <v>45523</v>
      </c>
      <c r="J78" s="56" t="s">
        <v>501</v>
      </c>
      <c r="M78" s="1">
        <f>DATA_OCTUBRE_2025[[#This Row],[RECUPERO]]/DATA_OCTUBRE_2025[[#This Row],[META]]</f>
        <v>0.87085714285714289</v>
      </c>
      <c r="N78" t="str" cm="1">
        <f t="array" ref="N78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78" t="s">
        <v>8</v>
      </c>
      <c r="P78">
        <f>SUM(DATA_OCTUBRE_2025[[#This Row],[1]:[31]])</f>
        <v>60960</v>
      </c>
      <c r="Q78">
        <v>70000</v>
      </c>
      <c r="R78" t="s">
        <v>10</v>
      </c>
      <c r="S78">
        <v>200</v>
      </c>
      <c r="AA78">
        <v>3700</v>
      </c>
      <c r="AE78">
        <v>3250</v>
      </c>
      <c r="AG78">
        <v>1405</v>
      </c>
      <c r="AH78">
        <v>2000</v>
      </c>
      <c r="AI78">
        <v>500</v>
      </c>
      <c r="AL78">
        <v>4300</v>
      </c>
      <c r="AM78">
        <v>8000</v>
      </c>
      <c r="AN78">
        <v>775</v>
      </c>
      <c r="AO78">
        <v>9900</v>
      </c>
      <c r="AP78">
        <v>4380</v>
      </c>
      <c r="AT78">
        <v>1000</v>
      </c>
      <c r="AV78">
        <v>8550</v>
      </c>
      <c r="AW78">
        <v>13000</v>
      </c>
      <c r="AX78" t="s">
        <v>155</v>
      </c>
    </row>
    <row r="79" spans="1:50" x14ac:dyDescent="0.25">
      <c r="A79" t="s">
        <v>8</v>
      </c>
      <c r="B79" t="s">
        <v>46</v>
      </c>
      <c r="C79">
        <f>VLOOKUP(D1_OCTUBRE_2025[[#This Row],[SUPER]],DATA_OCTUBRE_2025[[SUPERVISOR]:[META]],3,0)</f>
        <v>70000</v>
      </c>
      <c r="D79">
        <f>D1_OCTUBRE_2025[[#This Row],[RECUPERO]]/D1_OCTUBRE_2025[[#This Row],[META]]</f>
        <v>0.37164285714285716</v>
      </c>
      <c r="E79" t="s">
        <v>8</v>
      </c>
      <c r="F79" t="s">
        <v>46</v>
      </c>
      <c r="G79">
        <v>26015</v>
      </c>
      <c r="H79" t="s">
        <v>394</v>
      </c>
      <c r="I79" s="56">
        <v>45344</v>
      </c>
      <c r="J79" s="56" t="s">
        <v>501</v>
      </c>
      <c r="M79" s="1">
        <f>DATA_OCTUBRE_2025[[#This Row],[RECUPERO]]/DATA_OCTUBRE_2025[[#This Row],[META]]</f>
        <v>0.91550585714285715</v>
      </c>
      <c r="N79" t="str" cm="1">
        <f t="array" ref="N79">IF(DATA_OCTUBRE_2025[[#This Row],[ASER_]]="","",IFERROR(_xlfn.IFS(DATA_OCTUBRE_2025[[#This Row],[AL_AC]]&gt;=100%,"&gt;100%",AND(DATA_OCTUBRE_2025[[#This Row],[AL_AC]]&lt;100%,DATA_OCTUBRE_2025[[#This Row],[AL_AC]]&gt;=70%),"&gt;70%",AND(DATA_OCTUBRE_2025[[#This Row],[AL_AC]]&lt;70%,DATA_OCTUBRE_2025[[#This Row],[AL_AC]]&gt;=40%),"&gt;40%",AND(DATA_OCTUBRE_2025[[#This Row],[AL_AC]]&lt;40%,DATA_OCTUBRE_2025[[#This Row],[AL_AC]]&gt;=0%),"&gt;0%"),""))</f>
        <v>&gt;70%</v>
      </c>
      <c r="O79" t="s">
        <v>8</v>
      </c>
      <c r="P79">
        <f>SUM(DATA_OCTUBRE_2025[[#This Row],[1]:[31]])</f>
        <v>64085.41</v>
      </c>
      <c r="Q79">
        <v>70000</v>
      </c>
      <c r="R79" t="s">
        <v>76</v>
      </c>
      <c r="S79">
        <v>1000</v>
      </c>
      <c r="X79">
        <v>10000</v>
      </c>
      <c r="Y79">
        <v>4775</v>
      </c>
      <c r="AA79">
        <v>600</v>
      </c>
      <c r="AE79">
        <v>20500</v>
      </c>
      <c r="AG79">
        <v>2500</v>
      </c>
      <c r="AH79">
        <v>3875</v>
      </c>
      <c r="AN79">
        <v>9780</v>
      </c>
      <c r="AO79">
        <v>900</v>
      </c>
      <c r="AT79">
        <v>900</v>
      </c>
      <c r="AU79">
        <v>815.41</v>
      </c>
      <c r="AV79">
        <v>7150</v>
      </c>
      <c r="AW79">
        <v>1290</v>
      </c>
      <c r="AX79" t="s">
        <v>155</v>
      </c>
    </row>
    <row r="116" spans="19:19" x14ac:dyDescent="0.25">
      <c r="S116" s="3"/>
    </row>
    <row r="117" spans="19:19" x14ac:dyDescent="0.25">
      <c r="S117" s="3"/>
    </row>
    <row r="118" spans="19:19" x14ac:dyDescent="0.25">
      <c r="S118" s="3"/>
    </row>
    <row r="119" spans="19:19" x14ac:dyDescent="0.25">
      <c r="S119" s="3"/>
    </row>
    <row r="120" spans="19:19" x14ac:dyDescent="0.25">
      <c r="S120" s="3"/>
    </row>
    <row r="121" spans="19:19" x14ac:dyDescent="0.25">
      <c r="S121" s="3"/>
    </row>
    <row r="122" spans="19:19" x14ac:dyDescent="0.25">
      <c r="S122" s="3"/>
    </row>
    <row r="123" spans="19:19" x14ac:dyDescent="0.25">
      <c r="S123" s="3"/>
    </row>
    <row r="132" spans="19:19" x14ac:dyDescent="0.25">
      <c r="S132" s="47"/>
    </row>
    <row r="142" spans="19:19" x14ac:dyDescent="0.25">
      <c r="S142" s="47"/>
    </row>
    <row r="143" spans="19:19" x14ac:dyDescent="0.25">
      <c r="S143" s="47"/>
    </row>
    <row r="144" spans="19:19" x14ac:dyDescent="0.25">
      <c r="S144" s="47"/>
    </row>
    <row r="145" spans="19:19" x14ac:dyDescent="0.25">
      <c r="S145" s="47"/>
    </row>
    <row r="152" spans="19:19" x14ac:dyDescent="0.25">
      <c r="S152" s="3"/>
    </row>
    <row r="153" spans="19:19" x14ac:dyDescent="0.25">
      <c r="S153" s="3"/>
    </row>
    <row r="154" spans="19:19" x14ac:dyDescent="0.25">
      <c r="S154" s="3"/>
    </row>
    <row r="155" spans="19:19" x14ac:dyDescent="0.25">
      <c r="S155" s="3"/>
    </row>
    <row r="156" spans="19:19" x14ac:dyDescent="0.25">
      <c r="S156" s="3"/>
    </row>
    <row r="157" spans="19:19" x14ac:dyDescent="0.25">
      <c r="S157" s="3"/>
    </row>
    <row r="158" spans="19:19" x14ac:dyDescent="0.25">
      <c r="S158" s="3"/>
    </row>
    <row r="159" spans="19:19" x14ac:dyDescent="0.25">
      <c r="S159" s="3"/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9C38-09BC-4232-8B2E-DE9675EF6F44}">
  <dimension ref="A1:CI68"/>
  <sheetViews>
    <sheetView zoomScale="70" zoomScaleNormal="70" workbookViewId="0">
      <selection activeCell="K2" sqref="K2"/>
    </sheetView>
  </sheetViews>
  <sheetFormatPr baseColWidth="10" defaultRowHeight="15" x14ac:dyDescent="0.25"/>
  <cols>
    <col min="1" max="1" width="13" bestFit="1" customWidth="1"/>
    <col min="2" max="2" width="30.28515625" customWidth="1"/>
    <col min="3" max="3" width="12.28515625" customWidth="1"/>
    <col min="4" max="4" width="16" style="1" bestFit="1" customWidth="1"/>
    <col min="5" max="5" width="16" style="1" customWidth="1"/>
    <col min="6" max="6" width="30.28515625" bestFit="1" customWidth="1"/>
    <col min="7" max="7" width="17.85546875" bestFit="1" customWidth="1"/>
    <col min="9" max="9" width="27.85546875" style="56" bestFit="1" customWidth="1"/>
    <col min="13" max="13" width="16" bestFit="1" customWidth="1"/>
    <col min="14" max="14" width="26" bestFit="1" customWidth="1"/>
    <col min="15" max="15" width="20.28515625" bestFit="1" customWidth="1"/>
    <col min="16" max="16" width="17.85546875" bestFit="1" customWidth="1"/>
    <col min="18" max="18" width="30.28515625" bestFit="1" customWidth="1"/>
    <col min="19" max="23" width="12" bestFit="1" customWidth="1"/>
    <col min="24" max="24" width="13" bestFit="1" customWidth="1"/>
    <col min="25" max="25" width="12.5703125" bestFit="1" customWidth="1"/>
    <col min="26" max="31" width="13" bestFit="1" customWidth="1"/>
    <col min="32" max="32" width="13.42578125" bestFit="1" customWidth="1"/>
    <col min="33" max="33" width="13" bestFit="1" customWidth="1"/>
    <col min="34" max="39" width="13.42578125" bestFit="1" customWidth="1"/>
    <col min="40" max="40" width="13.42578125" customWidth="1"/>
    <col min="43" max="43" width="20" bestFit="1" customWidth="1"/>
    <col min="44" max="44" width="15.140625" customWidth="1"/>
    <col min="45" max="45" width="20.140625" bestFit="1" customWidth="1"/>
    <col min="46" max="46" width="12" bestFit="1" customWidth="1"/>
  </cols>
  <sheetData>
    <row r="1" spans="1:87" x14ac:dyDescent="0.25">
      <c r="L1" s="56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69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66" t="s">
        <v>2</v>
      </c>
      <c r="B3" s="66" t="s">
        <v>25</v>
      </c>
      <c r="C3" s="67"/>
      <c r="D3" s="67"/>
      <c r="E3" s="66" t="s">
        <v>2</v>
      </c>
      <c r="F3" s="66" t="s">
        <v>25</v>
      </c>
      <c r="G3" s="66"/>
      <c r="H3" s="66" t="s">
        <v>446</v>
      </c>
      <c r="I3" s="68">
        <v>44818</v>
      </c>
      <c r="J3" s="68" t="s">
        <v>500</v>
      </c>
      <c r="L3" s="56"/>
      <c r="M3" s="33">
        <v>2025</v>
      </c>
      <c r="N3" s="33" t="s">
        <v>149</v>
      </c>
      <c r="O3" s="33">
        <v>21</v>
      </c>
    </row>
    <row r="4" spans="1:87" x14ac:dyDescent="0.25">
      <c r="A4" s="66" t="s">
        <v>2</v>
      </c>
      <c r="B4" s="66" t="s">
        <v>33</v>
      </c>
      <c r="C4" s="67"/>
      <c r="D4" s="67"/>
      <c r="E4" s="66" t="s">
        <v>2</v>
      </c>
      <c r="F4" s="66" t="s">
        <v>33</v>
      </c>
      <c r="G4" s="66"/>
      <c r="H4" s="66" t="s">
        <v>439</v>
      </c>
      <c r="I4" s="68">
        <v>44867</v>
      </c>
      <c r="J4" s="68" t="s">
        <v>500</v>
      </c>
      <c r="L4" s="56"/>
    </row>
    <row r="5" spans="1:87" x14ac:dyDescent="0.25">
      <c r="A5" s="66" t="s">
        <v>2</v>
      </c>
      <c r="B5" s="66" t="s">
        <v>12</v>
      </c>
      <c r="C5" s="67"/>
      <c r="D5" s="67"/>
      <c r="E5" s="66" t="s">
        <v>2</v>
      </c>
      <c r="F5" s="66" t="s">
        <v>12</v>
      </c>
      <c r="G5" s="66"/>
      <c r="H5" s="66" t="s">
        <v>389</v>
      </c>
      <c r="I5" s="68">
        <v>44868</v>
      </c>
      <c r="J5" s="68" t="s">
        <v>500</v>
      </c>
      <c r="L5" s="56"/>
    </row>
    <row r="6" spans="1:87" x14ac:dyDescent="0.25">
      <c r="A6" s="66" t="s">
        <v>2</v>
      </c>
      <c r="B6" s="66" t="s">
        <v>34</v>
      </c>
      <c r="C6" s="67"/>
      <c r="D6" s="67"/>
      <c r="E6" s="66" t="s">
        <v>2</v>
      </c>
      <c r="F6" s="66" t="s">
        <v>34</v>
      </c>
      <c r="G6" s="66"/>
      <c r="H6" s="66" t="s">
        <v>407</v>
      </c>
      <c r="I6" s="68">
        <v>45173</v>
      </c>
      <c r="J6" s="68" t="s">
        <v>500</v>
      </c>
      <c r="L6" s="56"/>
    </row>
    <row r="7" spans="1:87" x14ac:dyDescent="0.25">
      <c r="A7" t="s">
        <v>5</v>
      </c>
      <c r="B7" t="s">
        <v>29</v>
      </c>
      <c r="C7">
        <f>VLOOKUP(D1_NOVIEMBRE_2025[[#This Row],[SUPER]],DATA_NOVIEMBRE_2025[[SUPERVISOR]:[META]],3,0)</f>
        <v>14000</v>
      </c>
      <c r="D7" s="1">
        <f>D1_NOVIEMBRE_2025[[#This Row],[RECUPERO]]/C7</f>
        <v>1.669</v>
      </c>
      <c r="E7" s="1" t="s">
        <v>5</v>
      </c>
      <c r="F7" t="s">
        <v>29</v>
      </c>
      <c r="G7">
        <v>23366</v>
      </c>
      <c r="H7" t="s">
        <v>416</v>
      </c>
      <c r="I7" s="56">
        <v>44687</v>
      </c>
      <c r="J7" t="s">
        <v>501</v>
      </c>
      <c r="L7" s="56"/>
      <c r="N7" s="1"/>
    </row>
    <row r="8" spans="1:87" x14ac:dyDescent="0.25">
      <c r="A8" t="s">
        <v>5</v>
      </c>
      <c r="B8" t="s">
        <v>96</v>
      </c>
      <c r="C8">
        <f>VLOOKUP(D1_NOVIEMBRE_2025[[#This Row],[SUPER]],DATA_NOVIEMBRE_2025[[SUPERVISOR]:[META]],3,0)</f>
        <v>14000</v>
      </c>
      <c r="D8" s="1">
        <f>D1_NOVIEMBRE_2025[[#This Row],[RECUPERO]]/C8</f>
        <v>1.4307857142857143</v>
      </c>
      <c r="E8" s="1" t="s">
        <v>5</v>
      </c>
      <c r="F8" t="s">
        <v>96</v>
      </c>
      <c r="G8">
        <v>20031</v>
      </c>
      <c r="H8" t="s">
        <v>437</v>
      </c>
      <c r="I8" s="56">
        <v>45671</v>
      </c>
      <c r="J8" t="s">
        <v>501</v>
      </c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19" t="s">
        <v>94</v>
      </c>
      <c r="BD8" s="19" t="s">
        <v>533</v>
      </c>
      <c r="BE8" s="19" t="s">
        <v>503</v>
      </c>
      <c r="BF8" s="19" t="s">
        <v>525</v>
      </c>
      <c r="BG8" s="19" t="s">
        <v>529</v>
      </c>
      <c r="BH8" s="19" t="s">
        <v>504</v>
      </c>
      <c r="BI8" s="19" t="s">
        <v>505</v>
      </c>
      <c r="BJ8" s="19" t="s">
        <v>506</v>
      </c>
      <c r="BK8" s="19" t="s">
        <v>507</v>
      </c>
      <c r="BL8" s="19" t="s">
        <v>508</v>
      </c>
      <c r="BM8" s="19" t="s">
        <v>526</v>
      </c>
      <c r="BN8" s="19" t="s">
        <v>530</v>
      </c>
      <c r="BO8" s="19" t="s">
        <v>509</v>
      </c>
      <c r="BP8" s="19" t="s">
        <v>510</v>
      </c>
      <c r="BQ8" s="19" t="s">
        <v>511</v>
      </c>
      <c r="BR8" s="19" t="s">
        <v>512</v>
      </c>
      <c r="BS8" s="19" t="s">
        <v>513</v>
      </c>
      <c r="BT8" s="19" t="s">
        <v>527</v>
      </c>
      <c r="BU8" s="19" t="s">
        <v>531</v>
      </c>
      <c r="BV8" s="19" t="s">
        <v>514</v>
      </c>
      <c r="BW8" s="19" t="s">
        <v>515</v>
      </c>
      <c r="BX8" s="19" t="s">
        <v>516</v>
      </c>
      <c r="BY8" s="19" t="s">
        <v>517</v>
      </c>
      <c r="BZ8" s="19" t="s">
        <v>518</v>
      </c>
      <c r="CA8" s="19" t="s">
        <v>528</v>
      </c>
      <c r="CB8" s="19" t="s">
        <v>532</v>
      </c>
      <c r="CC8" s="19" t="s">
        <v>519</v>
      </c>
      <c r="CD8" s="19" t="s">
        <v>520</v>
      </c>
      <c r="CE8" s="19" t="s">
        <v>521</v>
      </c>
      <c r="CF8" s="19" t="s">
        <v>522</v>
      </c>
      <c r="CG8" s="19" t="s">
        <v>523</v>
      </c>
      <c r="CH8" s="19" t="s">
        <v>524</v>
      </c>
      <c r="CI8" s="18" t="s">
        <v>134</v>
      </c>
    </row>
    <row r="9" spans="1:87" x14ac:dyDescent="0.25">
      <c r="A9" t="s">
        <v>5</v>
      </c>
      <c r="B9" t="s">
        <v>79</v>
      </c>
      <c r="C9">
        <f>VLOOKUP(D1_NOVIEMBRE_2025[[#This Row],[SUPER]],DATA_NOVIEMBRE_2025[[SUPERVISOR]:[META]],3,0)</f>
        <v>14000</v>
      </c>
      <c r="D9" s="1">
        <f>D1_NOVIEMBRE_2025[[#This Row],[RECUPERO]]/C9</f>
        <v>1.0025714285714287</v>
      </c>
      <c r="E9" s="1" t="s">
        <v>5</v>
      </c>
      <c r="F9" t="s">
        <v>79</v>
      </c>
      <c r="G9">
        <v>14036</v>
      </c>
      <c r="H9" t="s">
        <v>453</v>
      </c>
      <c r="I9" s="56">
        <v>44566</v>
      </c>
      <c r="J9" t="s">
        <v>501</v>
      </c>
      <c r="L9" s="56"/>
      <c r="M9" s="1">
        <f>DATA_NOVIEMBRE_2025[[#This Row],[RECUPERO]]/DATA_NOVIEMBRE_2025[[#This Row],[META]]</f>
        <v>1.8016181395348838</v>
      </c>
      <c r="N9" s="5" t="str" cm="1">
        <f t="array" ref="N9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9" t="s">
        <v>6</v>
      </c>
      <c r="P9">
        <f>SUM(DATA_NOVIEMBRE_2025[[#This Row],[1]:[31]])</f>
        <v>77469.58</v>
      </c>
      <c r="Q9">
        <v>43000</v>
      </c>
      <c r="R9" t="s">
        <v>18</v>
      </c>
      <c r="U9">
        <v>8000</v>
      </c>
      <c r="V9">
        <v>4050</v>
      </c>
      <c r="X9">
        <v>16267.58</v>
      </c>
      <c r="AC9">
        <v>3000</v>
      </c>
      <c r="AD9">
        <v>7000</v>
      </c>
      <c r="AI9">
        <v>12000</v>
      </c>
      <c r="AJ9">
        <v>5760</v>
      </c>
      <c r="AP9">
        <v>575</v>
      </c>
      <c r="AR9">
        <v>5000</v>
      </c>
      <c r="AS9">
        <v>9000</v>
      </c>
      <c r="AT9">
        <v>4700</v>
      </c>
      <c r="AV9">
        <v>2117</v>
      </c>
      <c r="AX9" t="s">
        <v>161</v>
      </c>
      <c r="AZ9">
        <v>100323</v>
      </c>
      <c r="BA9">
        <f>MAX(DITE_NOVIEMBRE_2025[[#This Row],[1]:[31]])</f>
        <v>132012</v>
      </c>
      <c r="BB9" s="1">
        <f>DITE_NOVIEMBRE_2025[[#This Row],[RECUPERO SUPERVISOR]]/DITE_NOVIEMBRE_2025[[#This Row],[META SUPER]]</f>
        <v>1.3158697407374182</v>
      </c>
      <c r="BC9" t="s">
        <v>5</v>
      </c>
      <c r="BD9">
        <v>0</v>
      </c>
      <c r="BE9">
        <v>0</v>
      </c>
      <c r="BF9">
        <v>1500</v>
      </c>
      <c r="BG9">
        <v>3455</v>
      </c>
      <c r="BH9">
        <v>10998</v>
      </c>
      <c r="BI9">
        <v>23990</v>
      </c>
      <c r="BJ9">
        <v>26228</v>
      </c>
      <c r="BK9">
        <v>26228</v>
      </c>
      <c r="BL9">
        <v>26228</v>
      </c>
      <c r="BM9">
        <v>32122</v>
      </c>
      <c r="BN9">
        <v>36822</v>
      </c>
      <c r="BO9">
        <v>48145</v>
      </c>
      <c r="BP9">
        <v>48975</v>
      </c>
      <c r="BQ9">
        <v>55463</v>
      </c>
      <c r="BR9">
        <v>55888</v>
      </c>
      <c r="BS9">
        <v>55888</v>
      </c>
      <c r="BT9">
        <v>59818</v>
      </c>
      <c r="BU9">
        <v>60599</v>
      </c>
      <c r="BV9">
        <v>66003</v>
      </c>
      <c r="BW9">
        <v>67303</v>
      </c>
      <c r="BX9">
        <v>84328</v>
      </c>
      <c r="BY9">
        <v>87528</v>
      </c>
      <c r="BZ9">
        <v>87528</v>
      </c>
      <c r="CA9">
        <v>88663</v>
      </c>
      <c r="CB9">
        <v>97708</v>
      </c>
      <c r="CC9">
        <v>103078</v>
      </c>
      <c r="CD9">
        <v>114303</v>
      </c>
      <c r="CE9">
        <v>129515</v>
      </c>
      <c r="CF9">
        <v>132012</v>
      </c>
      <c r="CG9">
        <v>132012</v>
      </c>
      <c r="CH9">
        <v>132012</v>
      </c>
      <c r="CI9" t="s">
        <v>160</v>
      </c>
    </row>
    <row r="10" spans="1:87" x14ac:dyDescent="0.25">
      <c r="A10" t="s">
        <v>5</v>
      </c>
      <c r="B10" t="s">
        <v>77</v>
      </c>
      <c r="C10">
        <f>VLOOKUP(D1_NOVIEMBRE_2025[[#This Row],[SUPER]],DATA_NOVIEMBRE_2025[[SUPERVISOR]:[META]],3,0)</f>
        <v>14000</v>
      </c>
      <c r="D10" s="1">
        <f>D1_NOVIEMBRE_2025[[#This Row],[RECUPERO]]/C10</f>
        <v>0.90349999999999997</v>
      </c>
      <c r="E10" s="1" t="s">
        <v>5</v>
      </c>
      <c r="F10" t="s">
        <v>77</v>
      </c>
      <c r="G10">
        <v>12649</v>
      </c>
      <c r="H10" t="s">
        <v>393</v>
      </c>
      <c r="I10" s="56">
        <v>44840</v>
      </c>
      <c r="J10" t="s">
        <v>501</v>
      </c>
      <c r="L10" s="56"/>
      <c r="M10" s="1">
        <f>DATA_NOVIEMBRE_2025[[#This Row],[RECUPERO]]/DATA_NOVIEMBRE_2025[[#This Row],[META]]</f>
        <v>1.0766666666666667</v>
      </c>
      <c r="N10" s="5" t="str" cm="1">
        <f t="array" ref="N10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10" t="s">
        <v>2</v>
      </c>
      <c r="P10">
        <f>SUM(DATA_NOVIEMBRE_2025[[#This Row],[1]:[31]])</f>
        <v>16150</v>
      </c>
      <c r="Q10">
        <v>15000</v>
      </c>
      <c r="R10" t="s">
        <v>21</v>
      </c>
      <c r="W10">
        <v>3000</v>
      </c>
      <c r="AB10">
        <v>2550</v>
      </c>
      <c r="AC10">
        <v>1500</v>
      </c>
      <c r="AE10">
        <v>600</v>
      </c>
      <c r="AK10">
        <v>800</v>
      </c>
      <c r="AP10">
        <v>200</v>
      </c>
      <c r="AT10">
        <v>5000</v>
      </c>
      <c r="AU10">
        <v>2500</v>
      </c>
      <c r="AX10" t="s">
        <v>158</v>
      </c>
      <c r="AZ10">
        <v>144490</v>
      </c>
      <c r="BA10">
        <f>MAX(DITE_NOVIEMBRE_2025[[#This Row],[1]:[31]])</f>
        <v>174651</v>
      </c>
      <c r="BB10" s="1">
        <f>DITE_NOVIEMBRE_2025[[#This Row],[RECUPERO SUPERVISOR]]/DITE_NOVIEMBRE_2025[[#This Row],[META SUPER]]</f>
        <v>1.2087410893487438</v>
      </c>
      <c r="BC10" t="s">
        <v>2</v>
      </c>
      <c r="BD10">
        <v>0</v>
      </c>
      <c r="BE10">
        <v>0</v>
      </c>
      <c r="BF10">
        <v>260</v>
      </c>
      <c r="BG10">
        <v>3485.5</v>
      </c>
      <c r="BH10">
        <v>15105.5</v>
      </c>
      <c r="BI10">
        <v>16605.5</v>
      </c>
      <c r="BJ10">
        <v>53892.5</v>
      </c>
      <c r="BK10">
        <v>63892.5</v>
      </c>
      <c r="BL10">
        <v>63892.5</v>
      </c>
      <c r="BM10">
        <v>73077.5</v>
      </c>
      <c r="BN10">
        <v>82677.5</v>
      </c>
      <c r="BO10">
        <v>90877.5</v>
      </c>
      <c r="BP10">
        <v>93527.5</v>
      </c>
      <c r="BQ10">
        <v>93527.5</v>
      </c>
      <c r="BR10">
        <v>94332.5</v>
      </c>
      <c r="BS10">
        <v>94332.5</v>
      </c>
      <c r="BT10">
        <v>95654.5</v>
      </c>
      <c r="BU10">
        <v>101654.5</v>
      </c>
      <c r="BV10">
        <v>103254.5</v>
      </c>
      <c r="BW10">
        <v>107224.5</v>
      </c>
      <c r="BX10">
        <v>115704.5</v>
      </c>
      <c r="BY10">
        <v>115704.5</v>
      </c>
      <c r="BZ10">
        <v>115704.5</v>
      </c>
      <c r="CA10">
        <v>124104.5</v>
      </c>
      <c r="CB10">
        <v>135944.5</v>
      </c>
      <c r="CC10">
        <v>137470</v>
      </c>
      <c r="CD10">
        <v>140212</v>
      </c>
      <c r="CE10">
        <v>167218</v>
      </c>
      <c r="CF10">
        <v>174651</v>
      </c>
      <c r="CG10">
        <v>174651</v>
      </c>
      <c r="CH10">
        <v>174651</v>
      </c>
      <c r="CI10" t="s">
        <v>158</v>
      </c>
    </row>
    <row r="11" spans="1:87" x14ac:dyDescent="0.25">
      <c r="A11" t="s">
        <v>5</v>
      </c>
      <c r="B11" t="s">
        <v>55</v>
      </c>
      <c r="C11">
        <f>VLOOKUP(D1_NOVIEMBRE_2025[[#This Row],[SUPER]],DATA_NOVIEMBRE_2025[[SUPERVISOR]:[META]],3,0)</f>
        <v>14000</v>
      </c>
      <c r="D11" s="1">
        <f>D1_NOVIEMBRE_2025[[#This Row],[RECUPERO]]/C11</f>
        <v>0.79571428571428571</v>
      </c>
      <c r="E11" s="1" t="s">
        <v>5</v>
      </c>
      <c r="F11" t="s">
        <v>55</v>
      </c>
      <c r="G11">
        <v>11140</v>
      </c>
      <c r="H11" t="s">
        <v>475</v>
      </c>
      <c r="I11" s="56">
        <v>45818</v>
      </c>
      <c r="J11" t="s">
        <v>501</v>
      </c>
      <c r="L11" s="56"/>
      <c r="M11" s="1">
        <f>DATA_NOVIEMBRE_2025[[#This Row],[RECUPERO]]/DATA_NOVIEMBRE_2025[[#This Row],[META]]</f>
        <v>0.47525454545454543</v>
      </c>
      <c r="N11" s="5" t="str" cm="1">
        <f t="array" ref="N1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11" t="s">
        <v>4</v>
      </c>
      <c r="P11">
        <f>SUM(DATA_NOVIEMBRE_2025[[#This Row],[1]:[31]])</f>
        <v>26139</v>
      </c>
      <c r="Q11">
        <v>55000</v>
      </c>
      <c r="R11" t="s">
        <v>58</v>
      </c>
      <c r="V11">
        <v>600</v>
      </c>
      <c r="X11">
        <v>3000</v>
      </c>
      <c r="Z11">
        <v>620</v>
      </c>
      <c r="AB11">
        <v>223</v>
      </c>
      <c r="AI11">
        <v>800</v>
      </c>
      <c r="AK11">
        <v>250</v>
      </c>
      <c r="AM11">
        <v>688</v>
      </c>
      <c r="AQ11">
        <v>10392</v>
      </c>
      <c r="AS11">
        <v>900</v>
      </c>
      <c r="AT11">
        <v>630</v>
      </c>
      <c r="AU11">
        <v>6300</v>
      </c>
      <c r="AV11">
        <v>1736</v>
      </c>
      <c r="AX11" t="s">
        <v>159</v>
      </c>
      <c r="AZ11">
        <v>346906</v>
      </c>
      <c r="BA11">
        <f>MAX(DITE_NOVIEMBRE_2025[[#This Row],[1]:[31]])</f>
        <v>451622.27999999997</v>
      </c>
      <c r="BB11" s="1">
        <f>DITE_NOVIEMBRE_2025[[#This Row],[RECUPERO SUPERVISOR]]/DITE_NOVIEMBRE_2025[[#This Row],[META SUPER]]</f>
        <v>1.3018577943304526</v>
      </c>
      <c r="BC11" t="s">
        <v>6</v>
      </c>
      <c r="BD11">
        <v>0</v>
      </c>
      <c r="BE11">
        <v>0</v>
      </c>
      <c r="BF11">
        <v>8660</v>
      </c>
      <c r="BG11">
        <v>18410</v>
      </c>
      <c r="BH11">
        <v>40990</v>
      </c>
      <c r="BI11">
        <v>60475.58</v>
      </c>
      <c r="BJ11">
        <v>73500.58</v>
      </c>
      <c r="BK11">
        <v>73950.58</v>
      </c>
      <c r="BL11">
        <v>73950.58</v>
      </c>
      <c r="BM11">
        <v>100195.58</v>
      </c>
      <c r="BN11">
        <v>121338.48000000001</v>
      </c>
      <c r="BO11">
        <v>133263.48000000001</v>
      </c>
      <c r="BP11">
        <v>150116.48000000001</v>
      </c>
      <c r="BQ11">
        <v>151921.48000000001</v>
      </c>
      <c r="BR11">
        <v>152917.48000000001</v>
      </c>
      <c r="BS11">
        <v>152917.48000000001</v>
      </c>
      <c r="BT11">
        <v>189737.48</v>
      </c>
      <c r="BU11">
        <v>209397.48</v>
      </c>
      <c r="BV11">
        <v>217447.48</v>
      </c>
      <c r="BW11">
        <v>224552.48</v>
      </c>
      <c r="BX11">
        <v>232202.48</v>
      </c>
      <c r="BY11">
        <v>250402.48</v>
      </c>
      <c r="BZ11">
        <v>250402.48</v>
      </c>
      <c r="CA11">
        <v>266664.98</v>
      </c>
      <c r="CB11">
        <v>305914.98</v>
      </c>
      <c r="CC11">
        <v>323122.98</v>
      </c>
      <c r="CD11">
        <v>341276.98</v>
      </c>
      <c r="CE11">
        <v>420691.27999999997</v>
      </c>
      <c r="CF11">
        <v>449505.27999999997</v>
      </c>
      <c r="CG11">
        <v>451622.27999999997</v>
      </c>
      <c r="CH11">
        <v>451622.27999999997</v>
      </c>
      <c r="CI11" t="s">
        <v>161</v>
      </c>
    </row>
    <row r="12" spans="1:87" x14ac:dyDescent="0.25">
      <c r="A12" t="s">
        <v>5</v>
      </c>
      <c r="B12" t="s">
        <v>54</v>
      </c>
      <c r="C12">
        <f>VLOOKUP(D1_NOVIEMBRE_2025[[#This Row],[SUPER]],DATA_NOVIEMBRE_2025[[SUPERVISOR]:[META]],3,0)</f>
        <v>14000</v>
      </c>
      <c r="D12" s="1">
        <f>D1_NOVIEMBRE_2025[[#This Row],[RECUPERO]]/C12</f>
        <v>0.71664285714285714</v>
      </c>
      <c r="E12" s="1" t="s">
        <v>5</v>
      </c>
      <c r="F12" t="s">
        <v>54</v>
      </c>
      <c r="G12">
        <v>10033</v>
      </c>
      <c r="H12" t="s">
        <v>474</v>
      </c>
      <c r="I12" s="56">
        <v>45819</v>
      </c>
      <c r="J12" t="s">
        <v>501</v>
      </c>
      <c r="L12" s="56"/>
      <c r="M12" s="1">
        <f>DATA_NOVIEMBRE_2025[[#This Row],[RECUPERO]]/DATA_NOVIEMBRE_2025[[#This Row],[META]]</f>
        <v>0.71664285714285714</v>
      </c>
      <c r="N12" s="5" t="str" cm="1">
        <f t="array" ref="N12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12" t="s">
        <v>5</v>
      </c>
      <c r="P12">
        <f>SUM(DATA_NOVIEMBRE_2025[[#This Row],[1]:[31]])</f>
        <v>10033</v>
      </c>
      <c r="Q12">
        <v>14000</v>
      </c>
      <c r="R12" t="s">
        <v>54</v>
      </c>
      <c r="Y12">
        <v>360</v>
      </c>
      <c r="AB12">
        <v>100</v>
      </c>
      <c r="AF12">
        <v>438</v>
      </c>
      <c r="AL12">
        <v>640</v>
      </c>
      <c r="AP12">
        <v>415</v>
      </c>
      <c r="AR12">
        <v>300</v>
      </c>
      <c r="AS12">
        <v>5200</v>
      </c>
      <c r="AT12">
        <v>2080</v>
      </c>
      <c r="AU12">
        <v>500</v>
      </c>
      <c r="AX12" t="s">
        <v>160</v>
      </c>
      <c r="AZ12">
        <v>100323</v>
      </c>
      <c r="BA12">
        <f>MAX(DITE_NOVIEMBRE_2025[[#This Row],[1]:[31]])</f>
        <v>100740</v>
      </c>
      <c r="BB12" s="1">
        <f>DITE_NOVIEMBRE_2025[[#This Row],[RECUPERO SUPERVISOR]]/DITE_NOVIEMBRE_2025[[#This Row],[META SUPER]]</f>
        <v>1.0041565742651237</v>
      </c>
      <c r="BC12" t="s">
        <v>7</v>
      </c>
      <c r="BD12">
        <v>0</v>
      </c>
      <c r="BE12">
        <v>0</v>
      </c>
      <c r="BF12">
        <v>0</v>
      </c>
      <c r="BG12">
        <v>1800</v>
      </c>
      <c r="BH12">
        <v>2186</v>
      </c>
      <c r="BI12">
        <v>8766</v>
      </c>
      <c r="BJ12">
        <v>9726</v>
      </c>
      <c r="BK12">
        <v>9726</v>
      </c>
      <c r="BL12">
        <v>9726</v>
      </c>
      <c r="BM12">
        <v>11026</v>
      </c>
      <c r="BN12">
        <v>28076</v>
      </c>
      <c r="BO12">
        <v>41326</v>
      </c>
      <c r="BP12">
        <v>43096</v>
      </c>
      <c r="BQ12">
        <v>48296</v>
      </c>
      <c r="BR12">
        <v>48296</v>
      </c>
      <c r="BS12">
        <v>48296</v>
      </c>
      <c r="BT12">
        <v>54414</v>
      </c>
      <c r="BU12">
        <v>60444</v>
      </c>
      <c r="BV12">
        <v>62154</v>
      </c>
      <c r="BW12">
        <v>64460</v>
      </c>
      <c r="BX12">
        <v>68702</v>
      </c>
      <c r="BY12">
        <v>70402</v>
      </c>
      <c r="BZ12">
        <v>70402</v>
      </c>
      <c r="CA12">
        <v>76382</v>
      </c>
      <c r="CB12">
        <v>79312</v>
      </c>
      <c r="CC12">
        <v>81091</v>
      </c>
      <c r="CD12">
        <v>82938</v>
      </c>
      <c r="CE12">
        <v>98490</v>
      </c>
      <c r="CF12">
        <v>100140</v>
      </c>
      <c r="CG12">
        <v>100740</v>
      </c>
      <c r="CH12">
        <v>100740</v>
      </c>
      <c r="CI12" t="s">
        <v>160</v>
      </c>
    </row>
    <row r="13" spans="1:87" x14ac:dyDescent="0.25">
      <c r="A13" t="s">
        <v>5</v>
      </c>
      <c r="B13" t="s">
        <v>100</v>
      </c>
      <c r="C13">
        <f>VLOOKUP(D1_NOVIEMBRE_2025[[#This Row],[SUPER]],DATA_NOVIEMBRE_2025[[SUPERVISOR]:[META]],3,0)</f>
        <v>14000</v>
      </c>
      <c r="D13" s="1">
        <f>D1_NOVIEMBRE_2025[[#This Row],[RECUPERO]]/C13</f>
        <v>0.64514285714285713</v>
      </c>
      <c r="E13" s="1" t="s">
        <v>5</v>
      </c>
      <c r="F13" t="s">
        <v>100</v>
      </c>
      <c r="G13">
        <v>9032</v>
      </c>
      <c r="H13" t="s">
        <v>489</v>
      </c>
      <c r="I13" s="56">
        <v>45895</v>
      </c>
      <c r="J13" t="s">
        <v>501</v>
      </c>
      <c r="L13" s="56"/>
      <c r="M13" s="1">
        <f>DATA_NOVIEMBRE_2025[[#This Row],[RECUPERO]]/DATA_NOVIEMBRE_2025[[#This Row],[META]]</f>
        <v>0.79178181818181814</v>
      </c>
      <c r="N13" s="5" t="str" cm="1">
        <f t="array" ref="N13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13" t="s">
        <v>4</v>
      </c>
      <c r="P13">
        <f>SUM(DATA_NOVIEMBRE_2025[[#This Row],[1]:[31]])</f>
        <v>43548</v>
      </c>
      <c r="Q13">
        <v>55000</v>
      </c>
      <c r="R13" t="s">
        <v>60</v>
      </c>
      <c r="U13">
        <v>2740</v>
      </c>
      <c r="V13">
        <v>992</v>
      </c>
      <c r="AB13">
        <v>1500</v>
      </c>
      <c r="AE13">
        <v>600</v>
      </c>
      <c r="AF13">
        <v>1134</v>
      </c>
      <c r="AI13">
        <v>3000</v>
      </c>
      <c r="AJ13">
        <v>5100</v>
      </c>
      <c r="AK13">
        <v>1100</v>
      </c>
      <c r="AL13">
        <v>5500</v>
      </c>
      <c r="AM13">
        <v>2000</v>
      </c>
      <c r="AP13">
        <v>6100</v>
      </c>
      <c r="AQ13">
        <v>5000</v>
      </c>
      <c r="AR13">
        <v>2500</v>
      </c>
      <c r="AT13">
        <v>6282</v>
      </c>
      <c r="AX13" t="s">
        <v>159</v>
      </c>
      <c r="AZ13">
        <v>599640</v>
      </c>
      <c r="BA13">
        <f>MAX(DITE_NOVIEMBRE_2025[[#This Row],[1]:[31]])</f>
        <v>374983</v>
      </c>
      <c r="BB13" s="1">
        <f>DITE_NOVIEMBRE_2025[[#This Row],[RECUPERO SUPERVISOR]]/DITE_NOVIEMBRE_2025[[#This Row],[META SUPER]]</f>
        <v>0.62534687479154161</v>
      </c>
      <c r="BC13" t="s">
        <v>4</v>
      </c>
      <c r="BD13">
        <v>1300</v>
      </c>
      <c r="BE13">
        <v>1300</v>
      </c>
      <c r="BF13">
        <v>5210</v>
      </c>
      <c r="BG13">
        <v>7692</v>
      </c>
      <c r="BH13">
        <v>13042</v>
      </c>
      <c r="BI13">
        <v>24042</v>
      </c>
      <c r="BJ13">
        <v>32042</v>
      </c>
      <c r="BK13">
        <v>32662</v>
      </c>
      <c r="BL13">
        <v>32662</v>
      </c>
      <c r="BM13">
        <v>58105</v>
      </c>
      <c r="BN13">
        <v>73712.5</v>
      </c>
      <c r="BO13">
        <v>75412.5</v>
      </c>
      <c r="BP13">
        <v>82112.5</v>
      </c>
      <c r="BQ13">
        <v>95679.5</v>
      </c>
      <c r="BR13">
        <v>95679.5</v>
      </c>
      <c r="BS13">
        <v>96549.5</v>
      </c>
      <c r="BT13">
        <v>124249.5</v>
      </c>
      <c r="BU13">
        <v>145539.5</v>
      </c>
      <c r="BV13">
        <v>159017.5</v>
      </c>
      <c r="BW13">
        <v>180740.5</v>
      </c>
      <c r="BX13">
        <v>197891</v>
      </c>
      <c r="BY13">
        <v>199810</v>
      </c>
      <c r="BZ13">
        <v>199810</v>
      </c>
      <c r="CA13">
        <v>236425</v>
      </c>
      <c r="CB13">
        <v>265194</v>
      </c>
      <c r="CC13">
        <v>272344</v>
      </c>
      <c r="CD13">
        <v>298190</v>
      </c>
      <c r="CE13">
        <v>346687</v>
      </c>
      <c r="CF13">
        <v>373247</v>
      </c>
      <c r="CG13">
        <v>374983</v>
      </c>
      <c r="CH13">
        <v>374983</v>
      </c>
      <c r="CI13" t="s">
        <v>159</v>
      </c>
    </row>
    <row r="14" spans="1:87" x14ac:dyDescent="0.25">
      <c r="A14" t="s">
        <v>5</v>
      </c>
      <c r="B14" t="s">
        <v>36</v>
      </c>
      <c r="C14">
        <f>VLOOKUP(D1_NOVIEMBRE_2025[[#This Row],[SUPER]],DATA_NOVIEMBRE_2025[[SUPERVISOR]:[META]],3,0)</f>
        <v>14000</v>
      </c>
      <c r="D14" s="1">
        <f>D1_NOVIEMBRE_2025[[#This Row],[RECUPERO]]/C14</f>
        <v>0.40885714285714286</v>
      </c>
      <c r="E14" s="1" t="s">
        <v>5</v>
      </c>
      <c r="F14" t="s">
        <v>36</v>
      </c>
      <c r="G14">
        <v>5724</v>
      </c>
      <c r="H14" t="s">
        <v>406</v>
      </c>
      <c r="I14" s="56">
        <v>44941</v>
      </c>
      <c r="J14" t="s">
        <v>501</v>
      </c>
      <c r="L14" s="56"/>
      <c r="M14" s="1">
        <f>DATA_NOVIEMBRE_2025[[#This Row],[RECUPERO]]/DATA_NOVIEMBRE_2025[[#This Row],[META]]</f>
        <v>3.7</v>
      </c>
      <c r="N14" s="5" t="str" cm="1">
        <f t="array" ref="N14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14" t="s">
        <v>2</v>
      </c>
      <c r="P14">
        <f>SUM(DATA_NOVIEMBRE_2025[[#This Row],[1]:[31]])</f>
        <v>55500</v>
      </c>
      <c r="Q14">
        <v>15000</v>
      </c>
      <c r="R14" t="s">
        <v>15</v>
      </c>
      <c r="Y14">
        <v>36000</v>
      </c>
      <c r="Z14">
        <v>10000</v>
      </c>
      <c r="AD14">
        <v>4500</v>
      </c>
      <c r="AP14">
        <v>1500</v>
      </c>
      <c r="AS14">
        <v>2000</v>
      </c>
      <c r="AU14">
        <v>1500</v>
      </c>
      <c r="AX14" t="s">
        <v>158</v>
      </c>
      <c r="AZ14">
        <v>599640</v>
      </c>
      <c r="BA14">
        <f>MAX(DITE_NOVIEMBRE_2025[[#This Row],[1]:[31]])</f>
        <v>386619.5</v>
      </c>
      <c r="BB14" s="1">
        <f>DITE_NOVIEMBRE_2025[[#This Row],[RECUPERO SUPERVISOR]]/DITE_NOVIEMBRE_2025[[#This Row],[META SUPER]]</f>
        <v>0.64475268494429994</v>
      </c>
      <c r="BC14" t="s">
        <v>3</v>
      </c>
      <c r="BD14">
        <v>997.5</v>
      </c>
      <c r="BE14">
        <v>997.5</v>
      </c>
      <c r="BF14">
        <v>21097.5</v>
      </c>
      <c r="BG14">
        <v>29702.5</v>
      </c>
      <c r="BH14">
        <v>61304.5</v>
      </c>
      <c r="BI14">
        <v>66854.5</v>
      </c>
      <c r="BJ14">
        <v>75847.5</v>
      </c>
      <c r="BK14">
        <v>85347.5</v>
      </c>
      <c r="BL14">
        <v>85347.5</v>
      </c>
      <c r="BM14">
        <v>86347.5</v>
      </c>
      <c r="BN14">
        <v>96647.5</v>
      </c>
      <c r="BO14">
        <v>100447.5</v>
      </c>
      <c r="BP14">
        <v>105216.5</v>
      </c>
      <c r="BQ14">
        <v>121116.5</v>
      </c>
      <c r="BR14">
        <v>124949.5</v>
      </c>
      <c r="BS14">
        <v>124949.5</v>
      </c>
      <c r="BT14">
        <v>147520.5</v>
      </c>
      <c r="BU14">
        <v>151995.5</v>
      </c>
      <c r="BV14">
        <v>169646.5</v>
      </c>
      <c r="BW14">
        <v>187161.5</v>
      </c>
      <c r="BX14">
        <v>208166.5</v>
      </c>
      <c r="BY14">
        <v>210346.5</v>
      </c>
      <c r="BZ14">
        <v>210346.5</v>
      </c>
      <c r="CA14">
        <v>245001.5</v>
      </c>
      <c r="CB14">
        <v>253001.5</v>
      </c>
      <c r="CC14">
        <v>280542.5</v>
      </c>
      <c r="CD14">
        <v>303368.5</v>
      </c>
      <c r="CE14">
        <v>352722.5</v>
      </c>
      <c r="CF14">
        <v>377705.5</v>
      </c>
      <c r="CG14">
        <v>386619.5</v>
      </c>
      <c r="CH14">
        <v>386619.5</v>
      </c>
      <c r="CI14" t="s">
        <v>159</v>
      </c>
    </row>
    <row r="15" spans="1:87" x14ac:dyDescent="0.25">
      <c r="A15" t="s">
        <v>2</v>
      </c>
      <c r="B15" t="s">
        <v>15</v>
      </c>
      <c r="C15">
        <f>VLOOKUP(D1_NOVIEMBRE_2025[[#This Row],[SUPER]],DATA_NOVIEMBRE_2025[[SUPERVISOR]:[META]],3,0)</f>
        <v>15000</v>
      </c>
      <c r="D15" s="1">
        <f>D1_NOVIEMBRE_2025[[#This Row],[RECUPERO]]/C15</f>
        <v>3.7</v>
      </c>
      <c r="E15" s="1" t="s">
        <v>2</v>
      </c>
      <c r="F15" t="s">
        <v>15</v>
      </c>
      <c r="G15">
        <v>55500</v>
      </c>
      <c r="H15" t="s">
        <v>410</v>
      </c>
      <c r="I15" s="56">
        <v>44735</v>
      </c>
      <c r="J15" t="s">
        <v>501</v>
      </c>
      <c r="L15" s="56"/>
      <c r="M15" s="1">
        <f>DATA_NOVIEMBRE_2025[[#This Row],[RECUPERO]]/DATA_NOVIEMBRE_2025[[#This Row],[META]]</f>
        <v>0.38800000000000001</v>
      </c>
      <c r="N15" s="5" t="str" cm="1">
        <f t="array" ref="N15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15" t="s">
        <v>7</v>
      </c>
      <c r="P15">
        <f>SUM(DATA_NOVIEMBRE_2025[[#This Row],[1]:[31]])</f>
        <v>5432</v>
      </c>
      <c r="Q15">
        <v>14000</v>
      </c>
      <c r="R15" t="s">
        <v>92</v>
      </c>
      <c r="V15">
        <v>500</v>
      </c>
      <c r="W15">
        <v>200</v>
      </c>
      <c r="X15">
        <v>3000</v>
      </c>
      <c r="AT15">
        <v>532</v>
      </c>
      <c r="AU15">
        <v>1200</v>
      </c>
      <c r="AX15" t="s">
        <v>160</v>
      </c>
    </row>
    <row r="16" spans="1:87" x14ac:dyDescent="0.25">
      <c r="A16" t="s">
        <v>2</v>
      </c>
      <c r="B16" t="s">
        <v>49</v>
      </c>
      <c r="C16">
        <f>VLOOKUP(D1_NOVIEMBRE_2025[[#This Row],[SUPER]],DATA_NOVIEMBRE_2025[[SUPERVISOR]:[META]],3,0)</f>
        <v>15000</v>
      </c>
      <c r="D16" s="1">
        <f>D1_NOVIEMBRE_2025[[#This Row],[RECUPERO]]/C16</f>
        <v>1.37</v>
      </c>
      <c r="E16" s="1" t="s">
        <v>2</v>
      </c>
      <c r="F16" t="s">
        <v>49</v>
      </c>
      <c r="G16">
        <v>20550</v>
      </c>
      <c r="H16" t="s">
        <v>436</v>
      </c>
      <c r="I16" s="56">
        <v>42814</v>
      </c>
      <c r="J16" t="s">
        <v>501</v>
      </c>
      <c r="L16" s="56"/>
      <c r="M16" s="1">
        <f>DATA_NOVIEMBRE_2025[[#This Row],[RECUPERO]]/DATA_NOVIEMBRE_2025[[#This Row],[META]]</f>
        <v>0.83343636363636364</v>
      </c>
      <c r="N16" s="5" t="str" cm="1">
        <f t="array" ref="N16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16" t="s">
        <v>3</v>
      </c>
      <c r="P16">
        <f>SUM(DATA_NOVIEMBRE_2025[[#This Row],[1]:[31]])</f>
        <v>45839</v>
      </c>
      <c r="Q16">
        <v>55000</v>
      </c>
      <c r="R16" t="s">
        <v>69</v>
      </c>
      <c r="W16">
        <v>2500</v>
      </c>
      <c r="X16">
        <v>100</v>
      </c>
      <c r="AE16">
        <v>512</v>
      </c>
      <c r="AG16">
        <v>1200</v>
      </c>
      <c r="AI16">
        <v>5000</v>
      </c>
      <c r="AK16">
        <v>1480</v>
      </c>
      <c r="AL16">
        <v>7500</v>
      </c>
      <c r="AM16">
        <v>10000</v>
      </c>
      <c r="AN16">
        <v>600</v>
      </c>
      <c r="AQ16">
        <v>300</v>
      </c>
      <c r="AR16">
        <v>800</v>
      </c>
      <c r="AS16">
        <v>3650</v>
      </c>
      <c r="AT16">
        <v>11697</v>
      </c>
      <c r="AU16">
        <v>500</v>
      </c>
      <c r="AX16" t="s">
        <v>159</v>
      </c>
    </row>
    <row r="17" spans="1:50" x14ac:dyDescent="0.25">
      <c r="A17" t="s">
        <v>2</v>
      </c>
      <c r="B17" t="s">
        <v>68</v>
      </c>
      <c r="C17">
        <f>VLOOKUP(D1_NOVIEMBRE_2025[[#This Row],[SUPER]],DATA_NOVIEMBRE_2025[[SUPERVISOR]:[META]],3,0)</f>
        <v>15000</v>
      </c>
      <c r="D17" s="1">
        <f>D1_NOVIEMBRE_2025[[#This Row],[RECUPERO]]/C17</f>
        <v>1.357</v>
      </c>
      <c r="E17" s="1" t="s">
        <v>2</v>
      </c>
      <c r="F17" t="s">
        <v>68</v>
      </c>
      <c r="G17">
        <v>20355</v>
      </c>
      <c r="H17" t="s">
        <v>440</v>
      </c>
      <c r="I17" s="56">
        <v>45364</v>
      </c>
      <c r="J17" t="s">
        <v>501</v>
      </c>
      <c r="L17" s="56"/>
      <c r="M17" s="1">
        <f>DATA_NOVIEMBRE_2025[[#This Row],[RECUPERO]]/DATA_NOVIEMBRE_2025[[#This Row],[META]]</f>
        <v>0.94614500000000012</v>
      </c>
      <c r="N17" s="5" t="str" cm="1">
        <f t="array" ref="N17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17" t="s">
        <v>6</v>
      </c>
      <c r="P17">
        <f>SUM(DATA_NOVIEMBRE_2025[[#This Row],[1]:[31]])</f>
        <v>18922.900000000001</v>
      </c>
      <c r="Q17">
        <v>20000</v>
      </c>
      <c r="R17" t="s">
        <v>67</v>
      </c>
      <c r="AC17">
        <v>122.9</v>
      </c>
      <c r="AE17">
        <v>1000</v>
      </c>
      <c r="AI17">
        <v>400</v>
      </c>
      <c r="AJ17">
        <v>2000</v>
      </c>
      <c r="AK17">
        <v>3000</v>
      </c>
      <c r="AM17">
        <v>700</v>
      </c>
      <c r="AQ17">
        <v>8600</v>
      </c>
      <c r="AS17">
        <v>2000</v>
      </c>
      <c r="AT17">
        <v>1100</v>
      </c>
      <c r="AX17" t="s">
        <v>161</v>
      </c>
    </row>
    <row r="18" spans="1:50" x14ac:dyDescent="0.25">
      <c r="A18" t="s">
        <v>2</v>
      </c>
      <c r="B18" t="s">
        <v>38</v>
      </c>
      <c r="C18">
        <f>VLOOKUP(D1_NOVIEMBRE_2025[[#This Row],[SUPER]],DATA_NOVIEMBRE_2025[[SUPERVISOR]:[META]],3,0)</f>
        <v>15000</v>
      </c>
      <c r="D18" s="1">
        <f>D1_NOVIEMBRE_2025[[#This Row],[RECUPERO]]/C18</f>
        <v>1.2083999999999999</v>
      </c>
      <c r="E18" s="1" t="s">
        <v>2</v>
      </c>
      <c r="F18" t="s">
        <v>38</v>
      </c>
      <c r="G18">
        <v>18126</v>
      </c>
      <c r="H18" t="s">
        <v>469</v>
      </c>
      <c r="I18" s="56">
        <v>45805</v>
      </c>
      <c r="J18" t="s">
        <v>501</v>
      </c>
      <c r="L18" s="56"/>
      <c r="M18" s="1">
        <f>DATA_NOVIEMBRE_2025[[#This Row],[RECUPERO]]/DATA_NOVIEMBRE_2025[[#This Row],[META]]</f>
        <v>0.72604999999999997</v>
      </c>
      <c r="N18" s="5" t="str" cm="1">
        <f t="array" ref="N18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18" t="s">
        <v>6</v>
      </c>
      <c r="P18">
        <f>SUM(DATA_NOVIEMBRE_2025[[#This Row],[1]:[31]])</f>
        <v>14521</v>
      </c>
      <c r="Q18">
        <v>20000</v>
      </c>
      <c r="R18" t="s">
        <v>19</v>
      </c>
      <c r="Y18">
        <v>400</v>
      </c>
      <c r="AB18">
        <v>360</v>
      </c>
      <c r="AI18">
        <v>2150</v>
      </c>
      <c r="AL18">
        <v>2875</v>
      </c>
      <c r="AM18">
        <v>480</v>
      </c>
      <c r="AQ18">
        <v>500</v>
      </c>
      <c r="AS18">
        <v>2020</v>
      </c>
      <c r="AT18">
        <v>3736</v>
      </c>
      <c r="AU18">
        <v>2000</v>
      </c>
      <c r="AX18" t="s">
        <v>161</v>
      </c>
    </row>
    <row r="19" spans="1:50" x14ac:dyDescent="0.25">
      <c r="A19" t="s">
        <v>2</v>
      </c>
      <c r="B19" t="s">
        <v>42</v>
      </c>
      <c r="C19">
        <f>VLOOKUP(D1_NOVIEMBRE_2025[[#This Row],[SUPER]],DATA_NOVIEMBRE_2025[[SUPERVISOR]:[META]],3,0)</f>
        <v>15000</v>
      </c>
      <c r="D19" s="1">
        <f>D1_NOVIEMBRE_2025[[#This Row],[RECUPERO]]/C19</f>
        <v>1.1672</v>
      </c>
      <c r="E19" s="1" t="s">
        <v>2</v>
      </c>
      <c r="F19" t="s">
        <v>42</v>
      </c>
      <c r="G19">
        <v>17508</v>
      </c>
      <c r="H19" t="s">
        <v>415</v>
      </c>
      <c r="I19" s="56">
        <v>45399</v>
      </c>
      <c r="J19" t="s">
        <v>501</v>
      </c>
      <c r="L19" s="56"/>
      <c r="M19" s="1">
        <f>DATA_NOVIEMBRE_2025[[#This Row],[RECUPERO]]/DATA_NOVIEMBRE_2025[[#This Row],[META]]</f>
        <v>9.2142857142857137E-2</v>
      </c>
      <c r="N19" s="5" t="str" cm="1">
        <f t="array" ref="N19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19" t="s">
        <v>7</v>
      </c>
      <c r="P19">
        <f>SUM(DATA_NOVIEMBRE_2025[[#This Row],[1]:[31]])</f>
        <v>1290</v>
      </c>
      <c r="Q19">
        <v>14000</v>
      </c>
      <c r="R19" t="s">
        <v>53</v>
      </c>
      <c r="AB19">
        <v>300</v>
      </c>
      <c r="AD19">
        <v>100</v>
      </c>
      <c r="AI19">
        <v>390</v>
      </c>
      <c r="AS19">
        <v>500</v>
      </c>
      <c r="AX19" t="s">
        <v>160</v>
      </c>
    </row>
    <row r="20" spans="1:50" x14ac:dyDescent="0.25">
      <c r="A20" t="s">
        <v>2</v>
      </c>
      <c r="B20" t="s">
        <v>21</v>
      </c>
      <c r="C20">
        <f>VLOOKUP(D1_NOVIEMBRE_2025[[#This Row],[SUPER]],DATA_NOVIEMBRE_2025[[SUPERVISOR]:[META]],3,0)</f>
        <v>15000</v>
      </c>
      <c r="D20" s="1">
        <f>D1_NOVIEMBRE_2025[[#This Row],[RECUPERO]]/C20</f>
        <v>1.0766666666666667</v>
      </c>
      <c r="E20" s="1" t="s">
        <v>2</v>
      </c>
      <c r="F20" t="s">
        <v>21</v>
      </c>
      <c r="G20">
        <v>16150</v>
      </c>
      <c r="H20" t="s">
        <v>409</v>
      </c>
      <c r="I20" s="56">
        <v>44301</v>
      </c>
      <c r="J20" t="s">
        <v>501</v>
      </c>
      <c r="L20" s="56"/>
      <c r="M20" s="1">
        <f>DATA_NOVIEMBRE_2025[[#This Row],[RECUPERO]]/DATA_NOVIEMBRE_2025[[#This Row],[META]]</f>
        <v>0.30764999999999998</v>
      </c>
      <c r="N20" s="5" t="str" cm="1">
        <f t="array" ref="N20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20" t="s">
        <v>6</v>
      </c>
      <c r="P20">
        <f>SUM(DATA_NOVIEMBRE_2025[[#This Row],[1]:[31]])</f>
        <v>6153</v>
      </c>
      <c r="Q20">
        <v>20000</v>
      </c>
      <c r="R20" t="s">
        <v>41</v>
      </c>
      <c r="W20">
        <v>800</v>
      </c>
      <c r="AD20">
        <v>1500</v>
      </c>
      <c r="AM20">
        <v>400</v>
      </c>
      <c r="AN20">
        <v>2000</v>
      </c>
      <c r="AP20">
        <v>600</v>
      </c>
      <c r="AQ20">
        <v>300</v>
      </c>
      <c r="AT20">
        <v>553</v>
      </c>
      <c r="AX20" t="s">
        <v>161</v>
      </c>
    </row>
    <row r="21" spans="1:50" x14ac:dyDescent="0.25">
      <c r="A21" t="s">
        <v>2</v>
      </c>
      <c r="B21" t="s">
        <v>73</v>
      </c>
      <c r="C21">
        <f>VLOOKUP(D1_NOVIEMBRE_2025[[#This Row],[SUPER]],DATA_NOVIEMBRE_2025[[SUPERVISOR]:[META]],3,0)</f>
        <v>15000</v>
      </c>
      <c r="D21" s="1">
        <f>D1_NOVIEMBRE_2025[[#This Row],[RECUPERO]]/C21</f>
        <v>0.72399999999999998</v>
      </c>
      <c r="E21" s="1" t="s">
        <v>2</v>
      </c>
      <c r="F21" t="s">
        <v>73</v>
      </c>
      <c r="G21">
        <v>10860</v>
      </c>
      <c r="H21" t="s">
        <v>420</v>
      </c>
      <c r="I21" s="56">
        <v>45145</v>
      </c>
      <c r="J21" t="s">
        <v>501</v>
      </c>
      <c r="L21" s="56"/>
      <c r="M21" s="1">
        <f>DATA_NOVIEMBRE_2025[[#This Row],[RECUPERO]]/DATA_NOVIEMBRE_2025[[#This Row],[META]]</f>
        <v>0.93720930232558142</v>
      </c>
      <c r="N21" s="5" t="str" cm="1">
        <f t="array" ref="N2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21" t="s">
        <v>6</v>
      </c>
      <c r="P21">
        <f>SUM(DATA_NOVIEMBRE_2025[[#This Row],[1]:[31]])</f>
        <v>40300</v>
      </c>
      <c r="Q21">
        <v>43000</v>
      </c>
      <c r="R21" t="s">
        <v>61</v>
      </c>
      <c r="AB21">
        <v>4500</v>
      </c>
      <c r="AI21">
        <v>1600</v>
      </c>
      <c r="AK21">
        <v>1100</v>
      </c>
      <c r="AM21">
        <v>1500</v>
      </c>
      <c r="AQ21">
        <v>13700</v>
      </c>
      <c r="AT21">
        <v>3200</v>
      </c>
      <c r="AU21">
        <v>14700</v>
      </c>
      <c r="AX21" t="s">
        <v>161</v>
      </c>
    </row>
    <row r="22" spans="1:50" x14ac:dyDescent="0.25">
      <c r="A22" t="s">
        <v>2</v>
      </c>
      <c r="B22" t="s">
        <v>48</v>
      </c>
      <c r="C22">
        <f>VLOOKUP(D1_NOVIEMBRE_2025[[#This Row],[SUPER]],DATA_NOVIEMBRE_2025[[SUPERVISOR]:[META]],3,0)</f>
        <v>15000</v>
      </c>
      <c r="D22" s="1">
        <f>D1_NOVIEMBRE_2025[[#This Row],[RECUPERO]]/C22</f>
        <v>0.53266666666666662</v>
      </c>
      <c r="E22" s="1" t="s">
        <v>2</v>
      </c>
      <c r="F22" t="s">
        <v>48</v>
      </c>
      <c r="G22">
        <v>7990</v>
      </c>
      <c r="H22" t="s">
        <v>421</v>
      </c>
      <c r="I22" s="56">
        <v>44748</v>
      </c>
      <c r="J22" t="s">
        <v>501</v>
      </c>
      <c r="L22" s="56"/>
      <c r="M22" s="1">
        <f>DATA_NOVIEMBRE_2025[[#This Row],[RECUPERO]]/DATA_NOVIEMBRE_2025[[#This Row],[META]]</f>
        <v>0.5117454545454545</v>
      </c>
      <c r="N22" s="5" t="str" cm="1">
        <f t="array" ref="N22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22" t="s">
        <v>4</v>
      </c>
      <c r="P22">
        <f>SUM(DATA_NOVIEMBRE_2025[[#This Row],[1]:[31]])</f>
        <v>28146</v>
      </c>
      <c r="Q22">
        <v>55000</v>
      </c>
      <c r="R22" t="s">
        <v>80</v>
      </c>
      <c r="Y22">
        <v>5000</v>
      </c>
      <c r="AD22">
        <v>600</v>
      </c>
      <c r="AI22">
        <v>8500</v>
      </c>
      <c r="AR22">
        <v>500</v>
      </c>
      <c r="AS22">
        <v>746</v>
      </c>
      <c r="AT22">
        <v>11300</v>
      </c>
      <c r="AU22">
        <v>1500</v>
      </c>
      <c r="AX22" t="s">
        <v>159</v>
      </c>
    </row>
    <row r="23" spans="1:50" x14ac:dyDescent="0.25">
      <c r="A23" t="s">
        <v>2</v>
      </c>
      <c r="B23" t="s">
        <v>27</v>
      </c>
      <c r="C23">
        <f>VLOOKUP(D1_NOVIEMBRE_2025[[#This Row],[SUPER]],DATA_NOVIEMBRE_2025[[SUPERVISOR]:[META]],3,0)</f>
        <v>15000</v>
      </c>
      <c r="D23" s="1">
        <f>D1_NOVIEMBRE_2025[[#This Row],[RECUPERO]]/C23</f>
        <v>0.4</v>
      </c>
      <c r="E23" s="1" t="s">
        <v>2</v>
      </c>
      <c r="F23" t="s">
        <v>27</v>
      </c>
      <c r="G23">
        <v>6000</v>
      </c>
      <c r="H23" t="s">
        <v>412</v>
      </c>
      <c r="I23" s="56">
        <v>45675</v>
      </c>
      <c r="J23" t="s">
        <v>501</v>
      </c>
      <c r="L23" s="56"/>
      <c r="M23" s="1">
        <f>DATA_NOVIEMBRE_2025[[#This Row],[RECUPERO]]/DATA_NOVIEMBRE_2025[[#This Row],[META]]</f>
        <v>0.26076363636363636</v>
      </c>
      <c r="N23" s="5" t="str" cm="1">
        <f t="array" ref="N23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23" t="s">
        <v>4</v>
      </c>
      <c r="P23">
        <f>SUM(DATA_NOVIEMBRE_2025[[#This Row],[1]:[31]])</f>
        <v>14342</v>
      </c>
      <c r="Q23">
        <v>55000</v>
      </c>
      <c r="R23" t="s">
        <v>40</v>
      </c>
      <c r="W23">
        <v>2750</v>
      </c>
      <c r="AK23">
        <v>1000</v>
      </c>
      <c r="AL23">
        <v>500</v>
      </c>
      <c r="AQ23">
        <v>4000</v>
      </c>
      <c r="AS23">
        <v>2800</v>
      </c>
      <c r="AT23">
        <v>3292</v>
      </c>
      <c r="AX23" t="s">
        <v>159</v>
      </c>
    </row>
    <row r="24" spans="1:50" x14ac:dyDescent="0.25">
      <c r="A24" t="s">
        <v>7</v>
      </c>
      <c r="B24" t="s">
        <v>122</v>
      </c>
      <c r="C24">
        <f>VLOOKUP(D1_NOVIEMBRE_2025[[#This Row],[SUPER]],DATA_NOVIEMBRE_2025[[SUPERVISOR]:[META]],3,0)</f>
        <v>14000</v>
      </c>
      <c r="D24" s="1">
        <f>D1_NOVIEMBRE_2025[[#This Row],[RECUPERO]]/C24</f>
        <v>1.9712857142857143</v>
      </c>
      <c r="E24" s="1" t="s">
        <v>7</v>
      </c>
      <c r="F24" t="s">
        <v>122</v>
      </c>
      <c r="G24">
        <v>27598</v>
      </c>
      <c r="H24" t="s">
        <v>426</v>
      </c>
      <c r="I24" s="56">
        <v>45082</v>
      </c>
      <c r="J24" t="s">
        <v>501</v>
      </c>
      <c r="L24" s="56"/>
      <c r="M24" s="1">
        <f>DATA_NOVIEMBRE_2025[[#This Row],[RECUPERO]]/DATA_NOVIEMBRE_2025[[#This Row],[META]]</f>
        <v>1.0549999999999999</v>
      </c>
      <c r="N24" s="5" t="str" cm="1">
        <f t="array" ref="N24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24" t="s">
        <v>6</v>
      </c>
      <c r="P24">
        <f>SUM(DATA_NOVIEMBRE_2025[[#This Row],[1]:[31]])</f>
        <v>21100</v>
      </c>
      <c r="Q24">
        <v>20000</v>
      </c>
      <c r="R24" t="s">
        <v>81</v>
      </c>
      <c r="U24">
        <v>260</v>
      </c>
      <c r="W24">
        <v>100</v>
      </c>
      <c r="AB24">
        <v>1200</v>
      </c>
      <c r="AC24">
        <v>2000</v>
      </c>
      <c r="AF24">
        <v>110</v>
      </c>
      <c r="AK24">
        <v>2800</v>
      </c>
      <c r="AP24">
        <v>5930</v>
      </c>
      <c r="AQ24">
        <v>2200</v>
      </c>
      <c r="AT24">
        <v>6500</v>
      </c>
      <c r="AX24" t="s">
        <v>161</v>
      </c>
    </row>
    <row r="25" spans="1:50" x14ac:dyDescent="0.25">
      <c r="A25" t="s">
        <v>7</v>
      </c>
      <c r="B25" t="s">
        <v>72</v>
      </c>
      <c r="C25">
        <f>VLOOKUP(D1_NOVIEMBRE_2025[[#This Row],[SUPER]],DATA_NOVIEMBRE_2025[[SUPERVISOR]:[META]],3,0)</f>
        <v>14000</v>
      </c>
      <c r="D25" s="1">
        <f>D1_NOVIEMBRE_2025[[#This Row],[RECUPERO]]/C25</f>
        <v>1.3121428571428571</v>
      </c>
      <c r="E25" s="1" t="s">
        <v>7</v>
      </c>
      <c r="F25" t="s">
        <v>72</v>
      </c>
      <c r="G25">
        <v>18370</v>
      </c>
      <c r="H25" t="s">
        <v>450</v>
      </c>
      <c r="I25" s="56">
        <v>45084</v>
      </c>
      <c r="J25" t="s">
        <v>501</v>
      </c>
      <c r="L25" s="56"/>
      <c r="M25" s="1">
        <f>DATA_NOVIEMBRE_2025[[#This Row],[RECUPERO]]/DATA_NOVIEMBRE_2025[[#This Row],[META]]</f>
        <v>1.3121428571428571</v>
      </c>
      <c r="N25" s="5" t="str" cm="1">
        <f t="array" ref="N25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25" t="s">
        <v>7</v>
      </c>
      <c r="P25">
        <f>SUM(DATA_NOVIEMBRE_2025[[#This Row],[1]:[31]])</f>
        <v>18370</v>
      </c>
      <c r="Q25">
        <v>14000</v>
      </c>
      <c r="R25" t="s">
        <v>72</v>
      </c>
      <c r="W25">
        <v>186</v>
      </c>
      <c r="X25">
        <v>480</v>
      </c>
      <c r="AB25">
        <v>500</v>
      </c>
      <c r="AC25">
        <v>300</v>
      </c>
      <c r="AL25">
        <v>1800</v>
      </c>
      <c r="AM25">
        <v>950</v>
      </c>
      <c r="AP25">
        <v>3084</v>
      </c>
      <c r="AQ25">
        <v>480</v>
      </c>
      <c r="AS25">
        <v>290</v>
      </c>
      <c r="AT25">
        <v>10300</v>
      </c>
      <c r="AX25" t="s">
        <v>160</v>
      </c>
    </row>
    <row r="26" spans="1:50" x14ac:dyDescent="0.25">
      <c r="A26" t="s">
        <v>7</v>
      </c>
      <c r="B26" t="s">
        <v>74</v>
      </c>
      <c r="C26">
        <f>VLOOKUP(D1_NOVIEMBRE_2025[[#This Row],[SUPER]],DATA_NOVIEMBRE_2025[[SUPERVISOR]:[META]],3,0)</f>
        <v>14000</v>
      </c>
      <c r="D26" s="1">
        <f>D1_NOVIEMBRE_2025[[#This Row],[RECUPERO]]/C26</f>
        <v>0.58799999999999997</v>
      </c>
      <c r="E26" s="1" t="s">
        <v>7</v>
      </c>
      <c r="F26" t="s">
        <v>74</v>
      </c>
      <c r="G26">
        <v>8232</v>
      </c>
      <c r="H26" t="s">
        <v>395</v>
      </c>
      <c r="I26" s="56">
        <v>44470</v>
      </c>
      <c r="J26" t="s">
        <v>501</v>
      </c>
      <c r="L26" s="56"/>
      <c r="M26" s="1">
        <f>DATA_NOVIEMBRE_2025[[#This Row],[RECUPERO]]/DATA_NOVIEMBRE_2025[[#This Row],[META]]</f>
        <v>0.49916363636363636</v>
      </c>
      <c r="N26" s="5" t="str" cm="1">
        <f t="array" ref="N26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26" t="s">
        <v>3</v>
      </c>
      <c r="P26">
        <f>SUM(DATA_NOVIEMBRE_2025[[#This Row],[1]:[31]])</f>
        <v>27454</v>
      </c>
      <c r="Q26">
        <v>55000</v>
      </c>
      <c r="R26" t="s">
        <v>22</v>
      </c>
      <c r="U26">
        <v>1600</v>
      </c>
      <c r="W26">
        <v>636</v>
      </c>
      <c r="Y26">
        <v>145</v>
      </c>
      <c r="AF26">
        <v>700</v>
      </c>
      <c r="AI26">
        <v>600</v>
      </c>
      <c r="AJ26">
        <v>500</v>
      </c>
      <c r="AL26">
        <v>700</v>
      </c>
      <c r="AM26">
        <v>1885</v>
      </c>
      <c r="AN26">
        <v>800</v>
      </c>
      <c r="AP26">
        <v>200</v>
      </c>
      <c r="AQ26">
        <v>700</v>
      </c>
      <c r="AS26">
        <v>14576</v>
      </c>
      <c r="AT26">
        <v>1700</v>
      </c>
      <c r="AU26">
        <v>1748</v>
      </c>
      <c r="AV26">
        <v>964</v>
      </c>
      <c r="AX26" t="s">
        <v>159</v>
      </c>
    </row>
    <row r="27" spans="1:50" x14ac:dyDescent="0.25">
      <c r="A27" t="s">
        <v>7</v>
      </c>
      <c r="B27" t="s">
        <v>20</v>
      </c>
      <c r="C27">
        <f>VLOOKUP(D1_NOVIEMBRE_2025[[#This Row],[SUPER]],DATA_NOVIEMBRE_2025[[SUPERVISOR]:[META]],3,0)</f>
        <v>14000</v>
      </c>
      <c r="D27" s="1">
        <f>D1_NOVIEMBRE_2025[[#This Row],[RECUPERO]]/C27</f>
        <v>0.58257142857142852</v>
      </c>
      <c r="E27" s="1" t="s">
        <v>7</v>
      </c>
      <c r="F27" t="s">
        <v>20</v>
      </c>
      <c r="G27">
        <v>8156</v>
      </c>
      <c r="H27" t="s">
        <v>427</v>
      </c>
      <c r="I27" s="56">
        <v>45142</v>
      </c>
      <c r="J27" t="s">
        <v>501</v>
      </c>
      <c r="L27" s="56"/>
      <c r="M27" s="1">
        <f>DATA_NOVIEMBRE_2025[[#This Row],[RECUPERO]]/DATA_NOVIEMBRE_2025[[#This Row],[META]]</f>
        <v>1.3463488372093024</v>
      </c>
      <c r="N27" s="5" t="str" cm="1">
        <f t="array" ref="N27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27" t="s">
        <v>6</v>
      </c>
      <c r="P27">
        <f>SUM(DATA_NOVIEMBRE_2025[[#This Row],[1]:[31]])</f>
        <v>57893</v>
      </c>
      <c r="Q27">
        <v>43000</v>
      </c>
      <c r="R27" t="s">
        <v>24</v>
      </c>
      <c r="V27">
        <v>500</v>
      </c>
      <c r="X27">
        <v>68</v>
      </c>
      <c r="Y27">
        <v>4775</v>
      </c>
      <c r="AB27">
        <v>1000</v>
      </c>
      <c r="AC27">
        <v>13200</v>
      </c>
      <c r="AD27">
        <v>500</v>
      </c>
      <c r="AE27">
        <v>4000</v>
      </c>
      <c r="AI27">
        <v>12500</v>
      </c>
      <c r="AL27">
        <v>600</v>
      </c>
      <c r="AM27">
        <v>2000</v>
      </c>
      <c r="AP27">
        <v>600</v>
      </c>
      <c r="AQ27">
        <v>5750</v>
      </c>
      <c r="AR27">
        <v>8550</v>
      </c>
      <c r="AS27">
        <v>500</v>
      </c>
      <c r="AT27">
        <v>3350</v>
      </c>
      <c r="AX27" t="s">
        <v>161</v>
      </c>
    </row>
    <row r="28" spans="1:50" x14ac:dyDescent="0.25">
      <c r="A28" t="s">
        <v>7</v>
      </c>
      <c r="B28" t="s">
        <v>51</v>
      </c>
      <c r="C28">
        <f>VLOOKUP(D1_NOVIEMBRE_2025[[#This Row],[SUPER]],DATA_NOVIEMBRE_2025[[SUPERVISOR]:[META]],3,0)</f>
        <v>14000</v>
      </c>
      <c r="D28" s="1">
        <f>D1_NOVIEMBRE_2025[[#This Row],[RECUPERO]]/C28</f>
        <v>0.51142857142857145</v>
      </c>
      <c r="E28" s="1" t="s">
        <v>7</v>
      </c>
      <c r="F28" t="s">
        <v>51</v>
      </c>
      <c r="G28">
        <v>7160</v>
      </c>
      <c r="H28" t="s">
        <v>413</v>
      </c>
      <c r="I28" s="56">
        <v>45674</v>
      </c>
      <c r="J28" t="s">
        <v>501</v>
      </c>
      <c r="L28" s="56"/>
      <c r="M28" s="1">
        <f>DATA_NOVIEMBRE_2025[[#This Row],[RECUPERO]]/DATA_NOVIEMBRE_2025[[#This Row],[META]]</f>
        <v>0.50981818181818184</v>
      </c>
      <c r="N28" s="5" t="str" cm="1">
        <f t="array" ref="N28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28" t="s">
        <v>4</v>
      </c>
      <c r="P28">
        <f>SUM(DATA_NOVIEMBRE_2025[[#This Row],[1]:[31]])</f>
        <v>28040</v>
      </c>
      <c r="Q28">
        <v>55000</v>
      </c>
      <c r="R28" t="s">
        <v>105</v>
      </c>
      <c r="X28">
        <v>8000</v>
      </c>
      <c r="AI28">
        <v>6000</v>
      </c>
      <c r="AK28">
        <v>400</v>
      </c>
      <c r="AL28">
        <v>3400</v>
      </c>
      <c r="AM28">
        <v>6000</v>
      </c>
      <c r="AP28">
        <v>1590</v>
      </c>
      <c r="AR28">
        <v>650</v>
      </c>
      <c r="AT28">
        <v>2000</v>
      </c>
      <c r="AX28" t="s">
        <v>159</v>
      </c>
    </row>
    <row r="29" spans="1:50" x14ac:dyDescent="0.25">
      <c r="A29" t="s">
        <v>7</v>
      </c>
      <c r="B29" t="s">
        <v>92</v>
      </c>
      <c r="C29">
        <f>VLOOKUP(D1_NOVIEMBRE_2025[[#This Row],[SUPER]],DATA_NOVIEMBRE_2025[[SUPERVISOR]:[META]],3,0)</f>
        <v>14000</v>
      </c>
      <c r="D29" s="1">
        <f>D1_NOVIEMBRE_2025[[#This Row],[RECUPERO]]/C29</f>
        <v>0.38800000000000001</v>
      </c>
      <c r="E29" s="1" t="s">
        <v>7</v>
      </c>
      <c r="F29" t="s">
        <v>92</v>
      </c>
      <c r="G29">
        <v>5432</v>
      </c>
      <c r="H29" t="s">
        <v>486</v>
      </c>
      <c r="I29" s="56">
        <v>45399</v>
      </c>
      <c r="J29" t="s">
        <v>501</v>
      </c>
      <c r="L29" s="56"/>
      <c r="M29" s="1">
        <f>DATA_NOVIEMBRE_2025[[#This Row],[RECUPERO]]/DATA_NOVIEMBRE_2025[[#This Row],[META]]</f>
        <v>0.40736363636363637</v>
      </c>
      <c r="N29" s="5" t="str" cm="1">
        <f t="array" ref="N29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29" t="s">
        <v>3</v>
      </c>
      <c r="P29">
        <f>SUM(DATA_NOVIEMBRE_2025[[#This Row],[1]:[31]])</f>
        <v>22405</v>
      </c>
      <c r="Q29">
        <v>55000</v>
      </c>
      <c r="R29" t="s">
        <v>16</v>
      </c>
      <c r="U29">
        <v>275</v>
      </c>
      <c r="AG29">
        <v>700</v>
      </c>
      <c r="AK29">
        <v>3765</v>
      </c>
      <c r="AL29">
        <v>2500</v>
      </c>
      <c r="AP29">
        <v>5300</v>
      </c>
      <c r="AS29">
        <v>1900</v>
      </c>
      <c r="AT29">
        <v>7365</v>
      </c>
      <c r="AU29">
        <v>600</v>
      </c>
      <c r="AX29" t="s">
        <v>159</v>
      </c>
    </row>
    <row r="30" spans="1:50" x14ac:dyDescent="0.25">
      <c r="A30" t="s">
        <v>7</v>
      </c>
      <c r="B30" t="s">
        <v>114</v>
      </c>
      <c r="C30">
        <f>VLOOKUP(D1_NOVIEMBRE_2025[[#This Row],[SUPER]],DATA_NOVIEMBRE_2025[[SUPERVISOR]:[META]],3,0)</f>
        <v>14000</v>
      </c>
      <c r="D30" s="1">
        <f>D1_NOVIEMBRE_2025[[#This Row],[RECUPERO]]/C30</f>
        <v>0.3537142857142857</v>
      </c>
      <c r="E30" s="1" t="s">
        <v>7</v>
      </c>
      <c r="F30" t="s">
        <v>114</v>
      </c>
      <c r="G30">
        <v>4952</v>
      </c>
      <c r="H30" t="s">
        <v>490</v>
      </c>
      <c r="I30" s="56">
        <v>45917</v>
      </c>
      <c r="J30" t="s">
        <v>501</v>
      </c>
      <c r="L30" s="56"/>
      <c r="M30" s="1">
        <f>DATA_NOVIEMBRE_2025[[#This Row],[RECUPERO]]/DATA_NOVIEMBRE_2025[[#This Row],[META]]</f>
        <v>0.4</v>
      </c>
      <c r="N30" s="5" t="str" cm="1">
        <f t="array" ref="N30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30" t="s">
        <v>2</v>
      </c>
      <c r="P30">
        <f>SUM(DATA_NOVIEMBRE_2025[[#This Row],[1]:[31]])</f>
        <v>6000</v>
      </c>
      <c r="Q30">
        <v>15000</v>
      </c>
      <c r="R30" t="s">
        <v>27</v>
      </c>
      <c r="AJ30">
        <v>6000</v>
      </c>
      <c r="AX30" t="s">
        <v>158</v>
      </c>
    </row>
    <row r="31" spans="1:50" x14ac:dyDescent="0.25">
      <c r="A31" t="s">
        <v>7</v>
      </c>
      <c r="B31" t="s">
        <v>53</v>
      </c>
      <c r="C31">
        <f>VLOOKUP(D1_NOVIEMBRE_2025[[#This Row],[SUPER]],DATA_NOVIEMBRE_2025[[SUPERVISOR]:[META]],3,0)</f>
        <v>14000</v>
      </c>
      <c r="D31" s="1">
        <f>D1_NOVIEMBRE_2025[[#This Row],[RECUPERO]]/C31</f>
        <v>9.2142857142857137E-2</v>
      </c>
      <c r="E31" s="1" t="s">
        <v>7</v>
      </c>
      <c r="F31" t="s">
        <v>53</v>
      </c>
      <c r="G31">
        <v>1290</v>
      </c>
      <c r="H31" t="s">
        <v>457</v>
      </c>
      <c r="I31" s="56">
        <v>45727</v>
      </c>
      <c r="J31" t="s">
        <v>501</v>
      </c>
      <c r="L31" s="56"/>
      <c r="M31" s="1">
        <f>DATA_NOVIEMBRE_2025[[#This Row],[RECUPERO]]/DATA_NOVIEMBRE_2025[[#This Row],[META]]</f>
        <v>0.51142857142857145</v>
      </c>
      <c r="N31" s="5" t="str" cm="1">
        <f t="array" ref="N3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31" t="s">
        <v>7</v>
      </c>
      <c r="P31">
        <f>SUM(DATA_NOVIEMBRE_2025[[#This Row],[1]:[31]])</f>
        <v>7160</v>
      </c>
      <c r="Q31">
        <v>14000</v>
      </c>
      <c r="R31" t="s">
        <v>51</v>
      </c>
      <c r="Y31">
        <v>600</v>
      </c>
      <c r="AB31">
        <v>200</v>
      </c>
      <c r="AD31">
        <v>750</v>
      </c>
      <c r="AE31">
        <v>1500</v>
      </c>
      <c r="AJ31">
        <v>450</v>
      </c>
      <c r="AM31">
        <v>1700</v>
      </c>
      <c r="AN31">
        <v>1500</v>
      </c>
      <c r="AS31">
        <v>200</v>
      </c>
      <c r="AU31">
        <v>260</v>
      </c>
      <c r="AX31" t="s">
        <v>160</v>
      </c>
    </row>
    <row r="32" spans="1:50" x14ac:dyDescent="0.25">
      <c r="A32" t="s">
        <v>6</v>
      </c>
      <c r="B32" t="s">
        <v>18</v>
      </c>
      <c r="C32">
        <f>VLOOKUP(D1_NOVIEMBRE_2025[[#This Row],[SUPER]],DATA_NOVIEMBRE_2025[[SUPERVISOR]:[META]],3,0)</f>
        <v>43000</v>
      </c>
      <c r="D32" s="1">
        <f>D1_NOVIEMBRE_2025[[#This Row],[RECUPERO]]/C32</f>
        <v>1.8016181395348838</v>
      </c>
      <c r="E32" s="1" t="s">
        <v>6</v>
      </c>
      <c r="F32" t="s">
        <v>18</v>
      </c>
      <c r="G32">
        <v>77469.58</v>
      </c>
      <c r="H32" t="s">
        <v>431</v>
      </c>
      <c r="I32" s="56">
        <v>45133</v>
      </c>
      <c r="J32" t="s">
        <v>501</v>
      </c>
      <c r="L32" s="56"/>
      <c r="M32" s="1">
        <f>DATA_NOVIEMBRE_2025[[#This Row],[RECUPERO]]/DATA_NOVIEMBRE_2025[[#This Row],[META]]</f>
        <v>0.44977272727272727</v>
      </c>
      <c r="N32" s="5" t="str" cm="1">
        <f t="array" ref="N32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32" t="s">
        <v>4</v>
      </c>
      <c r="P32">
        <f>SUM(DATA_NOVIEMBRE_2025[[#This Row],[1]:[31]])</f>
        <v>24737.5</v>
      </c>
      <c r="Q32">
        <v>55000</v>
      </c>
      <c r="R32" t="s">
        <v>93</v>
      </c>
      <c r="U32">
        <v>170</v>
      </c>
      <c r="AB32">
        <v>7320</v>
      </c>
      <c r="AC32">
        <v>607.5</v>
      </c>
      <c r="AF32">
        <v>433</v>
      </c>
      <c r="AH32">
        <v>170</v>
      </c>
      <c r="AM32">
        <v>600</v>
      </c>
      <c r="AP32">
        <v>6000</v>
      </c>
      <c r="AQ32">
        <v>1627</v>
      </c>
      <c r="AS32">
        <v>3000</v>
      </c>
      <c r="AT32">
        <v>3310</v>
      </c>
      <c r="AU32">
        <v>1500</v>
      </c>
      <c r="AX32" t="s">
        <v>159</v>
      </c>
    </row>
    <row r="33" spans="1:50" x14ac:dyDescent="0.25">
      <c r="A33" t="s">
        <v>6</v>
      </c>
      <c r="B33" t="s">
        <v>24</v>
      </c>
      <c r="C33">
        <f>VLOOKUP(D1_NOVIEMBRE_2025[[#This Row],[SUPER]],DATA_NOVIEMBRE_2025[[SUPERVISOR]:[META]],3,0)</f>
        <v>43000</v>
      </c>
      <c r="D33" s="1">
        <f>D1_NOVIEMBRE_2025[[#This Row],[RECUPERO]]/C33</f>
        <v>1.3463488372093024</v>
      </c>
      <c r="E33" s="1" t="s">
        <v>6</v>
      </c>
      <c r="F33" t="s">
        <v>24</v>
      </c>
      <c r="G33">
        <v>57893</v>
      </c>
      <c r="H33" t="s">
        <v>434</v>
      </c>
      <c r="I33" s="56">
        <v>45334</v>
      </c>
      <c r="J33" t="s">
        <v>501</v>
      </c>
      <c r="L33" s="56"/>
      <c r="M33" s="1">
        <f>DATA_NOVIEMBRE_2025[[#This Row],[RECUPERO]]/DATA_NOVIEMBRE_2025[[#This Row],[META]]</f>
        <v>0.51090909090909087</v>
      </c>
      <c r="N33" s="5" t="str" cm="1">
        <f t="array" ref="N33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33" t="s">
        <v>3</v>
      </c>
      <c r="P33">
        <f>SUM(DATA_NOVIEMBRE_2025[[#This Row],[1]:[31]])</f>
        <v>28100</v>
      </c>
      <c r="Q33">
        <v>55000</v>
      </c>
      <c r="R33" t="s">
        <v>13</v>
      </c>
      <c r="U33">
        <v>400</v>
      </c>
      <c r="AC33">
        <v>3000</v>
      </c>
      <c r="AE33">
        <v>1000</v>
      </c>
      <c r="AI33">
        <v>4500</v>
      </c>
      <c r="AJ33">
        <v>800</v>
      </c>
      <c r="AK33">
        <v>5500</v>
      </c>
      <c r="AM33">
        <v>1000</v>
      </c>
      <c r="AP33">
        <v>300</v>
      </c>
      <c r="AR33">
        <v>1600</v>
      </c>
      <c r="AT33">
        <v>10000</v>
      </c>
      <c r="AX33" t="s">
        <v>159</v>
      </c>
    </row>
    <row r="34" spans="1:50" x14ac:dyDescent="0.25">
      <c r="A34" t="s">
        <v>6</v>
      </c>
      <c r="B34" t="s">
        <v>61</v>
      </c>
      <c r="C34">
        <f>VLOOKUP(D1_NOVIEMBRE_2025[[#This Row],[SUPER]],DATA_NOVIEMBRE_2025[[SUPERVISOR]:[META]],3,0)</f>
        <v>43000</v>
      </c>
      <c r="D34" s="1">
        <f>D1_NOVIEMBRE_2025[[#This Row],[RECUPERO]]/C34</f>
        <v>0.93720930232558142</v>
      </c>
      <c r="E34" s="1" t="s">
        <v>6</v>
      </c>
      <c r="F34" t="s">
        <v>61</v>
      </c>
      <c r="G34">
        <v>40300</v>
      </c>
      <c r="H34" t="s">
        <v>411</v>
      </c>
      <c r="I34" s="56">
        <v>44909</v>
      </c>
      <c r="J34" t="s">
        <v>501</v>
      </c>
      <c r="L34" s="56"/>
      <c r="M34" s="1">
        <f>DATA_NOVIEMBRE_2025[[#This Row],[RECUPERO]]/DATA_NOVIEMBRE_2025[[#This Row],[META]]</f>
        <v>0.55054545454545456</v>
      </c>
      <c r="N34" s="5" t="str" cm="1">
        <f t="array" ref="N34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34" t="s">
        <v>3</v>
      </c>
      <c r="P34">
        <f>SUM(DATA_NOVIEMBRE_2025[[#This Row],[1]:[31]])</f>
        <v>30280</v>
      </c>
      <c r="Q34">
        <v>55000</v>
      </c>
      <c r="R34" t="s">
        <v>32</v>
      </c>
      <c r="U34">
        <v>15000</v>
      </c>
      <c r="W34">
        <v>250</v>
      </c>
      <c r="X34">
        <v>250</v>
      </c>
      <c r="AB34">
        <v>500</v>
      </c>
      <c r="AC34">
        <v>5000</v>
      </c>
      <c r="AI34">
        <v>230</v>
      </c>
      <c r="AL34">
        <v>150</v>
      </c>
      <c r="AM34">
        <v>1100</v>
      </c>
      <c r="AP34">
        <v>200</v>
      </c>
      <c r="AR34">
        <v>1300</v>
      </c>
      <c r="AS34">
        <v>2700</v>
      </c>
      <c r="AT34">
        <v>600</v>
      </c>
      <c r="AU34">
        <v>3000</v>
      </c>
      <c r="AX34" t="s">
        <v>159</v>
      </c>
    </row>
    <row r="35" spans="1:50" x14ac:dyDescent="0.25">
      <c r="A35" t="s">
        <v>6</v>
      </c>
      <c r="B35" t="s">
        <v>78</v>
      </c>
      <c r="C35">
        <f>VLOOKUP(D1_NOVIEMBRE_2025[[#This Row],[SUPER]],DATA_NOVIEMBRE_2025[[SUPERVISOR]:[META]],3,0)</f>
        <v>43000</v>
      </c>
      <c r="D35" s="1">
        <f>D1_NOVIEMBRE_2025[[#This Row],[RECUPERO]]/C35</f>
        <v>0.24816279069767441</v>
      </c>
      <c r="E35" s="1" t="s">
        <v>6</v>
      </c>
      <c r="F35" t="s">
        <v>78</v>
      </c>
      <c r="G35">
        <v>10671</v>
      </c>
      <c r="H35" t="s">
        <v>397</v>
      </c>
      <c r="I35" s="56">
        <v>44945</v>
      </c>
      <c r="J35" t="s">
        <v>501</v>
      </c>
      <c r="L35" s="56"/>
      <c r="M35" s="1">
        <f>DATA_NOVIEMBRE_2025[[#This Row],[RECUPERO]]/DATA_NOVIEMBRE_2025[[#This Row],[META]]</f>
        <v>0.36241818181818181</v>
      </c>
      <c r="N35" s="5" t="str" cm="1">
        <f t="array" ref="N35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35" t="s">
        <v>3</v>
      </c>
      <c r="P35">
        <f>SUM(DATA_NOVIEMBRE_2025[[#This Row],[1]:[31]])</f>
        <v>19933</v>
      </c>
      <c r="Q35">
        <v>55000</v>
      </c>
      <c r="R35" t="s">
        <v>44</v>
      </c>
      <c r="Y35">
        <v>5800</v>
      </c>
      <c r="AD35">
        <v>650</v>
      </c>
      <c r="AE35">
        <v>257</v>
      </c>
      <c r="AF35">
        <v>600</v>
      </c>
      <c r="AG35">
        <v>1500</v>
      </c>
      <c r="AI35">
        <v>400</v>
      </c>
      <c r="AL35">
        <v>585</v>
      </c>
      <c r="AP35">
        <v>1000</v>
      </c>
      <c r="AQ35">
        <v>5000</v>
      </c>
      <c r="AR35">
        <v>1861</v>
      </c>
      <c r="AU35">
        <v>1680</v>
      </c>
      <c r="AV35">
        <v>600</v>
      </c>
      <c r="AX35" t="s">
        <v>159</v>
      </c>
    </row>
    <row r="36" spans="1:50" x14ac:dyDescent="0.25">
      <c r="A36" t="s">
        <v>6</v>
      </c>
      <c r="B36" t="s">
        <v>50</v>
      </c>
      <c r="C36">
        <f>VLOOKUP(D1_NOVIEMBRE_2025[[#This Row],[SUPER]],DATA_NOVIEMBRE_2025[[SUPERVISOR]:[META]],3,0)</f>
        <v>43000</v>
      </c>
      <c r="D36" s="1">
        <f>D1_NOVIEMBRE_2025[[#This Row],[RECUPERO]]/C36</f>
        <v>1.2903488372093024</v>
      </c>
      <c r="E36" s="1" t="s">
        <v>6</v>
      </c>
      <c r="F36" t="s">
        <v>50</v>
      </c>
      <c r="G36">
        <v>55485</v>
      </c>
      <c r="H36" t="s">
        <v>402</v>
      </c>
      <c r="I36" s="56">
        <v>45523</v>
      </c>
      <c r="J36" t="s">
        <v>501</v>
      </c>
      <c r="L36" s="56"/>
      <c r="M36" s="1">
        <f>DATA_NOVIEMBRE_2025[[#This Row],[RECUPERO]]/DATA_NOVIEMBRE_2025[[#This Row],[META]]</f>
        <v>1.1672</v>
      </c>
      <c r="N36" s="5" t="str" cm="1">
        <f t="array" ref="N36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36" t="s">
        <v>2</v>
      </c>
      <c r="P36">
        <f>SUM(DATA_NOVIEMBRE_2025[[#This Row],[1]:[31]])</f>
        <v>17508</v>
      </c>
      <c r="Q36">
        <v>15000</v>
      </c>
      <c r="R36" t="s">
        <v>42</v>
      </c>
      <c r="V36">
        <v>3000</v>
      </c>
      <c r="W36">
        <v>3000</v>
      </c>
      <c r="AB36">
        <v>350</v>
      </c>
      <c r="AD36">
        <v>1700</v>
      </c>
      <c r="AE36">
        <v>1200</v>
      </c>
      <c r="AL36">
        <v>3000</v>
      </c>
      <c r="AP36">
        <v>1800</v>
      </c>
      <c r="AQ36">
        <v>250</v>
      </c>
      <c r="AT36">
        <v>1680</v>
      </c>
      <c r="AU36">
        <v>1528</v>
      </c>
      <c r="AX36" t="s">
        <v>158</v>
      </c>
    </row>
    <row r="37" spans="1:50" x14ac:dyDescent="0.25">
      <c r="A37" t="s">
        <v>6</v>
      </c>
      <c r="B37" t="s">
        <v>35</v>
      </c>
      <c r="C37">
        <f>VLOOKUP(D1_NOVIEMBRE_2025[[#This Row],[SUPER]],DATA_NOVIEMBRE_2025[[SUPERVISOR]:[META]],3,0)</f>
        <v>43000</v>
      </c>
      <c r="D37" s="1">
        <f>D1_NOVIEMBRE_2025[[#This Row],[RECUPERO]]/C37</f>
        <v>0.73750000000000004</v>
      </c>
      <c r="E37" s="1" t="s">
        <v>6</v>
      </c>
      <c r="F37" t="s">
        <v>35</v>
      </c>
      <c r="G37">
        <v>31712.5</v>
      </c>
      <c r="H37" t="s">
        <v>401</v>
      </c>
      <c r="I37" s="56">
        <v>44748</v>
      </c>
      <c r="J37" t="s">
        <v>501</v>
      </c>
      <c r="L37" s="56"/>
      <c r="M37" s="1">
        <f>DATA_NOVIEMBRE_2025[[#This Row],[RECUPERO]]/DATA_NOVIEMBRE_2025[[#This Row],[META]]</f>
        <v>0.3537142857142857</v>
      </c>
      <c r="N37" s="5" t="str" cm="1">
        <f t="array" ref="N37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37" t="s">
        <v>7</v>
      </c>
      <c r="P37">
        <f>SUM(DATA_NOVIEMBRE_2025[[#This Row],[1]:[31]])</f>
        <v>4952</v>
      </c>
      <c r="Q37">
        <v>14000</v>
      </c>
      <c r="R37" t="s">
        <v>114</v>
      </c>
      <c r="Y37">
        <v>160</v>
      </c>
      <c r="AE37">
        <v>270</v>
      </c>
      <c r="AF37">
        <v>1300</v>
      </c>
      <c r="AJ37">
        <v>580</v>
      </c>
      <c r="AM37">
        <v>292</v>
      </c>
      <c r="AP37">
        <v>1300</v>
      </c>
      <c r="AS37">
        <v>500</v>
      </c>
      <c r="AT37">
        <v>360</v>
      </c>
      <c r="AU37">
        <v>190</v>
      </c>
      <c r="AX37" t="s">
        <v>160</v>
      </c>
    </row>
    <row r="38" spans="1:50" x14ac:dyDescent="0.25">
      <c r="A38" t="s">
        <v>6</v>
      </c>
      <c r="B38" t="s">
        <v>11</v>
      </c>
      <c r="C38">
        <f>VLOOKUP(D1_NOVIEMBRE_2025[[#This Row],[SUPER]],DATA_NOVIEMBRE_2025[[SUPERVISOR]:[META]],3,0)</f>
        <v>43000</v>
      </c>
      <c r="D38" s="1">
        <f>D1_NOVIEMBRE_2025[[#This Row],[RECUPERO]]/C38</f>
        <v>0.54106976744186042</v>
      </c>
      <c r="E38" s="1" t="s">
        <v>6</v>
      </c>
      <c r="F38" t="s">
        <v>11</v>
      </c>
      <c r="G38">
        <v>23266</v>
      </c>
      <c r="H38" t="s">
        <v>429</v>
      </c>
      <c r="I38" s="56">
        <v>45371</v>
      </c>
      <c r="J38" t="s">
        <v>501</v>
      </c>
      <c r="L38" s="56"/>
      <c r="M38" s="1">
        <f>DATA_NOVIEMBRE_2025[[#This Row],[RECUPERO]]/DATA_NOVIEMBRE_2025[[#This Row],[META]]</f>
        <v>0.64514285714285713</v>
      </c>
      <c r="N38" s="5" t="str" cm="1">
        <f t="array" ref="N38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38" t="s">
        <v>5</v>
      </c>
      <c r="P38">
        <f>SUM(DATA_NOVIEMBRE_2025[[#This Row],[1]:[31]])</f>
        <v>9032</v>
      </c>
      <c r="Q38">
        <v>14000</v>
      </c>
      <c r="R38" t="s">
        <v>100</v>
      </c>
      <c r="U38">
        <v>1000</v>
      </c>
      <c r="W38">
        <v>150</v>
      </c>
      <c r="AC38">
        <v>100</v>
      </c>
      <c r="AD38">
        <v>5300</v>
      </c>
      <c r="AF38">
        <v>400</v>
      </c>
      <c r="AI38">
        <v>500</v>
      </c>
      <c r="AQ38">
        <v>250</v>
      </c>
      <c r="AT38">
        <v>332</v>
      </c>
      <c r="AU38">
        <v>1000</v>
      </c>
      <c r="AX38" t="s">
        <v>160</v>
      </c>
    </row>
    <row r="39" spans="1:50" x14ac:dyDescent="0.25">
      <c r="A39" t="s">
        <v>6</v>
      </c>
      <c r="B39" t="s">
        <v>26</v>
      </c>
      <c r="C39">
        <f>VLOOKUP(D1_NOVIEMBRE_2025[[#This Row],[SUPER]],DATA_NOVIEMBRE_2025[[SUPERVISOR]:[META]],3,0)</f>
        <v>43000</v>
      </c>
      <c r="D39" s="1">
        <f>D1_NOVIEMBRE_2025[[#This Row],[RECUPERO]]/C39</f>
        <v>0.53658837209302324</v>
      </c>
      <c r="E39" s="1" t="s">
        <v>6</v>
      </c>
      <c r="F39" t="s">
        <v>26</v>
      </c>
      <c r="G39">
        <v>23073.3</v>
      </c>
      <c r="H39" t="s">
        <v>391</v>
      </c>
      <c r="I39" s="56">
        <v>44259</v>
      </c>
      <c r="J39" t="s">
        <v>501</v>
      </c>
      <c r="L39" s="56"/>
      <c r="M39" s="1">
        <f>DATA_NOVIEMBRE_2025[[#This Row],[RECUPERO]]/DATA_NOVIEMBRE_2025[[#This Row],[META]]</f>
        <v>0.94565454545454541</v>
      </c>
      <c r="N39" s="5" t="str" cm="1">
        <f t="array" ref="N39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39" t="s">
        <v>4</v>
      </c>
      <c r="P39">
        <f>SUM(DATA_NOVIEMBRE_2025[[#This Row],[1]:[31]])</f>
        <v>52011</v>
      </c>
      <c r="Q39">
        <v>55000</v>
      </c>
      <c r="R39" t="s">
        <v>57</v>
      </c>
      <c r="AC39">
        <v>1300</v>
      </c>
      <c r="AE39">
        <v>4000</v>
      </c>
      <c r="AF39">
        <v>10000</v>
      </c>
      <c r="AJ39">
        <v>9000</v>
      </c>
      <c r="AK39">
        <v>4728</v>
      </c>
      <c r="AL39">
        <v>823</v>
      </c>
      <c r="AP39">
        <v>15700</v>
      </c>
      <c r="AT39">
        <v>5600</v>
      </c>
      <c r="AU39">
        <v>860</v>
      </c>
      <c r="AX39" t="s">
        <v>159</v>
      </c>
    </row>
    <row r="40" spans="1:50" x14ac:dyDescent="0.25">
      <c r="A40" t="s">
        <v>6</v>
      </c>
      <c r="B40" t="s">
        <v>81</v>
      </c>
      <c r="C40">
        <f>VLOOKUP(D1_NOVIEMBRE_2025[[#This Row],[SUPER]],DATA_NOVIEMBRE_2025[[SUPERVISOR]:[META]],3,0)</f>
        <v>43000</v>
      </c>
      <c r="D40" s="1">
        <f>D1_NOVIEMBRE_2025[[#This Row],[RECUPERO]]/C40</f>
        <v>0.49069767441860462</v>
      </c>
      <c r="E40" s="1" t="s">
        <v>6</v>
      </c>
      <c r="F40" t="s">
        <v>81</v>
      </c>
      <c r="G40">
        <v>21100</v>
      </c>
      <c r="H40" t="s">
        <v>425</v>
      </c>
      <c r="I40" s="56">
        <v>45506</v>
      </c>
      <c r="J40" t="s">
        <v>501</v>
      </c>
      <c r="L40" s="56"/>
      <c r="M40" s="1">
        <f>DATA_NOVIEMBRE_2025[[#This Row],[RECUPERO]]/DATA_NOVIEMBRE_2025[[#This Row],[META]]</f>
        <v>1.37</v>
      </c>
      <c r="N40" s="5" t="str" cm="1">
        <f t="array" ref="N40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40" t="s">
        <v>2</v>
      </c>
      <c r="P40">
        <f>SUM(DATA_NOVIEMBRE_2025[[#This Row],[1]:[31]])</f>
        <v>20550</v>
      </c>
      <c r="Q40">
        <v>15000</v>
      </c>
      <c r="R40" t="s">
        <v>49</v>
      </c>
      <c r="X40">
        <v>1000</v>
      </c>
      <c r="AE40">
        <v>600</v>
      </c>
      <c r="AI40">
        <v>500</v>
      </c>
      <c r="AM40">
        <v>8000</v>
      </c>
      <c r="AP40">
        <v>4000</v>
      </c>
      <c r="AS40">
        <v>450</v>
      </c>
      <c r="AT40">
        <v>6000</v>
      </c>
      <c r="AX40" t="s">
        <v>158</v>
      </c>
    </row>
    <row r="41" spans="1:50" x14ac:dyDescent="0.25">
      <c r="A41" t="s">
        <v>6</v>
      </c>
      <c r="B41" t="s">
        <v>67</v>
      </c>
      <c r="C41">
        <f>VLOOKUP(D1_NOVIEMBRE_2025[[#This Row],[SUPER]],DATA_NOVIEMBRE_2025[[SUPERVISOR]:[META]],3,0)</f>
        <v>43000</v>
      </c>
      <c r="D41" s="1">
        <f>D1_NOVIEMBRE_2025[[#This Row],[RECUPERO]]/C41</f>
        <v>0.44006744186046515</v>
      </c>
      <c r="E41" s="1" t="s">
        <v>6</v>
      </c>
      <c r="F41" t="s">
        <v>67</v>
      </c>
      <c r="G41">
        <v>18922.900000000001</v>
      </c>
      <c r="H41" t="s">
        <v>381</v>
      </c>
      <c r="I41" s="56">
        <v>44811</v>
      </c>
      <c r="J41" t="s">
        <v>501</v>
      </c>
      <c r="L41" s="56"/>
      <c r="M41" s="1">
        <f>DATA_NOVIEMBRE_2025[[#This Row],[RECUPERO]]/DATA_NOVIEMBRE_2025[[#This Row],[META]]</f>
        <v>1.1536649999999999</v>
      </c>
      <c r="N41" s="5" t="str" cm="1">
        <f t="array" ref="N4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41" t="s">
        <v>6</v>
      </c>
      <c r="P41">
        <f>SUM(DATA_NOVIEMBRE_2025[[#This Row],[1]:[31]])</f>
        <v>23073.3</v>
      </c>
      <c r="Q41">
        <v>20000</v>
      </c>
      <c r="R41" t="s">
        <v>26</v>
      </c>
      <c r="W41">
        <v>180</v>
      </c>
      <c r="AB41">
        <v>3250</v>
      </c>
      <c r="AC41">
        <v>1200</v>
      </c>
      <c r="AE41">
        <v>150</v>
      </c>
      <c r="AG41">
        <v>113</v>
      </c>
      <c r="AI41">
        <v>220</v>
      </c>
      <c r="AK41">
        <v>400</v>
      </c>
      <c r="AL41">
        <v>1000</v>
      </c>
      <c r="AP41">
        <v>5660</v>
      </c>
      <c r="AQ41">
        <v>300</v>
      </c>
      <c r="AS41">
        <v>2000</v>
      </c>
      <c r="AT41">
        <v>6000.3</v>
      </c>
      <c r="AU41">
        <v>2600</v>
      </c>
      <c r="AX41" t="s">
        <v>161</v>
      </c>
    </row>
    <row r="42" spans="1:50" x14ac:dyDescent="0.25">
      <c r="A42" t="s">
        <v>6</v>
      </c>
      <c r="B42" t="s">
        <v>19</v>
      </c>
      <c r="C42">
        <f>VLOOKUP(D1_NOVIEMBRE_2025[[#This Row],[SUPER]],DATA_NOVIEMBRE_2025[[SUPERVISOR]:[META]],3,0)</f>
        <v>43000</v>
      </c>
      <c r="D42" s="1">
        <f>D1_NOVIEMBRE_2025[[#This Row],[RECUPERO]]/C42</f>
        <v>0.33769767441860465</v>
      </c>
      <c r="E42" s="1" t="s">
        <v>6</v>
      </c>
      <c r="F42" t="s">
        <v>19</v>
      </c>
      <c r="G42">
        <v>14521</v>
      </c>
      <c r="H42" t="s">
        <v>399</v>
      </c>
      <c r="I42" s="56">
        <v>44673</v>
      </c>
      <c r="J42" t="s">
        <v>501</v>
      </c>
      <c r="L42" s="56"/>
      <c r="M42" s="1">
        <f>DATA_NOVIEMBRE_2025[[#This Row],[RECUPERO]]/DATA_NOVIEMBRE_2025[[#This Row],[META]]</f>
        <v>1.9712857142857143</v>
      </c>
      <c r="N42" s="5" t="str" cm="1">
        <f t="array" ref="N42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42" t="s">
        <v>7</v>
      </c>
      <c r="P42">
        <f>SUM(DATA_NOVIEMBRE_2025[[#This Row],[1]:[31]])</f>
        <v>27598</v>
      </c>
      <c r="Q42">
        <v>14000</v>
      </c>
      <c r="R42" t="s">
        <v>122</v>
      </c>
      <c r="AC42">
        <v>16750</v>
      </c>
      <c r="AD42">
        <v>2400</v>
      </c>
      <c r="AF42">
        <v>200</v>
      </c>
      <c r="AI42">
        <v>5728</v>
      </c>
      <c r="AP42">
        <v>750</v>
      </c>
      <c r="AQ42">
        <v>220</v>
      </c>
      <c r="AR42">
        <v>250</v>
      </c>
      <c r="AT42">
        <v>1300</v>
      </c>
      <c r="AX42" t="s">
        <v>160</v>
      </c>
    </row>
    <row r="43" spans="1:50" x14ac:dyDescent="0.25">
      <c r="A43" t="s">
        <v>6</v>
      </c>
      <c r="B43" t="s">
        <v>65</v>
      </c>
      <c r="C43">
        <f>VLOOKUP(D1_NOVIEMBRE_2025[[#This Row],[SUPER]],DATA_NOVIEMBRE_2025[[SUPERVISOR]:[META]],3,0)</f>
        <v>43000</v>
      </c>
      <c r="D43" s="1">
        <f>D1_NOVIEMBRE_2025[[#This Row],[RECUPERO]]/C43</f>
        <v>0.32755813953488372</v>
      </c>
      <c r="E43" s="1" t="s">
        <v>6</v>
      </c>
      <c r="F43" t="s">
        <v>65</v>
      </c>
      <c r="G43">
        <v>14085</v>
      </c>
      <c r="H43" t="s">
        <v>438</v>
      </c>
      <c r="I43" s="56">
        <v>45021</v>
      </c>
      <c r="J43" t="s">
        <v>501</v>
      </c>
      <c r="L43" s="56"/>
      <c r="M43" s="1">
        <f>DATA_NOVIEMBRE_2025[[#This Row],[RECUPERO]]/DATA_NOVIEMBRE_2025[[#This Row],[META]]</f>
        <v>1.4307857142857143</v>
      </c>
      <c r="N43" s="5" t="str" cm="1">
        <f t="array" ref="N43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43" t="s">
        <v>5</v>
      </c>
      <c r="P43">
        <f>SUM(DATA_NOVIEMBRE_2025[[#This Row],[1]:[31]])</f>
        <v>20031</v>
      </c>
      <c r="Q43">
        <v>14000</v>
      </c>
      <c r="R43" t="s">
        <v>96</v>
      </c>
      <c r="W43">
        <v>1150</v>
      </c>
      <c r="X43">
        <v>4000</v>
      </c>
      <c r="AB43">
        <v>4650</v>
      </c>
      <c r="AI43">
        <v>2000</v>
      </c>
      <c r="AK43">
        <v>645</v>
      </c>
      <c r="AQ43">
        <v>720</v>
      </c>
      <c r="AR43">
        <v>690</v>
      </c>
      <c r="AS43">
        <v>1800</v>
      </c>
      <c r="AT43">
        <v>3650</v>
      </c>
      <c r="AU43">
        <v>726</v>
      </c>
      <c r="AX43" t="s">
        <v>160</v>
      </c>
    </row>
    <row r="44" spans="1:50" x14ac:dyDescent="0.25">
      <c r="A44" t="s">
        <v>6</v>
      </c>
      <c r="B44" t="s">
        <v>41</v>
      </c>
      <c r="C44">
        <f>VLOOKUP(D1_NOVIEMBRE_2025[[#This Row],[SUPER]],DATA_NOVIEMBRE_2025[[SUPERVISOR]:[META]],3,0)</f>
        <v>43000</v>
      </c>
      <c r="D44" s="1">
        <f>D1_NOVIEMBRE_2025[[#This Row],[RECUPERO]]/C44</f>
        <v>0.14309302325581397</v>
      </c>
      <c r="E44" s="1" t="s">
        <v>6</v>
      </c>
      <c r="F44" t="s">
        <v>41</v>
      </c>
      <c r="G44">
        <v>6153</v>
      </c>
      <c r="H44" t="s">
        <v>387</v>
      </c>
      <c r="I44" s="56">
        <v>45304</v>
      </c>
      <c r="J44" t="s">
        <v>501</v>
      </c>
      <c r="L44" s="56"/>
      <c r="M44" s="1">
        <f>DATA_NOVIEMBRE_2025[[#This Row],[RECUPERO]]/DATA_NOVIEMBRE_2025[[#This Row],[META]]</f>
        <v>0.70425000000000004</v>
      </c>
      <c r="N44" s="5" t="str" cm="1">
        <f t="array" ref="N44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44" t="s">
        <v>6</v>
      </c>
      <c r="P44">
        <f>SUM(DATA_NOVIEMBRE_2025[[#This Row],[1]:[31]])</f>
        <v>14085</v>
      </c>
      <c r="Q44">
        <v>20000</v>
      </c>
      <c r="R44" t="s">
        <v>65</v>
      </c>
      <c r="W44">
        <v>1500</v>
      </c>
      <c r="AE44">
        <v>7575</v>
      </c>
      <c r="AP44">
        <v>610</v>
      </c>
      <c r="AS44">
        <v>400</v>
      </c>
      <c r="AT44">
        <v>4000</v>
      </c>
      <c r="AX44" t="s">
        <v>161</v>
      </c>
    </row>
    <row r="45" spans="1:50" x14ac:dyDescent="0.25">
      <c r="A45" t="s">
        <v>4</v>
      </c>
      <c r="B45" t="s">
        <v>57</v>
      </c>
      <c r="C45">
        <f>VLOOKUP(D1_NOVIEMBRE_2025[[#This Row],[SUPER]],DATA_NOVIEMBRE_2025[[SUPERVISOR]:[META]],3,0)</f>
        <v>55000</v>
      </c>
      <c r="D45" s="1">
        <f>D1_NOVIEMBRE_2025[[#This Row],[RECUPERO]]/C45</f>
        <v>0.94565454545454541</v>
      </c>
      <c r="E45" s="1" t="s">
        <v>4</v>
      </c>
      <c r="F45" t="s">
        <v>57</v>
      </c>
      <c r="G45">
        <v>52011</v>
      </c>
      <c r="H45" t="s">
        <v>443</v>
      </c>
      <c r="I45" s="56">
        <v>45590</v>
      </c>
      <c r="J45" t="s">
        <v>501</v>
      </c>
      <c r="L45" s="56"/>
      <c r="M45" s="1">
        <f>DATA_NOVIEMBRE_2025[[#This Row],[RECUPERO]]/DATA_NOVIEMBRE_2025[[#This Row],[META]]</f>
        <v>0.58257142857142852</v>
      </c>
      <c r="N45" s="5" t="str" cm="1">
        <f t="array" ref="N45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45" t="s">
        <v>7</v>
      </c>
      <c r="P45">
        <f>SUM(DATA_NOVIEMBRE_2025[[#This Row],[1]:[31]])</f>
        <v>8156</v>
      </c>
      <c r="Q45">
        <v>14000</v>
      </c>
      <c r="R45" t="s">
        <v>20</v>
      </c>
      <c r="V45">
        <v>1000</v>
      </c>
      <c r="Y45">
        <v>200</v>
      </c>
      <c r="AF45">
        <v>3700</v>
      </c>
      <c r="AJ45">
        <v>1000</v>
      </c>
      <c r="AK45">
        <v>110</v>
      </c>
      <c r="AP45">
        <v>400</v>
      </c>
      <c r="AR45">
        <v>1000</v>
      </c>
      <c r="AS45">
        <v>166</v>
      </c>
      <c r="AT45">
        <v>580</v>
      </c>
      <c r="AX45" t="s">
        <v>160</v>
      </c>
    </row>
    <row r="46" spans="1:50" x14ac:dyDescent="0.25">
      <c r="A46" t="s">
        <v>4</v>
      </c>
      <c r="B46" t="s">
        <v>10</v>
      </c>
      <c r="C46">
        <f>VLOOKUP(D1_NOVIEMBRE_2025[[#This Row],[SUPER]],DATA_NOVIEMBRE_2025[[SUPERVISOR]:[META]],3,0)</f>
        <v>55000</v>
      </c>
      <c r="D46" s="1">
        <f>D1_NOVIEMBRE_2025[[#This Row],[RECUPERO]]/C46</f>
        <v>0.93278181818181816</v>
      </c>
      <c r="E46" s="1" t="s">
        <v>4</v>
      </c>
      <c r="F46" t="s">
        <v>10</v>
      </c>
      <c r="G46">
        <v>51303</v>
      </c>
      <c r="H46" t="s">
        <v>449</v>
      </c>
      <c r="I46" s="56">
        <v>44706</v>
      </c>
      <c r="J46" t="s">
        <v>501</v>
      </c>
      <c r="L46" s="56"/>
      <c r="M46" s="1">
        <f>DATA_NOVIEMBRE_2025[[#This Row],[RECUPERO]]/DATA_NOVIEMBRE_2025[[#This Row],[META]]</f>
        <v>0.15398181818181819</v>
      </c>
      <c r="N46" s="5" t="str" cm="1">
        <f t="array" ref="N46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46" t="s">
        <v>4</v>
      </c>
      <c r="P46">
        <f>SUM(DATA_NOVIEMBRE_2025[[#This Row],[1]:[31]])</f>
        <v>8469</v>
      </c>
      <c r="Q46">
        <v>55000</v>
      </c>
      <c r="R46" t="s">
        <v>37</v>
      </c>
      <c r="Y46">
        <v>2000</v>
      </c>
      <c r="AH46">
        <v>700</v>
      </c>
      <c r="AI46">
        <v>5000</v>
      </c>
      <c r="AN46">
        <v>200</v>
      </c>
      <c r="AT46">
        <v>569</v>
      </c>
      <c r="AX46" t="s">
        <v>159</v>
      </c>
    </row>
    <row r="47" spans="1:50" x14ac:dyDescent="0.25">
      <c r="A47" t="s">
        <v>4</v>
      </c>
      <c r="B47" t="s">
        <v>60</v>
      </c>
      <c r="C47">
        <f>VLOOKUP(D1_NOVIEMBRE_2025[[#This Row],[SUPER]],DATA_NOVIEMBRE_2025[[SUPERVISOR]:[META]],3,0)</f>
        <v>55000</v>
      </c>
      <c r="D47" s="1">
        <f>D1_NOVIEMBRE_2025[[#This Row],[RECUPERO]]/C47</f>
        <v>0.79178181818181814</v>
      </c>
      <c r="E47" s="1" t="s">
        <v>4</v>
      </c>
      <c r="F47" t="s">
        <v>60</v>
      </c>
      <c r="G47">
        <v>43548</v>
      </c>
      <c r="H47" t="s">
        <v>423</v>
      </c>
      <c r="I47" s="56">
        <v>45323</v>
      </c>
      <c r="J47" t="s">
        <v>501</v>
      </c>
      <c r="L47" s="56"/>
      <c r="M47" s="1">
        <f>DATA_NOVIEMBRE_2025[[#This Row],[RECUPERO]]/DATA_NOVIEMBRE_2025[[#This Row],[META]]</f>
        <v>0.90349999999999997</v>
      </c>
      <c r="N47" s="5" t="str" cm="1">
        <f t="array" ref="N47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47" t="s">
        <v>5</v>
      </c>
      <c r="P47">
        <f>SUM(DATA_NOVIEMBRE_2025[[#This Row],[1]:[31]])</f>
        <v>12649</v>
      </c>
      <c r="Q47">
        <v>14000</v>
      </c>
      <c r="R47" t="s">
        <v>77</v>
      </c>
      <c r="U47">
        <v>200</v>
      </c>
      <c r="V47">
        <v>500</v>
      </c>
      <c r="W47">
        <v>200</v>
      </c>
      <c r="X47">
        <v>550</v>
      </c>
      <c r="Y47">
        <v>1378</v>
      </c>
      <c r="AD47">
        <v>2500</v>
      </c>
      <c r="AF47">
        <v>200</v>
      </c>
      <c r="AK47">
        <v>1375</v>
      </c>
      <c r="AM47">
        <v>425</v>
      </c>
      <c r="AP47">
        <v>200</v>
      </c>
      <c r="AQ47">
        <v>800</v>
      </c>
      <c r="AS47">
        <v>2500</v>
      </c>
      <c r="AT47">
        <v>1750</v>
      </c>
      <c r="AU47">
        <v>71</v>
      </c>
      <c r="AX47" t="s">
        <v>160</v>
      </c>
    </row>
    <row r="48" spans="1:50" x14ac:dyDescent="0.25">
      <c r="A48" t="s">
        <v>4</v>
      </c>
      <c r="B48" t="s">
        <v>59</v>
      </c>
      <c r="C48">
        <f>VLOOKUP(D1_NOVIEMBRE_2025[[#This Row],[SUPER]],DATA_NOVIEMBRE_2025[[SUPERVISOR]:[META]],3,0)</f>
        <v>55000</v>
      </c>
      <c r="D48" s="1">
        <f>D1_NOVIEMBRE_2025[[#This Row],[RECUPERO]]/C48</f>
        <v>0.70281818181818179</v>
      </c>
      <c r="E48" s="1" t="s">
        <v>4</v>
      </c>
      <c r="F48" t="s">
        <v>59</v>
      </c>
      <c r="G48">
        <v>38655</v>
      </c>
      <c r="H48" t="s">
        <v>430</v>
      </c>
      <c r="I48" s="56">
        <v>45348</v>
      </c>
      <c r="J48" t="s">
        <v>501</v>
      </c>
      <c r="L48" s="56"/>
      <c r="M48" s="1">
        <f>DATA_NOVIEMBRE_2025[[#This Row],[RECUPERO]]/DATA_NOVIEMBRE_2025[[#This Row],[META]]</f>
        <v>1.5856250000000001</v>
      </c>
      <c r="N48" s="5" t="str" cm="1">
        <f t="array" ref="N48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48" t="s">
        <v>6</v>
      </c>
      <c r="P48">
        <f>SUM(DATA_NOVIEMBRE_2025[[#This Row],[1]:[31]])</f>
        <v>31712.5</v>
      </c>
      <c r="Q48">
        <v>20000</v>
      </c>
      <c r="R48" t="s">
        <v>35</v>
      </c>
      <c r="V48">
        <v>2200</v>
      </c>
      <c r="Y48">
        <v>7500</v>
      </c>
      <c r="Z48">
        <v>450</v>
      </c>
      <c r="AC48">
        <v>270</v>
      </c>
      <c r="AD48">
        <v>2225</v>
      </c>
      <c r="AE48">
        <v>1915</v>
      </c>
      <c r="AF48">
        <v>200</v>
      </c>
      <c r="AG48">
        <v>800</v>
      </c>
      <c r="AI48">
        <v>3400</v>
      </c>
      <c r="AJ48">
        <v>10000</v>
      </c>
      <c r="AL48">
        <v>340</v>
      </c>
      <c r="AN48">
        <v>700</v>
      </c>
      <c r="AP48">
        <v>187.5</v>
      </c>
      <c r="AQ48">
        <v>200</v>
      </c>
      <c r="AS48">
        <v>1100</v>
      </c>
      <c r="AT48">
        <v>225</v>
      </c>
      <c r="AX48" t="s">
        <v>161</v>
      </c>
    </row>
    <row r="49" spans="1:50" x14ac:dyDescent="0.25">
      <c r="A49" t="s">
        <v>4</v>
      </c>
      <c r="B49" t="s">
        <v>75</v>
      </c>
      <c r="C49">
        <f>VLOOKUP(D1_NOVIEMBRE_2025[[#This Row],[SUPER]],DATA_NOVIEMBRE_2025[[SUPERVISOR]:[META]],3,0)</f>
        <v>55000</v>
      </c>
      <c r="D49" s="1">
        <f>D1_NOVIEMBRE_2025[[#This Row],[RECUPERO]]/C49</f>
        <v>0.6931090909090909</v>
      </c>
      <c r="E49" s="1" t="s">
        <v>4</v>
      </c>
      <c r="F49" t="s">
        <v>75</v>
      </c>
      <c r="G49">
        <v>38121</v>
      </c>
      <c r="H49" t="s">
        <v>428</v>
      </c>
      <c r="I49" s="56">
        <v>44716</v>
      </c>
      <c r="J49" t="s">
        <v>501</v>
      </c>
      <c r="L49" s="56"/>
      <c r="M49" s="1">
        <f>DATA_NOVIEMBRE_2025[[#This Row],[RECUPERO]]/DATA_NOVIEMBRE_2025[[#This Row],[META]]</f>
        <v>2.7742499999999999</v>
      </c>
      <c r="N49" s="5" t="str" cm="1">
        <f t="array" ref="N49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49" t="s">
        <v>6</v>
      </c>
      <c r="P49">
        <f>SUM(DATA_NOVIEMBRE_2025[[#This Row],[1]:[31]])</f>
        <v>55485</v>
      </c>
      <c r="Q49">
        <v>20000</v>
      </c>
      <c r="R49" t="s">
        <v>50</v>
      </c>
      <c r="W49">
        <v>10000</v>
      </c>
      <c r="Y49">
        <v>350</v>
      </c>
      <c r="AB49">
        <v>14435</v>
      </c>
      <c r="AC49">
        <v>1350</v>
      </c>
      <c r="AF49">
        <v>1000</v>
      </c>
      <c r="AJ49">
        <v>1500</v>
      </c>
      <c r="AK49">
        <v>150</v>
      </c>
      <c r="AM49">
        <v>2000</v>
      </c>
      <c r="AN49">
        <v>15500</v>
      </c>
      <c r="AT49">
        <v>200</v>
      </c>
      <c r="AU49">
        <v>9000</v>
      </c>
      <c r="AX49" t="s">
        <v>161</v>
      </c>
    </row>
    <row r="50" spans="1:50" x14ac:dyDescent="0.25">
      <c r="A50" t="s">
        <v>4</v>
      </c>
      <c r="B50" t="s">
        <v>80</v>
      </c>
      <c r="C50">
        <f>VLOOKUP(D1_NOVIEMBRE_2025[[#This Row],[SUPER]],DATA_NOVIEMBRE_2025[[SUPERVISOR]:[META]],3,0)</f>
        <v>55000</v>
      </c>
      <c r="D50" s="1">
        <f>D1_NOVIEMBRE_2025[[#This Row],[RECUPERO]]/C50</f>
        <v>0.5117454545454545</v>
      </c>
      <c r="E50" s="1" t="s">
        <v>4</v>
      </c>
      <c r="F50" t="s">
        <v>80</v>
      </c>
      <c r="G50">
        <v>28146</v>
      </c>
      <c r="H50" t="s">
        <v>433</v>
      </c>
      <c r="I50" s="56">
        <v>45285</v>
      </c>
      <c r="J50" t="s">
        <v>501</v>
      </c>
      <c r="L50" s="56"/>
      <c r="M50" s="1">
        <f>DATA_NOVIEMBRE_2025[[#This Row],[RECUPERO]]/DATA_NOVIEMBRE_2025[[#This Row],[META]]</f>
        <v>1.1024</v>
      </c>
      <c r="N50" s="5" t="str" cm="1">
        <f t="array" ref="N50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50" t="s">
        <v>3</v>
      </c>
      <c r="P50">
        <f>SUM(DATA_NOVIEMBRE_2025[[#This Row],[1]:[31]])</f>
        <v>60632</v>
      </c>
      <c r="Q50">
        <v>55000</v>
      </c>
      <c r="R50" t="s">
        <v>23</v>
      </c>
      <c r="U50">
        <v>1200</v>
      </c>
      <c r="V50">
        <v>805</v>
      </c>
      <c r="X50">
        <v>4000</v>
      </c>
      <c r="Y50">
        <v>1448</v>
      </c>
      <c r="Z50">
        <v>9500</v>
      </c>
      <c r="AB50">
        <v>500</v>
      </c>
      <c r="AD50">
        <v>2900</v>
      </c>
      <c r="AF50">
        <v>1600</v>
      </c>
      <c r="AG50">
        <v>433</v>
      </c>
      <c r="AI50">
        <v>3341</v>
      </c>
      <c r="AK50">
        <v>1250</v>
      </c>
      <c r="AP50">
        <v>16655</v>
      </c>
      <c r="AQ50">
        <v>900</v>
      </c>
      <c r="AR50">
        <v>7500</v>
      </c>
      <c r="AT50">
        <v>750</v>
      </c>
      <c r="AU50">
        <v>1650</v>
      </c>
      <c r="AV50">
        <v>6200</v>
      </c>
      <c r="AX50" t="s">
        <v>159</v>
      </c>
    </row>
    <row r="51" spans="1:50" x14ac:dyDescent="0.25">
      <c r="A51" t="s">
        <v>4</v>
      </c>
      <c r="B51" t="s">
        <v>105</v>
      </c>
      <c r="C51">
        <f>VLOOKUP(D1_NOVIEMBRE_2025[[#This Row],[SUPER]],DATA_NOVIEMBRE_2025[[SUPERVISOR]:[META]],3,0)</f>
        <v>55000</v>
      </c>
      <c r="D51" s="1">
        <f>D1_NOVIEMBRE_2025[[#This Row],[RECUPERO]]/C51</f>
        <v>0.50981818181818184</v>
      </c>
      <c r="E51" s="1" t="s">
        <v>4</v>
      </c>
      <c r="F51" t="s">
        <v>105</v>
      </c>
      <c r="G51">
        <v>28040</v>
      </c>
      <c r="H51" t="s">
        <v>463</v>
      </c>
      <c r="I51" s="56">
        <v>45748</v>
      </c>
      <c r="J51" t="s">
        <v>501</v>
      </c>
      <c r="L51" s="56"/>
      <c r="M51" s="1">
        <f>DATA_NOVIEMBRE_2025[[#This Row],[RECUPERO]]/DATA_NOVIEMBRE_2025[[#This Row],[META]]</f>
        <v>1.357</v>
      </c>
      <c r="N51" s="5" t="str" cm="1">
        <f t="array" ref="N5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51" t="s">
        <v>2</v>
      </c>
      <c r="P51">
        <f>SUM(DATA_NOVIEMBRE_2025[[#This Row],[1]:[31]])</f>
        <v>20355</v>
      </c>
      <c r="Q51">
        <v>15000</v>
      </c>
      <c r="R51" t="s">
        <v>68</v>
      </c>
      <c r="X51">
        <v>300</v>
      </c>
      <c r="Y51">
        <v>1000</v>
      </c>
      <c r="AD51">
        <v>1500</v>
      </c>
      <c r="AK51">
        <v>400</v>
      </c>
      <c r="AL51">
        <v>300</v>
      </c>
      <c r="AP51">
        <v>300</v>
      </c>
      <c r="AQ51">
        <v>10690</v>
      </c>
      <c r="AT51">
        <v>5115</v>
      </c>
      <c r="AU51">
        <v>750</v>
      </c>
      <c r="AX51" t="s">
        <v>158</v>
      </c>
    </row>
    <row r="52" spans="1:50" x14ac:dyDescent="0.25">
      <c r="A52" t="s">
        <v>4</v>
      </c>
      <c r="B52" t="s">
        <v>58</v>
      </c>
      <c r="C52">
        <f>VLOOKUP(D1_NOVIEMBRE_2025[[#This Row],[SUPER]],DATA_NOVIEMBRE_2025[[SUPERVISOR]:[META]],3,0)</f>
        <v>55000</v>
      </c>
      <c r="D52" s="1">
        <f>D1_NOVIEMBRE_2025[[#This Row],[RECUPERO]]/C52</f>
        <v>0.47525454545454543</v>
      </c>
      <c r="E52" s="1" t="s">
        <v>4</v>
      </c>
      <c r="F52" t="s">
        <v>58</v>
      </c>
      <c r="G52">
        <v>26139</v>
      </c>
      <c r="H52" t="s">
        <v>441</v>
      </c>
      <c r="I52" s="56">
        <v>43035</v>
      </c>
      <c r="J52" t="s">
        <v>501</v>
      </c>
      <c r="L52" s="56"/>
      <c r="M52" s="1">
        <f>DATA_NOVIEMBRE_2025[[#This Row],[RECUPERO]]/DATA_NOVIEMBRE_2025[[#This Row],[META]]</f>
        <v>1.1293454545454547</v>
      </c>
      <c r="N52" s="5" t="str" cm="1">
        <f t="array" ref="N52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52" t="s">
        <v>3</v>
      </c>
      <c r="P52">
        <f>SUM(DATA_NOVIEMBRE_2025[[#This Row],[1]:[31]])</f>
        <v>62114</v>
      </c>
      <c r="Q52">
        <v>55000</v>
      </c>
      <c r="R52" t="s">
        <v>31</v>
      </c>
      <c r="U52">
        <v>30</v>
      </c>
      <c r="V52">
        <v>5800</v>
      </c>
      <c r="W52">
        <v>3000</v>
      </c>
      <c r="X52">
        <v>1200</v>
      </c>
      <c r="Y52">
        <v>1500</v>
      </c>
      <c r="AF52">
        <v>13000</v>
      </c>
      <c r="AJ52">
        <v>2500</v>
      </c>
      <c r="AK52">
        <v>2000</v>
      </c>
      <c r="AM52">
        <v>4500</v>
      </c>
      <c r="AR52">
        <v>10500</v>
      </c>
      <c r="AT52">
        <v>2279</v>
      </c>
      <c r="AU52">
        <v>15805</v>
      </c>
      <c r="AX52" t="s">
        <v>159</v>
      </c>
    </row>
    <row r="53" spans="1:50" x14ac:dyDescent="0.25">
      <c r="A53" t="s">
        <v>4</v>
      </c>
      <c r="B53" t="s">
        <v>93</v>
      </c>
      <c r="C53">
        <f>VLOOKUP(D1_NOVIEMBRE_2025[[#This Row],[SUPER]],DATA_NOVIEMBRE_2025[[SUPERVISOR]:[META]],3,0)</f>
        <v>55000</v>
      </c>
      <c r="D53" s="1">
        <f>D1_NOVIEMBRE_2025[[#This Row],[RECUPERO]]/C53</f>
        <v>0.44977272727272727</v>
      </c>
      <c r="E53" s="1" t="s">
        <v>4</v>
      </c>
      <c r="F53" t="s">
        <v>93</v>
      </c>
      <c r="G53">
        <v>24737.5</v>
      </c>
      <c r="H53" t="s">
        <v>482</v>
      </c>
      <c r="I53" s="56">
        <v>44644</v>
      </c>
      <c r="J53" t="s">
        <v>501</v>
      </c>
      <c r="L53" s="56"/>
      <c r="M53" s="1">
        <f>DATA_NOVIEMBRE_2025[[#This Row],[RECUPERO]]/DATA_NOVIEMBRE_2025[[#This Row],[META]]</f>
        <v>1.669</v>
      </c>
      <c r="N53" s="5" t="str" cm="1">
        <f t="array" ref="N53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53" t="s">
        <v>5</v>
      </c>
      <c r="P53">
        <f>SUM(DATA_NOVIEMBRE_2025[[#This Row],[1]:[31]])</f>
        <v>23366</v>
      </c>
      <c r="Q53">
        <v>14000</v>
      </c>
      <c r="R53" t="s">
        <v>29</v>
      </c>
      <c r="W53">
        <v>43</v>
      </c>
      <c r="X53">
        <v>7242</v>
      </c>
      <c r="AB53">
        <v>644</v>
      </c>
      <c r="AC53">
        <v>3700</v>
      </c>
      <c r="AD53">
        <v>2573</v>
      </c>
      <c r="AF53">
        <v>350</v>
      </c>
      <c r="AI53">
        <v>225</v>
      </c>
      <c r="AJ53">
        <v>200</v>
      </c>
      <c r="AK53">
        <v>2734</v>
      </c>
      <c r="AQ53">
        <v>2500</v>
      </c>
      <c r="AS53">
        <v>305</v>
      </c>
      <c r="AT53">
        <v>2650</v>
      </c>
      <c r="AU53">
        <v>200</v>
      </c>
      <c r="AX53" t="s">
        <v>160</v>
      </c>
    </row>
    <row r="54" spans="1:50" x14ac:dyDescent="0.25">
      <c r="A54" t="s">
        <v>4</v>
      </c>
      <c r="B54" t="s">
        <v>40</v>
      </c>
      <c r="C54">
        <f>VLOOKUP(D1_NOVIEMBRE_2025[[#This Row],[SUPER]],DATA_NOVIEMBRE_2025[[SUPERVISOR]:[META]],3,0)</f>
        <v>55000</v>
      </c>
      <c r="D54" s="1">
        <f>D1_NOVIEMBRE_2025[[#This Row],[RECUPERO]]/C54</f>
        <v>0.26076363636363636</v>
      </c>
      <c r="E54" s="1" t="s">
        <v>4</v>
      </c>
      <c r="F54" t="s">
        <v>40</v>
      </c>
      <c r="G54">
        <v>14342</v>
      </c>
      <c r="H54" t="s">
        <v>424</v>
      </c>
      <c r="I54" s="56">
        <v>45429</v>
      </c>
      <c r="J54" t="s">
        <v>501</v>
      </c>
      <c r="L54" s="56"/>
      <c r="M54" s="1">
        <f>DATA_NOVIEMBRE_2025[[#This Row],[RECUPERO]]/DATA_NOVIEMBRE_2025[[#This Row],[META]]</f>
        <v>0.36</v>
      </c>
      <c r="N54" s="5" t="str" cm="1">
        <f t="array" ref="N54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54" t="s">
        <v>3</v>
      </c>
      <c r="P54">
        <f>SUM(DATA_NOVIEMBRE_2025[[#This Row],[1]:[31]])</f>
        <v>19800</v>
      </c>
      <c r="Q54">
        <v>55000</v>
      </c>
      <c r="R54" t="s">
        <v>17</v>
      </c>
      <c r="AC54">
        <v>2000</v>
      </c>
      <c r="AL54">
        <v>6000</v>
      </c>
      <c r="AM54">
        <v>320</v>
      </c>
      <c r="AQ54">
        <v>1000</v>
      </c>
      <c r="AR54">
        <v>480</v>
      </c>
      <c r="AT54">
        <v>10000</v>
      </c>
      <c r="AX54" t="s">
        <v>159</v>
      </c>
    </row>
    <row r="55" spans="1:50" x14ac:dyDescent="0.25">
      <c r="A55" t="s">
        <v>4</v>
      </c>
      <c r="B55" t="s">
        <v>37</v>
      </c>
      <c r="C55">
        <f>VLOOKUP(D1_NOVIEMBRE_2025[[#This Row],[SUPER]],DATA_NOVIEMBRE_2025[[SUPERVISOR]:[META]],3,0)</f>
        <v>55000</v>
      </c>
      <c r="D55" s="1">
        <f>D1_NOVIEMBRE_2025[[#This Row],[RECUPERO]]/C55</f>
        <v>0.15398181818181819</v>
      </c>
      <c r="E55" s="1" t="s">
        <v>4</v>
      </c>
      <c r="F55" t="s">
        <v>37</v>
      </c>
      <c r="G55">
        <v>8469</v>
      </c>
      <c r="H55" t="s">
        <v>400</v>
      </c>
      <c r="I55" s="56">
        <v>43132</v>
      </c>
      <c r="J55" t="s">
        <v>501</v>
      </c>
      <c r="L55" s="56"/>
      <c r="M55" s="1">
        <f>DATA_NOVIEMBRE_2025[[#This Row],[RECUPERO]]/DATA_NOVIEMBRE_2025[[#This Row],[META]]</f>
        <v>1.2083999999999999</v>
      </c>
      <c r="N55" s="5" t="str" cm="1">
        <f t="array" ref="N55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55" t="s">
        <v>2</v>
      </c>
      <c r="P55">
        <f>SUM(DATA_NOVIEMBRE_2025[[#This Row],[1]:[31]])</f>
        <v>18126</v>
      </c>
      <c r="Q55">
        <v>15000</v>
      </c>
      <c r="R55" t="s">
        <v>38</v>
      </c>
      <c r="V55">
        <v>225.5</v>
      </c>
      <c r="X55">
        <v>200</v>
      </c>
      <c r="AB55">
        <v>800</v>
      </c>
      <c r="AC55">
        <v>6600</v>
      </c>
      <c r="AD55">
        <v>200</v>
      </c>
      <c r="AI55">
        <v>572</v>
      </c>
      <c r="AL55">
        <v>670</v>
      </c>
      <c r="AR55">
        <v>525.5</v>
      </c>
      <c r="AS55">
        <v>292</v>
      </c>
      <c r="AT55">
        <v>8041</v>
      </c>
      <c r="AX55" t="s">
        <v>158</v>
      </c>
    </row>
    <row r="56" spans="1:50" x14ac:dyDescent="0.25">
      <c r="A56" t="s">
        <v>3</v>
      </c>
      <c r="B56" t="s">
        <v>31</v>
      </c>
      <c r="C56">
        <f>VLOOKUP(D1_NOVIEMBRE_2025[[#This Row],[SUPER]],DATA_NOVIEMBRE_2025[[SUPERVISOR]:[META]],3,0)</f>
        <v>55000</v>
      </c>
      <c r="D56" s="1">
        <f>D1_NOVIEMBRE_2025[[#This Row],[RECUPERO]]/C56</f>
        <v>1.1293454545454547</v>
      </c>
      <c r="E56" s="1" t="s">
        <v>3</v>
      </c>
      <c r="F56" t="s">
        <v>31</v>
      </c>
      <c r="G56">
        <v>62114</v>
      </c>
      <c r="H56" t="s">
        <v>403</v>
      </c>
      <c r="I56" s="56">
        <v>45334</v>
      </c>
      <c r="J56" t="s">
        <v>501</v>
      </c>
      <c r="L56" s="56"/>
      <c r="M56" s="1">
        <f>DATA_NOVIEMBRE_2025[[#This Row],[RECUPERO]]/DATA_NOVIEMBRE_2025[[#This Row],[META]]</f>
        <v>0.6931090909090909</v>
      </c>
      <c r="N56" s="5" t="str" cm="1">
        <f t="array" ref="N56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56" t="s">
        <v>4</v>
      </c>
      <c r="P56">
        <f>SUM(DATA_NOVIEMBRE_2025[[#This Row],[1]:[31]])</f>
        <v>38121</v>
      </c>
      <c r="Q56">
        <v>55000</v>
      </c>
      <c r="R56" t="s">
        <v>75</v>
      </c>
      <c r="AC56">
        <v>10000</v>
      </c>
      <c r="AE56">
        <v>2100</v>
      </c>
      <c r="AJ56">
        <v>340</v>
      </c>
      <c r="AK56">
        <v>6000</v>
      </c>
      <c r="AN56">
        <v>1500</v>
      </c>
      <c r="AP56">
        <v>2500</v>
      </c>
      <c r="AQ56">
        <v>2000</v>
      </c>
      <c r="AR56">
        <v>3500</v>
      </c>
      <c r="AS56">
        <v>2500</v>
      </c>
      <c r="AT56">
        <v>3181</v>
      </c>
      <c r="AU56">
        <v>4500</v>
      </c>
      <c r="AX56" t="s">
        <v>159</v>
      </c>
    </row>
    <row r="57" spans="1:50" x14ac:dyDescent="0.25">
      <c r="A57" t="s">
        <v>3</v>
      </c>
      <c r="B57" t="s">
        <v>23</v>
      </c>
      <c r="C57">
        <f>VLOOKUP(D1_NOVIEMBRE_2025[[#This Row],[SUPER]],DATA_NOVIEMBRE_2025[[SUPERVISOR]:[META]],3,0)</f>
        <v>55000</v>
      </c>
      <c r="D57" s="1">
        <f>D1_NOVIEMBRE_2025[[#This Row],[RECUPERO]]/C57</f>
        <v>1.1024</v>
      </c>
      <c r="E57" s="1" t="s">
        <v>3</v>
      </c>
      <c r="F57" t="s">
        <v>23</v>
      </c>
      <c r="G57">
        <v>60632</v>
      </c>
      <c r="H57" t="s">
        <v>445</v>
      </c>
      <c r="I57" s="56">
        <v>44111</v>
      </c>
      <c r="J57" t="s">
        <v>501</v>
      </c>
      <c r="L57" s="56"/>
      <c r="M57" s="1">
        <f>DATA_NOVIEMBRE_2025[[#This Row],[RECUPERO]]/DATA_NOVIEMBRE_2025[[#This Row],[META]]</f>
        <v>0.79571428571428571</v>
      </c>
      <c r="N57" s="5" t="str" cm="1">
        <f t="array" ref="N57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57" t="s">
        <v>5</v>
      </c>
      <c r="P57">
        <f>SUM(DATA_NOVIEMBRE_2025[[#This Row],[1]:[31]])</f>
        <v>11140</v>
      </c>
      <c r="Q57">
        <v>14000</v>
      </c>
      <c r="R57" t="s">
        <v>55</v>
      </c>
      <c r="V57">
        <v>400</v>
      </c>
      <c r="W57">
        <v>4500</v>
      </c>
      <c r="X57">
        <v>200</v>
      </c>
      <c r="Y57">
        <v>300</v>
      </c>
      <c r="AB57">
        <v>300</v>
      </c>
      <c r="AC57">
        <v>900</v>
      </c>
      <c r="AD57">
        <v>150</v>
      </c>
      <c r="AG57">
        <v>300</v>
      </c>
      <c r="AI57">
        <v>900</v>
      </c>
      <c r="AK57">
        <v>150</v>
      </c>
      <c r="AL57">
        <v>660</v>
      </c>
      <c r="AP57">
        <v>80</v>
      </c>
      <c r="AQ57">
        <v>300</v>
      </c>
      <c r="AR57">
        <v>380</v>
      </c>
      <c r="AS57">
        <v>220</v>
      </c>
      <c r="AT57">
        <v>1400</v>
      </c>
      <c r="AX57" t="s">
        <v>160</v>
      </c>
    </row>
    <row r="58" spans="1:50" x14ac:dyDescent="0.25">
      <c r="A58" t="s">
        <v>3</v>
      </c>
      <c r="B58" t="s">
        <v>69</v>
      </c>
      <c r="C58">
        <f>VLOOKUP(D1_NOVIEMBRE_2025[[#This Row],[SUPER]],DATA_NOVIEMBRE_2025[[SUPERVISOR]:[META]],3,0)</f>
        <v>55000</v>
      </c>
      <c r="D58" s="1">
        <f>D1_NOVIEMBRE_2025[[#This Row],[RECUPERO]]/C58</f>
        <v>0.83343636363636364</v>
      </c>
      <c r="E58" s="1" t="s">
        <v>3</v>
      </c>
      <c r="F58" t="s">
        <v>69</v>
      </c>
      <c r="G58">
        <v>45839</v>
      </c>
      <c r="H58" t="s">
        <v>379</v>
      </c>
      <c r="I58" s="56">
        <v>44461</v>
      </c>
      <c r="J58" t="s">
        <v>501</v>
      </c>
      <c r="L58" s="56"/>
      <c r="M58" s="1">
        <f>DATA_NOVIEMBRE_2025[[#This Row],[RECUPERO]]/DATA_NOVIEMBRE_2025[[#This Row],[META]]</f>
        <v>0.40885714285714286</v>
      </c>
      <c r="N58" s="5" t="str" cm="1">
        <f t="array" ref="N58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58" t="s">
        <v>5</v>
      </c>
      <c r="P58">
        <f>SUM(DATA_NOVIEMBRE_2025[[#This Row],[1]:[31]])</f>
        <v>5724</v>
      </c>
      <c r="Q58">
        <v>14000</v>
      </c>
      <c r="R58" t="s">
        <v>36</v>
      </c>
      <c r="V58">
        <v>105</v>
      </c>
      <c r="W58">
        <v>500</v>
      </c>
      <c r="X58">
        <v>500</v>
      </c>
      <c r="AG58">
        <v>125</v>
      </c>
      <c r="AI58">
        <v>105</v>
      </c>
      <c r="AJ58">
        <v>430</v>
      </c>
      <c r="AN58">
        <v>3200</v>
      </c>
      <c r="AQ58">
        <v>559</v>
      </c>
      <c r="AS58">
        <v>200</v>
      </c>
      <c r="AX58" t="s">
        <v>160</v>
      </c>
    </row>
    <row r="59" spans="1:50" x14ac:dyDescent="0.25">
      <c r="A59" t="s">
        <v>3</v>
      </c>
      <c r="B59" t="s">
        <v>32</v>
      </c>
      <c r="C59">
        <f>VLOOKUP(D1_NOVIEMBRE_2025[[#This Row],[SUPER]],DATA_NOVIEMBRE_2025[[SUPERVISOR]:[META]],3,0)</f>
        <v>55000</v>
      </c>
      <c r="D59" s="1">
        <f>D1_NOVIEMBRE_2025[[#This Row],[RECUPERO]]/C59</f>
        <v>0.55054545454545456</v>
      </c>
      <c r="E59" s="1" t="s">
        <v>3</v>
      </c>
      <c r="F59" t="s">
        <v>32</v>
      </c>
      <c r="G59">
        <v>30280</v>
      </c>
      <c r="H59" t="s">
        <v>390</v>
      </c>
      <c r="I59" s="56">
        <v>45530</v>
      </c>
      <c r="J59" t="s">
        <v>501</v>
      </c>
      <c r="L59" s="56"/>
      <c r="M59" s="1">
        <f>DATA_NOVIEMBRE_2025[[#This Row],[RECUPERO]]/DATA_NOVIEMBRE_2025[[#This Row],[META]]</f>
        <v>1.1633</v>
      </c>
      <c r="N59" s="5" t="str" cm="1">
        <f t="array" ref="N59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59" t="s">
        <v>6</v>
      </c>
      <c r="P59">
        <f>SUM(DATA_NOVIEMBRE_2025[[#This Row],[1]:[31]])</f>
        <v>23266</v>
      </c>
      <c r="Q59">
        <v>20000</v>
      </c>
      <c r="R59" t="s">
        <v>11</v>
      </c>
      <c r="V59">
        <v>3000</v>
      </c>
      <c r="X59">
        <v>3150</v>
      </c>
      <c r="AE59">
        <v>1013</v>
      </c>
      <c r="AG59">
        <v>83</v>
      </c>
      <c r="AI59">
        <v>3850</v>
      </c>
      <c r="AJ59">
        <v>400</v>
      </c>
      <c r="AM59">
        <v>570</v>
      </c>
      <c r="AP59">
        <v>2100</v>
      </c>
      <c r="AQ59">
        <v>6200</v>
      </c>
      <c r="AR59">
        <v>500</v>
      </c>
      <c r="AS59">
        <v>400</v>
      </c>
      <c r="AT59">
        <v>2000</v>
      </c>
      <c r="AX59" t="s">
        <v>161</v>
      </c>
    </row>
    <row r="60" spans="1:50" x14ac:dyDescent="0.25">
      <c r="A60" t="s">
        <v>3</v>
      </c>
      <c r="B60" t="s">
        <v>13</v>
      </c>
      <c r="C60">
        <f>VLOOKUP(D1_NOVIEMBRE_2025[[#This Row],[SUPER]],DATA_NOVIEMBRE_2025[[SUPERVISOR]:[META]],3,0)</f>
        <v>55000</v>
      </c>
      <c r="D60" s="1">
        <f>D1_NOVIEMBRE_2025[[#This Row],[RECUPERO]]/C60</f>
        <v>0.51090909090909087</v>
      </c>
      <c r="E60" s="1" t="s">
        <v>3</v>
      </c>
      <c r="F60" t="s">
        <v>13</v>
      </c>
      <c r="G60">
        <v>28100</v>
      </c>
      <c r="H60" t="s">
        <v>382</v>
      </c>
      <c r="I60" s="56">
        <v>44811</v>
      </c>
      <c r="J60" t="s">
        <v>501</v>
      </c>
      <c r="L60" s="56"/>
      <c r="M60" s="1">
        <f>DATA_NOVIEMBRE_2025[[#This Row],[RECUPERO]]/DATA_NOVIEMBRE_2025[[#This Row],[META]]</f>
        <v>0.58799999999999997</v>
      </c>
      <c r="N60" s="5" t="str" cm="1">
        <f t="array" ref="N60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60" t="s">
        <v>7</v>
      </c>
      <c r="P60">
        <f>SUM(DATA_NOVIEMBRE_2025[[#This Row],[1]:[31]])</f>
        <v>8232</v>
      </c>
      <c r="Q60">
        <v>14000</v>
      </c>
      <c r="R60" t="s">
        <v>74</v>
      </c>
      <c r="X60">
        <v>2500</v>
      </c>
      <c r="AB60">
        <v>300</v>
      </c>
      <c r="AK60">
        <v>500</v>
      </c>
      <c r="AL60">
        <v>506</v>
      </c>
      <c r="AM60">
        <v>1300</v>
      </c>
      <c r="AP60">
        <v>446</v>
      </c>
      <c r="AQ60">
        <v>230</v>
      </c>
      <c r="AR60">
        <v>529</v>
      </c>
      <c r="AS60">
        <v>191</v>
      </c>
      <c r="AT60">
        <v>1730</v>
      </c>
      <c r="AX60" t="s">
        <v>160</v>
      </c>
    </row>
    <row r="61" spans="1:50" x14ac:dyDescent="0.25">
      <c r="A61" t="s">
        <v>3</v>
      </c>
      <c r="B61" t="s">
        <v>22</v>
      </c>
      <c r="C61">
        <f>VLOOKUP(D1_NOVIEMBRE_2025[[#This Row],[SUPER]],DATA_NOVIEMBRE_2025[[SUPERVISOR]:[META]],3,0)</f>
        <v>55000</v>
      </c>
      <c r="D61" s="1">
        <f>D1_NOVIEMBRE_2025[[#This Row],[RECUPERO]]/C61</f>
        <v>0.49916363636363636</v>
      </c>
      <c r="E61" s="1" t="s">
        <v>3</v>
      </c>
      <c r="F61" t="s">
        <v>22</v>
      </c>
      <c r="G61">
        <v>27454</v>
      </c>
      <c r="H61" t="s">
        <v>442</v>
      </c>
      <c r="I61" s="56">
        <v>45299</v>
      </c>
      <c r="J61" t="s">
        <v>501</v>
      </c>
      <c r="L61" s="56"/>
      <c r="M61" s="1">
        <f>DATA_NOVIEMBRE_2025[[#This Row],[RECUPERO]]/DATA_NOVIEMBRE_2025[[#This Row],[META]]</f>
        <v>1.0025714285714287</v>
      </c>
      <c r="N61" s="5" t="str" cm="1">
        <f t="array" ref="N61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&gt;100%</v>
      </c>
      <c r="O61" t="s">
        <v>5</v>
      </c>
      <c r="P61">
        <f>SUM(DATA_NOVIEMBRE_2025[[#This Row],[1]:[31]])</f>
        <v>14036</v>
      </c>
      <c r="Q61">
        <v>14000</v>
      </c>
      <c r="R61" t="s">
        <v>79</v>
      </c>
      <c r="U61">
        <v>300</v>
      </c>
      <c r="W61">
        <v>650</v>
      </c>
      <c r="X61">
        <v>150</v>
      </c>
      <c r="Y61">
        <v>200</v>
      </c>
      <c r="AD61">
        <v>800</v>
      </c>
      <c r="AE61">
        <v>830</v>
      </c>
      <c r="AF61">
        <v>5100</v>
      </c>
      <c r="AI61">
        <v>200</v>
      </c>
      <c r="AK61">
        <v>500</v>
      </c>
      <c r="AM61">
        <v>1400</v>
      </c>
      <c r="AP61">
        <v>440</v>
      </c>
      <c r="AQ61">
        <v>416</v>
      </c>
      <c r="AT61">
        <v>3050</v>
      </c>
      <c r="AX61" t="s">
        <v>160</v>
      </c>
    </row>
    <row r="62" spans="1:50" x14ac:dyDescent="0.25">
      <c r="A62" t="s">
        <v>3</v>
      </c>
      <c r="B62" t="s">
        <v>16</v>
      </c>
      <c r="C62">
        <f>VLOOKUP(D1_NOVIEMBRE_2025[[#This Row],[SUPER]],DATA_NOVIEMBRE_2025[[SUPERVISOR]:[META]],3,0)</f>
        <v>55000</v>
      </c>
      <c r="D62" s="1">
        <f>D1_NOVIEMBRE_2025[[#This Row],[RECUPERO]]/C62</f>
        <v>0.40736363636363637</v>
      </c>
      <c r="E62" s="1" t="s">
        <v>3</v>
      </c>
      <c r="F62" t="s">
        <v>16</v>
      </c>
      <c r="G62">
        <v>22405</v>
      </c>
      <c r="H62" t="s">
        <v>388</v>
      </c>
      <c r="I62" s="56">
        <v>45334</v>
      </c>
      <c r="J62" t="s">
        <v>501</v>
      </c>
      <c r="L62" s="56"/>
      <c r="M62" s="1">
        <f>DATA_NOVIEMBRE_2025[[#This Row],[RECUPERO]]/DATA_NOVIEMBRE_2025[[#This Row],[META]]</f>
        <v>0.28127272727272729</v>
      </c>
      <c r="N62" s="5" t="str" cm="1">
        <f t="array" ref="N62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62" t="s">
        <v>3</v>
      </c>
      <c r="P62">
        <f>SUM(DATA_NOVIEMBRE_2025[[#This Row],[1]:[31]])</f>
        <v>15470</v>
      </c>
      <c r="Q62">
        <v>55000</v>
      </c>
      <c r="R62" t="s">
        <v>97</v>
      </c>
      <c r="W62">
        <v>115</v>
      </c>
      <c r="Y62">
        <v>100</v>
      </c>
      <c r="AI62">
        <v>8500</v>
      </c>
      <c r="AJ62">
        <v>175</v>
      </c>
      <c r="AL62">
        <v>80</v>
      </c>
      <c r="AM62">
        <v>2200</v>
      </c>
      <c r="AQ62">
        <v>100</v>
      </c>
      <c r="AR62">
        <v>1400</v>
      </c>
      <c r="AT62">
        <v>2800</v>
      </c>
      <c r="AX62" t="s">
        <v>159</v>
      </c>
    </row>
    <row r="63" spans="1:50" x14ac:dyDescent="0.25">
      <c r="A63" t="s">
        <v>3</v>
      </c>
      <c r="B63" t="s">
        <v>17</v>
      </c>
      <c r="C63">
        <f>VLOOKUP(D1_NOVIEMBRE_2025[[#This Row],[SUPER]],DATA_NOVIEMBRE_2025[[SUPERVISOR]:[META]],3,0)</f>
        <v>55000</v>
      </c>
      <c r="D63" s="1">
        <f>D1_NOVIEMBRE_2025[[#This Row],[RECUPERO]]/C63</f>
        <v>0.36</v>
      </c>
      <c r="E63" s="1" t="s">
        <v>3</v>
      </c>
      <c r="F63" t="s">
        <v>17</v>
      </c>
      <c r="G63">
        <v>19800</v>
      </c>
      <c r="H63" t="s">
        <v>385</v>
      </c>
      <c r="I63" s="56">
        <v>44888</v>
      </c>
      <c r="J63" t="s">
        <v>501</v>
      </c>
      <c r="M63" s="1">
        <f>DATA_NOVIEMBRE_2025[[#This Row],[RECUPERO]]/DATA_NOVIEMBRE_2025[[#This Row],[META]]</f>
        <v>0.70281818181818179</v>
      </c>
      <c r="N63" s="5" t="str" cm="1">
        <f t="array" ref="N63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63" t="s">
        <v>4</v>
      </c>
      <c r="P63">
        <f>SUM(DATA_NOVIEMBRE_2025[[#This Row],[1]:[31]])</f>
        <v>38655</v>
      </c>
      <c r="Q63">
        <v>55000</v>
      </c>
      <c r="R63" t="s">
        <v>59</v>
      </c>
      <c r="W63">
        <v>2000</v>
      </c>
      <c r="Y63">
        <v>1000</v>
      </c>
      <c r="AC63">
        <v>1200</v>
      </c>
      <c r="AD63">
        <v>1100</v>
      </c>
      <c r="AI63">
        <v>2000</v>
      </c>
      <c r="AJ63">
        <v>1800</v>
      </c>
      <c r="AL63">
        <v>2000</v>
      </c>
      <c r="AM63">
        <v>1000</v>
      </c>
      <c r="AP63">
        <v>475</v>
      </c>
      <c r="AQ63">
        <v>5750</v>
      </c>
      <c r="AS63">
        <v>15900</v>
      </c>
      <c r="AT63">
        <v>3930</v>
      </c>
      <c r="AU63">
        <v>500</v>
      </c>
      <c r="AX63" t="s">
        <v>159</v>
      </c>
    </row>
    <row r="64" spans="1:50" x14ac:dyDescent="0.25">
      <c r="A64" t="s">
        <v>3</v>
      </c>
      <c r="B64" t="s">
        <v>44</v>
      </c>
      <c r="C64">
        <f>VLOOKUP(D1_NOVIEMBRE_2025[[#This Row],[SUPER]],DATA_NOVIEMBRE_2025[[SUPERVISOR]:[META]],3,0)</f>
        <v>55000</v>
      </c>
      <c r="D64" s="1">
        <f>D1_NOVIEMBRE_2025[[#This Row],[RECUPERO]]/C64</f>
        <v>0.36241818181818181</v>
      </c>
      <c r="E64" s="1" t="s">
        <v>3</v>
      </c>
      <c r="F64" t="s">
        <v>44</v>
      </c>
      <c r="G64">
        <v>19933</v>
      </c>
      <c r="H64" t="s">
        <v>467</v>
      </c>
      <c r="I64" s="56">
        <v>45804</v>
      </c>
      <c r="J64" t="s">
        <v>501</v>
      </c>
      <c r="M64" s="1">
        <f>DATA_NOVIEMBRE_2025[[#This Row],[RECUPERO]]/DATA_NOVIEMBRE_2025[[#This Row],[META]]</f>
        <v>0.72399999999999998</v>
      </c>
      <c r="N64" s="5" t="str" cm="1">
        <f t="array" ref="N64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64" t="s">
        <v>2</v>
      </c>
      <c r="P64">
        <f>SUM(DATA_NOVIEMBRE_2025[[#This Row],[1]:[31]])</f>
        <v>10860</v>
      </c>
      <c r="Q64">
        <v>15000</v>
      </c>
      <c r="R64" t="s">
        <v>73</v>
      </c>
      <c r="U64">
        <v>260</v>
      </c>
      <c r="W64">
        <v>820</v>
      </c>
      <c r="Y64">
        <v>80</v>
      </c>
      <c r="AB64">
        <v>5000</v>
      </c>
      <c r="AD64">
        <v>300</v>
      </c>
      <c r="AI64">
        <v>250</v>
      </c>
      <c r="AK64">
        <v>400</v>
      </c>
      <c r="AM64">
        <v>480</v>
      </c>
      <c r="AP64">
        <v>600</v>
      </c>
      <c r="AQ64">
        <v>900</v>
      </c>
      <c r="AR64">
        <v>1000</v>
      </c>
      <c r="AT64">
        <v>770</v>
      </c>
      <c r="AX64" t="s">
        <v>158</v>
      </c>
    </row>
    <row r="65" spans="1:50" x14ac:dyDescent="0.25">
      <c r="A65" t="s">
        <v>3</v>
      </c>
      <c r="B65" t="s">
        <v>76</v>
      </c>
      <c r="C65">
        <f>VLOOKUP(D1_NOVIEMBRE_2025[[#This Row],[SUPER]],DATA_NOVIEMBRE_2025[[SUPERVISOR]:[META]],3,0)</f>
        <v>55000</v>
      </c>
      <c r="D65" s="1">
        <f>D1_NOVIEMBRE_2025[[#This Row],[RECUPERO]]/C65</f>
        <v>0.29169090909090911</v>
      </c>
      <c r="E65" s="1" t="s">
        <v>3</v>
      </c>
      <c r="F65" t="s">
        <v>76</v>
      </c>
      <c r="G65">
        <v>16043</v>
      </c>
      <c r="H65" t="s">
        <v>408</v>
      </c>
      <c r="I65" s="56">
        <v>44819</v>
      </c>
      <c r="J65" t="s">
        <v>501</v>
      </c>
      <c r="M65" s="1">
        <f>DATA_NOVIEMBRE_2025[[#This Row],[RECUPERO]]/DATA_NOVIEMBRE_2025[[#This Row],[META]]</f>
        <v>0.24816279069767441</v>
      </c>
      <c r="N65" s="5" t="str" cm="1">
        <f t="array" ref="N65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65" t="s">
        <v>6</v>
      </c>
      <c r="P65">
        <f>SUM(DATA_NOVIEMBRE_2025[[#This Row],[1]:[31]])</f>
        <v>10671</v>
      </c>
      <c r="Q65">
        <v>43000</v>
      </c>
      <c r="R65" t="s">
        <v>78</v>
      </c>
      <c r="AB65">
        <v>1000</v>
      </c>
      <c r="AD65">
        <v>700</v>
      </c>
      <c r="AE65">
        <v>1200</v>
      </c>
      <c r="AK65">
        <v>600</v>
      </c>
      <c r="AL65">
        <v>2290</v>
      </c>
      <c r="AQ65">
        <v>1500</v>
      </c>
      <c r="AR65">
        <v>533</v>
      </c>
      <c r="AS65">
        <v>734</v>
      </c>
      <c r="AT65">
        <v>1600</v>
      </c>
      <c r="AU65">
        <v>514</v>
      </c>
      <c r="AX65" t="s">
        <v>161</v>
      </c>
    </row>
    <row r="66" spans="1:50" x14ac:dyDescent="0.25">
      <c r="A66" t="s">
        <v>3</v>
      </c>
      <c r="B66" t="s">
        <v>97</v>
      </c>
      <c r="C66">
        <f>VLOOKUP(D1_NOVIEMBRE_2025[[#This Row],[SUPER]],DATA_NOVIEMBRE_2025[[SUPERVISOR]:[META]],3,0)</f>
        <v>55000</v>
      </c>
      <c r="D66" s="1">
        <f>D1_NOVIEMBRE_2025[[#This Row],[RECUPERO]]/C66</f>
        <v>0.28127272727272729</v>
      </c>
      <c r="E66" s="1" t="s">
        <v>3</v>
      </c>
      <c r="F66" t="s">
        <v>97</v>
      </c>
      <c r="G66">
        <v>15470</v>
      </c>
      <c r="H66" t="s">
        <v>485</v>
      </c>
      <c r="I66" s="56">
        <v>45889</v>
      </c>
      <c r="J66" t="s">
        <v>501</v>
      </c>
      <c r="M66" s="1">
        <f>DATA_NOVIEMBRE_2025[[#This Row],[RECUPERO]]/DATA_NOVIEMBRE_2025[[#This Row],[META]]</f>
        <v>0.53266666666666662</v>
      </c>
      <c r="N66" s="5" t="str" cm="1">
        <f t="array" ref="N66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&gt;40%</v>
      </c>
      <c r="O66" t="s">
        <v>2</v>
      </c>
      <c r="P66">
        <f>SUM(DATA_NOVIEMBRE_2025[[#This Row],[1]:[31]])</f>
        <v>7990</v>
      </c>
      <c r="Q66">
        <v>15000</v>
      </c>
      <c r="R66" t="s">
        <v>48</v>
      </c>
      <c r="W66">
        <v>4800</v>
      </c>
      <c r="AB66">
        <v>485</v>
      </c>
      <c r="AC66">
        <v>900</v>
      </c>
      <c r="AE66">
        <v>250</v>
      </c>
      <c r="AT66">
        <v>400</v>
      </c>
      <c r="AU66">
        <v>1155</v>
      </c>
      <c r="AX66" t="s">
        <v>158</v>
      </c>
    </row>
    <row r="67" spans="1:50" x14ac:dyDescent="0.25">
      <c r="M67" s="1">
        <f>DATA_NOVIEMBRE_2025[[#This Row],[RECUPERO]]/DATA_NOVIEMBRE_2025[[#This Row],[META]]</f>
        <v>0.93278181818181816</v>
      </c>
      <c r="N67" s="5" t="str" cm="1">
        <f t="array" ref="N67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&gt;70%</v>
      </c>
      <c r="O67" t="s">
        <v>4</v>
      </c>
      <c r="P67">
        <f>SUM(DATA_NOVIEMBRE_2025[[#This Row],[1]:[31]])</f>
        <v>51303</v>
      </c>
      <c r="Q67">
        <v>55000</v>
      </c>
      <c r="R67" t="s">
        <v>10</v>
      </c>
      <c r="W67">
        <v>600</v>
      </c>
      <c r="AB67">
        <v>1400</v>
      </c>
      <c r="AC67">
        <v>2500</v>
      </c>
      <c r="AF67">
        <v>2000</v>
      </c>
      <c r="AI67">
        <v>1800</v>
      </c>
      <c r="AJ67">
        <v>4250</v>
      </c>
      <c r="AL67">
        <v>9500</v>
      </c>
      <c r="AM67">
        <v>5800</v>
      </c>
      <c r="AP67">
        <v>4250</v>
      </c>
      <c r="AT67">
        <v>8403</v>
      </c>
      <c r="AU67">
        <v>10800</v>
      </c>
      <c r="AX67" t="s">
        <v>159</v>
      </c>
    </row>
    <row r="68" spans="1:50" x14ac:dyDescent="0.25">
      <c r="M68" s="1">
        <f>DATA_NOVIEMBRE_2025[[#This Row],[RECUPERO]]/DATA_NOVIEMBRE_2025[[#This Row],[META]]</f>
        <v>0.29169090909090911</v>
      </c>
      <c r="N68" s="5" t="str" cm="1">
        <f t="array" ref="N68">IF(DATA_NOVIEMBRE_2025[[#This Row],[ASER_]]="","",IFERROR(_xlfn.IFS(DATA_NOVIEMBRE_2025[[#This Row],[AL_AC]]&gt;=100%,"&gt;100%",AND(DATA_NOVIEMBRE_2025[[#This Row],[AL_AC]]&lt;100%,DATA_NOVIEMBRE_2025[[#This Row],[AL_AC]]&gt;=70%),"&gt;70%",AND(DATA_NOVIEMBRE_2025[[#This Row],[AL_AC]]&lt;70%,DATA_NOVIEMBRE_2025[[#This Row],[AL_AC]]&gt;=40%),"&gt;40%",AND(DATA_NOVIEMBRE_2025[[#This Row],[AL_AC]]&lt;40%,DATA_NOVIEMBRE_2025[[#This Row],[AL_AC]]&gt;=0%),"&gt;0%"),""))</f>
        <v>&gt;0%</v>
      </c>
      <c r="O68" t="s">
        <v>3</v>
      </c>
      <c r="P68">
        <f>SUM(DATA_NOVIEMBRE_2025[[#This Row],[1]:[31]])</f>
        <v>16043</v>
      </c>
      <c r="Q68">
        <v>55000</v>
      </c>
      <c r="R68" t="s">
        <v>76</v>
      </c>
      <c r="W68">
        <v>5100</v>
      </c>
      <c r="AD68">
        <v>250</v>
      </c>
      <c r="AE68">
        <v>3000</v>
      </c>
      <c r="AJ68">
        <v>500</v>
      </c>
      <c r="AN68">
        <v>780</v>
      </c>
      <c r="AP68">
        <v>1000</v>
      </c>
      <c r="AR68">
        <v>2100</v>
      </c>
      <c r="AT68">
        <v>2163</v>
      </c>
      <c r="AV68">
        <v>1150</v>
      </c>
      <c r="AX68" t="s">
        <v>159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A76E-1341-4EEC-B8A6-4F17B63DFEF8}">
  <dimension ref="A1:CI62"/>
  <sheetViews>
    <sheetView zoomScale="70" zoomScaleNormal="70" workbookViewId="0">
      <selection activeCell="K2" sqref="K2"/>
    </sheetView>
  </sheetViews>
  <sheetFormatPr baseColWidth="10" defaultRowHeight="15" x14ac:dyDescent="0.25"/>
  <cols>
    <col min="3" max="3" width="13.5703125" bestFit="1" customWidth="1"/>
    <col min="7" max="7" width="17.85546875" bestFit="1" customWidth="1"/>
    <col min="8" max="8" width="15" style="34" customWidth="1"/>
    <col min="9" max="9" width="27.85546875" bestFit="1" customWidth="1"/>
    <col min="10" max="10" width="14.5703125" bestFit="1" customWidth="1"/>
    <col min="11" max="12" width="6.28515625" customWidth="1"/>
    <col min="14" max="14" width="19.85546875" bestFit="1" customWidth="1"/>
    <col min="15" max="15" width="16.42578125" bestFit="1" customWidth="1"/>
    <col min="18" max="18" width="30.28515625" bestFit="1" customWidth="1"/>
    <col min="19" max="19" width="14" bestFit="1" customWidth="1"/>
  </cols>
  <sheetData>
    <row r="1" spans="1:87" x14ac:dyDescent="0.25">
      <c r="A1" s="34"/>
      <c r="B1" s="34"/>
      <c r="C1" s="35"/>
      <c r="D1" s="35"/>
      <c r="E1" s="35"/>
      <c r="H1"/>
      <c r="L1" s="56"/>
      <c r="N1" s="5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34" t="s">
        <v>4</v>
      </c>
      <c r="B3" s="34" t="s">
        <v>18</v>
      </c>
      <c r="C3" s="36">
        <f>VLOOKUP(D1_DICIEMBRE_2025[[#This Row],[SUPER]],DATA_DICIEMBRE_2025[[SUPERVISOR]:[META]],3,0)</f>
        <v>55500</v>
      </c>
      <c r="D3" s="35">
        <f>D1_DICIEMBRE_2025[[#This Row],[RECUPERO]]/D1_DICIEMBRE_2025[[#This Row],[META]]</f>
        <v>1.1104144144144144</v>
      </c>
      <c r="E3" s="35" t="s">
        <v>4</v>
      </c>
      <c r="F3" t="s">
        <v>18</v>
      </c>
      <c r="G3" s="3">
        <v>61628</v>
      </c>
      <c r="H3" t="s">
        <v>431</v>
      </c>
      <c r="I3" s="56">
        <v>45133</v>
      </c>
      <c r="J3" s="56" t="s">
        <v>501</v>
      </c>
      <c r="K3" s="56"/>
      <c r="L3" s="56"/>
      <c r="M3" s="33">
        <v>2025</v>
      </c>
      <c r="N3" s="33" t="s">
        <v>176</v>
      </c>
      <c r="O3" s="33">
        <v>20</v>
      </c>
    </row>
    <row r="4" spans="1:87" x14ac:dyDescent="0.25">
      <c r="A4" s="34" t="s">
        <v>7</v>
      </c>
      <c r="B4" s="34" t="s">
        <v>21</v>
      </c>
      <c r="C4" s="36">
        <f>VLOOKUP(D1_DICIEMBRE_2025[[#This Row],[SUPER]],DATA_DICIEMBRE_2025[[SUPERVISOR]:[META]],3,0)</f>
        <v>21000</v>
      </c>
      <c r="D4" s="35">
        <f>D1_DICIEMBRE_2025[[#This Row],[RECUPERO]]/D1_DICIEMBRE_2025[[#This Row],[META]]</f>
        <v>1.588095238095238</v>
      </c>
      <c r="E4" s="35" t="s">
        <v>7</v>
      </c>
      <c r="F4" t="s">
        <v>21</v>
      </c>
      <c r="G4" s="3">
        <v>33350</v>
      </c>
      <c r="H4" t="s">
        <v>409</v>
      </c>
      <c r="I4" s="56">
        <v>44301</v>
      </c>
      <c r="J4" s="56" t="s">
        <v>501</v>
      </c>
      <c r="K4" s="56"/>
      <c r="L4" s="56"/>
      <c r="N4" s="5"/>
    </row>
    <row r="5" spans="1:87" x14ac:dyDescent="0.25">
      <c r="A5" s="34" t="s">
        <v>7</v>
      </c>
      <c r="B5" s="34" t="s">
        <v>58</v>
      </c>
      <c r="C5" s="36">
        <f>VLOOKUP(D1_DICIEMBRE_2025[[#This Row],[SUPER]],DATA_DICIEMBRE_2025[[SUPERVISOR]:[META]],3,0)</f>
        <v>21000</v>
      </c>
      <c r="D5" s="35">
        <f>D1_DICIEMBRE_2025[[#This Row],[RECUPERO]]/D1_DICIEMBRE_2025[[#This Row],[META]]</f>
        <v>2.9866666666666668</v>
      </c>
      <c r="E5" s="35" t="s">
        <v>7</v>
      </c>
      <c r="F5" t="s">
        <v>58</v>
      </c>
      <c r="G5" s="3">
        <v>62720</v>
      </c>
      <c r="H5" t="s">
        <v>441</v>
      </c>
      <c r="I5" s="56">
        <v>43035</v>
      </c>
      <c r="J5" s="56" t="s">
        <v>501</v>
      </c>
      <c r="K5" s="56"/>
      <c r="L5" s="56"/>
      <c r="N5" s="5"/>
      <c r="BB5" s="45"/>
    </row>
    <row r="6" spans="1:87" x14ac:dyDescent="0.25">
      <c r="A6" s="34" t="s">
        <v>4</v>
      </c>
      <c r="B6" s="34" t="s">
        <v>60</v>
      </c>
      <c r="C6" s="36">
        <f>VLOOKUP(D1_DICIEMBRE_2025[[#This Row],[SUPER]],DATA_DICIEMBRE_2025[[SUPERVISOR]:[META]],3,0)</f>
        <v>55500</v>
      </c>
      <c r="D6" s="35">
        <f>D1_DICIEMBRE_2025[[#This Row],[RECUPERO]]/D1_DICIEMBRE_2025[[#This Row],[META]]</f>
        <v>1.2935315315315314</v>
      </c>
      <c r="E6" s="35" t="s">
        <v>4</v>
      </c>
      <c r="F6" t="s">
        <v>60</v>
      </c>
      <c r="G6" s="3">
        <v>71791</v>
      </c>
      <c r="H6" t="s">
        <v>423</v>
      </c>
      <c r="I6" s="56">
        <v>45323</v>
      </c>
      <c r="J6" s="56" t="s">
        <v>501</v>
      </c>
      <c r="K6" s="56"/>
      <c r="L6" s="56"/>
      <c r="N6" s="5"/>
    </row>
    <row r="7" spans="1:87" x14ac:dyDescent="0.25">
      <c r="A7" s="34" t="s">
        <v>2</v>
      </c>
      <c r="B7" s="34" t="s">
        <v>15</v>
      </c>
      <c r="C7" s="36">
        <f>VLOOKUP(D1_DICIEMBRE_2025[[#This Row],[SUPER]],DATA_DICIEMBRE_2025[[SUPERVISOR]:[META]],3,0)</f>
        <v>35500</v>
      </c>
      <c r="D7" s="35">
        <f>D1_DICIEMBRE_2025[[#This Row],[RECUPERO]]/D1_DICIEMBRE_2025[[#This Row],[META]]</f>
        <v>1.2428732394366198</v>
      </c>
      <c r="E7" s="35" t="s">
        <v>2</v>
      </c>
      <c r="F7" t="s">
        <v>15</v>
      </c>
      <c r="G7" s="3">
        <v>44122</v>
      </c>
      <c r="H7" t="s">
        <v>410</v>
      </c>
      <c r="I7" s="56">
        <v>44735</v>
      </c>
      <c r="J7" s="56" t="s">
        <v>501</v>
      </c>
      <c r="K7" s="56"/>
      <c r="L7" s="56"/>
      <c r="M7" s="1"/>
      <c r="N7" s="5"/>
    </row>
    <row r="8" spans="1:87" x14ac:dyDescent="0.25">
      <c r="A8" s="34" t="s">
        <v>7</v>
      </c>
      <c r="B8" s="34" t="s">
        <v>174</v>
      </c>
      <c r="C8" s="36">
        <f>VLOOKUP(D1_DICIEMBRE_2025[[#This Row],[SUPER]],DATA_DICIEMBRE_2025[[SUPERVISOR]:[META]],3,0)</f>
        <v>21000</v>
      </c>
      <c r="D8" s="35">
        <f>D1_DICIEMBRE_2025[[#This Row],[RECUPERO]]/D1_DICIEMBRE_2025[[#This Row],[META]]</f>
        <v>0.92719047619047623</v>
      </c>
      <c r="E8" s="35" t="s">
        <v>7</v>
      </c>
      <c r="F8" t="s">
        <v>174</v>
      </c>
      <c r="G8" s="3">
        <v>19471</v>
      </c>
      <c r="H8" t="s">
        <v>492</v>
      </c>
      <c r="I8" s="56">
        <v>45995</v>
      </c>
      <c r="J8" s="56" t="s">
        <v>501</v>
      </c>
      <c r="K8" s="56"/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19" t="s">
        <v>94</v>
      </c>
      <c r="BD8" s="19" t="s">
        <v>533</v>
      </c>
      <c r="BE8" s="19" t="s">
        <v>503</v>
      </c>
      <c r="BF8" s="19" t="s">
        <v>525</v>
      </c>
      <c r="BG8" s="19" t="s">
        <v>529</v>
      </c>
      <c r="BH8" s="19" t="s">
        <v>504</v>
      </c>
      <c r="BI8" s="19" t="s">
        <v>505</v>
      </c>
      <c r="BJ8" s="19" t="s">
        <v>506</v>
      </c>
      <c r="BK8" s="19" t="s">
        <v>507</v>
      </c>
      <c r="BL8" s="19" t="s">
        <v>508</v>
      </c>
      <c r="BM8" s="19" t="s">
        <v>526</v>
      </c>
      <c r="BN8" s="19" t="s">
        <v>530</v>
      </c>
      <c r="BO8" s="19" t="s">
        <v>509</v>
      </c>
      <c r="BP8" s="19" t="s">
        <v>510</v>
      </c>
      <c r="BQ8" s="19" t="s">
        <v>511</v>
      </c>
      <c r="BR8" s="19" t="s">
        <v>512</v>
      </c>
      <c r="BS8" s="19" t="s">
        <v>513</v>
      </c>
      <c r="BT8" s="19" t="s">
        <v>527</v>
      </c>
      <c r="BU8" s="19" t="s">
        <v>531</v>
      </c>
      <c r="BV8" s="19" t="s">
        <v>514</v>
      </c>
      <c r="BW8" s="19" t="s">
        <v>515</v>
      </c>
      <c r="BX8" s="19" t="s">
        <v>516</v>
      </c>
      <c r="BY8" s="19" t="s">
        <v>517</v>
      </c>
      <c r="BZ8" s="19" t="s">
        <v>518</v>
      </c>
      <c r="CA8" s="19" t="s">
        <v>528</v>
      </c>
      <c r="CB8" s="19" t="s">
        <v>532</v>
      </c>
      <c r="CC8" s="19" t="s">
        <v>519</v>
      </c>
      <c r="CD8" s="19" t="s">
        <v>520</v>
      </c>
      <c r="CE8" s="19" t="s">
        <v>521</v>
      </c>
      <c r="CF8" s="19" t="s">
        <v>522</v>
      </c>
      <c r="CG8" s="19" t="s">
        <v>523</v>
      </c>
      <c r="CH8" s="19" t="s">
        <v>524</v>
      </c>
      <c r="CI8" s="18" t="s">
        <v>134</v>
      </c>
    </row>
    <row r="9" spans="1:87" x14ac:dyDescent="0.25">
      <c r="A9" s="34" t="s">
        <v>6</v>
      </c>
      <c r="B9" s="34" t="s">
        <v>19</v>
      </c>
      <c r="C9" s="36">
        <f>VLOOKUP(D1_DICIEMBRE_2025[[#This Row],[SUPER]],DATA_DICIEMBRE_2025[[SUPERVISOR]:[META]],3,0)</f>
        <v>29000</v>
      </c>
      <c r="D9" s="35">
        <f>D1_DICIEMBRE_2025[[#This Row],[RECUPERO]]/D1_DICIEMBRE_2025[[#This Row],[META]]</f>
        <v>3.3010344827586207</v>
      </c>
      <c r="E9" s="35" t="s">
        <v>6</v>
      </c>
      <c r="F9" t="s">
        <v>19</v>
      </c>
      <c r="G9" s="3">
        <v>95730</v>
      </c>
      <c r="H9" t="s">
        <v>399</v>
      </c>
      <c r="I9" s="56">
        <v>44673</v>
      </c>
      <c r="J9" s="56" t="s">
        <v>501</v>
      </c>
      <c r="K9" s="56"/>
      <c r="L9" s="56"/>
      <c r="M9">
        <f>DATA_DICIEMBRE_2025[[#This Row],[RECUPERO]]/DATA_DICIEMBRE_2025[[#This Row],[META]]</f>
        <v>1.1104144144144144</v>
      </c>
      <c r="N9" s="5" t="str" cm="1">
        <f t="array" ref="N9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9" t="s">
        <v>4</v>
      </c>
      <c r="P9">
        <f>SUM(DATA_DICIEMBRE_2025[[#This Row],[1]:[31]])</f>
        <v>61628</v>
      </c>
      <c r="Q9">
        <v>55500</v>
      </c>
      <c r="R9" t="s">
        <v>18</v>
      </c>
      <c r="S9">
        <v>2350</v>
      </c>
      <c r="T9">
        <v>350</v>
      </c>
      <c r="U9">
        <v>8650</v>
      </c>
      <c r="W9">
        <v>3000</v>
      </c>
      <c r="Y9">
        <v>3150</v>
      </c>
      <c r="AD9">
        <v>18300</v>
      </c>
      <c r="AG9">
        <v>3800</v>
      </c>
      <c r="AH9">
        <v>1228</v>
      </c>
      <c r="AI9">
        <v>800</v>
      </c>
      <c r="AJ9">
        <v>8250</v>
      </c>
      <c r="AK9">
        <v>6000</v>
      </c>
      <c r="AO9">
        <v>5000</v>
      </c>
      <c r="AV9">
        <v>750</v>
      </c>
      <c r="AX9" t="s">
        <v>159</v>
      </c>
      <c r="AZ9" s="11">
        <v>319493</v>
      </c>
      <c r="BA9" s="11">
        <f>MAX(DITE_DICIEMBRE_2025[[#This Row],[1]:[31]])</f>
        <v>510279.6</v>
      </c>
      <c r="BB9" s="17">
        <f>DITE_DICIEMBRE_2025[[#This Row],[RECUPERO SUPERVISOR]]/AZ9</f>
        <v>1.597154241250982</v>
      </c>
      <c r="BC9" s="11" t="s">
        <v>2</v>
      </c>
      <c r="BD9" s="46">
        <v>8753</v>
      </c>
      <c r="BE9" s="46">
        <v>17265</v>
      </c>
      <c r="BF9" s="46">
        <v>26511.82</v>
      </c>
      <c r="BG9" s="46">
        <v>37002.82</v>
      </c>
      <c r="BH9" s="46">
        <v>54737.1</v>
      </c>
      <c r="BI9" s="46">
        <v>54737.1</v>
      </c>
      <c r="BJ9" s="46">
        <v>54737.1</v>
      </c>
      <c r="BK9" s="46">
        <v>54987.1</v>
      </c>
      <c r="BL9" s="46">
        <v>54987.1</v>
      </c>
      <c r="BM9" s="46">
        <v>59147.1</v>
      </c>
      <c r="BN9" s="46">
        <v>75251.100000000006</v>
      </c>
      <c r="BO9" s="46">
        <v>106731.1</v>
      </c>
      <c r="BP9" s="46">
        <v>124331.1</v>
      </c>
      <c r="BQ9" s="46">
        <v>124331.1</v>
      </c>
      <c r="BR9" s="46">
        <v>176198.1</v>
      </c>
      <c r="BS9" s="46">
        <v>214616.6</v>
      </c>
      <c r="BT9" s="46">
        <v>234466.6</v>
      </c>
      <c r="BU9" s="46">
        <v>270376.59999999998</v>
      </c>
      <c r="BV9" s="46">
        <v>303897.59999999998</v>
      </c>
      <c r="BW9" s="46">
        <v>304247.59999999998</v>
      </c>
      <c r="BX9" s="46">
        <v>304247.59999999998</v>
      </c>
      <c r="BY9" s="46">
        <v>363519.6</v>
      </c>
      <c r="BZ9" s="46">
        <v>400276.6</v>
      </c>
      <c r="CA9" s="46">
        <v>424788.6</v>
      </c>
      <c r="CB9" s="46">
        <v>424788.6</v>
      </c>
      <c r="CC9" s="46">
        <v>431163.6</v>
      </c>
      <c r="CD9" s="46">
        <v>431663.6</v>
      </c>
      <c r="CE9" s="46">
        <v>431663.6</v>
      </c>
      <c r="CF9" s="46">
        <v>451448.6</v>
      </c>
      <c r="CG9" s="46">
        <v>473504.6</v>
      </c>
      <c r="CH9" s="46">
        <v>510279.6</v>
      </c>
      <c r="CI9" s="10" t="s">
        <v>204</v>
      </c>
    </row>
    <row r="10" spans="1:87" x14ac:dyDescent="0.25">
      <c r="A10" s="34" t="s">
        <v>7</v>
      </c>
      <c r="B10" s="34" t="s">
        <v>41</v>
      </c>
      <c r="C10" s="36">
        <f>VLOOKUP(D1_DICIEMBRE_2025[[#This Row],[SUPER]],DATA_DICIEMBRE_2025[[SUPERVISOR]:[META]],3,0)</f>
        <v>21000</v>
      </c>
      <c r="D10" s="35">
        <f>D1_DICIEMBRE_2025[[#This Row],[RECUPERO]]/D1_DICIEMBRE_2025[[#This Row],[META]]</f>
        <v>1.5370952380952381</v>
      </c>
      <c r="E10" s="35" t="s">
        <v>7</v>
      </c>
      <c r="F10" t="s">
        <v>41</v>
      </c>
      <c r="G10" s="3">
        <v>32279</v>
      </c>
      <c r="H10" t="s">
        <v>387</v>
      </c>
      <c r="I10" s="56">
        <v>45304</v>
      </c>
      <c r="J10" s="56" t="s">
        <v>501</v>
      </c>
      <c r="K10" s="56"/>
      <c r="L10" s="56"/>
      <c r="M10">
        <f>DATA_DICIEMBRE_2025[[#This Row],[RECUPERO]]/DATA_DICIEMBRE_2025[[#This Row],[META]]</f>
        <v>1.588095238095238</v>
      </c>
      <c r="N10" s="5" t="str" cm="1">
        <f t="array" ref="N10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0" t="s">
        <v>7</v>
      </c>
      <c r="P10">
        <f>SUM(DATA_DICIEMBRE_2025[[#This Row],[1]:[31]])</f>
        <v>33350</v>
      </c>
      <c r="Q10">
        <v>21000</v>
      </c>
      <c r="R10" t="s">
        <v>21</v>
      </c>
      <c r="T10">
        <v>630</v>
      </c>
      <c r="W10">
        <v>500</v>
      </c>
      <c r="X10">
        <v>2000</v>
      </c>
      <c r="AC10">
        <v>600</v>
      </c>
      <c r="AD10">
        <v>3000</v>
      </c>
      <c r="AI10">
        <v>1000</v>
      </c>
      <c r="AJ10">
        <v>3100</v>
      </c>
      <c r="AN10">
        <v>5000</v>
      </c>
      <c r="AO10">
        <v>7500</v>
      </c>
      <c r="AP10">
        <v>220</v>
      </c>
      <c r="AR10">
        <v>3000</v>
      </c>
      <c r="AU10">
        <v>1800</v>
      </c>
      <c r="AV10">
        <v>5000</v>
      </c>
      <c r="AX10" t="s">
        <v>175</v>
      </c>
      <c r="AZ10" s="11">
        <v>262676</v>
      </c>
      <c r="BA10" s="11">
        <f>MAX(DITE_DICIEMBRE_2025[[#This Row],[1]:[31]])</f>
        <v>469752</v>
      </c>
      <c r="BB10" s="17">
        <f>DITE_DICIEMBRE_2025[[#This Row],[RECUPERO SUPERVISOR]]/AZ10</f>
        <v>1.7883323942804064</v>
      </c>
      <c r="BC10" s="11" t="s">
        <v>6</v>
      </c>
      <c r="BD10" s="46">
        <v>11237.5</v>
      </c>
      <c r="BE10" s="46">
        <v>15037.5</v>
      </c>
      <c r="BF10" s="46">
        <v>23537.5</v>
      </c>
      <c r="BG10" s="46">
        <v>36212.5</v>
      </c>
      <c r="BH10" s="46">
        <v>54626</v>
      </c>
      <c r="BI10" s="46">
        <v>54626</v>
      </c>
      <c r="BJ10" s="46">
        <v>55056</v>
      </c>
      <c r="BK10" s="46">
        <v>55056</v>
      </c>
      <c r="BL10" s="46">
        <v>55056</v>
      </c>
      <c r="BM10" s="46">
        <v>62291</v>
      </c>
      <c r="BN10" s="46">
        <v>84338</v>
      </c>
      <c r="BO10" s="46">
        <v>108768</v>
      </c>
      <c r="BP10" s="46">
        <v>108768</v>
      </c>
      <c r="BQ10" s="46">
        <v>108768</v>
      </c>
      <c r="BR10" s="46">
        <v>168932.5</v>
      </c>
      <c r="BS10" s="46">
        <v>191104.5</v>
      </c>
      <c r="BT10" s="46">
        <v>225869.5</v>
      </c>
      <c r="BU10" s="46">
        <v>242951.5</v>
      </c>
      <c r="BV10" s="46">
        <v>271002</v>
      </c>
      <c r="BW10" s="46">
        <v>271402</v>
      </c>
      <c r="BX10" s="46">
        <v>271402</v>
      </c>
      <c r="BY10" s="46">
        <v>298837</v>
      </c>
      <c r="BZ10" s="46">
        <v>322434</v>
      </c>
      <c r="CA10" s="46">
        <v>322734</v>
      </c>
      <c r="CB10" s="46">
        <v>326325</v>
      </c>
      <c r="CC10" s="46">
        <v>361045</v>
      </c>
      <c r="CD10" s="46">
        <v>361045</v>
      </c>
      <c r="CE10" s="46">
        <v>361302</v>
      </c>
      <c r="CF10" s="46">
        <v>403422</v>
      </c>
      <c r="CG10" s="46">
        <v>424032</v>
      </c>
      <c r="CH10" s="46">
        <v>469752</v>
      </c>
      <c r="CI10" s="11" t="s">
        <v>203</v>
      </c>
    </row>
    <row r="11" spans="1:87" x14ac:dyDescent="0.25">
      <c r="A11" s="34" t="s">
        <v>4</v>
      </c>
      <c r="B11" s="34" t="s">
        <v>61</v>
      </c>
      <c r="C11" s="36">
        <f>VLOOKUP(D1_DICIEMBRE_2025[[#This Row],[SUPER]],DATA_DICIEMBRE_2025[[SUPERVISOR]:[META]],3,0)</f>
        <v>55500</v>
      </c>
      <c r="D11" s="35">
        <f>D1_DICIEMBRE_2025[[#This Row],[RECUPERO]]/D1_DICIEMBRE_2025[[#This Row],[META]]</f>
        <v>1.1292942342342343</v>
      </c>
      <c r="E11" s="35" t="s">
        <v>4</v>
      </c>
      <c r="F11" t="s">
        <v>61</v>
      </c>
      <c r="G11" s="3">
        <v>62675.83</v>
      </c>
      <c r="H11" t="s">
        <v>411</v>
      </c>
      <c r="I11" s="56">
        <v>44909</v>
      </c>
      <c r="J11" s="56" t="s">
        <v>501</v>
      </c>
      <c r="K11" s="56"/>
      <c r="L11" s="56"/>
      <c r="M11">
        <f>DATA_DICIEMBRE_2025[[#This Row],[RECUPERO]]/DATA_DICIEMBRE_2025[[#This Row],[META]]</f>
        <v>2.9866666666666668</v>
      </c>
      <c r="N11" s="5" t="str" cm="1">
        <f t="array" ref="N11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1" t="s">
        <v>7</v>
      </c>
      <c r="P11">
        <f>SUM(DATA_DICIEMBRE_2025[[#This Row],[1]:[31]])</f>
        <v>62720</v>
      </c>
      <c r="Q11">
        <v>21000</v>
      </c>
      <c r="R11" t="s">
        <v>58</v>
      </c>
      <c r="S11">
        <v>1575</v>
      </c>
      <c r="T11">
        <v>1575</v>
      </c>
      <c r="U11">
        <v>400</v>
      </c>
      <c r="V11">
        <v>800</v>
      </c>
      <c r="Y11">
        <v>400</v>
      </c>
      <c r="AG11">
        <v>3600</v>
      </c>
      <c r="AH11">
        <v>1730</v>
      </c>
      <c r="AI11">
        <v>10390</v>
      </c>
      <c r="AJ11">
        <v>4000</v>
      </c>
      <c r="AK11">
        <v>12150</v>
      </c>
      <c r="AN11">
        <v>3500</v>
      </c>
      <c r="AO11">
        <v>1000</v>
      </c>
      <c r="AR11">
        <v>7600</v>
      </c>
      <c r="AU11">
        <v>14000</v>
      </c>
      <c r="AX11" t="s">
        <v>175</v>
      </c>
      <c r="AZ11" s="11">
        <v>269196</v>
      </c>
      <c r="BA11" s="11">
        <f>MAX(DITE_DICIEMBRE_2025[[#This Row],[1]:[31]])</f>
        <v>426427.91000000003</v>
      </c>
      <c r="BB11" s="17">
        <f>DITE_DICIEMBRE_2025[[#This Row],[RECUPERO SUPERVISOR]]/AZ11</f>
        <v>1.5840796668598347</v>
      </c>
      <c r="BC11" s="11" t="s">
        <v>7</v>
      </c>
      <c r="BD11" s="46">
        <v>4685</v>
      </c>
      <c r="BE11" s="46">
        <v>13163</v>
      </c>
      <c r="BF11" s="46">
        <v>14975</v>
      </c>
      <c r="BG11" s="46">
        <v>24689</v>
      </c>
      <c r="BH11" s="46">
        <v>37412</v>
      </c>
      <c r="BI11" s="46">
        <v>39412</v>
      </c>
      <c r="BJ11" s="46">
        <v>39812</v>
      </c>
      <c r="BK11" s="46">
        <v>40012</v>
      </c>
      <c r="BL11" s="46">
        <v>40219</v>
      </c>
      <c r="BM11" s="46">
        <v>58969</v>
      </c>
      <c r="BN11" s="46">
        <v>78794</v>
      </c>
      <c r="BO11" s="46">
        <v>115244</v>
      </c>
      <c r="BP11" s="46">
        <v>123044</v>
      </c>
      <c r="BQ11" s="46">
        <v>123332</v>
      </c>
      <c r="BR11" s="46">
        <v>149414</v>
      </c>
      <c r="BS11" s="46">
        <v>157779</v>
      </c>
      <c r="BT11" s="46">
        <v>171889</v>
      </c>
      <c r="BU11" s="46">
        <v>191229</v>
      </c>
      <c r="BV11" s="46">
        <v>214729</v>
      </c>
      <c r="BW11" s="46">
        <v>218039</v>
      </c>
      <c r="BX11" s="46">
        <v>218039</v>
      </c>
      <c r="BY11" s="46">
        <v>256321</v>
      </c>
      <c r="BZ11" s="46">
        <v>283206</v>
      </c>
      <c r="CA11" s="46">
        <v>288756</v>
      </c>
      <c r="CB11" s="46">
        <v>288756</v>
      </c>
      <c r="CC11" s="46">
        <v>315725</v>
      </c>
      <c r="CD11" s="46">
        <v>316280</v>
      </c>
      <c r="CE11" s="46">
        <v>317080</v>
      </c>
      <c r="CF11" s="46">
        <v>358875.91000000003</v>
      </c>
      <c r="CG11" s="46">
        <v>391293.91000000003</v>
      </c>
      <c r="CH11" s="46">
        <v>426427.91000000003</v>
      </c>
      <c r="CI11" s="10" t="s">
        <v>175</v>
      </c>
    </row>
    <row r="12" spans="1:87" x14ac:dyDescent="0.25">
      <c r="A12" s="34" t="s">
        <v>6</v>
      </c>
      <c r="B12" s="34" t="s">
        <v>80</v>
      </c>
      <c r="C12" s="36">
        <f>VLOOKUP(D1_DICIEMBRE_2025[[#This Row],[SUPER]],DATA_DICIEMBRE_2025[[SUPERVISOR]:[META]],3,0)</f>
        <v>29000</v>
      </c>
      <c r="D12" s="35">
        <f>D1_DICIEMBRE_2025[[#This Row],[RECUPERO]]/D1_DICIEMBRE_2025[[#This Row],[META]]</f>
        <v>1.5548620689655173</v>
      </c>
      <c r="E12" s="35" t="s">
        <v>6</v>
      </c>
      <c r="F12" t="s">
        <v>80</v>
      </c>
      <c r="G12" s="3">
        <v>45091</v>
      </c>
      <c r="H12" t="s">
        <v>433</v>
      </c>
      <c r="I12" s="56">
        <v>45285</v>
      </c>
      <c r="J12" s="56" t="s">
        <v>501</v>
      </c>
      <c r="K12" s="56"/>
      <c r="L12" s="56"/>
      <c r="M12">
        <f>DATA_DICIEMBRE_2025[[#This Row],[RECUPERO]]/DATA_DICIEMBRE_2025[[#This Row],[META]]</f>
        <v>1.2935315315315314</v>
      </c>
      <c r="N12" s="5" t="str" cm="1">
        <f t="array" ref="N12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2" t="s">
        <v>4</v>
      </c>
      <c r="P12">
        <f>SUM(DATA_DICIEMBRE_2025[[#This Row],[1]:[31]])</f>
        <v>71791</v>
      </c>
      <c r="Q12">
        <v>55500</v>
      </c>
      <c r="R12" t="s">
        <v>60</v>
      </c>
      <c r="S12">
        <v>340</v>
      </c>
      <c r="T12">
        <v>330</v>
      </c>
      <c r="V12">
        <v>392</v>
      </c>
      <c r="W12">
        <v>600</v>
      </c>
      <c r="AB12">
        <v>1500</v>
      </c>
      <c r="AC12">
        <v>3000</v>
      </c>
      <c r="AG12">
        <v>4000</v>
      </c>
      <c r="AJ12">
        <v>600</v>
      </c>
      <c r="AK12">
        <v>1462</v>
      </c>
      <c r="AN12">
        <v>20000</v>
      </c>
      <c r="AO12">
        <v>1000</v>
      </c>
      <c r="AP12">
        <v>1500</v>
      </c>
      <c r="AR12">
        <v>15000</v>
      </c>
      <c r="AU12">
        <v>10150</v>
      </c>
      <c r="AV12">
        <v>6000</v>
      </c>
      <c r="AW12">
        <v>5917</v>
      </c>
      <c r="AX12" t="s">
        <v>159</v>
      </c>
      <c r="AZ12" s="11">
        <v>555813</v>
      </c>
      <c r="BA12" s="11">
        <f>MAX(DITE_DICIEMBRE_2025[[#This Row],[1]:[31]])</f>
        <v>611048.15</v>
      </c>
      <c r="BB12" s="17">
        <f>DITE_DICIEMBRE_2025[[#This Row],[RECUPERO SUPERVISOR]]/AZ12</f>
        <v>1.0993772185969022</v>
      </c>
      <c r="BC12" s="11" t="s">
        <v>4</v>
      </c>
      <c r="BD12" s="46">
        <v>4790</v>
      </c>
      <c r="BE12" s="46">
        <v>6170</v>
      </c>
      <c r="BF12" s="46">
        <v>19950</v>
      </c>
      <c r="BG12" s="46">
        <v>32842</v>
      </c>
      <c r="BH12" s="46">
        <v>48330.83</v>
      </c>
      <c r="BI12" s="46">
        <v>48330.83</v>
      </c>
      <c r="BJ12" s="46">
        <v>51480.83</v>
      </c>
      <c r="BK12" s="46">
        <v>51480.83</v>
      </c>
      <c r="BL12" s="46">
        <v>51480.83</v>
      </c>
      <c r="BM12" s="46">
        <v>70742.83</v>
      </c>
      <c r="BN12" s="46">
        <v>86292.83</v>
      </c>
      <c r="BO12" s="46">
        <v>142392.83000000002</v>
      </c>
      <c r="BP12" s="46">
        <v>144392.83000000002</v>
      </c>
      <c r="BQ12" s="46">
        <v>144392.83000000002</v>
      </c>
      <c r="BR12" s="46">
        <v>203492.83000000002</v>
      </c>
      <c r="BS12" s="46">
        <v>233520.83000000002</v>
      </c>
      <c r="BT12" s="46">
        <v>259970.83000000002</v>
      </c>
      <c r="BU12" s="46">
        <v>306260.83</v>
      </c>
      <c r="BV12" s="46">
        <v>323114.41000000003</v>
      </c>
      <c r="BW12" s="46">
        <v>327114.41000000003</v>
      </c>
      <c r="BX12" s="46">
        <v>327114.41000000003</v>
      </c>
      <c r="BY12" s="46">
        <v>382225.41000000003</v>
      </c>
      <c r="BZ12" s="46">
        <v>415065.41000000003</v>
      </c>
      <c r="CA12" s="46">
        <v>427565.41000000003</v>
      </c>
      <c r="CB12" s="46">
        <v>427565.41000000003</v>
      </c>
      <c r="CC12" s="46">
        <v>480790.41000000003</v>
      </c>
      <c r="CD12" s="46">
        <v>483990.41000000003</v>
      </c>
      <c r="CE12" s="46">
        <v>483990.41000000003</v>
      </c>
      <c r="CF12" s="46">
        <v>524989.41</v>
      </c>
      <c r="CG12" s="46">
        <v>563701.15</v>
      </c>
      <c r="CH12" s="46">
        <v>611048.15</v>
      </c>
      <c r="CI12" s="11" t="s">
        <v>159</v>
      </c>
    </row>
    <row r="13" spans="1:87" x14ac:dyDescent="0.25">
      <c r="A13" s="34" t="s">
        <v>7</v>
      </c>
      <c r="B13" s="34" t="s">
        <v>40</v>
      </c>
      <c r="C13" s="36">
        <f>VLOOKUP(D1_DICIEMBRE_2025[[#This Row],[SUPER]],DATA_DICIEMBRE_2025[[SUPERVISOR]:[META]],3,0)</f>
        <v>21000</v>
      </c>
      <c r="D13" s="35">
        <f>D1_DICIEMBRE_2025[[#This Row],[RECUPERO]]/D1_DICIEMBRE_2025[[#This Row],[META]]</f>
        <v>1.1331904761904761</v>
      </c>
      <c r="E13" s="35" t="s">
        <v>7</v>
      </c>
      <c r="F13" t="s">
        <v>40</v>
      </c>
      <c r="G13" s="3">
        <v>23797</v>
      </c>
      <c r="H13" t="s">
        <v>424</v>
      </c>
      <c r="I13" s="56">
        <v>45429</v>
      </c>
      <c r="J13" s="56" t="s">
        <v>501</v>
      </c>
      <c r="K13" s="56"/>
      <c r="L13" s="56"/>
      <c r="M13">
        <f>DATA_DICIEMBRE_2025[[#This Row],[RECUPERO]]/DATA_DICIEMBRE_2025[[#This Row],[META]]</f>
        <v>1.2428732394366198</v>
      </c>
      <c r="N13" s="5" t="str" cm="1">
        <f t="array" ref="N13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3" t="s">
        <v>2</v>
      </c>
      <c r="P13">
        <f>SUM(DATA_DICIEMBRE_2025[[#This Row],[1]:[31]])</f>
        <v>44122</v>
      </c>
      <c r="Q13">
        <v>35500</v>
      </c>
      <c r="R13" t="s">
        <v>15</v>
      </c>
      <c r="S13" s="45">
        <v>3000</v>
      </c>
      <c r="T13">
        <v>621</v>
      </c>
      <c r="U13">
        <v>5000</v>
      </c>
      <c r="AB13">
        <v>301</v>
      </c>
      <c r="AE13">
        <v>5600</v>
      </c>
      <c r="AG13">
        <v>8400</v>
      </c>
      <c r="AI13">
        <v>200</v>
      </c>
      <c r="AJ13">
        <v>5000</v>
      </c>
      <c r="AO13">
        <v>2000</v>
      </c>
      <c r="AP13">
        <v>8000</v>
      </c>
      <c r="AR13">
        <v>2000</v>
      </c>
      <c r="AU13">
        <v>4000</v>
      </c>
      <c r="AX13" t="s">
        <v>204</v>
      </c>
      <c r="AZ13" s="11">
        <v>555813</v>
      </c>
      <c r="BA13" s="11">
        <f>MAX(DITE_DICIEMBRE_2025[[#This Row],[1]:[31]])</f>
        <v>619075.53</v>
      </c>
      <c r="BB13" s="17">
        <f>DITE_DICIEMBRE_2025[[#This Row],[RECUPERO SUPERVISOR]]/AZ13</f>
        <v>1.1138198099000924</v>
      </c>
      <c r="BC13" s="11" t="s">
        <v>3</v>
      </c>
      <c r="BD13" s="46">
        <v>12650</v>
      </c>
      <c r="BE13" s="46">
        <v>30014</v>
      </c>
      <c r="BF13" s="46">
        <v>33959</v>
      </c>
      <c r="BG13" s="46">
        <v>53337</v>
      </c>
      <c r="BH13" s="46">
        <v>70437</v>
      </c>
      <c r="BI13" s="46">
        <v>70437</v>
      </c>
      <c r="BJ13" s="46">
        <v>75437</v>
      </c>
      <c r="BK13" s="46">
        <v>75687</v>
      </c>
      <c r="BL13" s="46">
        <v>76267</v>
      </c>
      <c r="BM13" s="46">
        <v>118512</v>
      </c>
      <c r="BN13" s="46">
        <v>181857</v>
      </c>
      <c r="BO13" s="46">
        <v>200429</v>
      </c>
      <c r="BP13" s="46">
        <v>214429</v>
      </c>
      <c r="BQ13" s="46">
        <v>214429</v>
      </c>
      <c r="BR13" s="46">
        <v>252165</v>
      </c>
      <c r="BS13" s="46">
        <v>262325</v>
      </c>
      <c r="BT13" s="46">
        <v>287925</v>
      </c>
      <c r="BU13" s="46">
        <v>320690</v>
      </c>
      <c r="BV13" s="46">
        <v>384231</v>
      </c>
      <c r="BW13" s="46">
        <v>385031</v>
      </c>
      <c r="BX13" s="46">
        <v>385031</v>
      </c>
      <c r="BY13" s="46">
        <v>416451</v>
      </c>
      <c r="BZ13" s="46">
        <v>438933</v>
      </c>
      <c r="CA13" s="46">
        <v>452363</v>
      </c>
      <c r="CB13" s="46">
        <v>453513</v>
      </c>
      <c r="CC13" s="46">
        <v>471103</v>
      </c>
      <c r="CD13" s="46">
        <v>474278</v>
      </c>
      <c r="CE13" s="46">
        <v>474278</v>
      </c>
      <c r="CF13" s="46">
        <v>505983.03</v>
      </c>
      <c r="CG13" s="46">
        <v>550982.03</v>
      </c>
      <c r="CH13" s="46">
        <v>619075.53</v>
      </c>
      <c r="CI13" s="10" t="s">
        <v>159</v>
      </c>
    </row>
    <row r="14" spans="1:87" x14ac:dyDescent="0.25">
      <c r="A14" s="34" t="s">
        <v>6</v>
      </c>
      <c r="B14" s="34" t="s">
        <v>81</v>
      </c>
      <c r="C14" s="36">
        <f>VLOOKUP(D1_DICIEMBRE_2025[[#This Row],[SUPER]],DATA_DICIEMBRE_2025[[SUPERVISOR]:[META]],3,0)</f>
        <v>29000</v>
      </c>
      <c r="D14" s="35">
        <f>D1_DICIEMBRE_2025[[#This Row],[RECUPERO]]/D1_DICIEMBRE_2025[[#This Row],[META]]</f>
        <v>1.2545517241379309</v>
      </c>
      <c r="E14" s="35" t="s">
        <v>6</v>
      </c>
      <c r="F14" t="s">
        <v>81</v>
      </c>
      <c r="G14" s="3">
        <v>36382</v>
      </c>
      <c r="H14" t="s">
        <v>425</v>
      </c>
      <c r="I14" s="56">
        <v>45506</v>
      </c>
      <c r="J14" s="56" t="s">
        <v>501</v>
      </c>
      <c r="K14" s="56"/>
      <c r="L14" s="56"/>
      <c r="M14">
        <f>DATA_DICIEMBRE_2025[[#This Row],[RECUPERO]]/DATA_DICIEMBRE_2025[[#This Row],[META]]</f>
        <v>0.92719047619047623</v>
      </c>
      <c r="N14" s="5" t="str" cm="1">
        <f t="array" ref="N14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14" t="s">
        <v>7</v>
      </c>
      <c r="P14">
        <f>SUM(DATA_DICIEMBRE_2025[[#This Row],[1]:[31]])</f>
        <v>19471</v>
      </c>
      <c r="Q14">
        <v>21000</v>
      </c>
      <c r="R14" t="s">
        <v>174</v>
      </c>
      <c r="T14">
        <v>300</v>
      </c>
      <c r="U14">
        <v>200</v>
      </c>
      <c r="W14">
        <v>4900</v>
      </c>
      <c r="AB14">
        <v>2500</v>
      </c>
      <c r="AG14">
        <v>1700</v>
      </c>
      <c r="AI14">
        <v>279</v>
      </c>
      <c r="AK14">
        <v>850</v>
      </c>
      <c r="AN14">
        <v>1000</v>
      </c>
      <c r="AO14">
        <v>2056</v>
      </c>
      <c r="AR14">
        <v>1779</v>
      </c>
      <c r="AV14">
        <v>377</v>
      </c>
      <c r="AW14">
        <v>3530</v>
      </c>
      <c r="AX14" t="s">
        <v>175</v>
      </c>
    </row>
    <row r="15" spans="1:87" x14ac:dyDescent="0.25">
      <c r="A15" s="34" t="s">
        <v>4</v>
      </c>
      <c r="B15" s="34" t="s">
        <v>72</v>
      </c>
      <c r="C15" s="36">
        <f>VLOOKUP(D1_DICIEMBRE_2025[[#This Row],[SUPER]],DATA_DICIEMBRE_2025[[SUPERVISOR]:[META]],3,0)</f>
        <v>55500</v>
      </c>
      <c r="D15" s="35">
        <f>D1_DICIEMBRE_2025[[#This Row],[RECUPERO]]/D1_DICIEMBRE_2025[[#This Row],[META]]</f>
        <v>0.80151351351351352</v>
      </c>
      <c r="E15" s="35" t="s">
        <v>4</v>
      </c>
      <c r="F15" t="s">
        <v>72</v>
      </c>
      <c r="G15" s="3">
        <v>44484</v>
      </c>
      <c r="H15" t="s">
        <v>450</v>
      </c>
      <c r="I15" s="56">
        <v>45084</v>
      </c>
      <c r="J15" s="56" t="s">
        <v>501</v>
      </c>
      <c r="K15" s="56"/>
      <c r="L15" s="56"/>
      <c r="M15">
        <f>DATA_DICIEMBRE_2025[[#This Row],[RECUPERO]]/DATA_DICIEMBRE_2025[[#This Row],[META]]</f>
        <v>3.3010344827586207</v>
      </c>
      <c r="N15" s="5" t="str" cm="1">
        <f t="array" ref="N15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5" t="s">
        <v>6</v>
      </c>
      <c r="P15">
        <f>SUM(DATA_DICIEMBRE_2025[[#This Row],[1]:[31]])</f>
        <v>95730</v>
      </c>
      <c r="Q15">
        <v>29000</v>
      </c>
      <c r="R15" t="s">
        <v>19</v>
      </c>
      <c r="T15">
        <v>250</v>
      </c>
      <c r="U15">
        <v>3500</v>
      </c>
      <c r="V15">
        <v>6300</v>
      </c>
      <c r="AB15">
        <v>450</v>
      </c>
      <c r="AC15">
        <v>10600</v>
      </c>
      <c r="AD15">
        <v>4380</v>
      </c>
      <c r="AI15">
        <v>12500</v>
      </c>
      <c r="AK15">
        <v>5500</v>
      </c>
      <c r="AL15">
        <v>400</v>
      </c>
      <c r="AN15">
        <v>10000</v>
      </c>
      <c r="AO15">
        <v>11500</v>
      </c>
      <c r="AU15">
        <v>12800</v>
      </c>
      <c r="AV15">
        <v>8050</v>
      </c>
      <c r="AW15">
        <v>9500</v>
      </c>
      <c r="AX15" t="s">
        <v>203</v>
      </c>
    </row>
    <row r="16" spans="1:87" x14ac:dyDescent="0.25">
      <c r="A16" s="34" t="s">
        <v>3</v>
      </c>
      <c r="B16" s="34" t="s">
        <v>22</v>
      </c>
      <c r="C16" s="36">
        <f>VLOOKUP(D1_DICIEMBRE_2025[[#This Row],[SUPER]],DATA_DICIEMBRE_2025[[SUPERVISOR]:[META]],3,0)</f>
        <v>55500</v>
      </c>
      <c r="D16" s="35">
        <f>D1_DICIEMBRE_2025[[#This Row],[RECUPERO]]/D1_DICIEMBRE_2025[[#This Row],[META]]</f>
        <v>0.93945945945945941</v>
      </c>
      <c r="E16" s="35" t="s">
        <v>3</v>
      </c>
      <c r="F16" t="s">
        <v>22</v>
      </c>
      <c r="G16" s="3">
        <v>52140</v>
      </c>
      <c r="H16" t="s">
        <v>442</v>
      </c>
      <c r="I16" s="56">
        <v>45299</v>
      </c>
      <c r="J16" s="56" t="s">
        <v>501</v>
      </c>
      <c r="K16" s="56"/>
      <c r="L16" s="56"/>
      <c r="M16">
        <f>DATA_DICIEMBRE_2025[[#This Row],[RECUPERO]]/DATA_DICIEMBRE_2025[[#This Row],[META]]</f>
        <v>1.5370952380952381</v>
      </c>
      <c r="N16" s="5" t="str" cm="1">
        <f t="array" ref="N16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6" t="s">
        <v>7</v>
      </c>
      <c r="P16">
        <f>SUM(DATA_DICIEMBRE_2025[[#This Row],[1]:[31]])</f>
        <v>32279</v>
      </c>
      <c r="Q16">
        <v>21000</v>
      </c>
      <c r="R16" t="s">
        <v>41</v>
      </c>
      <c r="W16">
        <v>186</v>
      </c>
      <c r="AC16">
        <v>775</v>
      </c>
      <c r="AD16">
        <v>13000</v>
      </c>
      <c r="AF16">
        <v>288</v>
      </c>
      <c r="AG16">
        <v>1850</v>
      </c>
      <c r="AK16">
        <v>3330</v>
      </c>
      <c r="AN16">
        <v>5100</v>
      </c>
      <c r="AR16">
        <v>5000</v>
      </c>
      <c r="AV16">
        <v>2150</v>
      </c>
      <c r="AW16">
        <v>600</v>
      </c>
      <c r="AX16" t="s">
        <v>175</v>
      </c>
      <c r="CG16" s="45"/>
    </row>
    <row r="17" spans="1:86" x14ac:dyDescent="0.25">
      <c r="A17" s="34" t="s">
        <v>3</v>
      </c>
      <c r="B17" s="34" t="s">
        <v>24</v>
      </c>
      <c r="C17" s="36">
        <f>VLOOKUP(D1_DICIEMBRE_2025[[#This Row],[SUPER]],DATA_DICIEMBRE_2025[[SUPERVISOR]:[META]],3,0)</f>
        <v>55500</v>
      </c>
      <c r="D17" s="35">
        <f>D1_DICIEMBRE_2025[[#This Row],[RECUPERO]]/D1_DICIEMBRE_2025[[#This Row],[META]]</f>
        <v>1.3207207207207208</v>
      </c>
      <c r="E17" s="35" t="s">
        <v>3</v>
      </c>
      <c r="F17" t="s">
        <v>24</v>
      </c>
      <c r="G17" s="3">
        <v>73300</v>
      </c>
      <c r="H17" t="s">
        <v>434</v>
      </c>
      <c r="I17" s="56">
        <v>45334</v>
      </c>
      <c r="J17" s="56" t="s">
        <v>501</v>
      </c>
      <c r="K17" s="56"/>
      <c r="L17" s="56"/>
      <c r="M17">
        <f>DATA_DICIEMBRE_2025[[#This Row],[RECUPERO]]/DATA_DICIEMBRE_2025[[#This Row],[META]]</f>
        <v>1.1292942342342343</v>
      </c>
      <c r="N17" s="5" t="str" cm="1">
        <f t="array" ref="N17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7" t="s">
        <v>4</v>
      </c>
      <c r="P17">
        <f>SUM(DATA_DICIEMBRE_2025[[#This Row],[1]:[31]])</f>
        <v>62675.83</v>
      </c>
      <c r="Q17">
        <v>55500</v>
      </c>
      <c r="R17" t="s">
        <v>61</v>
      </c>
      <c r="S17">
        <v>400</v>
      </c>
      <c r="W17">
        <v>256.83</v>
      </c>
      <c r="AB17">
        <v>7000</v>
      </c>
      <c r="AG17">
        <v>600</v>
      </c>
      <c r="AH17">
        <v>1300</v>
      </c>
      <c r="AI17">
        <v>16600</v>
      </c>
      <c r="AN17">
        <v>5219</v>
      </c>
      <c r="AO17">
        <v>6000</v>
      </c>
      <c r="AP17">
        <v>1800</v>
      </c>
      <c r="AU17">
        <v>6500</v>
      </c>
      <c r="AV17">
        <v>7000</v>
      </c>
      <c r="AW17">
        <v>10000</v>
      </c>
      <c r="AX17" t="s">
        <v>159</v>
      </c>
      <c r="CA17" s="45"/>
      <c r="CF17" s="45"/>
      <c r="CG17" s="45"/>
      <c r="CH17" s="45"/>
    </row>
    <row r="18" spans="1:86" x14ac:dyDescent="0.25">
      <c r="A18" s="34" t="s">
        <v>7</v>
      </c>
      <c r="B18" s="34" t="s">
        <v>12</v>
      </c>
      <c r="C18" s="36">
        <f>VLOOKUP(D1_DICIEMBRE_2025[[#This Row],[SUPER]],DATA_DICIEMBRE_2025[[SUPERVISOR]:[META]],3,0)</f>
        <v>21000</v>
      </c>
      <c r="D18" s="35">
        <f>D1_DICIEMBRE_2025[[#This Row],[RECUPERO]]/D1_DICIEMBRE_2025[[#This Row],[META]]</f>
        <v>1.31</v>
      </c>
      <c r="E18" s="35" t="s">
        <v>7</v>
      </c>
      <c r="F18" t="s">
        <v>12</v>
      </c>
      <c r="G18" s="3">
        <v>27510</v>
      </c>
      <c r="H18" t="s">
        <v>389</v>
      </c>
      <c r="I18" s="56">
        <v>44870</v>
      </c>
      <c r="J18" s="56" t="s">
        <v>501</v>
      </c>
      <c r="K18" s="56"/>
      <c r="L18" s="56"/>
      <c r="M18">
        <f>DATA_DICIEMBRE_2025[[#This Row],[RECUPERO]]/DATA_DICIEMBRE_2025[[#This Row],[META]]</f>
        <v>1.5548620689655173</v>
      </c>
      <c r="N18" s="5" t="str" cm="1">
        <f t="array" ref="N18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8" t="s">
        <v>6</v>
      </c>
      <c r="P18">
        <f>SUM(DATA_DICIEMBRE_2025[[#This Row],[1]:[31]])</f>
        <v>45091</v>
      </c>
      <c r="Q18">
        <v>29000</v>
      </c>
      <c r="R18" t="s">
        <v>80</v>
      </c>
      <c r="T18">
        <v>150</v>
      </c>
      <c r="W18">
        <v>5070</v>
      </c>
      <c r="AG18">
        <v>13350</v>
      </c>
      <c r="AH18">
        <v>4500</v>
      </c>
      <c r="AJ18">
        <v>2300</v>
      </c>
      <c r="AN18">
        <v>13350</v>
      </c>
      <c r="AO18">
        <v>331</v>
      </c>
      <c r="AR18">
        <v>5000</v>
      </c>
      <c r="AU18">
        <v>1040</v>
      </c>
      <c r="AX18" t="s">
        <v>203</v>
      </c>
      <c r="BD18" s="45"/>
      <c r="CA18" s="45"/>
      <c r="CB18" s="45"/>
      <c r="CF18" s="45"/>
      <c r="CG18" s="47"/>
      <c r="CH18" s="45"/>
    </row>
    <row r="19" spans="1:86" x14ac:dyDescent="0.25">
      <c r="A19" s="34" t="s">
        <v>7</v>
      </c>
      <c r="B19" s="34" t="s">
        <v>51</v>
      </c>
      <c r="C19" s="36">
        <f>VLOOKUP(D1_DICIEMBRE_2025[[#This Row],[SUPER]],DATA_DICIEMBRE_2025[[SUPERVISOR]:[META]],3,0)</f>
        <v>21000</v>
      </c>
      <c r="D19" s="35">
        <f>D1_DICIEMBRE_2025[[#This Row],[RECUPERO]]/D1_DICIEMBRE_2025[[#This Row],[META]]</f>
        <v>1.0704761904761906</v>
      </c>
      <c r="E19" s="35" t="s">
        <v>7</v>
      </c>
      <c r="F19" t="s">
        <v>51</v>
      </c>
      <c r="G19" s="3">
        <v>22480</v>
      </c>
      <c r="H19" t="s">
        <v>413</v>
      </c>
      <c r="I19" s="56">
        <v>45674</v>
      </c>
      <c r="J19" s="56" t="s">
        <v>501</v>
      </c>
      <c r="K19" s="56"/>
      <c r="L19" s="56"/>
      <c r="M19">
        <f>DATA_DICIEMBRE_2025[[#This Row],[RECUPERO]]/DATA_DICIEMBRE_2025[[#This Row],[META]]</f>
        <v>1.1331904761904761</v>
      </c>
      <c r="N19" s="5" t="str" cm="1">
        <f t="array" ref="N19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19" t="s">
        <v>7</v>
      </c>
      <c r="P19">
        <f>SUM(DATA_DICIEMBRE_2025[[#This Row],[1]:[31]])</f>
        <v>23797</v>
      </c>
      <c r="Q19">
        <v>21000</v>
      </c>
      <c r="R19" t="s">
        <v>40</v>
      </c>
      <c r="S19">
        <v>1000</v>
      </c>
      <c r="T19">
        <v>100</v>
      </c>
      <c r="U19" s="45">
        <v>1060</v>
      </c>
      <c r="W19">
        <v>1000</v>
      </c>
      <c r="AG19">
        <v>4000</v>
      </c>
      <c r="AL19">
        <v>600</v>
      </c>
      <c r="AN19">
        <v>7500</v>
      </c>
      <c r="AS19">
        <v>355</v>
      </c>
      <c r="AU19">
        <v>250</v>
      </c>
      <c r="AV19">
        <v>700</v>
      </c>
      <c r="AW19">
        <v>7232</v>
      </c>
      <c r="AX19" t="s">
        <v>175</v>
      </c>
      <c r="BD19" s="45"/>
      <c r="CA19" s="45"/>
      <c r="CB19" s="45"/>
      <c r="CF19" s="47"/>
      <c r="CG19" s="47"/>
      <c r="CH19" s="47"/>
    </row>
    <row r="20" spans="1:86" x14ac:dyDescent="0.25">
      <c r="A20" s="34" t="s">
        <v>3</v>
      </c>
      <c r="B20" s="34" t="s">
        <v>13</v>
      </c>
      <c r="C20" s="36">
        <f>VLOOKUP(D1_DICIEMBRE_2025[[#This Row],[SUPER]],DATA_DICIEMBRE_2025[[SUPERVISOR]:[META]],3,0)</f>
        <v>55500</v>
      </c>
      <c r="D20" s="35">
        <f>D1_DICIEMBRE_2025[[#This Row],[RECUPERO]]/D1_DICIEMBRE_2025[[#This Row],[META]]</f>
        <v>1.2782432432432433</v>
      </c>
      <c r="E20" s="35" t="s">
        <v>3</v>
      </c>
      <c r="F20" t="s">
        <v>13</v>
      </c>
      <c r="G20" s="3">
        <v>70942.5</v>
      </c>
      <c r="H20" t="s">
        <v>382</v>
      </c>
      <c r="I20" s="56">
        <v>44811</v>
      </c>
      <c r="J20" s="56" t="s">
        <v>501</v>
      </c>
      <c r="K20" s="56"/>
      <c r="L20" s="56"/>
      <c r="M20">
        <f>DATA_DICIEMBRE_2025[[#This Row],[RECUPERO]]/DATA_DICIEMBRE_2025[[#This Row],[META]]</f>
        <v>1.2545517241379309</v>
      </c>
      <c r="N20" s="5" t="str" cm="1">
        <f t="array" ref="N20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0" t="s">
        <v>6</v>
      </c>
      <c r="P20">
        <f>SUM(DATA_DICIEMBRE_2025[[#This Row],[1]:[31]])</f>
        <v>36382</v>
      </c>
      <c r="Q20">
        <v>29000</v>
      </c>
      <c r="R20" t="s">
        <v>81</v>
      </c>
      <c r="W20">
        <v>1680</v>
      </c>
      <c r="AH20">
        <v>9500</v>
      </c>
      <c r="AI20">
        <v>8500</v>
      </c>
      <c r="AK20">
        <v>1000</v>
      </c>
      <c r="AN20">
        <v>845</v>
      </c>
      <c r="AO20">
        <v>3866</v>
      </c>
      <c r="AQ20">
        <v>3591</v>
      </c>
      <c r="AR20">
        <v>7000</v>
      </c>
      <c r="AW20">
        <v>400</v>
      </c>
      <c r="AX20" t="s">
        <v>203</v>
      </c>
      <c r="BD20" s="47"/>
      <c r="CA20" s="45"/>
      <c r="CB20" s="47"/>
      <c r="CE20" s="45"/>
      <c r="CF20" s="47"/>
      <c r="CG20" s="45"/>
      <c r="CH20" s="47"/>
    </row>
    <row r="21" spans="1:86" x14ac:dyDescent="0.25">
      <c r="A21" s="34" t="s">
        <v>3</v>
      </c>
      <c r="B21" s="34" t="s">
        <v>32</v>
      </c>
      <c r="C21" s="36">
        <f>VLOOKUP(D1_DICIEMBRE_2025[[#This Row],[SUPER]],DATA_DICIEMBRE_2025[[SUPERVISOR]:[META]],3,0)</f>
        <v>55500</v>
      </c>
      <c r="D21" s="35">
        <f>D1_DICIEMBRE_2025[[#This Row],[RECUPERO]]/D1_DICIEMBRE_2025[[#This Row],[META]]</f>
        <v>1.094990990990991</v>
      </c>
      <c r="E21" s="35" t="s">
        <v>3</v>
      </c>
      <c r="F21" t="s">
        <v>32</v>
      </c>
      <c r="G21" s="3">
        <v>60772</v>
      </c>
      <c r="H21" t="s">
        <v>390</v>
      </c>
      <c r="I21" s="56">
        <v>45530</v>
      </c>
      <c r="J21" s="56" t="s">
        <v>501</v>
      </c>
      <c r="K21" s="56"/>
      <c r="L21" s="56"/>
      <c r="M21">
        <f>DATA_DICIEMBRE_2025[[#This Row],[RECUPERO]]/DATA_DICIEMBRE_2025[[#This Row],[META]]</f>
        <v>0.80151351351351352</v>
      </c>
      <c r="N21" s="5" t="str" cm="1">
        <f t="array" ref="N21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21" t="s">
        <v>4</v>
      </c>
      <c r="P21">
        <f>SUM(DATA_DICIEMBRE_2025[[#This Row],[1]:[31]])</f>
        <v>44484</v>
      </c>
      <c r="Q21">
        <v>55500</v>
      </c>
      <c r="R21" t="s">
        <v>72</v>
      </c>
      <c r="V21">
        <v>5000</v>
      </c>
      <c r="W21">
        <v>362</v>
      </c>
      <c r="AB21">
        <v>362</v>
      </c>
      <c r="AC21">
        <v>5500</v>
      </c>
      <c r="AD21">
        <v>1500</v>
      </c>
      <c r="AG21">
        <v>6550</v>
      </c>
      <c r="AH21">
        <v>4900</v>
      </c>
      <c r="AI21">
        <v>300</v>
      </c>
      <c r="AK21">
        <v>2500</v>
      </c>
      <c r="AN21">
        <v>5300</v>
      </c>
      <c r="AO21">
        <v>2000</v>
      </c>
      <c r="AR21">
        <v>660</v>
      </c>
      <c r="AV21">
        <v>1850</v>
      </c>
      <c r="AW21">
        <v>7700</v>
      </c>
      <c r="AX21" t="s">
        <v>159</v>
      </c>
      <c r="BD21" s="47"/>
      <c r="CA21" s="45"/>
      <c r="CB21" s="47"/>
      <c r="CE21" s="45"/>
      <c r="CF21" s="45"/>
      <c r="CH21" s="45"/>
    </row>
    <row r="22" spans="1:86" x14ac:dyDescent="0.25">
      <c r="A22" s="34" t="s">
        <v>2</v>
      </c>
      <c r="B22" s="34" t="s">
        <v>42</v>
      </c>
      <c r="C22" s="36">
        <f>VLOOKUP(D1_DICIEMBRE_2025[[#This Row],[SUPER]],DATA_DICIEMBRE_2025[[SUPERVISOR]:[META]],3,0)</f>
        <v>35500</v>
      </c>
      <c r="D22" s="35">
        <f>D1_DICIEMBRE_2025[[#This Row],[RECUPERO]]/D1_DICIEMBRE_2025[[#This Row],[META]]</f>
        <v>1.5629859154929577</v>
      </c>
      <c r="E22" s="35" t="s">
        <v>2</v>
      </c>
      <c r="F22" t="s">
        <v>42</v>
      </c>
      <c r="G22" s="3">
        <v>55486</v>
      </c>
      <c r="H22" t="s">
        <v>415</v>
      </c>
      <c r="I22" s="56">
        <v>45399</v>
      </c>
      <c r="J22" s="56" t="s">
        <v>501</v>
      </c>
      <c r="K22" s="56"/>
      <c r="L22" s="56"/>
      <c r="M22">
        <f>DATA_DICIEMBRE_2025[[#This Row],[RECUPERO]]/DATA_DICIEMBRE_2025[[#This Row],[META]]</f>
        <v>0.93945945945945941</v>
      </c>
      <c r="N22" s="5" t="str" cm="1">
        <f t="array" ref="N22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22" t="s">
        <v>3</v>
      </c>
      <c r="P22">
        <f>SUM(DATA_DICIEMBRE_2025[[#This Row],[1]:[31]])</f>
        <v>52140</v>
      </c>
      <c r="Q22">
        <v>55500</v>
      </c>
      <c r="R22" t="s">
        <v>22</v>
      </c>
      <c r="T22">
        <v>636</v>
      </c>
      <c r="V22">
        <v>290</v>
      </c>
      <c r="W22">
        <v>2000</v>
      </c>
      <c r="AB22">
        <v>4247</v>
      </c>
      <c r="AG22">
        <v>7020</v>
      </c>
      <c r="AH22">
        <v>1027</v>
      </c>
      <c r="AI22">
        <v>1000</v>
      </c>
      <c r="AJ22">
        <v>13250</v>
      </c>
      <c r="AK22">
        <v>2500</v>
      </c>
      <c r="AL22">
        <v>800</v>
      </c>
      <c r="AN22">
        <v>4780</v>
      </c>
      <c r="AP22">
        <v>1500</v>
      </c>
      <c r="AU22">
        <v>12184</v>
      </c>
      <c r="AV22">
        <v>274</v>
      </c>
      <c r="AW22">
        <v>632</v>
      </c>
      <c r="AX22" t="s">
        <v>159</v>
      </c>
      <c r="BD22" s="45"/>
      <c r="CA22" s="47"/>
      <c r="CB22" s="45"/>
      <c r="CE22" s="45"/>
    </row>
    <row r="23" spans="1:86" x14ac:dyDescent="0.25">
      <c r="A23" s="34" t="s">
        <v>7</v>
      </c>
      <c r="B23" s="34" t="s">
        <v>114</v>
      </c>
      <c r="C23" s="36">
        <f>VLOOKUP(D1_DICIEMBRE_2025[[#This Row],[SUPER]],DATA_DICIEMBRE_2025[[SUPERVISOR]:[META]],3,0)</f>
        <v>21000</v>
      </c>
      <c r="D23" s="35">
        <f>D1_DICIEMBRE_2025[[#This Row],[RECUPERO]]/D1_DICIEMBRE_2025[[#This Row],[META]]</f>
        <v>0.54861904761904767</v>
      </c>
      <c r="E23" s="35" t="s">
        <v>7</v>
      </c>
      <c r="F23" t="s">
        <v>114</v>
      </c>
      <c r="G23" s="3">
        <v>11521</v>
      </c>
      <c r="H23" t="s">
        <v>490</v>
      </c>
      <c r="I23" s="56">
        <v>45917</v>
      </c>
      <c r="J23" s="56" t="s">
        <v>501</v>
      </c>
      <c r="K23" s="56"/>
      <c r="L23" s="56"/>
      <c r="M23">
        <f>DATA_DICIEMBRE_2025[[#This Row],[RECUPERO]]/DATA_DICIEMBRE_2025[[#This Row],[META]]</f>
        <v>1.3207207207207208</v>
      </c>
      <c r="N23" s="5" t="str" cm="1">
        <f t="array" ref="N23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3" t="s">
        <v>3</v>
      </c>
      <c r="P23">
        <f>SUM(DATA_DICIEMBRE_2025[[#This Row],[1]:[31]])</f>
        <v>73300</v>
      </c>
      <c r="Q23">
        <v>55500</v>
      </c>
      <c r="R23" t="s">
        <v>24</v>
      </c>
      <c r="V23">
        <v>2450</v>
      </c>
      <c r="W23">
        <v>3100</v>
      </c>
      <c r="AB23">
        <v>5300</v>
      </c>
      <c r="AD23">
        <v>1310</v>
      </c>
      <c r="AG23">
        <v>4775</v>
      </c>
      <c r="AI23">
        <v>1600</v>
      </c>
      <c r="AJ23">
        <v>1500</v>
      </c>
      <c r="AK23">
        <v>4140</v>
      </c>
      <c r="AN23">
        <v>10000</v>
      </c>
      <c r="AO23">
        <v>2000</v>
      </c>
      <c r="AP23">
        <v>800</v>
      </c>
      <c r="AR23">
        <v>1300</v>
      </c>
      <c r="AS23">
        <v>775</v>
      </c>
      <c r="AU23">
        <v>3800</v>
      </c>
      <c r="AV23">
        <v>25450</v>
      </c>
      <c r="AW23">
        <v>5000</v>
      </c>
      <c r="AX23" t="s">
        <v>159</v>
      </c>
      <c r="CA23" s="45"/>
    </row>
    <row r="24" spans="1:86" x14ac:dyDescent="0.25">
      <c r="A24" s="34" t="s">
        <v>4</v>
      </c>
      <c r="B24" s="34" t="s">
        <v>57</v>
      </c>
      <c r="C24" s="36">
        <f>VLOOKUP(D1_DICIEMBRE_2025[[#This Row],[SUPER]],DATA_DICIEMBRE_2025[[SUPERVISOR]:[META]],3,0)</f>
        <v>55500</v>
      </c>
      <c r="D24" s="35">
        <f>D1_DICIEMBRE_2025[[#This Row],[RECUPERO]]/D1_DICIEMBRE_2025[[#This Row],[META]]</f>
        <v>0.11711711711711711</v>
      </c>
      <c r="E24" s="35" t="s">
        <v>4</v>
      </c>
      <c r="F24" t="s">
        <v>57</v>
      </c>
      <c r="G24" s="3">
        <v>6500</v>
      </c>
      <c r="H24" t="s">
        <v>443</v>
      </c>
      <c r="I24" s="56">
        <v>45590</v>
      </c>
      <c r="J24" s="56" t="s">
        <v>501</v>
      </c>
      <c r="K24" s="56"/>
      <c r="L24" s="56"/>
      <c r="M24">
        <f>DATA_DICIEMBRE_2025[[#This Row],[RECUPERO]]/DATA_DICIEMBRE_2025[[#This Row],[META]]</f>
        <v>1.31</v>
      </c>
      <c r="N24" s="5" t="str" cm="1">
        <f t="array" ref="N24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4" t="s">
        <v>7</v>
      </c>
      <c r="P24">
        <f>SUM(DATA_DICIEMBRE_2025[[#This Row],[1]:[31]])</f>
        <v>27510</v>
      </c>
      <c r="Q24">
        <v>21000</v>
      </c>
      <c r="R24" t="s">
        <v>12</v>
      </c>
      <c r="S24">
        <v>310</v>
      </c>
      <c r="T24">
        <v>70</v>
      </c>
      <c r="W24">
        <v>3300</v>
      </c>
      <c r="AB24">
        <v>650</v>
      </c>
      <c r="AC24">
        <v>3000</v>
      </c>
      <c r="AD24">
        <v>2200</v>
      </c>
      <c r="AG24">
        <v>1200</v>
      </c>
      <c r="AK24">
        <v>1100</v>
      </c>
      <c r="AL24">
        <v>550</v>
      </c>
      <c r="AN24">
        <v>750</v>
      </c>
      <c r="AO24">
        <v>1950</v>
      </c>
      <c r="AP24">
        <v>500</v>
      </c>
      <c r="AU24">
        <v>6930</v>
      </c>
      <c r="AV24">
        <v>2500</v>
      </c>
      <c r="AW24">
        <v>2500</v>
      </c>
      <c r="AX24" t="s">
        <v>175</v>
      </c>
      <c r="CE24" s="45"/>
    </row>
    <row r="25" spans="1:86" x14ac:dyDescent="0.25">
      <c r="A25" s="34" t="s">
        <v>7</v>
      </c>
      <c r="B25" s="34" t="s">
        <v>49</v>
      </c>
      <c r="C25" s="36">
        <f>VLOOKUP(D1_DICIEMBRE_2025[[#This Row],[SUPER]],DATA_DICIEMBRE_2025[[SUPERVISOR]:[META]],3,0)</f>
        <v>21000</v>
      </c>
      <c r="D25" s="35">
        <f>D1_DICIEMBRE_2025[[#This Row],[RECUPERO]]/D1_DICIEMBRE_2025[[#This Row],[META]]</f>
        <v>2.255095238095238</v>
      </c>
      <c r="E25" s="35" t="s">
        <v>7</v>
      </c>
      <c r="F25" t="s">
        <v>49</v>
      </c>
      <c r="G25" s="3">
        <v>47357</v>
      </c>
      <c r="H25" t="s">
        <v>436</v>
      </c>
      <c r="I25" s="56">
        <v>42814</v>
      </c>
      <c r="J25" s="56" t="s">
        <v>501</v>
      </c>
      <c r="K25" s="56"/>
      <c r="L25" s="56"/>
      <c r="M25">
        <f>DATA_DICIEMBRE_2025[[#This Row],[RECUPERO]]/DATA_DICIEMBRE_2025[[#This Row],[META]]</f>
        <v>1.0704761904761906</v>
      </c>
      <c r="N25" s="5" t="str" cm="1">
        <f t="array" ref="N25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5" t="s">
        <v>7</v>
      </c>
      <c r="P25">
        <f>SUM(DATA_DICIEMBRE_2025[[#This Row],[1]:[31]])</f>
        <v>22480</v>
      </c>
      <c r="Q25">
        <v>21000</v>
      </c>
      <c r="R25" t="s">
        <v>51</v>
      </c>
      <c r="S25">
        <v>90</v>
      </c>
      <c r="V25">
        <v>830</v>
      </c>
      <c r="W25">
        <v>2000</v>
      </c>
      <c r="AC25">
        <v>2000</v>
      </c>
      <c r="AE25">
        <v>300</v>
      </c>
      <c r="AG25">
        <v>1500</v>
      </c>
      <c r="AJ25">
        <v>1500</v>
      </c>
      <c r="AK25">
        <v>500</v>
      </c>
      <c r="AL25">
        <v>1500</v>
      </c>
      <c r="AN25">
        <v>4000</v>
      </c>
      <c r="AO25">
        <v>1500</v>
      </c>
      <c r="AP25">
        <v>3400</v>
      </c>
      <c r="AU25">
        <v>100</v>
      </c>
      <c r="AW25">
        <v>3260</v>
      </c>
      <c r="AX25" t="s">
        <v>175</v>
      </c>
    </row>
    <row r="26" spans="1:86" x14ac:dyDescent="0.25">
      <c r="A26" s="34" t="s">
        <v>6</v>
      </c>
      <c r="B26" s="34" t="s">
        <v>26</v>
      </c>
      <c r="C26" s="36">
        <f>VLOOKUP(D1_DICIEMBRE_2025[[#This Row],[SUPER]],DATA_DICIEMBRE_2025[[SUPERVISOR]:[META]],3,0)</f>
        <v>29000</v>
      </c>
      <c r="D26" s="35">
        <f>D1_DICIEMBRE_2025[[#This Row],[RECUPERO]]/D1_DICIEMBRE_2025[[#This Row],[META]]</f>
        <v>2.3176896551724138</v>
      </c>
      <c r="E26" s="35" t="s">
        <v>6</v>
      </c>
      <c r="F26" t="s">
        <v>26</v>
      </c>
      <c r="G26" s="3">
        <v>67213</v>
      </c>
      <c r="H26" t="s">
        <v>391</v>
      </c>
      <c r="I26" s="56">
        <v>44259</v>
      </c>
      <c r="J26" s="56" t="s">
        <v>501</v>
      </c>
      <c r="K26" s="56"/>
      <c r="L26" s="56"/>
      <c r="M26">
        <f>DATA_DICIEMBRE_2025[[#This Row],[RECUPERO]]/DATA_DICIEMBRE_2025[[#This Row],[META]]</f>
        <v>1.2782432432432433</v>
      </c>
      <c r="N26" s="5" t="str" cm="1">
        <f t="array" ref="N26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6" t="s">
        <v>3</v>
      </c>
      <c r="P26">
        <f>SUM(DATA_DICIEMBRE_2025[[#This Row],[1]:[31]])</f>
        <v>70942.5</v>
      </c>
      <c r="Q26">
        <v>55500</v>
      </c>
      <c r="R26" t="s">
        <v>13</v>
      </c>
      <c r="S26">
        <v>5450</v>
      </c>
      <c r="U26">
        <v>3200</v>
      </c>
      <c r="V26">
        <v>1170</v>
      </c>
      <c r="AC26">
        <v>11000</v>
      </c>
      <c r="AE26">
        <v>6500</v>
      </c>
      <c r="AG26">
        <v>6000</v>
      </c>
      <c r="AH26">
        <v>700</v>
      </c>
      <c r="AJ26">
        <v>8700</v>
      </c>
      <c r="AK26">
        <v>4500</v>
      </c>
      <c r="AN26">
        <v>3800</v>
      </c>
      <c r="AP26">
        <v>2300</v>
      </c>
      <c r="AR26">
        <v>5150</v>
      </c>
      <c r="AU26">
        <v>5000</v>
      </c>
      <c r="AV26">
        <v>7000</v>
      </c>
      <c r="AW26">
        <v>472.5</v>
      </c>
      <c r="AX26" t="s">
        <v>159</v>
      </c>
    </row>
    <row r="27" spans="1:86" x14ac:dyDescent="0.25">
      <c r="A27" s="34" t="s">
        <v>4</v>
      </c>
      <c r="B27" s="34" t="s">
        <v>122</v>
      </c>
      <c r="C27" s="36">
        <f>VLOOKUP(D1_DICIEMBRE_2025[[#This Row],[SUPER]],DATA_DICIEMBRE_2025[[SUPERVISOR]:[META]],3,0)</f>
        <v>55500</v>
      </c>
      <c r="D27" s="35">
        <f>D1_DICIEMBRE_2025[[#This Row],[RECUPERO]]/D1_DICIEMBRE_2025[[#This Row],[META]]</f>
        <v>0.95873873873873872</v>
      </c>
      <c r="E27" s="35" t="s">
        <v>4</v>
      </c>
      <c r="F27" t="s">
        <v>122</v>
      </c>
      <c r="G27" s="3">
        <v>53210</v>
      </c>
      <c r="H27" t="s">
        <v>426</v>
      </c>
      <c r="I27" s="56">
        <v>45082</v>
      </c>
      <c r="J27" s="56" t="s">
        <v>501</v>
      </c>
      <c r="K27" s="56"/>
      <c r="L27" s="56"/>
      <c r="M27">
        <f>DATA_DICIEMBRE_2025[[#This Row],[RECUPERO]]/DATA_DICIEMBRE_2025[[#This Row],[META]]</f>
        <v>1.094990990990991</v>
      </c>
      <c r="N27" s="5" t="str" cm="1">
        <f t="array" ref="N27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7" t="s">
        <v>3</v>
      </c>
      <c r="P27">
        <f>SUM(DATA_DICIEMBRE_2025[[#This Row],[1]:[31]])</f>
        <v>60772</v>
      </c>
      <c r="Q27">
        <v>55500</v>
      </c>
      <c r="R27" t="s">
        <v>32</v>
      </c>
      <c r="S27">
        <v>350</v>
      </c>
      <c r="T27">
        <v>815</v>
      </c>
      <c r="V27">
        <v>750</v>
      </c>
      <c r="Y27">
        <v>4000</v>
      </c>
      <c r="AC27">
        <v>15200</v>
      </c>
      <c r="AD27">
        <v>512</v>
      </c>
      <c r="AG27">
        <v>710</v>
      </c>
      <c r="AH27">
        <v>2000</v>
      </c>
      <c r="AI27">
        <v>13200</v>
      </c>
      <c r="AJ27">
        <v>500</v>
      </c>
      <c r="AK27">
        <v>375</v>
      </c>
      <c r="AN27">
        <v>2020</v>
      </c>
      <c r="AO27">
        <v>6000</v>
      </c>
      <c r="AP27">
        <v>2030</v>
      </c>
      <c r="AR27">
        <v>4240</v>
      </c>
      <c r="AU27">
        <v>1650</v>
      </c>
      <c r="AV27">
        <v>3300</v>
      </c>
      <c r="AW27">
        <v>3120</v>
      </c>
      <c r="AX27" t="s">
        <v>159</v>
      </c>
    </row>
    <row r="28" spans="1:86" x14ac:dyDescent="0.25">
      <c r="A28" s="34" t="s">
        <v>3</v>
      </c>
      <c r="B28" s="34" t="s">
        <v>96</v>
      </c>
      <c r="C28" s="36">
        <f>VLOOKUP(D1_DICIEMBRE_2025[[#This Row],[SUPER]],DATA_DICIEMBRE_2025[[SUPERVISOR]:[META]],3,0)</f>
        <v>55500</v>
      </c>
      <c r="D28" s="35">
        <f>D1_DICIEMBRE_2025[[#This Row],[RECUPERO]]/D1_DICIEMBRE_2025[[#This Row],[META]]</f>
        <v>0.87484684684684688</v>
      </c>
      <c r="E28" s="35" t="s">
        <v>3</v>
      </c>
      <c r="F28" t="s">
        <v>96</v>
      </c>
      <c r="G28" s="3">
        <v>48554</v>
      </c>
      <c r="H28" t="s">
        <v>437</v>
      </c>
      <c r="I28" s="56">
        <v>45671</v>
      </c>
      <c r="J28" s="56" t="s">
        <v>501</v>
      </c>
      <c r="K28" s="56"/>
      <c r="L28" s="56"/>
      <c r="M28">
        <f>DATA_DICIEMBRE_2025[[#This Row],[RECUPERO]]/DATA_DICIEMBRE_2025[[#This Row],[META]]</f>
        <v>1.5629859154929577</v>
      </c>
      <c r="N28" s="5" t="str" cm="1">
        <f t="array" ref="N28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28" t="s">
        <v>2</v>
      </c>
      <c r="P28">
        <f>SUM(DATA_DICIEMBRE_2025[[#This Row],[1]:[31]])</f>
        <v>55486</v>
      </c>
      <c r="Q28">
        <v>35500</v>
      </c>
      <c r="R28" t="s">
        <v>42</v>
      </c>
      <c r="S28" s="45"/>
      <c r="U28">
        <v>1480</v>
      </c>
      <c r="V28">
        <v>325</v>
      </c>
      <c r="AB28">
        <v>1600</v>
      </c>
      <c r="AC28">
        <v>364</v>
      </c>
      <c r="AG28">
        <v>16728</v>
      </c>
      <c r="AH28">
        <v>1500</v>
      </c>
      <c r="AI28">
        <v>5200</v>
      </c>
      <c r="AJ28">
        <v>4560</v>
      </c>
      <c r="AK28">
        <v>421</v>
      </c>
      <c r="AN28">
        <v>8585</v>
      </c>
      <c r="AO28">
        <v>300</v>
      </c>
      <c r="AR28">
        <v>4200</v>
      </c>
      <c r="AS28">
        <v>500</v>
      </c>
      <c r="AU28">
        <v>145</v>
      </c>
      <c r="AV28">
        <v>5578</v>
      </c>
      <c r="AW28">
        <v>4000</v>
      </c>
      <c r="AX28" t="s">
        <v>204</v>
      </c>
    </row>
    <row r="29" spans="1:86" x14ac:dyDescent="0.25">
      <c r="A29" s="34" t="s">
        <v>3</v>
      </c>
      <c r="B29" s="34" t="s">
        <v>65</v>
      </c>
      <c r="C29" s="36">
        <f>VLOOKUP(D1_DICIEMBRE_2025[[#This Row],[SUPER]],DATA_DICIEMBRE_2025[[SUPERVISOR]:[META]],3,0)</f>
        <v>55500</v>
      </c>
      <c r="D29" s="35">
        <f>D1_DICIEMBRE_2025[[#This Row],[RECUPERO]]/D1_DICIEMBRE_2025[[#This Row],[META]]</f>
        <v>0.40906306306306306</v>
      </c>
      <c r="E29" s="35" t="s">
        <v>3</v>
      </c>
      <c r="F29" t="s">
        <v>65</v>
      </c>
      <c r="G29" s="3">
        <v>22703</v>
      </c>
      <c r="H29" t="s">
        <v>438</v>
      </c>
      <c r="I29" s="56">
        <v>45021</v>
      </c>
      <c r="J29" s="56" t="s">
        <v>501</v>
      </c>
      <c r="K29" s="56"/>
      <c r="L29" s="56"/>
      <c r="M29">
        <f>DATA_DICIEMBRE_2025[[#This Row],[RECUPERO]]/DATA_DICIEMBRE_2025[[#This Row],[META]]</f>
        <v>0.54861904761904767</v>
      </c>
      <c r="N29" s="5" t="str" cm="1">
        <f t="array" ref="N29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&gt;40%</v>
      </c>
      <c r="O29" t="s">
        <v>7</v>
      </c>
      <c r="P29">
        <f>SUM(DATA_DICIEMBRE_2025[[#This Row],[1]:[31]])</f>
        <v>11521</v>
      </c>
      <c r="Q29">
        <v>21000</v>
      </c>
      <c r="R29" t="s">
        <v>114</v>
      </c>
      <c r="T29">
        <v>2250</v>
      </c>
      <c r="U29">
        <v>152</v>
      </c>
      <c r="V29">
        <v>3000</v>
      </c>
      <c r="W29">
        <v>137</v>
      </c>
      <c r="AC29">
        <v>2250</v>
      </c>
      <c r="AG29">
        <v>300</v>
      </c>
      <c r="AN29">
        <v>432</v>
      </c>
      <c r="AU29">
        <v>3000</v>
      </c>
      <c r="AX29" t="s">
        <v>175</v>
      </c>
    </row>
    <row r="30" spans="1:86" x14ac:dyDescent="0.25">
      <c r="A30" s="34" t="s">
        <v>6</v>
      </c>
      <c r="B30" s="34" t="s">
        <v>37</v>
      </c>
      <c r="C30" s="36">
        <f>VLOOKUP(D1_DICIEMBRE_2025[[#This Row],[SUPER]],DATA_DICIEMBRE_2025[[SUPERVISOR]:[META]],3,0)</f>
        <v>29000</v>
      </c>
      <c r="D30" s="35">
        <f>D1_DICIEMBRE_2025[[#This Row],[RECUPERO]]/D1_DICIEMBRE_2025[[#This Row],[META]]</f>
        <v>1.4053448275862068</v>
      </c>
      <c r="E30" s="35" t="s">
        <v>6</v>
      </c>
      <c r="F30" t="s">
        <v>37</v>
      </c>
      <c r="G30" s="3">
        <v>40755</v>
      </c>
      <c r="H30" t="s">
        <v>400</v>
      </c>
      <c r="I30" s="56">
        <v>43132</v>
      </c>
      <c r="J30" s="56" t="s">
        <v>501</v>
      </c>
      <c r="K30" s="56"/>
      <c r="L30" s="56"/>
      <c r="M30">
        <f>DATA_DICIEMBRE_2025[[#This Row],[RECUPERO]]/DATA_DICIEMBRE_2025[[#This Row],[META]]</f>
        <v>0.11711711711711711</v>
      </c>
      <c r="N30" s="5" t="str" cm="1">
        <f t="array" ref="N30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&gt;0%</v>
      </c>
      <c r="O30" t="s">
        <v>4</v>
      </c>
      <c r="P30">
        <f>SUM(DATA_DICIEMBRE_2025[[#This Row],[1]:[31]])</f>
        <v>6500</v>
      </c>
      <c r="Q30">
        <v>55500</v>
      </c>
      <c r="R30" t="s">
        <v>57</v>
      </c>
      <c r="V30">
        <v>6500</v>
      </c>
      <c r="AX30" t="s">
        <v>159</v>
      </c>
    </row>
    <row r="31" spans="1:86" x14ac:dyDescent="0.25">
      <c r="A31" s="34" t="s">
        <v>7</v>
      </c>
      <c r="B31" s="34" t="s">
        <v>77</v>
      </c>
      <c r="C31" s="36">
        <f>VLOOKUP(D1_DICIEMBRE_2025[[#This Row],[SUPER]],DATA_DICIEMBRE_2025[[SUPERVISOR]:[META]],3,0)</f>
        <v>21000</v>
      </c>
      <c r="D31" s="35">
        <f>D1_DICIEMBRE_2025[[#This Row],[RECUPERO]]/D1_DICIEMBRE_2025[[#This Row],[META]]</f>
        <v>1.7203766666666669</v>
      </c>
      <c r="E31" s="35" t="s">
        <v>7</v>
      </c>
      <c r="F31" t="s">
        <v>77</v>
      </c>
      <c r="G31" s="3">
        <v>36127.910000000003</v>
      </c>
      <c r="H31" t="s">
        <v>393</v>
      </c>
      <c r="I31" s="56">
        <v>44840</v>
      </c>
      <c r="J31" s="56" t="s">
        <v>501</v>
      </c>
      <c r="K31" s="56"/>
      <c r="L31" s="56"/>
      <c r="M31">
        <f>DATA_DICIEMBRE_2025[[#This Row],[RECUPERO]]/DATA_DICIEMBRE_2025[[#This Row],[META]]</f>
        <v>2.255095238095238</v>
      </c>
      <c r="N31" s="5" t="str" cm="1">
        <f t="array" ref="N31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31" t="s">
        <v>7</v>
      </c>
      <c r="P31">
        <f>SUM(DATA_DICIEMBRE_2025[[#This Row],[1]:[31]])</f>
        <v>47357</v>
      </c>
      <c r="Q31">
        <v>21000</v>
      </c>
      <c r="R31" t="s">
        <v>49</v>
      </c>
      <c r="T31">
        <v>134</v>
      </c>
      <c r="AB31">
        <v>7000</v>
      </c>
      <c r="AC31">
        <v>200</v>
      </c>
      <c r="AD31">
        <v>450</v>
      </c>
      <c r="AG31">
        <v>3417</v>
      </c>
      <c r="AH31">
        <v>5000</v>
      </c>
      <c r="AI31">
        <v>506</v>
      </c>
      <c r="AO31">
        <v>6800</v>
      </c>
      <c r="AP31">
        <v>350</v>
      </c>
      <c r="AR31">
        <v>500</v>
      </c>
      <c r="AU31">
        <v>4200</v>
      </c>
      <c r="AV31">
        <v>16400</v>
      </c>
      <c r="AW31">
        <v>2400</v>
      </c>
      <c r="AX31" t="s">
        <v>175</v>
      </c>
    </row>
    <row r="32" spans="1:86" x14ac:dyDescent="0.25">
      <c r="A32" s="34" t="s">
        <v>6</v>
      </c>
      <c r="B32" s="34" t="s">
        <v>35</v>
      </c>
      <c r="C32" s="36">
        <f>VLOOKUP(D1_DICIEMBRE_2025[[#This Row],[SUPER]],DATA_DICIEMBRE_2025[[SUPERVISOR]:[META]],3,0)</f>
        <v>29000</v>
      </c>
      <c r="D32" s="35">
        <f>D1_DICIEMBRE_2025[[#This Row],[RECUPERO]]/D1_DICIEMBRE_2025[[#This Row],[META]]</f>
        <v>1.306948275862069</v>
      </c>
      <c r="E32" s="35" t="s">
        <v>6</v>
      </c>
      <c r="F32" t="s">
        <v>35</v>
      </c>
      <c r="G32" s="3">
        <v>37901.5</v>
      </c>
      <c r="H32" t="s">
        <v>401</v>
      </c>
      <c r="I32" s="56">
        <v>44748</v>
      </c>
      <c r="J32" s="56" t="s">
        <v>501</v>
      </c>
      <c r="K32" s="56"/>
      <c r="L32" s="56"/>
      <c r="M32">
        <f>DATA_DICIEMBRE_2025[[#This Row],[RECUPERO]]/DATA_DICIEMBRE_2025[[#This Row],[META]]</f>
        <v>2.3176896551724138</v>
      </c>
      <c r="N32" s="5" t="str" cm="1">
        <f t="array" ref="N32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32" t="s">
        <v>6</v>
      </c>
      <c r="P32">
        <f>SUM(DATA_DICIEMBRE_2025[[#This Row],[1]:[31]])</f>
        <v>67213</v>
      </c>
      <c r="Q32">
        <v>29000</v>
      </c>
      <c r="R32" t="s">
        <v>26</v>
      </c>
      <c r="T32">
        <v>100</v>
      </c>
      <c r="W32">
        <v>4500</v>
      </c>
      <c r="Y32">
        <v>430</v>
      </c>
      <c r="AC32">
        <v>1200</v>
      </c>
      <c r="AD32">
        <v>6100</v>
      </c>
      <c r="AG32">
        <v>3813</v>
      </c>
      <c r="AH32">
        <v>780</v>
      </c>
      <c r="AI32">
        <v>8500</v>
      </c>
      <c r="AK32">
        <v>3500</v>
      </c>
      <c r="AN32">
        <v>3240</v>
      </c>
      <c r="AR32">
        <v>18000</v>
      </c>
      <c r="AU32">
        <v>10350</v>
      </c>
      <c r="AV32">
        <v>2000</v>
      </c>
      <c r="AW32">
        <v>4700</v>
      </c>
      <c r="AX32" t="s">
        <v>203</v>
      </c>
    </row>
    <row r="33" spans="1:50" x14ac:dyDescent="0.25">
      <c r="A33" s="34" t="s">
        <v>6</v>
      </c>
      <c r="B33" s="34" t="s">
        <v>50</v>
      </c>
      <c r="C33" s="36">
        <f>VLOOKUP(D1_DICIEMBRE_2025[[#This Row],[SUPER]],DATA_DICIEMBRE_2025[[SUPERVISOR]:[META]],3,0)</f>
        <v>29000</v>
      </c>
      <c r="D33" s="35">
        <f>D1_DICIEMBRE_2025[[#This Row],[RECUPERO]]/D1_DICIEMBRE_2025[[#This Row],[META]]</f>
        <v>1.577</v>
      </c>
      <c r="E33" s="35" t="s">
        <v>6</v>
      </c>
      <c r="F33" t="s">
        <v>50</v>
      </c>
      <c r="G33" s="3">
        <v>45733</v>
      </c>
      <c r="H33" t="s">
        <v>402</v>
      </c>
      <c r="I33" s="56">
        <v>45523</v>
      </c>
      <c r="J33" s="56" t="s">
        <v>501</v>
      </c>
      <c r="K33" s="56"/>
      <c r="L33" s="56"/>
      <c r="M33">
        <f>DATA_DICIEMBRE_2025[[#This Row],[RECUPERO]]/DATA_DICIEMBRE_2025[[#This Row],[META]]</f>
        <v>0.95873873873873872</v>
      </c>
      <c r="N33" s="5" t="str" cm="1">
        <f t="array" ref="N33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33" t="s">
        <v>4</v>
      </c>
      <c r="P33">
        <f>SUM(DATA_DICIEMBRE_2025[[#This Row],[1]:[31]])</f>
        <v>53210</v>
      </c>
      <c r="Q33">
        <v>55500</v>
      </c>
      <c r="R33" t="s">
        <v>122</v>
      </c>
      <c r="T33">
        <v>700</v>
      </c>
      <c r="U33">
        <v>630</v>
      </c>
      <c r="W33">
        <v>9400</v>
      </c>
      <c r="AB33">
        <v>400</v>
      </c>
      <c r="AD33">
        <v>22500</v>
      </c>
      <c r="AI33">
        <v>1500</v>
      </c>
      <c r="AN33">
        <v>8000</v>
      </c>
      <c r="AP33">
        <v>500</v>
      </c>
      <c r="AR33">
        <v>6000</v>
      </c>
      <c r="AV33">
        <v>2500</v>
      </c>
      <c r="AW33">
        <v>1080</v>
      </c>
      <c r="AX33" t="s">
        <v>159</v>
      </c>
    </row>
    <row r="34" spans="1:50" x14ac:dyDescent="0.25">
      <c r="A34" s="34" t="s">
        <v>3</v>
      </c>
      <c r="B34" s="34" t="s">
        <v>33</v>
      </c>
      <c r="C34" s="36">
        <f>VLOOKUP(D1_DICIEMBRE_2025[[#This Row],[SUPER]],DATA_DICIEMBRE_2025[[SUPERVISOR]:[META]],3,0)</f>
        <v>55500</v>
      </c>
      <c r="D34" s="35">
        <f>D1_DICIEMBRE_2025[[#This Row],[RECUPERO]]/D1_DICIEMBRE_2025[[#This Row],[META]]</f>
        <v>0.71255855855855854</v>
      </c>
      <c r="E34" s="35" t="s">
        <v>3</v>
      </c>
      <c r="F34" t="s">
        <v>33</v>
      </c>
      <c r="G34" s="3">
        <v>39547</v>
      </c>
      <c r="H34" t="s">
        <v>439</v>
      </c>
      <c r="I34" s="56">
        <v>44869</v>
      </c>
      <c r="J34" s="56" t="s">
        <v>501</v>
      </c>
      <c r="K34" s="56"/>
      <c r="L34" s="56"/>
      <c r="M34">
        <f>DATA_DICIEMBRE_2025[[#This Row],[RECUPERO]]/DATA_DICIEMBRE_2025[[#This Row],[META]]</f>
        <v>0.87484684684684688</v>
      </c>
      <c r="N34" s="5" t="str" cm="1">
        <f t="array" ref="N34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34" t="s">
        <v>3</v>
      </c>
      <c r="P34">
        <f>SUM(DATA_DICIEMBRE_2025[[#This Row],[1]:[31]])</f>
        <v>48554</v>
      </c>
      <c r="Q34">
        <v>55500</v>
      </c>
      <c r="R34" t="s">
        <v>96</v>
      </c>
      <c r="V34">
        <v>1113</v>
      </c>
      <c r="AB34">
        <v>3650</v>
      </c>
      <c r="AC34">
        <v>2700</v>
      </c>
      <c r="AD34">
        <v>7500</v>
      </c>
      <c r="AE34">
        <v>2000</v>
      </c>
      <c r="AI34">
        <v>2100</v>
      </c>
      <c r="AJ34">
        <v>2050</v>
      </c>
      <c r="AK34">
        <v>5670</v>
      </c>
      <c r="AN34">
        <v>1870</v>
      </c>
      <c r="AO34">
        <v>800</v>
      </c>
      <c r="AR34">
        <v>2100</v>
      </c>
      <c r="AU34">
        <v>663</v>
      </c>
      <c r="AV34">
        <v>805</v>
      </c>
      <c r="AW34">
        <v>15533</v>
      </c>
      <c r="AX34" t="s">
        <v>159</v>
      </c>
    </row>
    <row r="35" spans="1:50" x14ac:dyDescent="0.25">
      <c r="A35" s="34" t="s">
        <v>3</v>
      </c>
      <c r="B35" s="34" t="s">
        <v>23</v>
      </c>
      <c r="C35" s="36">
        <f>VLOOKUP(D1_DICIEMBRE_2025[[#This Row],[SUPER]],DATA_DICIEMBRE_2025[[SUPERVISOR]:[META]],3,0)</f>
        <v>55500</v>
      </c>
      <c r="D35" s="35">
        <f>D1_DICIEMBRE_2025[[#This Row],[RECUPERO]]/D1_DICIEMBRE_2025[[#This Row],[META]]</f>
        <v>2.2284684684684684</v>
      </c>
      <c r="E35" s="35" t="s">
        <v>3</v>
      </c>
      <c r="F35" t="s">
        <v>23</v>
      </c>
      <c r="G35" s="3">
        <v>123680</v>
      </c>
      <c r="H35" t="s">
        <v>445</v>
      </c>
      <c r="I35" s="56">
        <v>44111</v>
      </c>
      <c r="J35" s="56" t="s">
        <v>501</v>
      </c>
      <c r="K35" s="56"/>
      <c r="L35" s="56"/>
      <c r="M35">
        <f>DATA_DICIEMBRE_2025[[#This Row],[RECUPERO]]/DATA_DICIEMBRE_2025[[#This Row],[META]]</f>
        <v>0.40906306306306306</v>
      </c>
      <c r="N35" s="5" t="str" cm="1">
        <f t="array" ref="N35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&gt;40%</v>
      </c>
      <c r="O35" t="s">
        <v>3</v>
      </c>
      <c r="P35">
        <f>SUM(DATA_DICIEMBRE_2025[[#This Row],[1]:[31]])</f>
        <v>22703</v>
      </c>
      <c r="Q35">
        <v>55500</v>
      </c>
      <c r="R35" t="s">
        <v>65</v>
      </c>
      <c r="T35">
        <v>9063</v>
      </c>
      <c r="W35">
        <v>500</v>
      </c>
      <c r="AB35">
        <v>990</v>
      </c>
      <c r="AH35">
        <v>2500</v>
      </c>
      <c r="AK35">
        <v>300</v>
      </c>
      <c r="AQ35">
        <v>1150</v>
      </c>
      <c r="AS35">
        <v>900</v>
      </c>
      <c r="AV35">
        <v>300</v>
      </c>
      <c r="AW35">
        <v>7000</v>
      </c>
      <c r="AX35" t="s">
        <v>159</v>
      </c>
    </row>
    <row r="36" spans="1:50" x14ac:dyDescent="0.25">
      <c r="A36" s="34" t="s">
        <v>2</v>
      </c>
      <c r="B36" s="34" t="s">
        <v>68</v>
      </c>
      <c r="C36" s="36">
        <f>VLOOKUP(D1_DICIEMBRE_2025[[#This Row],[SUPER]],DATA_DICIEMBRE_2025[[SUPERVISOR]:[META]],3,0)</f>
        <v>35500</v>
      </c>
      <c r="D36" s="35">
        <f>D1_DICIEMBRE_2025[[#This Row],[RECUPERO]]/D1_DICIEMBRE_2025[[#This Row],[META]]</f>
        <v>1.9508732394366197</v>
      </c>
      <c r="E36" s="35" t="s">
        <v>2</v>
      </c>
      <c r="F36" t="s">
        <v>68</v>
      </c>
      <c r="G36" s="3">
        <v>69256</v>
      </c>
      <c r="H36" t="s">
        <v>440</v>
      </c>
      <c r="I36" s="56">
        <v>45364</v>
      </c>
      <c r="J36" s="56" t="s">
        <v>501</v>
      </c>
      <c r="K36" s="56"/>
      <c r="L36" s="56"/>
      <c r="M36">
        <f>DATA_DICIEMBRE_2025[[#This Row],[RECUPERO]]/DATA_DICIEMBRE_2025[[#This Row],[META]]</f>
        <v>1.4053448275862068</v>
      </c>
      <c r="N36" s="5" t="str" cm="1">
        <f t="array" ref="N36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36" t="s">
        <v>6</v>
      </c>
      <c r="P36">
        <f>SUM(DATA_DICIEMBRE_2025[[#This Row],[1]:[31]])</f>
        <v>40755</v>
      </c>
      <c r="Q36">
        <v>29000</v>
      </c>
      <c r="R36" t="s">
        <v>37</v>
      </c>
      <c r="W36">
        <v>2500</v>
      </c>
      <c r="AD36">
        <v>6000</v>
      </c>
      <c r="AG36">
        <v>20500</v>
      </c>
      <c r="AI36">
        <v>5000</v>
      </c>
      <c r="AK36">
        <v>5800</v>
      </c>
      <c r="AO36">
        <v>600</v>
      </c>
      <c r="AU36">
        <v>355</v>
      </c>
      <c r="AX36" t="s">
        <v>203</v>
      </c>
    </row>
    <row r="37" spans="1:50" x14ac:dyDescent="0.25">
      <c r="A37" s="34" t="s">
        <v>3</v>
      </c>
      <c r="B37" s="34" t="s">
        <v>31</v>
      </c>
      <c r="C37" s="36">
        <f>VLOOKUP(D1_DICIEMBRE_2025[[#This Row],[SUPER]],DATA_DICIEMBRE_2025[[SUPERVISOR]:[META]],3,0)</f>
        <v>55500</v>
      </c>
      <c r="D37" s="35">
        <f>D1_DICIEMBRE_2025[[#This Row],[RECUPERO]]/D1_DICIEMBRE_2025[[#This Row],[META]]</f>
        <v>1.1853333333333333</v>
      </c>
      <c r="E37" s="35" t="s">
        <v>3</v>
      </c>
      <c r="F37" t="s">
        <v>31</v>
      </c>
      <c r="G37" s="3">
        <v>65786</v>
      </c>
      <c r="H37" t="s">
        <v>403</v>
      </c>
      <c r="I37" s="56">
        <v>45334</v>
      </c>
      <c r="J37" s="56" t="s">
        <v>501</v>
      </c>
      <c r="K37" s="56"/>
      <c r="L37" s="56"/>
      <c r="M37">
        <f>DATA_DICIEMBRE_2025[[#This Row],[RECUPERO]]/DATA_DICIEMBRE_2025[[#This Row],[META]]</f>
        <v>1.7203766666666669</v>
      </c>
      <c r="N37" s="5" t="str" cm="1">
        <f t="array" ref="N37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37" t="s">
        <v>7</v>
      </c>
      <c r="P37">
        <f>SUM(DATA_DICIEMBRE_2025[[#This Row],[1]:[31]])</f>
        <v>36127.910000000003</v>
      </c>
      <c r="Q37">
        <v>21000</v>
      </c>
      <c r="R37" t="s">
        <v>77</v>
      </c>
      <c r="S37">
        <v>200</v>
      </c>
      <c r="T37">
        <v>1700</v>
      </c>
      <c r="AC37">
        <v>4500</v>
      </c>
      <c r="AD37">
        <v>300</v>
      </c>
      <c r="AG37">
        <v>2665</v>
      </c>
      <c r="AN37">
        <v>11000</v>
      </c>
      <c r="AO37">
        <v>395</v>
      </c>
      <c r="AP37">
        <v>600</v>
      </c>
      <c r="AR37">
        <v>3500</v>
      </c>
      <c r="AS37">
        <v>200</v>
      </c>
      <c r="AU37">
        <v>8489.91</v>
      </c>
      <c r="AV37">
        <v>1500</v>
      </c>
      <c r="AW37">
        <v>1078</v>
      </c>
      <c r="AX37" t="s">
        <v>175</v>
      </c>
    </row>
    <row r="38" spans="1:50" x14ac:dyDescent="0.25">
      <c r="A38" s="34" t="s">
        <v>2</v>
      </c>
      <c r="B38" s="34" t="s">
        <v>29</v>
      </c>
      <c r="C38" s="36">
        <f>VLOOKUP(D1_DICIEMBRE_2025[[#This Row],[SUPER]],DATA_DICIEMBRE_2025[[SUPERVISOR]:[META]],3,0)</f>
        <v>35500</v>
      </c>
      <c r="D38" s="35">
        <f>D1_DICIEMBRE_2025[[#This Row],[RECUPERO]]/D1_DICIEMBRE_2025[[#This Row],[META]]</f>
        <v>1.0459971830985917</v>
      </c>
      <c r="E38" s="35" t="s">
        <v>2</v>
      </c>
      <c r="F38" t="s">
        <v>29</v>
      </c>
      <c r="G38" s="3">
        <v>37132.9</v>
      </c>
      <c r="H38" t="s">
        <v>416</v>
      </c>
      <c r="I38" s="56">
        <v>44687</v>
      </c>
      <c r="J38" s="56" t="s">
        <v>501</v>
      </c>
      <c r="K38" s="56"/>
      <c r="L38" s="56"/>
      <c r="M38">
        <f>DATA_DICIEMBRE_2025[[#This Row],[RECUPERO]]/DATA_DICIEMBRE_2025[[#This Row],[META]]</f>
        <v>1.306948275862069</v>
      </c>
      <c r="N38" s="5" t="str" cm="1">
        <f t="array" ref="N38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38" t="s">
        <v>6</v>
      </c>
      <c r="P38">
        <f>SUM(DATA_DICIEMBRE_2025[[#This Row],[1]:[31]])</f>
        <v>37901.5</v>
      </c>
      <c r="Q38">
        <v>29000</v>
      </c>
      <c r="R38" t="s">
        <v>35</v>
      </c>
      <c r="S38">
        <v>11237.5</v>
      </c>
      <c r="AB38">
        <v>6000</v>
      </c>
      <c r="AC38">
        <v>1300</v>
      </c>
      <c r="AG38">
        <v>4350</v>
      </c>
      <c r="AJ38">
        <v>3682</v>
      </c>
      <c r="AO38">
        <v>500</v>
      </c>
      <c r="AR38">
        <v>600</v>
      </c>
      <c r="AT38">
        <v>257</v>
      </c>
      <c r="AU38">
        <v>3875</v>
      </c>
      <c r="AV38">
        <v>3800</v>
      </c>
      <c r="AW38">
        <v>2300</v>
      </c>
      <c r="AX38" t="s">
        <v>203</v>
      </c>
    </row>
    <row r="39" spans="1:50" x14ac:dyDescent="0.25">
      <c r="A39" s="34" t="s">
        <v>2</v>
      </c>
      <c r="B39" s="34" t="s">
        <v>25</v>
      </c>
      <c r="C39" s="36">
        <f>VLOOKUP(D1_DICIEMBRE_2025[[#This Row],[SUPER]],DATA_DICIEMBRE_2025[[SUPERVISOR]:[META]],3,0)</f>
        <v>35500</v>
      </c>
      <c r="D39" s="35">
        <f>D1_DICIEMBRE_2025[[#This Row],[RECUPERO]]/D1_DICIEMBRE_2025[[#This Row],[META]]</f>
        <v>1.4267605633802818</v>
      </c>
      <c r="E39" s="35" t="s">
        <v>2</v>
      </c>
      <c r="F39" t="s">
        <v>25</v>
      </c>
      <c r="G39" s="3">
        <v>50650</v>
      </c>
      <c r="H39" t="s">
        <v>446</v>
      </c>
      <c r="I39" s="56">
        <v>44820</v>
      </c>
      <c r="J39" s="56" t="s">
        <v>501</v>
      </c>
      <c r="K39" s="56"/>
      <c r="L39" s="56"/>
      <c r="M39">
        <f>DATA_DICIEMBRE_2025[[#This Row],[RECUPERO]]/DATA_DICIEMBRE_2025[[#This Row],[META]]</f>
        <v>1.577</v>
      </c>
      <c r="N39" s="5" t="str" cm="1">
        <f t="array" ref="N39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39" t="s">
        <v>6</v>
      </c>
      <c r="P39">
        <f>SUM(DATA_DICIEMBRE_2025[[#This Row],[1]:[31]])</f>
        <v>45733</v>
      </c>
      <c r="Q39">
        <v>29000</v>
      </c>
      <c r="R39" t="s">
        <v>50</v>
      </c>
      <c r="AB39">
        <v>285</v>
      </c>
      <c r="AC39">
        <v>693</v>
      </c>
      <c r="AG39">
        <v>8800</v>
      </c>
      <c r="AH39">
        <v>6350</v>
      </c>
      <c r="AI39">
        <v>265</v>
      </c>
      <c r="AO39">
        <v>500</v>
      </c>
      <c r="AR39">
        <v>4120</v>
      </c>
      <c r="AU39">
        <v>7000</v>
      </c>
      <c r="AV39">
        <v>1720</v>
      </c>
      <c r="AW39">
        <v>16000</v>
      </c>
      <c r="AX39" t="s">
        <v>203</v>
      </c>
    </row>
    <row r="40" spans="1:50" x14ac:dyDescent="0.25">
      <c r="A40" s="34" t="s">
        <v>3</v>
      </c>
      <c r="B40" s="34" t="s">
        <v>17</v>
      </c>
      <c r="C40" s="36">
        <f>VLOOKUP(D1_DICIEMBRE_2025[[#This Row],[SUPER]],DATA_DICIEMBRE_2025[[SUPERVISOR]:[META]],3,0)</f>
        <v>55500</v>
      </c>
      <c r="D40" s="35">
        <f>D1_DICIEMBRE_2025[[#This Row],[RECUPERO]]/D1_DICIEMBRE_2025[[#This Row],[META]]</f>
        <v>0.82893747747747748</v>
      </c>
      <c r="E40" s="35" t="s">
        <v>3</v>
      </c>
      <c r="F40" t="s">
        <v>17</v>
      </c>
      <c r="G40" s="3">
        <v>46006.03</v>
      </c>
      <c r="H40" t="s">
        <v>385</v>
      </c>
      <c r="I40" s="56">
        <v>44888</v>
      </c>
      <c r="J40" s="56" t="s">
        <v>501</v>
      </c>
      <c r="K40" s="56"/>
      <c r="L40" s="56"/>
      <c r="M40">
        <f>DATA_DICIEMBRE_2025[[#This Row],[RECUPERO]]/DATA_DICIEMBRE_2025[[#This Row],[META]]</f>
        <v>0.71255855855855854</v>
      </c>
      <c r="N40" s="5" t="str" cm="1">
        <f t="array" ref="N40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40" t="s">
        <v>3</v>
      </c>
      <c r="P40">
        <f>SUM(DATA_DICIEMBRE_2025[[#This Row],[1]:[31]])</f>
        <v>39547</v>
      </c>
      <c r="Q40">
        <v>55500</v>
      </c>
      <c r="R40" t="s">
        <v>33</v>
      </c>
      <c r="T40">
        <v>600</v>
      </c>
      <c r="Y40">
        <v>1000</v>
      </c>
      <c r="AC40">
        <v>29900</v>
      </c>
      <c r="AG40">
        <v>1100</v>
      </c>
      <c r="AJ40">
        <v>265</v>
      </c>
      <c r="AK40">
        <v>500</v>
      </c>
      <c r="AO40">
        <v>282</v>
      </c>
      <c r="AR40">
        <v>2500</v>
      </c>
      <c r="AW40">
        <v>3400</v>
      </c>
      <c r="AX40" t="s">
        <v>159</v>
      </c>
    </row>
    <row r="41" spans="1:50" x14ac:dyDescent="0.25">
      <c r="A41" s="34" t="s">
        <v>2</v>
      </c>
      <c r="B41" s="34" t="s">
        <v>38</v>
      </c>
      <c r="C41" s="36">
        <f>VLOOKUP(D1_DICIEMBRE_2025[[#This Row],[SUPER]],DATA_DICIEMBRE_2025[[SUPERVISOR]:[META]],3,0)</f>
        <v>35500</v>
      </c>
      <c r="D41" s="35">
        <f>D1_DICIEMBRE_2025[[#This Row],[RECUPERO]]/D1_DICIEMBRE_2025[[#This Row],[META]]</f>
        <v>2.0112394366197184</v>
      </c>
      <c r="E41" s="35" t="s">
        <v>2</v>
      </c>
      <c r="F41" t="s">
        <v>38</v>
      </c>
      <c r="G41" s="3">
        <v>71399</v>
      </c>
      <c r="H41" t="s">
        <v>469</v>
      </c>
      <c r="I41" s="56">
        <v>45805</v>
      </c>
      <c r="J41" s="56" t="s">
        <v>501</v>
      </c>
      <c r="K41" s="56"/>
      <c r="L41" s="56"/>
      <c r="M41">
        <f>DATA_DICIEMBRE_2025[[#This Row],[RECUPERO]]/DATA_DICIEMBRE_2025[[#This Row],[META]]</f>
        <v>2.2284684684684684</v>
      </c>
      <c r="N41" s="5" t="str" cm="1">
        <f t="array" ref="N41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1" t="s">
        <v>3</v>
      </c>
      <c r="P41">
        <f>SUM(DATA_DICIEMBRE_2025[[#This Row],[1]:[31]])</f>
        <v>123680</v>
      </c>
      <c r="Q41">
        <v>55500</v>
      </c>
      <c r="R41" t="s">
        <v>23</v>
      </c>
      <c r="S41">
        <v>3800</v>
      </c>
      <c r="T41">
        <v>4450</v>
      </c>
      <c r="V41">
        <v>13605</v>
      </c>
      <c r="W41">
        <v>5000</v>
      </c>
      <c r="Z41">
        <v>250</v>
      </c>
      <c r="AA41">
        <v>580</v>
      </c>
      <c r="AB41">
        <v>23758</v>
      </c>
      <c r="AC41">
        <v>2045</v>
      </c>
      <c r="AE41">
        <v>1500</v>
      </c>
      <c r="AG41">
        <v>10131</v>
      </c>
      <c r="AH41">
        <v>433</v>
      </c>
      <c r="AI41">
        <v>7700</v>
      </c>
      <c r="AJ41">
        <v>6500</v>
      </c>
      <c r="AK41">
        <v>15700</v>
      </c>
      <c r="AN41">
        <v>3800</v>
      </c>
      <c r="AO41">
        <v>1350</v>
      </c>
      <c r="AR41">
        <v>1800</v>
      </c>
      <c r="AU41">
        <v>7928</v>
      </c>
      <c r="AV41">
        <v>5150</v>
      </c>
      <c r="AW41">
        <v>8200</v>
      </c>
      <c r="AX41" t="s">
        <v>159</v>
      </c>
    </row>
    <row r="42" spans="1:50" x14ac:dyDescent="0.25">
      <c r="A42" s="34" t="s">
        <v>4</v>
      </c>
      <c r="B42" s="34" t="s">
        <v>75</v>
      </c>
      <c r="C42" s="36">
        <f>VLOOKUP(D1_DICIEMBRE_2025[[#This Row],[SUPER]],DATA_DICIEMBRE_2025[[SUPERVISOR]:[META]],3,0)</f>
        <v>55500</v>
      </c>
      <c r="D42" s="35">
        <f>D1_DICIEMBRE_2025[[#This Row],[RECUPERO]]/D1_DICIEMBRE_2025[[#This Row],[META]]</f>
        <v>2.4242702702702701</v>
      </c>
      <c r="E42" s="35" t="s">
        <v>4</v>
      </c>
      <c r="F42" t="s">
        <v>75</v>
      </c>
      <c r="G42" s="3">
        <v>134547</v>
      </c>
      <c r="H42" t="s">
        <v>428</v>
      </c>
      <c r="I42" s="56">
        <v>44716</v>
      </c>
      <c r="J42" s="56" t="s">
        <v>501</v>
      </c>
      <c r="K42" s="56"/>
      <c r="L42" s="56"/>
      <c r="M42">
        <f>DATA_DICIEMBRE_2025[[#This Row],[RECUPERO]]/DATA_DICIEMBRE_2025[[#This Row],[META]]</f>
        <v>1.9508732394366197</v>
      </c>
      <c r="N42" s="5" t="str" cm="1">
        <f t="array" ref="N42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2" t="s">
        <v>2</v>
      </c>
      <c r="P42">
        <f>SUM(DATA_DICIEMBRE_2025[[#This Row],[1]:[31]])</f>
        <v>69256</v>
      </c>
      <c r="Q42">
        <v>35500</v>
      </c>
      <c r="R42" t="s">
        <v>68</v>
      </c>
      <c r="W42">
        <v>6000</v>
      </c>
      <c r="AC42">
        <v>400</v>
      </c>
      <c r="AD42">
        <v>1500</v>
      </c>
      <c r="AG42">
        <v>790</v>
      </c>
      <c r="AH42">
        <v>25766</v>
      </c>
      <c r="AN42">
        <v>2100</v>
      </c>
      <c r="AO42">
        <v>11000</v>
      </c>
      <c r="AU42">
        <v>1000</v>
      </c>
      <c r="AV42">
        <v>1000</v>
      </c>
      <c r="AW42">
        <v>19700</v>
      </c>
      <c r="AX42" t="s">
        <v>204</v>
      </c>
    </row>
    <row r="43" spans="1:50" x14ac:dyDescent="0.25">
      <c r="A43" s="34" t="s">
        <v>4</v>
      </c>
      <c r="B43" s="34" t="s">
        <v>55</v>
      </c>
      <c r="C43" s="36">
        <f>VLOOKUP(D1_DICIEMBRE_2025[[#This Row],[SUPER]],DATA_DICIEMBRE_2025[[SUPERVISOR]:[META]],3,0)</f>
        <v>55500</v>
      </c>
      <c r="D43" s="35">
        <f>D1_DICIEMBRE_2025[[#This Row],[RECUPERO]]/D1_DICIEMBRE_2025[[#This Row],[META]]</f>
        <v>0.14584828828828827</v>
      </c>
      <c r="E43" s="35" t="s">
        <v>4</v>
      </c>
      <c r="F43" t="s">
        <v>55</v>
      </c>
      <c r="G43" s="3">
        <v>8094.58</v>
      </c>
      <c r="H43" t="s">
        <v>475</v>
      </c>
      <c r="I43" s="56">
        <v>45818</v>
      </c>
      <c r="J43" s="56" t="s">
        <v>501</v>
      </c>
      <c r="K43" s="56"/>
      <c r="L43" s="56"/>
      <c r="M43">
        <f>DATA_DICIEMBRE_2025[[#This Row],[RECUPERO]]/DATA_DICIEMBRE_2025[[#This Row],[META]]</f>
        <v>1.1853333333333333</v>
      </c>
      <c r="N43" s="5" t="str" cm="1">
        <f t="array" ref="N43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3" t="s">
        <v>3</v>
      </c>
      <c r="P43">
        <f>SUM(DATA_DICIEMBRE_2025[[#This Row],[1]:[31]])</f>
        <v>65786</v>
      </c>
      <c r="Q43">
        <v>55500</v>
      </c>
      <c r="R43" t="s">
        <v>31</v>
      </c>
      <c r="T43">
        <v>1500</v>
      </c>
      <c r="U43">
        <v>250</v>
      </c>
      <c r="AD43">
        <v>7500</v>
      </c>
      <c r="AE43">
        <v>4000</v>
      </c>
      <c r="AH43">
        <v>2000</v>
      </c>
      <c r="AK43">
        <v>16000</v>
      </c>
      <c r="AO43">
        <v>10400</v>
      </c>
      <c r="AP43">
        <v>2200</v>
      </c>
      <c r="AR43">
        <v>500</v>
      </c>
      <c r="AS43">
        <v>1500</v>
      </c>
      <c r="AV43">
        <v>2200</v>
      </c>
      <c r="AW43">
        <v>17736</v>
      </c>
      <c r="AX43" t="s">
        <v>159</v>
      </c>
    </row>
    <row r="44" spans="1:50" x14ac:dyDescent="0.25">
      <c r="A44" s="34" t="s">
        <v>6</v>
      </c>
      <c r="B44" s="34" t="s">
        <v>11</v>
      </c>
      <c r="C44" s="36">
        <f>VLOOKUP(D1_DICIEMBRE_2025[[#This Row],[SUPER]],DATA_DICIEMBRE_2025[[SUPERVISOR]:[META]],3,0)</f>
        <v>29000</v>
      </c>
      <c r="D44" s="35">
        <f>D1_DICIEMBRE_2025[[#This Row],[RECUPERO]]/D1_DICIEMBRE_2025[[#This Row],[META]]</f>
        <v>1.6536551724137931</v>
      </c>
      <c r="E44" s="35" t="s">
        <v>6</v>
      </c>
      <c r="F44" t="s">
        <v>11</v>
      </c>
      <c r="G44" s="3">
        <v>47956</v>
      </c>
      <c r="H44" t="s">
        <v>429</v>
      </c>
      <c r="I44" s="56">
        <v>45371</v>
      </c>
      <c r="J44" s="56" t="s">
        <v>501</v>
      </c>
      <c r="K44" s="56"/>
      <c r="L44" s="56"/>
      <c r="M44">
        <f>DATA_DICIEMBRE_2025[[#This Row],[RECUPERO]]/DATA_DICIEMBRE_2025[[#This Row],[META]]</f>
        <v>1.0459971830985917</v>
      </c>
      <c r="N44" s="5" t="str" cm="1">
        <f t="array" ref="N44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4" t="s">
        <v>2</v>
      </c>
      <c r="P44">
        <f>SUM(DATA_DICIEMBRE_2025[[#This Row],[1]:[31]])</f>
        <v>37132.9</v>
      </c>
      <c r="Q44">
        <v>35500</v>
      </c>
      <c r="R44" t="s">
        <v>29</v>
      </c>
      <c r="S44">
        <v>595</v>
      </c>
      <c r="T44">
        <v>771</v>
      </c>
      <c r="U44">
        <v>383.4</v>
      </c>
      <c r="V44">
        <v>3746</v>
      </c>
      <c r="W44">
        <v>6900</v>
      </c>
      <c r="AB44">
        <v>460</v>
      </c>
      <c r="AC44">
        <v>350</v>
      </c>
      <c r="AG44">
        <v>4875</v>
      </c>
      <c r="AH44">
        <v>4172.5</v>
      </c>
      <c r="AI44">
        <v>6500</v>
      </c>
      <c r="AJ44">
        <v>6500</v>
      </c>
      <c r="AN44">
        <v>380</v>
      </c>
      <c r="AO44">
        <v>657</v>
      </c>
      <c r="AP44">
        <v>300</v>
      </c>
      <c r="AU44">
        <v>350</v>
      </c>
      <c r="AV44">
        <v>193</v>
      </c>
      <c r="AX44" t="s">
        <v>204</v>
      </c>
    </row>
    <row r="45" spans="1:50" x14ac:dyDescent="0.25">
      <c r="A45" s="34" t="s">
        <v>2</v>
      </c>
      <c r="B45" s="34" t="s">
        <v>79</v>
      </c>
      <c r="C45" s="36">
        <f>VLOOKUP(D1_DICIEMBRE_2025[[#This Row],[SUPER]],DATA_DICIEMBRE_2025[[SUPERVISOR]:[META]],3,0)</f>
        <v>35500</v>
      </c>
      <c r="D45" s="35">
        <f>D1_DICIEMBRE_2025[[#This Row],[RECUPERO]]/D1_DICIEMBRE_2025[[#This Row],[META]]</f>
        <v>1.0040360563380282</v>
      </c>
      <c r="E45" s="35" t="s">
        <v>2</v>
      </c>
      <c r="F45" t="s">
        <v>79</v>
      </c>
      <c r="G45" s="3">
        <v>35643.279999999999</v>
      </c>
      <c r="H45" t="s">
        <v>453</v>
      </c>
      <c r="I45" s="56">
        <v>44566</v>
      </c>
      <c r="J45" s="56" t="s">
        <v>501</v>
      </c>
      <c r="K45" s="56"/>
      <c r="L45" s="56"/>
      <c r="M45">
        <f>DATA_DICIEMBRE_2025[[#This Row],[RECUPERO]]/DATA_DICIEMBRE_2025[[#This Row],[META]]</f>
        <v>1.4267605633802818</v>
      </c>
      <c r="N45" s="5" t="str" cm="1">
        <f t="array" ref="N45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5" t="s">
        <v>2</v>
      </c>
      <c r="P45">
        <f>SUM(DATA_DICIEMBRE_2025[[#This Row],[1]:[31]])</f>
        <v>50650</v>
      </c>
      <c r="Q45">
        <v>35500</v>
      </c>
      <c r="R45" t="s">
        <v>25</v>
      </c>
      <c r="S45">
        <v>500</v>
      </c>
      <c r="T45">
        <v>1500</v>
      </c>
      <c r="U45">
        <v>250</v>
      </c>
      <c r="Z45">
        <v>250</v>
      </c>
      <c r="AC45">
        <v>10000</v>
      </c>
      <c r="AG45">
        <v>175</v>
      </c>
      <c r="AH45">
        <v>1500</v>
      </c>
      <c r="AI45">
        <v>500</v>
      </c>
      <c r="AK45">
        <v>11500</v>
      </c>
      <c r="AN45">
        <v>5800</v>
      </c>
      <c r="AO45">
        <v>11500</v>
      </c>
      <c r="AP45">
        <v>7000</v>
      </c>
      <c r="AR45">
        <v>175</v>
      </c>
      <c r="AX45" t="s">
        <v>204</v>
      </c>
    </row>
    <row r="46" spans="1:50" x14ac:dyDescent="0.25">
      <c r="A46" s="34" t="s">
        <v>7</v>
      </c>
      <c r="B46" s="34" t="s">
        <v>97</v>
      </c>
      <c r="C46" s="36">
        <f>VLOOKUP(D1_DICIEMBRE_2025[[#This Row],[SUPER]],DATA_DICIEMBRE_2025[[SUPERVISOR]:[META]],3,0)</f>
        <v>21000</v>
      </c>
      <c r="D46" s="35">
        <f>D1_DICIEMBRE_2025[[#This Row],[RECUPERO]]/D1_DICIEMBRE_2025[[#This Row],[META]]</f>
        <v>1.8461904761904762</v>
      </c>
      <c r="E46" s="35" t="s">
        <v>7</v>
      </c>
      <c r="F46" t="s">
        <v>97</v>
      </c>
      <c r="G46" s="3">
        <v>38770</v>
      </c>
      <c r="H46" t="s">
        <v>485</v>
      </c>
      <c r="I46" s="56">
        <v>45889</v>
      </c>
      <c r="J46" s="56" t="s">
        <v>501</v>
      </c>
      <c r="K46" s="56"/>
      <c r="L46" s="56"/>
      <c r="M46">
        <f>DATA_DICIEMBRE_2025[[#This Row],[RECUPERO]]/DATA_DICIEMBRE_2025[[#This Row],[META]]</f>
        <v>0.82893747747747748</v>
      </c>
      <c r="N46" s="5" t="str" cm="1">
        <f t="array" ref="N46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46" t="s">
        <v>3</v>
      </c>
      <c r="P46">
        <f>SUM(DATA_DICIEMBRE_2025[[#This Row],[1]:[31]])</f>
        <v>46006.03</v>
      </c>
      <c r="Q46">
        <v>55500</v>
      </c>
      <c r="R46" t="s">
        <v>17</v>
      </c>
      <c r="W46">
        <v>4000</v>
      </c>
      <c r="AB46">
        <v>2500</v>
      </c>
      <c r="AD46">
        <v>1750</v>
      </c>
      <c r="AG46">
        <v>3000</v>
      </c>
      <c r="AH46">
        <v>1500</v>
      </c>
      <c r="AK46">
        <v>13856</v>
      </c>
      <c r="AN46">
        <v>5150</v>
      </c>
      <c r="AO46">
        <v>1650</v>
      </c>
      <c r="AP46">
        <v>4600</v>
      </c>
      <c r="AU46">
        <v>480.03</v>
      </c>
      <c r="AV46">
        <v>520</v>
      </c>
      <c r="AW46">
        <v>7000</v>
      </c>
      <c r="AX46" t="s">
        <v>159</v>
      </c>
    </row>
    <row r="47" spans="1:50" x14ac:dyDescent="0.25">
      <c r="A47" s="34" t="s">
        <v>4</v>
      </c>
      <c r="B47" s="34" t="s">
        <v>59</v>
      </c>
      <c r="C47" s="36">
        <f>VLOOKUP(D1_DICIEMBRE_2025[[#This Row],[SUPER]],DATA_DICIEMBRE_2025[[SUPERVISOR]:[META]],3,0)</f>
        <v>55500</v>
      </c>
      <c r="D47" s="35">
        <f>D1_DICIEMBRE_2025[[#This Row],[RECUPERO]]/D1_DICIEMBRE_2025[[#This Row],[META]]</f>
        <v>1.4183243243243244</v>
      </c>
      <c r="E47" s="35" t="s">
        <v>4</v>
      </c>
      <c r="F47" t="s">
        <v>59</v>
      </c>
      <c r="G47" s="3">
        <v>78717</v>
      </c>
      <c r="H47" t="s">
        <v>430</v>
      </c>
      <c r="I47" s="56">
        <v>45348</v>
      </c>
      <c r="J47" s="56" t="s">
        <v>501</v>
      </c>
      <c r="K47" s="56"/>
      <c r="L47" s="56"/>
      <c r="M47">
        <f>DATA_DICIEMBRE_2025[[#This Row],[RECUPERO]]/DATA_DICIEMBRE_2025[[#This Row],[META]]</f>
        <v>2.0112394366197184</v>
      </c>
      <c r="N47" s="5" t="str" cm="1">
        <f t="array" ref="N47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7" t="s">
        <v>2</v>
      </c>
      <c r="P47">
        <f>SUM(DATA_DICIEMBRE_2025[[#This Row],[1]:[31]])</f>
        <v>71399</v>
      </c>
      <c r="Q47">
        <v>35500</v>
      </c>
      <c r="R47" t="s">
        <v>38</v>
      </c>
      <c r="S47">
        <v>2388</v>
      </c>
      <c r="T47">
        <v>1020</v>
      </c>
      <c r="U47">
        <v>287</v>
      </c>
      <c r="W47">
        <v>3195</v>
      </c>
      <c r="AB47">
        <v>1000</v>
      </c>
      <c r="AD47">
        <v>380</v>
      </c>
      <c r="AG47">
        <v>4020</v>
      </c>
      <c r="AH47">
        <v>4000</v>
      </c>
      <c r="AI47">
        <v>900</v>
      </c>
      <c r="AJ47">
        <v>3900</v>
      </c>
      <c r="AK47">
        <v>13300</v>
      </c>
      <c r="AN47">
        <v>1300</v>
      </c>
      <c r="AO47">
        <v>3000</v>
      </c>
      <c r="AU47">
        <v>12220</v>
      </c>
      <c r="AV47">
        <v>9774</v>
      </c>
      <c r="AW47">
        <v>10715</v>
      </c>
      <c r="AX47" t="s">
        <v>204</v>
      </c>
    </row>
    <row r="48" spans="1:50" x14ac:dyDescent="0.25">
      <c r="A48" s="34" t="s">
        <v>7</v>
      </c>
      <c r="B48" s="34" t="s">
        <v>73</v>
      </c>
      <c r="C48" s="36">
        <f>VLOOKUP(D1_DICIEMBRE_2025[[#This Row],[SUPER]],DATA_DICIEMBRE_2025[[SUPERVISOR]:[META]],3,0)</f>
        <v>21000</v>
      </c>
      <c r="D48" s="35">
        <f>D1_DICIEMBRE_2025[[#This Row],[RECUPERO]]/D1_DICIEMBRE_2025[[#This Row],[META]]</f>
        <v>0.84423809523809523</v>
      </c>
      <c r="E48" s="35" t="s">
        <v>7</v>
      </c>
      <c r="F48" t="s">
        <v>73</v>
      </c>
      <c r="G48" s="3">
        <v>17729</v>
      </c>
      <c r="H48" t="s">
        <v>420</v>
      </c>
      <c r="I48" s="56">
        <v>45145</v>
      </c>
      <c r="J48" s="56" t="s">
        <v>501</v>
      </c>
      <c r="K48" s="56"/>
      <c r="L48" s="56"/>
      <c r="M48">
        <f>DATA_DICIEMBRE_2025[[#This Row],[RECUPERO]]/DATA_DICIEMBRE_2025[[#This Row],[META]]</f>
        <v>2.4242702702702701</v>
      </c>
      <c r="N48" s="5" t="str" cm="1">
        <f t="array" ref="N48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48" t="s">
        <v>4</v>
      </c>
      <c r="P48">
        <f>SUM(DATA_DICIEMBRE_2025[[#This Row],[1]:[31]])</f>
        <v>134547</v>
      </c>
      <c r="Q48">
        <v>55500</v>
      </c>
      <c r="R48" t="s">
        <v>75</v>
      </c>
      <c r="U48">
        <v>2500</v>
      </c>
      <c r="AB48">
        <v>5000</v>
      </c>
      <c r="AC48">
        <v>6500</v>
      </c>
      <c r="AG48">
        <v>21720</v>
      </c>
      <c r="AH48">
        <v>7700</v>
      </c>
      <c r="AI48">
        <v>2300</v>
      </c>
      <c r="AJ48">
        <v>18340</v>
      </c>
      <c r="AK48">
        <v>6100</v>
      </c>
      <c r="AL48">
        <v>4000</v>
      </c>
      <c r="AO48">
        <v>16500</v>
      </c>
      <c r="AP48">
        <v>637</v>
      </c>
      <c r="AR48">
        <v>25132</v>
      </c>
      <c r="AS48">
        <v>3000</v>
      </c>
      <c r="AU48">
        <v>4069</v>
      </c>
      <c r="AV48">
        <v>399</v>
      </c>
      <c r="AW48">
        <v>10650</v>
      </c>
      <c r="AX48" t="s">
        <v>159</v>
      </c>
    </row>
    <row r="49" spans="1:50" x14ac:dyDescent="0.25">
      <c r="A49" s="34" t="s">
        <v>6</v>
      </c>
      <c r="B49" s="34" t="s">
        <v>34</v>
      </c>
      <c r="C49" s="36">
        <f>VLOOKUP(D1_DICIEMBRE_2025[[#This Row],[SUPER]],DATA_DICIEMBRE_2025[[SUPERVISOR]:[META]],3,0)</f>
        <v>29000</v>
      </c>
      <c r="D49" s="35">
        <f>D1_DICIEMBRE_2025[[#This Row],[RECUPERO]]/D1_DICIEMBRE_2025[[#This Row],[META]]</f>
        <v>1.5746724137931034</v>
      </c>
      <c r="E49" s="35" t="s">
        <v>6</v>
      </c>
      <c r="F49" t="s">
        <v>34</v>
      </c>
      <c r="G49" s="3">
        <v>45665.5</v>
      </c>
      <c r="H49" t="s">
        <v>407</v>
      </c>
      <c r="I49" s="56">
        <v>45175</v>
      </c>
      <c r="J49" s="56" t="s">
        <v>501</v>
      </c>
      <c r="K49" s="56"/>
      <c r="L49" s="56"/>
      <c r="M49">
        <f>DATA_DICIEMBRE_2025[[#This Row],[RECUPERO]]/DATA_DICIEMBRE_2025[[#This Row],[META]]</f>
        <v>0.14584828828828827</v>
      </c>
      <c r="N49" s="5" t="str" cm="1">
        <f t="array" ref="N49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&gt;0%</v>
      </c>
      <c r="O49" t="s">
        <v>4</v>
      </c>
      <c r="P49">
        <f>SUM(DATA_DICIEMBRE_2025[[#This Row],[1]:[31]])</f>
        <v>8094.58</v>
      </c>
      <c r="Q49">
        <v>55500</v>
      </c>
      <c r="R49" t="s">
        <v>55</v>
      </c>
      <c r="W49">
        <v>470</v>
      </c>
      <c r="AD49">
        <v>800</v>
      </c>
      <c r="AH49">
        <v>1000</v>
      </c>
      <c r="AI49">
        <v>300</v>
      </c>
      <c r="AJ49">
        <v>4100</v>
      </c>
      <c r="AK49">
        <v>191.58</v>
      </c>
      <c r="AP49">
        <v>800</v>
      </c>
      <c r="AR49">
        <v>433</v>
      </c>
      <c r="AX49" t="s">
        <v>159</v>
      </c>
    </row>
    <row r="50" spans="1:50" x14ac:dyDescent="0.25">
      <c r="A50" s="34" t="s">
        <v>2</v>
      </c>
      <c r="B50" s="34" t="s">
        <v>78</v>
      </c>
      <c r="C50" s="36">
        <f>VLOOKUP(D1_DICIEMBRE_2025[[#This Row],[SUPER]],DATA_DICIEMBRE_2025[[SUPERVISOR]:[META]],3,0)</f>
        <v>35500</v>
      </c>
      <c r="D50" s="35">
        <f>D1_DICIEMBRE_2025[[#This Row],[RECUPERO]]/D1_DICIEMBRE_2025[[#This Row],[META]]</f>
        <v>1.5675774647887324</v>
      </c>
      <c r="E50" s="35" t="s">
        <v>2</v>
      </c>
      <c r="F50" t="s">
        <v>78</v>
      </c>
      <c r="G50" s="3">
        <v>55649</v>
      </c>
      <c r="H50" t="s">
        <v>397</v>
      </c>
      <c r="I50" s="56">
        <v>44945</v>
      </c>
      <c r="J50" s="56" t="s">
        <v>501</v>
      </c>
      <c r="K50" s="56"/>
      <c r="L50" s="56"/>
      <c r="M50">
        <f>DATA_DICIEMBRE_2025[[#This Row],[RECUPERO]]/DATA_DICIEMBRE_2025[[#This Row],[META]]</f>
        <v>1.6536551724137931</v>
      </c>
      <c r="N50" s="5" t="str" cm="1">
        <f t="array" ref="N50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0" t="s">
        <v>6</v>
      </c>
      <c r="P50">
        <f>SUM(DATA_DICIEMBRE_2025[[#This Row],[1]:[31]])</f>
        <v>47956</v>
      </c>
      <c r="Q50">
        <v>29000</v>
      </c>
      <c r="R50" t="s">
        <v>11</v>
      </c>
      <c r="V50">
        <v>5800</v>
      </c>
      <c r="W50">
        <v>1063.5</v>
      </c>
      <c r="AC50">
        <v>8254</v>
      </c>
      <c r="AD50">
        <v>7950</v>
      </c>
      <c r="AG50">
        <v>1426.5</v>
      </c>
      <c r="AH50">
        <v>242</v>
      </c>
      <c r="AJ50">
        <v>7000</v>
      </c>
      <c r="AK50">
        <v>550</v>
      </c>
      <c r="AP50">
        <v>300</v>
      </c>
      <c r="AU50">
        <v>200</v>
      </c>
      <c r="AV50">
        <v>2350</v>
      </c>
      <c r="AW50">
        <v>12820</v>
      </c>
      <c r="AX50" t="s">
        <v>203</v>
      </c>
    </row>
    <row r="51" spans="1:50" x14ac:dyDescent="0.25">
      <c r="A51" s="34" t="s">
        <v>7</v>
      </c>
      <c r="B51" s="34" t="s">
        <v>48</v>
      </c>
      <c r="C51" s="36">
        <f>VLOOKUP(D1_DICIEMBRE_2025[[#This Row],[SUPER]],DATA_DICIEMBRE_2025[[SUPERVISOR]:[META]],3,0)</f>
        <v>21000</v>
      </c>
      <c r="D51" s="35">
        <f>D1_DICIEMBRE_2025[[#This Row],[RECUPERO]]/D1_DICIEMBRE_2025[[#This Row],[META]]</f>
        <v>1.0720000000000001</v>
      </c>
      <c r="E51" s="35" t="s">
        <v>7</v>
      </c>
      <c r="F51" t="s">
        <v>48</v>
      </c>
      <c r="G51" s="3">
        <v>22512</v>
      </c>
      <c r="H51" t="s">
        <v>421</v>
      </c>
      <c r="I51" s="56">
        <v>44748</v>
      </c>
      <c r="J51" s="56" t="s">
        <v>501</v>
      </c>
      <c r="K51" s="56"/>
      <c r="L51" s="56"/>
      <c r="M51">
        <f>DATA_DICIEMBRE_2025[[#This Row],[RECUPERO]]/DATA_DICIEMBRE_2025[[#This Row],[META]]</f>
        <v>1.0040360563380282</v>
      </c>
      <c r="N51" s="5" t="str" cm="1">
        <f t="array" ref="N51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1" t="s">
        <v>2</v>
      </c>
      <c r="P51">
        <f>SUM(DATA_DICIEMBRE_2025[[#This Row],[1]:[31]])</f>
        <v>35643.279999999999</v>
      </c>
      <c r="Q51">
        <v>35500</v>
      </c>
      <c r="R51" t="s">
        <v>79</v>
      </c>
      <c r="S51">
        <v>1270</v>
      </c>
      <c r="T51">
        <v>4600</v>
      </c>
      <c r="V51">
        <v>3620</v>
      </c>
      <c r="W51">
        <v>1379.28</v>
      </c>
      <c r="AC51">
        <v>790</v>
      </c>
      <c r="AG51">
        <v>1224</v>
      </c>
      <c r="AH51">
        <v>500</v>
      </c>
      <c r="AI51">
        <v>3050</v>
      </c>
      <c r="AJ51">
        <v>3950</v>
      </c>
      <c r="AN51">
        <v>9300</v>
      </c>
      <c r="AO51">
        <v>1300</v>
      </c>
      <c r="AU51">
        <v>570</v>
      </c>
      <c r="AV51">
        <v>1730</v>
      </c>
      <c r="AW51">
        <v>2360</v>
      </c>
      <c r="AX51" t="s">
        <v>204</v>
      </c>
    </row>
    <row r="52" spans="1:50" x14ac:dyDescent="0.25">
      <c r="A52" s="34" t="s">
        <v>4</v>
      </c>
      <c r="B52" s="34" t="s">
        <v>10</v>
      </c>
      <c r="C52" s="36">
        <f>VLOOKUP(D1_DICIEMBRE_2025[[#This Row],[SUPER]],DATA_DICIEMBRE_2025[[SUPERVISOR]:[META]],3,0)</f>
        <v>55500</v>
      </c>
      <c r="D52" s="35">
        <f>D1_DICIEMBRE_2025[[#This Row],[RECUPERO]]/D1_DICIEMBRE_2025[[#This Row],[META]]</f>
        <v>1.0522655855855856</v>
      </c>
      <c r="E52" s="35" t="s">
        <v>4</v>
      </c>
      <c r="F52" t="s">
        <v>10</v>
      </c>
      <c r="G52" s="3">
        <v>58400.74</v>
      </c>
      <c r="H52" t="s">
        <v>449</v>
      </c>
      <c r="I52" s="56">
        <v>44706</v>
      </c>
      <c r="J52" s="56" t="s">
        <v>501</v>
      </c>
      <c r="K52" s="56"/>
      <c r="L52" s="56"/>
      <c r="M52">
        <f>DATA_DICIEMBRE_2025[[#This Row],[RECUPERO]]/DATA_DICIEMBRE_2025[[#This Row],[META]]</f>
        <v>1.8461904761904762</v>
      </c>
      <c r="N52" s="5" t="str" cm="1">
        <f t="array" ref="N52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2" t="s">
        <v>7</v>
      </c>
      <c r="P52">
        <f>SUM(DATA_DICIEMBRE_2025[[#This Row],[1]:[31]])</f>
        <v>38770</v>
      </c>
      <c r="Q52">
        <v>21000</v>
      </c>
      <c r="R52" t="s">
        <v>97</v>
      </c>
      <c r="V52">
        <v>84</v>
      </c>
      <c r="Z52">
        <v>200</v>
      </c>
      <c r="AB52">
        <v>3300</v>
      </c>
      <c r="AC52">
        <v>4000</v>
      </c>
      <c r="AD52">
        <v>16700</v>
      </c>
      <c r="AG52">
        <v>950</v>
      </c>
      <c r="AH52">
        <v>285</v>
      </c>
      <c r="AI52">
        <v>335</v>
      </c>
      <c r="AJ52">
        <v>5990</v>
      </c>
      <c r="AO52">
        <v>1200</v>
      </c>
      <c r="AP52">
        <v>230</v>
      </c>
      <c r="AT52">
        <v>600</v>
      </c>
      <c r="AU52">
        <v>700</v>
      </c>
      <c r="AV52">
        <v>3161</v>
      </c>
      <c r="AW52">
        <v>1035</v>
      </c>
      <c r="AX52" t="s">
        <v>175</v>
      </c>
    </row>
    <row r="53" spans="1:50" x14ac:dyDescent="0.25">
      <c r="A53" s="34" t="s">
        <v>2</v>
      </c>
      <c r="B53" s="34" t="s">
        <v>76</v>
      </c>
      <c r="C53" s="36">
        <f>VLOOKUP(D1_DICIEMBRE_2025[[#This Row],[SUPER]],DATA_DICIEMBRE_2025[[SUPERVISOR]:[META]],3,0)</f>
        <v>35500</v>
      </c>
      <c r="D53" s="35">
        <f>D1_DICIEMBRE_2025[[#This Row],[RECUPERO]]/D1_DICIEMBRE_2025[[#This Row],[META]]</f>
        <v>2.468434366197183</v>
      </c>
      <c r="E53" s="35" t="s">
        <v>2</v>
      </c>
      <c r="F53" t="s">
        <v>76</v>
      </c>
      <c r="G53" s="3">
        <v>87629.42</v>
      </c>
      <c r="H53" t="s">
        <v>408</v>
      </c>
      <c r="I53" s="56">
        <v>44819</v>
      </c>
      <c r="J53" s="56" t="s">
        <v>501</v>
      </c>
      <c r="K53" s="56"/>
      <c r="L53" s="56"/>
      <c r="M53">
        <f>DATA_DICIEMBRE_2025[[#This Row],[RECUPERO]]/DATA_DICIEMBRE_2025[[#This Row],[META]]</f>
        <v>1.4183243243243244</v>
      </c>
      <c r="N53" s="5" t="str" cm="1">
        <f t="array" ref="N53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3" t="s">
        <v>4</v>
      </c>
      <c r="P53">
        <f>SUM(DATA_DICIEMBRE_2025[[#This Row],[1]:[31]])</f>
        <v>78717</v>
      </c>
      <c r="Q53">
        <v>55500</v>
      </c>
      <c r="R53" t="s">
        <v>59</v>
      </c>
      <c r="S53">
        <v>1500</v>
      </c>
      <c r="V53">
        <v>1000</v>
      </c>
      <c r="W53">
        <v>800</v>
      </c>
      <c r="AB53">
        <v>5000</v>
      </c>
      <c r="AC53">
        <v>550</v>
      </c>
      <c r="AD53">
        <v>3000</v>
      </c>
      <c r="AG53">
        <v>2000</v>
      </c>
      <c r="AH53">
        <v>8600</v>
      </c>
      <c r="AI53">
        <v>3000</v>
      </c>
      <c r="AJ53">
        <v>9000</v>
      </c>
      <c r="AK53">
        <v>600</v>
      </c>
      <c r="AN53">
        <v>12400</v>
      </c>
      <c r="AO53">
        <v>340</v>
      </c>
      <c r="AP53">
        <v>6575</v>
      </c>
      <c r="AR53">
        <v>4000</v>
      </c>
      <c r="AU53">
        <v>12180</v>
      </c>
      <c r="AV53">
        <v>7672</v>
      </c>
      <c r="AW53">
        <v>500</v>
      </c>
      <c r="AX53" t="s">
        <v>159</v>
      </c>
    </row>
    <row r="54" spans="1:50" x14ac:dyDescent="0.25">
      <c r="A54" s="34"/>
      <c r="B54" s="34"/>
      <c r="C54" s="35"/>
      <c r="D54" s="35"/>
      <c r="E54" s="35"/>
      <c r="H54"/>
      <c r="M54">
        <f>DATA_DICIEMBRE_2025[[#This Row],[RECUPERO]]/DATA_DICIEMBRE_2025[[#This Row],[META]]</f>
        <v>0.84423809523809523</v>
      </c>
      <c r="N54" s="5" t="str" cm="1">
        <f t="array" ref="N54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&gt;70%</v>
      </c>
      <c r="O54" t="s">
        <v>7</v>
      </c>
      <c r="P54">
        <f>SUM(DATA_DICIEMBRE_2025[[#This Row],[1]:[31]])</f>
        <v>17729</v>
      </c>
      <c r="Q54">
        <v>21000</v>
      </c>
      <c r="R54" t="s">
        <v>73</v>
      </c>
      <c r="T54">
        <v>600</v>
      </c>
      <c r="V54">
        <v>5000</v>
      </c>
      <c r="W54">
        <v>500</v>
      </c>
      <c r="AA54">
        <v>207</v>
      </c>
      <c r="AC54">
        <v>1700</v>
      </c>
      <c r="AG54">
        <v>2000</v>
      </c>
      <c r="AH54">
        <v>100</v>
      </c>
      <c r="AJ54">
        <v>4750</v>
      </c>
      <c r="AK54">
        <v>220</v>
      </c>
      <c r="AO54">
        <v>300</v>
      </c>
      <c r="AR54">
        <v>590</v>
      </c>
      <c r="AV54">
        <v>630</v>
      </c>
      <c r="AW54">
        <v>1132</v>
      </c>
      <c r="AX54" t="s">
        <v>175</v>
      </c>
    </row>
    <row r="55" spans="1:50" x14ac:dyDescent="0.25">
      <c r="A55" s="34"/>
      <c r="B55" s="34"/>
      <c r="C55" s="35"/>
      <c r="D55" s="35"/>
      <c r="E55" s="35"/>
      <c r="H55"/>
      <c r="M55">
        <f>DATA_DICIEMBRE_2025[[#This Row],[RECUPERO]]/DATA_DICIEMBRE_2025[[#This Row],[META]]</f>
        <v>1.5746724137931034</v>
      </c>
      <c r="N55" s="5" t="str" cm="1">
        <f t="array" ref="N55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5" t="s">
        <v>6</v>
      </c>
      <c r="P55">
        <f>SUM(DATA_DICIEMBRE_2025[[#This Row],[1]:[31]])</f>
        <v>45665.5</v>
      </c>
      <c r="Q55">
        <v>29000</v>
      </c>
      <c r="R55" t="s">
        <v>34</v>
      </c>
      <c r="T55">
        <v>3300</v>
      </c>
      <c r="U55">
        <v>5000</v>
      </c>
      <c r="V55">
        <v>575</v>
      </c>
      <c r="W55">
        <v>3600</v>
      </c>
      <c r="AB55">
        <v>500</v>
      </c>
      <c r="AG55">
        <v>600</v>
      </c>
      <c r="AH55">
        <v>800</v>
      </c>
      <c r="AJ55">
        <v>4100</v>
      </c>
      <c r="AK55">
        <v>11700.5</v>
      </c>
      <c r="AO55">
        <v>6300</v>
      </c>
      <c r="AU55">
        <v>6500</v>
      </c>
      <c r="AV55">
        <v>2690</v>
      </c>
      <c r="AX55" t="s">
        <v>203</v>
      </c>
    </row>
    <row r="56" spans="1:50" x14ac:dyDescent="0.25">
      <c r="A56" s="34"/>
      <c r="B56" s="34"/>
      <c r="C56" s="35"/>
      <c r="D56" s="35"/>
      <c r="E56" s="35"/>
      <c r="H56"/>
      <c r="M56">
        <f>DATA_DICIEMBRE_2025[[#This Row],[RECUPERO]]/DATA_DICIEMBRE_2025[[#This Row],[META]]</f>
        <v>1.5675774647887324</v>
      </c>
      <c r="N56" s="5" t="str" cm="1">
        <f t="array" ref="N56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6" t="s">
        <v>2</v>
      </c>
      <c r="P56">
        <f>SUM(DATA_DICIEMBRE_2025[[#This Row],[1]:[31]])</f>
        <v>55649</v>
      </c>
      <c r="Q56">
        <v>35500</v>
      </c>
      <c r="R56" t="s">
        <v>78</v>
      </c>
      <c r="S56">
        <v>1000</v>
      </c>
      <c r="U56">
        <v>416</v>
      </c>
      <c r="W56">
        <v>260</v>
      </c>
      <c r="AB56">
        <v>500</v>
      </c>
      <c r="AC56">
        <v>500</v>
      </c>
      <c r="AD56">
        <v>150</v>
      </c>
      <c r="AE56">
        <v>12000</v>
      </c>
      <c r="AG56">
        <v>455</v>
      </c>
      <c r="AH56">
        <v>980</v>
      </c>
      <c r="AI56">
        <v>500</v>
      </c>
      <c r="AJ56">
        <v>12000</v>
      </c>
      <c r="AL56">
        <v>350</v>
      </c>
      <c r="AN56">
        <v>21807</v>
      </c>
      <c r="AO56">
        <v>1000</v>
      </c>
      <c r="AP56">
        <v>300</v>
      </c>
      <c r="AU56">
        <v>1500</v>
      </c>
      <c r="AV56">
        <v>1931</v>
      </c>
      <c r="AX56" t="s">
        <v>204</v>
      </c>
    </row>
    <row r="57" spans="1:50" x14ac:dyDescent="0.25">
      <c r="A57" s="34"/>
      <c r="B57" s="34"/>
      <c r="C57" s="35"/>
      <c r="D57" s="35"/>
      <c r="E57" s="35"/>
      <c r="H57"/>
      <c r="M57">
        <f>DATA_DICIEMBRE_2025[[#This Row],[RECUPERO]]/DATA_DICIEMBRE_2025[[#This Row],[META]]</f>
        <v>1.0720000000000001</v>
      </c>
      <c r="N57" s="5" t="str" cm="1">
        <f t="array" ref="N57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7" t="s">
        <v>7</v>
      </c>
      <c r="P57">
        <f>SUM(DATA_DICIEMBRE_2025[[#This Row],[1]:[31]])</f>
        <v>22512</v>
      </c>
      <c r="Q57">
        <v>21000</v>
      </c>
      <c r="R57" t="s">
        <v>48</v>
      </c>
      <c r="S57">
        <v>400</v>
      </c>
      <c r="T57">
        <v>276</v>
      </c>
      <c r="W57">
        <v>200</v>
      </c>
      <c r="AB57">
        <v>200</v>
      </c>
      <c r="AD57">
        <v>800</v>
      </c>
      <c r="AG57">
        <v>2900</v>
      </c>
      <c r="AH57">
        <v>1250</v>
      </c>
      <c r="AI57">
        <v>1200</v>
      </c>
      <c r="AK57">
        <v>5350</v>
      </c>
      <c r="AL57">
        <v>660</v>
      </c>
      <c r="AP57">
        <v>250</v>
      </c>
      <c r="AR57">
        <v>5000</v>
      </c>
      <c r="AU57">
        <v>1526</v>
      </c>
      <c r="AW57">
        <v>2500</v>
      </c>
      <c r="AX57" t="s">
        <v>175</v>
      </c>
    </row>
    <row r="58" spans="1:50" x14ac:dyDescent="0.25">
      <c r="A58" s="34"/>
      <c r="B58" s="34"/>
      <c r="C58" s="35"/>
      <c r="D58" s="35"/>
      <c r="E58" s="35"/>
      <c r="H58"/>
      <c r="M58">
        <f>DATA_DICIEMBRE_2025[[#This Row],[RECUPERO]]/DATA_DICIEMBRE_2025[[#This Row],[META]]</f>
        <v>1.0522655855855856</v>
      </c>
      <c r="N58" s="5" t="str" cm="1">
        <f t="array" ref="N58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8" t="s">
        <v>4</v>
      </c>
      <c r="P58">
        <f>SUM(DATA_DICIEMBRE_2025[[#This Row],[1]:[31]])</f>
        <v>58400.74</v>
      </c>
      <c r="Q58">
        <v>55500</v>
      </c>
      <c r="R58" t="s">
        <v>10</v>
      </c>
      <c r="S58">
        <v>200</v>
      </c>
      <c r="U58">
        <v>2000</v>
      </c>
      <c r="W58">
        <v>600</v>
      </c>
      <c r="AE58">
        <v>2000</v>
      </c>
      <c r="AG58">
        <v>430</v>
      </c>
      <c r="AH58">
        <v>4500</v>
      </c>
      <c r="AI58">
        <v>1650</v>
      </c>
      <c r="AJ58">
        <v>6000</v>
      </c>
      <c r="AN58">
        <v>4192</v>
      </c>
      <c r="AO58">
        <v>2000</v>
      </c>
      <c r="AP58">
        <v>688</v>
      </c>
      <c r="AR58">
        <v>2000</v>
      </c>
      <c r="AU58">
        <v>8100</v>
      </c>
      <c r="AV58">
        <v>12540.74</v>
      </c>
      <c r="AW58">
        <v>11500</v>
      </c>
      <c r="AX58" t="s">
        <v>159</v>
      </c>
    </row>
    <row r="59" spans="1:50" x14ac:dyDescent="0.25">
      <c r="A59" s="34"/>
      <c r="B59" s="34"/>
      <c r="C59" s="35"/>
      <c r="D59" s="35"/>
      <c r="E59" s="35"/>
      <c r="H59"/>
      <c r="M59">
        <f>DATA_DICIEMBRE_2025[[#This Row],[RECUPERO]]/DATA_DICIEMBRE_2025[[#This Row],[META]]</f>
        <v>2.468434366197183</v>
      </c>
      <c r="N59" s="5" t="str" cm="1">
        <f t="array" ref="N59">IF(DATA_DICIEMBRE_2025[[#This Row],[ASER_]]="","",IFERROR(_xlfn.IFS(DATA_DICIEMBRE_2025[[#This Row],[AL_AC]]&gt;=100%,"&gt;100%",AND(DATA_DICIEMBRE_2025[[#This Row],[AL_AC]]&lt;100%,DATA_DICIEMBRE_2025[[#This Row],[AL_AC]]&gt;=70%),"&gt;70%",AND(DATA_DICIEMBRE_2025[[#This Row],[AL_AC]]&lt;70%,DATA_DICIEMBRE_2025[[#This Row],[AL_AC]]&gt;=40%),"&gt;40%",AND(DATA_DICIEMBRE_2025[[#This Row],[AL_AC]]&lt;40%,DATA_DICIEMBRE_2025[[#This Row],[AL_AC]]&gt;=0%),"&gt;0%"),""))</f>
        <v>&gt;100%</v>
      </c>
      <c r="O59" t="s">
        <v>2</v>
      </c>
      <c r="P59">
        <f>SUM(DATA_DICIEMBRE_2025[[#This Row],[1]:[31]])</f>
        <v>87629.42</v>
      </c>
      <c r="Q59">
        <v>35500</v>
      </c>
      <c r="R59" t="s">
        <v>76</v>
      </c>
      <c r="U59">
        <v>1430.42</v>
      </c>
      <c r="V59">
        <v>2800</v>
      </c>
      <c r="AB59">
        <v>299</v>
      </c>
      <c r="AC59">
        <v>3700</v>
      </c>
      <c r="AD59">
        <v>29450</v>
      </c>
      <c r="AG59">
        <v>15200</v>
      </c>
      <c r="AI59">
        <v>3000</v>
      </c>
      <c r="AK59">
        <v>8300</v>
      </c>
      <c r="AN59">
        <v>10000</v>
      </c>
      <c r="AO59">
        <v>6000</v>
      </c>
      <c r="AP59">
        <v>5600</v>
      </c>
      <c r="AV59">
        <v>1850</v>
      </c>
      <c r="AX59" t="s">
        <v>204</v>
      </c>
    </row>
    <row r="60" spans="1:50" x14ac:dyDescent="0.25">
      <c r="H60"/>
    </row>
    <row r="61" spans="1:50" x14ac:dyDescent="0.25">
      <c r="H61"/>
    </row>
    <row r="62" spans="1:50" x14ac:dyDescent="0.25">
      <c r="H62"/>
    </row>
  </sheetData>
  <phoneticPr fontId="2" type="noConversion"/>
  <conditionalFormatting sqref="R9:R59">
    <cfRule type="duplicateValues" dxfId="13" priority="1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D5AD-157E-40E4-9301-557FAC541E18}">
  <dimension ref="A1:CI66"/>
  <sheetViews>
    <sheetView topLeftCell="S1" zoomScale="70" zoomScaleNormal="70" workbookViewId="0">
      <selection activeCell="AX9" sqref="AX9:AX59"/>
    </sheetView>
  </sheetViews>
  <sheetFormatPr baseColWidth="10" defaultRowHeight="15" x14ac:dyDescent="0.25"/>
  <cols>
    <col min="1" max="1" width="13" bestFit="1" customWidth="1"/>
    <col min="2" max="2" width="27.28515625" bestFit="1" customWidth="1"/>
    <col min="3" max="3" width="13.5703125" bestFit="1" customWidth="1"/>
    <col min="4" max="4" width="16" bestFit="1" customWidth="1"/>
    <col min="5" max="5" width="14.42578125" bestFit="1" customWidth="1"/>
    <col min="6" max="6" width="27.28515625" bestFit="1" customWidth="1"/>
    <col min="7" max="7" width="17.85546875" bestFit="1" customWidth="1"/>
    <col min="8" max="8" width="15.42578125" customWidth="1"/>
    <col min="9" max="9" width="27.85546875" customWidth="1"/>
    <col min="10" max="10" width="14.5703125" bestFit="1" customWidth="1"/>
    <col min="13" max="13" width="14.85546875" bestFit="1" customWidth="1"/>
    <col min="14" max="14" width="21.42578125" customWidth="1"/>
    <col min="15" max="15" width="20.7109375" bestFit="1" customWidth="1"/>
    <col min="16" max="16" width="16.28515625" customWidth="1"/>
    <col min="17" max="17" width="9.85546875" customWidth="1"/>
    <col min="18" max="18" width="26.7109375" bestFit="1" customWidth="1"/>
    <col min="19" max="19" width="8.7109375" bestFit="1" customWidth="1"/>
    <col min="20" max="20" width="7.42578125" bestFit="1" customWidth="1"/>
    <col min="21" max="22" width="6.28515625" bestFit="1" customWidth="1"/>
    <col min="23" max="23" width="7.42578125" bestFit="1" customWidth="1"/>
    <col min="24" max="24" width="8.7109375" bestFit="1" customWidth="1"/>
    <col min="25" max="26" width="7.42578125" bestFit="1" customWidth="1"/>
    <col min="27" max="27" width="10" bestFit="1" customWidth="1"/>
    <col min="28" max="28" width="7.42578125" bestFit="1" customWidth="1"/>
    <col min="29" max="29" width="8.7109375" bestFit="1" customWidth="1"/>
    <col min="30" max="30" width="6.28515625" bestFit="1" customWidth="1"/>
    <col min="31" max="39" width="6.28515625" customWidth="1"/>
    <col min="40" max="48" width="7.42578125" bestFit="1" customWidth="1"/>
    <col min="49" max="49" width="8.7109375" bestFit="1" customWidth="1"/>
    <col min="50" max="50" width="24.85546875" customWidth="1"/>
    <col min="52" max="52" width="18.42578125" customWidth="1"/>
    <col min="53" max="53" width="32.28515625" customWidth="1"/>
    <col min="54" max="54" width="30.42578125" customWidth="1"/>
    <col min="55" max="55" width="11.42578125" customWidth="1"/>
    <col min="56" max="57" width="8.140625" bestFit="1" customWidth="1"/>
    <col min="58" max="66" width="8.140625" customWidth="1"/>
    <col min="67" max="69" width="8.140625" bestFit="1" customWidth="1"/>
    <col min="70" max="75" width="8.85546875" bestFit="1" customWidth="1"/>
    <col min="76" max="83" width="9.28515625" bestFit="1" customWidth="1"/>
    <col min="84" max="84" width="8.85546875" bestFit="1" customWidth="1"/>
    <col min="85" max="86" width="9.28515625" bestFit="1" customWidth="1"/>
    <col min="87" max="87" width="14.42578125" customWidth="1"/>
  </cols>
  <sheetData>
    <row r="1" spans="1:87" x14ac:dyDescent="0.25">
      <c r="A1" s="34"/>
      <c r="B1" s="34"/>
      <c r="C1" s="35"/>
      <c r="D1" s="35"/>
      <c r="E1" s="35"/>
      <c r="J1" s="56"/>
      <c r="K1" s="56"/>
      <c r="L1" s="56"/>
      <c r="N1" s="5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63" t="str">
        <f>D1_ENERO_2026[[#This Row],[SUPER2]]</f>
        <v>JOHAN</v>
      </c>
      <c r="B3" s="62" t="str">
        <f>D1_ENERO_2026[[#This Row],[ASESOR]]</f>
        <v>JANETH PORTOCARRERO</v>
      </c>
      <c r="C3" s="63" t="s">
        <v>548</v>
      </c>
      <c r="D3" s="63">
        <v>0</v>
      </c>
      <c r="E3" s="63" t="s">
        <v>125</v>
      </c>
      <c r="F3" s="62" t="s">
        <v>49</v>
      </c>
      <c r="G3" s="62"/>
      <c r="H3" s="66" t="s">
        <v>436</v>
      </c>
      <c r="I3" s="64">
        <v>43313</v>
      </c>
      <c r="J3" s="64" t="s">
        <v>500</v>
      </c>
      <c r="K3" s="64"/>
      <c r="L3" s="56"/>
      <c r="M3" s="33">
        <v>2026</v>
      </c>
      <c r="N3" s="33" t="s">
        <v>139</v>
      </c>
      <c r="O3" s="33">
        <v>22</v>
      </c>
    </row>
    <row r="4" spans="1:87" x14ac:dyDescent="0.25">
      <c r="A4" s="63" t="str">
        <f>D1_ENERO_2026[[#This Row],[SUPER2]]</f>
        <v>MELINA</v>
      </c>
      <c r="B4" s="62" t="str">
        <f>D1_ENERO_2026[[#This Row],[ASESOR]]</f>
        <v>CRISTINA TICONA</v>
      </c>
      <c r="C4" s="63" t="s">
        <v>548</v>
      </c>
      <c r="D4" s="63">
        <v>0</v>
      </c>
      <c r="E4" s="63" t="s">
        <v>4</v>
      </c>
      <c r="F4" s="62" t="s">
        <v>61</v>
      </c>
      <c r="G4" s="62"/>
      <c r="H4" s="66" t="s">
        <v>411</v>
      </c>
      <c r="I4" s="64">
        <v>44907</v>
      </c>
      <c r="J4" s="64" t="s">
        <v>500</v>
      </c>
      <c r="K4" s="64"/>
      <c r="L4" s="56"/>
      <c r="N4" s="5"/>
    </row>
    <row r="5" spans="1:87" x14ac:dyDescent="0.25">
      <c r="A5" s="63" t="str">
        <f>D1_ENERO_2026[[#This Row],[SUPER2]]</f>
        <v>SANDY</v>
      </c>
      <c r="B5" s="62" t="str">
        <f>D1_ENERO_2026[[#This Row],[ASESOR]]</f>
        <v>EVELY TENORIO</v>
      </c>
      <c r="C5" s="63" t="s">
        <v>548</v>
      </c>
      <c r="D5" s="63">
        <v>0</v>
      </c>
      <c r="E5" s="63" t="s">
        <v>3</v>
      </c>
      <c r="F5" s="62" t="s">
        <v>22</v>
      </c>
      <c r="G5" s="62"/>
      <c r="H5" s="66" t="s">
        <v>442</v>
      </c>
      <c r="I5" s="64">
        <v>45295</v>
      </c>
      <c r="J5" s="64" t="s">
        <v>500</v>
      </c>
      <c r="K5" s="64"/>
      <c r="L5" s="56"/>
      <c r="N5" s="5"/>
      <c r="BY5" s="45"/>
    </row>
    <row r="6" spans="1:87" x14ac:dyDescent="0.25">
      <c r="A6" s="35" t="str">
        <f>D1_ENERO_2026[[#This Row],[SUPER2]]</f>
        <v>MELINA</v>
      </c>
      <c r="B6" s="34" t="str">
        <f>D1_ENERO_2026[[#This Row],[ASESOR]]</f>
        <v>ALEIDITH GUEVARA</v>
      </c>
      <c r="C6" s="36">
        <f>VLOOKUP(D1_ENERO_2026[[#This Row],[SUPER]],DATA_ENERO_2026[[SUPERVISOR]:[META]],3,0)</f>
        <v>48000</v>
      </c>
      <c r="D6" s="35">
        <f>D1_ENERO_2026[[#This Row],[RECUPERO]]/C6</f>
        <v>0.73239583333333336</v>
      </c>
      <c r="E6" s="35" t="s">
        <v>4</v>
      </c>
      <c r="F6" s="34" t="s">
        <v>18</v>
      </c>
      <c r="G6" s="36">
        <v>35155</v>
      </c>
      <c r="H6" s="34" t="s">
        <v>431</v>
      </c>
      <c r="I6" s="61">
        <v>45132</v>
      </c>
      <c r="J6" s="61" t="s">
        <v>501</v>
      </c>
      <c r="K6" s="61"/>
      <c r="L6" s="56"/>
      <c r="N6" s="5"/>
    </row>
    <row r="7" spans="1:87" x14ac:dyDescent="0.25">
      <c r="A7" s="35" t="str">
        <f>D1_ENERO_2026[[#This Row],[SUPER2]]</f>
        <v>JOHAN</v>
      </c>
      <c r="B7" s="34" t="str">
        <f>D1_ENERO_2026[[#This Row],[ASESOR]]</f>
        <v>ALEJANDRA QUISPE</v>
      </c>
      <c r="C7" s="36">
        <f>VLOOKUP(D1_ENERO_2026[[#This Row],[SUPER]],DATA_ENERO_2026[[SUPERVISOR]:[META]],3,0)</f>
        <v>24500</v>
      </c>
      <c r="D7" s="35">
        <f>D1_ENERO_2026[[#This Row],[RECUPERO]]/C7</f>
        <v>2.0175918367346939</v>
      </c>
      <c r="E7" s="35" t="s">
        <v>125</v>
      </c>
      <c r="F7" s="34" t="s">
        <v>58</v>
      </c>
      <c r="G7" s="36">
        <v>49431</v>
      </c>
      <c r="H7" s="34" t="s">
        <v>441</v>
      </c>
      <c r="I7" s="61">
        <v>43119</v>
      </c>
      <c r="J7" s="61" t="s">
        <v>501</v>
      </c>
      <c r="K7" s="61"/>
      <c r="L7" s="56"/>
      <c r="M7" s="1"/>
      <c r="N7" s="5"/>
    </row>
    <row r="8" spans="1:87" x14ac:dyDescent="0.25">
      <c r="A8" s="35" t="str">
        <f>D1_ENERO_2026[[#This Row],[SUPER2]]</f>
        <v>JOHAN</v>
      </c>
      <c r="B8" s="34" t="str">
        <f>D1_ENERO_2026[[#This Row],[ASESOR]]</f>
        <v>ALEJANDRO GONZALES</v>
      </c>
      <c r="C8" s="36">
        <f>VLOOKUP(D1_ENERO_2026[[#This Row],[SUPER]],DATA_ENERO_2026[[SUPERVISOR]:[META]],3,0)</f>
        <v>24500</v>
      </c>
      <c r="D8" s="35">
        <f>D1_ENERO_2026[[#This Row],[RECUPERO]]/C8</f>
        <v>1.2057142857142857</v>
      </c>
      <c r="E8" s="35" t="s">
        <v>125</v>
      </c>
      <c r="F8" s="34" t="s">
        <v>109</v>
      </c>
      <c r="G8" s="36">
        <v>29540</v>
      </c>
      <c r="H8" s="34" t="s">
        <v>422</v>
      </c>
      <c r="I8" s="61">
        <v>46024</v>
      </c>
      <c r="J8" s="61" t="s">
        <v>501</v>
      </c>
      <c r="K8" s="61"/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19" t="s">
        <v>94</v>
      </c>
      <c r="BD8" s="19" t="s">
        <v>533</v>
      </c>
      <c r="BE8" s="19" t="s">
        <v>503</v>
      </c>
      <c r="BF8" s="19" t="s">
        <v>525</v>
      </c>
      <c r="BG8" s="19" t="s">
        <v>529</v>
      </c>
      <c r="BH8" s="19" t="s">
        <v>504</v>
      </c>
      <c r="BI8" s="19" t="s">
        <v>505</v>
      </c>
      <c r="BJ8" s="19" t="s">
        <v>506</v>
      </c>
      <c r="BK8" s="19" t="s">
        <v>507</v>
      </c>
      <c r="BL8" s="19" t="s">
        <v>508</v>
      </c>
      <c r="BM8" s="19" t="s">
        <v>526</v>
      </c>
      <c r="BN8" s="19" t="s">
        <v>530</v>
      </c>
      <c r="BO8" s="19" t="s">
        <v>509</v>
      </c>
      <c r="BP8" s="19" t="s">
        <v>510</v>
      </c>
      <c r="BQ8" s="19" t="s">
        <v>511</v>
      </c>
      <c r="BR8" s="19" t="s">
        <v>512</v>
      </c>
      <c r="BS8" s="19" t="s">
        <v>513</v>
      </c>
      <c r="BT8" s="19" t="s">
        <v>527</v>
      </c>
      <c r="BU8" s="19" t="s">
        <v>531</v>
      </c>
      <c r="BV8" s="19" t="s">
        <v>514</v>
      </c>
      <c r="BW8" s="19" t="s">
        <v>515</v>
      </c>
      <c r="BX8" s="19" t="s">
        <v>516</v>
      </c>
      <c r="BY8" s="19" t="s">
        <v>517</v>
      </c>
      <c r="BZ8" s="19" t="s">
        <v>518</v>
      </c>
      <c r="CA8" s="19" t="s">
        <v>528</v>
      </c>
      <c r="CB8" s="19" t="s">
        <v>532</v>
      </c>
      <c r="CC8" s="19" t="s">
        <v>519</v>
      </c>
      <c r="CD8" s="19" t="s">
        <v>520</v>
      </c>
      <c r="CE8" s="19" t="s">
        <v>521</v>
      </c>
      <c r="CF8" s="19" t="s">
        <v>522</v>
      </c>
      <c r="CG8" s="19" t="s">
        <v>523</v>
      </c>
      <c r="CH8" s="19" t="s">
        <v>524</v>
      </c>
      <c r="CI8" s="18" t="s">
        <v>134</v>
      </c>
    </row>
    <row r="9" spans="1:87" x14ac:dyDescent="0.25">
      <c r="A9" s="35" t="str">
        <f>D1_ENERO_2026[[#This Row],[SUPER2]]</f>
        <v>MELINA</v>
      </c>
      <c r="B9" s="34" t="str">
        <f>D1_ENERO_2026[[#This Row],[ASESOR]]</f>
        <v>ANALUCIA PONCE</v>
      </c>
      <c r="C9" s="36">
        <f>VLOOKUP(D1_ENERO_2026[[#This Row],[SUPER]],DATA_ENERO_2026[[SUPERVISOR]:[META]],3,0)</f>
        <v>48000</v>
      </c>
      <c r="D9" s="35">
        <f>D1_ENERO_2026[[#This Row],[RECUPERO]]/C9</f>
        <v>1.3685416666666668</v>
      </c>
      <c r="E9" s="35" t="s">
        <v>4</v>
      </c>
      <c r="F9" s="34" t="s">
        <v>60</v>
      </c>
      <c r="G9" s="36">
        <v>65690</v>
      </c>
      <c r="H9" s="34" t="s">
        <v>423</v>
      </c>
      <c r="I9" s="61">
        <v>45854</v>
      </c>
      <c r="J9" s="61" t="s">
        <v>501</v>
      </c>
      <c r="K9" s="61"/>
      <c r="L9" s="56"/>
      <c r="M9" s="5">
        <f>DATA_ENERO_2026[[#This Row],[RECUPERO]]/DATA_ENERO_2026[[#This Row],[META]]</f>
        <v>0.73239583333333336</v>
      </c>
      <c r="N9" s="5" t="str" cm="1">
        <f t="array" ref="N9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9" s="55" t="s">
        <v>4</v>
      </c>
      <c r="P9" s="6">
        <f>SUM(DATA_ENERO_2026[[#This Row],[1]:[31]])</f>
        <v>35155</v>
      </c>
      <c r="Q9" s="6">
        <v>48000</v>
      </c>
      <c r="R9" t="s">
        <v>18</v>
      </c>
      <c r="X9">
        <v>1700</v>
      </c>
      <c r="Y9">
        <v>2000</v>
      </c>
      <c r="Z9">
        <v>2500</v>
      </c>
      <c r="AD9">
        <v>600</v>
      </c>
      <c r="AG9">
        <v>1000</v>
      </c>
      <c r="AH9">
        <v>6550</v>
      </c>
      <c r="AK9">
        <v>2000</v>
      </c>
      <c r="AM9">
        <v>1550</v>
      </c>
      <c r="AN9">
        <v>3055</v>
      </c>
      <c r="AR9">
        <v>1700</v>
      </c>
      <c r="AS9">
        <v>1500</v>
      </c>
      <c r="AT9">
        <v>6500</v>
      </c>
      <c r="AU9">
        <v>3500</v>
      </c>
      <c r="AV9">
        <v>1000</v>
      </c>
      <c r="AX9" t="str" cm="1">
        <f t="array" ref="AX9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9" s="11">
        <v>297083</v>
      </c>
      <c r="BA9" s="11">
        <f>MAX(DITE_ENERO_2026[[#This Row],[1]:[31]])</f>
        <v>340748.2</v>
      </c>
      <c r="BB9" s="17">
        <f>DITE_ENERO_2026[[#This Row],[RECUPERO SUPERVISOR]]/DITE_ENERO_2026[[#This Row],[META SUPER]]</f>
        <v>1.1469798002578404</v>
      </c>
      <c r="BC9" s="11" t="s">
        <v>125</v>
      </c>
      <c r="BD9" s="46">
        <v>400</v>
      </c>
      <c r="BE9" s="46">
        <v>2110</v>
      </c>
      <c r="BF9" s="46">
        <v>2110</v>
      </c>
      <c r="BG9" s="46">
        <v>2110</v>
      </c>
      <c r="BH9" s="46">
        <v>15126</v>
      </c>
      <c r="BI9" s="46">
        <v>36911</v>
      </c>
      <c r="BJ9" s="46">
        <v>55516</v>
      </c>
      <c r="BK9" s="46">
        <v>71116</v>
      </c>
      <c r="BL9" s="46">
        <v>82783</v>
      </c>
      <c r="BM9" s="46">
        <v>83183</v>
      </c>
      <c r="BN9" s="46">
        <v>83383</v>
      </c>
      <c r="BO9" s="46">
        <v>96805</v>
      </c>
      <c r="BP9" s="46">
        <v>100205</v>
      </c>
      <c r="BQ9" s="46">
        <v>114555</v>
      </c>
      <c r="BR9" s="46">
        <v>147698</v>
      </c>
      <c r="BS9" s="46">
        <v>165430</v>
      </c>
      <c r="BT9" s="46">
        <v>165780</v>
      </c>
      <c r="BU9" s="46">
        <v>165780</v>
      </c>
      <c r="BV9" s="46">
        <v>174836</v>
      </c>
      <c r="BW9" s="46">
        <v>183186</v>
      </c>
      <c r="BX9" s="46">
        <v>204416</v>
      </c>
      <c r="BY9" s="46">
        <v>211498</v>
      </c>
      <c r="BZ9" s="46">
        <v>221348</v>
      </c>
      <c r="CA9" s="46">
        <v>224348</v>
      </c>
      <c r="CB9" s="46">
        <v>224348</v>
      </c>
      <c r="CC9" s="46">
        <v>257528.2</v>
      </c>
      <c r="CD9" s="46">
        <v>274628.2</v>
      </c>
      <c r="CE9" s="46">
        <v>286318.2</v>
      </c>
      <c r="CF9" s="46">
        <v>304637.2</v>
      </c>
      <c r="CG9" s="46">
        <v>336257.2</v>
      </c>
      <c r="CH9" s="46">
        <v>340748.2</v>
      </c>
      <c r="CI9" s="10" t="s">
        <v>175</v>
      </c>
    </row>
    <row r="10" spans="1:87" x14ac:dyDescent="0.25">
      <c r="A10" s="35" t="str">
        <f>D1_ENERO_2026[[#This Row],[SUPER2]]</f>
        <v>JORGE</v>
      </c>
      <c r="B10" s="34" t="str">
        <f>D1_ENERO_2026[[#This Row],[ASESOR]]</f>
        <v>ANDERSON RODRIGUEZ</v>
      </c>
      <c r="C10" s="36">
        <f>VLOOKUP(D1_ENERO_2026[[#This Row],[SUPER]],DATA_ENERO_2026[[SUPERVISOR]:[META]],3,0)</f>
        <v>32600</v>
      </c>
      <c r="D10" s="35">
        <f>D1_ENERO_2026[[#This Row],[RECUPERO]]/C10</f>
        <v>1.1276687116564417</v>
      </c>
      <c r="E10" s="35" t="s">
        <v>2</v>
      </c>
      <c r="F10" s="34" t="s">
        <v>15</v>
      </c>
      <c r="G10" s="36">
        <v>36762</v>
      </c>
      <c r="H10" s="34" t="s">
        <v>410</v>
      </c>
      <c r="I10" s="61">
        <v>44733</v>
      </c>
      <c r="J10" s="61" t="s">
        <v>501</v>
      </c>
      <c r="K10" s="61"/>
      <c r="L10" s="56"/>
      <c r="M10" s="5">
        <f>DATA_ENERO_2026[[#This Row],[RECUPERO]]/DATA_ENERO_2026[[#This Row],[META]]</f>
        <v>2.0175918367346939</v>
      </c>
      <c r="N10" s="5" t="str" cm="1">
        <f t="array" ref="N10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0" s="55" t="s">
        <v>125</v>
      </c>
      <c r="P10" s="6">
        <f>SUM(DATA_ENERO_2026[[#This Row],[1]:[31]])</f>
        <v>49431</v>
      </c>
      <c r="Q10" s="6">
        <v>24500</v>
      </c>
      <c r="R10" t="s">
        <v>58</v>
      </c>
      <c r="T10">
        <v>1000</v>
      </c>
      <c r="X10">
        <v>1650</v>
      </c>
      <c r="Y10">
        <v>205</v>
      </c>
      <c r="Z10">
        <v>11100</v>
      </c>
      <c r="AD10">
        <v>500</v>
      </c>
      <c r="AF10">
        <v>2850</v>
      </c>
      <c r="AG10">
        <v>300</v>
      </c>
      <c r="AH10">
        <v>7000</v>
      </c>
      <c r="AK10">
        <v>706</v>
      </c>
      <c r="AL10">
        <v>150</v>
      </c>
      <c r="AM10">
        <v>1750</v>
      </c>
      <c r="AN10">
        <v>1600</v>
      </c>
      <c r="AO10">
        <v>2500</v>
      </c>
      <c r="AP10">
        <v>3000</v>
      </c>
      <c r="AR10">
        <v>8500</v>
      </c>
      <c r="AS10">
        <v>2110</v>
      </c>
      <c r="AT10">
        <v>1700</v>
      </c>
      <c r="AU10">
        <v>1000</v>
      </c>
      <c r="AV10">
        <v>1810</v>
      </c>
      <c r="AX10" t="str" cm="1">
        <f t="array" ref="AX10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AZ10" s="11">
        <v>294010</v>
      </c>
      <c r="BA10" s="11">
        <f>MAX(DITE_ENERO_2026[[#This Row],[1]:[31]])</f>
        <v>360055.53</v>
      </c>
      <c r="BB10" s="17">
        <f>DITE_ENERO_2026[[#This Row],[RECUPERO SUPERVISOR]]/DITE_ENERO_2026[[#This Row],[META SUPER]]</f>
        <v>1.2246370191490086</v>
      </c>
      <c r="BC10" s="11" t="s">
        <v>2</v>
      </c>
      <c r="BD10" s="46">
        <v>500</v>
      </c>
      <c r="BE10" s="46">
        <v>1108.4000000000001</v>
      </c>
      <c r="BF10" s="46">
        <v>1608.4</v>
      </c>
      <c r="BG10" s="46">
        <v>1608.4</v>
      </c>
      <c r="BH10" s="46">
        <v>11716.4</v>
      </c>
      <c r="BI10" s="46">
        <v>12366.4</v>
      </c>
      <c r="BJ10" s="46">
        <v>15371.4</v>
      </c>
      <c r="BK10" s="46">
        <v>32222.400000000001</v>
      </c>
      <c r="BL10" s="46">
        <v>48431.9</v>
      </c>
      <c r="BM10" s="46">
        <v>48431.9</v>
      </c>
      <c r="BN10" s="46">
        <v>48431.9</v>
      </c>
      <c r="BO10" s="46">
        <v>74981.899999999994</v>
      </c>
      <c r="BP10" s="46">
        <v>99191.9</v>
      </c>
      <c r="BQ10" s="46">
        <v>122048.03</v>
      </c>
      <c r="BR10" s="46">
        <v>142478.03</v>
      </c>
      <c r="BS10" s="46">
        <v>152001.03</v>
      </c>
      <c r="BT10" s="46">
        <v>152001.03</v>
      </c>
      <c r="BU10" s="46">
        <v>154223.53</v>
      </c>
      <c r="BV10" s="46">
        <v>171383.53</v>
      </c>
      <c r="BW10" s="46">
        <v>172202.53</v>
      </c>
      <c r="BX10" s="46">
        <v>196559.53</v>
      </c>
      <c r="BY10" s="46">
        <v>231666.53</v>
      </c>
      <c r="BZ10" s="46">
        <v>235866.53</v>
      </c>
      <c r="CA10" s="46">
        <v>237946.53</v>
      </c>
      <c r="CB10" s="46">
        <v>237946.53</v>
      </c>
      <c r="CC10" s="46">
        <v>249121.53</v>
      </c>
      <c r="CD10" s="46">
        <v>279334.53000000003</v>
      </c>
      <c r="CE10" s="46">
        <v>301284.53000000003</v>
      </c>
      <c r="CF10" s="46">
        <v>309147.53000000003</v>
      </c>
      <c r="CG10" s="46">
        <v>342605.53</v>
      </c>
      <c r="CH10" s="46">
        <v>360055.53</v>
      </c>
      <c r="CI10" s="10" t="s">
        <v>209</v>
      </c>
    </row>
    <row r="11" spans="1:87" x14ac:dyDescent="0.25">
      <c r="A11" s="35" t="str">
        <f>D1_ENERO_2026[[#This Row],[SUPER2]]</f>
        <v>JOHAN</v>
      </c>
      <c r="B11" s="34" t="str">
        <f>D1_ENERO_2026[[#This Row],[ASESOR]]</f>
        <v>CARLA VALENCIA</v>
      </c>
      <c r="C11" s="36">
        <f>VLOOKUP(D1_ENERO_2026[[#This Row],[SUPER]],DATA_ENERO_2026[[SUPERVISOR]:[META]],3,0)</f>
        <v>24500</v>
      </c>
      <c r="D11" s="35">
        <f>D1_ENERO_2026[[#This Row],[RECUPERO]]/C11</f>
        <v>1.0128571428571429</v>
      </c>
      <c r="E11" s="35" t="s">
        <v>125</v>
      </c>
      <c r="F11" s="34" t="s">
        <v>174</v>
      </c>
      <c r="G11" s="36">
        <v>24815</v>
      </c>
      <c r="H11" s="34" t="s">
        <v>492</v>
      </c>
      <c r="I11" s="61">
        <v>45992</v>
      </c>
      <c r="J11" s="61" t="s">
        <v>501</v>
      </c>
      <c r="K11" s="61"/>
      <c r="L11" s="56"/>
      <c r="M11" s="5">
        <f>DATA_ENERO_2026[[#This Row],[RECUPERO]]/DATA_ENERO_2026[[#This Row],[META]]</f>
        <v>1.2057142857142857</v>
      </c>
      <c r="N11" s="5" t="str" cm="1">
        <f t="array" ref="N11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1" s="55" t="s">
        <v>125</v>
      </c>
      <c r="P11" s="6">
        <f>SUM(DATA_ENERO_2026[[#This Row],[1]:[31]])</f>
        <v>29540</v>
      </c>
      <c r="Q11" s="6">
        <v>24500</v>
      </c>
      <c r="R11" t="s">
        <v>109</v>
      </c>
      <c r="S11" s="45"/>
      <c r="W11">
        <v>1200</v>
      </c>
      <c r="X11">
        <v>2000</v>
      </c>
      <c r="Y11">
        <v>4000</v>
      </c>
      <c r="AD11">
        <v>3000</v>
      </c>
      <c r="AE11">
        <v>1000</v>
      </c>
      <c r="AF11">
        <v>3000</v>
      </c>
      <c r="AG11">
        <v>200</v>
      </c>
      <c r="AL11">
        <v>1000</v>
      </c>
      <c r="AM11">
        <v>3000</v>
      </c>
      <c r="AR11">
        <v>1500</v>
      </c>
      <c r="AS11">
        <v>3340</v>
      </c>
      <c r="AU11">
        <v>3000</v>
      </c>
      <c r="AV11">
        <v>1300</v>
      </c>
      <c r="AW11">
        <v>2000</v>
      </c>
      <c r="AX11" t="str" cm="1">
        <f t="array" ref="AX11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AZ11" s="11">
        <v>251174</v>
      </c>
      <c r="BA11" s="11">
        <f>MAX(DITE_ENERO_2026[[#This Row],[1]:[31]])</f>
        <v>359369.1</v>
      </c>
      <c r="BB11" s="17">
        <f>DITE_ENERO_2026[[#This Row],[RECUPERO SUPERVISOR]]/DITE_ENERO_2026[[#This Row],[META SUPER]]</f>
        <v>1.4307575624865629</v>
      </c>
      <c r="BC11" s="11" t="s">
        <v>6</v>
      </c>
      <c r="BD11" s="46">
        <v>1500</v>
      </c>
      <c r="BE11" s="46">
        <v>21500</v>
      </c>
      <c r="BF11" s="46">
        <v>21800</v>
      </c>
      <c r="BG11" s="46">
        <v>21800</v>
      </c>
      <c r="BH11" s="46">
        <v>29950</v>
      </c>
      <c r="BI11" s="46">
        <v>50600</v>
      </c>
      <c r="BJ11" s="46">
        <v>58063</v>
      </c>
      <c r="BK11" s="46">
        <v>79238</v>
      </c>
      <c r="BL11" s="46">
        <v>110669</v>
      </c>
      <c r="BM11" s="46">
        <v>110669</v>
      </c>
      <c r="BN11" s="46">
        <v>110669</v>
      </c>
      <c r="BO11" s="46">
        <v>133724</v>
      </c>
      <c r="BP11" s="46">
        <v>154257</v>
      </c>
      <c r="BQ11" s="46">
        <v>180408</v>
      </c>
      <c r="BR11" s="46">
        <v>190849</v>
      </c>
      <c r="BS11" s="46">
        <v>195139</v>
      </c>
      <c r="BT11" s="46">
        <v>198734</v>
      </c>
      <c r="BU11" s="46">
        <v>198734</v>
      </c>
      <c r="BV11" s="46">
        <v>208929</v>
      </c>
      <c r="BW11" s="46">
        <v>212129</v>
      </c>
      <c r="BX11" s="46">
        <v>231749</v>
      </c>
      <c r="BY11" s="46">
        <v>242259.1</v>
      </c>
      <c r="BZ11" s="46">
        <v>246059.1</v>
      </c>
      <c r="CA11" s="46">
        <v>246059.1</v>
      </c>
      <c r="CB11" s="46">
        <v>246059.1</v>
      </c>
      <c r="CC11" s="46">
        <v>251259.1</v>
      </c>
      <c r="CD11" s="46">
        <v>284932.09999999998</v>
      </c>
      <c r="CE11" s="46">
        <v>302072.09999999998</v>
      </c>
      <c r="CF11" s="46">
        <v>315932.09999999998</v>
      </c>
      <c r="CG11" s="46">
        <v>351216.1</v>
      </c>
      <c r="CH11" s="46">
        <v>359369.1</v>
      </c>
      <c r="CI11" s="11" t="s">
        <v>209</v>
      </c>
    </row>
    <row r="12" spans="1:87" x14ac:dyDescent="0.25">
      <c r="A12" s="35" t="str">
        <f>D1_ENERO_2026[[#This Row],[SUPER2]]</f>
        <v>KENNETH</v>
      </c>
      <c r="B12" s="34" t="str">
        <f>D1_ENERO_2026[[#This Row],[ASESOR]]</f>
        <v>CARMEN PUMA</v>
      </c>
      <c r="C12" s="36">
        <f>VLOOKUP(D1_ENERO_2026[[#This Row],[SUPER]],DATA_ENERO_2026[[SUPERVISOR]:[META]],3,0)</f>
        <v>27900</v>
      </c>
      <c r="D12" s="35">
        <f>D1_ENERO_2026[[#This Row],[RECUPERO]]/C12</f>
        <v>1.8079928315412186</v>
      </c>
      <c r="E12" s="35" t="s">
        <v>6</v>
      </c>
      <c r="F12" s="34" t="s">
        <v>19</v>
      </c>
      <c r="G12" s="36">
        <v>50443</v>
      </c>
      <c r="H12" s="34" t="s">
        <v>399</v>
      </c>
      <c r="I12" s="61">
        <v>44671</v>
      </c>
      <c r="J12" s="61" t="s">
        <v>501</v>
      </c>
      <c r="K12" s="61"/>
      <c r="L12" s="56"/>
      <c r="M12" s="5">
        <f>DATA_ENERO_2026[[#This Row],[RECUPERO]]/DATA_ENERO_2026[[#This Row],[META]]</f>
        <v>1.3685416666666668</v>
      </c>
      <c r="N12" s="5" t="str" cm="1">
        <f t="array" ref="N12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2" s="55" t="s">
        <v>4</v>
      </c>
      <c r="P12" s="6">
        <f>SUM(DATA_ENERO_2026[[#This Row],[1]:[31]])</f>
        <v>65690</v>
      </c>
      <c r="Q12" s="6">
        <v>48000</v>
      </c>
      <c r="R12" t="s">
        <v>60</v>
      </c>
      <c r="T12">
        <v>4000</v>
      </c>
      <c r="W12">
        <v>600</v>
      </c>
      <c r="X12">
        <v>3400</v>
      </c>
      <c r="Y12">
        <v>2500</v>
      </c>
      <c r="AE12">
        <v>2500</v>
      </c>
      <c r="AF12">
        <v>3800</v>
      </c>
      <c r="AG12">
        <v>1062</v>
      </c>
      <c r="AH12">
        <v>24764</v>
      </c>
      <c r="AI12">
        <v>975</v>
      </c>
      <c r="AK12">
        <v>956</v>
      </c>
      <c r="AM12">
        <v>9100</v>
      </c>
      <c r="AN12">
        <v>5300</v>
      </c>
      <c r="AR12">
        <v>1750</v>
      </c>
      <c r="AT12">
        <v>3336</v>
      </c>
      <c r="AV12">
        <v>1647</v>
      </c>
      <c r="AX12" t="str" cm="1">
        <f t="array" ref="AX12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12" s="11">
        <v>431682</v>
      </c>
      <c r="BA12" s="11">
        <f>MAX(DITE_ENERO_2026[[#This Row],[1]:[31]])</f>
        <v>438491</v>
      </c>
      <c r="BB12" s="17">
        <f>DITE_ENERO_2026[[#This Row],[RECUPERO SUPERVISOR]]/DITE_ENERO_2026[[#This Row],[META SUPER]]</f>
        <v>1.0157731848907297</v>
      </c>
      <c r="BC12" s="11" t="s">
        <v>4</v>
      </c>
      <c r="BD12" s="46">
        <v>1060</v>
      </c>
      <c r="BE12" s="46">
        <v>18860</v>
      </c>
      <c r="BF12" s="46">
        <v>19890</v>
      </c>
      <c r="BG12" s="46">
        <v>19890</v>
      </c>
      <c r="BH12" s="46">
        <v>50521</v>
      </c>
      <c r="BI12" s="46">
        <v>59771</v>
      </c>
      <c r="BJ12" s="46">
        <v>77971</v>
      </c>
      <c r="BK12" s="46">
        <v>83271</v>
      </c>
      <c r="BL12" s="46">
        <v>108117</v>
      </c>
      <c r="BM12" s="46">
        <v>108117</v>
      </c>
      <c r="BN12" s="46">
        <v>115617</v>
      </c>
      <c r="BO12" s="46">
        <v>134367</v>
      </c>
      <c r="BP12" s="46">
        <v>143667</v>
      </c>
      <c r="BQ12" s="46">
        <v>149467</v>
      </c>
      <c r="BR12" s="46">
        <v>172429</v>
      </c>
      <c r="BS12" s="46">
        <v>212403</v>
      </c>
      <c r="BT12" s="46">
        <v>215228</v>
      </c>
      <c r="BU12" s="46">
        <v>215228</v>
      </c>
      <c r="BV12" s="46">
        <v>224174</v>
      </c>
      <c r="BW12" s="46">
        <v>236828</v>
      </c>
      <c r="BX12" s="46">
        <v>258013</v>
      </c>
      <c r="BY12" s="46">
        <v>278668</v>
      </c>
      <c r="BZ12" s="46">
        <v>303668</v>
      </c>
      <c r="CA12" s="46">
        <v>303668</v>
      </c>
      <c r="CB12" s="46">
        <v>304356</v>
      </c>
      <c r="CC12" s="46">
        <v>327383</v>
      </c>
      <c r="CD12" s="46">
        <v>335313</v>
      </c>
      <c r="CE12" s="46">
        <v>355449</v>
      </c>
      <c r="CF12" s="46">
        <v>381949</v>
      </c>
      <c r="CG12" s="46">
        <v>420894</v>
      </c>
      <c r="CH12" s="46">
        <v>438491</v>
      </c>
      <c r="CI12" s="11" t="s">
        <v>159</v>
      </c>
    </row>
    <row r="13" spans="1:87" x14ac:dyDescent="0.25">
      <c r="A13" s="35" t="str">
        <f>D1_ENERO_2026[[#This Row],[SUPER2]]</f>
        <v>JOHAN</v>
      </c>
      <c r="B13" s="34" t="str">
        <f>D1_ENERO_2026[[#This Row],[ASESOR]]</f>
        <v>CHRISTIAN ALVARADO</v>
      </c>
      <c r="C13" s="36">
        <f>VLOOKUP(D1_ENERO_2026[[#This Row],[SUPER]],DATA_ENERO_2026[[SUPERVISOR]:[META]],3,0)</f>
        <v>24500</v>
      </c>
      <c r="D13" s="35">
        <f>D1_ENERO_2026[[#This Row],[RECUPERO]]/C13</f>
        <v>0.65453061224489795</v>
      </c>
      <c r="E13" s="35" t="s">
        <v>125</v>
      </c>
      <c r="F13" s="34" t="s">
        <v>41</v>
      </c>
      <c r="G13" s="36">
        <v>16036</v>
      </c>
      <c r="H13" s="34" t="s">
        <v>387</v>
      </c>
      <c r="I13" s="61">
        <v>45302</v>
      </c>
      <c r="J13" s="61" t="s">
        <v>501</v>
      </c>
      <c r="K13" s="61"/>
      <c r="L13" s="56"/>
      <c r="M13" s="5">
        <f>DATA_ENERO_2026[[#This Row],[RECUPERO]]/DATA_ENERO_2026[[#This Row],[META]]</f>
        <v>1.1276687116564417</v>
      </c>
      <c r="N13" s="5" t="str" cm="1">
        <f t="array" ref="N13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3" s="55" t="s">
        <v>2</v>
      </c>
      <c r="P13" s="6">
        <f>SUM(DATA_ENERO_2026[[#This Row],[1]:[31]])</f>
        <v>36762</v>
      </c>
      <c r="Q13" s="6">
        <v>32600</v>
      </c>
      <c r="R13" t="s">
        <v>15</v>
      </c>
      <c r="Z13">
        <v>351</v>
      </c>
      <c r="AA13">
        <v>340</v>
      </c>
      <c r="AE13">
        <v>3130</v>
      </c>
      <c r="AG13">
        <v>3000</v>
      </c>
      <c r="AN13">
        <v>320</v>
      </c>
      <c r="AS13">
        <v>3781</v>
      </c>
      <c r="AT13">
        <v>11000</v>
      </c>
      <c r="AV13">
        <v>11500</v>
      </c>
      <c r="AW13">
        <v>3340</v>
      </c>
      <c r="AX13" t="str" cm="1">
        <f t="array" ref="AX13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Z13" s="11">
        <v>431682</v>
      </c>
      <c r="BA13" s="11">
        <f>MAX(DITE_ENERO_2026[[#This Row],[1]:[31]])</f>
        <v>487798.45</v>
      </c>
      <c r="BB13" s="17">
        <f>DITE_ENERO_2026[[#This Row],[RECUPERO SUPERVISOR]]/DITE_ENERO_2026[[#This Row],[META SUPER]]</f>
        <v>1.1299948804907316</v>
      </c>
      <c r="BC13" s="11" t="s">
        <v>3</v>
      </c>
      <c r="BD13" s="46">
        <v>689</v>
      </c>
      <c r="BE13" s="46">
        <v>4525</v>
      </c>
      <c r="BF13" s="45">
        <v>5037</v>
      </c>
      <c r="BG13" s="45">
        <v>6237</v>
      </c>
      <c r="BH13" s="45">
        <v>20926.900000000001</v>
      </c>
      <c r="BI13" s="45">
        <v>38654.9</v>
      </c>
      <c r="BJ13" s="45">
        <v>50154.9</v>
      </c>
      <c r="BK13" s="45">
        <v>55454.9</v>
      </c>
      <c r="BL13" s="45">
        <v>103034.9</v>
      </c>
      <c r="BM13" s="45">
        <v>103259.9</v>
      </c>
      <c r="BN13" s="45">
        <v>103259.9</v>
      </c>
      <c r="BO13" s="45">
        <v>116770.9</v>
      </c>
      <c r="BP13" s="46">
        <v>161695.9</v>
      </c>
      <c r="BQ13" s="46">
        <v>172695.9</v>
      </c>
      <c r="BR13" s="46">
        <v>199395.9</v>
      </c>
      <c r="BS13" s="46">
        <v>239116.9</v>
      </c>
      <c r="BT13" s="45">
        <v>239116.9</v>
      </c>
      <c r="BU13" s="46">
        <v>239116.9</v>
      </c>
      <c r="BV13" s="46">
        <v>247099.9</v>
      </c>
      <c r="BW13" s="46">
        <v>257199.9</v>
      </c>
      <c r="BX13" s="45">
        <v>282648.90000000002</v>
      </c>
      <c r="BY13" s="46">
        <v>305084.90000000002</v>
      </c>
      <c r="BZ13" s="46">
        <v>333898.90000000002</v>
      </c>
      <c r="CA13" s="46">
        <v>344586.95</v>
      </c>
      <c r="CB13" s="46">
        <v>344586.95</v>
      </c>
      <c r="CC13" s="46">
        <v>357516.95</v>
      </c>
      <c r="CD13" s="46">
        <v>377666.95</v>
      </c>
      <c r="CE13" s="46">
        <v>422068.95</v>
      </c>
      <c r="CF13" s="46">
        <v>444881.95</v>
      </c>
      <c r="CG13" s="46">
        <v>472011.95</v>
      </c>
      <c r="CH13" s="46">
        <v>487798.45</v>
      </c>
      <c r="CI13" s="10" t="s">
        <v>159</v>
      </c>
    </row>
    <row r="14" spans="1:87" x14ac:dyDescent="0.25">
      <c r="A14" s="35" t="str">
        <f>D1_ENERO_2026[[#This Row],[SUPER2]]</f>
        <v>KENNETH</v>
      </c>
      <c r="B14" s="34" t="str">
        <f>D1_ENERO_2026[[#This Row],[ASESOR]]</f>
        <v>DANIEL ZAPATA</v>
      </c>
      <c r="C14" s="36">
        <f>VLOOKUP(D1_ENERO_2026[[#This Row],[SUPER]],DATA_ENERO_2026[[SUPERVISOR]:[META]],3,0)</f>
        <v>27900</v>
      </c>
      <c r="D14" s="35">
        <f>D1_ENERO_2026[[#This Row],[RECUPERO]]/C14</f>
        <v>0.75376344086021507</v>
      </c>
      <c r="E14" s="35" t="s">
        <v>6</v>
      </c>
      <c r="F14" s="34" t="s">
        <v>80</v>
      </c>
      <c r="G14" s="36">
        <v>21030</v>
      </c>
      <c r="H14" s="34" t="s">
        <v>433</v>
      </c>
      <c r="I14" s="61">
        <v>45281</v>
      </c>
      <c r="J14" s="61" t="s">
        <v>501</v>
      </c>
      <c r="K14" s="61"/>
      <c r="L14" s="56"/>
      <c r="M14" s="5">
        <f>DATA_ENERO_2026[[#This Row],[RECUPERO]]/DATA_ENERO_2026[[#This Row],[META]]</f>
        <v>1.0128571428571429</v>
      </c>
      <c r="N14" s="5" t="str" cm="1">
        <f t="array" ref="N14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4" s="55" t="s">
        <v>125</v>
      </c>
      <c r="P14" s="6">
        <f>SUM(DATA_ENERO_2026[[#This Row],[1]:[31]])</f>
        <v>24815</v>
      </c>
      <c r="Q14" s="6">
        <v>24500</v>
      </c>
      <c r="R14" t="s">
        <v>174</v>
      </c>
      <c r="S14" s="45"/>
      <c r="W14">
        <v>800</v>
      </c>
      <c r="X14">
        <v>1000</v>
      </c>
      <c r="Z14">
        <v>1500</v>
      </c>
      <c r="AA14">
        <v>500</v>
      </c>
      <c r="AC14">
        <v>200</v>
      </c>
      <c r="AD14">
        <v>1000</v>
      </c>
      <c r="AE14">
        <v>500</v>
      </c>
      <c r="AG14">
        <v>5000</v>
      </c>
      <c r="AH14">
        <v>1395</v>
      </c>
      <c r="AL14">
        <v>3500</v>
      </c>
      <c r="AN14">
        <v>230</v>
      </c>
      <c r="AR14">
        <v>6330</v>
      </c>
      <c r="AS14">
        <v>2000</v>
      </c>
      <c r="AT14">
        <v>200</v>
      </c>
      <c r="AV14">
        <v>660</v>
      </c>
      <c r="AX14" t="str" cm="1">
        <f t="array" ref="AX14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15" spans="1:87" x14ac:dyDescent="0.25">
      <c r="A15" s="35" t="str">
        <f>D1_ENERO_2026[[#This Row],[SUPER2]]</f>
        <v>JOHAN</v>
      </c>
      <c r="B15" s="34" t="str">
        <f>D1_ENERO_2026[[#This Row],[ASESOR]]</f>
        <v>DARYL FERREL</v>
      </c>
      <c r="C15" s="36">
        <f>VLOOKUP(D1_ENERO_2026[[#This Row],[SUPER]],DATA_ENERO_2026[[SUPERVISOR]:[META]],3,0)</f>
        <v>24500</v>
      </c>
      <c r="D15" s="35">
        <f>D1_ENERO_2026[[#This Row],[RECUPERO]]/C15</f>
        <v>0.45053061224489793</v>
      </c>
      <c r="E15" s="35" t="s">
        <v>125</v>
      </c>
      <c r="F15" s="34" t="s">
        <v>40</v>
      </c>
      <c r="G15" s="36">
        <v>11038</v>
      </c>
      <c r="H15" s="34" t="s">
        <v>424</v>
      </c>
      <c r="I15" s="61">
        <v>45433</v>
      </c>
      <c r="J15" s="61" t="s">
        <v>501</v>
      </c>
      <c r="K15" s="61"/>
      <c r="L15" s="56"/>
      <c r="M15" s="5">
        <f>DATA_ENERO_2026[[#This Row],[RECUPERO]]/DATA_ENERO_2026[[#This Row],[META]]</f>
        <v>1.8079928315412186</v>
      </c>
      <c r="N15" s="5" t="str" cm="1">
        <f t="array" ref="N15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5" s="55" t="s">
        <v>6</v>
      </c>
      <c r="P15" s="6">
        <f>SUM(DATA_ENERO_2026[[#This Row],[1]:[31]])</f>
        <v>50443</v>
      </c>
      <c r="Q15" s="6">
        <v>27900</v>
      </c>
      <c r="R15" t="s">
        <v>19</v>
      </c>
      <c r="Y15">
        <v>3200</v>
      </c>
      <c r="Z15">
        <v>500</v>
      </c>
      <c r="AA15">
        <v>2000</v>
      </c>
      <c r="AD15">
        <v>7000</v>
      </c>
      <c r="AE15">
        <v>5000</v>
      </c>
      <c r="AF15">
        <v>3250</v>
      </c>
      <c r="AH15">
        <v>620</v>
      </c>
      <c r="AI15">
        <v>1875</v>
      </c>
      <c r="AK15">
        <v>250</v>
      </c>
      <c r="AL15">
        <v>3000</v>
      </c>
      <c r="AM15">
        <v>8000</v>
      </c>
      <c r="AN15">
        <v>250</v>
      </c>
      <c r="AT15">
        <v>1500</v>
      </c>
      <c r="AV15">
        <v>13998</v>
      </c>
      <c r="AX15" t="str" cm="1">
        <f t="array" ref="AX15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R15" s="45"/>
      <c r="BT15" s="45"/>
      <c r="BU15" s="45"/>
      <c r="BW15" s="45"/>
    </row>
    <row r="16" spans="1:87" x14ac:dyDescent="0.25">
      <c r="A16" s="35" t="str">
        <f>D1_ENERO_2026[[#This Row],[SUPER2]]</f>
        <v>KENNETH</v>
      </c>
      <c r="B16" s="34" t="str">
        <f>D1_ENERO_2026[[#This Row],[ASESOR]]</f>
        <v>DAVID SANCHEZ</v>
      </c>
      <c r="C16" s="36">
        <f>VLOOKUP(D1_ENERO_2026[[#This Row],[SUPER]],DATA_ENERO_2026[[SUPERVISOR]:[META]],3,0)</f>
        <v>27900</v>
      </c>
      <c r="D16" s="35">
        <f>D1_ENERO_2026[[#This Row],[RECUPERO]]/C16</f>
        <v>2.0576344086021505</v>
      </c>
      <c r="E16" s="35" t="s">
        <v>6</v>
      </c>
      <c r="F16" s="34" t="s">
        <v>81</v>
      </c>
      <c r="G16" s="36">
        <v>57408</v>
      </c>
      <c r="H16" s="34" t="s">
        <v>425</v>
      </c>
      <c r="I16" s="61">
        <v>45511</v>
      </c>
      <c r="J16" s="61" t="s">
        <v>501</v>
      </c>
      <c r="K16" s="61"/>
      <c r="L16" s="56"/>
      <c r="M16" s="5">
        <f>DATA_ENERO_2026[[#This Row],[RECUPERO]]/DATA_ENERO_2026[[#This Row],[META]]</f>
        <v>0.65453061224489795</v>
      </c>
      <c r="N16" s="5" t="str" cm="1">
        <f t="array" ref="N16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16" s="55" t="s">
        <v>125</v>
      </c>
      <c r="P16" s="6">
        <f>SUM(DATA_ENERO_2026[[#This Row],[1]:[31]])</f>
        <v>16036</v>
      </c>
      <c r="Q16" s="6">
        <v>24500</v>
      </c>
      <c r="R16" t="s">
        <v>41</v>
      </c>
      <c r="W16">
        <v>1486</v>
      </c>
      <c r="AA16">
        <v>200</v>
      </c>
      <c r="AD16">
        <v>2300</v>
      </c>
      <c r="AR16">
        <v>10450</v>
      </c>
      <c r="AU16">
        <v>1000</v>
      </c>
      <c r="AW16">
        <v>600</v>
      </c>
      <c r="AX16" t="str" cm="1">
        <f t="array" ref="AX16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BR16" s="45"/>
      <c r="BS16" s="45"/>
      <c r="BT16" s="45"/>
      <c r="BU16" s="45"/>
      <c r="BW16" s="45"/>
      <c r="BX16" s="45"/>
      <c r="BY16" s="45"/>
      <c r="CG16" s="45"/>
    </row>
    <row r="17" spans="1:86" x14ac:dyDescent="0.25">
      <c r="A17" s="35" t="str">
        <f>D1_ENERO_2026[[#This Row],[SUPER2]]</f>
        <v>JOHAN</v>
      </c>
      <c r="B17" s="34" t="str">
        <f>D1_ENERO_2026[[#This Row],[ASESOR]]</f>
        <v>ELVIS GUERRERA</v>
      </c>
      <c r="C17" s="36">
        <f>VLOOKUP(D1_ENERO_2026[[#This Row],[SUPER]],DATA_ENERO_2026[[SUPERVISOR]:[META]],3,0)</f>
        <v>24500</v>
      </c>
      <c r="D17" s="35">
        <f>D1_ENERO_2026[[#This Row],[RECUPERO]]/C17</f>
        <v>0.2502448979591837</v>
      </c>
      <c r="E17" s="35" t="s">
        <v>125</v>
      </c>
      <c r="F17" s="34" t="s">
        <v>377</v>
      </c>
      <c r="G17" s="36">
        <v>6131</v>
      </c>
      <c r="H17" s="34" t="s">
        <v>534</v>
      </c>
      <c r="I17" s="61">
        <v>46038</v>
      </c>
      <c r="J17" s="61" t="s">
        <v>501</v>
      </c>
      <c r="K17" s="61"/>
      <c r="L17" s="56"/>
      <c r="M17" s="5">
        <f>DATA_ENERO_2026[[#This Row],[RECUPERO]]/DATA_ENERO_2026[[#This Row],[META]]</f>
        <v>0.75376344086021507</v>
      </c>
      <c r="N17" s="5" t="str" cm="1">
        <f t="array" ref="N17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17" s="55" t="s">
        <v>6</v>
      </c>
      <c r="P17" s="6">
        <f>SUM(DATA_ENERO_2026[[#This Row],[1]:[31]])</f>
        <v>21030</v>
      </c>
      <c r="Q17" s="6">
        <v>27900</v>
      </c>
      <c r="R17" t="s">
        <v>80</v>
      </c>
      <c r="S17" s="45"/>
      <c r="T17">
        <v>3000</v>
      </c>
      <c r="X17">
        <v>8300</v>
      </c>
      <c r="AD17">
        <v>4200</v>
      </c>
      <c r="AE17">
        <v>3710</v>
      </c>
      <c r="AG17">
        <v>700</v>
      </c>
      <c r="AH17">
        <v>270</v>
      </c>
      <c r="AT17">
        <v>450</v>
      </c>
      <c r="AU17">
        <v>400</v>
      </c>
      <c r="AX17" t="str" cm="1">
        <f t="array" ref="AX17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Q17" s="45"/>
      <c r="BS17" s="45"/>
      <c r="BT17" s="47"/>
      <c r="BU17" s="47"/>
      <c r="BW17" s="47"/>
      <c r="BX17" s="45"/>
      <c r="BY17" s="45"/>
      <c r="CA17" s="45"/>
      <c r="CF17" s="45"/>
      <c r="CG17" s="45"/>
      <c r="CH17" s="45"/>
    </row>
    <row r="18" spans="1:86" x14ac:dyDescent="0.25">
      <c r="A18" s="35" t="str">
        <f>D1_ENERO_2026[[#This Row],[SUPER2]]</f>
        <v>MELINA</v>
      </c>
      <c r="B18" s="34" t="str">
        <f>D1_ENERO_2026[[#This Row],[ASESOR]]</f>
        <v>ERIKA VILLAR</v>
      </c>
      <c r="C18" s="36">
        <f>VLOOKUP(D1_ENERO_2026[[#This Row],[SUPER]],DATA_ENERO_2026[[SUPERVISOR]:[META]],3,0)</f>
        <v>48000</v>
      </c>
      <c r="D18" s="35">
        <f>D1_ENERO_2026[[#This Row],[RECUPERO]]/C18</f>
        <v>0.32129166666666664</v>
      </c>
      <c r="E18" s="35" t="s">
        <v>4</v>
      </c>
      <c r="F18" t="s">
        <v>72</v>
      </c>
      <c r="G18" s="36">
        <v>15422</v>
      </c>
      <c r="H18" s="34" t="s">
        <v>450</v>
      </c>
      <c r="I18" s="61">
        <v>45691</v>
      </c>
      <c r="J18" s="56" t="s">
        <v>501</v>
      </c>
      <c r="K18" s="56"/>
      <c r="L18" s="56"/>
      <c r="M18" s="5">
        <f>DATA_ENERO_2026[[#This Row],[RECUPERO]]/DATA_ENERO_2026[[#This Row],[META]]</f>
        <v>0.45053061224489793</v>
      </c>
      <c r="N18" s="5" t="str" cm="1">
        <f t="array" ref="N18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18" s="55" t="s">
        <v>125</v>
      </c>
      <c r="P18" s="6">
        <f>SUM(DATA_ENERO_2026[[#This Row],[1]:[31]])</f>
        <v>11038</v>
      </c>
      <c r="Q18" s="6">
        <v>24500</v>
      </c>
      <c r="R18" t="s">
        <v>40</v>
      </c>
      <c r="S18">
        <v>400</v>
      </c>
      <c r="AA18">
        <v>1000</v>
      </c>
      <c r="AD18">
        <v>600</v>
      </c>
      <c r="AE18">
        <v>200</v>
      </c>
      <c r="AG18">
        <v>2050</v>
      </c>
      <c r="AH18">
        <v>238</v>
      </c>
      <c r="AM18">
        <v>700</v>
      </c>
      <c r="AN18">
        <v>800</v>
      </c>
      <c r="AO18">
        <v>2000</v>
      </c>
      <c r="AS18">
        <v>950</v>
      </c>
      <c r="AT18">
        <v>700</v>
      </c>
      <c r="AV18">
        <v>1400</v>
      </c>
      <c r="AX18" t="str" cm="1">
        <f t="array" ref="AX18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BD18" s="45"/>
      <c r="BP18" s="45"/>
      <c r="BQ18" s="45"/>
      <c r="BR18" s="45"/>
      <c r="BS18" s="47"/>
      <c r="BT18" s="45"/>
      <c r="BU18" s="45"/>
      <c r="BW18" s="45"/>
      <c r="BX18" s="47"/>
      <c r="BY18" s="47"/>
      <c r="CA18" s="45"/>
      <c r="CB18" s="45"/>
      <c r="CF18" s="45"/>
      <c r="CG18" s="47"/>
      <c r="CH18" s="45"/>
    </row>
    <row r="19" spans="1:86" x14ac:dyDescent="0.25">
      <c r="A19" s="35" t="str">
        <f>D1_ENERO_2026[[#This Row],[SUPER2]]</f>
        <v>SANDY</v>
      </c>
      <c r="B19" s="34" t="str">
        <f>D1_ENERO_2026[[#This Row],[ASESOR]]</f>
        <v>FRANCO HUAMANI</v>
      </c>
      <c r="C19" s="36">
        <f>VLOOKUP(D1_ENERO_2026[[#This Row],[SUPER]],DATA_ENERO_2026[[SUPERVISOR]:[META]],3,0)</f>
        <v>48000</v>
      </c>
      <c r="D19" s="35">
        <f>D1_ENERO_2026[[#This Row],[RECUPERO]]/C19</f>
        <v>0.98322916666666671</v>
      </c>
      <c r="E19" s="35" t="s">
        <v>3</v>
      </c>
      <c r="F19" t="s">
        <v>24</v>
      </c>
      <c r="G19" s="36">
        <v>47195</v>
      </c>
      <c r="H19" s="34" t="s">
        <v>434</v>
      </c>
      <c r="I19" s="61">
        <v>45334</v>
      </c>
      <c r="J19" s="56" t="s">
        <v>501</v>
      </c>
      <c r="K19" s="56"/>
      <c r="L19" s="56"/>
      <c r="M19" s="5">
        <f>DATA_ENERO_2026[[#This Row],[RECUPERO]]/DATA_ENERO_2026[[#This Row],[META]]</f>
        <v>2.0576344086021505</v>
      </c>
      <c r="N19" s="5" t="str" cm="1">
        <f t="array" ref="N19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19" s="55" t="s">
        <v>6</v>
      </c>
      <c r="P19" s="6">
        <f>SUM(DATA_ENERO_2026[[#This Row],[1]:[31]])</f>
        <v>57408</v>
      </c>
      <c r="Q19" s="6">
        <v>27900</v>
      </c>
      <c r="R19" t="s">
        <v>81</v>
      </c>
      <c r="AA19">
        <v>28574</v>
      </c>
      <c r="AE19">
        <v>3925</v>
      </c>
      <c r="AG19">
        <v>500</v>
      </c>
      <c r="AH19">
        <v>1400</v>
      </c>
      <c r="AK19">
        <v>45</v>
      </c>
      <c r="AM19">
        <v>220</v>
      </c>
      <c r="AN19">
        <v>2500</v>
      </c>
      <c r="AR19">
        <v>4000</v>
      </c>
      <c r="AT19">
        <v>5300</v>
      </c>
      <c r="AU19">
        <v>5000</v>
      </c>
      <c r="AV19">
        <v>4791</v>
      </c>
      <c r="AW19">
        <v>1153</v>
      </c>
      <c r="AX19" t="str" cm="1">
        <f t="array" ref="AX19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D19" s="45"/>
      <c r="BP19" s="47"/>
      <c r="BQ19" s="47"/>
      <c r="BR19" s="45"/>
      <c r="BS19" s="47"/>
      <c r="BT19" s="45"/>
      <c r="BU19" s="45"/>
      <c r="BW19" s="45"/>
      <c r="BX19" s="47"/>
      <c r="BY19" s="47"/>
      <c r="CA19" s="45"/>
      <c r="CB19" s="45"/>
      <c r="CF19" s="47"/>
      <c r="CG19" s="47"/>
      <c r="CH19" s="47"/>
    </row>
    <row r="20" spans="1:86" x14ac:dyDescent="0.25">
      <c r="A20" s="35" t="str">
        <f>D1_ENERO_2026[[#This Row],[SUPER2]]</f>
        <v>KENNETH</v>
      </c>
      <c r="B20" s="34" t="str">
        <f>D1_ENERO_2026[[#This Row],[ASESOR]]</f>
        <v>FRANK PACORA</v>
      </c>
      <c r="C20" s="36">
        <f>VLOOKUP(D1_ENERO_2026[[#This Row],[SUPER]],DATA_ENERO_2026[[SUPERVISOR]:[META]],3,0)</f>
        <v>27900</v>
      </c>
      <c r="D20" s="35">
        <f>D1_ENERO_2026[[#This Row],[RECUPERO]]/C20</f>
        <v>1.4598566308243728</v>
      </c>
      <c r="E20" s="35" t="s">
        <v>6</v>
      </c>
      <c r="F20" t="s">
        <v>105</v>
      </c>
      <c r="G20" s="36">
        <v>40730</v>
      </c>
      <c r="H20" s="34" t="s">
        <v>463</v>
      </c>
      <c r="I20" s="61">
        <v>46027</v>
      </c>
      <c r="J20" s="56" t="s">
        <v>501</v>
      </c>
      <c r="K20" s="56"/>
      <c r="L20" s="56"/>
      <c r="M20" s="5">
        <f>DATA_ENERO_2026[[#This Row],[RECUPERO]]/DATA_ENERO_2026[[#This Row],[META]]</f>
        <v>0.2502448979591837</v>
      </c>
      <c r="N20" s="5" t="str" cm="1">
        <f t="array" ref="N20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&gt;0%</v>
      </c>
      <c r="O20" s="55" t="s">
        <v>125</v>
      </c>
      <c r="P20" s="6">
        <f>SUM(DATA_ENERO_2026[[#This Row],[1]:[31]])</f>
        <v>6131</v>
      </c>
      <c r="Q20" s="6">
        <v>24500</v>
      </c>
      <c r="R20" t="s">
        <v>377</v>
      </c>
      <c r="S20" s="45"/>
      <c r="AL20">
        <v>1900</v>
      </c>
      <c r="AR20">
        <v>500</v>
      </c>
      <c r="AT20">
        <v>1300</v>
      </c>
      <c r="AU20">
        <v>231</v>
      </c>
      <c r="AV20">
        <v>2200</v>
      </c>
      <c r="AX20" t="str" cm="1">
        <f t="array" ref="AX20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BD20" s="47"/>
      <c r="BP20" s="47"/>
      <c r="BQ20" s="45"/>
      <c r="BS20" s="45"/>
      <c r="BY20" s="45"/>
      <c r="CA20" s="45"/>
      <c r="CB20" s="47"/>
      <c r="CE20" s="45"/>
      <c r="CF20" s="47"/>
      <c r="CG20" s="45"/>
      <c r="CH20" s="47"/>
    </row>
    <row r="21" spans="1:86" x14ac:dyDescent="0.25">
      <c r="A21" s="35" t="str">
        <f>D1_ENERO_2026[[#This Row],[SUPER2]]</f>
        <v>MELINA</v>
      </c>
      <c r="B21" s="34" t="str">
        <f>D1_ENERO_2026[[#This Row],[ASESOR]]</f>
        <v>GENESIS VICUNA</v>
      </c>
      <c r="C21" s="36">
        <f>VLOOKUP(D1_ENERO_2026[[#This Row],[SUPER]],DATA_ENERO_2026[[SUPERVISOR]:[META]],3,0)</f>
        <v>48000</v>
      </c>
      <c r="D21" s="35">
        <f>D1_ENERO_2026[[#This Row],[RECUPERO]]/C21</f>
        <v>0.81270833333333337</v>
      </c>
      <c r="E21" s="35" t="s">
        <v>4</v>
      </c>
      <c r="F21" t="s">
        <v>12</v>
      </c>
      <c r="G21" s="36">
        <v>39010</v>
      </c>
      <c r="H21" s="34" t="s">
        <v>389</v>
      </c>
      <c r="I21" s="61">
        <v>44868</v>
      </c>
      <c r="J21" s="56" t="s">
        <v>501</v>
      </c>
      <c r="K21" s="56"/>
      <c r="L21" s="56"/>
      <c r="M21" s="5">
        <f>DATA_ENERO_2026[[#This Row],[RECUPERO]]/DATA_ENERO_2026[[#This Row],[META]]</f>
        <v>0.32129166666666664</v>
      </c>
      <c r="N21" s="5" t="str" cm="1">
        <f t="array" ref="N21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&gt;0%</v>
      </c>
      <c r="O21" s="55" t="s">
        <v>4</v>
      </c>
      <c r="P21" s="6">
        <f>SUM(DATA_ENERO_2026[[#This Row],[1]:[31]])</f>
        <v>15422</v>
      </c>
      <c r="Q21" s="6">
        <v>48000</v>
      </c>
      <c r="R21" t="s">
        <v>72</v>
      </c>
      <c r="S21">
        <v>660</v>
      </c>
      <c r="T21">
        <v>2500</v>
      </c>
      <c r="X21">
        <v>2000</v>
      </c>
      <c r="AD21">
        <v>250</v>
      </c>
      <c r="AG21">
        <v>800</v>
      </c>
      <c r="AK21">
        <v>0</v>
      </c>
      <c r="AL21">
        <v>500</v>
      </c>
      <c r="AM21">
        <v>2000</v>
      </c>
      <c r="AN21">
        <v>600</v>
      </c>
      <c r="AR21">
        <v>1850</v>
      </c>
      <c r="AV21">
        <v>3412</v>
      </c>
      <c r="AW21">
        <v>850</v>
      </c>
      <c r="AX21" t="str" cm="1">
        <f t="array" ref="AX21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D21" s="47"/>
      <c r="BP21" s="45"/>
      <c r="BQ21" s="45"/>
      <c r="CA21" s="45"/>
      <c r="CB21" s="47"/>
      <c r="CE21" s="45"/>
      <c r="CF21" s="45"/>
      <c r="CH21" s="45"/>
    </row>
    <row r="22" spans="1:86" x14ac:dyDescent="0.25">
      <c r="A22" s="35" t="str">
        <f>D1_ENERO_2026[[#This Row],[SUPER2]]</f>
        <v>JOHAN</v>
      </c>
      <c r="B22" s="34" t="str">
        <f>D1_ENERO_2026[[#This Row],[ASESOR]]</f>
        <v>GERALDINE ARROYO</v>
      </c>
      <c r="C22" s="36">
        <f>VLOOKUP(D1_ENERO_2026[[#This Row],[SUPER]],DATA_ENERO_2026[[SUPERVISOR]:[META]],3,0)</f>
        <v>24500</v>
      </c>
      <c r="D22" s="35">
        <f>D1_ENERO_2026[[#This Row],[RECUPERO]]/C22</f>
        <v>1.0315510204081633</v>
      </c>
      <c r="E22" s="35" t="s">
        <v>125</v>
      </c>
      <c r="F22" t="s">
        <v>51</v>
      </c>
      <c r="G22" s="36">
        <v>25273</v>
      </c>
      <c r="H22" s="34" t="s">
        <v>413</v>
      </c>
      <c r="I22" s="61">
        <v>45678</v>
      </c>
      <c r="J22" s="56" t="s">
        <v>501</v>
      </c>
      <c r="K22" s="56"/>
      <c r="L22" s="56"/>
      <c r="M22" s="5">
        <f>DATA_ENERO_2026[[#This Row],[RECUPERO]]/DATA_ENERO_2026[[#This Row],[META]]</f>
        <v>0.98322916666666671</v>
      </c>
      <c r="N22" s="5" t="str" cm="1">
        <f t="array" ref="N22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22" s="55" t="s">
        <v>3</v>
      </c>
      <c r="P22" s="6">
        <f>SUM(DATA_ENERO_2026[[#This Row],[1]:[31]])</f>
        <v>47195</v>
      </c>
      <c r="Q22" s="6">
        <v>48000</v>
      </c>
      <c r="R22" t="s">
        <v>24</v>
      </c>
      <c r="W22">
        <v>3230</v>
      </c>
      <c r="Y22">
        <v>3300</v>
      </c>
      <c r="Z22">
        <v>200</v>
      </c>
      <c r="AA22">
        <v>600</v>
      </c>
      <c r="AE22">
        <v>7435</v>
      </c>
      <c r="AF22">
        <v>3000</v>
      </c>
      <c r="AG22">
        <v>5900</v>
      </c>
      <c r="AH22">
        <v>250</v>
      </c>
      <c r="AL22">
        <v>600</v>
      </c>
      <c r="AM22">
        <v>500</v>
      </c>
      <c r="AR22">
        <v>800</v>
      </c>
      <c r="AS22">
        <v>2000</v>
      </c>
      <c r="AT22">
        <v>10000</v>
      </c>
      <c r="AU22">
        <v>1500</v>
      </c>
      <c r="AV22">
        <v>4880</v>
      </c>
      <c r="AW22">
        <v>3000</v>
      </c>
      <c r="AX22" t="str" cm="1">
        <f t="array" ref="AX22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D22" s="45"/>
      <c r="CA22" s="47"/>
      <c r="CB22" s="45"/>
      <c r="CE22" s="45"/>
    </row>
    <row r="23" spans="1:86" x14ac:dyDescent="0.25">
      <c r="A23" s="35" t="str">
        <f>D1_ENERO_2026[[#This Row],[SUPER2]]</f>
        <v>SANDY</v>
      </c>
      <c r="B23" s="34" t="str">
        <f>D1_ENERO_2026[[#This Row],[ASESOR]]</f>
        <v>GIANFRANCO PINEDO</v>
      </c>
      <c r="C23" s="36">
        <f>VLOOKUP(D1_ENERO_2026[[#This Row],[SUPER]],DATA_ENERO_2026[[SUPERVISOR]:[META]],3,0)</f>
        <v>48000</v>
      </c>
      <c r="D23" s="35">
        <f>D1_ENERO_2026[[#This Row],[RECUPERO]]/C23</f>
        <v>1.2952604166666666</v>
      </c>
      <c r="E23" s="35" t="s">
        <v>3</v>
      </c>
      <c r="F23" t="s">
        <v>13</v>
      </c>
      <c r="G23" s="36">
        <v>62172.5</v>
      </c>
      <c r="H23" s="34" t="s">
        <v>382</v>
      </c>
      <c r="I23" s="61">
        <v>44809</v>
      </c>
      <c r="J23" s="56" t="s">
        <v>501</v>
      </c>
      <c r="K23" s="56"/>
      <c r="L23" s="56"/>
      <c r="M23" s="5">
        <f>DATA_ENERO_2026[[#This Row],[RECUPERO]]/DATA_ENERO_2026[[#This Row],[META]]</f>
        <v>1.4598566308243728</v>
      </c>
      <c r="N23" s="5" t="str" cm="1">
        <f t="array" ref="N23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23" s="55" t="s">
        <v>6</v>
      </c>
      <c r="P23" s="6">
        <f>SUM(DATA_ENERO_2026[[#This Row],[1]:[31]])</f>
        <v>40730</v>
      </c>
      <c r="Q23" s="6">
        <v>27900</v>
      </c>
      <c r="R23" t="s">
        <v>105</v>
      </c>
      <c r="Z23">
        <v>20000</v>
      </c>
      <c r="AA23">
        <v>600</v>
      </c>
      <c r="AG23">
        <v>605</v>
      </c>
      <c r="AK23">
        <v>1000</v>
      </c>
      <c r="AR23">
        <v>200</v>
      </c>
      <c r="AS23">
        <v>10000</v>
      </c>
      <c r="AU23">
        <v>3000</v>
      </c>
      <c r="AV23">
        <v>5325</v>
      </c>
      <c r="AX23" t="str" cm="1">
        <f t="array" ref="AX23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CA23" s="45"/>
    </row>
    <row r="24" spans="1:86" x14ac:dyDescent="0.25">
      <c r="A24" s="35" t="str">
        <f>D1_ENERO_2026[[#This Row],[SUPER2]]</f>
        <v>SANDY</v>
      </c>
      <c r="B24" s="34" t="str">
        <f>D1_ENERO_2026[[#This Row],[ASESOR]]</f>
        <v>GIANNINA AGUILAR</v>
      </c>
      <c r="C24" s="36">
        <f>VLOOKUP(D1_ENERO_2026[[#This Row],[SUPER]],DATA_ENERO_2026[[SUPERVISOR]:[META]],3,0)</f>
        <v>48000</v>
      </c>
      <c r="D24" s="35">
        <f>D1_ENERO_2026[[#This Row],[RECUPERO]]/C24</f>
        <v>1.8912500000000001</v>
      </c>
      <c r="E24" s="35" t="s">
        <v>3</v>
      </c>
      <c r="F24" t="s">
        <v>32</v>
      </c>
      <c r="G24" s="36">
        <v>90780</v>
      </c>
      <c r="H24" s="34" t="s">
        <v>390</v>
      </c>
      <c r="I24" s="61">
        <v>45526</v>
      </c>
      <c r="J24" s="56" t="s">
        <v>501</v>
      </c>
      <c r="K24" s="56"/>
      <c r="L24" s="56"/>
      <c r="M24" s="5">
        <f>DATA_ENERO_2026[[#This Row],[RECUPERO]]/DATA_ENERO_2026[[#This Row],[META]]</f>
        <v>0.81270833333333337</v>
      </c>
      <c r="N24" s="5" t="str" cm="1">
        <f t="array" ref="N24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24" s="55" t="s">
        <v>4</v>
      </c>
      <c r="P24" s="6">
        <f>SUM(DATA_ENERO_2026[[#This Row],[1]:[31]])</f>
        <v>39010</v>
      </c>
      <c r="Q24" s="6">
        <v>48000</v>
      </c>
      <c r="R24" t="s">
        <v>12</v>
      </c>
      <c r="T24">
        <v>1300</v>
      </c>
      <c r="W24">
        <v>3230</v>
      </c>
      <c r="Y24">
        <v>6700</v>
      </c>
      <c r="Z24">
        <v>2800</v>
      </c>
      <c r="AA24">
        <v>750</v>
      </c>
      <c r="AE24">
        <v>6500</v>
      </c>
      <c r="AG24">
        <v>2500</v>
      </c>
      <c r="AI24">
        <v>750</v>
      </c>
      <c r="AM24">
        <v>315</v>
      </c>
      <c r="AO24">
        <v>5000</v>
      </c>
      <c r="AR24">
        <v>150</v>
      </c>
      <c r="AT24">
        <v>3000</v>
      </c>
      <c r="AU24">
        <v>2300</v>
      </c>
      <c r="AV24">
        <v>2790</v>
      </c>
      <c r="AW24">
        <v>925</v>
      </c>
      <c r="AX24" t="str" cm="1">
        <f t="array" ref="AX24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CE24" s="45"/>
    </row>
    <row r="25" spans="1:86" x14ac:dyDescent="0.25">
      <c r="A25" s="35" t="str">
        <f>D1_ENERO_2026[[#This Row],[SUPER2]]</f>
        <v>JORGE</v>
      </c>
      <c r="B25" s="34" t="str">
        <f>D1_ENERO_2026[[#This Row],[ASESOR]]</f>
        <v>HAROLD FLORES</v>
      </c>
      <c r="C25" s="36">
        <f>VLOOKUP(D1_ENERO_2026[[#This Row],[SUPER]],DATA_ENERO_2026[[SUPERVISOR]:[META]],3,0)</f>
        <v>32600</v>
      </c>
      <c r="D25" s="35">
        <f>D1_ENERO_2026[[#This Row],[RECUPERO]]/C25</f>
        <v>0.9349119631901841</v>
      </c>
      <c r="E25" s="35" t="s">
        <v>2</v>
      </c>
      <c r="F25" t="s">
        <v>42</v>
      </c>
      <c r="G25" s="36">
        <v>30478.13</v>
      </c>
      <c r="H25" s="34" t="s">
        <v>415</v>
      </c>
      <c r="I25" s="61">
        <v>45398</v>
      </c>
      <c r="J25" s="56" t="s">
        <v>501</v>
      </c>
      <c r="K25" s="56"/>
      <c r="L25" s="56"/>
      <c r="M25" s="5">
        <f>DATA_ENERO_2026[[#This Row],[RECUPERO]]/DATA_ENERO_2026[[#This Row],[META]]</f>
        <v>1.0315510204081633</v>
      </c>
      <c r="N25" s="5" t="str" cm="1">
        <f t="array" ref="N25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25" s="55" t="s">
        <v>125</v>
      </c>
      <c r="P25" s="6">
        <f>SUM(DATA_ENERO_2026[[#This Row],[1]:[31]])</f>
        <v>25273</v>
      </c>
      <c r="Q25" s="6">
        <v>24500</v>
      </c>
      <c r="R25" t="s">
        <v>51</v>
      </c>
      <c r="W25">
        <v>400</v>
      </c>
      <c r="AA25">
        <v>4000</v>
      </c>
      <c r="AD25">
        <v>2500</v>
      </c>
      <c r="AG25">
        <v>273</v>
      </c>
      <c r="AK25">
        <v>500</v>
      </c>
      <c r="AL25">
        <v>300</v>
      </c>
      <c r="AM25">
        <v>10000</v>
      </c>
      <c r="AN25">
        <v>1300</v>
      </c>
      <c r="AO25">
        <v>1500</v>
      </c>
      <c r="AS25">
        <v>2000</v>
      </c>
      <c r="AT25">
        <v>2500</v>
      </c>
      <c r="AX25" t="str" cm="1">
        <f t="array" ref="AX25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26" spans="1:86" x14ac:dyDescent="0.25">
      <c r="A26" s="35" t="str">
        <f>D1_ENERO_2026[[#This Row],[SUPER2]]</f>
        <v>KENNETH</v>
      </c>
      <c r="B26" s="34" t="str">
        <f>D1_ENERO_2026[[#This Row],[ASESOR]]</f>
        <v>JENY LAZARO</v>
      </c>
      <c r="C26" s="36">
        <f>VLOOKUP(D1_ENERO_2026[[#This Row],[SUPER]],DATA_ENERO_2026[[SUPERVISOR]:[META]],3,0)</f>
        <v>27900</v>
      </c>
      <c r="D26" s="35">
        <f>D1_ENERO_2026[[#This Row],[RECUPERO]]/C26</f>
        <v>1.5908960573476703</v>
      </c>
      <c r="E26" s="35" t="s">
        <v>6</v>
      </c>
      <c r="F26" t="s">
        <v>26</v>
      </c>
      <c r="G26" s="36">
        <v>44386</v>
      </c>
      <c r="H26" s="34" t="s">
        <v>391</v>
      </c>
      <c r="I26" s="61">
        <v>44257</v>
      </c>
      <c r="J26" s="56" t="s">
        <v>501</v>
      </c>
      <c r="K26" s="56"/>
      <c r="L26" s="56"/>
      <c r="M26" s="5">
        <f>DATA_ENERO_2026[[#This Row],[RECUPERO]]/DATA_ENERO_2026[[#This Row],[META]]</f>
        <v>1.2952604166666666</v>
      </c>
      <c r="N26" s="5" t="str" cm="1">
        <f t="array" ref="N26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26" s="55" t="s">
        <v>3</v>
      </c>
      <c r="P26" s="6">
        <f>SUM(DATA_ENERO_2026[[#This Row],[1]:[31]])</f>
        <v>62172.5</v>
      </c>
      <c r="Q26" s="6">
        <v>48000</v>
      </c>
      <c r="R26" t="s">
        <v>13</v>
      </c>
      <c r="W26">
        <v>700</v>
      </c>
      <c r="X26">
        <v>2000</v>
      </c>
      <c r="Z26">
        <v>3000</v>
      </c>
      <c r="AA26">
        <v>2500</v>
      </c>
      <c r="AE26">
        <v>5000</v>
      </c>
      <c r="AF26">
        <v>700</v>
      </c>
      <c r="AG26">
        <v>2500</v>
      </c>
      <c r="AH26">
        <v>1000</v>
      </c>
      <c r="AK26">
        <v>2500</v>
      </c>
      <c r="AM26">
        <v>7000</v>
      </c>
      <c r="AN26">
        <v>5000</v>
      </c>
      <c r="AO26">
        <v>350</v>
      </c>
      <c r="AR26">
        <v>3500</v>
      </c>
      <c r="AS26">
        <v>250</v>
      </c>
      <c r="AT26">
        <v>5852</v>
      </c>
      <c r="AU26">
        <v>13000</v>
      </c>
      <c r="AV26">
        <v>2500</v>
      </c>
      <c r="AW26">
        <v>4820.5</v>
      </c>
      <c r="AX26" t="str" cm="1">
        <f t="array" ref="AX26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7" spans="1:86" x14ac:dyDescent="0.25">
      <c r="A27" s="35" t="str">
        <f>D1_ENERO_2026[[#This Row],[SUPER2]]</f>
        <v>MELINA</v>
      </c>
      <c r="B27" s="34" t="str">
        <f>D1_ENERO_2026[[#This Row],[ASESOR]]</f>
        <v>JEREMIAS ROJAS</v>
      </c>
      <c r="C27" s="36">
        <f>VLOOKUP(D1_ENERO_2026[[#This Row],[SUPER]],DATA_ENERO_2026[[SUPERVISOR]:[META]],3,0)</f>
        <v>48000</v>
      </c>
      <c r="D27" s="35">
        <f>D1_ENERO_2026[[#This Row],[RECUPERO]]/C27</f>
        <v>0.70343750000000005</v>
      </c>
      <c r="E27" s="35" t="s">
        <v>4</v>
      </c>
      <c r="F27" t="s">
        <v>122</v>
      </c>
      <c r="G27" s="36">
        <v>33765</v>
      </c>
      <c r="H27" s="34" t="s">
        <v>426</v>
      </c>
      <c r="I27" s="61">
        <v>45971</v>
      </c>
      <c r="J27" s="56" t="s">
        <v>501</v>
      </c>
      <c r="K27" s="56"/>
      <c r="L27" s="56"/>
      <c r="M27" s="5">
        <f>DATA_ENERO_2026[[#This Row],[RECUPERO]]/DATA_ENERO_2026[[#This Row],[META]]</f>
        <v>1.8912500000000001</v>
      </c>
      <c r="N27" s="5" t="str" cm="1">
        <f t="array" ref="N27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27" s="55" t="s">
        <v>3</v>
      </c>
      <c r="P27" s="6">
        <f>SUM(DATA_ENERO_2026[[#This Row],[1]:[31]])</f>
        <v>90780</v>
      </c>
      <c r="Q27" s="6">
        <v>48000</v>
      </c>
      <c r="R27" t="s">
        <v>32</v>
      </c>
      <c r="U27">
        <v>512</v>
      </c>
      <c r="W27">
        <v>600</v>
      </c>
      <c r="X27">
        <v>3598</v>
      </c>
      <c r="Y27">
        <v>1800</v>
      </c>
      <c r="AA27">
        <v>7000</v>
      </c>
      <c r="AE27">
        <v>8350</v>
      </c>
      <c r="AG27">
        <v>710</v>
      </c>
      <c r="AH27">
        <v>30500</v>
      </c>
      <c r="AK27">
        <v>3400</v>
      </c>
      <c r="AL27">
        <v>150</v>
      </c>
      <c r="AM27">
        <v>2525</v>
      </c>
      <c r="AN27">
        <v>600</v>
      </c>
      <c r="AO27">
        <v>25065</v>
      </c>
      <c r="AR27">
        <v>600</v>
      </c>
      <c r="AT27">
        <v>2250</v>
      </c>
      <c r="AU27">
        <v>1150</v>
      </c>
      <c r="AV27">
        <v>1100</v>
      </c>
      <c r="AW27">
        <v>870</v>
      </c>
      <c r="AX27" t="str" cm="1">
        <f t="array" ref="AX27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8" spans="1:86" x14ac:dyDescent="0.25">
      <c r="A28" s="35" t="str">
        <f>D1_ENERO_2026[[#This Row],[SUPER2]]</f>
        <v>SANDY</v>
      </c>
      <c r="B28" s="34" t="str">
        <f>D1_ENERO_2026[[#This Row],[ASESOR]]</f>
        <v>JESSICA MELGAREJO</v>
      </c>
      <c r="C28" s="36">
        <f>VLOOKUP(D1_ENERO_2026[[#This Row],[SUPER]],DATA_ENERO_2026[[SUPERVISOR]:[META]],3,0)</f>
        <v>48000</v>
      </c>
      <c r="D28" s="35">
        <f>D1_ENERO_2026[[#This Row],[RECUPERO]]/C28</f>
        <v>1.286375</v>
      </c>
      <c r="E28" s="35" t="s">
        <v>3</v>
      </c>
      <c r="F28" t="s">
        <v>96</v>
      </c>
      <c r="G28" s="36">
        <v>61746</v>
      </c>
      <c r="H28" s="34" t="s">
        <v>437</v>
      </c>
      <c r="I28" s="61">
        <v>45882</v>
      </c>
      <c r="J28" s="56" t="s">
        <v>501</v>
      </c>
      <c r="K28" s="56"/>
      <c r="L28" s="56"/>
      <c r="M28" s="5">
        <f>DATA_ENERO_2026[[#This Row],[RECUPERO]]/DATA_ENERO_2026[[#This Row],[META]]</f>
        <v>0.9349119631901841</v>
      </c>
      <c r="N28" s="5" t="str" cm="1">
        <f t="array" ref="N28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28" s="55" t="s">
        <v>2</v>
      </c>
      <c r="P28" s="6">
        <f>SUM(DATA_ENERO_2026[[#This Row],[1]:[31]])</f>
        <v>30478.13</v>
      </c>
      <c r="Q28" s="6">
        <v>32600</v>
      </c>
      <c r="R28" t="s">
        <v>42</v>
      </c>
      <c r="W28">
        <v>1650</v>
      </c>
      <c r="Y28">
        <v>1825</v>
      </c>
      <c r="AE28">
        <v>5000</v>
      </c>
      <c r="AF28">
        <v>4631.13</v>
      </c>
      <c r="AG28">
        <v>125</v>
      </c>
      <c r="AH28">
        <v>1215</v>
      </c>
      <c r="AM28">
        <v>3860</v>
      </c>
      <c r="AN28">
        <v>5200</v>
      </c>
      <c r="AR28">
        <v>4910</v>
      </c>
      <c r="AS28">
        <v>232</v>
      </c>
      <c r="AV28">
        <v>350</v>
      </c>
      <c r="AW28">
        <v>1480</v>
      </c>
      <c r="AX28" t="str" cm="1">
        <f t="array" ref="AX28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29" spans="1:86" x14ac:dyDescent="0.25">
      <c r="A29" s="35" t="str">
        <f>D1_ENERO_2026[[#This Row],[SUPER2]]</f>
        <v>SANDY</v>
      </c>
      <c r="B29" s="34" t="str">
        <f>D1_ENERO_2026[[#This Row],[ASESOR]]</f>
        <v>JHONATAN CHAVEZ</v>
      </c>
      <c r="C29" s="36">
        <f>VLOOKUP(D1_ENERO_2026[[#This Row],[SUPER]],DATA_ENERO_2026[[SUPERVISOR]:[META]],3,0)</f>
        <v>48000</v>
      </c>
      <c r="D29" s="35">
        <f>D1_ENERO_2026[[#This Row],[RECUPERO]]/C29</f>
        <v>0.73114583333333338</v>
      </c>
      <c r="E29" s="35" t="s">
        <v>3</v>
      </c>
      <c r="F29" t="s">
        <v>65</v>
      </c>
      <c r="G29" s="36">
        <v>35095</v>
      </c>
      <c r="H29" s="34" t="s">
        <v>438</v>
      </c>
      <c r="I29" s="61">
        <v>45019</v>
      </c>
      <c r="J29" s="56" t="s">
        <v>501</v>
      </c>
      <c r="K29" s="56"/>
      <c r="L29" s="56"/>
      <c r="M29" s="5">
        <f>DATA_ENERO_2026[[#This Row],[RECUPERO]]/DATA_ENERO_2026[[#This Row],[META]]</f>
        <v>1.5908960573476703</v>
      </c>
      <c r="N29" s="5" t="str" cm="1">
        <f t="array" ref="N29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29" s="55" t="s">
        <v>6</v>
      </c>
      <c r="P29" s="6">
        <f>SUM(DATA_ENERO_2026[[#This Row],[1]:[31]])</f>
        <v>44386</v>
      </c>
      <c r="Q29" s="6">
        <v>27900</v>
      </c>
      <c r="R29" t="s">
        <v>26</v>
      </c>
      <c r="T29">
        <v>1500</v>
      </c>
      <c r="X29">
        <v>3500</v>
      </c>
      <c r="Y29">
        <v>950</v>
      </c>
      <c r="AG29">
        <v>1263</v>
      </c>
      <c r="AH29">
        <v>2000</v>
      </c>
      <c r="AK29">
        <v>600</v>
      </c>
      <c r="AM29">
        <v>5850</v>
      </c>
      <c r="AN29">
        <v>3300</v>
      </c>
      <c r="AS29">
        <v>17023</v>
      </c>
      <c r="AT29">
        <v>4900</v>
      </c>
      <c r="AV29">
        <v>3500</v>
      </c>
      <c r="AX29" t="str" cm="1">
        <f t="array" ref="AX29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0" spans="1:86" x14ac:dyDescent="0.25">
      <c r="A30" s="35" t="str">
        <f>D1_ENERO_2026[[#This Row],[SUPER2]]</f>
        <v>KENNETH</v>
      </c>
      <c r="B30" s="34" t="str">
        <f>D1_ENERO_2026[[#This Row],[ASESOR]]</f>
        <v>JIMENA MEDINA</v>
      </c>
      <c r="C30" s="36">
        <f>VLOOKUP(D1_ENERO_2026[[#This Row],[SUPER]],DATA_ENERO_2026[[SUPERVISOR]:[META]],3,0)</f>
        <v>27900</v>
      </c>
      <c r="D30" s="35">
        <f>D1_ENERO_2026[[#This Row],[RECUPERO]]/C30</f>
        <v>0.21985663082437276</v>
      </c>
      <c r="E30" s="35" t="s">
        <v>6</v>
      </c>
      <c r="F30" t="s">
        <v>37</v>
      </c>
      <c r="G30" s="36">
        <v>6134</v>
      </c>
      <c r="H30" s="34" t="s">
        <v>400</v>
      </c>
      <c r="I30" s="61">
        <v>45112</v>
      </c>
      <c r="J30" s="56" t="s">
        <v>501</v>
      </c>
      <c r="K30" s="56"/>
      <c r="L30" s="56"/>
      <c r="M30" s="5">
        <f>DATA_ENERO_2026[[#This Row],[RECUPERO]]/DATA_ENERO_2026[[#This Row],[META]]</f>
        <v>0.70343750000000005</v>
      </c>
      <c r="N30" s="5" t="str" cm="1">
        <f t="array" ref="N30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30" s="55" t="s">
        <v>4</v>
      </c>
      <c r="P30" s="6">
        <f>SUM(DATA_ENERO_2026[[#This Row],[1]:[31]])</f>
        <v>33765</v>
      </c>
      <c r="Q30" s="6">
        <v>48000</v>
      </c>
      <c r="R30" t="s">
        <v>122</v>
      </c>
      <c r="U30">
        <v>1030</v>
      </c>
      <c r="W30">
        <v>10000</v>
      </c>
      <c r="X30">
        <v>500</v>
      </c>
      <c r="AA30">
        <v>5300</v>
      </c>
      <c r="AG30">
        <v>1900</v>
      </c>
      <c r="AL30">
        <v>535</v>
      </c>
      <c r="AU30">
        <v>13000</v>
      </c>
      <c r="AW30">
        <v>1500</v>
      </c>
      <c r="AX30" t="str" cm="1">
        <f t="array" ref="AX30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1" spans="1:86" x14ac:dyDescent="0.25">
      <c r="A31" s="35" t="str">
        <f>D1_ENERO_2026[[#This Row],[SUPER2]]</f>
        <v>JOHAN</v>
      </c>
      <c r="B31" s="34" t="str">
        <f>D1_ENERO_2026[[#This Row],[ASESOR]]</f>
        <v>JUAN ALANOCCA</v>
      </c>
      <c r="C31" s="36">
        <f>VLOOKUP(D1_ENERO_2026[[#This Row],[SUPER]],DATA_ENERO_2026[[SUPERVISOR]:[META]],3,0)</f>
        <v>24500</v>
      </c>
      <c r="D31" s="35">
        <f>D1_ENERO_2026[[#This Row],[RECUPERO]]/C31</f>
        <v>1.8593142857142857</v>
      </c>
      <c r="E31" s="35" t="s">
        <v>125</v>
      </c>
      <c r="F31" t="s">
        <v>77</v>
      </c>
      <c r="G31" s="36">
        <v>45553.2</v>
      </c>
      <c r="H31" s="34" t="s">
        <v>393</v>
      </c>
      <c r="I31" s="61">
        <v>44838</v>
      </c>
      <c r="J31" s="56" t="s">
        <v>501</v>
      </c>
      <c r="K31" s="56"/>
      <c r="L31" s="56"/>
      <c r="M31" s="5">
        <f>DATA_ENERO_2026[[#This Row],[RECUPERO]]/DATA_ENERO_2026[[#This Row],[META]]</f>
        <v>1.286375</v>
      </c>
      <c r="N31" s="5" t="str" cm="1">
        <f t="array" ref="N31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31" s="55" t="s">
        <v>3</v>
      </c>
      <c r="P31" s="6">
        <f>SUM(DATA_ENERO_2026[[#This Row],[1]:[31]])</f>
        <v>61746</v>
      </c>
      <c r="Q31" s="6">
        <v>48000</v>
      </c>
      <c r="R31" t="s">
        <v>96</v>
      </c>
      <c r="Z31">
        <v>2100</v>
      </c>
      <c r="AA31">
        <v>23100</v>
      </c>
      <c r="AD31">
        <v>1200</v>
      </c>
      <c r="AE31">
        <v>7520</v>
      </c>
      <c r="AG31">
        <v>10890</v>
      </c>
      <c r="AM31">
        <v>7000</v>
      </c>
      <c r="AN31">
        <v>780</v>
      </c>
      <c r="AR31">
        <v>750</v>
      </c>
      <c r="AS31">
        <v>2500</v>
      </c>
      <c r="AT31">
        <v>2500</v>
      </c>
      <c r="AU31">
        <v>663</v>
      </c>
      <c r="AV31">
        <v>1930</v>
      </c>
      <c r="AW31">
        <v>813</v>
      </c>
      <c r="AX31" t="str" cm="1">
        <f t="array" ref="AX31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2" spans="1:86" x14ac:dyDescent="0.25">
      <c r="A32" s="35" t="str">
        <f>D1_ENERO_2026[[#This Row],[SUPER2]]</f>
        <v>KENNETH</v>
      </c>
      <c r="B32" s="34" t="str">
        <f>D1_ENERO_2026[[#This Row],[ASESOR]]</f>
        <v>JUAN LOZA</v>
      </c>
      <c r="C32" s="36">
        <f>VLOOKUP(D1_ENERO_2026[[#This Row],[SUPER]],DATA_ENERO_2026[[SUPERVISOR]:[META]],3,0)</f>
        <v>27900</v>
      </c>
      <c r="D32" s="35">
        <f>D1_ENERO_2026[[#This Row],[RECUPERO]]/C32</f>
        <v>0.40724372759856631</v>
      </c>
      <c r="E32" s="35" t="s">
        <v>6</v>
      </c>
      <c r="F32" t="s">
        <v>35</v>
      </c>
      <c r="G32" s="36">
        <v>11362.1</v>
      </c>
      <c r="H32" s="34" t="s">
        <v>401</v>
      </c>
      <c r="I32" s="61">
        <v>44746</v>
      </c>
      <c r="J32" s="56" t="s">
        <v>501</v>
      </c>
      <c r="K32" s="56"/>
      <c r="L32" s="56"/>
      <c r="M32" s="5">
        <f>DATA_ENERO_2026[[#This Row],[RECUPERO]]/DATA_ENERO_2026[[#This Row],[META]]</f>
        <v>0.73114583333333338</v>
      </c>
      <c r="N32" s="5" t="str" cm="1">
        <f t="array" ref="N32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32" s="55" t="s">
        <v>3</v>
      </c>
      <c r="P32" s="6">
        <f>SUM(DATA_ENERO_2026[[#This Row],[1]:[31]])</f>
        <v>35095</v>
      </c>
      <c r="Q32" s="6">
        <v>48000</v>
      </c>
      <c r="R32" t="s">
        <v>65</v>
      </c>
      <c r="T32">
        <v>700</v>
      </c>
      <c r="W32">
        <v>281</v>
      </c>
      <c r="AA32">
        <v>2300</v>
      </c>
      <c r="AD32">
        <v>1000</v>
      </c>
      <c r="AE32">
        <v>1000</v>
      </c>
      <c r="AF32">
        <v>4700</v>
      </c>
      <c r="AG32">
        <v>3000</v>
      </c>
      <c r="AL32">
        <v>2700</v>
      </c>
      <c r="AM32">
        <v>5500</v>
      </c>
      <c r="AO32">
        <v>2329</v>
      </c>
      <c r="AS32">
        <v>4450</v>
      </c>
      <c r="AV32">
        <v>5274</v>
      </c>
      <c r="AW32">
        <v>1861</v>
      </c>
      <c r="AX32" t="str" cm="1">
        <f t="array" ref="AX32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3" spans="1:50" x14ac:dyDescent="0.25">
      <c r="A33" s="35" t="str">
        <f>D1_ENERO_2026[[#This Row],[SUPER2]]</f>
        <v>KENNETH</v>
      </c>
      <c r="B33" s="34" t="str">
        <f>D1_ENERO_2026[[#This Row],[ASESOR]]</f>
        <v>KIARA CANEPA</v>
      </c>
      <c r="C33" s="36">
        <f>VLOOKUP(D1_ENERO_2026[[#This Row],[SUPER]],DATA_ENERO_2026[[SUPERVISOR]:[META]],3,0)</f>
        <v>27900</v>
      </c>
      <c r="D33" s="35">
        <f>D1_ENERO_2026[[#This Row],[RECUPERO]]/C33</f>
        <v>1.2897132616487454</v>
      </c>
      <c r="E33" s="35" t="s">
        <v>6</v>
      </c>
      <c r="F33" t="s">
        <v>50</v>
      </c>
      <c r="G33" s="36">
        <v>35983</v>
      </c>
      <c r="H33" s="34" t="s">
        <v>402</v>
      </c>
      <c r="I33" s="61">
        <v>45789</v>
      </c>
      <c r="J33" s="56" t="s">
        <v>501</v>
      </c>
      <c r="K33" s="56"/>
      <c r="L33" s="56"/>
      <c r="M33" s="5">
        <f>DATA_ENERO_2026[[#This Row],[RECUPERO]]/DATA_ENERO_2026[[#This Row],[META]]</f>
        <v>0.21985663082437276</v>
      </c>
      <c r="N33" s="5" t="str" cm="1">
        <f t="array" ref="N33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&gt;0%</v>
      </c>
      <c r="O33" s="55" t="s">
        <v>6</v>
      </c>
      <c r="P33" s="6">
        <f>SUM(DATA_ENERO_2026[[#This Row],[1]:[31]])</f>
        <v>6134</v>
      </c>
      <c r="Q33" s="6">
        <v>27900</v>
      </c>
      <c r="R33" t="s">
        <v>37</v>
      </c>
      <c r="S33" s="45"/>
      <c r="AE33">
        <v>148</v>
      </c>
      <c r="AF33">
        <v>286</v>
      </c>
      <c r="AS33">
        <v>3000</v>
      </c>
      <c r="AU33">
        <v>2400</v>
      </c>
      <c r="AW33">
        <v>300</v>
      </c>
      <c r="AX33" t="str" cm="1">
        <f t="array" ref="AX33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4" spans="1:50" x14ac:dyDescent="0.25">
      <c r="A34" s="35" t="str">
        <f>D1_ENERO_2026[[#This Row],[SUPER2]]</f>
        <v>SANDY</v>
      </c>
      <c r="B34" s="34" t="str">
        <f>D1_ENERO_2026[[#This Row],[ASESOR]]</f>
        <v>LINDA TUESTA</v>
      </c>
      <c r="C34" s="36">
        <f>VLOOKUP(D1_ENERO_2026[[#This Row],[SUPER]],DATA_ENERO_2026[[SUPERVISOR]:[META]],3,0)</f>
        <v>48000</v>
      </c>
      <c r="D34" s="35">
        <f>D1_ENERO_2026[[#This Row],[RECUPERO]]/C34</f>
        <v>0.5482083333333333</v>
      </c>
      <c r="E34" s="35" t="s">
        <v>3</v>
      </c>
      <c r="F34" t="s">
        <v>33</v>
      </c>
      <c r="G34" s="36">
        <v>26314</v>
      </c>
      <c r="H34" s="34" t="s">
        <v>439</v>
      </c>
      <c r="I34" s="61">
        <v>44867</v>
      </c>
      <c r="J34" s="56" t="s">
        <v>501</v>
      </c>
      <c r="K34" s="56"/>
      <c r="L34" s="56"/>
      <c r="M34" s="5">
        <f>DATA_ENERO_2026[[#This Row],[RECUPERO]]/DATA_ENERO_2026[[#This Row],[META]]</f>
        <v>1.8593142857142857</v>
      </c>
      <c r="N34" s="5" t="str" cm="1">
        <f t="array" ref="N34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34" s="55" t="s">
        <v>125</v>
      </c>
      <c r="P34" s="6">
        <f>SUM(DATA_ENERO_2026[[#This Row],[1]:[31]])</f>
        <v>45553.2</v>
      </c>
      <c r="Q34" s="6">
        <v>24500</v>
      </c>
      <c r="R34" t="s">
        <v>77</v>
      </c>
      <c r="T34">
        <v>200</v>
      </c>
      <c r="W34">
        <v>4150</v>
      </c>
      <c r="X34">
        <v>3000</v>
      </c>
      <c r="Y34">
        <v>3500</v>
      </c>
      <c r="AA34">
        <v>400</v>
      </c>
      <c r="AD34">
        <v>1522</v>
      </c>
      <c r="AG34">
        <v>15700</v>
      </c>
      <c r="AH34">
        <v>481</v>
      </c>
      <c r="AK34">
        <v>5000</v>
      </c>
      <c r="AR34">
        <v>4500.2</v>
      </c>
      <c r="AU34">
        <v>400</v>
      </c>
      <c r="AV34">
        <v>6200</v>
      </c>
      <c r="AW34">
        <v>500</v>
      </c>
      <c r="AX34" t="str" cm="1">
        <f t="array" ref="AX34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35" spans="1:50" x14ac:dyDescent="0.25">
      <c r="A35" s="35" t="str">
        <f>D1_ENERO_2026[[#This Row],[SUPER2]]</f>
        <v>SANDY</v>
      </c>
      <c r="B35" s="34" t="str">
        <f>D1_ENERO_2026[[#This Row],[ASESOR]]</f>
        <v>LISELY MERA</v>
      </c>
      <c r="C35" s="36">
        <f>VLOOKUP(D1_ENERO_2026[[#This Row],[SUPER]],DATA_ENERO_2026[[SUPERVISOR]:[META]],3,0)</f>
        <v>48000</v>
      </c>
      <c r="D35" s="35">
        <f>D1_ENERO_2026[[#This Row],[RECUPERO]]/C35</f>
        <v>1.4682270833333333</v>
      </c>
      <c r="E35" s="35" t="s">
        <v>3</v>
      </c>
      <c r="F35" t="s">
        <v>23</v>
      </c>
      <c r="G35" s="36">
        <v>70474.899999999994</v>
      </c>
      <c r="H35" s="34" t="s">
        <v>445</v>
      </c>
      <c r="I35" s="61">
        <v>44109</v>
      </c>
      <c r="J35" s="56" t="s">
        <v>501</v>
      </c>
      <c r="K35" s="56"/>
      <c r="L35" s="56"/>
      <c r="M35" s="5">
        <f>DATA_ENERO_2026[[#This Row],[RECUPERO]]/DATA_ENERO_2026[[#This Row],[META]]</f>
        <v>0.40724372759856631</v>
      </c>
      <c r="N35" s="5" t="str" cm="1">
        <f t="array" ref="N35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35" s="55" t="s">
        <v>6</v>
      </c>
      <c r="P35" s="6">
        <f>SUM(DATA_ENERO_2026[[#This Row],[1]:[31]])</f>
        <v>11362.1</v>
      </c>
      <c r="Q35" s="6">
        <v>27900</v>
      </c>
      <c r="R35" t="s">
        <v>35</v>
      </c>
      <c r="W35">
        <v>800</v>
      </c>
      <c r="X35">
        <v>350</v>
      </c>
      <c r="AA35">
        <v>257</v>
      </c>
      <c r="AD35">
        <v>370</v>
      </c>
      <c r="AE35">
        <v>500</v>
      </c>
      <c r="AF35">
        <v>115</v>
      </c>
      <c r="AM35">
        <v>50</v>
      </c>
      <c r="AN35">
        <v>3960.1</v>
      </c>
      <c r="AR35">
        <v>1000</v>
      </c>
      <c r="AS35">
        <v>100</v>
      </c>
      <c r="AU35">
        <v>2460</v>
      </c>
      <c r="AV35">
        <v>1400</v>
      </c>
      <c r="AX35" t="str" cm="1">
        <f t="array" ref="AX35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6" spans="1:50" x14ac:dyDescent="0.25">
      <c r="A36" s="35" t="str">
        <f>D1_ENERO_2026[[#This Row],[SUPER2]]</f>
        <v>JORGE</v>
      </c>
      <c r="B36" s="34" t="str">
        <f>D1_ENERO_2026[[#This Row],[ASESOR]]</f>
        <v>LUCERO JORDAN</v>
      </c>
      <c r="C36" s="36">
        <f>VLOOKUP(D1_ENERO_2026[[#This Row],[SUPER]],DATA_ENERO_2026[[SUPERVISOR]:[META]],3,0)</f>
        <v>32600</v>
      </c>
      <c r="D36" s="35">
        <f>D1_ENERO_2026[[#This Row],[RECUPERO]]/C36</f>
        <v>1.851717791411043</v>
      </c>
      <c r="E36" s="35" t="s">
        <v>2</v>
      </c>
      <c r="F36" t="s">
        <v>68</v>
      </c>
      <c r="G36" s="36">
        <v>60366</v>
      </c>
      <c r="H36" s="34" t="s">
        <v>440</v>
      </c>
      <c r="I36" s="61">
        <v>45363</v>
      </c>
      <c r="J36" s="56" t="s">
        <v>501</v>
      </c>
      <c r="K36" s="56"/>
      <c r="L36" s="56"/>
      <c r="M36" s="5">
        <f>DATA_ENERO_2026[[#This Row],[RECUPERO]]/DATA_ENERO_2026[[#This Row],[META]]</f>
        <v>1.2897132616487454</v>
      </c>
      <c r="N36" s="5" t="str" cm="1">
        <f t="array" ref="N36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36" s="55" t="s">
        <v>6</v>
      </c>
      <c r="P36" s="6">
        <f>SUM(DATA_ENERO_2026[[#This Row],[1]:[31]])</f>
        <v>35983</v>
      </c>
      <c r="Q36" s="6">
        <v>27900</v>
      </c>
      <c r="R36" t="s">
        <v>50</v>
      </c>
      <c r="S36">
        <v>1500</v>
      </c>
      <c r="T36">
        <v>12000</v>
      </c>
      <c r="U36" s="45"/>
      <c r="W36">
        <v>350</v>
      </c>
      <c r="AD36">
        <v>8485</v>
      </c>
      <c r="AE36">
        <v>6750</v>
      </c>
      <c r="AF36">
        <v>4500</v>
      </c>
      <c r="AG36">
        <v>648</v>
      </c>
      <c r="AT36">
        <v>1750</v>
      </c>
      <c r="AX36" t="str" cm="1">
        <f t="array" ref="AX36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7" spans="1:50" x14ac:dyDescent="0.25">
      <c r="A37" s="35" t="str">
        <f>D1_ENERO_2026[[#This Row],[SUPER2]]</f>
        <v>SANDY</v>
      </c>
      <c r="B37" s="34" t="str">
        <f>D1_ENERO_2026[[#This Row],[ASESOR]]</f>
        <v>LUIS CENTENO</v>
      </c>
      <c r="C37" s="36">
        <f>VLOOKUP(D1_ENERO_2026[[#This Row],[SUPER]],DATA_ENERO_2026[[SUPERVISOR]:[META]],3,0)</f>
        <v>48000</v>
      </c>
      <c r="D37" s="35">
        <f>D1_ENERO_2026[[#This Row],[RECUPERO]]/C37</f>
        <v>0.86945937500000003</v>
      </c>
      <c r="E37" s="35" t="s">
        <v>3</v>
      </c>
      <c r="F37" t="s">
        <v>31</v>
      </c>
      <c r="G37" s="36">
        <v>41734.050000000003</v>
      </c>
      <c r="H37" s="34" t="s">
        <v>403</v>
      </c>
      <c r="I37" s="61">
        <v>45334</v>
      </c>
      <c r="J37" s="56" t="s">
        <v>501</v>
      </c>
      <c r="K37" s="56"/>
      <c r="L37" s="56"/>
      <c r="M37" s="5">
        <f>DATA_ENERO_2026[[#This Row],[RECUPERO]]/DATA_ENERO_2026[[#This Row],[META]]</f>
        <v>0.5482083333333333</v>
      </c>
      <c r="N37" s="5" t="str" cm="1">
        <f t="array" ref="N37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37" s="55" t="s">
        <v>3</v>
      </c>
      <c r="P37" s="6">
        <f>SUM(DATA_ENERO_2026[[#This Row],[1]:[31]])</f>
        <v>26314</v>
      </c>
      <c r="Q37" s="6">
        <v>48000</v>
      </c>
      <c r="R37" t="s">
        <v>33</v>
      </c>
      <c r="S37">
        <v>335</v>
      </c>
      <c r="X37">
        <v>7300</v>
      </c>
      <c r="AB37">
        <v>225</v>
      </c>
      <c r="AF37">
        <v>2000</v>
      </c>
      <c r="AN37">
        <v>3800</v>
      </c>
      <c r="AS37">
        <v>2500</v>
      </c>
      <c r="AT37">
        <v>800</v>
      </c>
      <c r="AU37">
        <v>6500</v>
      </c>
      <c r="AV37">
        <v>732</v>
      </c>
      <c r="AW37">
        <v>2122</v>
      </c>
      <c r="AX37" t="str" cm="1">
        <f t="array" ref="AX37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8" spans="1:50" x14ac:dyDescent="0.25">
      <c r="A38" s="35" t="str">
        <f>D1_ENERO_2026[[#This Row],[SUPER2]]</f>
        <v>JORGE</v>
      </c>
      <c r="B38" s="34" t="str">
        <f>D1_ENERO_2026[[#This Row],[ASESOR]]</f>
        <v>LUIS VALLADARES</v>
      </c>
      <c r="C38" s="36">
        <f>VLOOKUP(D1_ENERO_2026[[#This Row],[SUPER]],DATA_ENERO_2026[[SUPERVISOR]:[META]],3,0)</f>
        <v>32600</v>
      </c>
      <c r="D38" s="35">
        <f>D1_ENERO_2026[[#This Row],[RECUPERO]]/C38</f>
        <v>0.86219018404907977</v>
      </c>
      <c r="E38" s="35" t="s">
        <v>2</v>
      </c>
      <c r="F38" t="s">
        <v>29</v>
      </c>
      <c r="G38" s="36">
        <v>28107.4</v>
      </c>
      <c r="H38" s="34" t="s">
        <v>416</v>
      </c>
      <c r="I38" s="61">
        <v>44685</v>
      </c>
      <c r="J38" s="56" t="s">
        <v>501</v>
      </c>
      <c r="K38" s="56"/>
      <c r="L38" s="56"/>
      <c r="M38" s="5">
        <f>DATA_ENERO_2026[[#This Row],[RECUPERO]]/DATA_ENERO_2026[[#This Row],[META]]</f>
        <v>1.4682270833333333</v>
      </c>
      <c r="N38" s="5" t="str" cm="1">
        <f t="array" ref="N38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38" s="55" t="s">
        <v>3</v>
      </c>
      <c r="P38" s="6">
        <f>SUM(DATA_ENERO_2026[[#This Row],[1]:[31]])</f>
        <v>70474.899999999994</v>
      </c>
      <c r="Q38" s="6">
        <v>48000</v>
      </c>
      <c r="R38" t="s">
        <v>23</v>
      </c>
      <c r="T38">
        <v>500</v>
      </c>
      <c r="V38">
        <v>1200</v>
      </c>
      <c r="W38">
        <v>3578.9</v>
      </c>
      <c r="X38">
        <v>830</v>
      </c>
      <c r="Y38">
        <v>2200</v>
      </c>
      <c r="AA38">
        <v>580</v>
      </c>
      <c r="AD38">
        <v>10850</v>
      </c>
      <c r="AE38">
        <v>1000</v>
      </c>
      <c r="AG38">
        <v>700</v>
      </c>
      <c r="AH38">
        <v>7971</v>
      </c>
      <c r="AK38">
        <v>1427</v>
      </c>
      <c r="AL38">
        <v>1200</v>
      </c>
      <c r="AM38">
        <v>2924</v>
      </c>
      <c r="AN38">
        <v>5031</v>
      </c>
      <c r="AP38">
        <v>9550</v>
      </c>
      <c r="AR38">
        <v>3000</v>
      </c>
      <c r="AS38">
        <v>650</v>
      </c>
      <c r="AT38">
        <v>8000</v>
      </c>
      <c r="AV38">
        <v>9283</v>
      </c>
      <c r="AX38" t="str" cm="1">
        <f t="array" ref="AX38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9" spans="1:50" x14ac:dyDescent="0.25">
      <c r="A39" s="35" t="str">
        <f>D1_ENERO_2026[[#This Row],[SUPER2]]</f>
        <v>JORGE</v>
      </c>
      <c r="B39" s="34" t="str">
        <f>D1_ENERO_2026[[#This Row],[ASESOR]]</f>
        <v>MALORY MONTEBLANCO</v>
      </c>
      <c r="C39" s="36">
        <f>VLOOKUP(D1_ENERO_2026[[#This Row],[SUPER]],DATA_ENERO_2026[[SUPERVISOR]:[META]],3,0)</f>
        <v>32600</v>
      </c>
      <c r="D39" s="35">
        <f>D1_ENERO_2026[[#This Row],[RECUPERO]]/C39</f>
        <v>1.6223312883435583</v>
      </c>
      <c r="E39" s="35" t="s">
        <v>2</v>
      </c>
      <c r="F39" t="s">
        <v>25</v>
      </c>
      <c r="G39" s="36">
        <v>52888</v>
      </c>
      <c r="H39" s="34" t="s">
        <v>446</v>
      </c>
      <c r="I39" s="61">
        <v>44818</v>
      </c>
      <c r="J39" s="56" t="s">
        <v>501</v>
      </c>
      <c r="K39" s="56"/>
      <c r="L39" s="56"/>
      <c r="M39" s="5">
        <f>DATA_ENERO_2026[[#This Row],[RECUPERO]]/DATA_ENERO_2026[[#This Row],[META]]</f>
        <v>1.851717791411043</v>
      </c>
      <c r="N39" s="5" t="str" cm="1">
        <f t="array" ref="N39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39" s="55" t="s">
        <v>2</v>
      </c>
      <c r="P39" s="6">
        <f>SUM(DATA_ENERO_2026[[#This Row],[1]:[31]])</f>
        <v>60366</v>
      </c>
      <c r="Q39" s="6">
        <v>32600</v>
      </c>
      <c r="R39" t="s">
        <v>68</v>
      </c>
      <c r="Z39">
        <v>6000</v>
      </c>
      <c r="AD39">
        <v>1400</v>
      </c>
      <c r="AE39">
        <v>3250</v>
      </c>
      <c r="AG39">
        <v>3000</v>
      </c>
      <c r="AH39">
        <v>1716</v>
      </c>
      <c r="AK39">
        <v>7400</v>
      </c>
      <c r="AN39">
        <v>4200</v>
      </c>
      <c r="AR39">
        <v>3000</v>
      </c>
      <c r="AS39">
        <v>20400</v>
      </c>
      <c r="AT39">
        <v>10000</v>
      </c>
      <c r="AX39" t="str" cm="1">
        <f t="array" ref="AX39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0" spans="1:50" x14ac:dyDescent="0.25">
      <c r="A40" s="35" t="str">
        <f>D1_ENERO_2026[[#This Row],[SUPER2]]</f>
        <v>SANDY</v>
      </c>
      <c r="B40" s="34" t="str">
        <f>D1_ENERO_2026[[#This Row],[ASESOR]]</f>
        <v>MARGARITA PIANCHACHI</v>
      </c>
      <c r="C40" s="36">
        <f>VLOOKUP(D1_ENERO_2026[[#This Row],[SUPER]],DATA_ENERO_2026[[SUPERVISOR]:[META]],3,0)</f>
        <v>48000</v>
      </c>
      <c r="D40" s="35">
        <f>D1_ENERO_2026[[#This Row],[RECUPERO]]/C40</f>
        <v>0.7694375</v>
      </c>
      <c r="E40" s="35" t="s">
        <v>3</v>
      </c>
      <c r="F40" t="s">
        <v>17</v>
      </c>
      <c r="G40" s="36">
        <v>36933</v>
      </c>
      <c r="H40" s="34" t="s">
        <v>385</v>
      </c>
      <c r="I40" s="61">
        <v>44886</v>
      </c>
      <c r="J40" s="56" t="s">
        <v>501</v>
      </c>
      <c r="K40" s="56"/>
      <c r="L40" s="56"/>
      <c r="M40" s="5">
        <f>DATA_ENERO_2026[[#This Row],[RECUPERO]]/DATA_ENERO_2026[[#This Row],[META]]</f>
        <v>0.86945937500000003</v>
      </c>
      <c r="N40" s="5" t="str" cm="1">
        <f t="array" ref="N40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40" s="55" t="s">
        <v>3</v>
      </c>
      <c r="P40" s="6">
        <f>SUM(DATA_ENERO_2026[[#This Row],[1]:[31]])</f>
        <v>41734.050000000003</v>
      </c>
      <c r="Q40" s="6">
        <v>48000</v>
      </c>
      <c r="R40" t="s">
        <v>31</v>
      </c>
      <c r="T40">
        <v>2000</v>
      </c>
      <c r="W40">
        <v>6300</v>
      </c>
      <c r="AA40">
        <v>11500</v>
      </c>
      <c r="AE40">
        <v>1620</v>
      </c>
      <c r="AF40">
        <v>600</v>
      </c>
      <c r="AG40">
        <v>3000</v>
      </c>
      <c r="AN40">
        <v>7225</v>
      </c>
      <c r="AO40">
        <v>750</v>
      </c>
      <c r="AP40">
        <v>808.05</v>
      </c>
      <c r="AR40">
        <v>2500</v>
      </c>
      <c r="AS40">
        <v>4000</v>
      </c>
      <c r="AV40">
        <v>1431</v>
      </c>
      <c r="AX40" t="str" cm="1">
        <f t="array" ref="AX40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1" spans="1:50" x14ac:dyDescent="0.25">
      <c r="A41" s="35" t="str">
        <f>D1_ENERO_2026[[#This Row],[SUPER2]]</f>
        <v>JOHAN</v>
      </c>
      <c r="B41" s="34" t="str">
        <f>D1_ENERO_2026[[#This Row],[ASESOR]]</f>
        <v>MARIA BARRIONUEVO</v>
      </c>
      <c r="C41" s="36">
        <f>VLOOKUP(D1_ENERO_2026[[#This Row],[SUPER]],DATA_ENERO_2026[[SUPERVISOR]:[META]],3,0)</f>
        <v>24500</v>
      </c>
      <c r="D41" s="35">
        <f>D1_ENERO_2026[[#This Row],[RECUPERO]]/C41</f>
        <v>1.1670204081632654</v>
      </c>
      <c r="E41" s="35" t="s">
        <v>125</v>
      </c>
      <c r="F41" t="s">
        <v>207</v>
      </c>
      <c r="G41" s="36">
        <v>28592</v>
      </c>
      <c r="H41" s="34" t="s">
        <v>536</v>
      </c>
      <c r="I41" s="61">
        <v>46029</v>
      </c>
      <c r="J41" s="56" t="s">
        <v>501</v>
      </c>
      <c r="K41" s="56"/>
      <c r="L41" s="56"/>
      <c r="M41" s="5">
        <f>DATA_ENERO_2026[[#This Row],[RECUPERO]]/DATA_ENERO_2026[[#This Row],[META]]</f>
        <v>0.86219018404907977</v>
      </c>
      <c r="N41" s="5" t="str" cm="1">
        <f t="array" ref="N41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41" s="55" t="s">
        <v>2</v>
      </c>
      <c r="P41" s="6">
        <f>SUM(DATA_ENERO_2026[[#This Row],[1]:[31]])</f>
        <v>28107.4</v>
      </c>
      <c r="Q41" s="6">
        <v>32600</v>
      </c>
      <c r="R41" t="s">
        <v>29</v>
      </c>
      <c r="T41">
        <v>608.4</v>
      </c>
      <c r="U41">
        <v>500</v>
      </c>
      <c r="X41">
        <v>250</v>
      </c>
      <c r="Y41">
        <v>380</v>
      </c>
      <c r="AA41">
        <v>1656.5</v>
      </c>
      <c r="AF41">
        <v>3815</v>
      </c>
      <c r="AG41">
        <v>1000</v>
      </c>
      <c r="AH41">
        <v>3142</v>
      </c>
      <c r="AJ41">
        <v>2222.5</v>
      </c>
      <c r="AL41">
        <v>519</v>
      </c>
      <c r="AM41">
        <v>637</v>
      </c>
      <c r="AN41">
        <v>250</v>
      </c>
      <c r="AO41">
        <v>300</v>
      </c>
      <c r="AP41">
        <v>880</v>
      </c>
      <c r="AR41">
        <v>3265</v>
      </c>
      <c r="AS41">
        <v>2500</v>
      </c>
      <c r="AT41">
        <v>450</v>
      </c>
      <c r="AU41">
        <v>5732</v>
      </c>
      <c r="AX41" t="str" cm="1">
        <f t="array" ref="AX41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2" spans="1:50" x14ac:dyDescent="0.25">
      <c r="A42" s="35" t="str">
        <f>D1_ENERO_2026[[#This Row],[SUPER2]]</f>
        <v>JORGE</v>
      </c>
      <c r="B42" s="34" t="str">
        <f>D1_ENERO_2026[[#This Row],[ASESOR]]</f>
        <v>MARIA HUARCAYA</v>
      </c>
      <c r="C42" s="36">
        <f>VLOOKUP(D1_ENERO_2026[[#This Row],[SUPER]],DATA_ENERO_2026[[SUPERVISOR]:[META]],3,0)</f>
        <v>32600</v>
      </c>
      <c r="D42" s="35">
        <f>D1_ENERO_2026[[#This Row],[RECUPERO]]/C42</f>
        <v>1.5676073619631903</v>
      </c>
      <c r="E42" s="35" t="s">
        <v>2</v>
      </c>
      <c r="F42" t="s">
        <v>38</v>
      </c>
      <c r="G42" s="36">
        <v>51104</v>
      </c>
      <c r="H42" s="34" t="s">
        <v>469</v>
      </c>
      <c r="I42" s="61">
        <v>45800</v>
      </c>
      <c r="J42" s="56" t="s">
        <v>501</v>
      </c>
      <c r="K42" s="56"/>
      <c r="L42" s="56"/>
      <c r="M42" s="5">
        <f>DATA_ENERO_2026[[#This Row],[RECUPERO]]/DATA_ENERO_2026[[#This Row],[META]]</f>
        <v>1.6223312883435583</v>
      </c>
      <c r="N42" s="5" t="str" cm="1">
        <f t="array" ref="N42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42" s="55" t="s">
        <v>2</v>
      </c>
      <c r="P42" s="6">
        <f>SUM(DATA_ENERO_2026[[#This Row],[1]:[31]])</f>
        <v>52888</v>
      </c>
      <c r="Q42" s="6">
        <v>32600</v>
      </c>
      <c r="R42" t="s">
        <v>25</v>
      </c>
      <c r="W42">
        <v>458</v>
      </c>
      <c r="Z42">
        <v>10500</v>
      </c>
      <c r="AD42">
        <v>2500</v>
      </c>
      <c r="AE42">
        <v>4780</v>
      </c>
      <c r="AF42">
        <v>10000</v>
      </c>
      <c r="AH42">
        <v>2250</v>
      </c>
      <c r="AM42">
        <v>10000</v>
      </c>
      <c r="AN42">
        <v>11000</v>
      </c>
      <c r="AS42">
        <v>400</v>
      </c>
      <c r="AU42">
        <v>600</v>
      </c>
      <c r="AV42">
        <v>200</v>
      </c>
      <c r="AW42">
        <v>200</v>
      </c>
      <c r="AX42" t="str" cm="1">
        <f t="array" ref="AX42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3" spans="1:50" x14ac:dyDescent="0.25">
      <c r="A43" s="35" t="str">
        <f>D1_ENERO_2026[[#This Row],[SUPER2]]</f>
        <v>MELINA</v>
      </c>
      <c r="B43" s="34" t="str">
        <f>D1_ENERO_2026[[#This Row],[ASESOR]]</f>
        <v>MARIA TINTAYA</v>
      </c>
      <c r="C43" s="36">
        <f>VLOOKUP(D1_ENERO_2026[[#This Row],[SUPER]],DATA_ENERO_2026[[SUPERVISOR]:[META]],3,0)</f>
        <v>48000</v>
      </c>
      <c r="D43" s="35">
        <f>D1_ENERO_2026[[#This Row],[RECUPERO]]/C43</f>
        <v>1.2305833333333334</v>
      </c>
      <c r="E43" s="35" t="s">
        <v>4</v>
      </c>
      <c r="F43" t="s">
        <v>75</v>
      </c>
      <c r="G43" s="36">
        <v>59068</v>
      </c>
      <c r="H43" s="34" t="s">
        <v>428</v>
      </c>
      <c r="I43" s="61">
        <v>44714</v>
      </c>
      <c r="J43" s="56" t="s">
        <v>501</v>
      </c>
      <c r="K43" s="56"/>
      <c r="L43" s="56"/>
      <c r="M43" s="5">
        <f>DATA_ENERO_2026[[#This Row],[RECUPERO]]/DATA_ENERO_2026[[#This Row],[META]]</f>
        <v>0.7694375</v>
      </c>
      <c r="N43" s="5" t="str" cm="1">
        <f t="array" ref="N43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43" s="55" t="s">
        <v>3</v>
      </c>
      <c r="P43" s="6">
        <f>SUM(DATA_ENERO_2026[[#This Row],[1]:[31]])</f>
        <v>36933</v>
      </c>
      <c r="Q43" s="6">
        <v>48000</v>
      </c>
      <c r="R43" t="s">
        <v>17</v>
      </c>
      <c r="T43">
        <v>636</v>
      </c>
      <c r="X43">
        <v>4000</v>
      </c>
      <c r="Y43">
        <v>4200</v>
      </c>
      <c r="AD43">
        <v>461</v>
      </c>
      <c r="AE43">
        <v>13000</v>
      </c>
      <c r="AK43">
        <v>656</v>
      </c>
      <c r="AL43">
        <v>5450</v>
      </c>
      <c r="AO43">
        <v>320</v>
      </c>
      <c r="AP43">
        <v>330</v>
      </c>
      <c r="AR43">
        <v>1780</v>
      </c>
      <c r="AS43">
        <v>3800</v>
      </c>
      <c r="AW43">
        <v>2300</v>
      </c>
      <c r="AX43" t="str" cm="1">
        <f t="array" ref="AX43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4" spans="1:50" x14ac:dyDescent="0.25">
      <c r="A44" s="35" t="str">
        <f>D1_ENERO_2026[[#This Row],[SUPER2]]</f>
        <v>MELINA</v>
      </c>
      <c r="B44" s="34" t="str">
        <f>D1_ENERO_2026[[#This Row],[ASESOR]]</f>
        <v>MARTIN VARGAS</v>
      </c>
      <c r="C44" s="36">
        <f>VLOOKUP(D1_ENERO_2026[[#This Row],[SUPER]],DATA_ENERO_2026[[SUPERVISOR]:[META]],3,0)</f>
        <v>48000</v>
      </c>
      <c r="D44" s="35">
        <f>D1_ENERO_2026[[#This Row],[RECUPERO]]/C44</f>
        <v>0.55810416666666662</v>
      </c>
      <c r="E44" s="35" t="s">
        <v>4</v>
      </c>
      <c r="F44" t="s">
        <v>206</v>
      </c>
      <c r="G44" s="36">
        <v>26789</v>
      </c>
      <c r="H44" s="34" t="s">
        <v>535</v>
      </c>
      <c r="I44" s="61">
        <v>46024</v>
      </c>
      <c r="J44" s="56" t="s">
        <v>501</v>
      </c>
      <c r="K44" s="56"/>
      <c r="L44" s="56"/>
      <c r="M44" s="5">
        <f>DATA_ENERO_2026[[#This Row],[RECUPERO]]/DATA_ENERO_2026[[#This Row],[META]]</f>
        <v>1.1670204081632654</v>
      </c>
      <c r="N44" s="5" t="str" cm="1">
        <f t="array" ref="N44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44" s="55" t="s">
        <v>125</v>
      </c>
      <c r="P44" s="6">
        <f>SUM(DATA_ENERO_2026[[#This Row],[1]:[31]])</f>
        <v>28592</v>
      </c>
      <c r="Q44" s="6">
        <v>24500</v>
      </c>
      <c r="R44" t="s">
        <v>207</v>
      </c>
      <c r="S44" s="45"/>
      <c r="Y44">
        <v>4000</v>
      </c>
      <c r="AE44">
        <v>1300</v>
      </c>
      <c r="AF44">
        <v>150</v>
      </c>
      <c r="AG44">
        <v>5920</v>
      </c>
      <c r="AH44">
        <v>1000</v>
      </c>
      <c r="AK44">
        <v>1150</v>
      </c>
      <c r="AM44">
        <v>220</v>
      </c>
      <c r="AN44">
        <v>552</v>
      </c>
      <c r="AR44">
        <v>500</v>
      </c>
      <c r="AS44">
        <v>300</v>
      </c>
      <c r="AT44">
        <v>850</v>
      </c>
      <c r="AU44">
        <v>5000</v>
      </c>
      <c r="AV44">
        <v>7650</v>
      </c>
      <c r="AX44" t="str" cm="1">
        <f t="array" ref="AX44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45" spans="1:50" x14ac:dyDescent="0.25">
      <c r="A45" s="35" t="str">
        <f>D1_ENERO_2026[[#This Row],[SUPER2]]</f>
        <v>JOHAN</v>
      </c>
      <c r="B45" s="34" t="str">
        <f>D1_ENERO_2026[[#This Row],[ASESOR]]</f>
        <v>MAYRA AVALOS</v>
      </c>
      <c r="C45" s="36">
        <f>VLOOKUP(D1_ENERO_2026[[#This Row],[SUPER]],DATA_ENERO_2026[[SUPERVISOR]:[META]],3,0)</f>
        <v>24500</v>
      </c>
      <c r="D45" s="35">
        <f>D1_ENERO_2026[[#This Row],[RECUPERO]]/C45</f>
        <v>0.47081632653061223</v>
      </c>
      <c r="E45" s="35" t="s">
        <v>125</v>
      </c>
      <c r="F45" t="s">
        <v>55</v>
      </c>
      <c r="G45" s="36">
        <v>11535</v>
      </c>
      <c r="H45" s="34" t="s">
        <v>475</v>
      </c>
      <c r="I45" s="61">
        <v>45813</v>
      </c>
      <c r="J45" s="56" t="s">
        <v>501</v>
      </c>
      <c r="K45" s="56"/>
      <c r="L45" s="56"/>
      <c r="M45" s="5">
        <f>DATA_ENERO_2026[[#This Row],[RECUPERO]]/DATA_ENERO_2026[[#This Row],[META]]</f>
        <v>1.5676073619631903</v>
      </c>
      <c r="N45" s="5" t="str" cm="1">
        <f t="array" ref="N45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45" s="55" t="s">
        <v>2</v>
      </c>
      <c r="P45" s="6">
        <f>SUM(DATA_ENERO_2026[[#This Row],[1]:[31]])</f>
        <v>51104</v>
      </c>
      <c r="Q45" s="6">
        <v>32600</v>
      </c>
      <c r="R45" t="s">
        <v>38</v>
      </c>
      <c r="AA45">
        <v>8573</v>
      </c>
      <c r="AD45">
        <v>18000</v>
      </c>
      <c r="AF45">
        <v>910</v>
      </c>
      <c r="AG45">
        <v>6200</v>
      </c>
      <c r="AH45">
        <v>700</v>
      </c>
      <c r="AK45">
        <v>1000</v>
      </c>
      <c r="AL45">
        <v>300</v>
      </c>
      <c r="AM45">
        <v>260</v>
      </c>
      <c r="AN45">
        <v>8200</v>
      </c>
      <c r="AO45">
        <v>450</v>
      </c>
      <c r="AP45">
        <v>1200</v>
      </c>
      <c r="AS45">
        <v>2600</v>
      </c>
      <c r="AT45">
        <v>500</v>
      </c>
      <c r="AU45">
        <v>580</v>
      </c>
      <c r="AV45">
        <v>501</v>
      </c>
      <c r="AW45">
        <v>1130</v>
      </c>
      <c r="AX45" t="str" cm="1">
        <f t="array" ref="AX45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6" spans="1:50" x14ac:dyDescent="0.25">
      <c r="A46" s="35" t="str">
        <f>D1_ENERO_2026[[#This Row],[SUPER2]]</f>
        <v>KENNETH</v>
      </c>
      <c r="B46" s="34" t="str">
        <f>D1_ENERO_2026[[#This Row],[ASESOR]]</f>
        <v>MILAGROS QUIO</v>
      </c>
      <c r="C46" s="36">
        <f>VLOOKUP(D1_ENERO_2026[[#This Row],[SUPER]],DATA_ENERO_2026[[SUPERVISOR]:[META]],3,0)</f>
        <v>27900</v>
      </c>
      <c r="D46" s="35">
        <f>D1_ENERO_2026[[#This Row],[RECUPERO]]/C46</f>
        <v>1.38584229390681</v>
      </c>
      <c r="E46" s="35" t="s">
        <v>6</v>
      </c>
      <c r="F46" t="s">
        <v>11</v>
      </c>
      <c r="G46" s="36">
        <v>38665</v>
      </c>
      <c r="H46" s="34" t="s">
        <v>429</v>
      </c>
      <c r="I46" s="61">
        <v>45369</v>
      </c>
      <c r="J46" s="56" t="s">
        <v>501</v>
      </c>
      <c r="K46" s="56"/>
      <c r="L46" s="56"/>
      <c r="M46" s="5">
        <f>DATA_ENERO_2026[[#This Row],[RECUPERO]]/DATA_ENERO_2026[[#This Row],[META]]</f>
        <v>1.2305833333333334</v>
      </c>
      <c r="N46" s="5" t="str" cm="1">
        <f t="array" ref="N46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46" s="55" t="s">
        <v>4</v>
      </c>
      <c r="P46" s="6">
        <f>SUM(DATA_ENERO_2026[[#This Row],[1]:[31]])</f>
        <v>59068</v>
      </c>
      <c r="Q46" s="6">
        <v>48000</v>
      </c>
      <c r="R46" t="s">
        <v>75</v>
      </c>
      <c r="W46">
        <v>3500</v>
      </c>
      <c r="AA46">
        <v>10000</v>
      </c>
      <c r="AD46">
        <v>800</v>
      </c>
      <c r="AF46">
        <v>2000</v>
      </c>
      <c r="AG46">
        <v>3500</v>
      </c>
      <c r="AH46">
        <v>4500</v>
      </c>
      <c r="AI46">
        <v>1100</v>
      </c>
      <c r="AK46">
        <v>5500</v>
      </c>
      <c r="AM46">
        <v>5520</v>
      </c>
      <c r="AN46">
        <v>1500</v>
      </c>
      <c r="AO46">
        <v>8500</v>
      </c>
      <c r="AR46">
        <v>5237</v>
      </c>
      <c r="AS46">
        <v>4430</v>
      </c>
      <c r="AV46">
        <v>2531</v>
      </c>
      <c r="AW46">
        <v>450</v>
      </c>
      <c r="AX46" t="str" cm="1">
        <f t="array" ref="AX46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7" spans="1:50" x14ac:dyDescent="0.25">
      <c r="A47" s="35" t="str">
        <f>D1_ENERO_2026[[#This Row],[SUPER2]]</f>
        <v>JORGE</v>
      </c>
      <c r="B47" s="34" t="str">
        <f>D1_ENERO_2026[[#This Row],[ASESOR]]</f>
        <v>NATALIA MARIN</v>
      </c>
      <c r="C47" s="36">
        <f>VLOOKUP(D1_ENERO_2026[[#This Row],[SUPER]],DATA_ENERO_2026[[SUPERVISOR]:[META]],3,0)</f>
        <v>32600</v>
      </c>
      <c r="D47" s="35">
        <f>D1_ENERO_2026[[#This Row],[RECUPERO]]/C47</f>
        <v>0.89745398773006135</v>
      </c>
      <c r="E47" s="35" t="s">
        <v>2</v>
      </c>
      <c r="F47" t="s">
        <v>79</v>
      </c>
      <c r="G47" s="36">
        <v>29257</v>
      </c>
      <c r="H47" s="34" t="s">
        <v>453</v>
      </c>
      <c r="I47" s="61">
        <v>45145</v>
      </c>
      <c r="J47" s="56" t="s">
        <v>501</v>
      </c>
      <c r="K47" s="56"/>
      <c r="L47" s="56"/>
      <c r="M47" s="5">
        <f>DATA_ENERO_2026[[#This Row],[RECUPERO]]/DATA_ENERO_2026[[#This Row],[META]]</f>
        <v>0.55810416666666662</v>
      </c>
      <c r="N47" s="5" t="str" cm="1">
        <f t="array" ref="N47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47" s="55" t="s">
        <v>4</v>
      </c>
      <c r="P47" s="6">
        <f>SUM(DATA_ENERO_2026[[#This Row],[1]:[31]])</f>
        <v>26789</v>
      </c>
      <c r="Q47" s="6">
        <v>48000</v>
      </c>
      <c r="R47" t="s">
        <v>206</v>
      </c>
      <c r="W47">
        <v>750</v>
      </c>
      <c r="AA47">
        <v>4400</v>
      </c>
      <c r="AE47">
        <v>300</v>
      </c>
      <c r="AG47">
        <v>5000</v>
      </c>
      <c r="AH47">
        <v>1300</v>
      </c>
      <c r="AK47">
        <v>490</v>
      </c>
      <c r="AL47">
        <v>219</v>
      </c>
      <c r="AM47">
        <v>2000</v>
      </c>
      <c r="AN47">
        <v>4000</v>
      </c>
      <c r="AU47">
        <v>2500</v>
      </c>
      <c r="AV47">
        <v>5200</v>
      </c>
      <c r="AW47">
        <v>630</v>
      </c>
      <c r="AX47" t="str" cm="1">
        <f t="array" ref="AX47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8" spans="1:50" x14ac:dyDescent="0.25">
      <c r="A48" s="35" t="str">
        <f>D1_ENERO_2026[[#This Row],[SUPER2]]</f>
        <v>JOHAN</v>
      </c>
      <c r="B48" s="34" t="str">
        <f>D1_ENERO_2026[[#This Row],[ASESOR]]</f>
        <v>NOEMI CHUQUILIN</v>
      </c>
      <c r="C48" s="36">
        <f>VLOOKUP(D1_ENERO_2026[[#This Row],[SUPER]],DATA_ENERO_2026[[SUPERVISOR]:[META]],3,0)</f>
        <v>24500</v>
      </c>
      <c r="D48" s="35">
        <f>D1_ENERO_2026[[#This Row],[RECUPERO]]/C48</f>
        <v>1.1748571428571428</v>
      </c>
      <c r="E48" s="35" t="s">
        <v>125</v>
      </c>
      <c r="F48" t="s">
        <v>97</v>
      </c>
      <c r="G48" s="36">
        <v>28784</v>
      </c>
      <c r="H48" s="34" t="s">
        <v>485</v>
      </c>
      <c r="I48" s="61">
        <v>45884</v>
      </c>
      <c r="J48" s="56" t="s">
        <v>501</v>
      </c>
      <c r="K48" s="56"/>
      <c r="L48" s="56"/>
      <c r="M48" s="5">
        <f>DATA_ENERO_2026[[#This Row],[RECUPERO]]/DATA_ENERO_2026[[#This Row],[META]]</f>
        <v>0.47081632653061223</v>
      </c>
      <c r="N48" s="5" t="str" cm="1">
        <f t="array" ref="N48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48" s="55" t="s">
        <v>125</v>
      </c>
      <c r="P48" s="6">
        <f>SUM(DATA_ENERO_2026[[#This Row],[1]:[31]])</f>
        <v>11535</v>
      </c>
      <c r="Q48" s="6">
        <v>24500</v>
      </c>
      <c r="R48" t="s">
        <v>55</v>
      </c>
      <c r="T48">
        <v>310</v>
      </c>
      <c r="W48">
        <v>280</v>
      </c>
      <c r="X48">
        <v>735</v>
      </c>
      <c r="Y48">
        <v>500</v>
      </c>
      <c r="AB48">
        <v>400</v>
      </c>
      <c r="AE48">
        <v>400</v>
      </c>
      <c r="AF48">
        <v>2250</v>
      </c>
      <c r="AG48">
        <v>500</v>
      </c>
      <c r="AK48">
        <v>750</v>
      </c>
      <c r="AS48">
        <v>2000</v>
      </c>
      <c r="AT48">
        <v>1390</v>
      </c>
      <c r="AU48">
        <v>1780</v>
      </c>
      <c r="AV48">
        <v>240</v>
      </c>
      <c r="AX48" t="str" cm="1">
        <f t="array" ref="AX48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49" spans="1:50" x14ac:dyDescent="0.25">
      <c r="A49" s="35" t="str">
        <f>D1_ENERO_2026[[#This Row],[SUPER2]]</f>
        <v>JOHAN</v>
      </c>
      <c r="B49" s="34" t="str">
        <f>D1_ENERO_2026[[#This Row],[ASESOR]]</f>
        <v>PAOLA SANTOS</v>
      </c>
      <c r="C49" s="36">
        <f>VLOOKUP(D1_ENERO_2026[[#This Row],[SUPER]],DATA_ENERO_2026[[SUPERVISOR]:[META]],3,0)</f>
        <v>24500</v>
      </c>
      <c r="D49" s="35">
        <f>D1_ENERO_2026[[#This Row],[RECUPERO]]/C49</f>
        <v>0.58775510204081638</v>
      </c>
      <c r="E49" s="35" t="s">
        <v>125</v>
      </c>
      <c r="F49" t="s">
        <v>497</v>
      </c>
      <c r="G49" s="36">
        <v>14400</v>
      </c>
      <c r="H49" s="34" t="s">
        <v>498</v>
      </c>
      <c r="I49" s="61">
        <v>46041</v>
      </c>
      <c r="J49" s="56" t="s">
        <v>501</v>
      </c>
      <c r="K49" s="56"/>
      <c r="L49" s="56"/>
      <c r="M49" s="5">
        <f>DATA_ENERO_2026[[#This Row],[RECUPERO]]/DATA_ENERO_2026[[#This Row],[META]]</f>
        <v>1.38584229390681</v>
      </c>
      <c r="N49" s="5" t="str" cm="1">
        <f t="array" ref="N49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49" s="55" t="s">
        <v>6</v>
      </c>
      <c r="P49" s="6">
        <f>SUM(DATA_ENERO_2026[[#This Row],[1]:[31]])</f>
        <v>38665</v>
      </c>
      <c r="Q49" s="6">
        <v>27900</v>
      </c>
      <c r="R49" t="s">
        <v>11</v>
      </c>
      <c r="T49">
        <v>3000</v>
      </c>
      <c r="U49">
        <v>300</v>
      </c>
      <c r="W49">
        <v>1500</v>
      </c>
      <c r="Z49">
        <v>675</v>
      </c>
      <c r="AF49">
        <v>13500</v>
      </c>
      <c r="AG49">
        <v>2150</v>
      </c>
      <c r="AI49">
        <v>1720</v>
      </c>
      <c r="AM49">
        <v>500</v>
      </c>
      <c r="AO49">
        <v>1000</v>
      </c>
      <c r="AS49">
        <v>3550</v>
      </c>
      <c r="AV49">
        <v>5770</v>
      </c>
      <c r="AW49">
        <v>5000</v>
      </c>
      <c r="AX49" t="str" cm="1">
        <f t="array" ref="AX49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0" spans="1:50" x14ac:dyDescent="0.25">
      <c r="A50" s="35" t="str">
        <f>D1_ENERO_2026[[#This Row],[SUPER2]]</f>
        <v>MELINA</v>
      </c>
      <c r="B50" s="34" t="str">
        <f>D1_ENERO_2026[[#This Row],[ASESOR]]</f>
        <v>PIERINA TESEN</v>
      </c>
      <c r="C50" s="36">
        <f>VLOOKUP(D1_ENERO_2026[[#This Row],[SUPER]],DATA_ENERO_2026[[SUPERVISOR]:[META]],3,0)</f>
        <v>48000</v>
      </c>
      <c r="D50" s="35">
        <f>D1_ENERO_2026[[#This Row],[RECUPERO]]/C50</f>
        <v>2.0449583333333332</v>
      </c>
      <c r="E50" s="35" t="s">
        <v>4</v>
      </c>
      <c r="F50" t="s">
        <v>59</v>
      </c>
      <c r="G50" s="36">
        <v>98158</v>
      </c>
      <c r="H50" s="34" t="s">
        <v>430</v>
      </c>
      <c r="I50" s="61">
        <v>45344</v>
      </c>
      <c r="J50" s="56" t="s">
        <v>501</v>
      </c>
      <c r="K50" s="56"/>
      <c r="L50" s="56"/>
      <c r="M50" s="5">
        <f>DATA_ENERO_2026[[#This Row],[RECUPERO]]/DATA_ENERO_2026[[#This Row],[META]]</f>
        <v>0.89745398773006135</v>
      </c>
      <c r="N50" s="5" t="str" cm="1">
        <f t="array" ref="N50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50" s="55" t="s">
        <v>2</v>
      </c>
      <c r="P50" s="6">
        <f>SUM(DATA_ENERO_2026[[#This Row],[1]:[31]])</f>
        <v>29257</v>
      </c>
      <c r="Q50" s="6">
        <v>32600</v>
      </c>
      <c r="R50" t="s">
        <v>79</v>
      </c>
      <c r="X50">
        <v>400</v>
      </c>
      <c r="AH50">
        <v>250</v>
      </c>
      <c r="AK50">
        <v>3500</v>
      </c>
      <c r="AM50">
        <v>7150</v>
      </c>
      <c r="AN50">
        <v>5637</v>
      </c>
      <c r="AO50">
        <v>3000</v>
      </c>
      <c r="AU50">
        <v>500</v>
      </c>
      <c r="AV50">
        <v>8520</v>
      </c>
      <c r="AW50">
        <v>300</v>
      </c>
      <c r="AX50" t="str" cm="1">
        <f t="array" ref="AX50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51" spans="1:50" x14ac:dyDescent="0.25">
      <c r="A51" s="35" t="str">
        <f>D1_ENERO_2026[[#This Row],[SUPER2]]</f>
        <v>JOHAN</v>
      </c>
      <c r="B51" s="34" t="str">
        <f>D1_ENERO_2026[[#This Row],[ASESOR]]</f>
        <v>SARITA GARAY</v>
      </c>
      <c r="C51" s="36">
        <f>VLOOKUP(D1_ENERO_2026[[#This Row],[SUPER]],DATA_ENERO_2026[[SUPERVISOR]:[META]],3,0)</f>
        <v>24500</v>
      </c>
      <c r="D51" s="35">
        <f>D1_ENERO_2026[[#This Row],[RECUPERO]]/C51</f>
        <v>0.71142857142857141</v>
      </c>
      <c r="E51" s="35" t="s">
        <v>125</v>
      </c>
      <c r="F51" t="s">
        <v>73</v>
      </c>
      <c r="G51" s="36">
        <v>17430</v>
      </c>
      <c r="H51" s="34" t="s">
        <v>420</v>
      </c>
      <c r="I51" s="61">
        <v>45141</v>
      </c>
      <c r="J51" s="56" t="s">
        <v>501</v>
      </c>
      <c r="K51" s="56"/>
      <c r="L51" s="56"/>
      <c r="M51" s="5">
        <f>DATA_ENERO_2026[[#This Row],[RECUPERO]]/DATA_ENERO_2026[[#This Row],[META]]</f>
        <v>1.1748571428571428</v>
      </c>
      <c r="N51" s="5" t="str" cm="1">
        <f t="array" ref="N51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51" s="55" t="s">
        <v>125</v>
      </c>
      <c r="P51" s="6">
        <f>SUM(DATA_ENERO_2026[[#This Row],[1]:[31]])</f>
        <v>28784</v>
      </c>
      <c r="Q51" s="6">
        <v>24500</v>
      </c>
      <c r="R51" t="s">
        <v>97</v>
      </c>
      <c r="X51">
        <v>5900</v>
      </c>
      <c r="Y51">
        <v>400</v>
      </c>
      <c r="AA51">
        <v>2067</v>
      </c>
      <c r="AD51">
        <v>500</v>
      </c>
      <c r="AF51">
        <v>6100</v>
      </c>
      <c r="AH51">
        <v>3518</v>
      </c>
      <c r="AI51">
        <v>200</v>
      </c>
      <c r="AK51">
        <v>700</v>
      </c>
      <c r="AL51">
        <v>500</v>
      </c>
      <c r="AN51">
        <v>600</v>
      </c>
      <c r="AO51">
        <v>850</v>
      </c>
      <c r="AS51">
        <v>2700</v>
      </c>
      <c r="AT51">
        <v>250</v>
      </c>
      <c r="AU51">
        <v>908</v>
      </c>
      <c r="AV51">
        <v>2200</v>
      </c>
      <c r="AW51">
        <v>1391</v>
      </c>
      <c r="AX51" t="str" cm="1">
        <f t="array" ref="AX51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2" spans="1:50" x14ac:dyDescent="0.25">
      <c r="A52" s="35" t="str">
        <f>D1_ENERO_2026[[#This Row],[SUPER2]]</f>
        <v>KENNETH</v>
      </c>
      <c r="B52" s="34" t="str">
        <f>D1_ENERO_2026[[#This Row],[ASESOR]]</f>
        <v>STWUAR MACURI</v>
      </c>
      <c r="C52" s="36">
        <f>VLOOKUP(D1_ENERO_2026[[#This Row],[SUPER]],DATA_ENERO_2026[[SUPERVISOR]:[META]],3,0)</f>
        <v>27900</v>
      </c>
      <c r="D52" s="35">
        <f>D1_ENERO_2026[[#This Row],[RECUPERO]]/C52</f>
        <v>1.6282437275985664</v>
      </c>
      <c r="E52" s="35" t="s">
        <v>6</v>
      </c>
      <c r="F52" t="s">
        <v>34</v>
      </c>
      <c r="G52" s="36">
        <v>45428</v>
      </c>
      <c r="H52" s="34" t="s">
        <v>407</v>
      </c>
      <c r="I52" s="61">
        <v>45173</v>
      </c>
      <c r="J52" s="56" t="s">
        <v>501</v>
      </c>
      <c r="K52" s="56"/>
      <c r="L52" s="56"/>
      <c r="M52" s="5">
        <f>DATA_ENERO_2026[[#This Row],[RECUPERO]]/DATA_ENERO_2026[[#This Row],[META]]</f>
        <v>0.58775510204081638</v>
      </c>
      <c r="N52" s="5" t="str" cm="1">
        <f t="array" ref="N52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52" s="55" t="s">
        <v>125</v>
      </c>
      <c r="P52" s="6">
        <f>SUM(DATA_ENERO_2026[[#This Row],[1]:[31]])</f>
        <v>14400</v>
      </c>
      <c r="Q52" s="6">
        <v>24500</v>
      </c>
      <c r="R52" t="s">
        <v>497</v>
      </c>
      <c r="S52" s="45"/>
      <c r="AM52">
        <v>3300</v>
      </c>
      <c r="AO52">
        <v>2700</v>
      </c>
      <c r="AR52">
        <v>900</v>
      </c>
      <c r="AT52">
        <v>1500</v>
      </c>
      <c r="AU52">
        <v>5000</v>
      </c>
      <c r="AV52">
        <v>1000</v>
      </c>
      <c r="AX52" t="str" cm="1">
        <f t="array" ref="AX52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3" spans="1:50" x14ac:dyDescent="0.25">
      <c r="A53" s="35" t="str">
        <f>D1_ENERO_2026[[#This Row],[SUPER2]]</f>
        <v>JORGE</v>
      </c>
      <c r="B53" s="34" t="str">
        <f>D1_ENERO_2026[[#This Row],[ASESOR]]</f>
        <v>URSULA CENTENO</v>
      </c>
      <c r="C53" s="36">
        <f>VLOOKUP(D1_ENERO_2026[[#This Row],[SUPER]],DATA_ENERO_2026[[SUPERVISOR]:[META]],3,0)</f>
        <v>32600</v>
      </c>
      <c r="D53" s="35">
        <f>D1_ENERO_2026[[#This Row],[RECUPERO]]/C53</f>
        <v>0.5134355828220859</v>
      </c>
      <c r="E53" s="35" t="s">
        <v>2</v>
      </c>
      <c r="F53" t="s">
        <v>78</v>
      </c>
      <c r="G53" s="36">
        <v>16738</v>
      </c>
      <c r="H53" s="34" t="s">
        <v>397</v>
      </c>
      <c r="I53" s="61">
        <v>44943</v>
      </c>
      <c r="J53" s="56" t="s">
        <v>501</v>
      </c>
      <c r="K53" s="56"/>
      <c r="L53" s="56"/>
      <c r="M53" s="5">
        <f>DATA_ENERO_2026[[#This Row],[RECUPERO]]/DATA_ENERO_2026[[#This Row],[META]]</f>
        <v>2.0449583333333332</v>
      </c>
      <c r="N53" s="5" t="str" cm="1">
        <f t="array" ref="N53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53" s="55" t="s">
        <v>4</v>
      </c>
      <c r="P53" s="6">
        <f>SUM(DATA_ENERO_2026[[#This Row],[1]:[31]])</f>
        <v>98158</v>
      </c>
      <c r="Q53" s="6">
        <v>48000</v>
      </c>
      <c r="R53" t="s">
        <v>59</v>
      </c>
      <c r="T53">
        <v>10000</v>
      </c>
      <c r="W53">
        <v>2700</v>
      </c>
      <c r="X53">
        <v>1650</v>
      </c>
      <c r="AA53">
        <v>3096</v>
      </c>
      <c r="AC53">
        <v>7500</v>
      </c>
      <c r="AD53">
        <v>1000</v>
      </c>
      <c r="AG53">
        <v>5200</v>
      </c>
      <c r="AH53">
        <v>2500</v>
      </c>
      <c r="AL53">
        <v>11400</v>
      </c>
      <c r="AN53">
        <v>4000</v>
      </c>
      <c r="AO53">
        <v>11500</v>
      </c>
      <c r="AR53">
        <v>12340</v>
      </c>
      <c r="AS53">
        <v>2000</v>
      </c>
      <c r="AT53">
        <v>7100</v>
      </c>
      <c r="AU53">
        <v>5000</v>
      </c>
      <c r="AV53">
        <v>10530</v>
      </c>
      <c r="AW53">
        <v>642</v>
      </c>
      <c r="AX53" t="str" cm="1">
        <f t="array" ref="AX53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4" spans="1:50" x14ac:dyDescent="0.25">
      <c r="A54" s="35" t="str">
        <f>D1_ENERO_2026[[#This Row],[SUPER2]]</f>
        <v>JOHAN</v>
      </c>
      <c r="B54" s="34" t="str">
        <f>D1_ENERO_2026[[#This Row],[ASESOR]]</f>
        <v>VERONICA HUARCA</v>
      </c>
      <c r="C54" s="36">
        <f>VLOOKUP(D1_ENERO_2026[[#This Row],[SUPER]],DATA_ENERO_2026[[SUPERVISOR]:[META]],3,0)</f>
        <v>24500</v>
      </c>
      <c r="D54" s="35">
        <f>D1_ENERO_2026[[#This Row],[RECUPERO]]/C54</f>
        <v>1.056734693877551</v>
      </c>
      <c r="E54" s="35" t="s">
        <v>125</v>
      </c>
      <c r="F54" t="s">
        <v>48</v>
      </c>
      <c r="G54" s="36">
        <v>25890</v>
      </c>
      <c r="H54" s="34" t="s">
        <v>421</v>
      </c>
      <c r="I54" s="61">
        <v>44746</v>
      </c>
      <c r="J54" s="56" t="s">
        <v>501</v>
      </c>
      <c r="K54" s="56"/>
      <c r="M54" s="5">
        <f>DATA_ENERO_2026[[#This Row],[RECUPERO]]/DATA_ENERO_2026[[#This Row],[META]]</f>
        <v>0.71142857142857141</v>
      </c>
      <c r="N54" s="5" t="str" cm="1">
        <f t="array" ref="N54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&gt;70%</v>
      </c>
      <c r="O54" s="55" t="s">
        <v>125</v>
      </c>
      <c r="P54" s="6">
        <f>SUM(DATA_ENERO_2026[[#This Row],[1]:[31]])</f>
        <v>17430</v>
      </c>
      <c r="Q54" s="6">
        <v>24500</v>
      </c>
      <c r="R54" t="s">
        <v>73</v>
      </c>
      <c r="W54">
        <v>600</v>
      </c>
      <c r="AA54">
        <v>2500</v>
      </c>
      <c r="AD54">
        <v>1500</v>
      </c>
      <c r="AG54">
        <v>3200</v>
      </c>
      <c r="AH54">
        <v>1600</v>
      </c>
      <c r="AK54">
        <v>250</v>
      </c>
      <c r="AM54">
        <v>600</v>
      </c>
      <c r="AN54">
        <v>2000</v>
      </c>
      <c r="AO54">
        <v>300</v>
      </c>
      <c r="AV54">
        <v>4880</v>
      </c>
      <c r="AX54" t="str" cm="1">
        <f t="array" ref="AX54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5" spans="1:50" x14ac:dyDescent="0.25">
      <c r="A55" s="35" t="str">
        <f>D1_ENERO_2026[[#This Row],[SUPER2]]</f>
        <v>MELINA</v>
      </c>
      <c r="B55" s="34" t="str">
        <f>D1_ENERO_2026[[#This Row],[ASESOR]]</f>
        <v>VERONICA TASAYCO</v>
      </c>
      <c r="C55" s="36">
        <f>VLOOKUP(D1_ENERO_2026[[#This Row],[SUPER]],DATA_ENERO_2026[[SUPERVISOR]:[META]],3,0)</f>
        <v>48000</v>
      </c>
      <c r="D55" s="35">
        <f>D1_ENERO_2026[[#This Row],[RECUPERO]]/C55</f>
        <v>1.3423750000000001</v>
      </c>
      <c r="E55" s="35" t="s">
        <v>4</v>
      </c>
      <c r="F55" t="s">
        <v>10</v>
      </c>
      <c r="G55" s="36">
        <v>64434</v>
      </c>
      <c r="H55" s="34" t="s">
        <v>449</v>
      </c>
      <c r="I55" s="61">
        <v>44704</v>
      </c>
      <c r="J55" s="56" t="s">
        <v>501</v>
      </c>
      <c r="K55" s="56"/>
      <c r="M55" s="5">
        <f>DATA_ENERO_2026[[#This Row],[RECUPERO]]/DATA_ENERO_2026[[#This Row],[META]]</f>
        <v>1.6282437275985664</v>
      </c>
      <c r="N55" s="5" t="str" cm="1">
        <f t="array" ref="N55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55" s="55" t="s">
        <v>6</v>
      </c>
      <c r="P55" s="6">
        <f>SUM(DATA_ENERO_2026[[#This Row],[1]:[31]])</f>
        <v>45428</v>
      </c>
      <c r="Q55" s="6">
        <v>27900</v>
      </c>
      <c r="R55" t="s">
        <v>34</v>
      </c>
      <c r="T55">
        <v>500</v>
      </c>
      <c r="W55">
        <v>5500</v>
      </c>
      <c r="X55">
        <v>8500</v>
      </c>
      <c r="Y55">
        <v>3313</v>
      </c>
      <c r="AE55">
        <v>500</v>
      </c>
      <c r="AF55">
        <v>4500</v>
      </c>
      <c r="AG55">
        <v>575</v>
      </c>
      <c r="AK55">
        <v>8300</v>
      </c>
      <c r="AL55">
        <v>200</v>
      </c>
      <c r="AM55">
        <v>5000</v>
      </c>
      <c r="AN55">
        <v>500</v>
      </c>
      <c r="AO55">
        <v>2000</v>
      </c>
      <c r="AT55">
        <v>3240</v>
      </c>
      <c r="AU55">
        <v>600</v>
      </c>
      <c r="AV55">
        <v>500</v>
      </c>
      <c r="AW55">
        <v>1700</v>
      </c>
      <c r="AX55" t="str" cm="1">
        <f t="array" ref="AX55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6" spans="1:50" x14ac:dyDescent="0.25">
      <c r="A56" s="35" t="str">
        <f>D1_ENERO_2026[[#This Row],[SUPER2]]</f>
        <v>JORGE</v>
      </c>
      <c r="B56" s="34" t="str">
        <f>D1_ENERO_2026[[#This Row],[ASESOR]]</f>
        <v>VICTOR RAMIREZ</v>
      </c>
      <c r="C56" s="36">
        <f>VLOOKUP(D1_ENERO_2026[[#This Row],[SUPER]],DATA_ENERO_2026[[SUPERVISOR]:[META]],3,0)</f>
        <v>32600</v>
      </c>
      <c r="D56" s="35">
        <f>D1_ENERO_2026[[#This Row],[RECUPERO]]/C56</f>
        <v>1.6673312883435583</v>
      </c>
      <c r="E56" s="35" t="s">
        <v>2</v>
      </c>
      <c r="F56" t="s">
        <v>76</v>
      </c>
      <c r="G56" s="36">
        <v>54355</v>
      </c>
      <c r="H56" s="34" t="s">
        <v>408</v>
      </c>
      <c r="I56" s="61">
        <v>44817</v>
      </c>
      <c r="J56" s="56" t="s">
        <v>501</v>
      </c>
      <c r="K56" s="56"/>
      <c r="M56" s="5">
        <f>DATA_ENERO_2026[[#This Row],[RECUPERO]]/DATA_ENERO_2026[[#This Row],[META]]</f>
        <v>0.5134355828220859</v>
      </c>
      <c r="N56" s="5" t="str" cm="1">
        <f t="array" ref="N56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&gt;40%</v>
      </c>
      <c r="O56" s="55" t="s">
        <v>2</v>
      </c>
      <c r="P56" s="6">
        <f>SUM(DATA_ENERO_2026[[#This Row],[1]:[31]])</f>
        <v>16738</v>
      </c>
      <c r="Q56" s="6">
        <v>32600</v>
      </c>
      <c r="R56" t="s">
        <v>78</v>
      </c>
      <c r="S56">
        <v>500</v>
      </c>
      <c r="AA56">
        <v>1640</v>
      </c>
      <c r="AD56">
        <v>450</v>
      </c>
      <c r="AF56">
        <v>3500</v>
      </c>
      <c r="AG56">
        <v>2000</v>
      </c>
      <c r="AK56">
        <v>4810</v>
      </c>
      <c r="AO56">
        <v>200</v>
      </c>
      <c r="AS56">
        <v>300</v>
      </c>
      <c r="AU56">
        <v>451</v>
      </c>
      <c r="AV56">
        <v>1887</v>
      </c>
      <c r="AW56">
        <v>1000</v>
      </c>
      <c r="AX56" t="str" cm="1">
        <f t="array" ref="AX56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57" spans="1:50" x14ac:dyDescent="0.25">
      <c r="A57" s="34"/>
      <c r="B57" s="34"/>
      <c r="C57" s="35"/>
      <c r="D57" s="35"/>
      <c r="E57" s="35"/>
      <c r="M57" s="5">
        <f>DATA_ENERO_2026[[#This Row],[RECUPERO]]/DATA_ENERO_2026[[#This Row],[META]]</f>
        <v>1.056734693877551</v>
      </c>
      <c r="N57" s="5" t="str" cm="1">
        <f t="array" ref="N57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57" s="55" t="s">
        <v>125</v>
      </c>
      <c r="P57" s="6">
        <f>SUM(DATA_ENERO_2026[[#This Row],[1]:[31]])</f>
        <v>25890</v>
      </c>
      <c r="Q57" s="6">
        <v>24500</v>
      </c>
      <c r="R57" t="s">
        <v>48</v>
      </c>
      <c r="T57">
        <v>200</v>
      </c>
      <c r="W57">
        <v>4100</v>
      </c>
      <c r="X57">
        <v>1500</v>
      </c>
      <c r="Y57">
        <v>6000</v>
      </c>
      <c r="Z57">
        <v>3000</v>
      </c>
      <c r="AA57">
        <v>1000</v>
      </c>
      <c r="AH57">
        <v>2500</v>
      </c>
      <c r="AI57">
        <v>150</v>
      </c>
      <c r="AL57">
        <v>1000</v>
      </c>
      <c r="AM57">
        <v>1660</v>
      </c>
      <c r="AS57">
        <v>1700</v>
      </c>
      <c r="AT57">
        <v>1000</v>
      </c>
      <c r="AV57">
        <v>2080</v>
      </c>
      <c r="AX57" t="str" cm="1">
        <f t="array" ref="AX57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8" spans="1:50" x14ac:dyDescent="0.25">
      <c r="A58" s="34"/>
      <c r="B58" s="34"/>
      <c r="C58" s="35"/>
      <c r="D58" s="35"/>
      <c r="E58" s="35"/>
      <c r="M58" s="5">
        <f>DATA_ENERO_2026[[#This Row],[RECUPERO]]/DATA_ENERO_2026[[#This Row],[META]]</f>
        <v>1.3423750000000001</v>
      </c>
      <c r="N58" s="5" t="str" cm="1">
        <f t="array" ref="N58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58" s="55" t="s">
        <v>4</v>
      </c>
      <c r="P58" s="6">
        <f>SUM(DATA_ENERO_2026[[#This Row],[1]:[31]])</f>
        <v>64434</v>
      </c>
      <c r="Q58" s="6">
        <v>48000</v>
      </c>
      <c r="R58" t="s">
        <v>10</v>
      </c>
      <c r="W58">
        <v>9451</v>
      </c>
      <c r="Y58">
        <v>7000</v>
      </c>
      <c r="AA58">
        <v>1300</v>
      </c>
      <c r="AD58">
        <v>16100</v>
      </c>
      <c r="AG58">
        <v>2000</v>
      </c>
      <c r="AH58">
        <v>360</v>
      </c>
      <c r="AM58">
        <v>700</v>
      </c>
      <c r="AN58">
        <v>2200</v>
      </c>
      <c r="AQ58">
        <v>688</v>
      </c>
      <c r="AT58">
        <v>200</v>
      </c>
      <c r="AV58">
        <v>11835</v>
      </c>
      <c r="AW58">
        <v>12600</v>
      </c>
      <c r="AX58" t="str" cm="1">
        <f t="array" ref="AX58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9" spans="1:50" x14ac:dyDescent="0.25">
      <c r="A59" s="34"/>
      <c r="B59" s="34"/>
      <c r="C59" s="35"/>
      <c r="D59" s="35"/>
      <c r="E59" s="35"/>
      <c r="M59" s="5">
        <f>DATA_ENERO_2026[[#This Row],[RECUPERO]]/DATA_ENERO_2026[[#This Row],[META]]</f>
        <v>1.6673312883435583</v>
      </c>
      <c r="N59" s="5" t="str" cm="1">
        <f t="array" ref="N59">IF(DATA_ENERO_2026[[#This Row],[ASER_]]="","",IFERROR(_xlfn.IFS(DATA_ENERO_2026[[#This Row],[AL_AC]]&gt;=100%,"&gt;100%",AND(DATA_ENERO_2026[[#This Row],[AL_AC]]&lt;100%,DATA_ENERO_2026[[#This Row],[AL_AC]]&gt;=70%),"&gt;70%",AND(DATA_ENERO_2026[[#This Row],[AL_AC]]&lt;70%,DATA_ENERO_2026[[#This Row],[AL_AC]]&gt;=40%),"&gt;40%",AND(DATA_ENERO_2026[[#This Row],[AL_AC]]&lt;40%,DATA_ENERO_2026[[#This Row],[AL_AC]]&gt;=0%),"&gt;0%"),""))</f>
        <v>&gt;100%</v>
      </c>
      <c r="O59" s="55" t="s">
        <v>2</v>
      </c>
      <c r="P59" s="6">
        <f>SUM(DATA_ENERO_2026[[#This Row],[1]:[31]])</f>
        <v>54355</v>
      </c>
      <c r="Q59" s="6">
        <v>32600</v>
      </c>
      <c r="R59" t="s">
        <v>76</v>
      </c>
      <c r="W59">
        <v>8000</v>
      </c>
      <c r="Y59">
        <v>800</v>
      </c>
      <c r="AA59">
        <v>4000</v>
      </c>
      <c r="AD59">
        <v>4200</v>
      </c>
      <c r="AE59">
        <v>8050</v>
      </c>
      <c r="AG59">
        <v>5105</v>
      </c>
      <c r="AH59">
        <v>250</v>
      </c>
      <c r="AK59">
        <v>450</v>
      </c>
      <c r="AM59">
        <v>2450</v>
      </c>
      <c r="AN59">
        <v>300</v>
      </c>
      <c r="AO59">
        <v>250</v>
      </c>
      <c r="AV59">
        <v>10500</v>
      </c>
      <c r="AW59">
        <v>10000</v>
      </c>
      <c r="AX59" t="str" cm="1">
        <f t="array" ref="AX59">IFERROR(VLOOKUP(DATA_ENERO_2026[[#This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60" spans="1:50" x14ac:dyDescent="0.25">
      <c r="A60" s="34"/>
      <c r="B60" s="34"/>
      <c r="C60" s="35"/>
      <c r="D60" s="35"/>
      <c r="E60" s="35"/>
      <c r="O60" s="5"/>
    </row>
    <row r="61" spans="1:50" x14ac:dyDescent="0.25">
      <c r="A61" s="34"/>
      <c r="B61" s="34"/>
      <c r="C61" s="35"/>
      <c r="D61" s="35"/>
      <c r="E61" s="35"/>
      <c r="O61" s="5"/>
    </row>
    <row r="62" spans="1:50" x14ac:dyDescent="0.25">
      <c r="A62" s="34"/>
      <c r="B62" s="34"/>
      <c r="C62" s="35"/>
      <c r="D62" s="35"/>
      <c r="E62" s="35"/>
      <c r="O62" s="5"/>
    </row>
    <row r="63" spans="1:50" x14ac:dyDescent="0.25">
      <c r="A63" s="34"/>
      <c r="B63" s="34"/>
      <c r="C63" s="35"/>
      <c r="D63" s="35"/>
      <c r="E63" s="35"/>
      <c r="O63" s="5"/>
    </row>
    <row r="64" spans="1:50" x14ac:dyDescent="0.25">
      <c r="A64" s="34"/>
      <c r="B64" s="34"/>
      <c r="C64" s="35"/>
      <c r="D64" s="35"/>
      <c r="E64" s="35"/>
      <c r="O64" s="5"/>
    </row>
    <row r="65" spans="1:15" x14ac:dyDescent="0.25">
      <c r="A65" s="34"/>
      <c r="B65" s="34"/>
      <c r="C65" s="35"/>
      <c r="D65" s="35"/>
      <c r="E65" s="35"/>
      <c r="O65" s="5"/>
    </row>
    <row r="66" spans="1:15" x14ac:dyDescent="0.25">
      <c r="A66" s="34"/>
      <c r="B66" s="34"/>
      <c r="C66" s="35"/>
      <c r="D66" s="35"/>
      <c r="E66" s="35"/>
      <c r="G66" s="1"/>
      <c r="I66" s="3"/>
      <c r="O66" s="5"/>
    </row>
  </sheetData>
  <phoneticPr fontId="2" type="noConversion"/>
  <conditionalFormatting sqref="R9:R59">
    <cfRule type="duplicateValues" dxfId="12" priority="1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5655-D1F1-4913-AD4E-FEAA05D30C23}">
  <dimension ref="A1:CI59"/>
  <sheetViews>
    <sheetView zoomScale="70" zoomScaleNormal="70" workbookViewId="0">
      <selection activeCell="AX10" sqref="AX10"/>
    </sheetView>
  </sheetViews>
  <sheetFormatPr baseColWidth="10" defaultRowHeight="15" x14ac:dyDescent="0.25"/>
  <cols>
    <col min="1" max="1" width="13" bestFit="1" customWidth="1"/>
    <col min="2" max="2" width="27.28515625" bestFit="1" customWidth="1"/>
    <col min="3" max="3" width="13.5703125" bestFit="1" customWidth="1"/>
    <col min="4" max="4" width="16" bestFit="1" customWidth="1"/>
    <col min="5" max="5" width="14.42578125" bestFit="1" customWidth="1"/>
    <col min="6" max="6" width="27.28515625" bestFit="1" customWidth="1"/>
    <col min="7" max="7" width="17.85546875" bestFit="1" customWidth="1"/>
    <col min="8" max="8" width="11.5703125" bestFit="1" customWidth="1"/>
    <col min="9" max="9" width="24.28515625" bestFit="1" customWidth="1"/>
    <col min="10" max="10" width="14.5703125" bestFit="1" customWidth="1"/>
    <col min="13" max="13" width="16" bestFit="1" customWidth="1"/>
    <col min="14" max="14" width="26" bestFit="1" customWidth="1"/>
    <col min="15" max="15" width="20.7109375" bestFit="1" customWidth="1"/>
    <col min="16" max="16" width="17.85546875" bestFit="1" customWidth="1"/>
    <col min="18" max="18" width="27.28515625" bestFit="1" customWidth="1"/>
    <col min="19" max="19" width="6" bestFit="1" customWidth="1"/>
    <col min="20" max="20" width="8.7109375" bestFit="1" customWidth="1"/>
    <col min="21" max="21" width="7.42578125" bestFit="1" customWidth="1"/>
    <col min="22" max="23" width="8.7109375" bestFit="1" customWidth="1"/>
    <col min="24" max="25" width="7.42578125" bestFit="1" customWidth="1"/>
    <col min="26" max="26" width="6.42578125" bestFit="1" customWidth="1"/>
    <col min="27" max="28" width="7.42578125" bestFit="1" customWidth="1"/>
    <col min="29" max="29" width="8.7109375" bestFit="1" customWidth="1"/>
    <col min="30" max="33" width="7.42578125" bestFit="1" customWidth="1"/>
    <col min="34" max="34" width="8.7109375" bestFit="1" customWidth="1"/>
    <col min="35" max="37" width="7.42578125" bestFit="1" customWidth="1"/>
    <col min="38" max="38" width="10" bestFit="1" customWidth="1"/>
    <col min="39" max="39" width="7.42578125" bestFit="1" customWidth="1"/>
    <col min="40" max="43" width="7.85546875" bestFit="1" customWidth="1"/>
    <col min="44" max="44" width="10" bestFit="1" customWidth="1"/>
    <col min="45" max="45" width="7.85546875" bestFit="1" customWidth="1"/>
    <col min="46" max="46" width="8.7109375" bestFit="1" customWidth="1"/>
    <col min="47" max="48" width="7.85546875" bestFit="1" customWidth="1"/>
    <col min="49" max="49" width="7.42578125" bestFit="1" customWidth="1"/>
    <col min="50" max="50" width="26.7109375" bestFit="1" customWidth="1"/>
    <col min="52" max="52" width="20" bestFit="1" customWidth="1"/>
    <col min="53" max="53" width="34.28515625" bestFit="1" customWidth="1"/>
    <col min="54" max="54" width="32.42578125" bestFit="1" customWidth="1"/>
    <col min="55" max="55" width="13" bestFit="1" customWidth="1"/>
    <col min="56" max="56" width="6.42578125" bestFit="1" customWidth="1"/>
    <col min="57" max="57" width="6.85546875" bestFit="1" customWidth="1"/>
    <col min="58" max="60" width="8.140625" bestFit="1" customWidth="1"/>
    <col min="61" max="65" width="8.85546875" bestFit="1" customWidth="1"/>
    <col min="66" max="70" width="9.28515625" bestFit="1" customWidth="1"/>
    <col min="71" max="71" width="8.85546875" bestFit="1" customWidth="1"/>
    <col min="72" max="78" width="9.28515625" bestFit="1" customWidth="1"/>
    <col min="79" max="80" width="8.85546875" bestFit="1" customWidth="1"/>
    <col min="81" max="86" width="9.28515625" bestFit="1" customWidth="1"/>
    <col min="87" max="87" width="16" bestFit="1" customWidth="1"/>
  </cols>
  <sheetData>
    <row r="1" spans="1:87" x14ac:dyDescent="0.25">
      <c r="A1" s="34"/>
      <c r="B1" s="34"/>
      <c r="C1" s="35"/>
      <c r="D1" s="35"/>
      <c r="E1" s="35"/>
      <c r="J1" s="56"/>
      <c r="K1" s="56"/>
      <c r="L1" s="56"/>
      <c r="N1" s="5"/>
    </row>
    <row r="2" spans="1:8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7" ht="26.25" x14ac:dyDescent="0.4">
      <c r="A3" s="63" t="str">
        <f>D1_FEBRERO_2026[[#This Row],[SUPER2]]</f>
        <v>GUSTAVO</v>
      </c>
      <c r="B3" s="62" t="str" cm="1">
        <f t="array" ref="B3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CHRISTIAN ALVARADO</v>
      </c>
      <c r="C3" s="63"/>
      <c r="D3" s="63"/>
      <c r="E3" s="63" t="s">
        <v>124</v>
      </c>
      <c r="F3" s="62" t="s">
        <v>41</v>
      </c>
      <c r="G3" s="62"/>
      <c r="H3" s="62" t="s">
        <v>387</v>
      </c>
      <c r="I3" s="64">
        <v>45302</v>
      </c>
      <c r="J3" s="64" t="s">
        <v>500</v>
      </c>
      <c r="K3" s="61"/>
      <c r="L3" s="56"/>
      <c r="M3" s="33">
        <v>2026</v>
      </c>
      <c r="N3" s="33" t="s">
        <v>140</v>
      </c>
      <c r="O3" s="33">
        <v>21</v>
      </c>
    </row>
    <row r="4" spans="1:87" x14ac:dyDescent="0.25">
      <c r="A4" s="63" t="str">
        <f>D1_FEBRERO_2026[[#This Row],[SUPER2]]</f>
        <v>SANDY</v>
      </c>
      <c r="B4" s="62" t="str" cm="1">
        <f t="array" ref="B4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FRANCO HUAMANI</v>
      </c>
      <c r="C4" s="63"/>
      <c r="D4" s="63"/>
      <c r="E4" s="63" t="s">
        <v>3</v>
      </c>
      <c r="F4" s="62" t="s">
        <v>24</v>
      </c>
      <c r="G4" s="62"/>
      <c r="H4" s="62" t="s">
        <v>434</v>
      </c>
      <c r="I4" s="64">
        <v>45334</v>
      </c>
      <c r="J4" s="64" t="s">
        <v>500</v>
      </c>
      <c r="K4" s="61"/>
      <c r="L4" s="56"/>
      <c r="N4" s="5"/>
      <c r="S4" s="45"/>
    </row>
    <row r="5" spans="1:87" x14ac:dyDescent="0.25">
      <c r="A5" s="63" t="str">
        <f>D1_FEBRERO_2026[[#This Row],[SUPER2]]</f>
        <v>JORGE</v>
      </c>
      <c r="B5" s="62" t="str" cm="1">
        <f t="array" ref="B5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LUCERO JORDAN</v>
      </c>
      <c r="C5" s="63"/>
      <c r="D5" s="63"/>
      <c r="E5" s="63" t="s">
        <v>2</v>
      </c>
      <c r="F5" s="62" t="s">
        <v>68</v>
      </c>
      <c r="G5" s="62"/>
      <c r="H5" s="62" t="s">
        <v>440</v>
      </c>
      <c r="I5" s="64">
        <v>45363</v>
      </c>
      <c r="J5" s="64" t="s">
        <v>500</v>
      </c>
      <c r="K5" s="61"/>
      <c r="L5" s="56"/>
      <c r="N5" s="5"/>
      <c r="S5" s="45"/>
      <c r="BQ5" s="45"/>
    </row>
    <row r="6" spans="1:87" x14ac:dyDescent="0.25">
      <c r="A6" s="67" t="str">
        <f>D1_FEBRERO_2026[[#This Row],[SUPER2]]</f>
        <v>KENNETH</v>
      </c>
      <c r="B6" s="66" t="str" cm="1">
        <f t="array" ref="B6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MILAGROS QUIO</v>
      </c>
      <c r="C6" s="63"/>
      <c r="D6" s="63"/>
      <c r="E6" s="67" t="s">
        <v>6</v>
      </c>
      <c r="F6" s="66" t="s">
        <v>11</v>
      </c>
      <c r="G6" s="73"/>
      <c r="H6" s="66" t="s">
        <v>429</v>
      </c>
      <c r="I6" s="68">
        <v>45369</v>
      </c>
      <c r="J6" s="68" t="s">
        <v>500</v>
      </c>
      <c r="K6" s="61"/>
      <c r="L6" s="56"/>
      <c r="N6" s="5"/>
      <c r="S6" s="45"/>
    </row>
    <row r="7" spans="1:87" x14ac:dyDescent="0.25">
      <c r="A7" s="67" t="str">
        <f>D1_FEBRERO_2026[[#This Row],[SUPER2]]</f>
        <v>JOHAN</v>
      </c>
      <c r="B7" s="66" t="str" cm="1">
        <f t="array" ref="B7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ERIKA VILLAR</v>
      </c>
      <c r="C7" s="63"/>
      <c r="D7" s="63"/>
      <c r="E7" s="67" t="s">
        <v>125</v>
      </c>
      <c r="F7" s="66" t="s">
        <v>72</v>
      </c>
      <c r="G7" s="73"/>
      <c r="H7" s="66" t="s">
        <v>450</v>
      </c>
      <c r="I7" s="68">
        <v>45691</v>
      </c>
      <c r="J7" s="68" t="s">
        <v>500</v>
      </c>
      <c r="K7" s="61"/>
      <c r="L7" s="56"/>
      <c r="M7" s="1"/>
      <c r="N7" s="5"/>
    </row>
    <row r="8" spans="1:87" x14ac:dyDescent="0.25">
      <c r="A8" s="35" t="str">
        <f>D1_FEBRERO_2026[[#This Row],[SUPER2]]</f>
        <v>JOHAN</v>
      </c>
      <c r="B8" s="34" t="str" cm="1">
        <f t="array" ref="B8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ALEIDITH GUEVARA</v>
      </c>
      <c r="C8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8" s="35">
        <f>IF(D1_FEBRERO_2026[[#This Row],[RECUPERO]]="VACACIONES","VACACIONES",IFERROR(D1_FEBRERO_2026[[#This Row],[RECUPERO]]/D1_FEBRERO_2026[[#This Row],[META]],""))</f>
        <v>0.7419</v>
      </c>
      <c r="E8" s="35" t="s">
        <v>125</v>
      </c>
      <c r="F8" s="34" t="s">
        <v>18</v>
      </c>
      <c r="G8" s="36">
        <v>37095</v>
      </c>
      <c r="H8" s="34" t="s">
        <v>431</v>
      </c>
      <c r="I8" s="61">
        <v>45132</v>
      </c>
      <c r="J8" s="61" t="s">
        <v>501</v>
      </c>
      <c r="K8" s="61"/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503</v>
      </c>
      <c r="U8" s="13" t="s">
        <v>525</v>
      </c>
      <c r="V8" s="13" t="s">
        <v>529</v>
      </c>
      <c r="W8" s="13" t="s">
        <v>504</v>
      </c>
      <c r="X8" s="13" t="s">
        <v>505</v>
      </c>
      <c r="Y8" s="13" t="s">
        <v>506</v>
      </c>
      <c r="Z8" s="13" t="s">
        <v>507</v>
      </c>
      <c r="AA8" s="13" t="s">
        <v>508</v>
      </c>
      <c r="AB8" s="13" t="s">
        <v>526</v>
      </c>
      <c r="AC8" s="13" t="s">
        <v>530</v>
      </c>
      <c r="AD8" s="13" t="s">
        <v>509</v>
      </c>
      <c r="AE8" s="13" t="s">
        <v>510</v>
      </c>
      <c r="AF8" s="13" t="s">
        <v>511</v>
      </c>
      <c r="AG8" s="13" t="s">
        <v>512</v>
      </c>
      <c r="AH8" s="13" t="s">
        <v>513</v>
      </c>
      <c r="AI8" s="13" t="s">
        <v>527</v>
      </c>
      <c r="AJ8" s="13" t="s">
        <v>531</v>
      </c>
      <c r="AK8" s="13" t="s">
        <v>514</v>
      </c>
      <c r="AL8" s="13" t="s">
        <v>515</v>
      </c>
      <c r="AM8" s="13" t="s">
        <v>516</v>
      </c>
      <c r="AN8" s="13" t="s">
        <v>517</v>
      </c>
      <c r="AO8" s="13" t="s">
        <v>518</v>
      </c>
      <c r="AP8" s="13" t="s">
        <v>528</v>
      </c>
      <c r="AQ8" s="13" t="s">
        <v>532</v>
      </c>
      <c r="AR8" s="13" t="s">
        <v>519</v>
      </c>
      <c r="AS8" s="13" t="s">
        <v>520</v>
      </c>
      <c r="AT8" s="13" t="s">
        <v>521</v>
      </c>
      <c r="AU8" s="13" t="s">
        <v>522</v>
      </c>
      <c r="AV8" s="13" t="s">
        <v>523</v>
      </c>
      <c r="AW8" s="13" t="s">
        <v>524</v>
      </c>
      <c r="AX8" s="14" t="s">
        <v>502</v>
      </c>
      <c r="AZ8" s="18" t="s">
        <v>135</v>
      </c>
      <c r="BA8" s="18" t="s">
        <v>137</v>
      </c>
      <c r="BB8" s="18" t="s">
        <v>138</v>
      </c>
      <c r="BC8" s="19" t="s">
        <v>94</v>
      </c>
      <c r="BD8" s="19" t="s">
        <v>533</v>
      </c>
      <c r="BE8" s="19" t="s">
        <v>503</v>
      </c>
      <c r="BF8" s="19" t="s">
        <v>525</v>
      </c>
      <c r="BG8" s="19" t="s">
        <v>529</v>
      </c>
      <c r="BH8" s="19" t="s">
        <v>504</v>
      </c>
      <c r="BI8" s="19" t="s">
        <v>505</v>
      </c>
      <c r="BJ8" s="19" t="s">
        <v>506</v>
      </c>
      <c r="BK8" s="19" t="s">
        <v>507</v>
      </c>
      <c r="BL8" s="19" t="s">
        <v>508</v>
      </c>
      <c r="BM8" s="19" t="s">
        <v>526</v>
      </c>
      <c r="BN8" s="19" t="s">
        <v>530</v>
      </c>
      <c r="BO8" s="19" t="s">
        <v>509</v>
      </c>
      <c r="BP8" s="19" t="s">
        <v>510</v>
      </c>
      <c r="BQ8" s="19" t="s">
        <v>511</v>
      </c>
      <c r="BR8" s="19" t="s">
        <v>512</v>
      </c>
      <c r="BS8" s="19" t="s">
        <v>513</v>
      </c>
      <c r="BT8" s="19" t="s">
        <v>527</v>
      </c>
      <c r="BU8" s="19" t="s">
        <v>531</v>
      </c>
      <c r="BV8" s="19" t="s">
        <v>514</v>
      </c>
      <c r="BW8" s="19" t="s">
        <v>515</v>
      </c>
      <c r="BX8" s="19" t="s">
        <v>516</v>
      </c>
      <c r="BY8" s="19" t="s">
        <v>517</v>
      </c>
      <c r="BZ8" s="19" t="s">
        <v>518</v>
      </c>
      <c r="CA8" s="19" t="s">
        <v>528</v>
      </c>
      <c r="CB8" s="19" t="s">
        <v>532</v>
      </c>
      <c r="CC8" s="19" t="s">
        <v>519</v>
      </c>
      <c r="CD8" s="19" t="s">
        <v>520</v>
      </c>
      <c r="CE8" s="19" t="s">
        <v>521</v>
      </c>
      <c r="CF8" s="19" t="s">
        <v>522</v>
      </c>
      <c r="CG8" s="19" t="s">
        <v>523</v>
      </c>
      <c r="CH8" s="19" t="s">
        <v>524</v>
      </c>
      <c r="CI8" s="18" t="s">
        <v>134</v>
      </c>
    </row>
    <row r="9" spans="1:87" x14ac:dyDescent="0.25">
      <c r="A9" s="35" t="str">
        <f>D1_FEBRERO_2026[[#This Row],[SUPER2]]</f>
        <v>GUSTAVO</v>
      </c>
      <c r="B9" s="34" t="str" cm="1">
        <f t="array" ref="B9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ALEJANDRA QUISPE</v>
      </c>
      <c r="C9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9" s="35">
        <f>IF(D1_FEBRERO_2026[[#This Row],[RECUPERO]]="VACACIONES","VACACIONES",IFERROR(D1_FEBRERO_2026[[#This Row],[RECUPERO]]/D1_FEBRERO_2026[[#This Row],[META]],""))</f>
        <v>1.9406382978723404</v>
      </c>
      <c r="E9" s="35" t="s">
        <v>124</v>
      </c>
      <c r="F9" s="34" t="s">
        <v>58</v>
      </c>
      <c r="G9" s="36">
        <v>45605</v>
      </c>
      <c r="H9" s="34" t="s">
        <v>441</v>
      </c>
      <c r="I9" s="61">
        <v>43101</v>
      </c>
      <c r="J9" s="61" t="s">
        <v>501</v>
      </c>
      <c r="K9" s="61"/>
      <c r="L9" s="56"/>
      <c r="M9" s="5">
        <f>DATA_FEBRERO_2026[[#This Row],[RECUPERO]]/DATA_FEBRERO_2026[[#This Row],[META]]</f>
        <v>0.7419</v>
      </c>
      <c r="N9" s="5" t="str" cm="1">
        <f t="array" ref="N9">IF(DATA_FEBRERO_2026[[#This Row],[ASER_]]="","",IFERROR(_xlfn.IFS(M9&gt;=100%,"&gt;100%",AND(M9&lt;100%,M9&gt;=70%),"&gt;70%",AND(M9&lt;70%,M9&gt;=40%),"&gt;40%",AND(M9&lt;40%,M9&gt;=0%),"&gt;0%"),""))</f>
        <v>&gt;70%</v>
      </c>
      <c r="O9" s="55" t="str">
        <f>IFERROR(VLOOKUP(DATA_FEBRERO_2026[[#This Row],[ASER_]],$B:$G,4,0),"")</f>
        <v>JOHAN</v>
      </c>
      <c r="P9" s="6">
        <f>SUM(DATA_FEBRERO_2026[[#This Row],[1]:[31]])</f>
        <v>37095</v>
      </c>
      <c r="Q9" s="6">
        <f>VLOOKUP(DATA_FEBRERO_2026[[#This Row],[ASER_]],D1_FEBRERO_2026[[ASESOR_CRR]:[META]],2,0)</f>
        <v>50000</v>
      </c>
      <c r="R9" t="s">
        <v>18</v>
      </c>
      <c r="S9">
        <v>400</v>
      </c>
      <c r="U9">
        <v>4000</v>
      </c>
      <c r="V9">
        <v>2000</v>
      </c>
      <c r="X9">
        <v>5350</v>
      </c>
      <c r="AA9">
        <v>8340</v>
      </c>
      <c r="AD9">
        <v>600</v>
      </c>
      <c r="AE9">
        <v>1050</v>
      </c>
      <c r="AH9">
        <v>1650</v>
      </c>
      <c r="AJ9">
        <v>5000</v>
      </c>
      <c r="AL9">
        <v>1500</v>
      </c>
      <c r="AQ9">
        <v>1800</v>
      </c>
      <c r="AS9">
        <v>2050</v>
      </c>
      <c r="AT9">
        <v>3355</v>
      </c>
      <c r="AX9" t="str" cm="1">
        <f t="array" ref="AX9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9" s="10">
        <f>VLOOKUP($M$3&amp;$N$3&amp;DITE_FEBRERO_2026[[#This Row],[SUPER]],TablaMeta[],5,0)</f>
        <v>543573</v>
      </c>
      <c r="BA9" s="10">
        <f>MAX(DITE_FEBRERO_2026[[#This Row],[SUPER]:[CARTERA]])</f>
        <v>518999.14</v>
      </c>
      <c r="BB9" s="16">
        <f>IFERROR(DITE_FEBRERO_2026[[#This Row],[RECUPERO SUPERVISOR]]/DITE_FEBRERO_2026[[#This Row],[META SUPER]],"")</f>
        <v>0.95479197826234929</v>
      </c>
      <c r="BC9" s="10" t="s">
        <v>3</v>
      </c>
      <c r="BD9" s="46">
        <v>420</v>
      </c>
      <c r="BE9" s="46">
        <v>8334</v>
      </c>
      <c r="BF9" s="46">
        <v>13801</v>
      </c>
      <c r="BG9" s="46">
        <v>26839</v>
      </c>
      <c r="BH9" s="46">
        <v>36174</v>
      </c>
      <c r="BI9" s="46">
        <v>86674</v>
      </c>
      <c r="BJ9" s="46">
        <v>89254</v>
      </c>
      <c r="BK9" s="46">
        <v>89254</v>
      </c>
      <c r="BL9" s="46">
        <v>100001</v>
      </c>
      <c r="BM9" s="46">
        <v>113269</v>
      </c>
      <c r="BN9" s="46">
        <v>145394</v>
      </c>
      <c r="BO9" s="46">
        <v>157449</v>
      </c>
      <c r="BP9" s="46">
        <v>171249</v>
      </c>
      <c r="BQ9" s="46">
        <v>171973</v>
      </c>
      <c r="BR9" s="46">
        <v>173687</v>
      </c>
      <c r="BS9" s="46">
        <v>195208.5</v>
      </c>
      <c r="BT9" s="46">
        <v>201408.5</v>
      </c>
      <c r="BU9" s="46">
        <v>257086.5</v>
      </c>
      <c r="BV9" s="46">
        <v>276512.5</v>
      </c>
      <c r="BW9" s="46">
        <v>295812.5</v>
      </c>
      <c r="BX9" s="46">
        <v>296730.5</v>
      </c>
      <c r="BY9" s="46">
        <v>296730.5</v>
      </c>
      <c r="BZ9" s="46">
        <v>315790.5</v>
      </c>
      <c r="CA9" s="46">
        <v>369160.5</v>
      </c>
      <c r="CB9" s="46">
        <v>391710.5</v>
      </c>
      <c r="CC9" s="46">
        <v>435006.14</v>
      </c>
      <c r="CD9" s="46">
        <v>488248.14</v>
      </c>
      <c r="CE9" s="46">
        <v>518999.14</v>
      </c>
      <c r="CF9" s="46">
        <v>518999.14</v>
      </c>
      <c r="CG9" s="46">
        <v>518999.14</v>
      </c>
      <c r="CH9" s="46">
        <v>518999.14</v>
      </c>
      <c r="CI9" s="10" t="str">
        <f>VLOOKUP($M$3&amp;$N$3&amp;DITE_FEBRERO_2026[[#This Row],[SUPER]],TablaMeta[],7,0)</f>
        <v>S1</v>
      </c>
    </row>
    <row r="10" spans="1:87" x14ac:dyDescent="0.25">
      <c r="A10" s="35" t="str">
        <f>D1_FEBRERO_2026[[#This Row],[SUPER2]]</f>
        <v>JOHAN</v>
      </c>
      <c r="B10" s="34" t="str" cm="1">
        <f t="array" ref="B10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ALEJANDRO GONZALES</v>
      </c>
      <c r="C10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10" s="35">
        <f>IF(D1_FEBRERO_2026[[#This Row],[RECUPERO]]="VACACIONES","VACACIONES",IFERROR(D1_FEBRERO_2026[[#This Row],[RECUPERO]]/D1_FEBRERO_2026[[#This Row],[META]],""))</f>
        <v>0.4148</v>
      </c>
      <c r="E10" s="35" t="s">
        <v>125</v>
      </c>
      <c r="F10" s="34" t="s">
        <v>109</v>
      </c>
      <c r="G10" s="36">
        <v>20740</v>
      </c>
      <c r="H10" s="34" t="s">
        <v>422</v>
      </c>
      <c r="I10" s="61">
        <v>46024</v>
      </c>
      <c r="J10" s="61" t="s">
        <v>501</v>
      </c>
      <c r="K10" s="61"/>
      <c r="L10" s="56"/>
      <c r="M10" s="5">
        <f>DATA_FEBRERO_2026[[#This Row],[RECUPERO]]/DATA_FEBRERO_2026[[#This Row],[META]]</f>
        <v>1.9406382978723404</v>
      </c>
      <c r="N10" s="5" t="str" cm="1">
        <f t="array" ref="N10">IF(DATA_FEBRERO_2026[[#This Row],[ASER_]]="","",IFERROR(_xlfn.IFS(M10&gt;=100%,"&gt;100%",AND(M10&lt;100%,M10&gt;=70%),"&gt;70%",AND(M10&lt;70%,M10&gt;=40%),"&gt;40%",AND(M10&lt;40%,M10&gt;=0%),"&gt;0%"),""))</f>
        <v>&gt;100%</v>
      </c>
      <c r="O10" s="55" t="str">
        <f>IFERROR(VLOOKUP(DATA_FEBRERO_2026[[#This Row],[ASER_]],$B:$G,4,0),"")</f>
        <v>GUSTAVO</v>
      </c>
      <c r="P10" s="6">
        <f>SUM(DATA_FEBRERO_2026[[#This Row],[1]:[31]])</f>
        <v>45605</v>
      </c>
      <c r="Q10" s="6">
        <f>VLOOKUP(DATA_FEBRERO_2026[[#This Row],[ASER_]],D1_FEBRERO_2026[[ASESOR_CRR]:[META]],2,0)</f>
        <v>23500</v>
      </c>
      <c r="R10" t="s">
        <v>58</v>
      </c>
      <c r="V10">
        <v>280</v>
      </c>
      <c r="W10">
        <v>11100</v>
      </c>
      <c r="X10">
        <v>205</v>
      </c>
      <c r="AB10">
        <v>7000</v>
      </c>
      <c r="AD10">
        <v>1500</v>
      </c>
      <c r="AG10">
        <v>600</v>
      </c>
      <c r="AI10">
        <v>238</v>
      </c>
      <c r="AJ10">
        <v>250</v>
      </c>
      <c r="AK10">
        <v>230</v>
      </c>
      <c r="AL10">
        <v>500</v>
      </c>
      <c r="AO10">
        <v>1500</v>
      </c>
      <c r="AP10">
        <v>1000</v>
      </c>
      <c r="AQ10">
        <v>6590</v>
      </c>
      <c r="AR10">
        <v>9552</v>
      </c>
      <c r="AS10">
        <v>4010</v>
      </c>
      <c r="AT10">
        <v>1050</v>
      </c>
      <c r="AX10" t="str" cm="1">
        <f t="array" ref="AX10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AZ10" s="11">
        <f>VLOOKUP($M$3&amp;$N$3&amp;DITE_FEBRERO_2026[[#This Row],[SUPER]],TablaMeta[],5,0)</f>
        <v>540042</v>
      </c>
      <c r="BA10" s="11">
        <f>MAX(DITE_FEBRERO_2026[[#This Row],[SUPER]:[CARTERA]])</f>
        <v>705961.59000000008</v>
      </c>
      <c r="BB10" s="17">
        <f>IFERROR(DITE_FEBRERO_2026[[#This Row],[RECUPERO SUPERVISOR]]/DITE_FEBRERO_2026[[#This Row],[META SUPER]],"")</f>
        <v>1.3072346039752465</v>
      </c>
      <c r="BC10" s="11" t="s">
        <v>6</v>
      </c>
      <c r="BD10" s="46">
        <v>0</v>
      </c>
      <c r="BE10" s="46">
        <v>1259</v>
      </c>
      <c r="BF10" s="46">
        <v>23151</v>
      </c>
      <c r="BG10" s="46">
        <v>35646.089999999997</v>
      </c>
      <c r="BH10" s="46">
        <v>61512.069999999992</v>
      </c>
      <c r="BI10" s="46">
        <v>73253.069999999992</v>
      </c>
      <c r="BJ10" s="46">
        <v>73819.569999999992</v>
      </c>
      <c r="BK10" s="46">
        <v>73819.569999999992</v>
      </c>
      <c r="BL10" s="46">
        <v>115090.56999999999</v>
      </c>
      <c r="BM10" s="46">
        <v>168515.57</v>
      </c>
      <c r="BN10" s="46">
        <v>207627.57</v>
      </c>
      <c r="BO10" s="46">
        <v>236306.57</v>
      </c>
      <c r="BP10" s="46">
        <v>248604.57</v>
      </c>
      <c r="BQ10" s="46">
        <v>260753.07</v>
      </c>
      <c r="BR10" s="46">
        <v>260753.07</v>
      </c>
      <c r="BS10" s="46">
        <v>319309.07</v>
      </c>
      <c r="BT10" s="46">
        <v>344890.07</v>
      </c>
      <c r="BU10" s="46">
        <v>390048.07</v>
      </c>
      <c r="BV10" s="46">
        <v>422674.07</v>
      </c>
      <c r="BW10" s="46">
        <v>466543.59</v>
      </c>
      <c r="BX10" s="46">
        <v>471623.59</v>
      </c>
      <c r="BY10" s="46">
        <v>471623.59</v>
      </c>
      <c r="BZ10" s="46">
        <v>496883.59</v>
      </c>
      <c r="CA10" s="46">
        <v>516553.59</v>
      </c>
      <c r="CB10" s="46">
        <v>547814.09000000008</v>
      </c>
      <c r="CC10" s="46">
        <v>574606.09000000008</v>
      </c>
      <c r="CD10" s="46">
        <v>668474.09000000008</v>
      </c>
      <c r="CE10" s="46">
        <v>705961.59000000008</v>
      </c>
      <c r="CF10" s="46">
        <v>705961.59000000008</v>
      </c>
      <c r="CG10" s="46">
        <v>705961.59000000008</v>
      </c>
      <c r="CH10" s="46">
        <v>705961.59000000008</v>
      </c>
      <c r="CI10" s="11" t="str">
        <f>VLOOKUP($M$3&amp;$N$3&amp;DITE_FEBRERO_2026[[#This Row],[SUPER]],TablaMeta[],7,0)</f>
        <v>S0</v>
      </c>
    </row>
    <row r="11" spans="1:87" x14ac:dyDescent="0.25">
      <c r="A11" s="35" t="str">
        <f>D1_FEBRERO_2026[[#This Row],[SUPER2]]</f>
        <v>JOHAN</v>
      </c>
      <c r="B11" s="34" t="str" cm="1">
        <f t="array" ref="B11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ANALUCIA PONCE</v>
      </c>
      <c r="C11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11" s="35">
        <f>IF(D1_FEBRERO_2026[[#This Row],[RECUPERO]]="VACACIONES","VACACIONES",IFERROR(D1_FEBRERO_2026[[#This Row],[RECUPERO]]/D1_FEBRERO_2026[[#This Row],[META]],""))</f>
        <v>1.5776600000000001</v>
      </c>
      <c r="E11" s="35" t="s">
        <v>125</v>
      </c>
      <c r="F11" s="34" t="s">
        <v>60</v>
      </c>
      <c r="G11" s="36">
        <v>78883</v>
      </c>
      <c r="H11" s="34" t="s">
        <v>423</v>
      </c>
      <c r="I11" s="61">
        <v>45854</v>
      </c>
      <c r="J11" s="61" t="s">
        <v>501</v>
      </c>
      <c r="K11" s="61"/>
      <c r="L11" s="56"/>
      <c r="M11" s="5">
        <f>DATA_FEBRERO_2026[[#This Row],[RECUPERO]]/DATA_FEBRERO_2026[[#This Row],[META]]</f>
        <v>0.4148</v>
      </c>
      <c r="N11" s="5" t="str" cm="1">
        <f t="array" ref="N11">IF(DATA_FEBRERO_2026[[#This Row],[ASER_]]="","",IFERROR(_xlfn.IFS(M11&gt;=100%,"&gt;100%",AND(M11&lt;100%,M11&gt;=70%),"&gt;70%",AND(M11&lt;70%,M11&gt;=40%),"&gt;40%",AND(M11&lt;40%,M11&gt;=0%),"&gt;0%"),""))</f>
        <v>&gt;40%</v>
      </c>
      <c r="O11" s="55" t="str">
        <f>IFERROR(VLOOKUP(DATA_FEBRERO_2026[[#This Row],[ASER_]],$B:$G,4,0),"")</f>
        <v>JOHAN</v>
      </c>
      <c r="P11" s="6">
        <f>SUM(DATA_FEBRERO_2026[[#This Row],[1]:[31]])</f>
        <v>20740</v>
      </c>
      <c r="Q11" s="6">
        <f>VLOOKUP(DATA_FEBRERO_2026[[#This Row],[ASER_]],D1_FEBRERO_2026[[ASESOR_CRR]:[META]],2,0)</f>
        <v>50000</v>
      </c>
      <c r="R11" t="s">
        <v>109</v>
      </c>
      <c r="W11">
        <v>1000</v>
      </c>
      <c r="X11">
        <v>4000</v>
      </c>
      <c r="AE11">
        <v>1300</v>
      </c>
      <c r="AH11">
        <v>220</v>
      </c>
      <c r="AI11">
        <v>400</v>
      </c>
      <c r="AJ11">
        <v>1000</v>
      </c>
      <c r="AO11">
        <v>4340</v>
      </c>
      <c r="AQ11">
        <v>230</v>
      </c>
      <c r="AR11">
        <v>4300</v>
      </c>
      <c r="AS11">
        <v>3950</v>
      </c>
      <c r="AX11" t="str" cm="1">
        <f t="array" ref="AX11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11" s="10">
        <f>VLOOKUP($M$3&amp;$N$3&amp;DITE_FEBRERO_2026[[#This Row],[SUPER]],TablaMeta[],5,0)</f>
        <v>194963</v>
      </c>
      <c r="BA11" s="10">
        <f>MAX(DITE_FEBRERO_2026[[#This Row],[SUPER]:[CARTERA]])</f>
        <v>259027.9</v>
      </c>
      <c r="BB11" s="16">
        <f>IFERROR(DITE_FEBRERO_2026[[#This Row],[RECUPERO SUPERVISOR]]/DITE_FEBRERO_2026[[#This Row],[META SUPER]],"")</f>
        <v>1.3286002985181804</v>
      </c>
      <c r="BC11" s="10" t="s">
        <v>2</v>
      </c>
      <c r="BD11" s="46">
        <v>0</v>
      </c>
      <c r="BE11" s="46">
        <v>7203.4</v>
      </c>
      <c r="BF11" s="46">
        <v>12543.4</v>
      </c>
      <c r="BG11" s="46">
        <v>14223.4</v>
      </c>
      <c r="BH11" s="46">
        <v>23573.4</v>
      </c>
      <c r="BI11" s="46">
        <v>56773.4</v>
      </c>
      <c r="BJ11" s="46">
        <v>56773.4</v>
      </c>
      <c r="BK11" s="46">
        <v>56773.4</v>
      </c>
      <c r="BL11" s="46">
        <v>66823.399999999994</v>
      </c>
      <c r="BM11" s="46">
        <v>67823.399999999994</v>
      </c>
      <c r="BN11" s="46">
        <v>71843.399999999994</v>
      </c>
      <c r="BO11" s="46">
        <v>77763.399999999994</v>
      </c>
      <c r="BP11" s="46">
        <v>112013.4</v>
      </c>
      <c r="BQ11" s="46">
        <v>113288.9</v>
      </c>
      <c r="BR11" s="46">
        <v>113388.9</v>
      </c>
      <c r="BS11" s="46">
        <v>127316.4</v>
      </c>
      <c r="BT11" s="46">
        <v>141316.4</v>
      </c>
      <c r="BU11" s="46">
        <v>143580.4</v>
      </c>
      <c r="BV11" s="46">
        <v>145690.4</v>
      </c>
      <c r="BW11" s="46">
        <v>154392.4</v>
      </c>
      <c r="BX11" s="46">
        <v>154392.4</v>
      </c>
      <c r="BY11" s="46">
        <v>154392.4</v>
      </c>
      <c r="BZ11" s="46">
        <v>157752.4</v>
      </c>
      <c r="CA11" s="46">
        <v>177422.4</v>
      </c>
      <c r="CB11" s="46">
        <v>191922.4</v>
      </c>
      <c r="CC11" s="46">
        <v>215828.4</v>
      </c>
      <c r="CD11" s="46">
        <v>247815.4</v>
      </c>
      <c r="CE11" s="46">
        <v>259027.9</v>
      </c>
      <c r="CF11" s="46">
        <v>259027.9</v>
      </c>
      <c r="CG11" s="46">
        <v>259027.9</v>
      </c>
      <c r="CH11" s="46">
        <v>259027.9</v>
      </c>
      <c r="CI11" s="10" t="str">
        <f>VLOOKUP($M$3&amp;$N$3&amp;DITE_FEBRERO_2026[[#This Row],[SUPER]],TablaMeta[],7,0)</f>
        <v>S0</v>
      </c>
    </row>
    <row r="12" spans="1:87" x14ac:dyDescent="0.25">
      <c r="A12" s="35" t="str">
        <f>D1_FEBRERO_2026[[#This Row],[SUPER2]]</f>
        <v>JORGE</v>
      </c>
      <c r="B12" s="34" t="str" cm="1">
        <f t="array" ref="B12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ANDERSON RODRIGUEZ</v>
      </c>
      <c r="C12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28000</v>
      </c>
      <c r="D12" s="35">
        <f>IF(D1_FEBRERO_2026[[#This Row],[RECUPERO]]="VACACIONES","VACACIONES",IFERROR(D1_FEBRERO_2026[[#This Row],[RECUPERO]]/D1_FEBRERO_2026[[#This Row],[META]],""))</f>
        <v>0.71235714285714291</v>
      </c>
      <c r="E12" s="35" t="s">
        <v>2</v>
      </c>
      <c r="F12" s="34" t="s">
        <v>15</v>
      </c>
      <c r="G12" s="36">
        <v>19946</v>
      </c>
      <c r="H12" s="34" t="s">
        <v>410</v>
      </c>
      <c r="I12" s="61">
        <v>44733</v>
      </c>
      <c r="J12" s="61" t="s">
        <v>501</v>
      </c>
      <c r="K12" s="61"/>
      <c r="L12" s="56"/>
      <c r="M12" s="5">
        <f>DATA_FEBRERO_2026[[#This Row],[RECUPERO]]/DATA_FEBRERO_2026[[#This Row],[META]]</f>
        <v>1.5776600000000001</v>
      </c>
      <c r="N12" s="5" t="str" cm="1">
        <f t="array" ref="N12">IF(DATA_FEBRERO_2026[[#This Row],[ASER_]]="","",IFERROR(_xlfn.IFS(M12&gt;=100%,"&gt;100%",AND(M12&lt;100%,M12&gt;=70%),"&gt;70%",AND(M12&lt;70%,M12&gt;=40%),"&gt;40%",AND(M12&lt;40%,M12&gt;=0%),"&gt;0%"),""))</f>
        <v>&gt;100%</v>
      </c>
      <c r="O12" s="55" t="str">
        <f>IFERROR(VLOOKUP(DATA_FEBRERO_2026[[#This Row],[ASER_]],$B:$G,4,0),"")</f>
        <v>JOHAN</v>
      </c>
      <c r="P12" s="6">
        <f>SUM(DATA_FEBRERO_2026[[#This Row],[1]:[31]])</f>
        <v>78883</v>
      </c>
      <c r="Q12" s="6">
        <f>VLOOKUP(DATA_FEBRERO_2026[[#This Row],[ASER_]],D1_FEBRERO_2026[[ASESOR_CRR]:[META]],2,0)</f>
        <v>50000</v>
      </c>
      <c r="R12" t="s">
        <v>60</v>
      </c>
      <c r="V12">
        <v>5000</v>
      </c>
      <c r="W12">
        <v>12000</v>
      </c>
      <c r="X12">
        <v>6300</v>
      </c>
      <c r="AA12">
        <v>5700</v>
      </c>
      <c r="AB12">
        <v>392</v>
      </c>
      <c r="AC12">
        <v>200</v>
      </c>
      <c r="AD12">
        <v>3000</v>
      </c>
      <c r="AE12">
        <v>15000</v>
      </c>
      <c r="AI12">
        <v>7600</v>
      </c>
      <c r="AJ12">
        <v>7000</v>
      </c>
      <c r="AK12">
        <v>2356</v>
      </c>
      <c r="AL12">
        <v>1062</v>
      </c>
      <c r="AP12">
        <v>4000</v>
      </c>
      <c r="AR12">
        <v>3200</v>
      </c>
      <c r="AS12">
        <v>3373</v>
      </c>
      <c r="AT12">
        <v>2700</v>
      </c>
      <c r="AX12" t="str" cm="1">
        <f t="array" ref="AX12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12" s="11">
        <f>VLOOKUP($M$3&amp;$N$3&amp;DITE_FEBRERO_2026[[#This Row],[SUPER]],TablaMeta[],5,0)</f>
        <v>543573</v>
      </c>
      <c r="BA12" s="11">
        <f>MAX(DITE_FEBRERO_2026[[#This Row],[SUPER]:[CARTERA]])</f>
        <v>563693</v>
      </c>
      <c r="BB12" s="17">
        <f>IFERROR(DITE_FEBRERO_2026[[#This Row],[RECUPERO SUPERVISOR]]/DITE_FEBRERO_2026[[#This Row],[META SUPER]],"")</f>
        <v>1.0370143476589162</v>
      </c>
      <c r="BC12" s="11" t="s">
        <v>125</v>
      </c>
      <c r="BD12" s="46">
        <v>1760</v>
      </c>
      <c r="BE12" s="46">
        <v>6198</v>
      </c>
      <c r="BF12" s="46">
        <v>27728</v>
      </c>
      <c r="BG12" s="46">
        <v>63728</v>
      </c>
      <c r="BH12" s="46">
        <v>84658</v>
      </c>
      <c r="BI12" s="46">
        <v>136808</v>
      </c>
      <c r="BJ12" s="46">
        <v>136808</v>
      </c>
      <c r="BK12" s="46">
        <v>136808</v>
      </c>
      <c r="BL12" s="46">
        <v>187848</v>
      </c>
      <c r="BM12" s="46">
        <v>198590</v>
      </c>
      <c r="BN12" s="46">
        <v>245790</v>
      </c>
      <c r="BO12" s="46">
        <v>262440</v>
      </c>
      <c r="BP12" s="46">
        <v>291340</v>
      </c>
      <c r="BQ12" s="46">
        <v>291340</v>
      </c>
      <c r="BR12" s="46">
        <v>291340</v>
      </c>
      <c r="BS12" s="46">
        <v>323210</v>
      </c>
      <c r="BT12" s="46">
        <v>335255</v>
      </c>
      <c r="BU12" s="46">
        <v>360455</v>
      </c>
      <c r="BV12" s="46">
        <v>369291</v>
      </c>
      <c r="BW12" s="46">
        <v>385653</v>
      </c>
      <c r="BX12" s="46">
        <v>385872</v>
      </c>
      <c r="BY12" s="46">
        <v>385872</v>
      </c>
      <c r="BZ12" s="46">
        <v>398812</v>
      </c>
      <c r="CA12" s="46">
        <v>429140</v>
      </c>
      <c r="CB12" s="46">
        <v>433120</v>
      </c>
      <c r="CC12" s="46">
        <v>481011</v>
      </c>
      <c r="CD12" s="46">
        <v>543046</v>
      </c>
      <c r="CE12" s="46">
        <v>563693</v>
      </c>
      <c r="CF12" s="46">
        <v>563693</v>
      </c>
      <c r="CG12" s="46">
        <v>563693</v>
      </c>
      <c r="CH12" s="46">
        <v>563693</v>
      </c>
      <c r="CI12" s="11" t="str">
        <f>VLOOKUP($M$3&amp;$N$3&amp;DITE_FEBRERO_2026[[#This Row],[SUPER]],TablaMeta[],7,0)</f>
        <v>S1</v>
      </c>
    </row>
    <row r="13" spans="1:87" x14ac:dyDescent="0.25">
      <c r="A13" s="35" t="str">
        <f>D1_FEBRERO_2026[[#This Row],[SUPER2]]</f>
        <v>JOHAN</v>
      </c>
      <c r="B13" s="34" t="str" cm="1">
        <f t="array" ref="B13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ANTHONY VICENTE</v>
      </c>
      <c r="C13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13" s="35">
        <f>IF(D1_FEBRERO_2026[[#This Row],[RECUPERO]]="VACACIONES","VACACIONES",IFERROR(D1_FEBRERO_2026[[#This Row],[RECUPERO]]/D1_FEBRERO_2026[[#This Row],[META]],""))</f>
        <v>0.65459999999999996</v>
      </c>
      <c r="E13" s="35" t="s">
        <v>125</v>
      </c>
      <c r="F13" s="34" t="s">
        <v>85</v>
      </c>
      <c r="G13" s="36">
        <v>32730</v>
      </c>
      <c r="H13" s="34" t="s">
        <v>380</v>
      </c>
      <c r="I13" s="61">
        <v>46055</v>
      </c>
      <c r="J13" s="61" t="s">
        <v>501</v>
      </c>
      <c r="K13" s="61"/>
      <c r="L13" s="56"/>
      <c r="M13" s="5">
        <f>DATA_FEBRERO_2026[[#This Row],[RECUPERO]]/DATA_FEBRERO_2026[[#This Row],[META]]</f>
        <v>0.71235714285714291</v>
      </c>
      <c r="N13" s="5" t="str" cm="1">
        <f t="array" ref="N13">IF(DATA_FEBRERO_2026[[#This Row],[ASER_]]="","",IFERROR(_xlfn.IFS(M13&gt;=100%,"&gt;100%",AND(M13&lt;100%,M13&gt;=70%),"&gt;70%",AND(M13&lt;70%,M13&gt;=40%),"&gt;40%",AND(M13&lt;40%,M13&gt;=0%),"&gt;0%"),""))</f>
        <v>&gt;70%</v>
      </c>
      <c r="O13" s="55" t="str">
        <f>IFERROR(VLOOKUP(DATA_FEBRERO_2026[[#This Row],[ASER_]],$B:$G,4,0),"")</f>
        <v>JORGE</v>
      </c>
      <c r="P13" s="6">
        <f>SUM(DATA_FEBRERO_2026[[#This Row],[1]:[31]])</f>
        <v>19946</v>
      </c>
      <c r="Q13" s="6">
        <f>VLOOKUP(DATA_FEBRERO_2026[[#This Row],[ASER_]],D1_FEBRERO_2026[[ASESOR_CRR]:[META]],2,0)</f>
        <v>28000</v>
      </c>
      <c r="R13" t="s">
        <v>15</v>
      </c>
      <c r="AC13">
        <v>360</v>
      </c>
      <c r="AD13">
        <v>4000</v>
      </c>
      <c r="AI13">
        <v>2300</v>
      </c>
      <c r="AL13">
        <v>1600</v>
      </c>
      <c r="AP13">
        <v>3500</v>
      </c>
      <c r="AR13">
        <v>3406</v>
      </c>
      <c r="AS13">
        <v>3500</v>
      </c>
      <c r="AT13">
        <v>1280</v>
      </c>
      <c r="AX13" t="str" cm="1">
        <f t="array" ref="AX13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Z13" s="10">
        <f>VLOOKUP($M$3&amp;$N$3&amp;DITE_FEBRERO_2026[[#This Row],[SUPER]],TablaMeta[],5,0)</f>
        <v>294869</v>
      </c>
      <c r="BA13" s="10">
        <f>MAX(DITE_FEBRERO_2026[[#This Row],[SUPER]:[CARTERA]])</f>
        <v>282587.52000000002</v>
      </c>
      <c r="BB13" s="16">
        <f>IFERROR(DITE_FEBRERO_2026[[#This Row],[RECUPERO SUPERVISOR]]/DITE_FEBRERO_2026[[#This Row],[META SUPER]],"")</f>
        <v>0.95834936870271215</v>
      </c>
      <c r="BC13" s="10" t="s">
        <v>124</v>
      </c>
      <c r="BD13" s="46">
        <v>260</v>
      </c>
      <c r="BE13" s="46">
        <v>3478</v>
      </c>
      <c r="BF13" s="45">
        <v>4593</v>
      </c>
      <c r="BG13" s="46">
        <v>18051</v>
      </c>
      <c r="BH13" s="46">
        <v>33389</v>
      </c>
      <c r="BI13" s="46">
        <v>40864</v>
      </c>
      <c r="BJ13" s="46">
        <v>41114</v>
      </c>
      <c r="BK13" s="45">
        <v>41394</v>
      </c>
      <c r="BL13" s="46">
        <v>48369</v>
      </c>
      <c r="BM13" s="46">
        <v>66714</v>
      </c>
      <c r="BN13" s="46">
        <v>76611.520000000004</v>
      </c>
      <c r="BO13" s="45">
        <v>83696.52</v>
      </c>
      <c r="BP13" s="46">
        <v>112061.52</v>
      </c>
      <c r="BQ13" s="46">
        <v>115061.52</v>
      </c>
      <c r="BR13" s="46">
        <v>115661.52</v>
      </c>
      <c r="BS13" s="46">
        <v>125934.52</v>
      </c>
      <c r="BT13" s="46">
        <v>134260.52000000002</v>
      </c>
      <c r="BU13" s="46">
        <v>146176.52000000002</v>
      </c>
      <c r="BV13" s="46">
        <v>154406.52000000002</v>
      </c>
      <c r="BW13" s="46">
        <v>161006.52000000002</v>
      </c>
      <c r="BX13" s="46">
        <v>161301.52000000002</v>
      </c>
      <c r="BY13" s="46">
        <v>161301.52000000002</v>
      </c>
      <c r="BZ13" s="46">
        <v>177621.52000000002</v>
      </c>
      <c r="CA13" s="46">
        <v>181312.52000000002</v>
      </c>
      <c r="CB13" s="46">
        <v>215102.52000000002</v>
      </c>
      <c r="CC13" s="46">
        <v>250247.52000000002</v>
      </c>
      <c r="CD13" s="46">
        <v>270437.52</v>
      </c>
      <c r="CE13" s="46">
        <v>282587.52000000002</v>
      </c>
      <c r="CF13" s="46">
        <v>282587.52000000002</v>
      </c>
      <c r="CG13" s="46">
        <v>282587.52000000002</v>
      </c>
      <c r="CH13" s="46">
        <v>282587.52000000002</v>
      </c>
      <c r="CI13" s="10" t="str">
        <f>VLOOKUP($M$3&amp;$N$3&amp;DITE_FEBRERO_2026[[#This Row],[SUPER]],TablaMeta[],7,0)</f>
        <v>S2-3-4</v>
      </c>
    </row>
    <row r="14" spans="1:87" x14ac:dyDescent="0.25">
      <c r="A14" s="35" t="str">
        <f>D1_FEBRERO_2026[[#This Row],[SUPER2]]</f>
        <v>GUSTAVO</v>
      </c>
      <c r="B14" s="34" t="str" cm="1">
        <f t="array" ref="B14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CARLA VALENCIA</v>
      </c>
      <c r="C14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14" s="35">
        <f>IF(D1_FEBRERO_2026[[#This Row],[RECUPERO]]="VACACIONES","VACACIONES",IFERROR(D1_FEBRERO_2026[[#This Row],[RECUPERO]]/D1_FEBRERO_2026[[#This Row],[META]],""))</f>
        <v>1.6344255319148937</v>
      </c>
      <c r="E14" s="35" t="s">
        <v>124</v>
      </c>
      <c r="F14" s="34" t="s">
        <v>174</v>
      </c>
      <c r="G14" s="36">
        <v>38409</v>
      </c>
      <c r="H14" s="34" t="s">
        <v>492</v>
      </c>
      <c r="I14" s="61">
        <v>45992</v>
      </c>
      <c r="J14" s="61" t="s">
        <v>501</v>
      </c>
      <c r="K14" s="61"/>
      <c r="L14" s="56"/>
      <c r="M14" s="5">
        <f>DATA_FEBRERO_2026[[#This Row],[RECUPERO]]/DATA_FEBRERO_2026[[#This Row],[META]]</f>
        <v>0.65459999999999996</v>
      </c>
      <c r="N14" s="5" t="str" cm="1">
        <f t="array" ref="N14">IF(DATA_FEBRERO_2026[[#This Row],[ASER_]]="","",IFERROR(_xlfn.IFS(M14&gt;=100%,"&gt;100%",AND(M14&lt;100%,M14&gt;=70%),"&gt;70%",AND(M14&lt;70%,M14&gt;=40%),"&gt;40%",AND(M14&lt;40%,M14&gt;=0%),"&gt;0%"),""))</f>
        <v>&gt;40%</v>
      </c>
      <c r="O14" s="55" t="str">
        <f>IFERROR(VLOOKUP(DATA_FEBRERO_2026[[#This Row],[ASER_]],$B:$G,4,0),"")</f>
        <v>JOHAN</v>
      </c>
      <c r="P14" s="6">
        <f>SUM(DATA_FEBRERO_2026[[#This Row],[1]:[31]])</f>
        <v>32730</v>
      </c>
      <c r="Q14" s="6">
        <f>VLOOKUP(DATA_FEBRERO_2026[[#This Row],[ASER_]],D1_FEBRERO_2026[[ASESOR_CRR]:[META]],2,0)</f>
        <v>50000</v>
      </c>
      <c r="R14" t="s">
        <v>85</v>
      </c>
      <c r="U14">
        <v>1500</v>
      </c>
      <c r="AA14">
        <v>3500</v>
      </c>
      <c r="AC14">
        <v>2100</v>
      </c>
      <c r="AD14">
        <v>300</v>
      </c>
      <c r="AH14">
        <v>200</v>
      </c>
      <c r="AK14">
        <v>530</v>
      </c>
      <c r="AL14">
        <v>8700</v>
      </c>
      <c r="AP14">
        <v>9000</v>
      </c>
      <c r="AS14">
        <v>6900</v>
      </c>
      <c r="AX14" t="str" cm="1">
        <f t="array" ref="AX14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15" spans="1:87" x14ac:dyDescent="0.25">
      <c r="A15" s="35" t="str">
        <f>D1_FEBRERO_2026[[#This Row],[SUPER2]]</f>
        <v>KENNETH</v>
      </c>
      <c r="B15" s="34" t="str" cm="1">
        <f t="array" ref="B15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CARMEN PUMA</v>
      </c>
      <c r="C15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15" s="35">
        <f>IF(D1_FEBRERO_2026[[#This Row],[RECUPERO]]="VACACIONES","VACACIONES",IFERROR(D1_FEBRERO_2026[[#This Row],[RECUPERO]]/D1_FEBRERO_2026[[#This Row],[META]],""))</f>
        <v>2.7223396226415093</v>
      </c>
      <c r="E15" s="35" t="s">
        <v>6</v>
      </c>
      <c r="F15" s="34" t="s">
        <v>19</v>
      </c>
      <c r="G15" s="36">
        <v>72142</v>
      </c>
      <c r="H15" s="34" t="s">
        <v>399</v>
      </c>
      <c r="I15" s="61">
        <v>44671</v>
      </c>
      <c r="J15" s="61" t="s">
        <v>501</v>
      </c>
      <c r="K15" s="61"/>
      <c r="L15" s="56"/>
      <c r="M15" s="5">
        <f>DATA_FEBRERO_2026[[#This Row],[RECUPERO]]/DATA_FEBRERO_2026[[#This Row],[META]]</f>
        <v>1.6344255319148937</v>
      </c>
      <c r="N15" s="5" t="str" cm="1">
        <f t="array" ref="N15">IF(DATA_FEBRERO_2026[[#This Row],[ASER_]]="","",IFERROR(_xlfn.IFS(M15&gt;=100%,"&gt;100%",AND(M15&lt;100%,M15&gt;=70%),"&gt;70%",AND(M15&lt;70%,M15&gt;=40%),"&gt;40%",AND(M15&lt;40%,M15&gt;=0%),"&gt;0%"),""))</f>
        <v>&gt;100%</v>
      </c>
      <c r="O15" s="55" t="str">
        <f>IFERROR(VLOOKUP(DATA_FEBRERO_2026[[#This Row],[ASER_]],$B:$G,4,0),"")</f>
        <v>GUSTAVO</v>
      </c>
      <c r="P15" s="6">
        <f>SUM(DATA_FEBRERO_2026[[#This Row],[1]:[31]])</f>
        <v>38409</v>
      </c>
      <c r="Q15" s="6">
        <f>VLOOKUP(DATA_FEBRERO_2026[[#This Row],[ASER_]],D1_FEBRERO_2026[[ASESOR_CRR]:[META]],2,0)</f>
        <v>23500</v>
      </c>
      <c r="R15" t="s">
        <v>174</v>
      </c>
      <c r="W15">
        <v>300</v>
      </c>
      <c r="AB15">
        <v>2830</v>
      </c>
      <c r="AC15">
        <v>2220</v>
      </c>
      <c r="AE15">
        <v>13520</v>
      </c>
      <c r="AH15">
        <v>200</v>
      </c>
      <c r="AI15">
        <v>5168</v>
      </c>
      <c r="AJ15">
        <v>1000</v>
      </c>
      <c r="AK15">
        <v>2300</v>
      </c>
      <c r="AO15">
        <v>320</v>
      </c>
      <c r="AP15">
        <v>291</v>
      </c>
      <c r="AQ15">
        <v>2400</v>
      </c>
      <c r="AR15">
        <v>7000</v>
      </c>
      <c r="AS15">
        <v>200</v>
      </c>
      <c r="AT15">
        <v>660</v>
      </c>
      <c r="AX15" t="str" cm="1">
        <f t="array" ref="AX15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BI15" s="45"/>
      <c r="BK15" s="45"/>
      <c r="BL15" s="45"/>
      <c r="BN15" s="45"/>
    </row>
    <row r="16" spans="1:87" x14ac:dyDescent="0.25">
      <c r="A16" s="35" t="str">
        <f>D1_FEBRERO_2026[[#This Row],[SUPER2]]</f>
        <v>JOHAN</v>
      </c>
      <c r="B16" s="34" t="str" cm="1">
        <f t="array" ref="B16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CRISTINA TICONA</v>
      </c>
      <c r="C16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16" s="35">
        <f>IF(D1_FEBRERO_2026[[#This Row],[RECUPERO]]="VACACIONES","VACACIONES",IFERROR(D1_FEBRERO_2026[[#This Row],[RECUPERO]]/D1_FEBRERO_2026[[#This Row],[META]],""))</f>
        <v>0.93776000000000004</v>
      </c>
      <c r="E16" s="35" t="s">
        <v>125</v>
      </c>
      <c r="F16" s="34" t="s">
        <v>61</v>
      </c>
      <c r="G16" s="36">
        <v>46888</v>
      </c>
      <c r="H16" s="34" t="s">
        <v>411</v>
      </c>
      <c r="I16" s="61">
        <v>44907</v>
      </c>
      <c r="J16" s="61" t="s">
        <v>501</v>
      </c>
      <c r="K16" s="61"/>
      <c r="L16" s="56"/>
      <c r="M16" s="5">
        <f>DATA_FEBRERO_2026[[#This Row],[RECUPERO]]/DATA_FEBRERO_2026[[#This Row],[META]]</f>
        <v>2.7223396226415093</v>
      </c>
      <c r="N16" s="5" t="str" cm="1">
        <f t="array" ref="N16">IF(DATA_FEBRERO_2026[[#This Row],[ASER_]]="","",IFERROR(_xlfn.IFS(M16&gt;=100%,"&gt;100%",AND(M16&lt;100%,M16&gt;=70%),"&gt;70%",AND(M16&lt;70%,M16&gt;=40%),"&gt;40%",AND(M16&lt;40%,M16&gt;=0%),"&gt;0%"),""))</f>
        <v>&gt;100%</v>
      </c>
      <c r="O16" s="55" t="str">
        <f>IFERROR(VLOOKUP(DATA_FEBRERO_2026[[#This Row],[ASER_]],$B:$G,4,0),"")</f>
        <v>KENNETH</v>
      </c>
      <c r="P16" s="6">
        <f>SUM(DATA_FEBRERO_2026[[#This Row],[1]:[31]])</f>
        <v>72142</v>
      </c>
      <c r="Q16" s="6">
        <f>VLOOKUP(DATA_FEBRERO_2026[[#This Row],[ASER_]],D1_FEBRERO_2026[[ASESOR_CRR]:[META]],2,0)</f>
        <v>26500</v>
      </c>
      <c r="R16" t="s">
        <v>19</v>
      </c>
      <c r="S16" s="47"/>
      <c r="V16">
        <v>100</v>
      </c>
      <c r="AA16">
        <v>1100</v>
      </c>
      <c r="AB16">
        <v>14000</v>
      </c>
      <c r="AF16">
        <v>400</v>
      </c>
      <c r="AH16">
        <v>2400</v>
      </c>
      <c r="AI16">
        <v>2150</v>
      </c>
      <c r="AJ16">
        <v>19000</v>
      </c>
      <c r="AK16">
        <v>3446</v>
      </c>
      <c r="AL16">
        <v>3360</v>
      </c>
      <c r="AM16">
        <v>80</v>
      </c>
      <c r="AO16">
        <v>280</v>
      </c>
      <c r="AP16">
        <v>2500</v>
      </c>
      <c r="AQ16">
        <v>3000</v>
      </c>
      <c r="AR16">
        <v>4500</v>
      </c>
      <c r="AS16">
        <v>13760</v>
      </c>
      <c r="AT16">
        <v>2066</v>
      </c>
      <c r="AX16" t="str" cm="1">
        <f t="array" ref="AX16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BI16" s="45"/>
      <c r="BJ16" s="45"/>
      <c r="BK16" s="45"/>
      <c r="BL16" s="45"/>
      <c r="BN16" s="45"/>
      <c r="BO16" s="45"/>
      <c r="BP16" s="45"/>
      <c r="BX16" s="45"/>
    </row>
    <row r="17" spans="1:76" x14ac:dyDescent="0.25">
      <c r="A17" s="35" t="str">
        <f>D1_FEBRERO_2026[[#This Row],[SUPER2]]</f>
        <v>KENNETH</v>
      </c>
      <c r="B17" s="34" t="str" cm="1">
        <f t="array" ref="B17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DANIEL ZAPATA</v>
      </c>
      <c r="C17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17" s="35">
        <f>IF(D1_FEBRERO_2026[[#This Row],[RECUPERO]]="VACACIONES","VACACIONES",IFERROR(D1_FEBRERO_2026[[#This Row],[RECUPERO]]/D1_FEBRERO_2026[[#This Row],[META]],""))</f>
        <v>0.23339622641509433</v>
      </c>
      <c r="E17" s="35" t="s">
        <v>6</v>
      </c>
      <c r="F17" t="s">
        <v>80</v>
      </c>
      <c r="G17" s="3">
        <v>6185</v>
      </c>
      <c r="H17" t="s">
        <v>433</v>
      </c>
      <c r="I17" s="56">
        <v>45281</v>
      </c>
      <c r="J17" s="56" t="s">
        <v>501</v>
      </c>
      <c r="K17" s="61"/>
      <c r="L17" s="56"/>
      <c r="M17" s="5">
        <f>DATA_FEBRERO_2026[[#This Row],[RECUPERO]]/DATA_FEBRERO_2026[[#This Row],[META]]</f>
        <v>0.93776000000000004</v>
      </c>
      <c r="N17" s="5" t="str" cm="1">
        <f t="array" ref="N17">IF(DATA_FEBRERO_2026[[#This Row],[ASER_]]="","",IFERROR(_xlfn.IFS(M17&gt;=100%,"&gt;100%",AND(M17&lt;100%,M17&gt;=70%),"&gt;70%",AND(M17&lt;70%,M17&gt;=40%),"&gt;40%",AND(M17&lt;40%,M17&gt;=0%),"&gt;0%"),""))</f>
        <v>&gt;70%</v>
      </c>
      <c r="O17" s="55" t="str">
        <f>IFERROR(VLOOKUP(DATA_FEBRERO_2026[[#This Row],[ASER_]],$B:$G,4,0),"")</f>
        <v>JOHAN</v>
      </c>
      <c r="P17" s="6">
        <f>SUM(DATA_FEBRERO_2026[[#This Row],[1]:[31]])</f>
        <v>46888</v>
      </c>
      <c r="Q17" s="6">
        <f>VLOOKUP(DATA_FEBRERO_2026[[#This Row],[ASER_]],D1_FEBRERO_2026[[ASESOR_CRR]:[META]],2,0)</f>
        <v>50000</v>
      </c>
      <c r="R17" t="s">
        <v>61</v>
      </c>
      <c r="S17" s="47"/>
      <c r="T17">
        <v>438</v>
      </c>
      <c r="V17">
        <v>9000</v>
      </c>
      <c r="W17">
        <v>2550</v>
      </c>
      <c r="X17">
        <v>500</v>
      </c>
      <c r="AC17">
        <v>2000</v>
      </c>
      <c r="AE17">
        <v>1200</v>
      </c>
      <c r="AH17">
        <v>1300</v>
      </c>
      <c r="AJ17">
        <v>1500</v>
      </c>
      <c r="AS17">
        <v>25400</v>
      </c>
      <c r="AT17">
        <v>3000</v>
      </c>
      <c r="AX17" t="str" cm="1">
        <f t="array" ref="AX17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H17" s="45"/>
      <c r="BJ17" s="45"/>
      <c r="BK17" s="47"/>
      <c r="BL17" s="47"/>
      <c r="BN17" s="47"/>
      <c r="BO17" s="45"/>
      <c r="BP17" s="45"/>
      <c r="BR17" s="45"/>
      <c r="BW17" s="45"/>
      <c r="BX17" s="45"/>
    </row>
    <row r="18" spans="1:76" x14ac:dyDescent="0.25">
      <c r="A18" s="35" t="str">
        <f>D1_FEBRERO_2026[[#This Row],[SUPER2]]</f>
        <v>KENNETH</v>
      </c>
      <c r="B18" s="34" t="str" cm="1">
        <f t="array" ref="B18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DAVID SANCHEZ</v>
      </c>
      <c r="C18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18" s="35">
        <f>IF(D1_FEBRERO_2026[[#This Row],[RECUPERO]]="VACACIONES","VACACIONES",IFERROR(D1_FEBRERO_2026[[#This Row],[RECUPERO]]/D1_FEBRERO_2026[[#This Row],[META]],""))</f>
        <v>1.2093584905660377</v>
      </c>
      <c r="E18" s="35" t="s">
        <v>6</v>
      </c>
      <c r="F18" t="s">
        <v>81</v>
      </c>
      <c r="G18" s="3">
        <v>32048</v>
      </c>
      <c r="H18" t="s">
        <v>425</v>
      </c>
      <c r="I18" s="56">
        <v>45511</v>
      </c>
      <c r="J18" s="56" t="s">
        <v>501</v>
      </c>
      <c r="K18" s="56"/>
      <c r="L18" s="56"/>
      <c r="M18" s="5">
        <f>DATA_FEBRERO_2026[[#This Row],[RECUPERO]]/DATA_FEBRERO_2026[[#This Row],[META]]</f>
        <v>0.23339622641509433</v>
      </c>
      <c r="N18" s="5" t="str" cm="1">
        <f t="array" ref="N18">IF(DATA_FEBRERO_2026[[#This Row],[ASER_]]="","",IFERROR(_xlfn.IFS(M18&gt;=100%,"&gt;100%",AND(M18&lt;100%,M18&gt;=70%),"&gt;70%",AND(M18&lt;70%,M18&gt;=40%),"&gt;40%",AND(M18&lt;40%,M18&gt;=0%),"&gt;0%"),""))</f>
        <v>&gt;0%</v>
      </c>
      <c r="O18" s="55" t="str">
        <f>IFERROR(VLOOKUP(DATA_FEBRERO_2026[[#This Row],[ASER_]],$B:$G,4,0),"")</f>
        <v>KENNETH</v>
      </c>
      <c r="P18" s="6">
        <f>SUM(DATA_FEBRERO_2026[[#This Row],[1]:[31]])</f>
        <v>6185</v>
      </c>
      <c r="Q18" s="6">
        <f>VLOOKUP(DATA_FEBRERO_2026[[#This Row],[ASER_]],D1_FEBRERO_2026[[ASESOR_CRR]:[META]],2,0)</f>
        <v>26500</v>
      </c>
      <c r="R18" t="s">
        <v>80</v>
      </c>
      <c r="S18" s="47"/>
      <c r="U18">
        <v>256</v>
      </c>
      <c r="V18">
        <v>100</v>
      </c>
      <c r="AD18">
        <v>600</v>
      </c>
      <c r="AI18">
        <v>330</v>
      </c>
      <c r="AK18">
        <v>500</v>
      </c>
      <c r="AR18">
        <v>4399</v>
      </c>
      <c r="AX18" t="str" cm="1">
        <f t="array" ref="AX18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BD18" s="45"/>
      <c r="BJ18" s="47"/>
      <c r="BK18" s="45"/>
      <c r="BL18" s="45"/>
      <c r="BN18" s="45"/>
      <c r="BO18" s="47"/>
      <c r="BP18" s="47"/>
      <c r="BR18" s="45"/>
      <c r="BS18" s="45"/>
      <c r="BW18" s="45"/>
      <c r="BX18" s="47"/>
    </row>
    <row r="19" spans="1:76" x14ac:dyDescent="0.25">
      <c r="A19" s="35" t="str">
        <f>D1_FEBRERO_2026[[#This Row],[SUPER2]]</f>
        <v>SANDY</v>
      </c>
      <c r="B19" s="34" t="str" cm="1">
        <f t="array" ref="B19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ELVIS GUERRERA</v>
      </c>
      <c r="C19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19" s="35">
        <f>IF(D1_FEBRERO_2026[[#This Row],[RECUPERO]]="VACACIONES","VACACIONES",IFERROR(D1_FEBRERO_2026[[#This Row],[RECUPERO]]/D1_FEBRERO_2026[[#This Row],[META]],""))</f>
        <v>0.36</v>
      </c>
      <c r="E19" s="35" t="s">
        <v>3</v>
      </c>
      <c r="F19" t="s">
        <v>377</v>
      </c>
      <c r="G19" s="3">
        <v>18000</v>
      </c>
      <c r="H19" t="s">
        <v>534</v>
      </c>
      <c r="I19" s="56">
        <v>46038</v>
      </c>
      <c r="J19" s="56" t="s">
        <v>501</v>
      </c>
      <c r="K19" s="56"/>
      <c r="L19" s="56"/>
      <c r="M19" s="5">
        <f>DATA_FEBRERO_2026[[#This Row],[RECUPERO]]/DATA_FEBRERO_2026[[#This Row],[META]]</f>
        <v>1.2093584905660377</v>
      </c>
      <c r="N19" s="5" t="str" cm="1">
        <f t="array" ref="N19">IF(DATA_FEBRERO_2026[[#This Row],[ASER_]]="","",IFERROR(_xlfn.IFS(M19&gt;=100%,"&gt;100%",AND(M19&lt;100%,M19&gt;=70%),"&gt;70%",AND(M19&lt;70%,M19&gt;=40%),"&gt;40%",AND(M19&lt;40%,M19&gt;=0%),"&gt;0%"),""))</f>
        <v>&gt;100%</v>
      </c>
      <c r="O19" s="55" t="str">
        <f>IFERROR(VLOOKUP(DATA_FEBRERO_2026[[#This Row],[ASER_]],$B:$G,4,0),"")</f>
        <v>KENNETH</v>
      </c>
      <c r="P19" s="6">
        <f>SUM(DATA_FEBRERO_2026[[#This Row],[1]:[31]])</f>
        <v>32048</v>
      </c>
      <c r="Q19" s="6">
        <f>VLOOKUP(DATA_FEBRERO_2026[[#This Row],[ASER_]],D1_FEBRERO_2026[[ASESOR_CRR]:[META]],2,0)</f>
        <v>26500</v>
      </c>
      <c r="R19" t="s">
        <v>81</v>
      </c>
      <c r="U19">
        <v>509</v>
      </c>
      <c r="W19">
        <v>200</v>
      </c>
      <c r="X19">
        <v>290</v>
      </c>
      <c r="AA19">
        <v>5000</v>
      </c>
      <c r="AB19">
        <v>5000</v>
      </c>
      <c r="AD19">
        <v>4005</v>
      </c>
      <c r="AH19">
        <v>5700</v>
      </c>
      <c r="AI19">
        <v>551</v>
      </c>
      <c r="AJ19">
        <v>7000</v>
      </c>
      <c r="AO19">
        <v>200</v>
      </c>
      <c r="AP19">
        <v>70</v>
      </c>
      <c r="AQ19">
        <v>350</v>
      </c>
      <c r="AR19">
        <v>1500</v>
      </c>
      <c r="AS19">
        <v>473</v>
      </c>
      <c r="AT19">
        <v>1200</v>
      </c>
      <c r="AX19" t="str" cm="1">
        <f t="array" ref="AX19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BD19" s="45"/>
      <c r="BJ19" s="47"/>
      <c r="BK19" s="45"/>
      <c r="BL19" s="45"/>
      <c r="BN19" s="45"/>
      <c r="BO19" s="47"/>
      <c r="BP19" s="47"/>
      <c r="BR19" s="45"/>
      <c r="BS19" s="45"/>
      <c r="BW19" s="47"/>
      <c r="BX19" s="47"/>
    </row>
    <row r="20" spans="1:76" x14ac:dyDescent="0.25">
      <c r="A20" s="35" t="str">
        <f>D1_FEBRERO_2026[[#This Row],[SUPER2]]</f>
        <v>GUSTAVO</v>
      </c>
      <c r="B20" s="34" t="str" cm="1">
        <f t="array" ref="B20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ERIKA PANTA</v>
      </c>
      <c r="C20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20" s="35">
        <f>IF(D1_FEBRERO_2026[[#This Row],[RECUPERO]]="VACACIONES","VACACIONES",IFERROR(D1_FEBRERO_2026[[#This Row],[RECUPERO]]/D1_FEBRERO_2026[[#This Row],[META]],""))</f>
        <v>1.1409787234042552</v>
      </c>
      <c r="E20" s="35" t="s">
        <v>124</v>
      </c>
      <c r="F20" t="s">
        <v>495</v>
      </c>
      <c r="G20" s="3">
        <v>26813</v>
      </c>
      <c r="H20" t="s">
        <v>546</v>
      </c>
      <c r="I20" s="56">
        <v>46052</v>
      </c>
      <c r="J20" s="56" t="s">
        <v>501</v>
      </c>
      <c r="K20" s="56"/>
      <c r="L20" s="56"/>
      <c r="M20" s="5">
        <f>DATA_FEBRERO_2026[[#This Row],[RECUPERO]]/DATA_FEBRERO_2026[[#This Row],[META]]</f>
        <v>0.36</v>
      </c>
      <c r="N20" s="5" t="str" cm="1">
        <f t="array" ref="N20">IF(DATA_FEBRERO_2026[[#This Row],[ASER_]]="","",IFERROR(_xlfn.IFS(M20&gt;=100%,"&gt;100%",AND(M20&lt;100%,M20&gt;=70%),"&gt;70%",AND(M20&lt;70%,M20&gt;=40%),"&gt;40%",AND(M20&lt;40%,M20&gt;=0%),"&gt;0%"),""))</f>
        <v>&gt;0%</v>
      </c>
      <c r="O20" s="55" t="str">
        <f>IFERROR(VLOOKUP(DATA_FEBRERO_2026[[#This Row],[ASER_]],$B:$G,4,0),"")</f>
        <v>SANDY</v>
      </c>
      <c r="P20" s="6">
        <f>SUM(DATA_FEBRERO_2026[[#This Row],[1]:[31]])</f>
        <v>18000</v>
      </c>
      <c r="Q20" s="6">
        <f>VLOOKUP(DATA_FEBRERO_2026[[#This Row],[ASER_]],D1_FEBRERO_2026[[ASESOR_CRR]:[META]],2,0)</f>
        <v>50000</v>
      </c>
      <c r="R20" t="s">
        <v>377</v>
      </c>
      <c r="W20">
        <v>300</v>
      </c>
      <c r="AB20">
        <v>2200</v>
      </c>
      <c r="AH20">
        <v>5500</v>
      </c>
      <c r="AI20">
        <v>500</v>
      </c>
      <c r="AP20">
        <v>4500</v>
      </c>
      <c r="AR20">
        <v>5000</v>
      </c>
      <c r="AX20" t="str" cm="1">
        <f t="array" ref="AX20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D20" s="47"/>
      <c r="BJ20" s="45"/>
      <c r="BP20" s="45"/>
      <c r="BR20" s="45"/>
      <c r="BS20" s="47"/>
      <c r="BV20" s="45"/>
      <c r="BW20" s="47"/>
      <c r="BX20" s="45"/>
    </row>
    <row r="21" spans="1:76" x14ac:dyDescent="0.25">
      <c r="A21" s="35" t="str">
        <f>D1_FEBRERO_2026[[#This Row],[SUPER2]]</f>
        <v>SANDY</v>
      </c>
      <c r="B21" s="34" t="str" cm="1">
        <f t="array" ref="B21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EVELY TENORIO</v>
      </c>
      <c r="C21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21" s="35">
        <f>IF(D1_FEBRERO_2026[[#This Row],[RECUPERO]]="VACACIONES","VACACIONES",IFERROR(D1_FEBRERO_2026[[#This Row],[RECUPERO]]/D1_FEBRERO_2026[[#This Row],[META]],""))</f>
        <v>0.57640000000000002</v>
      </c>
      <c r="E21" s="35" t="s">
        <v>3</v>
      </c>
      <c r="F21" t="s">
        <v>22</v>
      </c>
      <c r="G21" s="3">
        <v>28820</v>
      </c>
      <c r="H21" t="s">
        <v>442</v>
      </c>
      <c r="I21" s="56">
        <v>45295</v>
      </c>
      <c r="J21" s="56" t="s">
        <v>501</v>
      </c>
      <c r="K21" s="56"/>
      <c r="L21" s="56"/>
      <c r="M21" s="5">
        <f>DATA_FEBRERO_2026[[#This Row],[RECUPERO]]/DATA_FEBRERO_2026[[#This Row],[META]]</f>
        <v>1.1409787234042552</v>
      </c>
      <c r="N21" s="5" t="str" cm="1">
        <f t="array" ref="N21">IF(DATA_FEBRERO_2026[[#This Row],[ASER_]]="","",IFERROR(_xlfn.IFS(M21&gt;=100%,"&gt;100%",AND(M21&lt;100%,M21&gt;=70%),"&gt;70%",AND(M21&lt;70%,M21&gt;=40%),"&gt;40%",AND(M21&lt;40%,M21&gt;=0%),"&gt;0%"),""))</f>
        <v>&gt;100%</v>
      </c>
      <c r="O21" s="55" t="str">
        <f>IFERROR(VLOOKUP(DATA_FEBRERO_2026[[#This Row],[ASER_]],$B:$G,4,0),"")</f>
        <v>GUSTAVO</v>
      </c>
      <c r="P21" s="6">
        <f>SUM(DATA_FEBRERO_2026[[#This Row],[1]:[31]])</f>
        <v>26813</v>
      </c>
      <c r="Q21" s="6">
        <f>VLOOKUP(DATA_FEBRERO_2026[[#This Row],[ASER_]],D1_FEBRERO_2026[[ASESOR_CRR]:[META]],2,0)</f>
        <v>23500</v>
      </c>
      <c r="R21" t="s">
        <v>495</v>
      </c>
      <c r="S21" s="45"/>
      <c r="T21">
        <v>1108</v>
      </c>
      <c r="U21">
        <v>750</v>
      </c>
      <c r="V21">
        <v>1800</v>
      </c>
      <c r="W21">
        <v>180</v>
      </c>
      <c r="AA21">
        <v>275</v>
      </c>
      <c r="AB21">
        <v>615</v>
      </c>
      <c r="AC21">
        <v>790</v>
      </c>
      <c r="AD21">
        <v>2500</v>
      </c>
      <c r="AE21">
        <v>1325</v>
      </c>
      <c r="AH21">
        <v>1200</v>
      </c>
      <c r="AK21">
        <v>5500</v>
      </c>
      <c r="AL21">
        <v>50</v>
      </c>
      <c r="AM21">
        <v>100</v>
      </c>
      <c r="AO21">
        <v>200</v>
      </c>
      <c r="AP21">
        <v>900</v>
      </c>
      <c r="AQ21">
        <v>1050</v>
      </c>
      <c r="AR21">
        <v>7000</v>
      </c>
      <c r="AT21">
        <v>1470</v>
      </c>
      <c r="AX21" t="str" cm="1">
        <f t="array" ref="AX21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BD21" s="47"/>
      <c r="BR21" s="45"/>
      <c r="BS21" s="47"/>
      <c r="BV21" s="45"/>
      <c r="BW21" s="45"/>
    </row>
    <row r="22" spans="1:76" x14ac:dyDescent="0.25">
      <c r="A22" s="35" t="str">
        <f>D1_FEBRERO_2026[[#This Row],[SUPER2]]</f>
        <v>KENNETH</v>
      </c>
      <c r="B22" s="34" t="str" cm="1">
        <f t="array" ref="B22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FRANK PACORA</v>
      </c>
      <c r="C22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22" s="35">
        <f>IF(D1_FEBRERO_2026[[#This Row],[RECUPERO]]="VACACIONES","VACACIONES",IFERROR(D1_FEBRERO_2026[[#This Row],[RECUPERO]]/D1_FEBRERO_2026[[#This Row],[META]],""))</f>
        <v>1.5618867924528301</v>
      </c>
      <c r="E22" s="35" t="s">
        <v>6</v>
      </c>
      <c r="F22" t="s">
        <v>105</v>
      </c>
      <c r="G22" s="3">
        <v>41390</v>
      </c>
      <c r="H22" t="s">
        <v>463</v>
      </c>
      <c r="I22" s="56">
        <v>46027</v>
      </c>
      <c r="J22" s="56" t="s">
        <v>501</v>
      </c>
      <c r="K22" s="56"/>
      <c r="L22" s="56"/>
      <c r="M22" s="5">
        <f>DATA_FEBRERO_2026[[#This Row],[RECUPERO]]/DATA_FEBRERO_2026[[#This Row],[META]]</f>
        <v>0.57640000000000002</v>
      </c>
      <c r="N22" s="5" t="str" cm="1">
        <f t="array" ref="N22">IF(DATA_FEBRERO_2026[[#This Row],[ASER_]]="","",IFERROR(_xlfn.IFS(M22&gt;=100%,"&gt;100%",AND(M22&lt;100%,M22&gt;=70%),"&gt;70%",AND(M22&lt;70%,M22&gt;=40%),"&gt;40%",AND(M22&lt;40%,M22&gt;=0%),"&gt;0%"),""))</f>
        <v>&gt;40%</v>
      </c>
      <c r="O22" s="55" t="str">
        <f>IFERROR(VLOOKUP(DATA_FEBRERO_2026[[#This Row],[ASER_]],$B:$G,4,0),"")</f>
        <v>SANDY</v>
      </c>
      <c r="P22" s="6">
        <f>SUM(DATA_FEBRERO_2026[[#This Row],[1]:[31]])</f>
        <v>28820</v>
      </c>
      <c r="Q22" s="6">
        <f>VLOOKUP(DATA_FEBRERO_2026[[#This Row],[ASER_]],D1_FEBRERO_2026[[ASESOR_CRR]:[META]],2,0)</f>
        <v>50000</v>
      </c>
      <c r="R22" t="s">
        <v>22</v>
      </c>
      <c r="S22" s="45"/>
      <c r="V22">
        <v>760</v>
      </c>
      <c r="W22">
        <v>400</v>
      </c>
      <c r="AD22">
        <v>6180</v>
      </c>
      <c r="AO22">
        <v>3000</v>
      </c>
      <c r="AP22">
        <v>7000</v>
      </c>
      <c r="AQ22">
        <v>4280</v>
      </c>
      <c r="AR22">
        <v>200</v>
      </c>
      <c r="AT22">
        <v>7000</v>
      </c>
      <c r="AX22" t="str" cm="1">
        <f t="array" ref="AX22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D22" s="45"/>
      <c r="BR22" s="47"/>
      <c r="BS22" s="45"/>
      <c r="BV22" s="45"/>
    </row>
    <row r="23" spans="1:76" x14ac:dyDescent="0.25">
      <c r="A23" s="35" t="str">
        <f>D1_FEBRERO_2026[[#This Row],[SUPER2]]</f>
        <v>GUSTAVO</v>
      </c>
      <c r="B23" s="34" t="str" cm="1">
        <f t="array" ref="B23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GENESIS PALACIOS</v>
      </c>
      <c r="C23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23" s="35">
        <f>IF(D1_FEBRERO_2026[[#This Row],[RECUPERO]]="VACACIONES","VACACIONES",IFERROR(D1_FEBRERO_2026[[#This Row],[RECUPERO]]/D1_FEBRERO_2026[[#This Row],[META]],""))</f>
        <v>1.3866382978723404</v>
      </c>
      <c r="E23" s="35" t="s">
        <v>124</v>
      </c>
      <c r="F23" t="s">
        <v>493</v>
      </c>
      <c r="G23" s="3">
        <v>32586</v>
      </c>
      <c r="H23" t="s">
        <v>545</v>
      </c>
      <c r="I23" s="56">
        <v>46052</v>
      </c>
      <c r="J23" s="56" t="s">
        <v>501</v>
      </c>
      <c r="K23" s="56"/>
      <c r="L23" s="56"/>
      <c r="M23" s="5">
        <f>DATA_FEBRERO_2026[[#This Row],[RECUPERO]]/DATA_FEBRERO_2026[[#This Row],[META]]</f>
        <v>1.5618867924528301</v>
      </c>
      <c r="N23" s="5" t="str" cm="1">
        <f t="array" ref="N23">IF(DATA_FEBRERO_2026[[#This Row],[ASER_]]="","",IFERROR(_xlfn.IFS(M23&gt;=100%,"&gt;100%",AND(M23&lt;100%,M23&gt;=70%),"&gt;70%",AND(M23&lt;70%,M23&gt;=40%),"&gt;40%",AND(M23&lt;40%,M23&gt;=0%),"&gt;0%"),""))</f>
        <v>&gt;100%</v>
      </c>
      <c r="O23" s="55" t="str">
        <f>IFERROR(VLOOKUP(DATA_FEBRERO_2026[[#This Row],[ASER_]],$B:$G,4,0),"")</f>
        <v>KENNETH</v>
      </c>
      <c r="P23" s="6">
        <f>SUM(DATA_FEBRERO_2026[[#This Row],[1]:[31]])</f>
        <v>41390</v>
      </c>
      <c r="Q23" s="6">
        <f>VLOOKUP(DATA_FEBRERO_2026[[#This Row],[ASER_]],D1_FEBRERO_2026[[ASESOR_CRR]:[META]],2,0)</f>
        <v>26500</v>
      </c>
      <c r="R23" t="s">
        <v>105</v>
      </c>
      <c r="V23">
        <v>650</v>
      </c>
      <c r="W23">
        <v>1000</v>
      </c>
      <c r="X23">
        <v>230</v>
      </c>
      <c r="AA23">
        <v>3500</v>
      </c>
      <c r="AB23">
        <v>2200</v>
      </c>
      <c r="AD23">
        <v>12605</v>
      </c>
      <c r="AL23">
        <v>6600</v>
      </c>
      <c r="AM23">
        <v>4000</v>
      </c>
      <c r="AR23">
        <v>1125</v>
      </c>
      <c r="AS23">
        <v>6000</v>
      </c>
      <c r="AT23">
        <v>3480</v>
      </c>
      <c r="AX23" t="str" cm="1">
        <f t="array" ref="AX23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BR23" s="45"/>
    </row>
    <row r="24" spans="1:76" x14ac:dyDescent="0.25">
      <c r="A24" s="35" t="str">
        <f>D1_FEBRERO_2026[[#This Row],[SUPER2]]</f>
        <v>JOHAN</v>
      </c>
      <c r="B24" s="34" t="str" cm="1">
        <f t="array" ref="B24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GENESIS VICUNA</v>
      </c>
      <c r="C24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24" s="35">
        <f>IF(D1_FEBRERO_2026[[#This Row],[RECUPERO]]="VACACIONES","VACACIONES",IFERROR(D1_FEBRERO_2026[[#This Row],[RECUPERO]]/D1_FEBRERO_2026[[#This Row],[META]],""))</f>
        <v>0.94379999999999997</v>
      </c>
      <c r="E24" s="35" t="s">
        <v>125</v>
      </c>
      <c r="F24" t="s">
        <v>12</v>
      </c>
      <c r="G24" s="3">
        <v>47190</v>
      </c>
      <c r="H24" t="s">
        <v>389</v>
      </c>
      <c r="I24" s="56">
        <v>44868</v>
      </c>
      <c r="J24" s="56" t="s">
        <v>501</v>
      </c>
      <c r="K24" s="56"/>
      <c r="L24" s="56"/>
      <c r="M24" s="5">
        <f>DATA_FEBRERO_2026[[#This Row],[RECUPERO]]/DATA_FEBRERO_2026[[#This Row],[META]]</f>
        <v>1.3866382978723404</v>
      </c>
      <c r="N24" s="5" t="str" cm="1">
        <f t="array" ref="N24">IF(DATA_FEBRERO_2026[[#This Row],[ASER_]]="","",IFERROR(_xlfn.IFS(M24&gt;=100%,"&gt;100%",AND(M24&lt;100%,M24&gt;=70%),"&gt;70%",AND(M24&lt;70%,M24&gt;=40%),"&gt;40%",AND(M24&lt;40%,M24&gt;=0%),"&gt;0%"),""))</f>
        <v>&gt;100%</v>
      </c>
      <c r="O24" s="55" t="str">
        <f>IFERROR(VLOOKUP(DATA_FEBRERO_2026[[#This Row],[ASER_]],$B:$G,4,0),"")</f>
        <v>GUSTAVO</v>
      </c>
      <c r="P24" s="6">
        <f>SUM(DATA_FEBRERO_2026[[#This Row],[1]:[31]])</f>
        <v>32586</v>
      </c>
      <c r="Q24" s="6">
        <f>VLOOKUP(DATA_FEBRERO_2026[[#This Row],[ASER_]],D1_FEBRERO_2026[[ASESOR_CRR]:[META]],2,0)</f>
        <v>23500</v>
      </c>
      <c r="R24" t="s">
        <v>493</v>
      </c>
      <c r="W24">
        <v>1436</v>
      </c>
      <c r="X24">
        <v>500</v>
      </c>
      <c r="AA24">
        <v>600</v>
      </c>
      <c r="AB24">
        <v>4400</v>
      </c>
      <c r="AC24">
        <v>1250</v>
      </c>
      <c r="AE24">
        <v>3800</v>
      </c>
      <c r="AH24">
        <v>3700</v>
      </c>
      <c r="AI24">
        <v>2000</v>
      </c>
      <c r="AJ24">
        <v>300</v>
      </c>
      <c r="AL24">
        <v>5000</v>
      </c>
      <c r="AO24">
        <v>1500</v>
      </c>
      <c r="AQ24">
        <v>7000</v>
      </c>
      <c r="AS24">
        <v>1100</v>
      </c>
      <c r="AX24" t="str" cm="1">
        <f t="array" ref="AX24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  <c r="BV24" s="45"/>
    </row>
    <row r="25" spans="1:76" x14ac:dyDescent="0.25">
      <c r="A25" s="35" t="str">
        <f>D1_FEBRERO_2026[[#This Row],[SUPER2]]</f>
        <v>GUSTAVO</v>
      </c>
      <c r="B25" s="34" t="str" cm="1">
        <f t="array" ref="B25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GERALDINE ARROYO</v>
      </c>
      <c r="C25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25" s="35">
        <f>IF(D1_FEBRERO_2026[[#This Row],[RECUPERO]]="VACACIONES","VACACIONES",IFERROR(D1_FEBRERO_2026[[#This Row],[RECUPERO]]/D1_FEBRERO_2026[[#This Row],[META]],""))</f>
        <v>0.77842553191489361</v>
      </c>
      <c r="E25" s="35" t="s">
        <v>124</v>
      </c>
      <c r="F25" t="s">
        <v>51</v>
      </c>
      <c r="G25" s="3">
        <v>18293</v>
      </c>
      <c r="H25" t="s">
        <v>413</v>
      </c>
      <c r="I25" s="56">
        <v>45678</v>
      </c>
      <c r="J25" s="56" t="s">
        <v>501</v>
      </c>
      <c r="K25" s="56"/>
      <c r="L25" s="56"/>
      <c r="M25" s="5">
        <f>DATA_FEBRERO_2026[[#This Row],[RECUPERO]]/DATA_FEBRERO_2026[[#This Row],[META]]</f>
        <v>0.94379999999999997</v>
      </c>
      <c r="N25" s="5" t="str" cm="1">
        <f t="array" ref="N25">IF(DATA_FEBRERO_2026[[#This Row],[ASER_]]="","",IFERROR(_xlfn.IFS(M25&gt;=100%,"&gt;100%",AND(M25&lt;100%,M25&gt;=70%),"&gt;70%",AND(M25&lt;70%,M25&gt;=40%),"&gt;40%",AND(M25&lt;40%,M25&gt;=0%),"&gt;0%"),""))</f>
        <v>&gt;70%</v>
      </c>
      <c r="O25" s="55" t="str">
        <f>IFERROR(VLOOKUP(DATA_FEBRERO_2026[[#This Row],[ASER_]],$B:$G,4,0),"")</f>
        <v>JOHAN</v>
      </c>
      <c r="P25" s="6">
        <f>SUM(DATA_FEBRERO_2026[[#This Row],[1]:[31]])</f>
        <v>47190</v>
      </c>
      <c r="Q25" s="6">
        <f>VLOOKUP(DATA_FEBRERO_2026[[#This Row],[ASER_]],D1_FEBRERO_2026[[ASESOR_CRR]:[META]],2,0)</f>
        <v>50000</v>
      </c>
      <c r="R25" t="s">
        <v>12</v>
      </c>
      <c r="U25">
        <v>400</v>
      </c>
      <c r="AA25">
        <v>6000</v>
      </c>
      <c r="AB25">
        <v>5700</v>
      </c>
      <c r="AC25">
        <v>15900</v>
      </c>
      <c r="AD25">
        <v>350</v>
      </c>
      <c r="AH25">
        <v>2000</v>
      </c>
      <c r="AL25">
        <v>2500</v>
      </c>
      <c r="AO25">
        <v>100</v>
      </c>
      <c r="AP25">
        <v>4800</v>
      </c>
      <c r="AQ25">
        <v>1250</v>
      </c>
      <c r="AR25">
        <v>1000</v>
      </c>
      <c r="AS25">
        <v>2600</v>
      </c>
      <c r="AT25">
        <v>4590</v>
      </c>
      <c r="AX25" t="str" cm="1">
        <f t="array" ref="AX25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6" spans="1:76" x14ac:dyDescent="0.25">
      <c r="A26" s="35" t="str">
        <f>D1_FEBRERO_2026[[#This Row],[SUPER2]]</f>
        <v>SANDY</v>
      </c>
      <c r="B26" s="34" t="str" cm="1">
        <f t="array" ref="B26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GIANFRANCO PINEDO</v>
      </c>
      <c r="C26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26" s="35">
        <f>IF(D1_FEBRERO_2026[[#This Row],[RECUPERO]]="VACACIONES","VACACIONES",IFERROR(D1_FEBRERO_2026[[#This Row],[RECUPERO]]/D1_FEBRERO_2026[[#This Row],[META]],""))</f>
        <v>1.3184</v>
      </c>
      <c r="E26" s="35" t="s">
        <v>3</v>
      </c>
      <c r="F26" t="s">
        <v>13</v>
      </c>
      <c r="G26" s="3">
        <v>65920</v>
      </c>
      <c r="H26" t="s">
        <v>382</v>
      </c>
      <c r="I26" s="56">
        <v>44809</v>
      </c>
      <c r="J26" s="56" t="s">
        <v>501</v>
      </c>
      <c r="K26" s="56"/>
      <c r="L26" s="56"/>
      <c r="M26" s="5">
        <f>DATA_FEBRERO_2026[[#This Row],[RECUPERO]]/DATA_FEBRERO_2026[[#This Row],[META]]</f>
        <v>0.77842553191489361</v>
      </c>
      <c r="N26" s="5" t="str" cm="1">
        <f t="array" ref="N26">IF(DATA_FEBRERO_2026[[#This Row],[ASER_]]="","",IFERROR(_xlfn.IFS(M26&gt;=100%,"&gt;100%",AND(M26&lt;100%,M26&gt;=70%),"&gt;70%",AND(M26&lt;70%,M26&gt;=40%),"&gt;40%",AND(M26&lt;40%,M26&gt;=0%),"&gt;0%"),""))</f>
        <v>&gt;70%</v>
      </c>
      <c r="O26" s="55" t="str">
        <f>IFERROR(VLOOKUP(DATA_FEBRERO_2026[[#This Row],[ASER_]],$B:$G,4,0),"")</f>
        <v>GUSTAVO</v>
      </c>
      <c r="P26" s="6">
        <f>SUM(DATA_FEBRERO_2026[[#This Row],[1]:[31]])</f>
        <v>18293</v>
      </c>
      <c r="Q26" s="6">
        <f>VLOOKUP(DATA_FEBRERO_2026[[#This Row],[ASER_]],D1_FEBRERO_2026[[ASESOR_CRR]:[META]],2,0)</f>
        <v>23500</v>
      </c>
      <c r="R26" t="s">
        <v>51</v>
      </c>
      <c r="S26">
        <v>260</v>
      </c>
      <c r="V26">
        <v>6000</v>
      </c>
      <c r="AA26">
        <v>6100</v>
      </c>
      <c r="AC26">
        <v>250</v>
      </c>
      <c r="AH26">
        <v>573</v>
      </c>
      <c r="AI26">
        <v>200</v>
      </c>
      <c r="AL26">
        <v>1050</v>
      </c>
      <c r="AO26">
        <v>1300</v>
      </c>
      <c r="AS26">
        <v>2300</v>
      </c>
      <c r="AT26">
        <v>260</v>
      </c>
      <c r="AX26" t="str" cm="1">
        <f t="array" ref="AX26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27" spans="1:76" x14ac:dyDescent="0.25">
      <c r="A27" s="35" t="str">
        <f>D1_FEBRERO_2026[[#This Row],[SUPER2]]</f>
        <v>SANDY</v>
      </c>
      <c r="B27" s="34" t="str" cm="1">
        <f t="array" ref="B27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GIANNINA AGUILAR</v>
      </c>
      <c r="C27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27" s="35">
        <f>IF(D1_FEBRERO_2026[[#This Row],[RECUPERO]]="VACACIONES","VACACIONES",IFERROR(D1_FEBRERO_2026[[#This Row],[RECUPERO]]/D1_FEBRERO_2026[[#This Row],[META]],""))</f>
        <v>1.3682000000000001</v>
      </c>
      <c r="E27" s="35" t="s">
        <v>3</v>
      </c>
      <c r="F27" t="s">
        <v>32</v>
      </c>
      <c r="G27" s="3">
        <v>68410</v>
      </c>
      <c r="H27" t="s">
        <v>390</v>
      </c>
      <c r="I27" s="56">
        <v>45526</v>
      </c>
      <c r="J27" s="56" t="s">
        <v>501</v>
      </c>
      <c r="K27" s="56"/>
      <c r="L27" s="56"/>
      <c r="M27" s="5">
        <f>DATA_FEBRERO_2026[[#This Row],[RECUPERO]]/DATA_FEBRERO_2026[[#This Row],[META]]</f>
        <v>1.3184</v>
      </c>
      <c r="N27" s="5" t="str" cm="1">
        <f t="array" ref="N27">IF(DATA_FEBRERO_2026[[#This Row],[ASER_]]="","",IFERROR(_xlfn.IFS(M27&gt;=100%,"&gt;100%",AND(M27&lt;100%,M27&gt;=70%),"&gt;70%",AND(M27&lt;70%,M27&gt;=40%),"&gt;40%",AND(M27&lt;40%,M27&gt;=0%),"&gt;0%"),""))</f>
        <v>&gt;100%</v>
      </c>
      <c r="O27" s="55" t="str">
        <f>IFERROR(VLOOKUP(DATA_FEBRERO_2026[[#This Row],[ASER_]],$B:$G,4,0),"")</f>
        <v>SANDY</v>
      </c>
      <c r="P27" s="6">
        <f>SUM(DATA_FEBRERO_2026[[#This Row],[1]:[31]])</f>
        <v>65920</v>
      </c>
      <c r="Q27" s="6">
        <f>VLOOKUP(DATA_FEBRERO_2026[[#This Row],[ASER_]],D1_FEBRERO_2026[[ASESOR_CRR]:[META]],2,0)</f>
        <v>50000</v>
      </c>
      <c r="R27" t="s">
        <v>13</v>
      </c>
      <c r="V27">
        <v>700</v>
      </c>
      <c r="X27">
        <v>4600</v>
      </c>
      <c r="AA27">
        <v>4800</v>
      </c>
      <c r="AD27">
        <v>5000</v>
      </c>
      <c r="AE27">
        <v>3300</v>
      </c>
      <c r="AG27">
        <v>1500</v>
      </c>
      <c r="AJ27">
        <v>16800</v>
      </c>
      <c r="AL27">
        <v>4900</v>
      </c>
      <c r="AO27">
        <v>3800</v>
      </c>
      <c r="AQ27">
        <v>10520</v>
      </c>
      <c r="AS27">
        <v>10000</v>
      </c>
      <c r="AX27" t="str" cm="1">
        <f t="array" ref="AX27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8" spans="1:76" x14ac:dyDescent="0.25">
      <c r="A28" s="35" t="str">
        <f>D1_FEBRERO_2026[[#This Row],[SUPER2]]</f>
        <v>JORGE</v>
      </c>
      <c r="B28" s="34" t="str" cm="1">
        <f t="array" ref="B28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HAROLD FLORES</v>
      </c>
      <c r="C28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28000</v>
      </c>
      <c r="D28" s="35">
        <f>IF(D1_FEBRERO_2026[[#This Row],[RECUPERO]]="VACACIONES","VACACIONES",IFERROR(D1_FEBRERO_2026[[#This Row],[RECUPERO]]/D1_FEBRERO_2026[[#This Row],[META]],""))</f>
        <v>0.70364285714285713</v>
      </c>
      <c r="E28" s="35" t="s">
        <v>2</v>
      </c>
      <c r="F28" t="s">
        <v>42</v>
      </c>
      <c r="G28" s="3">
        <v>19702</v>
      </c>
      <c r="H28" t="s">
        <v>415</v>
      </c>
      <c r="I28" s="56">
        <v>45398</v>
      </c>
      <c r="J28" s="56" t="s">
        <v>501</v>
      </c>
      <c r="K28" s="56"/>
      <c r="L28" s="56"/>
      <c r="M28" s="5">
        <f>DATA_FEBRERO_2026[[#This Row],[RECUPERO]]/DATA_FEBRERO_2026[[#This Row],[META]]</f>
        <v>1.3682000000000001</v>
      </c>
      <c r="N28" s="5" t="str" cm="1">
        <f t="array" ref="N28">IF(DATA_FEBRERO_2026[[#This Row],[ASER_]]="","",IFERROR(_xlfn.IFS(M28&gt;=100%,"&gt;100%",AND(M28&lt;100%,M28&gt;=70%),"&gt;70%",AND(M28&lt;70%,M28&gt;=40%),"&gt;40%",AND(M28&lt;40%,M28&gt;=0%),"&gt;0%"),""))</f>
        <v>&gt;100%</v>
      </c>
      <c r="O28" s="55" t="str">
        <f>IFERROR(VLOOKUP(DATA_FEBRERO_2026[[#This Row],[ASER_]],$B:$G,4,0),"")</f>
        <v>SANDY</v>
      </c>
      <c r="P28" s="6">
        <f>SUM(DATA_FEBRERO_2026[[#This Row],[1]:[31]])</f>
        <v>68410</v>
      </c>
      <c r="Q28" s="6">
        <f>VLOOKUP(DATA_FEBRERO_2026[[#This Row],[ASER_]],D1_FEBRERO_2026[[ASESOR_CRR]:[META]],2,0)</f>
        <v>50000</v>
      </c>
      <c r="R28" t="s">
        <v>32</v>
      </c>
      <c r="T28">
        <v>1273</v>
      </c>
      <c r="W28">
        <v>2985</v>
      </c>
      <c r="AB28">
        <v>800</v>
      </c>
      <c r="AC28">
        <v>7125</v>
      </c>
      <c r="AH28">
        <v>7262</v>
      </c>
      <c r="AI28">
        <v>1600</v>
      </c>
      <c r="AJ28">
        <v>30000</v>
      </c>
      <c r="AK28">
        <v>800</v>
      </c>
      <c r="AL28">
        <v>700</v>
      </c>
      <c r="AM28">
        <v>515</v>
      </c>
      <c r="AO28">
        <v>600</v>
      </c>
      <c r="AP28">
        <v>4100</v>
      </c>
      <c r="AQ28">
        <v>2250</v>
      </c>
      <c r="AR28">
        <v>4000</v>
      </c>
      <c r="AS28">
        <v>3590</v>
      </c>
      <c r="AT28">
        <v>810</v>
      </c>
      <c r="AX28" t="str" cm="1">
        <f t="array" ref="AX28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9" spans="1:76" x14ac:dyDescent="0.25">
      <c r="A29" s="35" t="str">
        <f>D1_FEBRERO_2026[[#This Row],[SUPER2]]</f>
        <v>GUSTAVO</v>
      </c>
      <c r="B29" s="34" t="str" cm="1">
        <f t="array" ref="B29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JANETH PORTOCARRERO</v>
      </c>
      <c r="C29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29" s="35">
        <f>IF(D1_FEBRERO_2026[[#This Row],[RECUPERO]]="VACACIONES","VACACIONES",IFERROR(D1_FEBRERO_2026[[#This Row],[RECUPERO]]/D1_FEBRERO_2026[[#This Row],[META]],""))</f>
        <v>0.93251063829787229</v>
      </c>
      <c r="E29" s="35" t="s">
        <v>124</v>
      </c>
      <c r="F29" t="s">
        <v>49</v>
      </c>
      <c r="G29" s="3">
        <v>21914</v>
      </c>
      <c r="H29" t="s">
        <v>436</v>
      </c>
      <c r="I29" s="56">
        <v>43313</v>
      </c>
      <c r="J29" s="56" t="s">
        <v>501</v>
      </c>
      <c r="K29" s="56"/>
      <c r="L29" s="56"/>
      <c r="M29" s="5">
        <f>DATA_FEBRERO_2026[[#This Row],[RECUPERO]]/DATA_FEBRERO_2026[[#This Row],[META]]</f>
        <v>0.70364285714285713</v>
      </c>
      <c r="N29" s="5" t="str" cm="1">
        <f t="array" ref="N29">IF(DATA_FEBRERO_2026[[#This Row],[ASER_]]="","",IFERROR(_xlfn.IFS(M29&gt;=100%,"&gt;100%",AND(M29&lt;100%,M29&gt;=70%),"&gt;70%",AND(M29&lt;70%,M29&gt;=40%),"&gt;40%",AND(M29&lt;40%,M29&gt;=0%),"&gt;0%"),""))</f>
        <v>&gt;70%</v>
      </c>
      <c r="O29" s="55" t="str">
        <f>IFERROR(VLOOKUP(DATA_FEBRERO_2026[[#This Row],[ASER_]],$B:$G,4,0),"")</f>
        <v>JORGE</v>
      </c>
      <c r="P29" s="6">
        <f>SUM(DATA_FEBRERO_2026[[#This Row],[1]:[31]])</f>
        <v>19702</v>
      </c>
      <c r="Q29" s="6">
        <f>VLOOKUP(DATA_FEBRERO_2026[[#This Row],[ASER_]],D1_FEBRERO_2026[[ASESOR_CRR]:[META]],2,0)</f>
        <v>28000</v>
      </c>
      <c r="R29" t="s">
        <v>42</v>
      </c>
      <c r="U29">
        <v>120</v>
      </c>
      <c r="W29">
        <v>150</v>
      </c>
      <c r="X29">
        <v>1900</v>
      </c>
      <c r="AA29">
        <v>6620</v>
      </c>
      <c r="AC29">
        <v>210</v>
      </c>
      <c r="AD29">
        <v>90</v>
      </c>
      <c r="AE29">
        <v>500</v>
      </c>
      <c r="AG29">
        <v>100</v>
      </c>
      <c r="AI29">
        <v>1350</v>
      </c>
      <c r="AK29">
        <v>160</v>
      </c>
      <c r="AO29">
        <v>1800</v>
      </c>
      <c r="AP29">
        <v>3000</v>
      </c>
      <c r="AR29">
        <v>780</v>
      </c>
      <c r="AS29">
        <v>1052</v>
      </c>
      <c r="AT29">
        <v>1870</v>
      </c>
      <c r="AX29" t="str" cm="1">
        <f t="array" ref="AX29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0" spans="1:76" x14ac:dyDescent="0.25">
      <c r="A30" s="35" t="str">
        <f>D1_FEBRERO_2026[[#This Row],[SUPER2]]</f>
        <v>KENNETH</v>
      </c>
      <c r="B30" s="34" t="str" cm="1">
        <f t="array" ref="B30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JENY LAZARO</v>
      </c>
      <c r="C30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30" s="35">
        <f>IF(D1_FEBRERO_2026[[#This Row],[RECUPERO]]="VACACIONES","VACACIONES",IFERROR(D1_FEBRERO_2026[[#This Row],[RECUPERO]]/D1_FEBRERO_2026[[#This Row],[META]],""))</f>
        <v>1.6580754716981132</v>
      </c>
      <c r="E30" s="35" t="s">
        <v>6</v>
      </c>
      <c r="F30" t="s">
        <v>26</v>
      </c>
      <c r="G30" s="3">
        <v>43939</v>
      </c>
      <c r="H30" t="s">
        <v>391</v>
      </c>
      <c r="I30" s="56">
        <v>44257</v>
      </c>
      <c r="J30" s="56" t="s">
        <v>501</v>
      </c>
      <c r="K30" s="56"/>
      <c r="L30" s="56"/>
      <c r="M30" s="5">
        <f>DATA_FEBRERO_2026[[#This Row],[RECUPERO]]/DATA_FEBRERO_2026[[#This Row],[META]]</f>
        <v>0.93251063829787229</v>
      </c>
      <c r="N30" s="5" t="str" cm="1">
        <f t="array" ref="N30">IF(DATA_FEBRERO_2026[[#This Row],[ASER_]]="","",IFERROR(_xlfn.IFS(M30&gt;=100%,"&gt;100%",AND(M30&lt;100%,M30&gt;=70%),"&gt;70%",AND(M30&lt;70%,M30&gt;=40%),"&gt;40%",AND(M30&lt;40%,M30&gt;=0%),"&gt;0%"),""))</f>
        <v>&gt;70%</v>
      </c>
      <c r="O30" s="55" t="str">
        <f>IFERROR(VLOOKUP(DATA_FEBRERO_2026[[#This Row],[ASER_]],$B:$G,4,0),"")</f>
        <v>GUSTAVO</v>
      </c>
      <c r="P30" s="6">
        <f>SUM(DATA_FEBRERO_2026[[#This Row],[1]:[31]])</f>
        <v>21914</v>
      </c>
      <c r="Q30" s="6">
        <f>VLOOKUP(DATA_FEBRERO_2026[[#This Row],[ASER_]],D1_FEBRERO_2026[[ASESOR_CRR]:[META]],2,0)</f>
        <v>23500</v>
      </c>
      <c r="R30" t="s">
        <v>49</v>
      </c>
      <c r="V30">
        <v>500</v>
      </c>
      <c r="W30">
        <v>400</v>
      </c>
      <c r="X30">
        <v>4500</v>
      </c>
      <c r="AB30">
        <v>2000</v>
      </c>
      <c r="AC30">
        <v>730</v>
      </c>
      <c r="AE30">
        <v>5620</v>
      </c>
      <c r="AH30">
        <v>600</v>
      </c>
      <c r="AJ30">
        <v>506</v>
      </c>
      <c r="AO30">
        <v>1200</v>
      </c>
      <c r="AP30">
        <v>1100</v>
      </c>
      <c r="AQ30">
        <v>4250</v>
      </c>
      <c r="AR30">
        <v>308</v>
      </c>
      <c r="AS30">
        <v>200</v>
      </c>
      <c r="AX30" t="str" cm="1">
        <f t="array" ref="AX30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31" spans="1:76" x14ac:dyDescent="0.25">
      <c r="A31" s="35" t="str">
        <f>D1_FEBRERO_2026[[#This Row],[SUPER2]]</f>
        <v>JOHAN</v>
      </c>
      <c r="B31" s="34" t="str" cm="1">
        <f t="array" ref="B31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JEREMIAS ROJAS</v>
      </c>
      <c r="C31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31" s="35">
        <f>IF(D1_FEBRERO_2026[[#This Row],[RECUPERO]]="VACACIONES","VACACIONES",IFERROR(D1_FEBRERO_2026[[#This Row],[RECUPERO]]/D1_FEBRERO_2026[[#This Row],[META]],""))</f>
        <v>0.71779999999999999</v>
      </c>
      <c r="E31" s="35" t="s">
        <v>125</v>
      </c>
      <c r="F31" t="s">
        <v>122</v>
      </c>
      <c r="G31" s="3">
        <v>35890</v>
      </c>
      <c r="H31" t="s">
        <v>426</v>
      </c>
      <c r="I31" s="56">
        <v>45971</v>
      </c>
      <c r="J31" s="56" t="s">
        <v>501</v>
      </c>
      <c r="K31" s="56"/>
      <c r="L31" s="56"/>
      <c r="M31" s="5">
        <f>DATA_FEBRERO_2026[[#This Row],[RECUPERO]]/DATA_FEBRERO_2026[[#This Row],[META]]</f>
        <v>1.6580754716981132</v>
      </c>
      <c r="N31" s="5" t="str" cm="1">
        <f t="array" ref="N31">IF(DATA_FEBRERO_2026[[#This Row],[ASER_]]="","",IFERROR(_xlfn.IFS(M31&gt;=100%,"&gt;100%",AND(M31&lt;100%,M31&gt;=70%),"&gt;70%",AND(M31&lt;70%,M31&gt;=40%),"&gt;40%",AND(M31&lt;40%,M31&gt;=0%),"&gt;0%"),""))</f>
        <v>&gt;100%</v>
      </c>
      <c r="O31" s="55" t="str">
        <f>IFERROR(VLOOKUP(DATA_FEBRERO_2026[[#This Row],[ASER_]],$B:$G,4,0),"")</f>
        <v>KENNETH</v>
      </c>
      <c r="P31" s="6">
        <f>SUM(DATA_FEBRERO_2026[[#This Row],[1]:[31]])</f>
        <v>43939</v>
      </c>
      <c r="Q31" s="6">
        <f>VLOOKUP(DATA_FEBRERO_2026[[#This Row],[ASER_]],D1_FEBRERO_2026[[ASESOR_CRR]:[META]],2,0)</f>
        <v>26500</v>
      </c>
      <c r="R31" t="s">
        <v>26</v>
      </c>
      <c r="S31" s="45"/>
      <c r="U31">
        <v>320</v>
      </c>
      <c r="V31">
        <v>8000</v>
      </c>
      <c r="X31">
        <v>1500</v>
      </c>
      <c r="AD31">
        <v>2900</v>
      </c>
      <c r="AE31">
        <v>400</v>
      </c>
      <c r="AF31">
        <v>113</v>
      </c>
      <c r="AH31">
        <v>256</v>
      </c>
      <c r="AI31">
        <v>7500</v>
      </c>
      <c r="AL31">
        <v>10000</v>
      </c>
      <c r="AO31">
        <v>300</v>
      </c>
      <c r="AQ31">
        <v>250</v>
      </c>
      <c r="AR31">
        <v>8500</v>
      </c>
      <c r="AT31">
        <v>3900</v>
      </c>
      <c r="AX31" t="str" cm="1">
        <f t="array" ref="AX31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32" spans="1:76" x14ac:dyDescent="0.25">
      <c r="A32" s="35" t="str">
        <f>D1_FEBRERO_2026[[#This Row],[SUPER2]]</f>
        <v>SANDY</v>
      </c>
      <c r="B32" s="34" t="str" cm="1">
        <f t="array" ref="B32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JESSICA MELGAREJO</v>
      </c>
      <c r="C32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32" s="35">
        <f>IF(D1_FEBRERO_2026[[#This Row],[RECUPERO]]="VACACIONES","VACACIONES",IFERROR(D1_FEBRERO_2026[[#This Row],[RECUPERO]]/D1_FEBRERO_2026[[#This Row],[META]],""))</f>
        <v>1.05236</v>
      </c>
      <c r="E32" s="35" t="s">
        <v>3</v>
      </c>
      <c r="F32" t="s">
        <v>96</v>
      </c>
      <c r="G32" s="3">
        <v>52618</v>
      </c>
      <c r="H32" t="s">
        <v>437</v>
      </c>
      <c r="I32" s="56">
        <v>45882</v>
      </c>
      <c r="J32" s="56" t="s">
        <v>501</v>
      </c>
      <c r="K32" s="56"/>
      <c r="L32" s="56"/>
      <c r="M32" s="5">
        <f>DATA_FEBRERO_2026[[#This Row],[RECUPERO]]/DATA_FEBRERO_2026[[#This Row],[META]]</f>
        <v>0.71779999999999999</v>
      </c>
      <c r="N32" s="5" t="str" cm="1">
        <f t="array" ref="N32">IF(DATA_FEBRERO_2026[[#This Row],[ASER_]]="","",IFERROR(_xlfn.IFS(M32&gt;=100%,"&gt;100%",AND(M32&lt;100%,M32&gt;=70%),"&gt;70%",AND(M32&lt;70%,M32&gt;=40%),"&gt;40%",AND(M32&lt;40%,M32&gt;=0%),"&gt;0%"),""))</f>
        <v>&gt;70%</v>
      </c>
      <c r="O32" s="55" t="str">
        <f>IFERROR(VLOOKUP(DATA_FEBRERO_2026[[#This Row],[ASER_]],$B:$G,4,0),"")</f>
        <v>JOHAN</v>
      </c>
      <c r="P32" s="6">
        <f>SUM(DATA_FEBRERO_2026[[#This Row],[1]:[31]])</f>
        <v>35890</v>
      </c>
      <c r="Q32" s="6">
        <f>VLOOKUP(DATA_FEBRERO_2026[[#This Row],[ASER_]],D1_FEBRERO_2026[[ASESOR_CRR]:[META]],2,0)</f>
        <v>50000</v>
      </c>
      <c r="R32" t="s">
        <v>122</v>
      </c>
      <c r="S32" s="45"/>
      <c r="T32">
        <v>3500</v>
      </c>
      <c r="U32">
        <v>2630</v>
      </c>
      <c r="X32">
        <v>10900</v>
      </c>
      <c r="AA32">
        <v>8000</v>
      </c>
      <c r="AL32">
        <v>500</v>
      </c>
      <c r="AO32">
        <v>1000</v>
      </c>
      <c r="AP32">
        <v>2000</v>
      </c>
      <c r="AQ32">
        <v>500</v>
      </c>
      <c r="AS32">
        <v>6000</v>
      </c>
      <c r="AT32">
        <v>860</v>
      </c>
      <c r="AX32" t="str" cm="1">
        <f t="array" ref="AX32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3" spans="1:50" x14ac:dyDescent="0.25">
      <c r="A33" s="35" t="str">
        <f>D1_FEBRERO_2026[[#This Row],[SUPER2]]</f>
        <v>SANDY</v>
      </c>
      <c r="B33" s="34" t="str" cm="1">
        <f t="array" ref="B33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JHONATAN CHAVEZ</v>
      </c>
      <c r="C33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33" s="35">
        <f>IF(D1_FEBRERO_2026[[#This Row],[RECUPERO]]="VACACIONES","VACACIONES",IFERROR(D1_FEBRERO_2026[[#This Row],[RECUPERO]]/D1_FEBRERO_2026[[#This Row],[META]],""))</f>
        <v>0.7581</v>
      </c>
      <c r="E33" s="35" t="s">
        <v>3</v>
      </c>
      <c r="F33" t="s">
        <v>65</v>
      </c>
      <c r="G33" s="3">
        <v>37905</v>
      </c>
      <c r="H33" t="s">
        <v>438</v>
      </c>
      <c r="I33" s="56">
        <v>45019</v>
      </c>
      <c r="J33" s="56" t="s">
        <v>501</v>
      </c>
      <c r="K33" s="56"/>
      <c r="L33" s="56"/>
      <c r="M33" s="5">
        <f>DATA_FEBRERO_2026[[#This Row],[RECUPERO]]/DATA_FEBRERO_2026[[#This Row],[META]]</f>
        <v>1.05236</v>
      </c>
      <c r="N33" s="5" t="str" cm="1">
        <f t="array" ref="N33">IF(DATA_FEBRERO_2026[[#This Row],[ASER_]]="","",IFERROR(_xlfn.IFS(M33&gt;=100%,"&gt;100%",AND(M33&lt;100%,M33&gt;=70%),"&gt;70%",AND(M33&lt;70%,M33&gt;=40%),"&gt;40%",AND(M33&lt;40%,M33&gt;=0%),"&gt;0%"),""))</f>
        <v>&gt;100%</v>
      </c>
      <c r="O33" s="55" t="str">
        <f>IFERROR(VLOOKUP(DATA_FEBRERO_2026[[#This Row],[ASER_]],$B:$G,4,0),"")</f>
        <v>SANDY</v>
      </c>
      <c r="P33" s="6">
        <f>SUM(DATA_FEBRERO_2026[[#This Row],[1]:[31]])</f>
        <v>52618</v>
      </c>
      <c r="Q33" s="6">
        <f>VLOOKUP(DATA_FEBRERO_2026[[#This Row],[ASER_]],D1_FEBRERO_2026[[ASESOR_CRR]:[META]],2,0)</f>
        <v>50000</v>
      </c>
      <c r="R33" t="s">
        <v>96</v>
      </c>
      <c r="U33">
        <v>1390</v>
      </c>
      <c r="V33">
        <v>8500</v>
      </c>
      <c r="X33">
        <v>5900</v>
      </c>
      <c r="AA33">
        <v>900</v>
      </c>
      <c r="AH33">
        <v>3490</v>
      </c>
      <c r="AI33">
        <v>780</v>
      </c>
      <c r="AK33">
        <v>780</v>
      </c>
      <c r="AL33">
        <v>6700</v>
      </c>
      <c r="AO33">
        <v>7000</v>
      </c>
      <c r="AP33">
        <v>6440</v>
      </c>
      <c r="AR33">
        <v>6000</v>
      </c>
      <c r="AS33">
        <v>3400</v>
      </c>
      <c r="AT33">
        <v>1338</v>
      </c>
      <c r="AX33" t="str" cm="1">
        <f t="array" ref="AX33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4" spans="1:50" x14ac:dyDescent="0.25">
      <c r="A34" s="35" t="str">
        <f>D1_FEBRERO_2026[[#This Row],[SUPER2]]</f>
        <v>KENNETH</v>
      </c>
      <c r="B34" s="34" t="str" cm="1">
        <f t="array" ref="B34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JIMENA MEDINA</v>
      </c>
      <c r="C34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90000</v>
      </c>
      <c r="D34" s="35">
        <f>IF(D1_FEBRERO_2026[[#This Row],[RECUPERO]]="VACACIONES","VACACIONES",IFERROR(D1_FEBRERO_2026[[#This Row],[RECUPERO]]/D1_FEBRERO_2026[[#This Row],[META]],""))</f>
        <v>1.1268388888888889</v>
      </c>
      <c r="E34" s="35" t="s">
        <v>6</v>
      </c>
      <c r="F34" t="s">
        <v>37</v>
      </c>
      <c r="G34" s="3">
        <v>101415.5</v>
      </c>
      <c r="H34" t="s">
        <v>400</v>
      </c>
      <c r="I34" s="56">
        <v>45112</v>
      </c>
      <c r="J34" s="56" t="s">
        <v>501</v>
      </c>
      <c r="K34" s="56"/>
      <c r="L34" s="56"/>
      <c r="M34" s="5">
        <f>DATA_FEBRERO_2026[[#This Row],[RECUPERO]]/DATA_FEBRERO_2026[[#This Row],[META]]</f>
        <v>0.7581</v>
      </c>
      <c r="N34" s="5" t="str" cm="1">
        <f t="array" ref="N34">IF(DATA_FEBRERO_2026[[#This Row],[ASER_]]="","",IFERROR(_xlfn.IFS(M34&gt;=100%,"&gt;100%",AND(M34&lt;100%,M34&gt;=70%),"&gt;70%",AND(M34&lt;70%,M34&gt;=40%),"&gt;40%",AND(M34&lt;40%,M34&gt;=0%),"&gt;0%"),""))</f>
        <v>&gt;70%</v>
      </c>
      <c r="O34" s="55" t="str">
        <f>IFERROR(VLOOKUP(DATA_FEBRERO_2026[[#This Row],[ASER_]],$B:$G,4,0),"")</f>
        <v>SANDY</v>
      </c>
      <c r="P34" s="6">
        <f>SUM(DATA_FEBRERO_2026[[#This Row],[1]:[31]])</f>
        <v>37905</v>
      </c>
      <c r="Q34" s="6">
        <f>VLOOKUP(DATA_FEBRERO_2026[[#This Row],[ASER_]],D1_FEBRERO_2026[[ASESOR_CRR]:[META]],2,0)</f>
        <v>50000</v>
      </c>
      <c r="R34" t="s">
        <v>65</v>
      </c>
      <c r="T34">
        <v>700</v>
      </c>
      <c r="W34">
        <v>3000</v>
      </c>
      <c r="AC34">
        <v>11000</v>
      </c>
      <c r="AJ34">
        <v>2350</v>
      </c>
      <c r="AK34">
        <v>6000</v>
      </c>
      <c r="AL34">
        <v>1000</v>
      </c>
      <c r="AO34">
        <v>3100</v>
      </c>
      <c r="AQ34">
        <v>3800</v>
      </c>
      <c r="AS34">
        <v>1400</v>
      </c>
      <c r="AT34">
        <v>5555</v>
      </c>
      <c r="AX34" t="str" cm="1">
        <f t="array" ref="AX34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5" spans="1:50" x14ac:dyDescent="0.25">
      <c r="A35" s="35" t="str">
        <f>D1_FEBRERO_2026[[#This Row],[SUPER2]]</f>
        <v>GUSTAVO</v>
      </c>
      <c r="B35" s="34" t="str" cm="1">
        <f t="array" ref="B35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JOSELIN MONTALVO</v>
      </c>
      <c r="C35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35" s="35">
        <f>IF(D1_FEBRERO_2026[[#This Row],[RECUPERO]]="VACACIONES","VACACIONES",IFERROR(D1_FEBRERO_2026[[#This Row],[RECUPERO]]/D1_FEBRERO_2026[[#This Row],[META]],""))</f>
        <v>2.7234042553191489E-2</v>
      </c>
      <c r="E35" s="35" t="s">
        <v>124</v>
      </c>
      <c r="F35" t="s">
        <v>549</v>
      </c>
      <c r="G35" s="3">
        <v>640</v>
      </c>
      <c r="H35" t="s">
        <v>550</v>
      </c>
      <c r="I35" s="56">
        <v>46064</v>
      </c>
      <c r="J35" s="56" t="s">
        <v>501</v>
      </c>
      <c r="K35" s="56"/>
      <c r="L35" s="56"/>
      <c r="M35" s="5">
        <f>DATA_FEBRERO_2026[[#This Row],[RECUPERO]]/DATA_FEBRERO_2026[[#This Row],[META]]</f>
        <v>1.1268388888888889</v>
      </c>
      <c r="N35" s="5" t="str" cm="1">
        <f t="array" ref="N35">IF(DATA_FEBRERO_2026[[#This Row],[ASER_]]="","",IFERROR(_xlfn.IFS(M35&gt;=100%,"&gt;100%",AND(M35&lt;100%,M35&gt;=70%),"&gt;70%",AND(M35&lt;70%,M35&gt;=40%),"&gt;40%",AND(M35&lt;40%,M35&gt;=0%),"&gt;0%"),""))</f>
        <v>&gt;100%</v>
      </c>
      <c r="O35" s="55" t="str">
        <f>IFERROR(VLOOKUP(DATA_FEBRERO_2026[[#This Row],[ASER_]],$B:$G,4,0),"")</f>
        <v>KENNETH</v>
      </c>
      <c r="P35" s="6">
        <f>SUM(DATA_FEBRERO_2026[[#This Row],[1]:[31]])</f>
        <v>101415.5</v>
      </c>
      <c r="Q35" s="6">
        <f>VLOOKUP(DATA_FEBRERO_2026[[#This Row],[ASER_]],D1_FEBRERO_2026[[ASESOR_CRR]:[META]],2,0)</f>
        <v>90000</v>
      </c>
      <c r="R35" t="s">
        <v>37</v>
      </c>
      <c r="U35">
        <v>9462</v>
      </c>
      <c r="V35">
        <v>325</v>
      </c>
      <c r="W35">
        <v>120</v>
      </c>
      <c r="X35">
        <v>423</v>
      </c>
      <c r="Y35">
        <v>566.5</v>
      </c>
      <c r="AA35">
        <v>9061</v>
      </c>
      <c r="AB35">
        <v>14000</v>
      </c>
      <c r="AC35">
        <v>120</v>
      </c>
      <c r="AE35">
        <v>300</v>
      </c>
      <c r="AF35">
        <v>360.5</v>
      </c>
      <c r="AH35">
        <v>3000</v>
      </c>
      <c r="AI35">
        <v>11350</v>
      </c>
      <c r="AJ35">
        <v>14000</v>
      </c>
      <c r="AK35">
        <v>15200</v>
      </c>
      <c r="AL35">
        <v>5536</v>
      </c>
      <c r="AO35">
        <v>1600</v>
      </c>
      <c r="AQ35">
        <v>5500</v>
      </c>
      <c r="AS35">
        <v>500</v>
      </c>
      <c r="AT35">
        <v>9991.5</v>
      </c>
      <c r="AX35" t="str" cm="1">
        <f t="array" ref="AX35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36" spans="1:50" x14ac:dyDescent="0.25">
      <c r="A36" s="35" t="str">
        <f>D1_FEBRERO_2026[[#This Row],[SUPER2]]</f>
        <v>GUSTAVO</v>
      </c>
      <c r="B36" s="34" t="str" cm="1">
        <f t="array" ref="B36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JUAN ALANOCCA</v>
      </c>
      <c r="C36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36" s="35">
        <f>IF(D1_FEBRERO_2026[[#This Row],[RECUPERO]]="VACACIONES","VACACIONES",IFERROR(D1_FEBRERO_2026[[#This Row],[RECUPERO]]/D1_FEBRERO_2026[[#This Row],[META]],""))</f>
        <v>1.0220221276595745</v>
      </c>
      <c r="E36" s="35" t="s">
        <v>124</v>
      </c>
      <c r="F36" t="s">
        <v>77</v>
      </c>
      <c r="G36" s="3">
        <v>24017.52</v>
      </c>
      <c r="H36" t="s">
        <v>393</v>
      </c>
      <c r="I36" s="56">
        <v>44838</v>
      </c>
      <c r="J36" s="56" t="s">
        <v>501</v>
      </c>
      <c r="K36" s="56"/>
      <c r="L36" s="56"/>
      <c r="M36" s="5">
        <f>DATA_FEBRERO_2026[[#This Row],[RECUPERO]]/DATA_FEBRERO_2026[[#This Row],[META]]</f>
        <v>2.7234042553191489E-2</v>
      </c>
      <c r="N36" s="5" t="str" cm="1">
        <f t="array" ref="N36">IF(DATA_FEBRERO_2026[[#This Row],[ASER_]]="","",IFERROR(_xlfn.IFS(M36&gt;=100%,"&gt;100%",AND(M36&lt;100%,M36&gt;=70%),"&gt;70%",AND(M36&lt;70%,M36&gt;=40%),"&gt;40%",AND(M36&lt;40%,M36&gt;=0%),"&gt;0%"),""))</f>
        <v>&gt;0%</v>
      </c>
      <c r="O36" s="55" t="str">
        <f>IFERROR(VLOOKUP(DATA_FEBRERO_2026[[#This Row],[ASER_]],$B:$G,4,0),"")</f>
        <v>GUSTAVO</v>
      </c>
      <c r="P36" s="6">
        <f>SUM(DATA_FEBRERO_2026[[#This Row],[1]:[31]])</f>
        <v>640</v>
      </c>
      <c r="Q36" s="6">
        <f>VLOOKUP(DATA_FEBRERO_2026[[#This Row],[ASER_]],D1_FEBRERO_2026[[ASESOR_CRR]:[META]],2,0)</f>
        <v>23500</v>
      </c>
      <c r="R36" t="s">
        <v>549</v>
      </c>
      <c r="AI36">
        <v>420</v>
      </c>
      <c r="AT36">
        <v>220</v>
      </c>
      <c r="AX36" t="str" cm="1">
        <f t="array" ref="AX36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37" spans="1:50" x14ac:dyDescent="0.25">
      <c r="A37" s="35" t="str">
        <f>D1_FEBRERO_2026[[#This Row],[SUPER2]]</f>
        <v>KENNETH</v>
      </c>
      <c r="B37" s="34" t="str" cm="1">
        <f t="array" ref="B37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JUAN LOZA</v>
      </c>
      <c r="C37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90000</v>
      </c>
      <c r="D37" s="35">
        <f>IF(D1_FEBRERO_2026[[#This Row],[RECUPERO]]="VACACIONES","VACACIONES",IFERROR(D1_FEBRERO_2026[[#This Row],[RECUPERO]]/D1_FEBRERO_2026[[#This Row],[META]],""))</f>
        <v>1.3504444444444443</v>
      </c>
      <c r="E37" s="35" t="s">
        <v>6</v>
      </c>
      <c r="F37" t="s">
        <v>35</v>
      </c>
      <c r="G37" s="3">
        <v>121540</v>
      </c>
      <c r="H37" t="s">
        <v>401</v>
      </c>
      <c r="I37" s="56">
        <v>44746</v>
      </c>
      <c r="J37" s="56" t="s">
        <v>501</v>
      </c>
      <c r="K37" s="56"/>
      <c r="L37" s="56"/>
      <c r="M37" s="5">
        <f>DATA_FEBRERO_2026[[#This Row],[RECUPERO]]/DATA_FEBRERO_2026[[#This Row],[META]]</f>
        <v>1.0220221276595745</v>
      </c>
      <c r="N37" s="5" t="str" cm="1">
        <f t="array" ref="N37">IF(DATA_FEBRERO_2026[[#This Row],[ASER_]]="","",IFERROR(_xlfn.IFS(M37&gt;=100%,"&gt;100%",AND(M37&lt;100%,M37&gt;=70%),"&gt;70%",AND(M37&lt;70%,M37&gt;=40%),"&gt;40%",AND(M37&lt;40%,M37&gt;=0%),"&gt;0%"),""))</f>
        <v>&gt;100%</v>
      </c>
      <c r="O37" s="55" t="str">
        <f>IFERROR(VLOOKUP(DATA_FEBRERO_2026[[#This Row],[ASER_]],$B:$G,4,0),"")</f>
        <v>GUSTAVO</v>
      </c>
      <c r="P37" s="6">
        <f>SUM(DATA_FEBRERO_2026[[#This Row],[1]:[31]])</f>
        <v>24017.52</v>
      </c>
      <c r="Q37" s="6">
        <f>VLOOKUP(DATA_FEBRERO_2026[[#This Row],[ASER_]],D1_FEBRERO_2026[[ASESOR_CRR]:[META]],2,0)</f>
        <v>23500</v>
      </c>
      <c r="R37" t="s">
        <v>77</v>
      </c>
      <c r="T37">
        <v>600</v>
      </c>
      <c r="U37" s="45"/>
      <c r="V37">
        <v>458</v>
      </c>
      <c r="W37">
        <v>1022</v>
      </c>
      <c r="AC37">
        <v>377.52</v>
      </c>
      <c r="AE37">
        <v>1100</v>
      </c>
      <c r="AJ37">
        <v>4000</v>
      </c>
      <c r="AO37">
        <v>400</v>
      </c>
      <c r="AP37">
        <v>400</v>
      </c>
      <c r="AR37">
        <v>10400</v>
      </c>
      <c r="AS37">
        <v>2500</v>
      </c>
      <c r="AT37">
        <v>2760</v>
      </c>
      <c r="AX37" t="str" cm="1">
        <f t="array" ref="AX37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38" spans="1:50" x14ac:dyDescent="0.25">
      <c r="A38" s="35" t="str">
        <f>D1_FEBRERO_2026[[#This Row],[SUPER2]]</f>
        <v>KENNETH</v>
      </c>
      <c r="B38" s="34" t="str" cm="1">
        <f t="array" ref="B38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KIARA CANEPA</v>
      </c>
      <c r="C38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38" s="35">
        <f>IF(D1_FEBRERO_2026[[#This Row],[RECUPERO]]="VACACIONES","VACACIONES",IFERROR(D1_FEBRERO_2026[[#This Row],[RECUPERO]]/D1_FEBRERO_2026[[#This Row],[META]],""))</f>
        <v>0.6435849056603774</v>
      </c>
      <c r="E38" s="35" t="s">
        <v>6</v>
      </c>
      <c r="F38" t="s">
        <v>50</v>
      </c>
      <c r="G38" s="3">
        <v>17055</v>
      </c>
      <c r="H38" t="s">
        <v>402</v>
      </c>
      <c r="I38" s="56">
        <v>45789</v>
      </c>
      <c r="J38" s="56" t="s">
        <v>501</v>
      </c>
      <c r="K38" s="56"/>
      <c r="L38" s="56"/>
      <c r="M38" s="5">
        <f>DATA_FEBRERO_2026[[#This Row],[RECUPERO]]/DATA_FEBRERO_2026[[#This Row],[META]]</f>
        <v>1.3504444444444443</v>
      </c>
      <c r="N38" s="5" t="str" cm="1">
        <f t="array" ref="N38">IF(DATA_FEBRERO_2026[[#This Row],[ASER_]]="","",IFERROR(_xlfn.IFS(M38&gt;=100%,"&gt;100%",AND(M38&lt;100%,M38&gt;=70%),"&gt;70%",AND(M38&lt;70%,M38&gt;=40%),"&gt;40%",AND(M38&lt;40%,M38&gt;=0%),"&gt;0%"),""))</f>
        <v>&gt;100%</v>
      </c>
      <c r="O38" s="55" t="str">
        <f>IFERROR(VLOOKUP(DATA_FEBRERO_2026[[#This Row],[ASER_]],$B:$G,4,0),"")</f>
        <v>KENNETH</v>
      </c>
      <c r="P38" s="6">
        <f>SUM(DATA_FEBRERO_2026[[#This Row],[1]:[31]])</f>
        <v>121540</v>
      </c>
      <c r="Q38" s="6">
        <f>VLOOKUP(DATA_FEBRERO_2026[[#This Row],[ASER_]],D1_FEBRERO_2026[[ASESOR_CRR]:[META]],2,0)</f>
        <v>90000</v>
      </c>
      <c r="R38" t="s">
        <v>35</v>
      </c>
      <c r="V38">
        <v>1800</v>
      </c>
      <c r="W38">
        <v>14000</v>
      </c>
      <c r="X38">
        <v>688</v>
      </c>
      <c r="AA38">
        <v>10400</v>
      </c>
      <c r="AB38">
        <v>1450</v>
      </c>
      <c r="AC38">
        <v>22200</v>
      </c>
      <c r="AD38">
        <v>1381</v>
      </c>
      <c r="AE38">
        <v>238</v>
      </c>
      <c r="AH38">
        <v>25900</v>
      </c>
      <c r="AJ38">
        <v>188</v>
      </c>
      <c r="AK38">
        <v>200</v>
      </c>
      <c r="AL38">
        <v>400</v>
      </c>
      <c r="AM38">
        <v>1000</v>
      </c>
      <c r="AO38">
        <v>320</v>
      </c>
      <c r="AP38">
        <v>10000</v>
      </c>
      <c r="AQ38">
        <v>4000</v>
      </c>
      <c r="AR38">
        <v>5500</v>
      </c>
      <c r="AS38">
        <v>18625</v>
      </c>
      <c r="AT38">
        <v>3250</v>
      </c>
      <c r="AX38" t="str" cm="1">
        <f t="array" ref="AX38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39" spans="1:50" x14ac:dyDescent="0.25">
      <c r="A39" s="35" t="str">
        <f>D1_FEBRERO_2026[[#This Row],[SUPER2]]</f>
        <v>SANDY</v>
      </c>
      <c r="B39" s="34" t="str" cm="1">
        <f t="array" ref="B39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LINDA TUESTA</v>
      </c>
      <c r="C39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39" s="35">
        <f>IF(D1_FEBRERO_2026[[#This Row],[RECUPERO]]="VACACIONES","VACACIONES",IFERROR(D1_FEBRERO_2026[[#This Row],[RECUPERO]]/D1_FEBRERO_2026[[#This Row],[META]],""))</f>
        <v>6.6159999999999997E-2</v>
      </c>
      <c r="E39" s="35" t="s">
        <v>3</v>
      </c>
      <c r="F39" t="s">
        <v>33</v>
      </c>
      <c r="G39" s="3">
        <v>3308</v>
      </c>
      <c r="H39" t="s">
        <v>439</v>
      </c>
      <c r="I39" s="56">
        <v>44867</v>
      </c>
      <c r="J39" s="56" t="s">
        <v>501</v>
      </c>
      <c r="K39" s="56"/>
      <c r="L39" s="56"/>
      <c r="M39" s="5">
        <f>DATA_FEBRERO_2026[[#This Row],[RECUPERO]]/DATA_FEBRERO_2026[[#This Row],[META]]</f>
        <v>0.6435849056603774</v>
      </c>
      <c r="N39" s="5" t="str" cm="1">
        <f t="array" ref="N39">IF(DATA_FEBRERO_2026[[#This Row],[ASER_]]="","",IFERROR(_xlfn.IFS(M39&gt;=100%,"&gt;100%",AND(M39&lt;100%,M39&gt;=70%),"&gt;70%",AND(M39&lt;70%,M39&gt;=40%),"&gt;40%",AND(M39&lt;40%,M39&gt;=0%),"&gt;0%"),""))</f>
        <v>&gt;40%</v>
      </c>
      <c r="O39" s="55" t="str">
        <f>IFERROR(VLOOKUP(DATA_FEBRERO_2026[[#This Row],[ASER_]],$B:$G,4,0),"")</f>
        <v>KENNETH</v>
      </c>
      <c r="P39" s="6">
        <f>SUM(DATA_FEBRERO_2026[[#This Row],[1]:[31]])</f>
        <v>17055</v>
      </c>
      <c r="Q39" s="6">
        <f>VLOOKUP(DATA_FEBRERO_2026[[#This Row],[ASER_]],D1_FEBRERO_2026[[ASESOR_CRR]:[META]],2,0)</f>
        <v>26500</v>
      </c>
      <c r="R39" t="s">
        <v>50</v>
      </c>
      <c r="T39">
        <v>300</v>
      </c>
      <c r="W39">
        <v>860</v>
      </c>
      <c r="AC39">
        <v>285</v>
      </c>
      <c r="AH39">
        <v>7500</v>
      </c>
      <c r="AJ39">
        <v>550</v>
      </c>
      <c r="AL39">
        <v>5200</v>
      </c>
      <c r="AO39">
        <v>360</v>
      </c>
      <c r="AQ39">
        <v>1500</v>
      </c>
      <c r="AR39">
        <v>500</v>
      </c>
      <c r="AX39" t="str" cm="1">
        <f t="array" ref="AX39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0" spans="1:50" x14ac:dyDescent="0.25">
      <c r="A40" s="35" t="str">
        <f>D1_FEBRERO_2026[[#This Row],[SUPER2]]</f>
        <v>SANDY</v>
      </c>
      <c r="B40" s="34" t="str" cm="1">
        <f t="array" ref="B40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LISELY MERA</v>
      </c>
      <c r="C40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40" s="35">
        <f>IF(D1_FEBRERO_2026[[#This Row],[RECUPERO]]="VACACIONES","VACACIONES",IFERROR(D1_FEBRERO_2026[[#This Row],[RECUPERO]]/D1_FEBRERO_2026[[#This Row],[META]],""))</f>
        <v>1.4429000000000001</v>
      </c>
      <c r="E40" s="35" t="s">
        <v>3</v>
      </c>
      <c r="F40" t="s">
        <v>23</v>
      </c>
      <c r="G40" s="3">
        <v>72145</v>
      </c>
      <c r="H40" t="s">
        <v>445</v>
      </c>
      <c r="I40" s="56">
        <v>44109</v>
      </c>
      <c r="J40" s="56" t="s">
        <v>501</v>
      </c>
      <c r="K40" s="56"/>
      <c r="L40" s="56"/>
      <c r="M40" s="5">
        <f>DATA_FEBRERO_2026[[#This Row],[RECUPERO]]/DATA_FEBRERO_2026[[#This Row],[META]]</f>
        <v>6.6159999999999997E-2</v>
      </c>
      <c r="N40" s="5" t="str" cm="1">
        <f t="array" ref="N40">IF(DATA_FEBRERO_2026[[#This Row],[ASER_]]="","",IFERROR(_xlfn.IFS(M40&gt;=100%,"&gt;100%",AND(M40&lt;100%,M40&gt;=70%),"&gt;70%",AND(M40&lt;70%,M40&gt;=40%),"&gt;40%",AND(M40&lt;40%,M40&gt;=0%),"&gt;0%"),""))</f>
        <v>&gt;0%</v>
      </c>
      <c r="O40" s="55" t="str">
        <f>IFERROR(VLOOKUP(DATA_FEBRERO_2026[[#This Row],[ASER_]],$B:$G,4,0),"")</f>
        <v>SANDY</v>
      </c>
      <c r="P40" s="6">
        <f>SUM(DATA_FEBRERO_2026[[#This Row],[1]:[31]])</f>
        <v>3308</v>
      </c>
      <c r="Q40" s="6">
        <f>VLOOKUP(DATA_FEBRERO_2026[[#This Row],[ASER_]],D1_FEBRERO_2026[[ASESOR_CRR]:[META]],2,0)</f>
        <v>50000</v>
      </c>
      <c r="R40" t="s">
        <v>33</v>
      </c>
      <c r="V40">
        <v>1000</v>
      </c>
      <c r="Y40">
        <v>2000</v>
      </c>
      <c r="AA40">
        <v>308</v>
      </c>
      <c r="AX40" t="str" cm="1">
        <f t="array" ref="AX40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1" spans="1:50" x14ac:dyDescent="0.25">
      <c r="A41" s="35" t="str">
        <f>D1_FEBRERO_2026[[#This Row],[SUPER2]]</f>
        <v>SANDY</v>
      </c>
      <c r="B41" s="34" t="str" cm="1">
        <f t="array" ref="B41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LUIS CENTENO</v>
      </c>
      <c r="C41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41" s="35">
        <f>IF(D1_FEBRERO_2026[[#This Row],[RECUPERO]]="VACACIONES","VACACIONES",IFERROR(D1_FEBRERO_2026[[#This Row],[RECUPERO]]/D1_FEBRERO_2026[[#This Row],[META]],""))</f>
        <v>0.57272000000000001</v>
      </c>
      <c r="E41" s="35" t="s">
        <v>3</v>
      </c>
      <c r="F41" t="s">
        <v>31</v>
      </c>
      <c r="G41" s="3">
        <v>28636</v>
      </c>
      <c r="H41" t="s">
        <v>403</v>
      </c>
      <c r="I41" s="56">
        <v>45334</v>
      </c>
      <c r="J41" s="56" t="s">
        <v>501</v>
      </c>
      <c r="K41" s="56"/>
      <c r="L41" s="56"/>
      <c r="M41" s="5">
        <f>DATA_FEBRERO_2026[[#This Row],[RECUPERO]]/DATA_FEBRERO_2026[[#This Row],[META]]</f>
        <v>1.4429000000000001</v>
      </c>
      <c r="N41" s="5" t="str" cm="1">
        <f t="array" ref="N41">IF(DATA_FEBRERO_2026[[#This Row],[ASER_]]="","",IFERROR(_xlfn.IFS(M41&gt;=100%,"&gt;100%",AND(M41&lt;100%,M41&gt;=70%),"&gt;70%",AND(M41&lt;70%,M41&gt;=40%),"&gt;40%",AND(M41&lt;40%,M41&gt;=0%),"&gt;0%"),""))</f>
        <v>&gt;100%</v>
      </c>
      <c r="O41" s="55" t="str">
        <f>IFERROR(VLOOKUP(DATA_FEBRERO_2026[[#This Row],[ASER_]],$B:$G,4,0),"")</f>
        <v>SANDY</v>
      </c>
      <c r="P41" s="6">
        <f>SUM(DATA_FEBRERO_2026[[#This Row],[1]:[31]])</f>
        <v>72145</v>
      </c>
      <c r="Q41" s="6">
        <f>VLOOKUP(DATA_FEBRERO_2026[[#This Row],[ASER_]],D1_FEBRERO_2026[[ASESOR_CRR]:[META]],2,0)</f>
        <v>50000</v>
      </c>
      <c r="R41" t="s">
        <v>23</v>
      </c>
      <c r="T41">
        <v>3805</v>
      </c>
      <c r="U41">
        <v>1927</v>
      </c>
      <c r="V41">
        <v>578</v>
      </c>
      <c r="W41">
        <v>1700</v>
      </c>
      <c r="X41">
        <v>6000</v>
      </c>
      <c r="Y41">
        <v>580</v>
      </c>
      <c r="AA41">
        <v>1239</v>
      </c>
      <c r="AB41">
        <v>268</v>
      </c>
      <c r="AC41">
        <v>2000</v>
      </c>
      <c r="AD41">
        <v>250</v>
      </c>
      <c r="AE41">
        <v>4000</v>
      </c>
      <c r="AF41">
        <v>724</v>
      </c>
      <c r="AG41">
        <v>214</v>
      </c>
      <c r="AH41">
        <v>1957</v>
      </c>
      <c r="AI41">
        <v>1000</v>
      </c>
      <c r="AJ41">
        <v>6528</v>
      </c>
      <c r="AK41">
        <v>4050</v>
      </c>
      <c r="AL41">
        <v>6000</v>
      </c>
      <c r="AM41">
        <v>403</v>
      </c>
      <c r="AO41">
        <v>550</v>
      </c>
      <c r="AP41">
        <v>8000</v>
      </c>
      <c r="AR41">
        <v>2900</v>
      </c>
      <c r="AS41">
        <v>5622</v>
      </c>
      <c r="AT41">
        <v>11850</v>
      </c>
      <c r="AX41" t="str" cm="1">
        <f t="array" ref="AX41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2" spans="1:50" x14ac:dyDescent="0.25">
      <c r="A42" s="35" t="str">
        <f>D1_FEBRERO_2026[[#This Row],[SUPER2]]</f>
        <v>JORGE</v>
      </c>
      <c r="B42" s="34" t="str" cm="1">
        <f t="array" ref="B42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LUIS VALLADARES</v>
      </c>
      <c r="C42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28000</v>
      </c>
      <c r="D42" s="35">
        <f>IF(D1_FEBRERO_2026[[#This Row],[RECUPERO]]="VACACIONES","VACACIONES",IFERROR(D1_FEBRERO_2026[[#This Row],[RECUPERO]]/D1_FEBRERO_2026[[#This Row],[META]],""))</f>
        <v>1.2064250000000001</v>
      </c>
      <c r="E42" s="35" t="s">
        <v>2</v>
      </c>
      <c r="F42" t="s">
        <v>29</v>
      </c>
      <c r="G42" s="3">
        <v>33779.9</v>
      </c>
      <c r="H42" t="s">
        <v>416</v>
      </c>
      <c r="I42" s="56">
        <v>44685</v>
      </c>
      <c r="J42" s="56" t="s">
        <v>501</v>
      </c>
      <c r="K42" s="56"/>
      <c r="L42" s="56"/>
      <c r="M42" s="5">
        <f>DATA_FEBRERO_2026[[#This Row],[RECUPERO]]/DATA_FEBRERO_2026[[#This Row],[META]]</f>
        <v>0.57272000000000001</v>
      </c>
      <c r="N42" s="5" t="str" cm="1">
        <f t="array" ref="N42">IF(DATA_FEBRERO_2026[[#This Row],[ASER_]]="","",IFERROR(_xlfn.IFS(M42&gt;=100%,"&gt;100%",AND(M42&lt;100%,M42&gt;=70%),"&gt;70%",AND(M42&lt;70%,M42&gt;=40%),"&gt;40%",AND(M42&lt;40%,M42&gt;=0%),"&gt;0%"),""))</f>
        <v>&gt;40%</v>
      </c>
      <c r="O42" s="55" t="str">
        <f>IFERROR(VLOOKUP(DATA_FEBRERO_2026[[#This Row],[ASER_]],$B:$G,4,0),"")</f>
        <v>SANDY</v>
      </c>
      <c r="P42" s="6">
        <f>SUM(DATA_FEBRERO_2026[[#This Row],[1]:[31]])</f>
        <v>28636</v>
      </c>
      <c r="Q42" s="6">
        <f>VLOOKUP(DATA_FEBRERO_2026[[#This Row],[ASER_]],D1_FEBRERO_2026[[ASESOR_CRR]:[META]],2,0)</f>
        <v>50000</v>
      </c>
      <c r="R42" t="s">
        <v>31</v>
      </c>
      <c r="U42">
        <v>1150</v>
      </c>
      <c r="V42">
        <v>1500</v>
      </c>
      <c r="AA42">
        <v>2500</v>
      </c>
      <c r="AE42">
        <v>6000</v>
      </c>
      <c r="AH42">
        <v>2000</v>
      </c>
      <c r="AI42">
        <v>2000</v>
      </c>
      <c r="AK42">
        <v>3890</v>
      </c>
      <c r="AO42">
        <v>1010</v>
      </c>
      <c r="AQ42">
        <v>1100</v>
      </c>
      <c r="AR42">
        <v>3601</v>
      </c>
      <c r="AS42">
        <v>604</v>
      </c>
      <c r="AT42">
        <v>3281</v>
      </c>
      <c r="AX42" t="str" cm="1">
        <f t="array" ref="AX42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3" spans="1:50" x14ac:dyDescent="0.25">
      <c r="A43" s="35" t="str">
        <f>D1_FEBRERO_2026[[#This Row],[SUPER2]]</f>
        <v>JORGE</v>
      </c>
      <c r="B43" s="34" t="str" cm="1">
        <f t="array" ref="B43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MALORY MONTEBLANCO</v>
      </c>
      <c r="C43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28000</v>
      </c>
      <c r="D43" s="35">
        <f>IF(D1_FEBRERO_2026[[#This Row],[RECUPERO]]="VACACIONES","VACACIONES",IFERROR(D1_FEBRERO_2026[[#This Row],[RECUPERO]]/D1_FEBRERO_2026[[#This Row],[META]],""))</f>
        <v>0.97503571428571434</v>
      </c>
      <c r="E43" s="35" t="s">
        <v>2</v>
      </c>
      <c r="F43" t="s">
        <v>25</v>
      </c>
      <c r="G43" s="3">
        <v>27301</v>
      </c>
      <c r="H43" t="s">
        <v>446</v>
      </c>
      <c r="I43" s="56">
        <v>44818</v>
      </c>
      <c r="J43" s="56" t="s">
        <v>501</v>
      </c>
      <c r="K43" s="56"/>
      <c r="L43" s="56"/>
      <c r="M43" s="5">
        <f>DATA_FEBRERO_2026[[#This Row],[RECUPERO]]/DATA_FEBRERO_2026[[#This Row],[META]]</f>
        <v>1.2064250000000001</v>
      </c>
      <c r="N43" s="5" t="str" cm="1">
        <f t="array" ref="N43">IF(DATA_FEBRERO_2026[[#This Row],[ASER_]]="","",IFERROR(_xlfn.IFS(M43&gt;=100%,"&gt;100%",AND(M43&lt;100%,M43&gt;=70%),"&gt;70%",AND(M43&lt;70%,M43&gt;=40%),"&gt;40%",AND(M43&lt;40%,M43&gt;=0%),"&gt;0%"),""))</f>
        <v>&gt;100%</v>
      </c>
      <c r="O43" s="55" t="str">
        <f>IFERROR(VLOOKUP(DATA_FEBRERO_2026[[#This Row],[ASER_]],$B:$G,4,0),"")</f>
        <v>JORGE</v>
      </c>
      <c r="P43" s="6">
        <f>SUM(DATA_FEBRERO_2026[[#This Row],[1]:[31]])</f>
        <v>33779.9</v>
      </c>
      <c r="Q43" s="6">
        <f>VLOOKUP(DATA_FEBRERO_2026[[#This Row],[ASER_]],D1_FEBRERO_2026[[ASESOR_CRR]:[META]],2,0)</f>
        <v>28000</v>
      </c>
      <c r="R43" t="s">
        <v>29</v>
      </c>
      <c r="T43">
        <v>1103.4000000000001</v>
      </c>
      <c r="W43">
        <v>2700</v>
      </c>
      <c r="X43">
        <v>4300</v>
      </c>
      <c r="AF43">
        <v>1015</v>
      </c>
      <c r="AH43">
        <v>3222.5</v>
      </c>
      <c r="AI43">
        <v>2250</v>
      </c>
      <c r="AJ43">
        <v>810</v>
      </c>
      <c r="AL43">
        <v>5802</v>
      </c>
      <c r="AO43">
        <v>300</v>
      </c>
      <c r="AP43">
        <v>2180</v>
      </c>
      <c r="AS43">
        <v>9565</v>
      </c>
      <c r="AT43">
        <v>532</v>
      </c>
      <c r="AX43" t="str" cm="1">
        <f t="array" ref="AX43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4" spans="1:50" x14ac:dyDescent="0.25">
      <c r="A44" s="35" t="str">
        <f>D1_FEBRERO_2026[[#This Row],[SUPER2]]</f>
        <v>SANDY</v>
      </c>
      <c r="B44" s="34" t="str" cm="1">
        <f t="array" ref="B44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MARGARITA PIANCHACHI</v>
      </c>
      <c r="C44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44" s="35">
        <f>IF(D1_FEBRERO_2026[[#This Row],[RECUPERO]]="VACACIONES","VACACIONES",IFERROR(D1_FEBRERO_2026[[#This Row],[RECUPERO]]/D1_FEBRERO_2026[[#This Row],[META]],""))</f>
        <v>1.6110899999999999</v>
      </c>
      <c r="E44" s="35" t="s">
        <v>3</v>
      </c>
      <c r="F44" t="s">
        <v>17</v>
      </c>
      <c r="G44" s="3">
        <v>80554.5</v>
      </c>
      <c r="H44" t="s">
        <v>385</v>
      </c>
      <c r="I44" s="56">
        <v>44886</v>
      </c>
      <c r="J44" s="56" t="s">
        <v>501</v>
      </c>
      <c r="K44" s="56"/>
      <c r="L44" s="56"/>
      <c r="M44" s="5">
        <f>DATA_FEBRERO_2026[[#This Row],[RECUPERO]]/DATA_FEBRERO_2026[[#This Row],[META]]</f>
        <v>0.97503571428571434</v>
      </c>
      <c r="N44" s="5" t="str" cm="1">
        <f t="array" ref="N44">IF(DATA_FEBRERO_2026[[#This Row],[ASER_]]="","",IFERROR(_xlfn.IFS(M44&gt;=100%,"&gt;100%",AND(M44&lt;100%,M44&gt;=70%),"&gt;70%",AND(M44&lt;70%,M44&gt;=40%),"&gt;40%",AND(M44&lt;40%,M44&gt;=0%),"&gt;0%"),""))</f>
        <v>&gt;70%</v>
      </c>
      <c r="O44" s="55" t="str">
        <f>IFERROR(VLOOKUP(DATA_FEBRERO_2026[[#This Row],[ASER_]],$B:$G,4,0),"")</f>
        <v>JORGE</v>
      </c>
      <c r="P44" s="6">
        <f>SUM(DATA_FEBRERO_2026[[#This Row],[1]:[31]])</f>
        <v>27301</v>
      </c>
      <c r="Q44" s="6">
        <f>VLOOKUP(DATA_FEBRERO_2026[[#This Row],[ASER_]],D1_FEBRERO_2026[[ASESOR_CRR]:[META]],2,0)</f>
        <v>28000</v>
      </c>
      <c r="R44" t="s">
        <v>25</v>
      </c>
      <c r="V44">
        <v>500</v>
      </c>
      <c r="AA44">
        <v>2530</v>
      </c>
      <c r="AC44">
        <v>3450</v>
      </c>
      <c r="AE44">
        <v>9750</v>
      </c>
      <c r="AF44">
        <v>260.5</v>
      </c>
      <c r="AH44">
        <v>5150</v>
      </c>
      <c r="AQ44">
        <v>200</v>
      </c>
      <c r="AS44">
        <v>2600</v>
      </c>
      <c r="AT44">
        <v>2860.5</v>
      </c>
      <c r="AX44" t="str" cm="1">
        <f t="array" ref="AX44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5" spans="1:50" x14ac:dyDescent="0.25">
      <c r="A45" s="35" t="str">
        <f>D1_FEBRERO_2026[[#This Row],[SUPER2]]</f>
        <v>SANDY</v>
      </c>
      <c r="B45" s="34" t="str" cm="1">
        <f t="array" ref="B45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MARIA BARRIONUEVO</v>
      </c>
      <c r="C45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45" s="35">
        <f>IF(D1_FEBRERO_2026[[#This Row],[RECUPERO]]="VACACIONES","VACACIONES",IFERROR(D1_FEBRERO_2026[[#This Row],[RECUPERO]]/D1_FEBRERO_2026[[#This Row],[META]],""))</f>
        <v>0.74525279999999994</v>
      </c>
      <c r="E45" s="35" t="s">
        <v>3</v>
      </c>
      <c r="F45" t="s">
        <v>207</v>
      </c>
      <c r="G45" s="3">
        <v>37262.639999999999</v>
      </c>
      <c r="H45" t="s">
        <v>536</v>
      </c>
      <c r="I45" s="56">
        <v>46029</v>
      </c>
      <c r="J45" s="56" t="s">
        <v>501</v>
      </c>
      <c r="K45" s="56"/>
      <c r="L45" s="56"/>
      <c r="M45" s="5">
        <f>DATA_FEBRERO_2026[[#This Row],[RECUPERO]]/DATA_FEBRERO_2026[[#This Row],[META]]</f>
        <v>1.6110899999999999</v>
      </c>
      <c r="N45" s="54" t="str" cm="1">
        <f t="array" ref="N45">IF(DATA_FEBRERO_2026[[#This Row],[ASER_]]="","",IFERROR(_xlfn.IFS(M45&gt;=100%,"&gt;100%",AND(M45&lt;100%,M45&gt;=70%),"&gt;70%",AND(M45&lt;70%,M45&gt;=40%),"&gt;40%",AND(M45&lt;40%,M45&gt;=0%),"&gt;0%"),""))</f>
        <v>&gt;100%</v>
      </c>
      <c r="O45" s="55" t="str">
        <f>IFERROR(VLOOKUP(DATA_FEBRERO_2026[[#This Row],[ASER_]],$B:$G,4,0),"")</f>
        <v>SANDY</v>
      </c>
      <c r="P45" s="6">
        <f>SUM(DATA_FEBRERO_2026[[#This Row],[1]:[31]])</f>
        <v>80554.5</v>
      </c>
      <c r="Q45" s="6">
        <f>VLOOKUP(DATA_FEBRERO_2026[[#This Row],[ASER_]],D1_FEBRERO_2026[[ASESOR_CRR]:[META]],2,0)</f>
        <v>50000</v>
      </c>
      <c r="R45" t="s">
        <v>17</v>
      </c>
      <c r="T45">
        <v>2136</v>
      </c>
      <c r="X45">
        <v>34000</v>
      </c>
      <c r="AA45">
        <v>1000</v>
      </c>
      <c r="AB45">
        <v>7000</v>
      </c>
      <c r="AC45">
        <v>12000</v>
      </c>
      <c r="AD45">
        <v>400</v>
      </c>
      <c r="AE45">
        <v>500</v>
      </c>
      <c r="AH45">
        <v>1312.5</v>
      </c>
      <c r="AI45">
        <v>320</v>
      </c>
      <c r="AK45">
        <v>656</v>
      </c>
      <c r="AP45">
        <v>9330</v>
      </c>
      <c r="AQ45">
        <v>600</v>
      </c>
      <c r="AS45">
        <v>11000</v>
      </c>
      <c r="AT45">
        <v>300</v>
      </c>
      <c r="AX45" t="str" cm="1">
        <f t="array" ref="AX45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6" spans="1:50" x14ac:dyDescent="0.25">
      <c r="A46" s="35" t="str">
        <f>D1_FEBRERO_2026[[#This Row],[SUPER2]]</f>
        <v>JORGE</v>
      </c>
      <c r="B46" s="34" t="str" cm="1">
        <f t="array" ref="B46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MARIA HUARCAYA</v>
      </c>
      <c r="C46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28000</v>
      </c>
      <c r="D46" s="35">
        <f>IF(D1_FEBRERO_2026[[#This Row],[RECUPERO]]="VACACIONES","VACACIONES",IFERROR(D1_FEBRERO_2026[[#This Row],[RECUPERO]]/D1_FEBRERO_2026[[#This Row],[META]],""))</f>
        <v>1.2590714285714286</v>
      </c>
      <c r="E46" s="35" t="s">
        <v>2</v>
      </c>
      <c r="F46" t="s">
        <v>38</v>
      </c>
      <c r="G46" s="3">
        <v>35254</v>
      </c>
      <c r="H46" t="s">
        <v>469</v>
      </c>
      <c r="I46" s="56">
        <v>45800</v>
      </c>
      <c r="J46" s="56" t="s">
        <v>501</v>
      </c>
      <c r="K46" s="56"/>
      <c r="L46" s="56"/>
      <c r="M46" s="5">
        <f>DATA_FEBRERO_2026[[#This Row],[RECUPERO]]/DATA_FEBRERO_2026[[#This Row],[META]]</f>
        <v>0.74525279999999994</v>
      </c>
      <c r="N46" s="54" t="str" cm="1">
        <f t="array" ref="N46">IF(DATA_FEBRERO_2026[[#This Row],[ASER_]]="","",IFERROR(_xlfn.IFS(M46&gt;=100%,"&gt;100%",AND(M46&lt;100%,M46&gt;=70%),"&gt;70%",AND(M46&lt;70%,M46&gt;=40%),"&gt;40%",AND(M46&lt;40%,M46&gt;=0%),"&gt;0%"),""))</f>
        <v>&gt;70%</v>
      </c>
      <c r="O46" s="55" t="str">
        <f>IFERROR(VLOOKUP(DATA_FEBRERO_2026[[#This Row],[ASER_]],$B:$G,4,0),"")</f>
        <v>SANDY</v>
      </c>
      <c r="P46" s="6">
        <f>SUM(DATA_FEBRERO_2026[[#This Row],[1]:[31]])</f>
        <v>37262.639999999999</v>
      </c>
      <c r="Q46" s="6">
        <f>VLOOKUP(DATA_FEBRERO_2026[[#This Row],[ASER_]],D1_FEBRERO_2026[[ASESOR_CRR]:[META]],2,0)</f>
        <v>50000</v>
      </c>
      <c r="R46" t="s">
        <v>207</v>
      </c>
      <c r="U46">
        <v>1000</v>
      </c>
      <c r="W46">
        <v>950</v>
      </c>
      <c r="AB46">
        <v>3000</v>
      </c>
      <c r="AD46">
        <v>225</v>
      </c>
      <c r="AK46">
        <v>3250</v>
      </c>
      <c r="AP46">
        <v>8000</v>
      </c>
      <c r="AR46">
        <v>2594.64</v>
      </c>
      <c r="AS46">
        <v>17626</v>
      </c>
      <c r="AT46">
        <v>617</v>
      </c>
      <c r="AX46" t="str" cm="1">
        <f t="array" ref="AX46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7" spans="1:50" x14ac:dyDescent="0.25">
      <c r="A47" s="35" t="str">
        <f>D1_FEBRERO_2026[[#This Row],[SUPER2]]</f>
        <v>JOHAN</v>
      </c>
      <c r="B47" s="34" t="str" cm="1">
        <f t="array" ref="B47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MARIA TINTAYA</v>
      </c>
      <c r="C47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47" s="35">
        <f>IF(D1_FEBRERO_2026[[#This Row],[RECUPERO]]="VACACIONES","VACACIONES",IFERROR(D1_FEBRERO_2026[[#This Row],[RECUPERO]]/D1_FEBRERO_2026[[#This Row],[META]],""))</f>
        <v>1.5582400000000001</v>
      </c>
      <c r="E47" s="35" t="s">
        <v>125</v>
      </c>
      <c r="F47" t="s">
        <v>75</v>
      </c>
      <c r="G47" s="3">
        <v>77912</v>
      </c>
      <c r="H47" t="s">
        <v>428</v>
      </c>
      <c r="I47" s="56">
        <v>44714</v>
      </c>
      <c r="J47" s="56" t="s">
        <v>501</v>
      </c>
      <c r="K47" s="56"/>
      <c r="L47" s="56"/>
      <c r="M47" s="5">
        <f>DATA_FEBRERO_2026[[#This Row],[RECUPERO]]/DATA_FEBRERO_2026[[#This Row],[META]]</f>
        <v>1.2590714285714286</v>
      </c>
      <c r="N47" s="54" t="str" cm="1">
        <f t="array" ref="N47">IF(DATA_FEBRERO_2026[[#This Row],[ASER_]]="","",IFERROR(_xlfn.IFS(M47&gt;=100%,"&gt;100%",AND(M47&lt;100%,M47&gt;=70%),"&gt;70%",AND(M47&lt;70%,M47&gt;=40%),"&gt;40%",AND(M47&lt;40%,M47&gt;=0%),"&gt;0%"),""))</f>
        <v>&gt;100%</v>
      </c>
      <c r="O47" s="55" t="str">
        <f>IFERROR(VLOOKUP(DATA_FEBRERO_2026[[#This Row],[ASER_]],$B:$G,4,0),"")</f>
        <v>JORGE</v>
      </c>
      <c r="P47" s="6">
        <f>SUM(DATA_FEBRERO_2026[[#This Row],[1]:[31]])</f>
        <v>35254</v>
      </c>
      <c r="Q47" s="6">
        <f>VLOOKUP(DATA_FEBRERO_2026[[#This Row],[ASER_]],D1_FEBRERO_2026[[ASESOR_CRR]:[META]],2,0)</f>
        <v>28000</v>
      </c>
      <c r="R47" t="s">
        <v>38</v>
      </c>
      <c r="U47">
        <v>320</v>
      </c>
      <c r="V47">
        <v>180</v>
      </c>
      <c r="W47">
        <v>2000</v>
      </c>
      <c r="X47">
        <v>14000</v>
      </c>
      <c r="AA47">
        <v>900</v>
      </c>
      <c r="AB47">
        <v>1000</v>
      </c>
      <c r="AD47">
        <v>830</v>
      </c>
      <c r="AH47">
        <v>450</v>
      </c>
      <c r="AI47">
        <v>100</v>
      </c>
      <c r="AJ47">
        <v>454</v>
      </c>
      <c r="AK47">
        <v>1000</v>
      </c>
      <c r="AL47">
        <v>300</v>
      </c>
      <c r="AO47">
        <v>1260</v>
      </c>
      <c r="AP47">
        <v>1020</v>
      </c>
      <c r="AQ47">
        <v>300</v>
      </c>
      <c r="AR47">
        <v>500</v>
      </c>
      <c r="AS47">
        <v>9070</v>
      </c>
      <c r="AT47">
        <v>1570</v>
      </c>
      <c r="AX47" t="str" cm="1">
        <f t="array" ref="AX47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8" spans="1:50" x14ac:dyDescent="0.25">
      <c r="A48" s="35" t="str">
        <f>D1_FEBRERO_2026[[#This Row],[SUPER2]]</f>
        <v>JOHAN</v>
      </c>
      <c r="B48" s="34" t="str" cm="1">
        <f t="array" ref="B48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MARTIN VARGAS</v>
      </c>
      <c r="C48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48" s="35">
        <f>IF(D1_FEBRERO_2026[[#This Row],[RECUPERO]]="VACACIONES","VACACIONES",IFERROR(D1_FEBRERO_2026[[#This Row],[RECUPERO]]/D1_FEBRERO_2026[[#This Row],[META]],""))</f>
        <v>0.24057999999999999</v>
      </c>
      <c r="E48" s="35" t="s">
        <v>125</v>
      </c>
      <c r="F48" t="s">
        <v>206</v>
      </c>
      <c r="G48" s="3">
        <v>12029</v>
      </c>
      <c r="H48" t="s">
        <v>535</v>
      </c>
      <c r="I48" s="56">
        <v>46024</v>
      </c>
      <c r="J48" s="56" t="s">
        <v>501</v>
      </c>
      <c r="K48" s="56"/>
      <c r="L48" s="56"/>
      <c r="M48" s="5">
        <f>DATA_FEBRERO_2026[[#This Row],[RECUPERO]]/DATA_FEBRERO_2026[[#This Row],[META]]</f>
        <v>1.5582400000000001</v>
      </c>
      <c r="N48" s="54" t="str" cm="1">
        <f t="array" ref="N48">IF(DATA_FEBRERO_2026[[#This Row],[ASER_]]="","",IFERROR(_xlfn.IFS(M48&gt;=100%,"&gt;100%",AND(M48&lt;100%,M48&gt;=70%),"&gt;70%",AND(M48&lt;70%,M48&gt;=40%),"&gt;40%",AND(M48&lt;40%,M48&gt;=0%),"&gt;0%"),""))</f>
        <v>&gt;100%</v>
      </c>
      <c r="O48" s="55" t="str">
        <f>IFERROR(VLOOKUP(DATA_FEBRERO_2026[[#This Row],[ASER_]],$B:$G,4,0),"")</f>
        <v>JOHAN</v>
      </c>
      <c r="P48" s="6">
        <f>SUM(DATA_FEBRERO_2026[[#This Row],[1]:[31]])</f>
        <v>77912</v>
      </c>
      <c r="Q48" s="6">
        <f>VLOOKUP(DATA_FEBRERO_2026[[#This Row],[ASER_]],D1_FEBRERO_2026[[ASESOR_CRR]:[META]],2,0)</f>
        <v>50000</v>
      </c>
      <c r="R48" t="s">
        <v>75</v>
      </c>
      <c r="V48">
        <v>4500</v>
      </c>
      <c r="W48">
        <v>1900</v>
      </c>
      <c r="X48">
        <v>6200</v>
      </c>
      <c r="AB48">
        <v>1850</v>
      </c>
      <c r="AC48">
        <v>3000</v>
      </c>
      <c r="AD48">
        <v>10500</v>
      </c>
      <c r="AE48">
        <v>1000</v>
      </c>
      <c r="AH48">
        <v>21000</v>
      </c>
      <c r="AI48">
        <v>1500</v>
      </c>
      <c r="AL48">
        <v>1100</v>
      </c>
      <c r="AR48">
        <v>20430</v>
      </c>
      <c r="AS48">
        <v>4932</v>
      </c>
      <c r="AX48" t="str" cm="1">
        <f t="array" ref="AX48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49" spans="1:50" x14ac:dyDescent="0.25">
      <c r="A49" s="35" t="str">
        <f>D1_FEBRERO_2026[[#This Row],[SUPER2]]</f>
        <v>GUSTAVO</v>
      </c>
      <c r="B49" s="34" t="str" cm="1">
        <f t="array" ref="B49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MAYRA AVALOS</v>
      </c>
      <c r="C49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49" s="35">
        <f>IF(D1_FEBRERO_2026[[#This Row],[RECUPERO]]="VACACIONES","VACACIONES",IFERROR(D1_FEBRERO_2026[[#This Row],[RECUPERO]]/D1_FEBRERO_2026[[#This Row],[META]],""))</f>
        <v>0.73574468085106381</v>
      </c>
      <c r="E49" s="35" t="s">
        <v>124</v>
      </c>
      <c r="F49" t="s">
        <v>55</v>
      </c>
      <c r="G49" s="3">
        <v>17290</v>
      </c>
      <c r="H49" t="s">
        <v>475</v>
      </c>
      <c r="I49" s="56">
        <v>45813</v>
      </c>
      <c r="J49" s="56" t="s">
        <v>501</v>
      </c>
      <c r="K49" s="56"/>
      <c r="L49" s="56"/>
      <c r="M49" s="5">
        <f>DATA_FEBRERO_2026[[#This Row],[RECUPERO]]/DATA_FEBRERO_2026[[#This Row],[META]]</f>
        <v>0.24057999999999999</v>
      </c>
      <c r="N49" s="54" t="str" cm="1">
        <f t="array" ref="N49">IF(DATA_FEBRERO_2026[[#This Row],[ASER_]]="","",IFERROR(_xlfn.IFS(M49&gt;=100%,"&gt;100%",AND(M49&lt;100%,M49&gt;=70%),"&gt;70%",AND(M49&lt;70%,M49&gt;=40%),"&gt;40%",AND(M49&lt;40%,M49&gt;=0%),"&gt;0%"),""))</f>
        <v>&gt;0%</v>
      </c>
      <c r="O49" s="55" t="str">
        <f>IFERROR(VLOOKUP(DATA_FEBRERO_2026[[#This Row],[ASER_]],$B:$G,4,0),"")</f>
        <v>JOHAN</v>
      </c>
      <c r="P49" s="6">
        <f>SUM(DATA_FEBRERO_2026[[#This Row],[1]:[31]])</f>
        <v>12029</v>
      </c>
      <c r="Q49" s="6">
        <f>VLOOKUP(DATA_FEBRERO_2026[[#This Row],[ASER_]],D1_FEBRERO_2026[[ASESOR_CRR]:[META]],2,0)</f>
        <v>50000</v>
      </c>
      <c r="R49" t="s">
        <v>206</v>
      </c>
      <c r="V49">
        <v>3500</v>
      </c>
      <c r="W49">
        <v>770</v>
      </c>
      <c r="AC49">
        <v>500</v>
      </c>
      <c r="AI49">
        <v>1090</v>
      </c>
      <c r="AK49">
        <v>2450</v>
      </c>
      <c r="AM49">
        <v>219</v>
      </c>
      <c r="AP49">
        <v>3500</v>
      </c>
      <c r="AX49" t="str" cm="1">
        <f t="array" ref="AX49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0" spans="1:50" x14ac:dyDescent="0.25">
      <c r="A50" s="35" t="str">
        <f>D1_FEBRERO_2026[[#This Row],[SUPER2]]</f>
        <v>JORGE</v>
      </c>
      <c r="B50" s="34" t="str" cm="1">
        <f t="array" ref="B50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NATALIA MARIN</v>
      </c>
      <c r="C50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28000</v>
      </c>
      <c r="D50" s="35">
        <f>IF(D1_FEBRERO_2026[[#This Row],[RECUPERO]]="VACACIONES","VACACIONES",IFERROR(D1_FEBRERO_2026[[#This Row],[RECUPERO]]/D1_FEBRERO_2026[[#This Row],[META]],""))</f>
        <v>3.5717857142857143</v>
      </c>
      <c r="E50" s="35" t="s">
        <v>2</v>
      </c>
      <c r="F50" t="s">
        <v>79</v>
      </c>
      <c r="G50" s="3">
        <v>100010</v>
      </c>
      <c r="H50" t="s">
        <v>453</v>
      </c>
      <c r="I50" s="56">
        <v>45145</v>
      </c>
      <c r="J50" s="56" t="s">
        <v>501</v>
      </c>
      <c r="K50" s="56"/>
      <c r="L50" s="56"/>
      <c r="M50" s="5">
        <f>DATA_FEBRERO_2026[[#This Row],[RECUPERO]]/DATA_FEBRERO_2026[[#This Row],[META]]</f>
        <v>0.73574468085106381</v>
      </c>
      <c r="N50" s="54" t="str" cm="1">
        <f t="array" ref="N50">IF(DATA_FEBRERO_2026[[#This Row],[ASER_]]="","",IFERROR(_xlfn.IFS(M50&gt;=100%,"&gt;100%",AND(M50&lt;100%,M50&gt;=70%),"&gt;70%",AND(M50&lt;70%,M50&gt;=40%),"&gt;40%",AND(M50&lt;40%,M50&gt;=0%),"&gt;0%"),""))</f>
        <v>&gt;70%</v>
      </c>
      <c r="O50" s="55" t="str">
        <f>IFERROR(VLOOKUP(DATA_FEBRERO_2026[[#This Row],[ASER_]],$B:$G,4,0),"")</f>
        <v>GUSTAVO</v>
      </c>
      <c r="P50" s="6">
        <f>SUM(DATA_FEBRERO_2026[[#This Row],[1]:[31]])</f>
        <v>17290</v>
      </c>
      <c r="Q50" s="6">
        <f>VLOOKUP(DATA_FEBRERO_2026[[#This Row],[ASER_]],D1_FEBRERO_2026[[ASESOR_CRR]:[META]],2,0)</f>
        <v>23500</v>
      </c>
      <c r="R50" t="s">
        <v>55</v>
      </c>
      <c r="T50">
        <v>310</v>
      </c>
      <c r="U50">
        <v>250</v>
      </c>
      <c r="V50">
        <v>4420</v>
      </c>
      <c r="W50">
        <v>300</v>
      </c>
      <c r="Z50">
        <v>280</v>
      </c>
      <c r="AC50">
        <v>120</v>
      </c>
      <c r="AD50">
        <v>1385</v>
      </c>
      <c r="AJ50">
        <v>200</v>
      </c>
      <c r="AK50">
        <v>200</v>
      </c>
      <c r="AM50">
        <v>195</v>
      </c>
      <c r="AO50">
        <v>4200</v>
      </c>
      <c r="AQ50">
        <v>1000</v>
      </c>
      <c r="AS50">
        <v>930</v>
      </c>
      <c r="AT50">
        <v>3500</v>
      </c>
      <c r="AX50" t="str" cm="1">
        <f t="array" ref="AX50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1" spans="1:50" x14ac:dyDescent="0.25">
      <c r="A51" s="35" t="str">
        <f>D1_FEBRERO_2026[[#This Row],[SUPER2]]</f>
        <v>KENNETH</v>
      </c>
      <c r="B51" s="34" t="str" cm="1">
        <f t="array" ref="B51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NOEMI CHUQUILIN</v>
      </c>
      <c r="C51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90000</v>
      </c>
      <c r="D51" s="35">
        <f>IF(D1_FEBRERO_2026[[#This Row],[RECUPERO]]="VACACIONES","VACACIONES",IFERROR(D1_FEBRERO_2026[[#This Row],[RECUPERO]]/D1_FEBRERO_2026[[#This Row],[META]],""))</f>
        <v>1.2969843333333335</v>
      </c>
      <c r="E51" s="35" t="s">
        <v>6</v>
      </c>
      <c r="F51" t="s">
        <v>97</v>
      </c>
      <c r="G51" s="3">
        <v>116728.59000000001</v>
      </c>
      <c r="H51" t="s">
        <v>485</v>
      </c>
      <c r="I51" s="56">
        <v>45884</v>
      </c>
      <c r="J51" s="56" t="s">
        <v>501</v>
      </c>
      <c r="K51" s="56"/>
      <c r="L51" s="56"/>
      <c r="M51" s="5">
        <f>DATA_FEBRERO_2026[[#This Row],[RECUPERO]]/DATA_FEBRERO_2026[[#This Row],[META]]</f>
        <v>3.5717857142857143</v>
      </c>
      <c r="N51" s="54" t="str" cm="1">
        <f t="array" ref="N51">IF(DATA_FEBRERO_2026[[#This Row],[ASER_]]="","",IFERROR(_xlfn.IFS(M51&gt;=100%,"&gt;100%",AND(M51&lt;100%,M51&gt;=70%),"&gt;70%",AND(M51&lt;70%,M51&gt;=40%),"&gt;40%",AND(M51&lt;40%,M51&gt;=0%),"&gt;0%"),""))</f>
        <v>&gt;100%</v>
      </c>
      <c r="O51" s="55" t="str">
        <f>IFERROR(VLOOKUP(DATA_FEBRERO_2026[[#This Row],[ASER_]],$B:$G,4,0),"")</f>
        <v>JORGE</v>
      </c>
      <c r="P51" s="6">
        <f>SUM(DATA_FEBRERO_2026[[#This Row],[1]:[31]])</f>
        <v>100010</v>
      </c>
      <c r="Q51" s="6">
        <f>VLOOKUP(DATA_FEBRERO_2026[[#This Row],[ASER_]],D1_FEBRERO_2026[[ASESOR_CRR]:[META]],2,0)</f>
        <v>28000</v>
      </c>
      <c r="R51" t="s">
        <v>79</v>
      </c>
      <c r="T51">
        <v>1520</v>
      </c>
      <c r="V51">
        <v>1000</v>
      </c>
      <c r="W51">
        <v>4500</v>
      </c>
      <c r="X51">
        <v>13000</v>
      </c>
      <c r="AD51">
        <v>1000</v>
      </c>
      <c r="AE51">
        <v>24000</v>
      </c>
      <c r="AH51">
        <v>4000</v>
      </c>
      <c r="AJ51">
        <v>1000</v>
      </c>
      <c r="AL51">
        <v>1000</v>
      </c>
      <c r="AP51">
        <v>7970</v>
      </c>
      <c r="AQ51">
        <v>14000</v>
      </c>
      <c r="AR51">
        <v>19220</v>
      </c>
      <c r="AS51">
        <v>6200</v>
      </c>
      <c r="AT51">
        <v>1600</v>
      </c>
      <c r="AX51" t="str" cm="1">
        <f t="array" ref="AX51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52" spans="1:50" x14ac:dyDescent="0.25">
      <c r="A52" s="35" t="str">
        <f>D1_FEBRERO_2026[[#This Row],[SUPER2]]</f>
        <v>JOHAN</v>
      </c>
      <c r="B52" s="34" t="str" cm="1">
        <f t="array" ref="B52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PIERINA TESEN</v>
      </c>
      <c r="C52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50000</v>
      </c>
      <c r="D52" s="35">
        <f>IF(D1_FEBRERO_2026[[#This Row],[RECUPERO]]="VACACIONES","VACACIONES",IFERROR(D1_FEBRERO_2026[[#This Row],[RECUPERO]]/D1_FEBRERO_2026[[#This Row],[META]],""))</f>
        <v>2.0816599999999998</v>
      </c>
      <c r="E52" s="35" t="s">
        <v>125</v>
      </c>
      <c r="F52" t="s">
        <v>59</v>
      </c>
      <c r="G52" s="3">
        <v>104083</v>
      </c>
      <c r="H52" t="s">
        <v>430</v>
      </c>
      <c r="I52" s="56">
        <v>45344</v>
      </c>
      <c r="J52" s="56" t="s">
        <v>501</v>
      </c>
      <c r="K52" s="56"/>
      <c r="L52" s="56"/>
      <c r="M52" s="5">
        <f>DATA_FEBRERO_2026[[#This Row],[RECUPERO]]/DATA_FEBRERO_2026[[#This Row],[META]]</f>
        <v>1.2969843333333335</v>
      </c>
      <c r="N52" s="54" t="str" cm="1">
        <f t="array" ref="N52">IF(DATA_FEBRERO_2026[[#This Row],[ASER_]]="","",IFERROR(_xlfn.IFS(M52&gt;=100%,"&gt;100%",AND(M52&lt;100%,M52&gt;=70%),"&gt;70%",AND(M52&lt;70%,M52&gt;=40%),"&gt;40%",AND(M52&lt;40%,M52&gt;=0%),"&gt;0%"),""))</f>
        <v>&gt;100%</v>
      </c>
      <c r="O52" s="55" t="str">
        <f>IFERROR(VLOOKUP(DATA_FEBRERO_2026[[#This Row],[ASER_]],$B:$G,4,0),"")</f>
        <v>KENNETH</v>
      </c>
      <c r="P52" s="6">
        <f>SUM(DATA_FEBRERO_2026[[#This Row],[1]:[31]])</f>
        <v>116728.59000000001</v>
      </c>
      <c r="Q52" s="6">
        <f>VLOOKUP(DATA_FEBRERO_2026[[#This Row],[ASER_]],D1_FEBRERO_2026[[ASESOR_CRR]:[META]],2,0)</f>
        <v>90000</v>
      </c>
      <c r="R52" t="s">
        <v>97</v>
      </c>
      <c r="T52" s="5">
        <v>959</v>
      </c>
      <c r="U52">
        <v>815</v>
      </c>
      <c r="V52">
        <v>920.08999999999992</v>
      </c>
      <c r="W52">
        <v>332.98</v>
      </c>
      <c r="Y52" s="5"/>
      <c r="AA52">
        <v>5700</v>
      </c>
      <c r="AB52">
        <v>15035</v>
      </c>
      <c r="AC52">
        <v>13540</v>
      </c>
      <c r="AD52">
        <v>4968</v>
      </c>
      <c r="AE52">
        <v>3360</v>
      </c>
      <c r="AF52">
        <v>8700</v>
      </c>
      <c r="AH52">
        <v>7000</v>
      </c>
      <c r="AI52">
        <v>3700</v>
      </c>
      <c r="AJ52">
        <v>3500</v>
      </c>
      <c r="AK52">
        <v>9330</v>
      </c>
      <c r="AL52">
        <v>1368.52</v>
      </c>
      <c r="AN52" s="5"/>
      <c r="AO52">
        <v>2000</v>
      </c>
      <c r="AP52">
        <v>4000</v>
      </c>
      <c r="AQ52">
        <v>500</v>
      </c>
      <c r="AS52">
        <v>18500</v>
      </c>
      <c r="AT52">
        <v>12500</v>
      </c>
      <c r="AX52" t="str" cm="1">
        <f t="array" ref="AX52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3" spans="1:50" x14ac:dyDescent="0.25">
      <c r="A53" s="35" t="str">
        <f>D1_FEBRERO_2026[[#This Row],[SUPER2]]</f>
        <v>GUSTAVO</v>
      </c>
      <c r="B53" s="34" t="str" cm="1">
        <f t="array" ref="B53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SARITA GARAY</v>
      </c>
      <c r="C53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53" s="35">
        <f>IF(D1_FEBRERO_2026[[#This Row],[RECUPERO]]="VACACIONES","VACACIONES",IFERROR(D1_FEBRERO_2026[[#This Row],[RECUPERO]]/D1_FEBRERO_2026[[#This Row],[META]],""))</f>
        <v>1.1970212765957446</v>
      </c>
      <c r="E53" s="35" t="s">
        <v>124</v>
      </c>
      <c r="F53" t="s">
        <v>73</v>
      </c>
      <c r="G53" s="3">
        <v>28130</v>
      </c>
      <c r="H53" t="s">
        <v>420</v>
      </c>
      <c r="I53" s="56">
        <v>45141</v>
      </c>
      <c r="J53" s="56" t="s">
        <v>501</v>
      </c>
      <c r="K53" s="56"/>
      <c r="L53" s="56"/>
      <c r="M53" s="5">
        <f>DATA_FEBRERO_2026[[#This Row],[RECUPERO]]/DATA_FEBRERO_2026[[#This Row],[META]]</f>
        <v>2.0816599999999998</v>
      </c>
      <c r="N53" s="54" t="str" cm="1">
        <f t="array" ref="N53">IF(DATA_FEBRERO_2026[[#This Row],[ASER_]]="","",IFERROR(_xlfn.IFS(M53&gt;=100%,"&gt;100%",AND(M53&lt;100%,M53&gt;=70%),"&gt;70%",AND(M53&lt;70%,M53&gt;=40%),"&gt;40%",AND(M53&lt;40%,M53&gt;=0%),"&gt;0%"),""))</f>
        <v>&gt;100%</v>
      </c>
      <c r="O53" s="55" t="str">
        <f>IFERROR(VLOOKUP(DATA_FEBRERO_2026[[#This Row],[ASER_]],$B:$G,4,0),"")</f>
        <v>JOHAN</v>
      </c>
      <c r="P53" s="6">
        <f>SUM(DATA_FEBRERO_2026[[#This Row],[1]:[31]])</f>
        <v>104083</v>
      </c>
      <c r="Q53" s="6">
        <f>VLOOKUP(DATA_FEBRERO_2026[[#This Row],[ASER_]],D1_FEBRERO_2026[[ASESOR_CRR]:[META]],2,0)</f>
        <v>50000</v>
      </c>
      <c r="R53" t="s">
        <v>59</v>
      </c>
      <c r="S53">
        <v>860</v>
      </c>
      <c r="U53">
        <v>13000</v>
      </c>
      <c r="V53">
        <v>9000</v>
      </c>
      <c r="W53">
        <v>1500</v>
      </c>
      <c r="X53">
        <v>18800</v>
      </c>
      <c r="AA53">
        <v>19500</v>
      </c>
      <c r="AB53">
        <v>2800</v>
      </c>
      <c r="AC53">
        <v>2000</v>
      </c>
      <c r="AE53">
        <v>9350</v>
      </c>
      <c r="AH53">
        <v>2500</v>
      </c>
      <c r="AI53">
        <v>1000</v>
      </c>
      <c r="AJ53">
        <v>4500</v>
      </c>
      <c r="AK53">
        <v>3500</v>
      </c>
      <c r="AO53">
        <v>6000</v>
      </c>
      <c r="AP53">
        <v>340</v>
      </c>
      <c r="AR53">
        <v>2061</v>
      </c>
      <c r="AS53">
        <v>6230</v>
      </c>
      <c r="AT53">
        <v>1142</v>
      </c>
      <c r="AX53" t="str" cm="1">
        <f t="array" ref="AX53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4" spans="1:50" x14ac:dyDescent="0.25">
      <c r="A54" s="35" t="str">
        <f>D1_FEBRERO_2026[[#This Row],[SUPER2]]</f>
        <v>KENNETH</v>
      </c>
      <c r="B54" s="34" t="str" cm="1">
        <f t="array" ref="B54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STWUAR MACURI</v>
      </c>
      <c r="C54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26500</v>
      </c>
      <c r="D54" s="35">
        <f>IF(D1_FEBRERO_2026[[#This Row],[RECUPERO]]="VACACIONES","VACACIONES",IFERROR(D1_FEBRERO_2026[[#This Row],[RECUPERO]]/D1_FEBRERO_2026[[#This Row],[META]],""))</f>
        <v>2.0901132075471698</v>
      </c>
      <c r="E54" s="35" t="s">
        <v>6</v>
      </c>
      <c r="F54" t="s">
        <v>34</v>
      </c>
      <c r="G54" s="3">
        <v>55388</v>
      </c>
      <c r="H54" t="s">
        <v>407</v>
      </c>
      <c r="I54" s="56">
        <v>45173</v>
      </c>
      <c r="J54" s="56" t="s">
        <v>501</v>
      </c>
      <c r="K54" s="56"/>
      <c r="M54" s="5">
        <f>DATA_FEBRERO_2026[[#This Row],[RECUPERO]]/DATA_FEBRERO_2026[[#This Row],[META]]</f>
        <v>1.1970212765957446</v>
      </c>
      <c r="N54" s="54" t="str" cm="1">
        <f t="array" ref="N54">IF(DATA_FEBRERO_2026[[#This Row],[ASER_]]="","",IFERROR(_xlfn.IFS(M54&gt;=100%,"&gt;100%",AND(M54&lt;100%,M54&gt;=70%),"&gt;70%",AND(M54&lt;70%,M54&gt;=40%),"&gt;40%",AND(M54&lt;40%,M54&gt;=0%),"&gt;0%"),""))</f>
        <v>&gt;100%</v>
      </c>
      <c r="O54" s="55" t="str">
        <f>IFERROR(VLOOKUP(DATA_FEBRERO_2026[[#This Row],[ASER_]],$B:$G,4,0),"")</f>
        <v>GUSTAVO</v>
      </c>
      <c r="P54" s="6">
        <f>SUM(DATA_FEBRERO_2026[[#This Row],[1]:[31]])</f>
        <v>28130</v>
      </c>
      <c r="Q54" s="6">
        <f>VLOOKUP(DATA_FEBRERO_2026[[#This Row],[ASER_]],D1_FEBRERO_2026[[ASESOR_CRR]:[META]],2,0)</f>
        <v>23500</v>
      </c>
      <c r="R54" t="s">
        <v>73</v>
      </c>
      <c r="T54">
        <v>900</v>
      </c>
      <c r="W54">
        <v>600</v>
      </c>
      <c r="X54" s="5">
        <v>1000</v>
      </c>
      <c r="Y54" s="6">
        <v>250</v>
      </c>
      <c r="Z54" s="6"/>
      <c r="AA54" s="6"/>
      <c r="AB54" s="6">
        <v>1500</v>
      </c>
      <c r="AC54" s="6"/>
      <c r="AD54" s="6">
        <v>1700</v>
      </c>
      <c r="AE54" s="6"/>
      <c r="AF54" s="6"/>
      <c r="AG54" s="6"/>
      <c r="AH54" s="6">
        <v>2000</v>
      </c>
      <c r="AI54" s="6"/>
      <c r="AJ54" s="6">
        <v>1000</v>
      </c>
      <c r="AK54" s="6"/>
      <c r="AL54" s="6"/>
      <c r="AM54" s="6"/>
      <c r="AN54" s="6"/>
      <c r="AO54" s="6">
        <v>2200</v>
      </c>
      <c r="AP54" s="6"/>
      <c r="AQ54" s="6">
        <v>11500</v>
      </c>
      <c r="AR54" s="6">
        <v>300</v>
      </c>
      <c r="AS54" s="6">
        <v>4450</v>
      </c>
      <c r="AT54" s="6">
        <v>730</v>
      </c>
      <c r="AU54" s="6"/>
      <c r="AV54" s="6"/>
      <c r="AW54" s="6"/>
      <c r="AX54" t="str" cm="1">
        <f t="array" ref="AX54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5" spans="1:50" x14ac:dyDescent="0.25">
      <c r="A55" s="35" t="str">
        <f>D1_FEBRERO_2026[[#This Row],[SUPER2]]</f>
        <v>KENNETH</v>
      </c>
      <c r="B55" s="34" t="str" cm="1">
        <f t="array" ref="B55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URSULA CENTENO</v>
      </c>
      <c r="C55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90000</v>
      </c>
      <c r="D55" s="35">
        <f>IF(D1_FEBRERO_2026[[#This Row],[RECUPERO]]="VACACIONES","VACACIONES",IFERROR(D1_FEBRERO_2026[[#This Row],[RECUPERO]]/D1_FEBRERO_2026[[#This Row],[META]],""))</f>
        <v>0.95699999999999996</v>
      </c>
      <c r="E55" s="35" t="s">
        <v>6</v>
      </c>
      <c r="F55" t="s">
        <v>78</v>
      </c>
      <c r="G55" s="3">
        <v>86130</v>
      </c>
      <c r="H55" t="s">
        <v>397</v>
      </c>
      <c r="I55" s="56">
        <v>44943</v>
      </c>
      <c r="J55" s="56" t="s">
        <v>501</v>
      </c>
      <c r="K55" s="56"/>
      <c r="M55" s="5">
        <f>DATA_FEBRERO_2026[[#This Row],[RECUPERO]]/DATA_FEBRERO_2026[[#This Row],[META]]</f>
        <v>2.0901132075471698</v>
      </c>
      <c r="N55" s="54" t="str" cm="1">
        <f t="array" ref="N55">IF(DATA_FEBRERO_2026[[#This Row],[ASER_]]="","",IFERROR(_xlfn.IFS(M55&gt;=100%,"&gt;100%",AND(M55&lt;100%,M55&gt;=70%),"&gt;70%",AND(M55&lt;70%,M55&gt;=40%),"&gt;40%",AND(M55&lt;40%,M55&gt;=0%),"&gt;0%"),""))</f>
        <v>&gt;100%</v>
      </c>
      <c r="O55" s="55" t="str">
        <f>IFERROR(VLOOKUP(DATA_FEBRERO_2026[[#This Row],[ASER_]],$B:$G,4,0),"")</f>
        <v>KENNETH</v>
      </c>
      <c r="P55" s="6">
        <f>SUM(DATA_FEBRERO_2026[[#This Row],[1]:[31]])</f>
        <v>55388</v>
      </c>
      <c r="Q55" s="6">
        <f>VLOOKUP(DATA_FEBRERO_2026[[#This Row],[ASER_]],D1_FEBRERO_2026[[ASESOR_CRR]:[META]],2,0)</f>
        <v>26500</v>
      </c>
      <c r="R55" t="s">
        <v>34</v>
      </c>
      <c r="U55">
        <v>500</v>
      </c>
      <c r="W55">
        <v>7550</v>
      </c>
      <c r="X55" s="5">
        <v>3510</v>
      </c>
      <c r="Y55" s="6"/>
      <c r="Z55" s="6"/>
      <c r="AA55" s="6">
        <v>6050</v>
      </c>
      <c r="AB55" s="6"/>
      <c r="AC55" s="6"/>
      <c r="AD55" s="6"/>
      <c r="AE55" s="6">
        <v>500</v>
      </c>
      <c r="AF55" s="6">
        <v>2575</v>
      </c>
      <c r="AG55" s="6"/>
      <c r="AH55" s="6">
        <v>3000</v>
      </c>
      <c r="AI55" s="6"/>
      <c r="AJ55" s="6"/>
      <c r="AK55" s="6">
        <v>650</v>
      </c>
      <c r="AL55" s="6">
        <v>9000</v>
      </c>
      <c r="AM55" s="6"/>
      <c r="AN55" s="6"/>
      <c r="AO55" s="6">
        <v>10000</v>
      </c>
      <c r="AP55" s="6"/>
      <c r="AQ55" s="6">
        <v>6850</v>
      </c>
      <c r="AR55" s="6">
        <v>213</v>
      </c>
      <c r="AS55" s="6">
        <v>3890</v>
      </c>
      <c r="AT55" s="6">
        <v>1100</v>
      </c>
      <c r="AU55" s="6"/>
      <c r="AV55" s="6"/>
      <c r="AW55" s="6"/>
      <c r="AX55" t="str" cm="1">
        <f t="array" ref="AX55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56" spans="1:50" x14ac:dyDescent="0.25">
      <c r="A56" s="35" t="str">
        <f>D1_FEBRERO_2026[[#This Row],[SUPER2]]</f>
        <v>GUSTAVO</v>
      </c>
      <c r="B56" s="34" t="str" cm="1">
        <f t="array" ref="B56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VERONICA HUARCA</v>
      </c>
      <c r="C56" s="36">
        <f>IF(OR(D1_FEBRERO_2026[[#This Row],[ASESOR_CRR]]="URSULA CENTENO",D1_FEBRERO_2026[[#This Row],[ASESOR_CRR]]="JIMENA MEDINA",D1_FEBRERO_2026[[#This Row],[ASESOR_CRR]]="NOEMI CHUQUILIN",D1_FEBRERO_2026[[#This Row],[ASESOR_CRR]]="JUAN LOZA"),90000,IF(D1_FEBRERO_2026[[#This Row],[RECUPERO]]="","",VLOOKUP($M$3&amp;$N$3&amp;D1_FEBRERO_2026[[#This Row],[SUPER]],TablaMeta[],6,0)))</f>
        <v>23500</v>
      </c>
      <c r="D56" s="35">
        <f>IF(D1_FEBRERO_2026[[#This Row],[RECUPERO]]="VACACIONES","VACACIONES",IFERROR(D1_FEBRERO_2026[[#This Row],[RECUPERO]]/D1_FEBRERO_2026[[#This Row],[META]],""))</f>
        <v>1.1959574468085106</v>
      </c>
      <c r="E56" s="35" t="s">
        <v>124</v>
      </c>
      <c r="F56" t="s">
        <v>48</v>
      </c>
      <c r="G56" s="3">
        <v>28105</v>
      </c>
      <c r="H56" t="s">
        <v>421</v>
      </c>
      <c r="I56" s="56">
        <v>44746</v>
      </c>
      <c r="J56" s="56" t="s">
        <v>501</v>
      </c>
      <c r="K56" s="56"/>
      <c r="M56" s="5">
        <f>DATA_FEBRERO_2026[[#This Row],[RECUPERO]]/DATA_FEBRERO_2026[[#This Row],[META]]</f>
        <v>0.95699999999999996</v>
      </c>
      <c r="N56" s="54" t="str" cm="1">
        <f t="array" ref="N56">IF(DATA_FEBRERO_2026[[#This Row],[ASER_]]="","",IFERROR(_xlfn.IFS(M56&gt;=100%,"&gt;100%",AND(M56&lt;100%,M56&gt;=70%),"&gt;70%",AND(M56&lt;70%,M56&gt;=40%),"&gt;40%",AND(M56&lt;40%,M56&gt;=0%),"&gt;0%"),""))</f>
        <v>&gt;70%</v>
      </c>
      <c r="O56" s="55" t="str">
        <f>IFERROR(VLOOKUP(DATA_FEBRERO_2026[[#This Row],[ASER_]],$B:$G,4,0),"")</f>
        <v>KENNETH</v>
      </c>
      <c r="P56" s="6">
        <f>SUM(DATA_FEBRERO_2026[[#This Row],[1]:[31]])</f>
        <v>86130</v>
      </c>
      <c r="Q56" s="6">
        <f>VLOOKUP(DATA_FEBRERO_2026[[#This Row],[ASER_]],D1_FEBRERO_2026[[ASESOR_CRR]:[META]],2,0)</f>
        <v>90000</v>
      </c>
      <c r="R56" t="s">
        <v>78</v>
      </c>
      <c r="U56">
        <v>10030</v>
      </c>
      <c r="V56">
        <v>600</v>
      </c>
      <c r="W56">
        <v>1803</v>
      </c>
      <c r="X56" s="5">
        <v>5100</v>
      </c>
      <c r="Y56" s="6"/>
      <c r="Z56" s="6"/>
      <c r="AA56" s="6">
        <v>460</v>
      </c>
      <c r="AB56" s="6">
        <v>1740</v>
      </c>
      <c r="AC56" s="6">
        <v>2967</v>
      </c>
      <c r="AD56" s="6">
        <v>2220</v>
      </c>
      <c r="AE56" s="6">
        <v>7500</v>
      </c>
      <c r="AF56" s="6"/>
      <c r="AG56" s="6"/>
      <c r="AH56" s="6">
        <v>3800</v>
      </c>
      <c r="AI56" s="6"/>
      <c r="AJ56" s="6">
        <v>920</v>
      </c>
      <c r="AK56" s="6">
        <v>3300</v>
      </c>
      <c r="AL56" s="6">
        <v>2405</v>
      </c>
      <c r="AM56" s="6"/>
      <c r="AN56" s="6"/>
      <c r="AO56" s="6">
        <v>10200</v>
      </c>
      <c r="AP56" s="6">
        <v>100</v>
      </c>
      <c r="AQ56" s="6">
        <v>310</v>
      </c>
      <c r="AR56" s="6">
        <v>555</v>
      </c>
      <c r="AS56" s="6">
        <v>32120</v>
      </c>
      <c r="AT56" s="6"/>
      <c r="AU56" s="6"/>
      <c r="AV56" s="6"/>
      <c r="AW56" s="6"/>
      <c r="AX56" t="str" cm="1">
        <f t="array" ref="AX56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7" spans="1:50" x14ac:dyDescent="0.25">
      <c r="A57" s="35" t="str">
        <f>D1_FEBRERO_2026[[#This Row],[SUPER2]]</f>
        <v>JOHAN</v>
      </c>
      <c r="B57" s="34" t="str" cm="1">
        <f t="array" ref="B57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VERONICA TASAYCO</v>
      </c>
      <c r="C57" s="36">
        <f>IF(D1_FEBRERO_2026[[#This Row],[RECUPERO]]="","",VLOOKUP($M$3&amp;$N$3&amp;D1_FEBRERO_2026[[#This Row],[SUPER]],TablaMeta[],6,0))</f>
        <v>50000</v>
      </c>
      <c r="D57" s="35">
        <f>IF(D1_FEBRERO_2026[[#This Row],[RECUPERO]]="VACACIONES","VACACIONES",IFERROR(D1_FEBRERO_2026[[#This Row],[RECUPERO]]/D1_FEBRERO_2026[[#This Row],[META]],""))</f>
        <v>0.96316000000000002</v>
      </c>
      <c r="E57" s="35" t="s">
        <v>125</v>
      </c>
      <c r="F57" t="s">
        <v>10</v>
      </c>
      <c r="G57" s="3">
        <v>48158</v>
      </c>
      <c r="H57" t="s">
        <v>449</v>
      </c>
      <c r="I57" s="56">
        <v>44704</v>
      </c>
      <c r="J57" s="56" t="s">
        <v>501</v>
      </c>
      <c r="M57" s="5">
        <f>DATA_FEBRERO_2026[[#This Row],[RECUPERO]]/DATA_FEBRERO_2026[[#This Row],[META]]</f>
        <v>1.1959574468085106</v>
      </c>
      <c r="N57" s="54" t="str" cm="1">
        <f t="array" ref="N57">IF(DATA_FEBRERO_2026[[#This Row],[ASER_]]="","",IFERROR(_xlfn.IFS(M57&gt;=100%,"&gt;100%",AND(M57&lt;100%,M57&gt;=70%),"&gt;70%",AND(M57&lt;70%,M57&gt;=40%),"&gt;40%",AND(M57&lt;40%,M57&gt;=0%),"&gt;0%"),""))</f>
        <v>&gt;100%</v>
      </c>
      <c r="O57" s="55" t="str">
        <f>IFERROR(VLOOKUP(DATA_FEBRERO_2026[[#This Row],[ASER_]],$B:$G,4,0),"")</f>
        <v>GUSTAVO</v>
      </c>
      <c r="P57" s="6">
        <f>SUM(DATA_FEBRERO_2026[[#This Row],[1]:[31]])</f>
        <v>28105</v>
      </c>
      <c r="Q57" s="6">
        <f>VLOOKUP(DATA_FEBRERO_2026[[#This Row],[ASER_]],D1_FEBRERO_2026[[ASESOR_CRR]:[META]],2,0)</f>
        <v>23500</v>
      </c>
      <c r="R57" t="s">
        <v>48</v>
      </c>
      <c r="T57">
        <v>300</v>
      </c>
      <c r="X57" s="5">
        <v>600</v>
      </c>
      <c r="Y57" s="6"/>
      <c r="Z57" s="6"/>
      <c r="AA57" s="6"/>
      <c r="AB57" s="6"/>
      <c r="AC57" s="6">
        <v>4160</v>
      </c>
      <c r="AD57" s="6"/>
      <c r="AE57" s="6">
        <v>3000</v>
      </c>
      <c r="AF57" s="6">
        <v>3000</v>
      </c>
      <c r="AG57" s="6"/>
      <c r="AH57" s="6">
        <v>2000</v>
      </c>
      <c r="AI57" s="6">
        <v>300</v>
      </c>
      <c r="AJ57" s="6">
        <v>4660</v>
      </c>
      <c r="AK57" s="6"/>
      <c r="AL57" s="6"/>
      <c r="AM57" s="6"/>
      <c r="AN57" s="6"/>
      <c r="AO57" s="6">
        <v>3500</v>
      </c>
      <c r="AP57" s="6"/>
      <c r="AQ57" s="6"/>
      <c r="AR57" s="6">
        <v>585</v>
      </c>
      <c r="AS57" s="6">
        <v>4500</v>
      </c>
      <c r="AT57" s="6">
        <v>1500</v>
      </c>
      <c r="AU57" s="6"/>
      <c r="AV57" s="6"/>
      <c r="AW57" s="6"/>
      <c r="AX57" t="str" cm="1">
        <f t="array" ref="AX57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</v>
      </c>
    </row>
    <row r="58" spans="1:50" x14ac:dyDescent="0.25">
      <c r="A58" s="35" t="str">
        <f>D1_FEBRERO_2026[[#This Row],[SUPER2]]</f>
        <v>JORGE</v>
      </c>
      <c r="B58" s="34" t="str" cm="1">
        <f t="array" ref="B58">TRIM(IFERROR(_xlfn.IFS(D1_FEBRERO_2026[[#This Row],[ASESOR]]="ELVIS GUERRA","ELVIS GUERRERA",D1_FEBRERO_2026[[#This Row],[ASESOR]]="GENESIS VICUÑA","GENESIS VICUNA",D1_FEBRERO_2026[[#This Row],[ASESOR]]="GINA HUMANI","GINA HUAMANI"),D1_FEBRERO_2026[[#This Row],[ASESOR]]))</f>
        <v>VICTOR RAMIREZ</v>
      </c>
      <c r="C58" s="36">
        <f>IF(D1_FEBRERO_2026[[#This Row],[RECUPERO]]="","",VLOOKUP($M$3&amp;$N$3&amp;D1_FEBRERO_2026[[#This Row],[SUPER]],TablaMeta[],6,0))</f>
        <v>28000</v>
      </c>
      <c r="D58" s="35">
        <f>IF(D1_FEBRERO_2026[[#This Row],[RECUPERO]]="VACACIONES","VACACIONES",IFERROR(D1_FEBRERO_2026[[#This Row],[RECUPERO]]/D1_FEBRERO_2026[[#This Row],[META]],""))</f>
        <v>0.82267857142857148</v>
      </c>
      <c r="E58" s="35" t="s">
        <v>2</v>
      </c>
      <c r="F58" t="s">
        <v>76</v>
      </c>
      <c r="G58" s="3">
        <v>23035</v>
      </c>
      <c r="H58" t="s">
        <v>408</v>
      </c>
      <c r="I58" s="56">
        <v>44817</v>
      </c>
      <c r="J58" s="56" t="s">
        <v>501</v>
      </c>
      <c r="M58" s="5">
        <f>DATA_FEBRERO_2026[[#This Row],[RECUPERO]]/DATA_FEBRERO_2026[[#This Row],[META]]</f>
        <v>0.96316000000000002</v>
      </c>
      <c r="N58" s="54" t="str" cm="1">
        <f t="array" ref="N58">IF(DATA_FEBRERO_2026[[#This Row],[ASER_]]="","",IFERROR(_xlfn.IFS(M58&gt;=100%,"&gt;100%",AND(M58&lt;100%,M58&gt;=70%),"&gt;70%",AND(M58&lt;70%,M58&gt;=40%),"&gt;40%",AND(M58&lt;40%,M58&gt;=0%),"&gt;0%"),""))</f>
        <v>&gt;70%</v>
      </c>
      <c r="O58" s="55" t="str">
        <f>IFERROR(VLOOKUP(DATA_FEBRERO_2026[[#This Row],[ASER_]],$B:$G,4,0),"")</f>
        <v>JOHAN</v>
      </c>
      <c r="P58" s="6">
        <f>SUM(DATA_FEBRERO_2026[[#This Row],[1]:[31]])</f>
        <v>48158</v>
      </c>
      <c r="Q58" s="6">
        <f>VLOOKUP(DATA_FEBRERO_2026[[#This Row],[ASER_]],D1_FEBRERO_2026[[ASESOR_CRR]:[META]],2,0)</f>
        <v>50000</v>
      </c>
      <c r="R58" t="s">
        <v>10</v>
      </c>
      <c r="T58">
        <v>500</v>
      </c>
      <c r="V58">
        <v>3000</v>
      </c>
      <c r="W58">
        <v>1210</v>
      </c>
      <c r="X58" s="5">
        <v>100</v>
      </c>
      <c r="Y58" s="6"/>
      <c r="Z58" s="6"/>
      <c r="AA58" s="6"/>
      <c r="AB58" s="6"/>
      <c r="AC58" s="6"/>
      <c r="AD58" s="6">
        <v>1900</v>
      </c>
      <c r="AE58" s="6"/>
      <c r="AF58" s="6"/>
      <c r="AG58" s="6"/>
      <c r="AH58" s="6">
        <v>3000</v>
      </c>
      <c r="AI58" s="6">
        <v>360</v>
      </c>
      <c r="AJ58" s="6">
        <v>6200</v>
      </c>
      <c r="AK58" s="6"/>
      <c r="AL58" s="6">
        <v>1000</v>
      </c>
      <c r="AM58" s="6"/>
      <c r="AN58" s="6"/>
      <c r="AO58" s="6">
        <v>1500</v>
      </c>
      <c r="AP58" s="6">
        <v>6688</v>
      </c>
      <c r="AQ58" s="6">
        <v>200</v>
      </c>
      <c r="AR58" s="6">
        <v>16900</v>
      </c>
      <c r="AS58" s="6">
        <v>600</v>
      </c>
      <c r="AT58" s="6">
        <v>5000</v>
      </c>
      <c r="AU58" s="6"/>
      <c r="AV58" s="6"/>
      <c r="AW58" s="6"/>
      <c r="AX58" t="str" cm="1">
        <f t="array" ref="AX58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9" spans="1:50" x14ac:dyDescent="0.25">
      <c r="A59" s="34"/>
      <c r="B59" s="34"/>
      <c r="C59" s="35"/>
      <c r="D59" s="35"/>
      <c r="E59" s="35"/>
      <c r="M59" s="5">
        <f>DATA_FEBRERO_2026[[#This Row],[RECUPERO]]/DATA_FEBRERO_2026[[#This Row],[META]]</f>
        <v>0.82267857142857148</v>
      </c>
      <c r="N59" s="54" t="str" cm="1">
        <f t="array" ref="N59">IF(DATA_FEBRERO_2026[[#This Row],[ASER_]]="","",IFERROR(_xlfn.IFS(M59&gt;=100%,"&gt;100%",AND(M59&lt;100%,M59&gt;=70%),"&gt;70%",AND(M59&lt;70%,M59&gt;=40%),"&gt;40%",AND(M59&lt;40%,M59&gt;=0%),"&gt;0%"),""))</f>
        <v>&gt;70%</v>
      </c>
      <c r="O59" s="55" t="str">
        <f>IFERROR(VLOOKUP(DATA_FEBRERO_2026[[#This Row],[ASER_]],$B:$G,4,0),"")</f>
        <v>JORGE</v>
      </c>
      <c r="P59" s="6">
        <f>SUM(DATA_FEBRERO_2026[[#This Row],[1]:[31]])</f>
        <v>23035</v>
      </c>
      <c r="Q59" s="6">
        <f>VLOOKUP(DATA_FEBRERO_2026[[#This Row],[ASER_]],D1_FEBRERO_2026[[ASESOR_CRR]:[META]],2,0)</f>
        <v>28000</v>
      </c>
      <c r="R59" t="s">
        <v>76</v>
      </c>
      <c r="T59">
        <v>4580</v>
      </c>
      <c r="U59">
        <v>4900</v>
      </c>
      <c r="X59" s="5"/>
      <c r="Y59" s="6"/>
      <c r="Z59" s="6"/>
      <c r="AA59" s="6"/>
      <c r="AB59" s="6"/>
      <c r="AC59" s="6"/>
      <c r="AD59" s="6"/>
      <c r="AE59" s="6"/>
      <c r="AF59" s="6"/>
      <c r="AG59" s="6"/>
      <c r="AH59" s="6">
        <v>1105</v>
      </c>
      <c r="AI59" s="6">
        <v>8000</v>
      </c>
      <c r="AJ59" s="6"/>
      <c r="AK59" s="6">
        <v>950</v>
      </c>
      <c r="AL59" s="6"/>
      <c r="AM59" s="6"/>
      <c r="AN59" s="6"/>
      <c r="AO59" s="6"/>
      <c r="AP59" s="6">
        <v>2000</v>
      </c>
      <c r="AQ59" s="6"/>
      <c r="AR59" s="6"/>
      <c r="AS59" s="6"/>
      <c r="AT59" s="6">
        <v>1500</v>
      </c>
      <c r="AU59" s="6"/>
      <c r="AV59" s="6"/>
      <c r="AW59" s="6"/>
      <c r="AX59" t="str" cm="1">
        <f t="array" ref="AX59">IFERROR(VLOOKUP(DATA_FEBRERO_2026[[#This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</sheetData>
  <conditionalFormatting sqref="E3:E58">
    <cfRule type="containsText" dxfId="11" priority="1" operator="containsText" text="kenneth">
      <formula>NOT(ISERROR(SEARCH("kenneth",E3)))</formula>
    </cfRule>
  </conditionalFormatting>
  <conditionalFormatting sqref="R9:R59">
    <cfRule type="duplicateValues" dxfId="1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16D4-2A75-4B1C-8124-02DCD2CF0CB7}">
  <dimension ref="A1:BQ61"/>
  <sheetViews>
    <sheetView topLeftCell="Z24" workbookViewId="0">
      <selection activeCell="AO10" sqref="AO10"/>
    </sheetView>
  </sheetViews>
  <sheetFormatPr baseColWidth="10" defaultRowHeight="15" x14ac:dyDescent="0.25"/>
  <sheetData>
    <row r="1" spans="1:69" x14ac:dyDescent="0.25">
      <c r="A1" s="34"/>
      <c r="B1" s="34"/>
      <c r="C1" s="35"/>
      <c r="D1" s="35"/>
      <c r="E1" s="35"/>
      <c r="J1" s="56"/>
      <c r="K1" s="56"/>
      <c r="L1" s="56"/>
      <c r="N1" s="5"/>
    </row>
    <row r="2" spans="1:69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69" ht="26.25" x14ac:dyDescent="0.4">
      <c r="A3" s="62" t="str" cm="1">
        <f t="array" ref="A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" s="62" t="str" cm="1">
        <f t="array" ref="B3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ALEJANDRA QUISPE</v>
      </c>
      <c r="C3" s="62" cm="1">
        <f t="array" ref="C3">_xlfn.XLOOKUP(1,(TablaMeta[CONCAT]=$M$3&amp;$N$3&amp;D1_MARZO_202655[[#This Row],[SUPER]])*(TablaMeta[SEGG]=D1_MARZO_202655[[#This Row],[SEGMENTO]]),TablaMeta[Meta_Asesor])</f>
        <v>35000</v>
      </c>
      <c r="D3" s="63"/>
      <c r="E3" s="63" t="str">
        <f>D1_MARZO_202655[[#This Row],[SUPER]]</f>
        <v>LEONOR</v>
      </c>
      <c r="F3" s="62" t="s">
        <v>58</v>
      </c>
      <c r="G3" s="62"/>
      <c r="H3" s="62" cm="1">
        <f t="array" ref="H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72519113</v>
      </c>
      <c r="I3" s="64" cm="1">
        <f t="array" ref="I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43119</v>
      </c>
      <c r="J3" s="64" t="str" cm="1">
        <f t="array" ref="J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3" s="64" t="str" cm="1">
        <f t="array" ref="K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3" s="56"/>
      <c r="M3" s="33">
        <v>2026</v>
      </c>
      <c r="N3" s="33" t="s">
        <v>141</v>
      </c>
      <c r="O3" s="33">
        <v>22</v>
      </c>
    </row>
    <row r="4" spans="1:69" x14ac:dyDescent="0.25">
      <c r="A4" s="62" t="str" cm="1">
        <f t="array" ref="A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4" s="62" t="str" cm="1">
        <f t="array" ref="B4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JENY LAZARO</v>
      </c>
      <c r="C4" s="62" cm="1">
        <f t="array" ref="C4">_xlfn.XLOOKUP(1,(TablaMeta[CONCAT]=$M$3&amp;$N$3&amp;D1_MARZO_202655[[#This Row],[SUPER]])*(TablaMeta[SEGG]=D1_MARZO_202655[[#This Row],[SEGMENTO]]),TablaMeta[Meta_Asesor])</f>
        <v>30500</v>
      </c>
      <c r="D4" s="63"/>
      <c r="E4" s="63" t="str">
        <f>D1_MARZO_202655[[#This Row],[SUPER]]</f>
        <v>KENNETH</v>
      </c>
      <c r="F4" s="62" t="s">
        <v>26</v>
      </c>
      <c r="G4" s="62"/>
      <c r="H4" s="62" cm="1">
        <f t="array" ref="H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41005089</v>
      </c>
      <c r="I4" s="64" cm="1">
        <f t="array" ref="I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44257</v>
      </c>
      <c r="J4" s="64" t="str" cm="1">
        <f t="array" ref="J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4" s="64" t="str" cm="1">
        <f t="array" ref="K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4" s="56"/>
      <c r="N4" s="5"/>
      <c r="S4" s="45"/>
    </row>
    <row r="5" spans="1:69" x14ac:dyDescent="0.25">
      <c r="A5" s="62" t="str" cm="1">
        <f t="array" ref="A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5" s="62" t="str" cm="1">
        <f t="array" ref="B5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VERONICA TASAYCO</v>
      </c>
      <c r="C5" s="62" cm="1">
        <f t="array" ref="C5">_xlfn.XLOOKUP(1,(TablaMeta[CONCAT]=$M$3&amp;$N$3&amp;D1_MARZO_202655[[#This Row],[SUPER]])*(TablaMeta[SEGG]=D1_MARZO_202655[[#This Row],[SEGMENTO]]),TablaMeta[Meta_Asesor])</f>
        <v>56000</v>
      </c>
      <c r="D5" s="63"/>
      <c r="E5" s="63" t="str">
        <f>D1_MARZO_202655[[#This Row],[SUPER]]</f>
        <v>JOHAN</v>
      </c>
      <c r="F5" s="62" t="s">
        <v>10</v>
      </c>
      <c r="G5" s="62"/>
      <c r="H5" s="62" cm="1">
        <f t="array" ref="H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40980108</v>
      </c>
      <c r="I5" s="64" cm="1">
        <f t="array" ref="I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44704</v>
      </c>
      <c r="J5" s="64" t="str" cm="1">
        <f t="array" ref="J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5" s="64" t="str" cm="1">
        <f t="array" ref="K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" s="56"/>
      <c r="N5" s="5"/>
      <c r="S5" s="45"/>
      <c r="BH5" s="45"/>
    </row>
    <row r="6" spans="1:69" x14ac:dyDescent="0.25">
      <c r="A6" s="66" t="str" cm="1">
        <f t="array" ref="A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6" s="66" t="str" cm="1">
        <f t="array" ref="B6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HAROLD FLORES</v>
      </c>
      <c r="C6" s="62" cm="1">
        <f t="array" ref="C6">_xlfn.XLOOKUP(1,(TablaMeta[CONCAT]=$M$3&amp;$N$3&amp;D1_MARZO_202655[[#This Row],[SUPER]])*(TablaMeta[SEGG]=D1_MARZO_202655[[#This Row],[SEGMENTO]]),TablaMeta[Meta_Asesor])</f>
        <v>56000</v>
      </c>
      <c r="D6" s="63"/>
      <c r="E6" s="67" t="str">
        <f>D1_MARZO_202655[[#This Row],[SUPER]]</f>
        <v>JORGE</v>
      </c>
      <c r="F6" s="66" t="s">
        <v>42</v>
      </c>
      <c r="G6" s="73"/>
      <c r="H6" s="66" cm="1">
        <f t="array" ref="H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73725129</v>
      </c>
      <c r="I6" s="68" cm="1">
        <f t="array" ref="I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45398</v>
      </c>
      <c r="J6" s="68" t="str" cm="1">
        <f t="array" ref="J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6" s="68" t="str" cm="1">
        <f t="array" ref="K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6" s="56"/>
      <c r="N6" s="5"/>
      <c r="S6" s="45"/>
    </row>
    <row r="7" spans="1:69" x14ac:dyDescent="0.25">
      <c r="A7" s="34" t="str" cm="1">
        <f t="array" ref="A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7" s="34" t="str" cm="1">
        <f t="array" ref="B7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NOEMI CHUQUILIN</v>
      </c>
      <c r="C7" s="34" cm="1">
        <f t="array" ref="C7">_xlfn.XLOOKUP(1,(TablaMeta[CONCAT]=$M$3&amp;$N$3&amp;D1_MARZO_202655[[#This Row],[SUPER]])*(TablaMeta[SEGG]=D1_MARZO_202655[[#This Row],[SEGMENTO]]),TablaMeta[Meta_Asesor])</f>
        <v>86000</v>
      </c>
      <c r="D7" s="35">
        <f>IF(D1_MARZO_202655[[#This Row],[RECUPERO]]="VACACIONES","VACACIONES",IFERROR(D1_MARZO_202655[[#This Row],[RECUPERO]]/D1_MARZO_202655[[#This Row],[META]],""))</f>
        <v>1.2405232558139534</v>
      </c>
      <c r="E7" s="35" t="str">
        <f>D1_MARZO_202655[[#This Row],[SUPER]]</f>
        <v>KENNETH</v>
      </c>
      <c r="F7" s="34" t="s">
        <v>97</v>
      </c>
      <c r="G7" s="36">
        <v>106685</v>
      </c>
      <c r="H7" s="34" cm="1">
        <f t="array" ref="H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74602206</v>
      </c>
      <c r="I7" s="61" cm="1">
        <f t="array" ref="I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45884</v>
      </c>
      <c r="J7" s="61" t="str" cm="1">
        <f t="array" ref="J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7" s="61" t="str" cm="1">
        <f t="array" ref="K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  <c r="L7" s="56"/>
      <c r="M7" s="1"/>
      <c r="N7" s="5"/>
    </row>
    <row r="8" spans="1:69" x14ac:dyDescent="0.25">
      <c r="A8" s="34" t="str" cm="1">
        <f t="array" ref="A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8" s="34" t="str" cm="1">
        <f t="array" ref="B8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JUAN LOZA</v>
      </c>
      <c r="C8" s="34" cm="1">
        <f t="array" ref="C8">_xlfn.XLOOKUP(1,(TablaMeta[CONCAT]=$M$3&amp;$N$3&amp;D1_MARZO_202655[[#This Row],[SUPER]])*(TablaMeta[SEGG]=D1_MARZO_202655[[#This Row],[SEGMENTO]]),TablaMeta[Meta_Asesor])</f>
        <v>86000</v>
      </c>
      <c r="D8" s="35">
        <f>IF(D1_MARZO_202655[[#This Row],[RECUPERO]]="VACACIONES","VACACIONES",IFERROR(D1_MARZO_202655[[#This Row],[RECUPERO]]/D1_MARZO_202655[[#This Row],[META]],""))</f>
        <v>0.73029069767441857</v>
      </c>
      <c r="E8" s="35" t="str">
        <f>D1_MARZO_202655[[#This Row],[SUPER]]</f>
        <v>KENNETH</v>
      </c>
      <c r="F8" s="34" t="s">
        <v>35</v>
      </c>
      <c r="G8" s="36">
        <v>62805</v>
      </c>
      <c r="H8" s="34" cm="1">
        <f t="array" ref="H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10491198</v>
      </c>
      <c r="I8" s="61" cm="1">
        <f t="array" ref="I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44746</v>
      </c>
      <c r="J8" s="61" t="str" cm="1">
        <f t="array" ref="J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8" s="61" t="str" cm="1">
        <f t="array" ref="K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503</v>
      </c>
      <c r="T8" s="13" t="s">
        <v>525</v>
      </c>
      <c r="U8" s="13" t="s">
        <v>529</v>
      </c>
      <c r="V8" s="13" t="s">
        <v>504</v>
      </c>
      <c r="W8" s="13" t="s">
        <v>505</v>
      </c>
      <c r="X8" s="13" t="s">
        <v>508</v>
      </c>
      <c r="Y8" s="13" t="s">
        <v>526</v>
      </c>
      <c r="Z8" s="13" t="s">
        <v>530</v>
      </c>
      <c r="AA8" s="13" t="s">
        <v>509</v>
      </c>
      <c r="AB8" s="13" t="s">
        <v>510</v>
      </c>
      <c r="AC8" s="13" t="s">
        <v>513</v>
      </c>
      <c r="AD8" s="13" t="s">
        <v>527</v>
      </c>
      <c r="AE8" s="13" t="s">
        <v>531</v>
      </c>
      <c r="AF8" s="13" t="s">
        <v>514</v>
      </c>
      <c r="AG8" s="13" t="s">
        <v>515</v>
      </c>
      <c r="AH8" s="13" t="s">
        <v>518</v>
      </c>
      <c r="AI8" s="13" t="s">
        <v>528</v>
      </c>
      <c r="AJ8" s="13" t="s">
        <v>532</v>
      </c>
      <c r="AK8" s="13" t="s">
        <v>519</v>
      </c>
      <c r="AL8" s="13" t="s">
        <v>520</v>
      </c>
      <c r="AM8" s="13" t="s">
        <v>523</v>
      </c>
      <c r="AN8" s="13" t="s">
        <v>524</v>
      </c>
      <c r="AO8" s="14" t="s">
        <v>502</v>
      </c>
      <c r="AQ8" s="18" t="s">
        <v>135</v>
      </c>
      <c r="AR8" s="18" t="s">
        <v>137</v>
      </c>
      <c r="AS8" s="18" t="s">
        <v>138</v>
      </c>
      <c r="AT8" s="19" t="s">
        <v>94</v>
      </c>
      <c r="AU8" s="19" t="s">
        <v>503</v>
      </c>
      <c r="AV8" s="19" t="s">
        <v>525</v>
      </c>
      <c r="AW8" s="19" t="s">
        <v>529</v>
      </c>
      <c r="AX8" s="19" t="s">
        <v>504</v>
      </c>
      <c r="AY8" s="19" t="s">
        <v>505</v>
      </c>
      <c r="AZ8" s="19" t="s">
        <v>508</v>
      </c>
      <c r="BA8" s="19" t="s">
        <v>526</v>
      </c>
      <c r="BB8" s="19" t="s">
        <v>530</v>
      </c>
      <c r="BC8" s="19" t="s">
        <v>509</v>
      </c>
      <c r="BD8" s="19" t="s">
        <v>510</v>
      </c>
      <c r="BE8" s="19" t="s">
        <v>513</v>
      </c>
      <c r="BF8" s="19" t="s">
        <v>527</v>
      </c>
      <c r="BG8" s="19" t="s">
        <v>531</v>
      </c>
      <c r="BH8" s="19" t="s">
        <v>514</v>
      </c>
      <c r="BI8" s="19" t="s">
        <v>515</v>
      </c>
      <c r="BJ8" s="19" t="s">
        <v>518</v>
      </c>
      <c r="BK8" s="19" t="s">
        <v>528</v>
      </c>
      <c r="BL8" s="19" t="s">
        <v>532</v>
      </c>
      <c r="BM8" s="19" t="s">
        <v>519</v>
      </c>
      <c r="BN8" s="19" t="s">
        <v>520</v>
      </c>
      <c r="BO8" s="19" t="s">
        <v>523</v>
      </c>
      <c r="BP8" s="19" t="s">
        <v>524</v>
      </c>
      <c r="BQ8" s="18" t="s">
        <v>134</v>
      </c>
    </row>
    <row r="9" spans="1:69" x14ac:dyDescent="0.25">
      <c r="A9" s="34" t="str" cm="1">
        <f t="array" ref="A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9" s="34" t="str" cm="1">
        <f t="array" ref="B9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JIMENA MEDINA</v>
      </c>
      <c r="C9" s="34" cm="1">
        <f t="array" ref="C9">_xlfn.XLOOKUP(1,(TablaMeta[CONCAT]=$M$3&amp;$N$3&amp;D1_MARZO_202655[[#This Row],[SUPER]])*(TablaMeta[SEGG]=D1_MARZO_202655[[#This Row],[SEGMENTO]]),TablaMeta[Meta_Asesor])</f>
        <v>86000</v>
      </c>
      <c r="D9" s="35">
        <f>IF(D1_MARZO_202655[[#This Row],[RECUPERO]]="VACACIONES","VACACIONES",IFERROR(D1_MARZO_202655[[#This Row],[RECUPERO]]/D1_MARZO_202655[[#This Row],[META]],""))</f>
        <v>0.45149418604651165</v>
      </c>
      <c r="E9" s="35" t="str">
        <f>D1_MARZO_202655[[#This Row],[SUPER]]</f>
        <v>KENNETH</v>
      </c>
      <c r="F9" s="34" t="s">
        <v>37</v>
      </c>
      <c r="G9" s="36">
        <v>38828.5</v>
      </c>
      <c r="H9" s="34" cm="1">
        <f t="array" ref="H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70988976</v>
      </c>
      <c r="I9" s="61" cm="1">
        <f t="array" ref="I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45112</v>
      </c>
      <c r="J9" s="61" t="str" cm="1">
        <f t="array" ref="J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9" s="61" t="str" cm="1">
        <f t="array" ref="K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  <c r="L9" s="56"/>
      <c r="M9" s="5">
        <f>DATA_MARZO_202651[[#This Row],[RECUPERO]]/DATA_MARZO_202651[[#This Row],[META]]</f>
        <v>0.16071428571428573</v>
      </c>
      <c r="N9" s="5" t="str" cm="1">
        <f t="array" ref="N9">IF(DATA_MARZO_202651[[#This Row],[ASER_]]="","",IFERROR(_xlfn.IFS(M9&gt;=100%,"&gt;100%",AND(M9&lt;100%,M9&gt;=70%),"&gt;70%",AND(M9&lt;70%,M9&gt;=40%),"&gt;40%",AND(M9&lt;40%,M9&gt;=0%),"&gt;0%"),""))</f>
        <v>&gt;0%</v>
      </c>
      <c r="O9" s="55" t="str">
        <f>IFERROR(VLOOKUP(DATA_MARZO_202651[[#This Row],[ASER_]],$B:$G,4,0),"")</f>
        <v>JORGE</v>
      </c>
      <c r="P9" s="6">
        <f>VLOOKUP(DATA_MARZO_202651[[#This Row],[ASER_]],D1_MARZO_202655[[ASESOR_CRR]:[RECUPERO]],6,0)</f>
        <v>9000</v>
      </c>
      <c r="Q9" s="6">
        <f>VLOOKUP(DATA_MARZO_202651[[#This Row],[ASER_]],D1_MARZO_202655[[ASESOR_CRR]:[META]],2,0)</f>
        <v>56000</v>
      </c>
      <c r="R9" t="s">
        <v>207</v>
      </c>
      <c r="S9">
        <v>0</v>
      </c>
      <c r="T9">
        <v>0</v>
      </c>
      <c r="U9">
        <v>0</v>
      </c>
      <c r="V9">
        <v>0</v>
      </c>
      <c r="W9">
        <v>0</v>
      </c>
      <c r="X9">
        <v>7000</v>
      </c>
      <c r="Y9">
        <v>0</v>
      </c>
      <c r="Z9">
        <v>0</v>
      </c>
      <c r="AA9">
        <v>950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55" t="str" cm="1">
        <f t="array" ref="AO9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Q9" s="10">
        <f>SUMIFS(TablaMeta[Meta_Equipo],TablaMeta[CONCAT],$M$3&amp;$N$3&amp;DITE_MARZO_202656[[#This Row],[SUPER]])</f>
        <v>504401</v>
      </c>
      <c r="AR9" s="10">
        <f>MAX(DITE_MARZO_202656[[#This Row],[SUPER]:[CARTERA]])</f>
        <v>713052</v>
      </c>
      <c r="AS9" s="16">
        <f>IFERROR(DITE_MARZO_202656[[#This Row],[RECUPERO SUPERVISOR]]/DITE_MARZO_202656[[#This Row],[META SUPER]],"")</f>
        <v>1.4136609562629734</v>
      </c>
      <c r="AT9" s="10" t="s">
        <v>3</v>
      </c>
      <c r="AU9" s="46">
        <v>6083.4</v>
      </c>
      <c r="AV9" s="46">
        <v>33458</v>
      </c>
      <c r="AW9" s="46">
        <v>74418</v>
      </c>
      <c r="AX9" s="46">
        <v>122830</v>
      </c>
      <c r="AY9" s="46">
        <v>137814</v>
      </c>
      <c r="AZ9" s="46">
        <v>206412</v>
      </c>
      <c r="BA9" s="46">
        <v>216806</v>
      </c>
      <c r="BB9" s="46">
        <v>228975</v>
      </c>
      <c r="BC9" s="46">
        <v>267950</v>
      </c>
      <c r="BD9" s="46">
        <v>280626</v>
      </c>
      <c r="BE9" s="46">
        <v>305889</v>
      </c>
      <c r="BF9" s="46">
        <v>344454</v>
      </c>
      <c r="BG9" s="46">
        <v>385494</v>
      </c>
      <c r="BH9" s="46">
        <v>402964</v>
      </c>
      <c r="BI9" s="46">
        <v>433801</v>
      </c>
      <c r="BJ9" s="46">
        <v>454121</v>
      </c>
      <c r="BK9" s="46">
        <v>467716</v>
      </c>
      <c r="BL9" s="46">
        <v>511443</v>
      </c>
      <c r="BM9" s="46">
        <v>536418</v>
      </c>
      <c r="BN9" s="46">
        <v>574383</v>
      </c>
      <c r="BO9" s="46">
        <v>646858</v>
      </c>
      <c r="BP9" s="46">
        <v>713052</v>
      </c>
      <c r="BQ9" s="10" t="str" cm="1">
        <f t="array" ref="BQ9">IFERROR(VLOOKUP(DITE_MARZO_202656[[#This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S0</v>
      </c>
    </row>
    <row r="10" spans="1:69" x14ac:dyDescent="0.25">
      <c r="A10" s="34" t="str" cm="1">
        <f t="array" ref="A1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0" s="34" t="str" cm="1">
        <f t="array" ref="B10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STWUAR MACURI</v>
      </c>
      <c r="C10" s="34" cm="1">
        <f t="array" ref="C10">_xlfn.XLOOKUP(1,(TablaMeta[CONCAT]=$M$3&amp;$N$3&amp;D1_MARZO_202655[[#This Row],[SUPER]])*(TablaMeta[SEGG]=D1_MARZO_202655[[#This Row],[SEGMENTO]]),TablaMeta[Meta_Asesor])</f>
        <v>30500</v>
      </c>
      <c r="D10" s="35">
        <f>IF(D1_MARZO_202655[[#This Row],[RECUPERO]]="VACACIONES","VACACIONES",IFERROR(D1_MARZO_202655[[#This Row],[RECUPERO]]/D1_MARZO_202655[[#This Row],[META]],""))</f>
        <v>2.4763278688524588</v>
      </c>
      <c r="E10" s="35" t="str">
        <f>D1_MARZO_202655[[#This Row],[SUPER]]</f>
        <v>KENNETH</v>
      </c>
      <c r="F10" s="34" t="s">
        <v>34</v>
      </c>
      <c r="G10" s="36">
        <v>75528</v>
      </c>
      <c r="H10" s="34" cm="1">
        <f t="array" ref="H1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76824571</v>
      </c>
      <c r="I10" s="61" cm="1">
        <f t="array" ref="I1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45173</v>
      </c>
      <c r="J10" s="61" t="str" cm="1">
        <f t="array" ref="J1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0" s="61" t="str" cm="1">
        <f t="array" ref="K1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0" s="56"/>
      <c r="M10" s="5">
        <f>DATA_MARZO_202651[[#This Row],[RECUPERO]]/DATA_MARZO_202651[[#This Row],[META]]</f>
        <v>0.45019642857142855</v>
      </c>
      <c r="N10" s="5" t="str" cm="1">
        <f t="array" ref="N10">IF(DATA_MARZO_202651[[#This Row],[ASER_]]="","",IFERROR(_xlfn.IFS(M10&gt;=100%,"&gt;100%",AND(M10&lt;100%,M10&gt;=70%),"&gt;70%",AND(M10&lt;70%,M10&gt;=40%),"&gt;40%",AND(M10&lt;40%,M10&gt;=0%),"&gt;0%"),""))</f>
        <v>&gt;40%</v>
      </c>
      <c r="O10" s="55" t="str">
        <f>IFERROR(VLOOKUP(DATA_MARZO_202651[[#This Row],[ASER_]],$B:$G,4,0),"")</f>
        <v>JORGE</v>
      </c>
      <c r="P10" s="6">
        <f>VLOOKUP(DATA_MARZO_202651[[#This Row],[ASER_]],D1_MARZO_202655[[ASESOR_CRR]:[RECUPERO]],6,0)</f>
        <v>25211</v>
      </c>
      <c r="Q10" s="6">
        <f>VLOOKUP(DATA_MARZO_202651[[#This Row],[ASER_]],D1_MARZO_202655[[ASESOR_CRR]:[META]],2,0)</f>
        <v>56000</v>
      </c>
      <c r="R10" t="s">
        <v>377</v>
      </c>
      <c r="S10">
        <v>0</v>
      </c>
      <c r="T10">
        <v>0</v>
      </c>
      <c r="U10">
        <v>2708</v>
      </c>
      <c r="V10">
        <v>0</v>
      </c>
      <c r="W10">
        <v>600</v>
      </c>
      <c r="X10">
        <v>0</v>
      </c>
      <c r="Y10">
        <v>600</v>
      </c>
      <c r="Z10">
        <v>0</v>
      </c>
      <c r="AA10">
        <v>4000</v>
      </c>
      <c r="AB10">
        <v>2300</v>
      </c>
      <c r="AC10">
        <v>220</v>
      </c>
      <c r="AD10">
        <v>0</v>
      </c>
      <c r="AE10">
        <v>6700</v>
      </c>
      <c r="AF10">
        <v>0</v>
      </c>
      <c r="AG10">
        <v>3500</v>
      </c>
      <c r="AH10">
        <v>0</v>
      </c>
      <c r="AI10">
        <v>0</v>
      </c>
      <c r="AJ10">
        <v>0</v>
      </c>
      <c r="AK10">
        <v>2000</v>
      </c>
      <c r="AL10">
        <v>1434</v>
      </c>
      <c r="AM10">
        <v>0</v>
      </c>
      <c r="AN10">
        <v>808</v>
      </c>
      <c r="AO10" s="55" t="str" cm="1">
        <f t="array" ref="AO10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Q10" s="11">
        <f>SUMIFS(TablaMeta[Meta_Equipo],TablaMeta[CONCAT],$M$3&amp;$N$3&amp;DITE_MARZO_202656[[#This Row],[SUPER]])</f>
        <v>466781</v>
      </c>
      <c r="AR10" s="11">
        <f>MAX(DITE_MARZO_202656[[#This Row],[SUPER]:[CARTERA]])</f>
        <v>526656</v>
      </c>
      <c r="AS10" s="17">
        <f>IFERROR(DITE_MARZO_202656[[#This Row],[RECUPERO SUPERVISOR]]/DITE_MARZO_202656[[#This Row],[META SUPER]],"")</f>
        <v>1.128272144753107</v>
      </c>
      <c r="AT10" s="11" t="s">
        <v>6</v>
      </c>
      <c r="AU10" s="46">
        <v>2575.5</v>
      </c>
      <c r="AV10" s="46">
        <v>9375.5</v>
      </c>
      <c r="AW10" s="46">
        <v>14215.5</v>
      </c>
      <c r="AX10" s="46">
        <v>31878</v>
      </c>
      <c r="AY10" s="46">
        <v>46519</v>
      </c>
      <c r="AZ10" s="46">
        <v>65047</v>
      </c>
      <c r="BA10" s="46">
        <v>83118</v>
      </c>
      <c r="BB10" s="46">
        <v>103268</v>
      </c>
      <c r="BC10" s="46">
        <v>118199</v>
      </c>
      <c r="BD10" s="46">
        <v>137709</v>
      </c>
      <c r="BE10" s="46">
        <v>153397</v>
      </c>
      <c r="BF10" s="46">
        <v>191907</v>
      </c>
      <c r="BG10" s="46">
        <v>216542</v>
      </c>
      <c r="BH10" s="46">
        <v>235517</v>
      </c>
      <c r="BI10" s="46">
        <v>264031</v>
      </c>
      <c r="BJ10" s="46">
        <v>280261</v>
      </c>
      <c r="BK10" s="46">
        <v>294061</v>
      </c>
      <c r="BL10" s="46">
        <v>316156</v>
      </c>
      <c r="BM10" s="46">
        <v>339356</v>
      </c>
      <c r="BN10" s="46">
        <v>390805</v>
      </c>
      <c r="BO10" s="46">
        <v>443699</v>
      </c>
      <c r="BP10" s="46">
        <v>526656</v>
      </c>
      <c r="BQ10" s="11" t="str" cm="1">
        <f t="array" ref="BQ10">IFERROR(VLOOKUP(DITE_MARZO_202656[[#This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S0</v>
      </c>
    </row>
    <row r="11" spans="1:69" x14ac:dyDescent="0.25">
      <c r="A11" s="34" t="str" cm="1">
        <f t="array" ref="A1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1" s="34" t="str" cm="1">
        <f t="array" ref="B11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CARMEN PUMA</v>
      </c>
      <c r="C11" s="34" cm="1">
        <f t="array" ref="C11">_xlfn.XLOOKUP(1,(TablaMeta[CONCAT]=$M$3&amp;$N$3&amp;D1_MARZO_202655[[#This Row],[SUPER]])*(TablaMeta[SEGG]=D1_MARZO_202655[[#This Row],[SEGMENTO]]),TablaMeta[Meta_Asesor])</f>
        <v>30500</v>
      </c>
      <c r="D11" s="35">
        <f>IF(D1_MARZO_202655[[#This Row],[RECUPERO]]="VACACIONES","VACACIONES",IFERROR(D1_MARZO_202655[[#This Row],[RECUPERO]]/D1_MARZO_202655[[#This Row],[META]],""))</f>
        <v>2.1974098360655736</v>
      </c>
      <c r="E11" s="35" t="str">
        <f>D1_MARZO_202655[[#This Row],[SUPER]]</f>
        <v>KENNETH</v>
      </c>
      <c r="F11" t="s">
        <v>19</v>
      </c>
      <c r="G11" s="3">
        <v>67021</v>
      </c>
      <c r="H11" cm="1">
        <f t="array" ref="H1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76656128</v>
      </c>
      <c r="I11" s="56" cm="1">
        <f t="array" ref="I1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44671</v>
      </c>
      <c r="J11" s="56" t="str" cm="1">
        <f t="array" ref="J1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1" s="61" t="str" cm="1">
        <f t="array" ref="K1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1" s="56"/>
      <c r="M11" s="5">
        <f>DATA_MARZO_202651[[#This Row],[RECUPERO]]/DATA_MARZO_202651[[#This Row],[META]]</f>
        <v>1.4916848214285716</v>
      </c>
      <c r="N11" s="5" t="str" cm="1">
        <f t="array" ref="N11">IF(DATA_MARZO_202651[[#This Row],[ASER_]]="","",IFERROR(_xlfn.IFS(M11&gt;=100%,"&gt;100%",AND(M11&lt;100%,M11&gt;=70%),"&gt;70%",AND(M11&lt;70%,M11&gt;=40%),"&gt;40%",AND(M11&lt;40%,M11&gt;=0%),"&gt;0%"),""))</f>
        <v>&gt;100%</v>
      </c>
      <c r="O11" s="55" t="str">
        <f>IFERROR(VLOOKUP(DATA_MARZO_202651[[#This Row],[ASER_]],$B:$G,4,0),"")</f>
        <v>JORGE</v>
      </c>
      <c r="P11" s="6">
        <f>VLOOKUP(DATA_MARZO_202651[[#This Row],[ASER_]],D1_MARZO_202655[[ASESOR_CRR]:[RECUPERO]],6,0)</f>
        <v>83534.350000000006</v>
      </c>
      <c r="Q11" s="6">
        <f>VLOOKUP(DATA_MARZO_202651[[#This Row],[ASER_]],D1_MARZO_202655[[ASESOR_CRR]:[META]],2,0)</f>
        <v>56000</v>
      </c>
      <c r="R11" t="s">
        <v>23</v>
      </c>
      <c r="S11">
        <v>420</v>
      </c>
      <c r="T11">
        <v>3105</v>
      </c>
      <c r="U11">
        <v>4500</v>
      </c>
      <c r="V11">
        <v>20933</v>
      </c>
      <c r="W11">
        <v>200</v>
      </c>
      <c r="X11">
        <v>3290</v>
      </c>
      <c r="Y11">
        <v>268</v>
      </c>
      <c r="Z11">
        <v>7800</v>
      </c>
      <c r="AA11">
        <v>500</v>
      </c>
      <c r="AB11">
        <v>0</v>
      </c>
      <c r="AC11">
        <v>950</v>
      </c>
      <c r="AD11">
        <v>2700</v>
      </c>
      <c r="AE11">
        <v>650</v>
      </c>
      <c r="AF11">
        <v>5000</v>
      </c>
      <c r="AG11">
        <v>2475</v>
      </c>
      <c r="AH11">
        <v>3053</v>
      </c>
      <c r="AI11">
        <v>7000</v>
      </c>
      <c r="AJ11">
        <v>0</v>
      </c>
      <c r="AK11">
        <v>500</v>
      </c>
      <c r="AL11">
        <v>2400</v>
      </c>
      <c r="AM11">
        <v>8800</v>
      </c>
      <c r="AN11">
        <v>8574</v>
      </c>
      <c r="AO11" s="55" t="str" cm="1">
        <f t="array" ref="AO1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Q11" s="10">
        <f>SUMIFS(TablaMeta[Meta_Equipo],TablaMeta[CONCAT],$M$3&amp;$N$3&amp;DITE_MARZO_202656[[#This Row],[SUPER]])</f>
        <v>609835</v>
      </c>
      <c r="AR11" s="10">
        <f>MAX(DITE_MARZO_202656[[#This Row],[SUPER]:[CARTERA]])</f>
        <v>399747.5</v>
      </c>
      <c r="AS11" s="16">
        <f>IFERROR(DITE_MARZO_202656[[#This Row],[RECUPERO SUPERVISOR]]/DITE_MARZO_202656[[#This Row],[META SUPER]],"")</f>
        <v>0.65550107816048608</v>
      </c>
      <c r="AT11" s="10" t="s">
        <v>2</v>
      </c>
      <c r="AU11" s="46">
        <v>5517</v>
      </c>
      <c r="AV11" s="46">
        <v>27622</v>
      </c>
      <c r="AW11" s="46">
        <v>45171</v>
      </c>
      <c r="AX11" s="46">
        <v>71054</v>
      </c>
      <c r="AY11" s="46">
        <v>77619</v>
      </c>
      <c r="AZ11" s="46">
        <v>92650.65</v>
      </c>
      <c r="BA11" s="46">
        <v>104276.65</v>
      </c>
      <c r="BB11" s="46">
        <v>114976.65</v>
      </c>
      <c r="BC11" s="46">
        <v>120735</v>
      </c>
      <c r="BD11" s="46">
        <v>144901</v>
      </c>
      <c r="BE11" s="46">
        <v>167121</v>
      </c>
      <c r="BF11" s="46">
        <v>198821</v>
      </c>
      <c r="BG11" s="46">
        <v>221921</v>
      </c>
      <c r="BH11" s="46">
        <v>235993.5</v>
      </c>
      <c r="BI11" s="46">
        <v>247393.5</v>
      </c>
      <c r="BJ11" s="46">
        <v>273996.5</v>
      </c>
      <c r="BK11" s="46">
        <v>299076.5</v>
      </c>
      <c r="BL11" s="46">
        <v>311116.5</v>
      </c>
      <c r="BM11" s="46">
        <v>318566.5</v>
      </c>
      <c r="BN11" s="46">
        <v>335624.5</v>
      </c>
      <c r="BO11" s="46">
        <v>362811.5</v>
      </c>
      <c r="BP11" s="46">
        <v>399747.5</v>
      </c>
      <c r="BQ11" s="10" t="str" cm="1">
        <f t="array" ref="BQ11">IFERROR(VLOOKUP(DITE_MARZO_202656[[#This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S1</v>
      </c>
    </row>
    <row r="12" spans="1:69" x14ac:dyDescent="0.25">
      <c r="A12" s="34" t="str" cm="1">
        <f t="array" ref="A1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2" s="34" t="str" cm="1">
        <f t="array" ref="B12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KIARA CANEPA</v>
      </c>
      <c r="C12" s="34" cm="1">
        <f t="array" ref="C12">_xlfn.XLOOKUP(1,(TablaMeta[CONCAT]=$M$3&amp;$N$3&amp;D1_MARZO_202655[[#This Row],[SUPER]])*(TablaMeta[SEGG]=D1_MARZO_202655[[#This Row],[SEGMENTO]]),TablaMeta[Meta_Asesor])</f>
        <v>30500</v>
      </c>
      <c r="D12" s="35">
        <f>IF(D1_MARZO_202655[[#This Row],[RECUPERO]]="VACACIONES","VACACIONES",IFERROR(D1_MARZO_202655[[#This Row],[RECUPERO]]/D1_MARZO_202655[[#This Row],[META]],""))</f>
        <v>1.231016393442623</v>
      </c>
      <c r="E12" s="35" t="str">
        <f>D1_MARZO_202655[[#This Row],[SUPER]]</f>
        <v>KENNETH</v>
      </c>
      <c r="F12" t="s">
        <v>50</v>
      </c>
      <c r="G12" s="3">
        <v>37546</v>
      </c>
      <c r="H12" cm="1">
        <f t="array" ref="H1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72733809</v>
      </c>
      <c r="I12" s="56" cm="1">
        <f t="array" ref="I1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45789</v>
      </c>
      <c r="J12" s="56" t="str" cm="1">
        <f t="array" ref="J1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2" s="56" t="str" cm="1">
        <f t="array" ref="K1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2" s="56"/>
      <c r="M12" s="5">
        <f>DATA_MARZO_202651[[#This Row],[RECUPERO]]/DATA_MARZO_202651[[#This Row],[META]]</f>
        <v>0.50608928571428569</v>
      </c>
      <c r="N12" s="5" t="str" cm="1">
        <f t="array" ref="N12">IF(DATA_MARZO_202651[[#This Row],[ASER_]]="","",IFERROR(_xlfn.IFS(M12&gt;=100%,"&gt;100%",AND(M12&lt;100%,M12&gt;=70%),"&gt;70%",AND(M12&lt;70%,M12&gt;=40%),"&gt;40%",AND(M12&lt;40%,M12&gt;=0%),"&gt;0%"),""))</f>
        <v>&gt;40%</v>
      </c>
      <c r="O12" s="55" t="str">
        <f>IFERROR(VLOOKUP(DATA_MARZO_202651[[#This Row],[ASER_]],$B:$G,4,0),"")</f>
        <v>JORGE</v>
      </c>
      <c r="P12" s="6">
        <f>VLOOKUP(DATA_MARZO_202651[[#This Row],[ASER_]],D1_MARZO_202655[[ASESOR_CRR]:[RECUPERO]],6,0)</f>
        <v>28341</v>
      </c>
      <c r="Q12" s="6">
        <f>VLOOKUP(DATA_MARZO_202651[[#This Row],[ASER_]],D1_MARZO_202655[[ASESOR_CRR]:[META]],2,0)</f>
        <v>56000</v>
      </c>
      <c r="R12" t="s">
        <v>65</v>
      </c>
      <c r="S12">
        <v>700</v>
      </c>
      <c r="T12">
        <v>0</v>
      </c>
      <c r="U12">
        <v>0</v>
      </c>
      <c r="V12">
        <v>1000</v>
      </c>
      <c r="W12">
        <v>0</v>
      </c>
      <c r="X12">
        <v>0</v>
      </c>
      <c r="Y12">
        <v>2308</v>
      </c>
      <c r="Z12">
        <v>0</v>
      </c>
      <c r="AA12">
        <v>0</v>
      </c>
      <c r="AB12">
        <v>0</v>
      </c>
      <c r="AC12">
        <v>0</v>
      </c>
      <c r="AD12">
        <v>2500</v>
      </c>
      <c r="AE12">
        <v>0</v>
      </c>
      <c r="AF12">
        <v>0</v>
      </c>
      <c r="AG12">
        <v>1750</v>
      </c>
      <c r="AH12">
        <v>7000</v>
      </c>
      <c r="AI12">
        <v>0</v>
      </c>
      <c r="AJ12">
        <v>350</v>
      </c>
      <c r="AK12">
        <v>800</v>
      </c>
      <c r="AL12">
        <v>5402</v>
      </c>
      <c r="AM12">
        <v>5000</v>
      </c>
      <c r="AN12">
        <v>1181</v>
      </c>
      <c r="AO12" s="55" t="str" cm="1">
        <f t="array" ref="AO12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Q12" s="11">
        <f>SUMIFS(TablaMeta[Meta_Equipo],TablaMeta[CONCAT],$M$3&amp;$N$3&amp;DITE_MARZO_202656[[#This Row],[SUPER]])</f>
        <v>609835</v>
      </c>
      <c r="AR12" s="11">
        <f>MAX(DITE_MARZO_202656[[#This Row],[SUPER]:[CARTERA]])</f>
        <v>518812</v>
      </c>
      <c r="AS12" s="17">
        <f>IFERROR(DITE_MARZO_202656[[#This Row],[RECUPERO SUPERVISOR]]/DITE_MARZO_202656[[#This Row],[META SUPER]],"")</f>
        <v>0.85074159403773153</v>
      </c>
      <c r="AT12" s="11" t="s">
        <v>125</v>
      </c>
      <c r="AU12" s="46">
        <v>21427</v>
      </c>
      <c r="AV12" s="46">
        <v>29925</v>
      </c>
      <c r="AW12" s="46">
        <v>35725</v>
      </c>
      <c r="AX12" s="46">
        <v>44375</v>
      </c>
      <c r="AY12" s="46">
        <v>58675</v>
      </c>
      <c r="AZ12" s="46">
        <v>70110</v>
      </c>
      <c r="BA12" s="46">
        <v>88120</v>
      </c>
      <c r="BB12" s="46">
        <v>96320</v>
      </c>
      <c r="BC12" s="46">
        <v>113535</v>
      </c>
      <c r="BD12" s="46">
        <v>133835</v>
      </c>
      <c r="BE12" s="46">
        <v>172210</v>
      </c>
      <c r="BF12" s="46">
        <v>200028</v>
      </c>
      <c r="BG12" s="46">
        <v>238025</v>
      </c>
      <c r="BH12" s="46">
        <v>247085</v>
      </c>
      <c r="BI12" s="46">
        <v>320530</v>
      </c>
      <c r="BJ12" s="46">
        <v>338750</v>
      </c>
      <c r="BK12" s="46">
        <v>356359</v>
      </c>
      <c r="BL12" s="46">
        <v>361484</v>
      </c>
      <c r="BM12" s="46">
        <v>371896</v>
      </c>
      <c r="BN12" s="46">
        <v>403955</v>
      </c>
      <c r="BO12" s="46">
        <v>433595</v>
      </c>
      <c r="BP12" s="46">
        <v>518812</v>
      </c>
      <c r="BQ12" s="11" t="str" cm="1">
        <f t="array" ref="BQ12">IFERROR(VLOOKUP(DITE_MARZO_202656[[#This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S1</v>
      </c>
    </row>
    <row r="13" spans="1:69" x14ac:dyDescent="0.25">
      <c r="A13" s="34" t="str" cm="1">
        <f t="array" ref="A1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3" s="34" t="str" cm="1">
        <f t="array" ref="B13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MILAGROS QUIO</v>
      </c>
      <c r="C13" s="34" cm="1">
        <f t="array" ref="C13">_xlfn.XLOOKUP(1,(TablaMeta[CONCAT]=$M$3&amp;$N$3&amp;D1_MARZO_202655[[#This Row],[SUPER]])*(TablaMeta[SEGG]=D1_MARZO_202655[[#This Row],[SEGMENTO]]),TablaMeta[Meta_Asesor])</f>
        <v>30500</v>
      </c>
      <c r="D13" s="35">
        <f>IF(D1_MARZO_202655[[#This Row],[RECUPERO]]="VACACIONES","VACACIONES",IFERROR(D1_MARZO_202655[[#This Row],[RECUPERO]]/D1_MARZO_202655[[#This Row],[META]],""))</f>
        <v>1.2284262295081967</v>
      </c>
      <c r="E13" s="35" t="str">
        <f>D1_MARZO_202655[[#This Row],[SUPER]]</f>
        <v>KENNETH</v>
      </c>
      <c r="F13" t="s">
        <v>11</v>
      </c>
      <c r="G13" s="3">
        <v>37467</v>
      </c>
      <c r="H13" cm="1">
        <f t="array" ref="H1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45139159</v>
      </c>
      <c r="I13" s="56" cm="1">
        <f t="array" ref="I1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45369</v>
      </c>
      <c r="J13" s="56" t="str" cm="1">
        <f t="array" ref="J1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3" s="56" t="str" cm="1">
        <f t="array" ref="K1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3" s="56"/>
      <c r="M13" s="5">
        <f>DATA_MARZO_202651[[#This Row],[RECUPERO]]/DATA_MARZO_202651[[#This Row],[META]]</f>
        <v>0.76867857142857143</v>
      </c>
      <c r="N13" s="5" t="str" cm="1">
        <f t="array" ref="N13">IF(DATA_MARZO_202651[[#This Row],[ASER_]]="","",IFERROR(_xlfn.IFS(M13&gt;=100%,"&gt;100%",AND(M13&lt;100%,M13&gt;=70%),"&gt;70%",AND(M13&lt;70%,M13&gt;=40%),"&gt;40%",AND(M13&lt;40%,M13&gt;=0%),"&gt;0%"),""))</f>
        <v>&gt;70%</v>
      </c>
      <c r="O13" s="55" t="str">
        <f>IFERROR(VLOOKUP(DATA_MARZO_202651[[#This Row],[ASER_]],$B:$G,4,0),"")</f>
        <v>JORGE</v>
      </c>
      <c r="P13" s="6">
        <f>VLOOKUP(DATA_MARZO_202651[[#This Row],[ASER_]],D1_MARZO_202655[[ASESOR_CRR]:[RECUPERO]],6,0)</f>
        <v>43046</v>
      </c>
      <c r="Q13" s="6">
        <f>VLOOKUP(DATA_MARZO_202651[[#This Row],[ASER_]],D1_MARZO_202655[[ASESOR_CRR]:[META]],2,0)</f>
        <v>56000</v>
      </c>
      <c r="R13" t="s">
        <v>15</v>
      </c>
      <c r="S13" s="47">
        <v>3400</v>
      </c>
      <c r="T13">
        <v>5600</v>
      </c>
      <c r="U13">
        <v>0</v>
      </c>
      <c r="V13">
        <v>0</v>
      </c>
      <c r="W13">
        <v>0</v>
      </c>
      <c r="X13">
        <v>720</v>
      </c>
      <c r="Y13">
        <v>0</v>
      </c>
      <c r="Z13">
        <v>0</v>
      </c>
      <c r="AA13">
        <v>0</v>
      </c>
      <c r="AB13">
        <v>500</v>
      </c>
      <c r="AC13">
        <v>15600</v>
      </c>
      <c r="AD13">
        <v>0</v>
      </c>
      <c r="AE13">
        <v>0</v>
      </c>
      <c r="AF13">
        <v>325</v>
      </c>
      <c r="AG13">
        <v>0</v>
      </c>
      <c r="AH13">
        <v>5500</v>
      </c>
      <c r="AI13">
        <v>0</v>
      </c>
      <c r="AJ13">
        <v>0</v>
      </c>
      <c r="AK13">
        <v>500</v>
      </c>
      <c r="AL13">
        <v>0</v>
      </c>
      <c r="AM13">
        <v>9576</v>
      </c>
      <c r="AN13">
        <v>1325</v>
      </c>
      <c r="AO13" s="55" t="str" cm="1">
        <f t="array" ref="AO13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Q13" s="10">
        <f>SUMIFS(TablaMeta[Meta_Equipo],TablaMeta[CONCAT],$M$3&amp;$N$3&amp;DITE_MARZO_202656[[#This Row],[SUPER]])</f>
        <v>268288</v>
      </c>
      <c r="AR13" s="10">
        <f>MAX(DITE_MARZO_202656[[#This Row],[SUPER]:[CARTERA]])</f>
        <v>263860</v>
      </c>
      <c r="AS13" s="16">
        <f>IFERROR(DITE_MARZO_202656[[#This Row],[RECUPERO SUPERVISOR]]/DITE_MARZO_202656[[#This Row],[META SUPER]],"")</f>
        <v>0.98349534828244278</v>
      </c>
      <c r="AT13" s="10" t="s">
        <v>7</v>
      </c>
      <c r="AU13" s="46">
        <v>4810</v>
      </c>
      <c r="AV13" s="46">
        <v>9866</v>
      </c>
      <c r="AW13" s="45">
        <v>12877</v>
      </c>
      <c r="AX13" s="46">
        <v>20083</v>
      </c>
      <c r="AY13" s="46">
        <v>28671</v>
      </c>
      <c r="AZ13" s="46">
        <v>51436</v>
      </c>
      <c r="BA13" s="46">
        <v>63365</v>
      </c>
      <c r="BB13" s="45">
        <v>69215</v>
      </c>
      <c r="BC13" s="46">
        <v>81300</v>
      </c>
      <c r="BD13" s="46">
        <v>89170</v>
      </c>
      <c r="BE13" s="46">
        <v>98843</v>
      </c>
      <c r="BF13" s="45">
        <v>112593</v>
      </c>
      <c r="BG13" s="46">
        <v>121648</v>
      </c>
      <c r="BH13" s="46">
        <v>134966</v>
      </c>
      <c r="BI13" s="46">
        <v>146491</v>
      </c>
      <c r="BJ13" s="46">
        <v>150333</v>
      </c>
      <c r="BK13" s="46">
        <v>163027</v>
      </c>
      <c r="BL13" s="46">
        <v>172717</v>
      </c>
      <c r="BM13" s="46">
        <v>180067</v>
      </c>
      <c r="BN13" s="46">
        <v>205662</v>
      </c>
      <c r="BO13" s="46">
        <v>226987</v>
      </c>
      <c r="BP13" s="46">
        <v>263860</v>
      </c>
      <c r="BQ13" s="10" t="str" cm="1">
        <f t="array" ref="BQ13">IFERROR(VLOOKUP(DITE_MARZO_202656[[#This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S2-3-4</v>
      </c>
    </row>
    <row r="14" spans="1:69" x14ac:dyDescent="0.25">
      <c r="A14" s="34" t="str" cm="1">
        <f t="array" ref="A1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4" s="34" t="str" cm="1">
        <f t="array" ref="B14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FRANK PACORA</v>
      </c>
      <c r="C14" s="34" cm="1">
        <f t="array" ref="C14">_xlfn.XLOOKUP(1,(TablaMeta[CONCAT]=$M$3&amp;$N$3&amp;D1_MARZO_202655[[#This Row],[SUPER]])*(TablaMeta[SEGG]=D1_MARZO_202655[[#This Row],[SEGMENTO]]),TablaMeta[Meta_Asesor])</f>
        <v>30500</v>
      </c>
      <c r="D14" s="35">
        <f>IF(D1_MARZO_202655[[#This Row],[RECUPERO]]="VACACIONES","VACACIONES",IFERROR(D1_MARZO_202655[[#This Row],[RECUPERO]]/D1_MARZO_202655[[#This Row],[META]],""))</f>
        <v>0.86926229508196717</v>
      </c>
      <c r="E14" s="35" t="str">
        <f>D1_MARZO_202655[[#This Row],[SUPER]]</f>
        <v>KENNETH</v>
      </c>
      <c r="F14" t="s">
        <v>105</v>
      </c>
      <c r="G14" s="3">
        <v>26512.5</v>
      </c>
      <c r="H14" cm="1">
        <f t="array" ref="H1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48344037</v>
      </c>
      <c r="I14" s="56" cm="1">
        <f t="array" ref="I1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46027</v>
      </c>
      <c r="J14" s="56" t="str" cm="1">
        <f t="array" ref="J1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4" s="56" t="str" cm="1">
        <f t="array" ref="K1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4" s="56"/>
      <c r="M14" s="5">
        <f>DATA_MARZO_202651[[#This Row],[RECUPERO]]/DATA_MARZO_202651[[#This Row],[META]]</f>
        <v>7.0258928571428569E-2</v>
      </c>
      <c r="N14" s="5" t="str" cm="1">
        <f t="array" ref="N14">IF(DATA_MARZO_202651[[#This Row],[ASER_]]="","",IFERROR(_xlfn.IFS(M14&gt;=100%,"&gt;100%",AND(M14&lt;100%,M14&gt;=70%),"&gt;70%",AND(M14&lt;70%,M14&gt;=40%),"&gt;40%",AND(M14&lt;40%,M14&gt;=0%),"&gt;0%"),""))</f>
        <v>&gt;0%</v>
      </c>
      <c r="O14" s="55" t="str">
        <f>IFERROR(VLOOKUP(DATA_MARZO_202651[[#This Row],[ASER_]],$B:$G,4,0),"")</f>
        <v>JORGE</v>
      </c>
      <c r="P14" s="6">
        <f>VLOOKUP(DATA_MARZO_202651[[#This Row],[ASER_]],D1_MARZO_202655[[ASESOR_CRR]:[RECUPERO]],6,0)</f>
        <v>3934.5</v>
      </c>
      <c r="Q14" s="6">
        <f>VLOOKUP(DATA_MARZO_202651[[#This Row],[ASER_]],D1_MARZO_202655[[ASESOR_CRR]:[META]],2,0)</f>
        <v>56000</v>
      </c>
      <c r="R14" t="s">
        <v>17</v>
      </c>
      <c r="S14" s="47">
        <v>636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1156</v>
      </c>
      <c r="AC14">
        <v>0</v>
      </c>
      <c r="AD14">
        <v>0</v>
      </c>
      <c r="AE14">
        <v>0</v>
      </c>
      <c r="AF14">
        <v>1142.5</v>
      </c>
      <c r="AG14">
        <v>0</v>
      </c>
      <c r="AH14">
        <v>0</v>
      </c>
      <c r="AI14">
        <v>0</v>
      </c>
      <c r="AJ14">
        <v>600</v>
      </c>
      <c r="AK14">
        <v>0</v>
      </c>
      <c r="AL14">
        <v>0</v>
      </c>
      <c r="AM14">
        <v>0</v>
      </c>
      <c r="AN14">
        <v>400</v>
      </c>
      <c r="AO14" s="55" t="str" cm="1">
        <f t="array" ref="AO14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15" spans="1:69" x14ac:dyDescent="0.25">
      <c r="A15" s="34" t="str" cm="1">
        <f t="array" ref="A1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5" s="34" t="str" cm="1">
        <f t="array" ref="B15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DAVID SANCHEZ</v>
      </c>
      <c r="C15" s="34" cm="1">
        <f t="array" ref="C15">_xlfn.XLOOKUP(1,(TablaMeta[CONCAT]=$M$3&amp;$N$3&amp;D1_MARZO_202655[[#This Row],[SUPER]])*(TablaMeta[SEGG]=D1_MARZO_202655[[#This Row],[SEGMENTO]]),TablaMeta[Meta_Asesor])</f>
        <v>30500</v>
      </c>
      <c r="D15" s="35">
        <f>IF(D1_MARZO_202655[[#This Row],[RECUPERO]]="VACACIONES","VACACIONES",IFERROR(D1_MARZO_202655[[#This Row],[RECUPERO]]/D1_MARZO_202655[[#This Row],[META]],""))</f>
        <v>0.84006557377049185</v>
      </c>
      <c r="E15" s="35" t="str">
        <f>D1_MARZO_202655[[#This Row],[SUPER]]</f>
        <v>KENNETH</v>
      </c>
      <c r="F15" t="s">
        <v>81</v>
      </c>
      <c r="G15" s="3">
        <v>25622</v>
      </c>
      <c r="H15" cm="1">
        <f t="array" ref="H1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72716299</v>
      </c>
      <c r="I15" s="56" cm="1">
        <f t="array" ref="I1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45511</v>
      </c>
      <c r="J15" s="56" t="str" cm="1">
        <f t="array" ref="J1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5" s="56" t="str" cm="1">
        <f t="array" ref="K1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5" s="56"/>
      <c r="M15" s="5">
        <f>DATA_MARZO_202651[[#This Row],[RECUPERO]]/DATA_MARZO_202651[[#This Row],[META]]</f>
        <v>0.65587499999999999</v>
      </c>
      <c r="N15" s="5" t="str" cm="1">
        <f t="array" ref="N15">IF(DATA_MARZO_202651[[#This Row],[ASER_]]="","",IFERROR(_xlfn.IFS(M15&gt;=100%,"&gt;100%",AND(M15&lt;100%,M15&gt;=70%),"&gt;70%",AND(M15&lt;70%,M15&gt;=40%),"&gt;40%",AND(M15&lt;40%,M15&gt;=0%),"&gt;0%"),""))</f>
        <v>&gt;40%</v>
      </c>
      <c r="O15" s="55" t="str">
        <f>IFERROR(VLOOKUP(DATA_MARZO_202651[[#This Row],[ASER_]],$B:$G,4,0),"")</f>
        <v>JORGE</v>
      </c>
      <c r="P15" s="6">
        <f>VLOOKUP(DATA_MARZO_202651[[#This Row],[ASER_]],D1_MARZO_202655[[ASESOR_CRR]:[RECUPERO]],6,0)</f>
        <v>36729</v>
      </c>
      <c r="Q15" s="6">
        <f>VLOOKUP(DATA_MARZO_202651[[#This Row],[ASER_]],D1_MARZO_202655[[ASESOR_CRR]:[META]],2,0)</f>
        <v>56000</v>
      </c>
      <c r="R15" t="s">
        <v>24</v>
      </c>
      <c r="S15" s="47">
        <v>361</v>
      </c>
      <c r="T15">
        <v>0</v>
      </c>
      <c r="U15">
        <v>0</v>
      </c>
      <c r="V15">
        <v>400</v>
      </c>
      <c r="W15">
        <v>265</v>
      </c>
      <c r="X15">
        <v>2000</v>
      </c>
      <c r="Y15">
        <v>4200</v>
      </c>
      <c r="Z15">
        <v>0</v>
      </c>
      <c r="AA15">
        <v>0</v>
      </c>
      <c r="AB15">
        <v>210</v>
      </c>
      <c r="AC15">
        <v>4000</v>
      </c>
      <c r="AD15">
        <v>1500</v>
      </c>
      <c r="AE15">
        <v>600</v>
      </c>
      <c r="AF15">
        <v>5780</v>
      </c>
      <c r="AG15">
        <v>150</v>
      </c>
      <c r="AH15">
        <v>4700</v>
      </c>
      <c r="AI15">
        <v>7500</v>
      </c>
      <c r="AJ15">
        <v>600</v>
      </c>
      <c r="AK15">
        <v>0</v>
      </c>
      <c r="AL15">
        <v>600</v>
      </c>
      <c r="AM15">
        <v>1311</v>
      </c>
      <c r="AN15">
        <v>2252</v>
      </c>
      <c r="AO15" s="55" t="str" cm="1">
        <f t="array" ref="AO15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15" s="45"/>
      <c r="BB15" s="45"/>
      <c r="BC15" s="45"/>
      <c r="BE15" s="45"/>
    </row>
    <row r="16" spans="1:69" x14ac:dyDescent="0.25">
      <c r="A16" s="34" t="str" cm="1">
        <f t="array" ref="A1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6" s="34" t="str" cm="1">
        <f t="array" ref="B16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DANIEL ZAPATA</v>
      </c>
      <c r="C16" s="34" cm="1">
        <f t="array" ref="C16">_xlfn.XLOOKUP(1,(TablaMeta[CONCAT]=$M$3&amp;$N$3&amp;D1_MARZO_202655[[#This Row],[SUPER]])*(TablaMeta[SEGG]=D1_MARZO_202655[[#This Row],[SEGMENTO]]),TablaMeta[Meta_Asesor])</f>
        <v>30500</v>
      </c>
      <c r="D16" s="35">
        <f>IF(D1_MARZO_202655[[#This Row],[RECUPERO]]="VACACIONES","VACACIONES",IFERROR(D1_MARZO_202655[[#This Row],[RECUPERO]]/D1_MARZO_202655[[#This Row],[META]],""))</f>
        <v>0.77855737704918038</v>
      </c>
      <c r="E16" s="35" t="str">
        <f>D1_MARZO_202655[[#This Row],[SUPER]]</f>
        <v>KENNETH</v>
      </c>
      <c r="F16" t="s">
        <v>80</v>
      </c>
      <c r="G16" s="3">
        <v>23746</v>
      </c>
      <c r="H16" cm="1">
        <f t="array" ref="H1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45084594</v>
      </c>
      <c r="I16" s="56" cm="1">
        <f t="array" ref="I1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45281</v>
      </c>
      <c r="J16" s="56" t="str" cm="1">
        <f t="array" ref="J1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6" s="56" t="str" cm="1">
        <f t="array" ref="K1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6" s="56"/>
      <c r="M16" s="5">
        <f>DATA_MARZO_202651[[#This Row],[RECUPERO]]/DATA_MARZO_202651[[#This Row],[META]]</f>
        <v>0.87978571428571428</v>
      </c>
      <c r="N16" s="5" t="str" cm="1">
        <f t="array" ref="N16">IF(DATA_MARZO_202651[[#This Row],[ASER_]]="","",IFERROR(_xlfn.IFS(M16&gt;=100%,"&gt;100%",AND(M16&lt;100%,M16&gt;=70%),"&gt;70%",AND(M16&lt;70%,M16&gt;=40%),"&gt;40%",AND(M16&lt;40%,M16&gt;=0%),"&gt;0%"),""))</f>
        <v>&gt;70%</v>
      </c>
      <c r="O16" s="55" t="str">
        <f>IFERROR(VLOOKUP(DATA_MARZO_202651[[#This Row],[ASER_]],$B:$G,4,0),"")</f>
        <v>JORGE</v>
      </c>
      <c r="P16" s="6">
        <f>VLOOKUP(DATA_MARZO_202651[[#This Row],[ASER_]],D1_MARZO_202655[[ASESOR_CRR]:[RECUPERO]],6,0)</f>
        <v>49268</v>
      </c>
      <c r="Q16" s="6">
        <f>VLOOKUP(DATA_MARZO_202651[[#This Row],[ASER_]],D1_MARZO_202655[[ASESOR_CRR]:[META]],2,0)</f>
        <v>56000</v>
      </c>
      <c r="R16" t="s">
        <v>13</v>
      </c>
      <c r="S16">
        <v>0</v>
      </c>
      <c r="T16">
        <v>0</v>
      </c>
      <c r="U16">
        <v>10000</v>
      </c>
      <c r="V16">
        <v>270</v>
      </c>
      <c r="W16">
        <v>400</v>
      </c>
      <c r="X16">
        <v>700</v>
      </c>
      <c r="Y16">
        <v>0</v>
      </c>
      <c r="Z16">
        <v>0</v>
      </c>
      <c r="AA16">
        <v>0</v>
      </c>
      <c r="AB16">
        <v>1500</v>
      </c>
      <c r="AC16">
        <v>1000</v>
      </c>
      <c r="AD16">
        <v>5000</v>
      </c>
      <c r="AE16">
        <v>8800</v>
      </c>
      <c r="AF16">
        <v>0</v>
      </c>
      <c r="AG16">
        <v>0</v>
      </c>
      <c r="AH16">
        <v>1100</v>
      </c>
      <c r="AI16">
        <v>0</v>
      </c>
      <c r="AJ16">
        <v>9500</v>
      </c>
      <c r="AK16">
        <v>2200</v>
      </c>
      <c r="AL16">
        <v>900</v>
      </c>
      <c r="AM16">
        <v>0</v>
      </c>
      <c r="AN16">
        <v>7898</v>
      </c>
      <c r="AO16" s="55" t="str" cm="1">
        <f t="array" ref="AO16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Z16" s="45"/>
      <c r="BA16" s="45"/>
      <c r="BB16" s="45"/>
      <c r="BC16" s="45"/>
      <c r="BE16" s="45"/>
      <c r="BF16" s="45"/>
      <c r="BG16" s="45"/>
      <c r="BO16" s="45"/>
    </row>
    <row r="17" spans="1:67" x14ac:dyDescent="0.25">
      <c r="A17" s="34" t="str" cm="1">
        <f t="array" ref="A1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7" s="34" t="str" cm="1">
        <f t="array" ref="B17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NATALIA MARIN</v>
      </c>
      <c r="C17" s="34" cm="1">
        <f t="array" ref="C17">_xlfn.XLOOKUP(1,(TablaMeta[CONCAT]=$M$3&amp;$N$3&amp;D1_MARZO_202655[[#This Row],[SUPER]])*(TablaMeta[SEGG]=D1_MARZO_202655[[#This Row],[SEGMENTO]]),TablaMeta[Meta_Asesor])</f>
        <v>32500</v>
      </c>
      <c r="D17" s="35">
        <f>IF(D1_MARZO_202655[[#This Row],[RECUPERO]]="VACACIONES","VACACIONES",IFERROR(D1_MARZO_202655[[#This Row],[RECUPERO]]/D1_MARZO_202655[[#This Row],[META]],""))</f>
        <v>3.5090769230769232</v>
      </c>
      <c r="E17" s="35" t="str">
        <f>D1_MARZO_202655[[#This Row],[SUPER]]</f>
        <v>SANDY</v>
      </c>
      <c r="F17" t="s">
        <v>79</v>
      </c>
      <c r="G17" s="3">
        <v>114045</v>
      </c>
      <c r="H17" cm="1">
        <f t="array" ref="H1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71262377</v>
      </c>
      <c r="I17" s="56" cm="1">
        <f t="array" ref="I1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45145</v>
      </c>
      <c r="J17" s="56" t="str" cm="1">
        <f t="array" ref="J1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7" s="56" t="str" cm="1">
        <f t="array" ref="K1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7" s="56"/>
      <c r="M17" s="5">
        <f>DATA_MARZO_202651[[#This Row],[RECUPERO]]/DATA_MARZO_202651[[#This Row],[META]]</f>
        <v>0.70067857142857148</v>
      </c>
      <c r="N17" s="5" t="str" cm="1">
        <f t="array" ref="N17">IF(DATA_MARZO_202651[[#This Row],[ASER_]]="","",IFERROR(_xlfn.IFS(M17&gt;=100%,"&gt;100%",AND(M17&lt;100%,M17&gt;=70%),"&gt;70%",AND(M17&lt;70%,M17&gt;=40%),"&gt;40%",AND(M17&lt;40%,M17&gt;=0%),"&gt;0%"),""))</f>
        <v>&gt;70%</v>
      </c>
      <c r="O17" s="55" t="str">
        <f>IFERROR(VLOOKUP(DATA_MARZO_202651[[#This Row],[ASER_]],$B:$G,4,0),"")</f>
        <v>JORGE</v>
      </c>
      <c r="P17" s="6">
        <f>VLOOKUP(DATA_MARZO_202651[[#This Row],[ASER_]],D1_MARZO_202655[[ASESOR_CRR]:[RECUPERO]],6,0)</f>
        <v>39238</v>
      </c>
      <c r="Q17" s="6">
        <f>VLOOKUP(DATA_MARZO_202651[[#This Row],[ASER_]],D1_MARZO_202655[[ASESOR_CRR]:[META]],2,0)</f>
        <v>56000</v>
      </c>
      <c r="R17" t="s">
        <v>25</v>
      </c>
      <c r="S17" s="45">
        <v>0</v>
      </c>
      <c r="T17">
        <v>0</v>
      </c>
      <c r="U17">
        <v>0</v>
      </c>
      <c r="V17">
        <v>280</v>
      </c>
      <c r="W17">
        <v>0</v>
      </c>
      <c r="X17">
        <v>0</v>
      </c>
      <c r="Y17">
        <v>2500</v>
      </c>
      <c r="Z17">
        <v>0</v>
      </c>
      <c r="AA17">
        <v>0</v>
      </c>
      <c r="AB17">
        <v>9500</v>
      </c>
      <c r="AC17">
        <v>0</v>
      </c>
      <c r="AD17">
        <v>0</v>
      </c>
      <c r="AE17">
        <v>2850</v>
      </c>
      <c r="AF17">
        <v>2150</v>
      </c>
      <c r="AG17">
        <v>600</v>
      </c>
      <c r="AH17">
        <v>4200</v>
      </c>
      <c r="AI17">
        <v>0</v>
      </c>
      <c r="AJ17">
        <v>390</v>
      </c>
      <c r="AK17">
        <v>0</v>
      </c>
      <c r="AL17">
        <v>6880</v>
      </c>
      <c r="AM17">
        <v>1050</v>
      </c>
      <c r="AN17">
        <v>8838</v>
      </c>
      <c r="AO17" s="55" t="str" cm="1">
        <f t="array" ref="AO17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Y17" s="45"/>
      <c r="BA17" s="45"/>
      <c r="BB17" s="47"/>
      <c r="BC17" s="47"/>
      <c r="BE17" s="47"/>
      <c r="BF17" s="45"/>
      <c r="BG17" s="45"/>
      <c r="BI17" s="45"/>
      <c r="BN17" s="45"/>
      <c r="BO17" s="45"/>
    </row>
    <row r="18" spans="1:67" x14ac:dyDescent="0.25">
      <c r="A18" s="34" t="str" cm="1">
        <f t="array" ref="A1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8" s="34" t="str" cm="1">
        <f t="array" ref="B18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GIANNINA AGUILAR</v>
      </c>
      <c r="C18" s="34" cm="1">
        <f t="array" ref="C18">_xlfn.XLOOKUP(1,(TablaMeta[CONCAT]=$M$3&amp;$N$3&amp;D1_MARZO_202655[[#This Row],[SUPER]])*(TablaMeta[SEGG]=D1_MARZO_202655[[#This Row],[SEGMENTO]]),TablaMeta[Meta_Asesor])</f>
        <v>32500</v>
      </c>
      <c r="D18" s="35">
        <f>IF(D1_MARZO_202655[[#This Row],[RECUPERO]]="VACACIONES","VACACIONES",IFERROR(D1_MARZO_202655[[#This Row],[RECUPERO]]/D1_MARZO_202655[[#This Row],[META]],""))</f>
        <v>2.1332923076923076</v>
      </c>
      <c r="E18" s="35" t="str">
        <f>D1_MARZO_202655[[#This Row],[SUPER]]</f>
        <v>SANDY</v>
      </c>
      <c r="F18" t="s">
        <v>32</v>
      </c>
      <c r="G18" s="3">
        <v>69332</v>
      </c>
      <c r="H18" cm="1">
        <f t="array" ref="H1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48584670</v>
      </c>
      <c r="I18" s="56" cm="1">
        <f t="array" ref="I1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45526</v>
      </c>
      <c r="J18" s="56" t="str" cm="1">
        <f t="array" ref="J1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8" s="56" t="str" cm="1">
        <f t="array" ref="K1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8" s="56"/>
      <c r="M18" s="5">
        <f>DATA_MARZO_202651[[#This Row],[RECUPERO]]/DATA_MARZO_202651[[#This Row],[META]]</f>
        <v>1.11625</v>
      </c>
      <c r="N18" s="5" t="str" cm="1">
        <f t="array" ref="N18">IF(DATA_MARZO_202651[[#This Row],[ASER_]]="","",IFERROR(_xlfn.IFS(M18&gt;=100%,"&gt;100%",AND(M18&lt;100%,M18&gt;=70%),"&gt;70%",AND(M18&lt;70%,M18&gt;=40%),"&gt;40%",AND(M18&lt;40%,M18&gt;=0%),"&gt;0%"),""))</f>
        <v>&gt;100%</v>
      </c>
      <c r="O18" s="55" t="str">
        <f>IFERROR(VLOOKUP(DATA_MARZO_202651[[#This Row],[ASER_]],$B:$G,4,0),"")</f>
        <v>JORGE</v>
      </c>
      <c r="P18" s="6">
        <f>VLOOKUP(DATA_MARZO_202651[[#This Row],[ASER_]],D1_MARZO_202655[[ASESOR_CRR]:[RECUPERO]],6,0)</f>
        <v>62510</v>
      </c>
      <c r="Q18" s="6">
        <f>VLOOKUP(DATA_MARZO_202651[[#This Row],[ASER_]],D1_MARZO_202655[[ASESOR_CRR]:[META]],2,0)</f>
        <v>56000</v>
      </c>
      <c r="R18" t="s">
        <v>22</v>
      </c>
      <c r="S18">
        <v>0</v>
      </c>
      <c r="T18">
        <v>12500</v>
      </c>
      <c r="U18">
        <v>0</v>
      </c>
      <c r="V18">
        <v>3000</v>
      </c>
      <c r="W18">
        <v>4750</v>
      </c>
      <c r="X18">
        <v>1000</v>
      </c>
      <c r="Y18">
        <v>1000</v>
      </c>
      <c r="Z18">
        <v>0</v>
      </c>
      <c r="AA18">
        <v>0</v>
      </c>
      <c r="AB18">
        <v>9000</v>
      </c>
      <c r="AC18">
        <v>0</v>
      </c>
      <c r="AD18">
        <v>20000</v>
      </c>
      <c r="AE18">
        <v>0</v>
      </c>
      <c r="AF18">
        <v>0</v>
      </c>
      <c r="AG18">
        <v>1000</v>
      </c>
      <c r="AH18">
        <v>1000</v>
      </c>
      <c r="AI18">
        <v>5080</v>
      </c>
      <c r="AJ18">
        <v>0</v>
      </c>
      <c r="AK18">
        <v>1800</v>
      </c>
      <c r="AL18">
        <v>0</v>
      </c>
      <c r="AM18">
        <v>1220</v>
      </c>
      <c r="AN18">
        <v>760</v>
      </c>
      <c r="AO18" s="55" t="str" cm="1">
        <f t="array" ref="AO18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U18" s="45"/>
      <c r="BA18" s="47"/>
      <c r="BB18" s="45"/>
      <c r="BC18" s="45"/>
      <c r="BE18" s="45"/>
      <c r="BF18" s="47"/>
      <c r="BG18" s="47"/>
      <c r="BI18" s="45"/>
      <c r="BJ18" s="45"/>
      <c r="BN18" s="45"/>
      <c r="BO18" s="47"/>
    </row>
    <row r="19" spans="1:67" x14ac:dyDescent="0.25">
      <c r="A19" s="34" t="str" cm="1">
        <f t="array" ref="A1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9" s="34" t="str" cm="1">
        <f t="array" ref="B19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LUIS VALLADARES</v>
      </c>
      <c r="C19" s="34" cm="1">
        <f t="array" ref="C19">_xlfn.XLOOKUP(1,(TablaMeta[CONCAT]=$M$3&amp;$N$3&amp;D1_MARZO_202655[[#This Row],[SUPER]])*(TablaMeta[SEGG]=D1_MARZO_202655[[#This Row],[SEGMENTO]]),TablaMeta[Meta_Asesor])</f>
        <v>32500</v>
      </c>
      <c r="D19" s="35">
        <f>IF(D1_MARZO_202655[[#This Row],[RECUPERO]]="VACACIONES","VACACIONES",IFERROR(D1_MARZO_202655[[#This Row],[RECUPERO]]/D1_MARZO_202655[[#This Row],[META]],""))</f>
        <v>1.7521969230769232</v>
      </c>
      <c r="E19" s="35" t="str">
        <f>D1_MARZO_202655[[#This Row],[SUPER]]</f>
        <v>SANDY</v>
      </c>
      <c r="F19" t="s">
        <v>29</v>
      </c>
      <c r="G19" s="3">
        <v>56946.400000000001</v>
      </c>
      <c r="H19" cm="1">
        <f t="array" ref="H1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72758956</v>
      </c>
      <c r="I19" s="56" cm="1">
        <f t="array" ref="I1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44685</v>
      </c>
      <c r="J19" s="56" t="str" cm="1">
        <f t="array" ref="J1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9" s="56" t="str" cm="1">
        <f t="array" ref="K1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19" s="56"/>
      <c r="M19" s="5">
        <f>DATA_MARZO_202651[[#This Row],[RECUPERO]]/DATA_MARZO_202651[[#This Row],[META]]</f>
        <v>0.27027946428571425</v>
      </c>
      <c r="N19" s="5" t="str" cm="1">
        <f t="array" ref="N19">IF(DATA_MARZO_202651[[#This Row],[ASER_]]="","",IFERROR(_xlfn.IFS(M19&gt;=100%,"&gt;100%",AND(M19&lt;100%,M19&gt;=70%),"&gt;70%",AND(M19&lt;70%,M19&gt;=40%),"&gt;40%",AND(M19&lt;40%,M19&gt;=0%),"&gt;0%"),""))</f>
        <v>&gt;0%</v>
      </c>
      <c r="O19" s="55" t="str">
        <f>IFERROR(VLOOKUP(DATA_MARZO_202651[[#This Row],[ASER_]],$B:$G,4,0),"")</f>
        <v>JORGE</v>
      </c>
      <c r="P19" s="6">
        <f>VLOOKUP(DATA_MARZO_202651[[#This Row],[ASER_]],D1_MARZO_202655[[ASESOR_CRR]:[RECUPERO]],6,0)</f>
        <v>15135.65</v>
      </c>
      <c r="Q19" s="6">
        <f>VLOOKUP(DATA_MARZO_202651[[#This Row],[ASER_]],D1_MARZO_202655[[ASESOR_CRR]:[META]],2,0)</f>
        <v>56000</v>
      </c>
      <c r="R19" t="s">
        <v>564</v>
      </c>
      <c r="S19">
        <v>0</v>
      </c>
      <c r="T19">
        <v>0</v>
      </c>
      <c r="U19">
        <v>0</v>
      </c>
      <c r="V19">
        <v>0</v>
      </c>
      <c r="W19">
        <v>0</v>
      </c>
      <c r="X19">
        <v>321.64999999999998</v>
      </c>
      <c r="Y19">
        <v>0</v>
      </c>
      <c r="Z19">
        <v>2900</v>
      </c>
      <c r="AA19">
        <v>142</v>
      </c>
      <c r="AB19">
        <v>0</v>
      </c>
      <c r="AC19">
        <v>450</v>
      </c>
      <c r="AD19">
        <v>0</v>
      </c>
      <c r="AE19">
        <v>3500</v>
      </c>
      <c r="AF19">
        <v>0</v>
      </c>
      <c r="AG19">
        <v>1200</v>
      </c>
      <c r="AH19">
        <v>0</v>
      </c>
      <c r="AI19">
        <v>5500</v>
      </c>
      <c r="AJ19">
        <v>0</v>
      </c>
      <c r="AK19">
        <v>750</v>
      </c>
      <c r="AL19">
        <v>242</v>
      </c>
      <c r="AM19">
        <v>0</v>
      </c>
      <c r="AN19">
        <v>0</v>
      </c>
      <c r="AO19" s="55" t="str" cm="1">
        <f t="array" ref="AO19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U19" s="45"/>
      <c r="BA19" s="47"/>
      <c r="BB19" s="45"/>
      <c r="BC19" s="45"/>
      <c r="BE19" s="45"/>
      <c r="BF19" s="47"/>
      <c r="BG19" s="47"/>
      <c r="BI19" s="45"/>
      <c r="BJ19" s="45"/>
      <c r="BN19" s="47"/>
      <c r="BO19" s="47"/>
    </row>
    <row r="20" spans="1:67" x14ac:dyDescent="0.25">
      <c r="A20" s="34" t="str" cm="1">
        <f t="array" ref="A2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0" s="34" t="str" cm="1">
        <f t="array" ref="B20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LUCERO JORDAN</v>
      </c>
      <c r="C20" s="34" cm="1">
        <f t="array" ref="C20">_xlfn.XLOOKUP(1,(TablaMeta[CONCAT]=$M$3&amp;$N$3&amp;D1_MARZO_202655[[#This Row],[SUPER]])*(TablaMeta[SEGG]=D1_MARZO_202655[[#This Row],[SEGMENTO]]),TablaMeta[Meta_Asesor])</f>
        <v>32500</v>
      </c>
      <c r="D20" s="35">
        <f>IF(D1_MARZO_202655[[#This Row],[RECUPERO]]="VACACIONES","VACACIONES",IFERROR(D1_MARZO_202655[[#This Row],[RECUPERO]]/D1_MARZO_202655[[#This Row],[META]],""))</f>
        <v>1.4471187692307692</v>
      </c>
      <c r="E20" s="35" t="str">
        <f>D1_MARZO_202655[[#This Row],[SUPER]]</f>
        <v>SANDY</v>
      </c>
      <c r="F20" t="s">
        <v>68</v>
      </c>
      <c r="G20" s="3">
        <v>47031.360000000001</v>
      </c>
      <c r="H20" cm="1">
        <f t="array" ref="H2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73257316</v>
      </c>
      <c r="I20" s="56" cm="1">
        <f t="array" ref="I2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45363</v>
      </c>
      <c r="J20" s="56" t="str" cm="1">
        <f t="array" ref="J2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0" s="56" t="str" cm="1">
        <f t="array" ref="K2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20" s="56"/>
      <c r="M20" s="5">
        <f>DATA_MARZO_202651[[#This Row],[RECUPERO]]/DATA_MARZO_202651[[#This Row],[META]]</f>
        <v>1.557625</v>
      </c>
      <c r="N20" s="5" t="str" cm="1">
        <f t="array" ref="N20">IF(DATA_MARZO_202651[[#This Row],[ASER_]]="","",IFERROR(_xlfn.IFS(M20&gt;=100%,"&gt;100%",AND(M20&lt;100%,M20&gt;=70%),"&gt;70%",AND(M20&lt;70%,M20&gt;=40%),"&gt;40%",AND(M20&lt;40%,M20&gt;=0%),"&gt;0%"),""))</f>
        <v>&gt;100%</v>
      </c>
      <c r="O20" s="55" t="str">
        <f>IFERROR(VLOOKUP(DATA_MARZO_202651[[#This Row],[ASER_]],$B:$G,4,0),"")</f>
        <v>JOHAN</v>
      </c>
      <c r="P20" s="6">
        <f>VLOOKUP(DATA_MARZO_202651[[#This Row],[ASER_]],D1_MARZO_202655[[ASESOR_CRR]:[RECUPERO]],6,0)</f>
        <v>87227</v>
      </c>
      <c r="Q20" s="6">
        <f>VLOOKUP(DATA_MARZO_202651[[#This Row],[ASER_]],D1_MARZO_202655[[ASESOR_CRR]:[META]],2,0)</f>
        <v>56000</v>
      </c>
      <c r="R20" t="s">
        <v>59</v>
      </c>
      <c r="S20">
        <v>3500</v>
      </c>
      <c r="T20">
        <v>0</v>
      </c>
      <c r="U20">
        <v>1000</v>
      </c>
      <c r="V20">
        <v>0</v>
      </c>
      <c r="W20">
        <v>0</v>
      </c>
      <c r="X20">
        <v>5500</v>
      </c>
      <c r="Y20">
        <v>0</v>
      </c>
      <c r="Z20">
        <v>0</v>
      </c>
      <c r="AA20">
        <v>4500</v>
      </c>
      <c r="AB20">
        <v>0</v>
      </c>
      <c r="AC20">
        <v>200</v>
      </c>
      <c r="AD20">
        <v>2200</v>
      </c>
      <c r="AE20">
        <v>8000</v>
      </c>
      <c r="AF20">
        <v>1860</v>
      </c>
      <c r="AG20">
        <v>3600</v>
      </c>
      <c r="AH20">
        <v>5470</v>
      </c>
      <c r="AI20">
        <v>2140</v>
      </c>
      <c r="AJ20">
        <v>0</v>
      </c>
      <c r="AK20">
        <v>1500</v>
      </c>
      <c r="AL20">
        <v>10000</v>
      </c>
      <c r="AM20">
        <v>642</v>
      </c>
      <c r="AN20">
        <v>37115</v>
      </c>
      <c r="AO20" s="55" t="str" cm="1">
        <f t="array" ref="AO20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U20" s="47"/>
      <c r="BA20" s="45"/>
      <c r="BG20" s="45"/>
      <c r="BI20" s="45"/>
      <c r="BJ20" s="47"/>
      <c r="BM20" s="45"/>
      <c r="BN20" s="47"/>
      <c r="BO20" s="45"/>
    </row>
    <row r="21" spans="1:67" x14ac:dyDescent="0.25">
      <c r="A21" s="34" t="str" cm="1">
        <f t="array" ref="A2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1" s="34" t="str" cm="1">
        <f t="array" ref="B21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JESSICA MELGAREJO</v>
      </c>
      <c r="C21" s="34" cm="1">
        <f t="array" ref="C21">_xlfn.XLOOKUP(1,(TablaMeta[CONCAT]=$M$3&amp;$N$3&amp;D1_MARZO_202655[[#This Row],[SUPER]])*(TablaMeta[SEGG]=D1_MARZO_202655[[#This Row],[SEGMENTO]]),TablaMeta[Meta_Asesor])</f>
        <v>32500</v>
      </c>
      <c r="D21" s="35">
        <f>IF(D1_MARZO_202655[[#This Row],[RECUPERO]]="VACACIONES","VACACIONES",IFERROR(D1_MARZO_202655[[#This Row],[RECUPERO]]/D1_MARZO_202655[[#This Row],[META]],""))</f>
        <v>1.2964615384615386</v>
      </c>
      <c r="E21" s="35" t="str">
        <f>D1_MARZO_202655[[#This Row],[SUPER]]</f>
        <v>SANDY</v>
      </c>
      <c r="F21" t="s">
        <v>96</v>
      </c>
      <c r="G21" s="3">
        <v>42135</v>
      </c>
      <c r="H21" cm="1">
        <f t="array" ref="H2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46793103</v>
      </c>
      <c r="I21" s="56" cm="1">
        <f t="array" ref="I2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45882</v>
      </c>
      <c r="J21" s="56" t="str" cm="1">
        <f t="array" ref="J2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1" s="56" t="str" cm="1">
        <f t="array" ref="K2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21" s="56"/>
      <c r="M21" s="5">
        <f>DATA_MARZO_202651[[#This Row],[RECUPERO]]/DATA_MARZO_202651[[#This Row],[META]]</f>
        <v>1.2195178571428571</v>
      </c>
      <c r="N21" s="5" t="str" cm="1">
        <f t="array" ref="N21">IF(DATA_MARZO_202651[[#This Row],[ASER_]]="","",IFERROR(_xlfn.IFS(M21&gt;=100%,"&gt;100%",AND(M21&lt;100%,M21&gt;=70%),"&gt;70%",AND(M21&lt;70%,M21&gt;=40%),"&gt;40%",AND(M21&lt;40%,M21&gt;=0%),"&gt;0%"),""))</f>
        <v>&gt;100%</v>
      </c>
      <c r="O21" s="55" t="str">
        <f>IFERROR(VLOOKUP(DATA_MARZO_202651[[#This Row],[ASER_]],$B:$G,4,0),"")</f>
        <v>JOHAN</v>
      </c>
      <c r="P21" s="6">
        <f>VLOOKUP(DATA_MARZO_202651[[#This Row],[ASER_]],D1_MARZO_202655[[ASESOR_CRR]:[RECUPERO]],6,0)</f>
        <v>68293</v>
      </c>
      <c r="Q21" s="6">
        <f>VLOOKUP(DATA_MARZO_202651[[#This Row],[ASER_]],D1_MARZO_202655[[ASESOR_CRR]:[META]],2,0)</f>
        <v>56000</v>
      </c>
      <c r="R21" t="s">
        <v>60</v>
      </c>
      <c r="S21">
        <v>1377</v>
      </c>
      <c r="T21">
        <v>1370</v>
      </c>
      <c r="U21">
        <v>0</v>
      </c>
      <c r="V21">
        <v>1900</v>
      </c>
      <c r="W21">
        <v>3200</v>
      </c>
      <c r="X21">
        <v>0</v>
      </c>
      <c r="Y21">
        <v>3600</v>
      </c>
      <c r="Z21">
        <v>0</v>
      </c>
      <c r="AA21">
        <v>0</v>
      </c>
      <c r="AB21">
        <v>3300</v>
      </c>
      <c r="AC21">
        <v>0</v>
      </c>
      <c r="AD21">
        <v>7400</v>
      </c>
      <c r="AE21">
        <v>4800</v>
      </c>
      <c r="AF21">
        <v>0</v>
      </c>
      <c r="AG21">
        <v>21426</v>
      </c>
      <c r="AH21">
        <v>0</v>
      </c>
      <c r="AI21">
        <v>0</v>
      </c>
      <c r="AJ21">
        <v>700</v>
      </c>
      <c r="AK21">
        <v>0</v>
      </c>
      <c r="AL21">
        <v>3230</v>
      </c>
      <c r="AM21">
        <v>12203</v>
      </c>
      <c r="AN21">
        <v>3787</v>
      </c>
      <c r="AO21" s="55" t="str" cm="1">
        <f t="array" ref="AO2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U21" s="47"/>
      <c r="BI21" s="45"/>
      <c r="BJ21" s="47"/>
      <c r="BM21" s="45"/>
      <c r="BN21" s="45"/>
    </row>
    <row r="22" spans="1:67" x14ac:dyDescent="0.25">
      <c r="A22" s="34" t="str" cm="1">
        <f t="array" ref="A2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2" s="34" t="str" cm="1">
        <f t="array" ref="B22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CARLA VALENCIA</v>
      </c>
      <c r="C22" s="34" cm="1">
        <f t="array" ref="C22">_xlfn.XLOOKUP(1,(TablaMeta[CONCAT]=$M$3&amp;$N$3&amp;D1_MARZO_202655[[#This Row],[SUPER]])*(TablaMeta[SEGG]=D1_MARZO_202655[[#This Row],[SEGMENTO]]),TablaMeta[Meta_Asesor])</f>
        <v>32500</v>
      </c>
      <c r="D22" s="35">
        <f>IF(D1_MARZO_202655[[#This Row],[RECUPERO]]="VACACIONES","VACACIONES",IFERROR(D1_MARZO_202655[[#This Row],[RECUPERO]]/D1_MARZO_202655[[#This Row],[META]],""))</f>
        <v>0.9849230769230769</v>
      </c>
      <c r="E22" s="35" t="str">
        <f>D1_MARZO_202655[[#This Row],[SUPER]]</f>
        <v>SANDY</v>
      </c>
      <c r="F22" t="s">
        <v>174</v>
      </c>
      <c r="G22" s="3">
        <v>32010</v>
      </c>
      <c r="H22" cm="1">
        <f t="array" ref="H2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46994661</v>
      </c>
      <c r="I22" s="56" cm="1">
        <f t="array" ref="I2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45992</v>
      </c>
      <c r="J22" s="56" t="str" cm="1">
        <f t="array" ref="J2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2" s="56" t="str" cm="1">
        <f t="array" ref="K2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22" s="56"/>
      <c r="M22" s="5">
        <f>DATA_MARZO_202651[[#This Row],[RECUPERO]]/DATA_MARZO_202651[[#This Row],[META]]</f>
        <v>1.0212857142857144</v>
      </c>
      <c r="N22" s="5" t="str" cm="1">
        <f t="array" ref="N22">IF(DATA_MARZO_202651[[#This Row],[ASER_]]="","",IFERROR(_xlfn.IFS(M22&gt;=100%,"&gt;100%",AND(M22&lt;100%,M22&gt;=70%),"&gt;70%",AND(M22&lt;70%,M22&gt;=40%),"&gt;40%",AND(M22&lt;40%,M22&gt;=0%),"&gt;0%"),""))</f>
        <v>&gt;100%</v>
      </c>
      <c r="O22" s="55" t="str">
        <f>IFERROR(VLOOKUP(DATA_MARZO_202651[[#This Row],[ASER_]],$B:$G,4,0),"")</f>
        <v>JOHAN</v>
      </c>
      <c r="P22" s="6">
        <f>VLOOKUP(DATA_MARZO_202651[[#This Row],[ASER_]],D1_MARZO_202655[[ASESOR_CRR]:[RECUPERO]],6,0)</f>
        <v>57192</v>
      </c>
      <c r="Q22" s="6">
        <f>VLOOKUP(DATA_MARZO_202651[[#This Row],[ASER_]],D1_MARZO_202655[[ASESOR_CRR]:[META]],2,0)</f>
        <v>56000</v>
      </c>
      <c r="R22" t="s">
        <v>75</v>
      </c>
      <c r="S22">
        <v>0</v>
      </c>
      <c r="T22">
        <v>2000</v>
      </c>
      <c r="U22">
        <v>0</v>
      </c>
      <c r="V22">
        <v>0</v>
      </c>
      <c r="W22">
        <v>500</v>
      </c>
      <c r="X22">
        <v>4200</v>
      </c>
      <c r="Y22">
        <v>0</v>
      </c>
      <c r="Z22">
        <v>0</v>
      </c>
      <c r="AA22">
        <v>115</v>
      </c>
      <c r="AB22">
        <v>12000</v>
      </c>
      <c r="AC22">
        <v>11750</v>
      </c>
      <c r="AD22">
        <v>2140</v>
      </c>
      <c r="AE22">
        <v>0</v>
      </c>
      <c r="AF22">
        <v>0</v>
      </c>
      <c r="AG22">
        <v>1750</v>
      </c>
      <c r="AH22">
        <v>0</v>
      </c>
      <c r="AI22">
        <v>281</v>
      </c>
      <c r="AJ22">
        <v>0</v>
      </c>
      <c r="AK22">
        <v>2562</v>
      </c>
      <c r="AL22">
        <v>9679</v>
      </c>
      <c r="AM22">
        <v>5500</v>
      </c>
      <c r="AN22">
        <v>4715</v>
      </c>
      <c r="AO22" s="55" t="str" cm="1">
        <f t="array" ref="AO22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U22" s="45"/>
      <c r="BI22" s="47"/>
      <c r="BJ22" s="45"/>
      <c r="BM22" s="45"/>
    </row>
    <row r="23" spans="1:67" x14ac:dyDescent="0.25">
      <c r="A23" s="34" t="str" cm="1">
        <f t="array" ref="A2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3" s="34" t="str" cm="1">
        <f t="array" ref="B23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GENESIS PALACIOS</v>
      </c>
      <c r="C23" s="34" cm="1">
        <f t="array" ref="C23">_xlfn.XLOOKUP(1,(TablaMeta[CONCAT]=$M$3&amp;$N$3&amp;D1_MARZO_202655[[#This Row],[SUPER]])*(TablaMeta[SEGG]=D1_MARZO_202655[[#This Row],[SEGMENTO]]),TablaMeta[Meta_Asesor])</f>
        <v>32500</v>
      </c>
      <c r="D23" s="35">
        <f>IF(D1_MARZO_202655[[#This Row],[RECUPERO]]="VACACIONES","VACACIONES",IFERROR(D1_MARZO_202655[[#This Row],[RECUPERO]]/D1_MARZO_202655[[#This Row],[META]],""))</f>
        <v>0.92175384615384615</v>
      </c>
      <c r="E23" s="35" t="str">
        <f>D1_MARZO_202655[[#This Row],[SUPER]]</f>
        <v>SANDY</v>
      </c>
      <c r="F23" t="s">
        <v>493</v>
      </c>
      <c r="G23" s="3">
        <v>29957</v>
      </c>
      <c r="H23" cm="1">
        <f t="array" ref="H2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75026229</v>
      </c>
      <c r="I23" s="56" cm="1">
        <f t="array" ref="I2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46052</v>
      </c>
      <c r="J23" s="56" t="str" cm="1">
        <f t="array" ref="J2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3" s="56" t="str" cm="1">
        <f t="array" ref="K2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  <c r="L23" s="56"/>
      <c r="M23" s="5">
        <f>DATA_MARZO_202651[[#This Row],[RECUPERO]]/DATA_MARZO_202651[[#This Row],[META]]</f>
        <v>0.86050000000000004</v>
      </c>
      <c r="N23" s="5" t="str" cm="1">
        <f t="array" ref="N23">IF(DATA_MARZO_202651[[#This Row],[ASER_]]="","",IFERROR(_xlfn.IFS(M23&gt;=100%,"&gt;100%",AND(M23&lt;100%,M23&gt;=70%),"&gt;70%",AND(M23&lt;70%,M23&gt;=40%),"&gt;40%",AND(M23&lt;40%,M23&gt;=0%),"&gt;0%"),""))</f>
        <v>&gt;70%</v>
      </c>
      <c r="O23" s="55" t="str">
        <f>IFERROR(VLOOKUP(DATA_MARZO_202651[[#This Row],[ASER_]],$B:$G,4,0),"")</f>
        <v>JOHAN</v>
      </c>
      <c r="P23" s="6">
        <f>VLOOKUP(DATA_MARZO_202651[[#This Row],[ASER_]],D1_MARZO_202655[[ASESOR_CRR]:[RECUPERO]],6,0)</f>
        <v>48188</v>
      </c>
      <c r="Q23" s="6">
        <f>VLOOKUP(DATA_MARZO_202651[[#This Row],[ASER_]],D1_MARZO_202655[[ASESOR_CRR]:[META]],2,0)</f>
        <v>56000</v>
      </c>
      <c r="R23" t="s">
        <v>72</v>
      </c>
      <c r="S23">
        <v>0</v>
      </c>
      <c r="T23">
        <v>3000</v>
      </c>
      <c r="U23">
        <v>1000</v>
      </c>
      <c r="V23">
        <v>0</v>
      </c>
      <c r="W23">
        <v>0</v>
      </c>
      <c r="X23">
        <v>0</v>
      </c>
      <c r="Y23">
        <v>0</v>
      </c>
      <c r="Z23">
        <v>300</v>
      </c>
      <c r="AA23">
        <v>2600</v>
      </c>
      <c r="AB23">
        <v>1000</v>
      </c>
      <c r="AC23">
        <v>12000</v>
      </c>
      <c r="AD23">
        <v>5000</v>
      </c>
      <c r="AE23">
        <v>0</v>
      </c>
      <c r="AF23">
        <v>6000</v>
      </c>
      <c r="AG23">
        <v>0</v>
      </c>
      <c r="AH23">
        <v>0</v>
      </c>
      <c r="AI23">
        <v>2688</v>
      </c>
      <c r="AJ23">
        <v>0</v>
      </c>
      <c r="AK23">
        <v>3000</v>
      </c>
      <c r="AL23">
        <v>1000</v>
      </c>
      <c r="AM23">
        <v>0</v>
      </c>
      <c r="AN23">
        <v>10600</v>
      </c>
      <c r="AO23" s="55" t="str" cm="1">
        <f t="array" ref="AO23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I23" s="45"/>
    </row>
    <row r="24" spans="1:67" x14ac:dyDescent="0.25">
      <c r="A24" s="34" t="str" cm="1">
        <f t="array" ref="A2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4" s="34" t="str" cm="1">
        <f t="array" ref="B24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MARIA HUARCAYA</v>
      </c>
      <c r="C24" s="34" cm="1">
        <f t="array" ref="C24">_xlfn.XLOOKUP(1,(TablaMeta[CONCAT]=$M$3&amp;$N$3&amp;D1_MARZO_202655[[#This Row],[SUPER]])*(TablaMeta[SEGG]=D1_MARZO_202655[[#This Row],[SEGMENTO]]),TablaMeta[Meta_Asesor])</f>
        <v>94000</v>
      </c>
      <c r="D24" s="35">
        <f>IF(D1_MARZO_202655[[#This Row],[RECUPERO]]="VACACIONES","VACACIONES",IFERROR(D1_MARZO_202655[[#This Row],[RECUPERO]]/D1_MARZO_202655[[#This Row],[META]],""))</f>
        <v>1.5171491489361701</v>
      </c>
      <c r="E24" s="35" t="str">
        <f>D1_MARZO_202655[[#This Row],[SUPER]]</f>
        <v>SANDY</v>
      </c>
      <c r="F24" t="s">
        <v>38</v>
      </c>
      <c r="G24" s="3">
        <v>142612.01999999999</v>
      </c>
      <c r="H24" cm="1">
        <f t="array" ref="H2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47411966</v>
      </c>
      <c r="I24" s="56" cm="1">
        <f t="array" ref="I2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45800</v>
      </c>
      <c r="J24" s="56" t="str" cm="1">
        <f t="array" ref="J2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4" s="56" t="str" cm="1">
        <f t="array" ref="K2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  <c r="L24" s="56"/>
      <c r="M24" s="5">
        <f>DATA_MARZO_202651[[#This Row],[RECUPERO]]/DATA_MARZO_202651[[#This Row],[META]]</f>
        <v>0.73692857142857138</v>
      </c>
      <c r="N24" s="5" t="str" cm="1">
        <f t="array" ref="N24">IF(DATA_MARZO_202651[[#This Row],[ASER_]]="","",IFERROR(_xlfn.IFS(M24&gt;=100%,"&gt;100%",AND(M24&lt;100%,M24&gt;=70%),"&gt;70%",AND(M24&lt;70%,M24&gt;=40%),"&gt;40%",AND(M24&lt;40%,M24&gt;=0%),"&gt;0%"),""))</f>
        <v>&gt;70%</v>
      </c>
      <c r="O24" s="55" t="str">
        <f>IFERROR(VLOOKUP(DATA_MARZO_202651[[#This Row],[ASER_]],$B:$G,4,0),"")</f>
        <v>JOHAN</v>
      </c>
      <c r="P24" s="6">
        <f>VLOOKUP(DATA_MARZO_202651[[#This Row],[ASER_]],D1_MARZO_202655[[ASESOR_CRR]:[RECUPERO]],6,0)</f>
        <v>41268</v>
      </c>
      <c r="Q24" s="6">
        <f>VLOOKUP(DATA_MARZO_202651[[#This Row],[ASER_]],D1_MARZO_202655[[ASESOR_CRR]:[META]],2,0)</f>
        <v>56000</v>
      </c>
      <c r="R24" t="s">
        <v>12</v>
      </c>
      <c r="S24">
        <v>0</v>
      </c>
      <c r="T24">
        <v>0</v>
      </c>
      <c r="U24">
        <v>3800</v>
      </c>
      <c r="V24">
        <v>0</v>
      </c>
      <c r="W24">
        <v>3500</v>
      </c>
      <c r="X24">
        <v>0</v>
      </c>
      <c r="Y24">
        <v>0</v>
      </c>
      <c r="Z24">
        <v>1500</v>
      </c>
      <c r="AA24">
        <v>0</v>
      </c>
      <c r="AB24">
        <v>0</v>
      </c>
      <c r="AC24">
        <v>3000</v>
      </c>
      <c r="AD24">
        <v>3078</v>
      </c>
      <c r="AE24">
        <v>1850</v>
      </c>
      <c r="AF24">
        <v>500</v>
      </c>
      <c r="AG24">
        <v>350</v>
      </c>
      <c r="AH24">
        <v>0</v>
      </c>
      <c r="AI24">
        <v>0</v>
      </c>
      <c r="AJ24">
        <v>3500</v>
      </c>
      <c r="AK24">
        <v>2500</v>
      </c>
      <c r="AL24">
        <v>2500</v>
      </c>
      <c r="AM24">
        <v>2600</v>
      </c>
      <c r="AN24">
        <v>12590</v>
      </c>
      <c r="AO24" s="55" t="str" cm="1">
        <f t="array" ref="AO24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M24" s="45"/>
    </row>
    <row r="25" spans="1:67" x14ac:dyDescent="0.25">
      <c r="A25" s="34" t="str" cm="1">
        <f t="array" ref="A2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5" s="34" t="str" cm="1">
        <f t="array" ref="B25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VICTOR RAMIREZ</v>
      </c>
      <c r="C25" s="34" cm="1">
        <f t="array" ref="C25">_xlfn.XLOOKUP(1,(TablaMeta[CONCAT]=$M$3&amp;$N$3&amp;D1_MARZO_202655[[#This Row],[SUPER]])*(TablaMeta[SEGG]=D1_MARZO_202655[[#This Row],[SEGMENTO]]),TablaMeta[Meta_Asesor])</f>
        <v>94000</v>
      </c>
      <c r="D25" s="35">
        <f>IF(D1_MARZO_202655[[#This Row],[RECUPERO]]="VACACIONES","VACACIONES",IFERROR(D1_MARZO_202655[[#This Row],[RECUPERO]]/D1_MARZO_202655[[#This Row],[META]],""))</f>
        <v>1.080235744680851</v>
      </c>
      <c r="E25" s="35" t="str">
        <f>D1_MARZO_202655[[#This Row],[SUPER]]</f>
        <v>SANDY</v>
      </c>
      <c r="F25" t="s">
        <v>76</v>
      </c>
      <c r="G25" s="3">
        <v>101542.16</v>
      </c>
      <c r="H25" cm="1">
        <f t="array" ref="H2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60914051</v>
      </c>
      <c r="I25" s="56" cm="1">
        <f t="array" ref="I2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44817</v>
      </c>
      <c r="J25" s="56" t="str" cm="1">
        <f t="array" ref="J2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5" s="56" t="str" cm="1">
        <f t="array" ref="K2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  <c r="L25" s="56"/>
      <c r="M25" s="5">
        <f>DATA_MARZO_202651[[#This Row],[RECUPERO]]/DATA_MARZO_202651[[#This Row],[META]]</f>
        <v>0.80812499999999998</v>
      </c>
      <c r="N25" s="5" t="str" cm="1">
        <f t="array" ref="N25">IF(DATA_MARZO_202651[[#This Row],[ASER_]]="","",IFERROR(_xlfn.IFS(M25&gt;=100%,"&gt;100%",AND(M25&lt;100%,M25&gt;=70%),"&gt;70%",AND(M25&lt;70%,M25&gt;=40%),"&gt;40%",AND(M25&lt;40%,M25&gt;=0%),"&gt;0%"),""))</f>
        <v>&gt;70%</v>
      </c>
      <c r="O25" s="55" t="str">
        <f>IFERROR(VLOOKUP(DATA_MARZO_202651[[#This Row],[ASER_]],$B:$G,4,0),"")</f>
        <v>JOHAN</v>
      </c>
      <c r="P25" s="6">
        <f>VLOOKUP(DATA_MARZO_202651[[#This Row],[ASER_]],D1_MARZO_202655[[ASESOR_CRR]:[RECUPERO]],6,0)</f>
        <v>45255</v>
      </c>
      <c r="Q25" s="6">
        <f>VLOOKUP(DATA_MARZO_202651[[#This Row],[ASER_]],D1_MARZO_202655[[ASESOR_CRR]:[META]],2,0)</f>
        <v>56000</v>
      </c>
      <c r="R25" t="s">
        <v>18</v>
      </c>
      <c r="S25" s="45">
        <v>0</v>
      </c>
      <c r="T25">
        <v>0</v>
      </c>
      <c r="U25">
        <v>0</v>
      </c>
      <c r="V25">
        <v>4900</v>
      </c>
      <c r="W25">
        <v>0</v>
      </c>
      <c r="X25">
        <v>0</v>
      </c>
      <c r="Y25">
        <v>8000</v>
      </c>
      <c r="Z25">
        <v>0</v>
      </c>
      <c r="AA25">
        <v>0</v>
      </c>
      <c r="AB25">
        <v>2000</v>
      </c>
      <c r="AC25">
        <v>0</v>
      </c>
      <c r="AD25">
        <v>0</v>
      </c>
      <c r="AE25">
        <v>0</v>
      </c>
      <c r="AF25">
        <v>0</v>
      </c>
      <c r="AG25">
        <v>16600</v>
      </c>
      <c r="AH25">
        <v>3000</v>
      </c>
      <c r="AI25">
        <v>4000</v>
      </c>
      <c r="AJ25">
        <v>0</v>
      </c>
      <c r="AK25">
        <v>0</v>
      </c>
      <c r="AL25">
        <v>0</v>
      </c>
      <c r="AM25">
        <v>1205</v>
      </c>
      <c r="AN25">
        <v>5550</v>
      </c>
      <c r="AO25" s="55" t="str" cm="1">
        <f t="array" ref="AO25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6" spans="1:67" x14ac:dyDescent="0.25">
      <c r="A26" s="34" t="str" cm="1">
        <f t="array" ref="A2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6" s="34" t="str" cm="1">
        <f t="array" ref="B26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URSULA CENTENO</v>
      </c>
      <c r="C26" s="34" cm="1">
        <f t="array" ref="C26">_xlfn.XLOOKUP(1,(TablaMeta[CONCAT]=$M$3&amp;$N$3&amp;D1_MARZO_202655[[#This Row],[SUPER]])*(TablaMeta[SEGG]=D1_MARZO_202655[[#This Row],[SEGMENTO]]),TablaMeta[Meta_Asesor])</f>
        <v>94000</v>
      </c>
      <c r="D26" s="35">
        <f>IF(D1_MARZO_202655[[#This Row],[RECUPERO]]="VACACIONES","VACACIONES",IFERROR(D1_MARZO_202655[[#This Row],[RECUPERO]]/D1_MARZO_202655[[#This Row],[META]],""))</f>
        <v>0.81320319148936171</v>
      </c>
      <c r="E26" s="35" t="str">
        <f>D1_MARZO_202655[[#This Row],[SUPER]]</f>
        <v>SANDY</v>
      </c>
      <c r="F26" t="s">
        <v>78</v>
      </c>
      <c r="G26" s="3">
        <v>76441.100000000006</v>
      </c>
      <c r="H26" cm="1">
        <f t="array" ref="H2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10706451</v>
      </c>
      <c r="I26" s="56" cm="1">
        <f t="array" ref="I2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44943</v>
      </c>
      <c r="J26" s="56" t="str" cm="1">
        <f t="array" ref="J2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6" s="56" t="str" cm="1">
        <f t="array" ref="K2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  <c r="L26" s="56"/>
      <c r="M26" s="5">
        <f>DATA_MARZO_202651[[#This Row],[RECUPERO]]/DATA_MARZO_202651[[#This Row],[META]]</f>
        <v>0.70133928571428572</v>
      </c>
      <c r="N26" s="5" t="str" cm="1">
        <f t="array" ref="N26">IF(DATA_MARZO_202651[[#This Row],[ASER_]]="","",IFERROR(_xlfn.IFS(M26&gt;=100%,"&gt;100%",AND(M26&lt;100%,M26&gt;=70%),"&gt;70%",AND(M26&lt;70%,M26&gt;=40%),"&gt;40%",AND(M26&lt;40%,M26&gt;=0%),"&gt;0%"),""))</f>
        <v>&gt;70%</v>
      </c>
      <c r="O26" s="55" t="str">
        <f>IFERROR(VLOOKUP(DATA_MARZO_202651[[#This Row],[ASER_]],$B:$G,4,0),"")</f>
        <v>JOHAN</v>
      </c>
      <c r="P26" s="6">
        <f>VLOOKUP(DATA_MARZO_202651[[#This Row],[ASER_]],D1_MARZO_202655[[ASESOR_CRR]:[RECUPERO]],6,0)</f>
        <v>39275</v>
      </c>
      <c r="Q26" s="6">
        <f>VLOOKUP(DATA_MARZO_202651[[#This Row],[ASER_]],D1_MARZO_202655[[ASESOR_CRR]:[META]],2,0)</f>
        <v>56000</v>
      </c>
      <c r="R26" t="s">
        <v>122</v>
      </c>
      <c r="S26" s="45">
        <v>0</v>
      </c>
      <c r="T26">
        <v>630</v>
      </c>
      <c r="U26">
        <v>0</v>
      </c>
      <c r="V26">
        <v>0</v>
      </c>
      <c r="W26">
        <v>300</v>
      </c>
      <c r="X26">
        <v>0</v>
      </c>
      <c r="Y26">
        <v>0</v>
      </c>
      <c r="Z26">
        <v>4500</v>
      </c>
      <c r="AA26">
        <v>6500</v>
      </c>
      <c r="AB26">
        <v>0</v>
      </c>
      <c r="AC26">
        <v>8000</v>
      </c>
      <c r="AD26">
        <v>0</v>
      </c>
      <c r="AE26">
        <v>2300</v>
      </c>
      <c r="AF26">
        <v>0</v>
      </c>
      <c r="AG26">
        <v>5600</v>
      </c>
      <c r="AH26">
        <v>9200</v>
      </c>
      <c r="AI26">
        <v>0</v>
      </c>
      <c r="AJ26">
        <v>0</v>
      </c>
      <c r="AK26">
        <v>0</v>
      </c>
      <c r="AL26">
        <v>0</v>
      </c>
      <c r="AM26">
        <v>2000</v>
      </c>
      <c r="AN26">
        <v>245</v>
      </c>
      <c r="AO26" s="55" t="str" cm="1">
        <f t="array" ref="AO26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7" spans="1:67" x14ac:dyDescent="0.25">
      <c r="A27" s="34" t="str" cm="1">
        <f t="array" ref="A2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27" s="34" t="str" cm="1">
        <f t="array" ref="B27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ERIKA PANTA</v>
      </c>
      <c r="C27" s="34" cm="1">
        <f t="array" ref="C27">_xlfn.XLOOKUP(1,(TablaMeta[CONCAT]=$M$3&amp;$N$3&amp;D1_MARZO_202655[[#This Row],[SUPER]])*(TablaMeta[SEGG]=D1_MARZO_202655[[#This Row],[SEGMENTO]]),TablaMeta[Meta_Asesor])</f>
        <v>16000</v>
      </c>
      <c r="D27" s="35">
        <f>IF(D1_MARZO_202655[[#This Row],[RECUPERO]]="VACACIONES","VACACIONES",IFERROR(D1_MARZO_202655[[#This Row],[RECUPERO]]/D1_MARZO_202655[[#This Row],[META]],""))</f>
        <v>1.2871874999999999</v>
      </c>
      <c r="E27" s="35" t="str">
        <f>D1_MARZO_202655[[#This Row],[SUPER]]</f>
        <v>LEONOR</v>
      </c>
      <c r="F27" t="s">
        <v>495</v>
      </c>
      <c r="G27" s="3">
        <v>20595</v>
      </c>
      <c r="H27" cm="1">
        <f t="array" ref="H2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62792399</v>
      </c>
      <c r="I27" s="56" cm="1">
        <f t="array" ref="I2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46052</v>
      </c>
      <c r="J27" s="56" t="str" cm="1">
        <f t="array" ref="J2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7" s="56" t="str" cm="1">
        <f t="array" ref="K2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27" s="56"/>
      <c r="M27" s="5">
        <f>DATA_MARZO_202651[[#This Row],[RECUPERO]]/DATA_MARZO_202651[[#This Row],[META]]</f>
        <v>0.36885714285714288</v>
      </c>
      <c r="N27" s="5" t="str" cm="1">
        <f t="array" ref="N27">IF(DATA_MARZO_202651[[#This Row],[ASER_]]="","",IFERROR(_xlfn.IFS(M27&gt;=100%,"&gt;100%",AND(M27&lt;100%,M27&gt;=70%),"&gt;70%",AND(M27&lt;70%,M27&gt;=40%),"&gt;40%",AND(M27&lt;40%,M27&gt;=0%),"&gt;0%"),""))</f>
        <v>&gt;0%</v>
      </c>
      <c r="O27" s="55" t="str">
        <f>IFERROR(VLOOKUP(DATA_MARZO_202651[[#This Row],[ASER_]],$B:$G,4,0),"")</f>
        <v>JOHAN</v>
      </c>
      <c r="P27" s="6">
        <f>VLOOKUP(DATA_MARZO_202651[[#This Row],[ASER_]],D1_MARZO_202655[[ASESOR_CRR]:[RECUPERO]],6,0)</f>
        <v>20656</v>
      </c>
      <c r="Q27" s="6">
        <f>VLOOKUP(DATA_MARZO_202651[[#This Row],[ASER_]],D1_MARZO_202655[[ASESOR_CRR]:[META]],2,0)</f>
        <v>56000</v>
      </c>
      <c r="R27" t="s">
        <v>206</v>
      </c>
      <c r="S27">
        <v>6000</v>
      </c>
      <c r="T27">
        <v>0</v>
      </c>
      <c r="U27">
        <v>0</v>
      </c>
      <c r="V27">
        <v>470</v>
      </c>
      <c r="W27">
        <v>5800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3050</v>
      </c>
      <c r="AD27">
        <v>0</v>
      </c>
      <c r="AE27">
        <v>2527</v>
      </c>
      <c r="AF27">
        <v>0</v>
      </c>
      <c r="AG27">
        <v>219</v>
      </c>
      <c r="AH27">
        <v>550</v>
      </c>
      <c r="AI27">
        <v>0</v>
      </c>
      <c r="AJ27">
        <v>200</v>
      </c>
      <c r="AK27">
        <v>0</v>
      </c>
      <c r="AL27">
        <v>250</v>
      </c>
      <c r="AM27">
        <v>1590</v>
      </c>
      <c r="AN27">
        <v>0</v>
      </c>
      <c r="AO27" s="55" t="str" cm="1">
        <f t="array" ref="AO27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8" spans="1:67" x14ac:dyDescent="0.25">
      <c r="A28" s="34" t="str" cm="1">
        <f t="array" ref="A2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28" s="34" t="str" cm="1">
        <f t="array" ref="B28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JOSELIN MONTALVO</v>
      </c>
      <c r="C28" s="34" cm="1">
        <f t="array" ref="C28">_xlfn.XLOOKUP(1,(TablaMeta[CONCAT]=$M$3&amp;$N$3&amp;D1_MARZO_202655[[#This Row],[SUPER]])*(TablaMeta[SEGG]=D1_MARZO_202655[[#This Row],[SEGMENTO]]),TablaMeta[Meta_Asesor])</f>
        <v>16000</v>
      </c>
      <c r="D28" s="35">
        <f>IF(D1_MARZO_202655[[#This Row],[RECUPERO]]="VACACIONES","VACACIONES",IFERROR(D1_MARZO_202655[[#This Row],[RECUPERO]]/D1_MARZO_202655[[#This Row],[META]],""))</f>
        <v>0.86499999999999999</v>
      </c>
      <c r="E28" s="35" t="str">
        <f>D1_MARZO_202655[[#This Row],[SUPER]]</f>
        <v>LEONOR</v>
      </c>
      <c r="F28" t="s">
        <v>549</v>
      </c>
      <c r="G28" s="3">
        <v>13840</v>
      </c>
      <c r="H28" cm="1">
        <f t="array" ref="H2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73233992</v>
      </c>
      <c r="I28" s="56" cm="1">
        <f t="array" ref="I2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46065</v>
      </c>
      <c r="J28" s="56" t="str" cm="1">
        <f t="array" ref="J2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8" s="56" t="str" cm="1">
        <f t="array" ref="K2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28" s="56"/>
      <c r="M28" s="5">
        <f>DATA_MARZO_202651[[#This Row],[RECUPERO]]/DATA_MARZO_202651[[#This Row],[META]]</f>
        <v>0.28767857142857145</v>
      </c>
      <c r="N28" s="5" t="str" cm="1">
        <f t="array" ref="N28">IF(DATA_MARZO_202651[[#This Row],[ASER_]]="","",IFERROR(_xlfn.IFS(M28&gt;=100%,"&gt;100%",AND(M28&lt;100%,M28&gt;=70%),"&gt;70%",AND(M28&lt;70%,M28&gt;=40%),"&gt;40%",AND(M28&lt;40%,M28&gt;=0%),"&gt;0%"),""))</f>
        <v>&gt;0%</v>
      </c>
      <c r="O28" s="55" t="str">
        <f>IFERROR(VLOOKUP(DATA_MARZO_202651[[#This Row],[ASER_]],$B:$G,4,0),"")</f>
        <v>JOHAN</v>
      </c>
      <c r="P28" s="6">
        <f>VLOOKUP(DATA_MARZO_202651[[#This Row],[ASER_]],D1_MARZO_202655[[ASESOR_CRR]:[RECUPERO]],6,0)</f>
        <v>16110</v>
      </c>
      <c r="Q28" s="6">
        <f>VLOOKUP(DATA_MARZO_202651[[#This Row],[ASER_]],D1_MARZO_202655[[ASESOR_CRR]:[META]],2,0)</f>
        <v>56000</v>
      </c>
      <c r="R28" t="s">
        <v>109</v>
      </c>
      <c r="S28">
        <v>0</v>
      </c>
      <c r="T28">
        <v>1000</v>
      </c>
      <c r="U28">
        <v>0</v>
      </c>
      <c r="V28">
        <v>0</v>
      </c>
      <c r="W28">
        <v>0</v>
      </c>
      <c r="X28">
        <v>0</v>
      </c>
      <c r="Y28">
        <v>610</v>
      </c>
      <c r="Z28">
        <v>0</v>
      </c>
      <c r="AA28">
        <v>0</v>
      </c>
      <c r="AB28">
        <v>0</v>
      </c>
      <c r="AC28">
        <v>375</v>
      </c>
      <c r="AD28">
        <v>8000</v>
      </c>
      <c r="AE28">
        <v>0</v>
      </c>
      <c r="AF28">
        <v>0</v>
      </c>
      <c r="AG28">
        <v>1400</v>
      </c>
      <c r="AH28">
        <v>0</v>
      </c>
      <c r="AI28">
        <v>0</v>
      </c>
      <c r="AJ28">
        <v>375</v>
      </c>
      <c r="AK28">
        <v>850</v>
      </c>
      <c r="AL28">
        <v>0</v>
      </c>
      <c r="AM28">
        <v>3500</v>
      </c>
      <c r="AN28">
        <v>0</v>
      </c>
      <c r="AO28" s="55" t="str" cm="1">
        <f t="array" ref="AO28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9" spans="1:67" x14ac:dyDescent="0.25">
      <c r="A29" s="34" t="str" cm="1">
        <f t="array" ref="A2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29" s="34" t="str" cm="1">
        <f t="array" ref="B29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JESSYKA GARCIA</v>
      </c>
      <c r="C29" s="34" cm="1">
        <f t="array" ref="C29">_xlfn.XLOOKUP(1,(TablaMeta[CONCAT]=$M$3&amp;$N$3&amp;D1_MARZO_202655[[#This Row],[SUPER]])*(TablaMeta[SEGG]=D1_MARZO_202655[[#This Row],[SEGMENTO]]),TablaMeta[Meta_Asesor])</f>
        <v>16000</v>
      </c>
      <c r="D29" s="35">
        <f>IF(D1_MARZO_202655[[#This Row],[RECUPERO]]="VACACIONES","VACACIONES",IFERROR(D1_MARZO_202655[[#This Row],[RECUPERO]]/D1_MARZO_202655[[#This Row],[META]],""))</f>
        <v>0.75437500000000002</v>
      </c>
      <c r="E29" s="35" t="str">
        <f>D1_MARZO_202655[[#This Row],[SUPER]]</f>
        <v>LEONOR</v>
      </c>
      <c r="F29" t="s">
        <v>565</v>
      </c>
      <c r="G29" s="3">
        <v>12070</v>
      </c>
      <c r="H29" cm="1">
        <f t="array" ref="H2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10762187</v>
      </c>
      <c r="I29" s="56" cm="1">
        <f t="array" ref="I2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46083</v>
      </c>
      <c r="J29" s="56" t="str" cm="1">
        <f t="array" ref="J2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9" s="56" t="str" cm="1">
        <f t="array" ref="K2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29" s="56"/>
      <c r="M29" s="5">
        <f>DATA_MARZO_202651[[#This Row],[RECUPERO]]/DATA_MARZO_202651[[#This Row],[META]]</f>
        <v>1.3955892857142858</v>
      </c>
      <c r="N29" s="5" t="str" cm="1">
        <f t="array" ref="N29">IF(DATA_MARZO_202651[[#This Row],[ASER_]]="","",IFERROR(_xlfn.IFS(M29&gt;=100%,"&gt;100%",AND(M29&lt;100%,M29&gt;=70%),"&gt;70%",AND(M29&lt;70%,M29&gt;=40%),"&gt;40%",AND(M29&lt;40%,M29&gt;=0%),"&gt;0%"),""))</f>
        <v>&gt;100%</v>
      </c>
      <c r="O29" s="55" t="str">
        <f>IFERROR(VLOOKUP(DATA_MARZO_202651[[#This Row],[ASER_]],$B:$G,4,0),"")</f>
        <v>JOHAN</v>
      </c>
      <c r="P29" s="6">
        <f>VLOOKUP(DATA_MARZO_202651[[#This Row],[ASER_]],D1_MARZO_202655[[ASESOR_CRR]:[RECUPERO]],6,0)</f>
        <v>78153</v>
      </c>
      <c r="Q29" s="6">
        <f>VLOOKUP(DATA_MARZO_202651[[#This Row],[ASER_]],D1_MARZO_202655[[ASESOR_CRR]:[META]],2,0)</f>
        <v>56000</v>
      </c>
      <c r="R29" t="s">
        <v>61</v>
      </c>
      <c r="S29">
        <v>6550</v>
      </c>
      <c r="T29">
        <v>438</v>
      </c>
      <c r="U29" s="45">
        <v>0</v>
      </c>
      <c r="V29">
        <v>1065</v>
      </c>
      <c r="W29">
        <v>0</v>
      </c>
      <c r="X29">
        <v>600</v>
      </c>
      <c r="Y29">
        <v>5800</v>
      </c>
      <c r="Z29">
        <v>1900</v>
      </c>
      <c r="AA29">
        <v>3500</v>
      </c>
      <c r="AB29">
        <v>2000</v>
      </c>
      <c r="AC29">
        <v>0</v>
      </c>
      <c r="AD29">
        <v>0</v>
      </c>
      <c r="AE29">
        <v>18200</v>
      </c>
      <c r="AF29">
        <v>700</v>
      </c>
      <c r="AG29">
        <v>22500</v>
      </c>
      <c r="AH29">
        <v>0</v>
      </c>
      <c r="AI29">
        <v>0</v>
      </c>
      <c r="AJ29">
        <v>0</v>
      </c>
      <c r="AK29">
        <v>0</v>
      </c>
      <c r="AL29">
        <v>5400</v>
      </c>
      <c r="AM29">
        <v>400</v>
      </c>
      <c r="AN29">
        <v>9100</v>
      </c>
      <c r="AO29" s="55" t="str" cm="1">
        <f t="array" ref="AO29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0" spans="1:67" x14ac:dyDescent="0.25">
      <c r="A30" s="34" t="str" cm="1">
        <f t="array" ref="A3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0" s="34" t="str" cm="1">
        <f t="array" ref="B30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CHRISTIAN ALVARADO</v>
      </c>
      <c r="C30" s="34" cm="1">
        <f t="array" ref="C30">_xlfn.XLOOKUP(1,(TablaMeta[CONCAT]=$M$3&amp;$N$3&amp;D1_MARZO_202655[[#This Row],[SUPER]])*(TablaMeta[SEGG]=D1_MARZO_202655[[#This Row],[SEGMENTO]]),TablaMeta[Meta_Asesor])</f>
        <v>16000</v>
      </c>
      <c r="D30" s="35">
        <f>IF(D1_MARZO_202655[[#This Row],[RECUPERO]]="VACACIONES","VACACIONES",IFERROR(D1_MARZO_202655[[#This Row],[RECUPERO]]/D1_MARZO_202655[[#This Row],[META]],""))</f>
        <v>0.72818749999999999</v>
      </c>
      <c r="E30" s="35" t="str">
        <f>D1_MARZO_202655[[#This Row],[SUPER]]</f>
        <v>LEONOR</v>
      </c>
      <c r="F30" t="s">
        <v>41</v>
      </c>
      <c r="G30" s="3">
        <v>11651</v>
      </c>
      <c r="H30" cm="1">
        <f t="array" ref="H3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46461021</v>
      </c>
      <c r="I30" s="56" cm="1">
        <f t="array" ref="I3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45302</v>
      </c>
      <c r="J30" s="56" t="str" cm="1">
        <f t="array" ref="J3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0" s="56" t="str" cm="1">
        <f t="array" ref="K3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0" s="56"/>
      <c r="M30" s="5">
        <f>DATA_MARZO_202651[[#This Row],[RECUPERO]]/DATA_MARZO_202651[[#This Row],[META]]</f>
        <v>0.30598214285714287</v>
      </c>
      <c r="N30" s="5" t="str" cm="1">
        <f t="array" ref="N30">IF(DATA_MARZO_202651[[#This Row],[ASER_]]="","",IFERROR(_xlfn.IFS(M30&gt;=100%,"&gt;100%",AND(M30&lt;100%,M30&gt;=70%),"&gt;70%",AND(M30&lt;70%,M30&gt;=40%),"&gt;40%",AND(M30&lt;40%,M30&gt;=0%),"&gt;0%"),""))</f>
        <v>&gt;0%</v>
      </c>
      <c r="O30" s="55" t="str">
        <f>IFERROR(VLOOKUP(DATA_MARZO_202651[[#This Row],[ASER_]],$B:$G,4,0),"")</f>
        <v>JOHAN</v>
      </c>
      <c r="P30" s="6">
        <f>VLOOKUP(DATA_MARZO_202651[[#This Row],[ASER_]],D1_MARZO_202655[[ASESOR_CRR]:[RECUPERO]],6,0)</f>
        <v>17135</v>
      </c>
      <c r="Q30" s="6">
        <f>VLOOKUP(DATA_MARZO_202651[[#This Row],[ASER_]],D1_MARZO_202655[[ASESOR_CRR]:[META]],2,0)</f>
        <v>56000</v>
      </c>
      <c r="R30" t="s">
        <v>85</v>
      </c>
      <c r="S30">
        <v>4000</v>
      </c>
      <c r="T30">
        <v>0</v>
      </c>
      <c r="U30">
        <v>0</v>
      </c>
      <c r="V30">
        <v>315</v>
      </c>
      <c r="W30">
        <v>1000</v>
      </c>
      <c r="X30">
        <v>1135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320</v>
      </c>
      <c r="AF30">
        <v>0</v>
      </c>
      <c r="AG30">
        <v>0</v>
      </c>
      <c r="AH30">
        <v>0</v>
      </c>
      <c r="AI30">
        <v>8500</v>
      </c>
      <c r="AJ30">
        <v>365</v>
      </c>
      <c r="AK30">
        <v>0</v>
      </c>
      <c r="AL30">
        <v>0</v>
      </c>
      <c r="AM30">
        <v>0</v>
      </c>
      <c r="AN30">
        <v>1500</v>
      </c>
      <c r="AO30" s="55" t="str" cm="1">
        <f t="array" ref="AO30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1" spans="1:67" x14ac:dyDescent="0.25">
      <c r="A31" s="34" t="str" cm="1">
        <f t="array" ref="A3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1" s="34" t="str" cm="1">
        <f t="array" ref="B31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NICOLE CAURURO</v>
      </c>
      <c r="C31" s="34" cm="1">
        <f t="array" ref="C31">_xlfn.XLOOKUP(1,(TablaMeta[CONCAT]=$M$3&amp;$N$3&amp;D1_MARZO_202655[[#This Row],[SUPER]])*(TablaMeta[SEGG]=D1_MARZO_202655[[#This Row],[SEGMENTO]]),TablaMeta[Meta_Asesor])</f>
        <v>16000</v>
      </c>
      <c r="D31" s="35">
        <f>IF(D1_MARZO_202655[[#This Row],[RECUPERO]]="VACACIONES","VACACIONES",IFERROR(D1_MARZO_202655[[#This Row],[RECUPERO]]/D1_MARZO_202655[[#This Row],[META]],""))</f>
        <v>0.50343749999999998</v>
      </c>
      <c r="E31" s="35" t="str">
        <f>D1_MARZO_202655[[#This Row],[SUPER]]</f>
        <v>LEONOR</v>
      </c>
      <c r="F31" t="s">
        <v>566</v>
      </c>
      <c r="G31" s="3">
        <v>8055</v>
      </c>
      <c r="H31" cm="1">
        <f t="array" ref="H3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75693756</v>
      </c>
      <c r="I31" s="56" cm="1">
        <f t="array" ref="I3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46084</v>
      </c>
      <c r="J31" s="56" t="str" cm="1">
        <f t="array" ref="J3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1" s="56" t="str" cm="1">
        <f t="array" ref="K3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1" s="56"/>
      <c r="M31" s="5">
        <f>DATA_MARZO_202651[[#This Row],[RECUPERO]]/DATA_MARZO_202651[[#This Row],[META]]</f>
        <v>1.1195714285714287</v>
      </c>
      <c r="N31" s="5" t="str" cm="1">
        <f t="array" ref="N31">IF(DATA_MARZO_202651[[#This Row],[ASER_]]="","",IFERROR(_xlfn.IFS(M31&gt;=100%,"&gt;100%",AND(M31&lt;100%,M31&gt;=70%),"&gt;70%",AND(M31&lt;70%,M31&gt;=40%),"&gt;40%",AND(M31&lt;40%,M31&gt;=0%),"&gt;0%"),""))</f>
        <v>&gt;100%</v>
      </c>
      <c r="O31" s="55" t="str">
        <f>IFERROR(VLOOKUP(DATA_MARZO_202651[[#This Row],[ASER_]],$B:$G,4,0),"")</f>
        <v>LEONOR</v>
      </c>
      <c r="P31" s="6">
        <f>VLOOKUP(DATA_MARZO_202651[[#This Row],[ASER_]],D1_MARZO_202655[[ASESOR_CRR]:[RECUPERO]],6,0)</f>
        <v>39185</v>
      </c>
      <c r="Q31" s="6">
        <f>VLOOKUP(DATA_MARZO_202651[[#This Row],[ASER_]],D1_MARZO_202655[[ASESOR_CRR]:[META]],2,0)</f>
        <v>35000</v>
      </c>
      <c r="R31" t="s">
        <v>77</v>
      </c>
      <c r="S31">
        <v>0</v>
      </c>
      <c r="T31">
        <v>0</v>
      </c>
      <c r="U31">
        <v>0</v>
      </c>
      <c r="V31">
        <v>265</v>
      </c>
      <c r="W31">
        <v>1034</v>
      </c>
      <c r="X31">
        <v>231</v>
      </c>
      <c r="Y31">
        <v>5954</v>
      </c>
      <c r="Z31">
        <v>0</v>
      </c>
      <c r="AA31">
        <v>0</v>
      </c>
      <c r="AB31">
        <v>1800</v>
      </c>
      <c r="AC31">
        <v>800</v>
      </c>
      <c r="AD31">
        <v>0</v>
      </c>
      <c r="AE31">
        <v>3657.13</v>
      </c>
      <c r="AF31">
        <v>5168</v>
      </c>
      <c r="AG31">
        <v>330</v>
      </c>
      <c r="AH31">
        <v>0</v>
      </c>
      <c r="AI31">
        <v>364</v>
      </c>
      <c r="AJ31">
        <v>3000</v>
      </c>
      <c r="AK31">
        <v>2000</v>
      </c>
      <c r="AL31">
        <v>0</v>
      </c>
      <c r="AM31">
        <v>2130</v>
      </c>
      <c r="AN31">
        <v>12452</v>
      </c>
      <c r="AO31" s="55" t="str" cm="1">
        <f t="array" ref="AO3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</row>
    <row r="32" spans="1:67" x14ac:dyDescent="0.25">
      <c r="A32" s="34" t="str" cm="1">
        <f t="array" ref="A3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2" s="34" t="str" cm="1">
        <f t="array" ref="B32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SONIA SULLA</v>
      </c>
      <c r="C32" s="34" cm="1">
        <f t="array" ref="C32">_xlfn.XLOOKUP(1,(TablaMeta[CONCAT]=$M$3&amp;$N$3&amp;D1_MARZO_202655[[#This Row],[SUPER]])*(TablaMeta[SEGG]=D1_MARZO_202655[[#This Row],[SEGMENTO]]),TablaMeta[Meta_Asesor])</f>
        <v>16000</v>
      </c>
      <c r="D32" s="35">
        <f>IF(D1_MARZO_202655[[#This Row],[RECUPERO]]="VACACIONES","VACACIONES",IFERROR(D1_MARZO_202655[[#This Row],[RECUPERO]]/D1_MARZO_202655[[#This Row],[META]],""))</f>
        <v>0.18287500000000001</v>
      </c>
      <c r="E32" s="35" t="str">
        <f>D1_MARZO_202655[[#This Row],[SUPER]]</f>
        <v>LEONOR</v>
      </c>
      <c r="F32" t="s">
        <v>557</v>
      </c>
      <c r="G32" s="3">
        <v>2926</v>
      </c>
      <c r="H32" cm="1">
        <f t="array" ref="H3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10330959</v>
      </c>
      <c r="I32" s="56" cm="1">
        <f t="array" ref="I3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46073</v>
      </c>
      <c r="J32" s="56" t="str" cm="1">
        <f t="array" ref="J3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2" s="56" t="str" cm="1">
        <f t="array" ref="K3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2" s="56"/>
      <c r="M32" s="5">
        <f>DATA_MARZO_202651[[#This Row],[RECUPERO]]/DATA_MARZO_202651[[#This Row],[META]]</f>
        <v>0.80628571428571427</v>
      </c>
      <c r="N32" s="5" t="str" cm="1">
        <f t="array" ref="N32">IF(DATA_MARZO_202651[[#This Row],[ASER_]]="","",IFERROR(_xlfn.IFS(M32&gt;=100%,"&gt;100%",AND(M32&lt;100%,M32&gt;=70%),"&gt;70%",AND(M32&lt;70%,M32&gt;=40%),"&gt;40%",AND(M32&lt;40%,M32&gt;=0%),"&gt;0%"),""))</f>
        <v>&gt;70%</v>
      </c>
      <c r="O32" s="55" t="str">
        <f>IFERROR(VLOOKUP(DATA_MARZO_202651[[#This Row],[ASER_]],$B:$G,4,0),"")</f>
        <v>LEONOR</v>
      </c>
      <c r="P32" s="6">
        <f>VLOOKUP(DATA_MARZO_202651[[#This Row],[ASER_]],D1_MARZO_202655[[ASESOR_CRR]:[RECUPERO]],6,0)</f>
        <v>28220</v>
      </c>
      <c r="Q32" s="6">
        <f>VLOOKUP(DATA_MARZO_202651[[#This Row],[ASER_]],D1_MARZO_202655[[ASESOR_CRR]:[META]],2,0)</f>
        <v>35000</v>
      </c>
      <c r="R32" t="s">
        <v>73</v>
      </c>
      <c r="S32">
        <v>0</v>
      </c>
      <c r="T32">
        <v>0</v>
      </c>
      <c r="U32">
        <v>0</v>
      </c>
      <c r="V32">
        <v>1530</v>
      </c>
      <c r="W32">
        <v>820</v>
      </c>
      <c r="X32">
        <v>663</v>
      </c>
      <c r="Y32">
        <v>1850</v>
      </c>
      <c r="Z32">
        <v>0</v>
      </c>
      <c r="AA32">
        <v>1150</v>
      </c>
      <c r="AB32">
        <v>0</v>
      </c>
      <c r="AC32">
        <v>1850</v>
      </c>
      <c r="AD32">
        <v>0</v>
      </c>
      <c r="AE32">
        <v>0</v>
      </c>
      <c r="AF32">
        <v>3500</v>
      </c>
      <c r="AG32">
        <v>2830</v>
      </c>
      <c r="AH32">
        <v>277</v>
      </c>
      <c r="AI32">
        <v>2500</v>
      </c>
      <c r="AJ32">
        <v>1500</v>
      </c>
      <c r="AK32">
        <v>0</v>
      </c>
      <c r="AL32">
        <v>3500</v>
      </c>
      <c r="AM32">
        <v>4450</v>
      </c>
      <c r="AN32">
        <v>1800</v>
      </c>
      <c r="AO32" s="55" t="str" cm="1">
        <f t="array" ref="AO32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</row>
    <row r="33" spans="1:41" x14ac:dyDescent="0.25">
      <c r="A33" s="34" t="str" cm="1">
        <f t="array" ref="A3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3" s="34" t="str" cm="1">
        <f t="array" ref="B33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GERALDINE ARROYO</v>
      </c>
      <c r="C33" s="34" cm="1">
        <f t="array" ref="C33">_xlfn.XLOOKUP(1,(TablaMeta[CONCAT]=$M$3&amp;$N$3&amp;D1_MARZO_202655[[#This Row],[SUPER]])*(TablaMeta[SEGG]=D1_MARZO_202655[[#This Row],[SEGMENTO]]),TablaMeta[Meta_Asesor])</f>
        <v>35000</v>
      </c>
      <c r="D33" s="35">
        <f>IF(D1_MARZO_202655[[#This Row],[RECUPERO]]="VACACIONES","VACACIONES",IFERROR(D1_MARZO_202655[[#This Row],[RECUPERO]]/D1_MARZO_202655[[#This Row],[META]],""))</f>
        <v>1.2076571428571428</v>
      </c>
      <c r="E33" s="35" t="str">
        <f>D1_MARZO_202655[[#This Row],[SUPER]]</f>
        <v>LEONOR</v>
      </c>
      <c r="F33" t="s">
        <v>51</v>
      </c>
      <c r="G33" s="3">
        <v>42268</v>
      </c>
      <c r="H33" cm="1">
        <f t="array" ref="H3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76089925</v>
      </c>
      <c r="I33" s="56" cm="1">
        <f t="array" ref="I3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45678</v>
      </c>
      <c r="J33" s="56" t="str" cm="1">
        <f t="array" ref="J3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3" s="56" t="str" cm="1">
        <f t="array" ref="K3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33" s="56"/>
      <c r="M33" s="5">
        <f>DATA_MARZO_202651[[#This Row],[RECUPERO]]/DATA_MARZO_202651[[#This Row],[META]]</f>
        <v>0.98377142857142852</v>
      </c>
      <c r="N33" s="5" t="str" cm="1">
        <f t="array" ref="N33">IF(DATA_MARZO_202651[[#This Row],[ASER_]]="","",IFERROR(_xlfn.IFS(M33&gt;=100%,"&gt;100%",AND(M33&lt;100%,M33&gt;=70%),"&gt;70%",AND(M33&lt;70%,M33&gt;=40%),"&gt;40%",AND(M33&lt;40%,M33&gt;=0%),"&gt;0%"),""))</f>
        <v>&gt;70%</v>
      </c>
      <c r="O33" s="55" t="str">
        <f>IFERROR(VLOOKUP(DATA_MARZO_202651[[#This Row],[ASER_]],$B:$G,4,0),"")</f>
        <v>LEONOR</v>
      </c>
      <c r="P33" s="6">
        <f>VLOOKUP(DATA_MARZO_202651[[#This Row],[ASER_]],D1_MARZO_202655[[ASESOR_CRR]:[RECUPERO]],6,0)</f>
        <v>34432</v>
      </c>
      <c r="Q33" s="6">
        <f>VLOOKUP(DATA_MARZO_202651[[#This Row],[ASER_]],D1_MARZO_202655[[ASESOR_CRR]:[META]],2,0)</f>
        <v>35000</v>
      </c>
      <c r="R33" t="s">
        <v>48</v>
      </c>
      <c r="S33">
        <v>0</v>
      </c>
      <c r="T33">
        <v>0</v>
      </c>
      <c r="U33">
        <v>550</v>
      </c>
      <c r="V33">
        <v>0</v>
      </c>
      <c r="W33">
        <v>3700</v>
      </c>
      <c r="X33">
        <v>1000</v>
      </c>
      <c r="Y33">
        <v>0</v>
      </c>
      <c r="Z33">
        <v>770</v>
      </c>
      <c r="AA33">
        <v>4800</v>
      </c>
      <c r="AB33">
        <v>1500</v>
      </c>
      <c r="AC33">
        <v>0</v>
      </c>
      <c r="AD33">
        <v>1300</v>
      </c>
      <c r="AE33">
        <v>660</v>
      </c>
      <c r="AF33">
        <v>0</v>
      </c>
      <c r="AG33">
        <v>1300</v>
      </c>
      <c r="AH33">
        <v>0</v>
      </c>
      <c r="AI33">
        <v>1000</v>
      </c>
      <c r="AJ33">
        <v>800</v>
      </c>
      <c r="AK33">
        <v>0</v>
      </c>
      <c r="AL33">
        <v>2700</v>
      </c>
      <c r="AM33">
        <v>7352</v>
      </c>
      <c r="AN33">
        <v>7000</v>
      </c>
      <c r="AO33" s="55" t="str" cm="1">
        <f t="array" ref="AO33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</row>
    <row r="34" spans="1:41" x14ac:dyDescent="0.25">
      <c r="A34" s="34" t="str" cm="1">
        <f t="array" ref="A3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4" s="34" t="str" cm="1">
        <f t="array" ref="B34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JUAN ALANOCCA</v>
      </c>
      <c r="C34" s="34" cm="1">
        <f t="array" ref="C34">_xlfn.XLOOKUP(1,(TablaMeta[CONCAT]=$M$3&amp;$N$3&amp;D1_MARZO_202655[[#This Row],[SUPER]])*(TablaMeta[SEGG]=D1_MARZO_202655[[#This Row],[SEGMENTO]]),TablaMeta[Meta_Asesor])</f>
        <v>35000</v>
      </c>
      <c r="D34" s="35">
        <f>IF(D1_MARZO_202655[[#This Row],[RECUPERO]]="VACACIONES","VACACIONES",IFERROR(D1_MARZO_202655[[#This Row],[RECUPERO]]/D1_MARZO_202655[[#This Row],[META]],""))</f>
        <v>1.1195714285714287</v>
      </c>
      <c r="E34" s="35" t="str">
        <f>D1_MARZO_202655[[#This Row],[SUPER]]</f>
        <v>LEONOR</v>
      </c>
      <c r="F34" t="s">
        <v>77</v>
      </c>
      <c r="G34" s="3">
        <v>39185</v>
      </c>
      <c r="H34" cm="1">
        <f t="array" ref="H3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42251780</v>
      </c>
      <c r="I34" s="56" cm="1">
        <f t="array" ref="I3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44838</v>
      </c>
      <c r="J34" s="56" t="str" cm="1">
        <f t="array" ref="J3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4" s="56" t="str" cm="1">
        <f t="array" ref="K3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34" s="56"/>
      <c r="M34" s="5">
        <f>DATA_MARZO_202651[[#This Row],[RECUPERO]]/DATA_MARZO_202651[[#This Row],[META]]</f>
        <v>1.2076571428571428</v>
      </c>
      <c r="N34" s="54" t="str" cm="1">
        <f t="array" ref="N34">IF(DATA_MARZO_202651[[#This Row],[ASER_]]="","",IFERROR(_xlfn.IFS(M34&gt;=100%,"&gt;100%",AND(M34&lt;100%,M34&gt;=70%),"&gt;70%",AND(M34&lt;70%,M34&gt;=40%),"&gt;40%",AND(M34&lt;40%,M34&gt;=0%),"&gt;0%"),""))</f>
        <v>&gt;100%</v>
      </c>
      <c r="O34" s="55" t="str">
        <f>IFERROR(VLOOKUP(DATA_MARZO_202651[[#This Row],[ASER_]],$B:$G,4,0),"")</f>
        <v>LEONOR</v>
      </c>
      <c r="P34" s="6">
        <f>VLOOKUP(DATA_MARZO_202651[[#This Row],[ASER_]],D1_MARZO_202655[[ASESOR_CRR]:[RECUPERO]],6,0)</f>
        <v>42268</v>
      </c>
      <c r="Q34" s="6">
        <f>VLOOKUP(DATA_MARZO_202651[[#This Row],[ASER_]],D1_MARZO_202655[[ASESOR_CRR]:[META]],2,0)</f>
        <v>35000</v>
      </c>
      <c r="R34" t="s">
        <v>51</v>
      </c>
      <c r="S34">
        <v>0</v>
      </c>
      <c r="T34">
        <v>0</v>
      </c>
      <c r="U34">
        <v>0</v>
      </c>
      <c r="V34">
        <v>600</v>
      </c>
      <c r="W34">
        <v>1000</v>
      </c>
      <c r="X34">
        <v>13500</v>
      </c>
      <c r="Y34">
        <v>0</v>
      </c>
      <c r="Z34">
        <v>750</v>
      </c>
      <c r="AA34">
        <v>200</v>
      </c>
      <c r="AB34">
        <v>600</v>
      </c>
      <c r="AC34">
        <v>4773</v>
      </c>
      <c r="AD34">
        <v>4550</v>
      </c>
      <c r="AE34">
        <v>0</v>
      </c>
      <c r="AF34">
        <v>0</v>
      </c>
      <c r="AG34">
        <v>500</v>
      </c>
      <c r="AH34">
        <v>0</v>
      </c>
      <c r="AI34">
        <v>3850</v>
      </c>
      <c r="AJ34">
        <v>1300</v>
      </c>
      <c r="AK34">
        <v>135</v>
      </c>
      <c r="AL34">
        <v>700</v>
      </c>
      <c r="AM34">
        <v>2700</v>
      </c>
      <c r="AN34">
        <v>6960</v>
      </c>
      <c r="AO34" s="55" t="str" cm="1">
        <f t="array" ref="AO34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</row>
    <row r="35" spans="1:41" x14ac:dyDescent="0.25">
      <c r="A35" s="34" t="str" cm="1">
        <f t="array" ref="A3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5" s="34" t="str" cm="1">
        <f t="array" ref="B35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VERONICA HUARCA</v>
      </c>
      <c r="C35" s="34" cm="1">
        <f t="array" ref="C35">_xlfn.XLOOKUP(1,(TablaMeta[CONCAT]=$M$3&amp;$N$3&amp;D1_MARZO_202655[[#This Row],[SUPER]])*(TablaMeta[SEGG]=D1_MARZO_202655[[#This Row],[SEGMENTO]]),TablaMeta[Meta_Asesor])</f>
        <v>35000</v>
      </c>
      <c r="D35" s="35">
        <f>IF(D1_MARZO_202655[[#This Row],[RECUPERO]]="VACACIONES","VACACIONES",IFERROR(D1_MARZO_202655[[#This Row],[RECUPERO]]/D1_MARZO_202655[[#This Row],[META]],""))</f>
        <v>0.98377142857142852</v>
      </c>
      <c r="E35" s="35" t="str">
        <f>D1_MARZO_202655[[#This Row],[SUPER]]</f>
        <v>LEONOR</v>
      </c>
      <c r="F35" t="s">
        <v>48</v>
      </c>
      <c r="G35" s="3">
        <v>34432</v>
      </c>
      <c r="H35" cm="1">
        <f t="array" ref="H3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43307898</v>
      </c>
      <c r="I35" s="56" cm="1">
        <f t="array" ref="I3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44746</v>
      </c>
      <c r="J35" s="56" t="str" cm="1">
        <f t="array" ref="J3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5" s="56" t="str" cm="1">
        <f t="array" ref="K3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35" s="56"/>
      <c r="M35" s="5">
        <f>DATA_MARZO_202651[[#This Row],[RECUPERO]]/DATA_MARZO_202651[[#This Row],[META]]</f>
        <v>0.81040000000000001</v>
      </c>
      <c r="N35" s="54" t="str" cm="1">
        <f t="array" ref="N35">IF(DATA_MARZO_202651[[#This Row],[ASER_]]="","",IFERROR(_xlfn.IFS(M35&gt;=100%,"&gt;100%",AND(M35&lt;100%,M35&gt;=70%),"&gt;70%",AND(M35&lt;70%,M35&gt;=40%),"&gt;40%",AND(M35&lt;40%,M35&gt;=0%),"&gt;0%"),""))</f>
        <v>&gt;70%</v>
      </c>
      <c r="O35" s="55" t="str">
        <f>IFERROR(VLOOKUP(DATA_MARZO_202651[[#This Row],[ASER_]],$B:$G,4,0),"")</f>
        <v>LEONOR</v>
      </c>
      <c r="P35" s="6">
        <f>VLOOKUP(DATA_MARZO_202651[[#This Row],[ASER_]],D1_MARZO_202655[[ASESOR_CRR]:[RECUPERO]],6,0)</f>
        <v>28364</v>
      </c>
      <c r="Q35" s="6">
        <f>VLOOKUP(DATA_MARZO_202651[[#This Row],[ASER_]],D1_MARZO_202655[[ASESOR_CRR]:[META]],2,0)</f>
        <v>35000</v>
      </c>
      <c r="R35" t="s">
        <v>49</v>
      </c>
      <c r="S35">
        <v>0</v>
      </c>
      <c r="T35">
        <v>2500</v>
      </c>
      <c r="U35">
        <v>300</v>
      </c>
      <c r="V35">
        <v>0</v>
      </c>
      <c r="W35">
        <v>700</v>
      </c>
      <c r="X35">
        <v>2882</v>
      </c>
      <c r="Y35">
        <v>230</v>
      </c>
      <c r="Z35">
        <v>0</v>
      </c>
      <c r="AA35">
        <v>0</v>
      </c>
      <c r="AB35">
        <v>500</v>
      </c>
      <c r="AC35">
        <v>600</v>
      </c>
      <c r="AD35">
        <v>400</v>
      </c>
      <c r="AE35">
        <v>238</v>
      </c>
      <c r="AF35">
        <v>1105</v>
      </c>
      <c r="AG35">
        <v>5500</v>
      </c>
      <c r="AH35">
        <v>2000</v>
      </c>
      <c r="AI35">
        <v>0</v>
      </c>
      <c r="AJ35">
        <v>0</v>
      </c>
      <c r="AK35">
        <v>1500</v>
      </c>
      <c r="AL35">
        <v>2700</v>
      </c>
      <c r="AM35">
        <v>908</v>
      </c>
      <c r="AN35">
        <v>5500</v>
      </c>
      <c r="AO35" s="55" t="str" cm="1">
        <f t="array" ref="AO35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</row>
    <row r="36" spans="1:41" x14ac:dyDescent="0.25">
      <c r="A36" s="34" t="str" cm="1">
        <f t="array" ref="A3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6" s="34" t="str" cm="1">
        <f t="array" ref="B36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JANETH PORTOCARRERO</v>
      </c>
      <c r="C36" s="34" cm="1">
        <f t="array" ref="C36">_xlfn.XLOOKUP(1,(TablaMeta[CONCAT]=$M$3&amp;$N$3&amp;D1_MARZO_202655[[#This Row],[SUPER]])*(TablaMeta[SEGG]=D1_MARZO_202655[[#This Row],[SEGMENTO]]),TablaMeta[Meta_Asesor])</f>
        <v>35000</v>
      </c>
      <c r="D36" s="35">
        <f>IF(D1_MARZO_202655[[#This Row],[RECUPERO]]="VACACIONES","VACACIONES",IFERROR(D1_MARZO_202655[[#This Row],[RECUPERO]]/D1_MARZO_202655[[#This Row],[META]],""))</f>
        <v>0.81040000000000001</v>
      </c>
      <c r="E36" s="35" t="str">
        <f>D1_MARZO_202655[[#This Row],[SUPER]]</f>
        <v>LEONOR</v>
      </c>
      <c r="F36" t="s">
        <v>49</v>
      </c>
      <c r="G36" s="3">
        <v>28364</v>
      </c>
      <c r="H36" cm="1">
        <f t="array" ref="H3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40702064</v>
      </c>
      <c r="I36" s="56" cm="1">
        <f t="array" ref="I3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43313</v>
      </c>
      <c r="J36" s="56" t="str" cm="1">
        <f t="array" ref="J3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6" s="56" t="str" cm="1">
        <f t="array" ref="K3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36" s="56"/>
      <c r="M36" s="5">
        <f>DATA_MARZO_202651[[#This Row],[RECUPERO]]/DATA_MARZO_202651[[#This Row],[META]]</f>
        <v>1.2871874999999999</v>
      </c>
      <c r="N36" s="54" t="str" cm="1">
        <f t="array" ref="N36">IF(DATA_MARZO_202651[[#This Row],[ASER_]]="","",IFERROR(_xlfn.IFS(M36&gt;=100%,"&gt;100%",AND(M36&lt;100%,M36&gt;=70%),"&gt;70%",AND(M36&lt;70%,M36&gt;=40%),"&gt;40%",AND(M36&lt;40%,M36&gt;=0%),"&gt;0%"),""))</f>
        <v>&gt;100%</v>
      </c>
      <c r="O36" s="55" t="str">
        <f>IFERROR(VLOOKUP(DATA_MARZO_202651[[#This Row],[ASER_]],$B:$G,4,0),"")</f>
        <v>LEONOR</v>
      </c>
      <c r="P36" s="6">
        <f>VLOOKUP(DATA_MARZO_202651[[#This Row],[ASER_]],D1_MARZO_202655[[ASESOR_CRR]:[RECUPERO]],6,0)</f>
        <v>20595</v>
      </c>
      <c r="Q36" s="6">
        <f>VLOOKUP(DATA_MARZO_202651[[#This Row],[ASER_]],D1_MARZO_202655[[ASESOR_CRR]:[META]],2,0)</f>
        <v>16000</v>
      </c>
      <c r="R36" t="s">
        <v>495</v>
      </c>
      <c r="S36">
        <v>4500</v>
      </c>
      <c r="T36">
        <v>200</v>
      </c>
      <c r="U36">
        <v>661</v>
      </c>
      <c r="V36">
        <v>1511</v>
      </c>
      <c r="W36">
        <v>500</v>
      </c>
      <c r="X36">
        <v>0</v>
      </c>
      <c r="Y36">
        <v>750</v>
      </c>
      <c r="Z36">
        <v>1903</v>
      </c>
      <c r="AA36">
        <v>0</v>
      </c>
      <c r="AB36" s="6">
        <v>700</v>
      </c>
      <c r="AC36" s="6">
        <v>680</v>
      </c>
      <c r="AD36" s="6">
        <v>300</v>
      </c>
      <c r="AE36" s="6">
        <v>0</v>
      </c>
      <c r="AF36" s="6">
        <v>0</v>
      </c>
      <c r="AG36" s="6">
        <v>350</v>
      </c>
      <c r="AH36" s="6">
        <v>400</v>
      </c>
      <c r="AI36">
        <v>0</v>
      </c>
      <c r="AJ36">
        <v>200</v>
      </c>
      <c r="AK36">
        <v>1715</v>
      </c>
      <c r="AL36">
        <v>3170</v>
      </c>
      <c r="AM36">
        <v>555</v>
      </c>
      <c r="AN36">
        <v>2500</v>
      </c>
      <c r="AO36" s="55" t="str" cm="1">
        <f t="array" ref="AO36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</row>
    <row r="37" spans="1:41" x14ac:dyDescent="0.25">
      <c r="A37" s="34" t="str" cm="1">
        <f t="array" ref="A3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7" s="34" t="str" cm="1">
        <f t="array" ref="B37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SARITA GARAY</v>
      </c>
      <c r="C37" s="34" cm="1">
        <f t="array" ref="C37">_xlfn.XLOOKUP(1,(TablaMeta[CONCAT]=$M$3&amp;$N$3&amp;D1_MARZO_202655[[#This Row],[SUPER]])*(TablaMeta[SEGG]=D1_MARZO_202655[[#This Row],[SEGMENTO]]),TablaMeta[Meta_Asesor])</f>
        <v>35000</v>
      </c>
      <c r="D37" s="35">
        <f>IF(D1_MARZO_202655[[#This Row],[RECUPERO]]="VACACIONES","VACACIONES",IFERROR(D1_MARZO_202655[[#This Row],[RECUPERO]]/D1_MARZO_202655[[#This Row],[META]],""))</f>
        <v>0.80628571428571427</v>
      </c>
      <c r="E37" s="35" t="str">
        <f>D1_MARZO_202655[[#This Row],[SUPER]]</f>
        <v>LEONOR</v>
      </c>
      <c r="F37" t="s">
        <v>73</v>
      </c>
      <c r="G37" s="3">
        <v>28220</v>
      </c>
      <c r="H37" cm="1">
        <f t="array" ref="H3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40318129</v>
      </c>
      <c r="I37" s="56" cm="1">
        <f t="array" ref="I3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45141</v>
      </c>
      <c r="J37" s="56" t="str" cm="1">
        <f t="array" ref="J3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7" s="56" t="str" cm="1">
        <f t="array" ref="K3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37" s="56"/>
      <c r="M37" s="5">
        <f>DATA_MARZO_202651[[#This Row],[RECUPERO]]/DATA_MARZO_202651[[#This Row],[META]]</f>
        <v>0.72818749999999999</v>
      </c>
      <c r="N37" s="54" t="str" cm="1">
        <f t="array" ref="N37">IF(DATA_MARZO_202651[[#This Row],[ASER_]]="","",IFERROR(_xlfn.IFS(M37&gt;=100%,"&gt;100%",AND(M37&lt;100%,M37&gt;=70%),"&gt;70%",AND(M37&lt;70%,M37&gt;=40%),"&gt;40%",AND(M37&lt;40%,M37&gt;=0%),"&gt;0%"),""))</f>
        <v>&gt;70%</v>
      </c>
      <c r="O37" s="55" t="str">
        <f>IFERROR(VLOOKUP(DATA_MARZO_202651[[#This Row],[ASER_]],$B:$G,4,0),"")</f>
        <v>LEONOR</v>
      </c>
      <c r="P37" s="6">
        <f>VLOOKUP(DATA_MARZO_202651[[#This Row],[ASER_]],D1_MARZO_202655[[ASESOR_CRR]:[RECUPERO]],6,0)</f>
        <v>11651</v>
      </c>
      <c r="Q37" s="6">
        <f>VLOOKUP(DATA_MARZO_202651[[#This Row],[ASER_]],D1_MARZO_202655[[ASESOR_CRR]:[META]],2,0)</f>
        <v>16000</v>
      </c>
      <c r="R37" t="s">
        <v>41</v>
      </c>
      <c r="S37">
        <v>0</v>
      </c>
      <c r="T37">
        <v>1386</v>
      </c>
      <c r="U37">
        <v>0</v>
      </c>
      <c r="V37">
        <v>0</v>
      </c>
      <c r="W37">
        <v>458</v>
      </c>
      <c r="X37">
        <v>2000</v>
      </c>
      <c r="Y37">
        <v>0</v>
      </c>
      <c r="Z37">
        <v>857</v>
      </c>
      <c r="AA37">
        <v>500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250</v>
      </c>
      <c r="AI37">
        <v>2800</v>
      </c>
      <c r="AJ37">
        <v>2000</v>
      </c>
      <c r="AK37">
        <v>0</v>
      </c>
      <c r="AL37">
        <v>0</v>
      </c>
      <c r="AM37">
        <v>600</v>
      </c>
      <c r="AN37">
        <v>500</v>
      </c>
      <c r="AO37" s="55" t="str" cm="1">
        <f t="array" ref="AO37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</row>
    <row r="38" spans="1:41" x14ac:dyDescent="0.25">
      <c r="A38" s="34" t="str" cm="1">
        <f t="array" ref="A3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38" s="34" t="str" cm="1">
        <f t="array" ref="B38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PIERINA TESEN</v>
      </c>
      <c r="C38" s="34" cm="1">
        <f t="array" ref="C38">_xlfn.XLOOKUP(1,(TablaMeta[CONCAT]=$M$3&amp;$N$3&amp;D1_MARZO_202655[[#This Row],[SUPER]])*(TablaMeta[SEGG]=D1_MARZO_202655[[#This Row],[SEGMENTO]]),TablaMeta[Meta_Asesor])</f>
        <v>56000</v>
      </c>
      <c r="D38" s="35">
        <f>IF(D1_MARZO_202655[[#This Row],[RECUPERO]]="VACACIONES","VACACIONES",IFERROR(D1_MARZO_202655[[#This Row],[RECUPERO]]/D1_MARZO_202655[[#This Row],[META]],""))</f>
        <v>1.557625</v>
      </c>
      <c r="E38" s="35" t="str">
        <f>D1_MARZO_202655[[#This Row],[SUPER]]</f>
        <v>JOHAN</v>
      </c>
      <c r="F38" t="s">
        <v>59</v>
      </c>
      <c r="G38" s="3">
        <v>87227</v>
      </c>
      <c r="H38" cm="1">
        <f t="array" ref="H3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60870839</v>
      </c>
      <c r="I38" s="56" cm="1">
        <f t="array" ref="I3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45344</v>
      </c>
      <c r="J38" s="56" t="str" cm="1">
        <f t="array" ref="J3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8" s="56" t="str" cm="1">
        <f t="array" ref="K3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8" s="56"/>
      <c r="M38" s="5">
        <f>DATA_MARZO_202651[[#This Row],[RECUPERO]]/DATA_MARZO_202651[[#This Row],[META]]</f>
        <v>0.86499999999999999</v>
      </c>
      <c r="N38" s="54" t="str" cm="1">
        <f t="array" ref="N38">IF(DATA_MARZO_202651[[#This Row],[ASER_]]="","",IFERROR(_xlfn.IFS(M38&gt;=100%,"&gt;100%",AND(M38&lt;100%,M38&gt;=70%),"&gt;70%",AND(M38&lt;70%,M38&gt;=40%),"&gt;40%",AND(M38&lt;40%,M38&gt;=0%),"&gt;0%"),""))</f>
        <v>&gt;70%</v>
      </c>
      <c r="O38" s="55" t="str">
        <f>IFERROR(VLOOKUP(DATA_MARZO_202651[[#This Row],[ASER_]],$B:$G,4,0),"")</f>
        <v>LEONOR</v>
      </c>
      <c r="P38" s="6">
        <f>VLOOKUP(DATA_MARZO_202651[[#This Row],[ASER_]],D1_MARZO_202655[[ASESOR_CRR]:[RECUPERO]],6,0)</f>
        <v>13840</v>
      </c>
      <c r="Q38" s="6">
        <f>VLOOKUP(DATA_MARZO_202651[[#This Row],[ASER_]],D1_MARZO_202655[[ASESOR_CRR]:[META]],2,0)</f>
        <v>16000</v>
      </c>
      <c r="R38" t="s">
        <v>549</v>
      </c>
      <c r="S38">
        <v>350</v>
      </c>
      <c r="T38">
        <v>970</v>
      </c>
      <c r="U38">
        <v>0</v>
      </c>
      <c r="V38">
        <v>250</v>
      </c>
      <c r="W38">
        <v>50</v>
      </c>
      <c r="X38">
        <v>0</v>
      </c>
      <c r="Y38">
        <v>300</v>
      </c>
      <c r="Z38">
        <v>0</v>
      </c>
      <c r="AA38">
        <v>0</v>
      </c>
      <c r="AB38" s="6">
        <v>0</v>
      </c>
      <c r="AC38" s="6">
        <v>0</v>
      </c>
      <c r="AD38" s="6">
        <v>0</v>
      </c>
      <c r="AE38" s="6">
        <v>0</v>
      </c>
      <c r="AF38" s="6">
        <v>3000</v>
      </c>
      <c r="AG38" s="6">
        <v>0</v>
      </c>
      <c r="AH38" s="6">
        <v>0</v>
      </c>
      <c r="AI38">
        <v>0</v>
      </c>
      <c r="AJ38">
        <v>200</v>
      </c>
      <c r="AK38">
        <v>1500</v>
      </c>
      <c r="AL38">
        <v>3320</v>
      </c>
      <c r="AM38">
        <v>3200</v>
      </c>
      <c r="AN38">
        <v>700</v>
      </c>
      <c r="AO38" s="55" t="str" cm="1">
        <f t="array" ref="AO38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</row>
    <row r="39" spans="1:41" x14ac:dyDescent="0.25">
      <c r="A39" s="34" t="str" cm="1">
        <f t="array" ref="A3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39" s="34" t="str" cm="1">
        <f t="array" ref="B39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CRISTINA TICONA</v>
      </c>
      <c r="C39" s="34" cm="1">
        <f t="array" ref="C39">_xlfn.XLOOKUP(1,(TablaMeta[CONCAT]=$M$3&amp;$N$3&amp;D1_MARZO_202655[[#This Row],[SUPER]])*(TablaMeta[SEGG]=D1_MARZO_202655[[#This Row],[SEGMENTO]]),TablaMeta[Meta_Asesor])</f>
        <v>56000</v>
      </c>
      <c r="D39" s="35">
        <f>IF(D1_MARZO_202655[[#This Row],[RECUPERO]]="VACACIONES","VACACIONES",IFERROR(D1_MARZO_202655[[#This Row],[RECUPERO]]/D1_MARZO_202655[[#This Row],[META]],""))</f>
        <v>1.3955892857142858</v>
      </c>
      <c r="E39" s="35" t="str">
        <f>D1_MARZO_202655[[#This Row],[SUPER]]</f>
        <v>JOHAN</v>
      </c>
      <c r="F39" t="s">
        <v>61</v>
      </c>
      <c r="G39" s="3">
        <v>78153</v>
      </c>
      <c r="H39" cm="1">
        <f t="array" ref="H3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44001162</v>
      </c>
      <c r="I39" s="56" cm="1">
        <f t="array" ref="I3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44907</v>
      </c>
      <c r="J39" s="56" t="str" cm="1">
        <f t="array" ref="J3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9" s="56" t="str" cm="1">
        <f t="array" ref="K3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9" s="56"/>
      <c r="M39" s="5">
        <f>DATA_MARZO_202651[[#This Row],[RECUPERO]]/DATA_MARZO_202651[[#This Row],[META]]</f>
        <v>0.18287500000000001</v>
      </c>
      <c r="N39" s="54" t="str" cm="1">
        <f t="array" ref="N39">IF(DATA_MARZO_202651[[#This Row],[ASER_]]="","",IFERROR(_xlfn.IFS(M39&gt;=100%,"&gt;100%",AND(M39&lt;100%,M39&gt;=70%),"&gt;70%",AND(M39&lt;70%,M39&gt;=40%),"&gt;40%",AND(M39&lt;40%,M39&gt;=0%),"&gt;0%"),""))</f>
        <v>&gt;0%</v>
      </c>
      <c r="O39" s="55" t="str">
        <f>IFERROR(VLOOKUP(DATA_MARZO_202651[[#This Row],[ASER_]],$B:$G,4,0),"")</f>
        <v>LEONOR</v>
      </c>
      <c r="P39" s="6">
        <f>VLOOKUP(DATA_MARZO_202651[[#This Row],[ASER_]],D1_MARZO_202655[[ASESOR_CRR]:[RECUPERO]],6,0)</f>
        <v>2926</v>
      </c>
      <c r="Q39" s="6">
        <f>VLOOKUP(DATA_MARZO_202651[[#This Row],[ASER_]],D1_MARZO_202655[[ASESOR_CRR]:[META]],2,0)</f>
        <v>16000</v>
      </c>
      <c r="R39" t="s">
        <v>557</v>
      </c>
      <c r="S39">
        <v>0</v>
      </c>
      <c r="T39">
        <v>0</v>
      </c>
      <c r="U39">
        <v>0</v>
      </c>
      <c r="V39">
        <v>0</v>
      </c>
      <c r="W39" s="5">
        <v>326</v>
      </c>
      <c r="X39" s="6">
        <v>0</v>
      </c>
      <c r="Y39" s="6">
        <v>0</v>
      </c>
      <c r="Z39" s="6">
        <v>1200</v>
      </c>
      <c r="AA39" s="6">
        <v>200</v>
      </c>
      <c r="AB39" s="6">
        <v>300</v>
      </c>
      <c r="AC39" s="6">
        <v>500</v>
      </c>
      <c r="AD39" s="6">
        <v>0</v>
      </c>
      <c r="AE39" s="6">
        <v>0</v>
      </c>
      <c r="AF39" s="6">
        <v>50</v>
      </c>
      <c r="AG39" s="6">
        <v>0</v>
      </c>
      <c r="AH39" s="6">
        <v>0</v>
      </c>
      <c r="AI39" s="6">
        <v>0</v>
      </c>
      <c r="AJ39" s="6">
        <v>350</v>
      </c>
      <c r="AK39" s="6">
        <v>0</v>
      </c>
      <c r="AL39" s="6">
        <v>0</v>
      </c>
      <c r="AM39" s="6">
        <v>0</v>
      </c>
      <c r="AN39" s="6">
        <v>0</v>
      </c>
      <c r="AO39" s="55" t="str" cm="1">
        <f t="array" ref="AO39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</row>
    <row r="40" spans="1:41" x14ac:dyDescent="0.25">
      <c r="A40" s="34" t="str" cm="1">
        <f t="array" ref="A4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0" s="34" t="str" cm="1">
        <f t="array" ref="B40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ANALUCIA PONCE</v>
      </c>
      <c r="C40" s="34" cm="1">
        <f t="array" ref="C40">_xlfn.XLOOKUP(1,(TablaMeta[CONCAT]=$M$3&amp;$N$3&amp;D1_MARZO_202655[[#This Row],[SUPER]])*(TablaMeta[SEGG]=D1_MARZO_202655[[#This Row],[SEGMENTO]]),TablaMeta[Meta_Asesor])</f>
        <v>56000</v>
      </c>
      <c r="D40" s="35">
        <f>IF(D1_MARZO_202655[[#This Row],[RECUPERO]]="VACACIONES","VACACIONES",IFERROR(D1_MARZO_202655[[#This Row],[RECUPERO]]/D1_MARZO_202655[[#This Row],[META]],""))</f>
        <v>1.2195178571428571</v>
      </c>
      <c r="E40" s="35" t="str">
        <f>D1_MARZO_202655[[#This Row],[SUPER]]</f>
        <v>JOHAN</v>
      </c>
      <c r="F40" t="s">
        <v>60</v>
      </c>
      <c r="G40" s="3">
        <v>68293</v>
      </c>
      <c r="H40" cm="1">
        <f t="array" ref="H4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72839865</v>
      </c>
      <c r="I40" s="56" cm="1">
        <f t="array" ref="I4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45854</v>
      </c>
      <c r="J40" s="56" t="str" cm="1">
        <f t="array" ref="J4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0" s="56" t="str" cm="1">
        <f t="array" ref="K4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0" s="56"/>
      <c r="M40" s="5">
        <f>DATA_MARZO_202651[[#This Row],[RECUPERO]]/DATA_MARZO_202651[[#This Row],[META]]</f>
        <v>0.50343749999999998</v>
      </c>
      <c r="N40" s="54" t="str" cm="1">
        <f t="array" ref="N40">IF(DATA_MARZO_202651[[#This Row],[ASER_]]="","",IFERROR(_xlfn.IFS(M40&gt;=100%,"&gt;100%",AND(M40&lt;100%,M40&gt;=70%),"&gt;70%",AND(M40&lt;70%,M40&gt;=40%),"&gt;40%",AND(M40&lt;40%,M40&gt;=0%),"&gt;0%"),""))</f>
        <v>&gt;40%</v>
      </c>
      <c r="O40" s="55" t="str">
        <f>IFERROR(VLOOKUP(DATA_MARZO_202651[[#This Row],[ASER_]],$B:$G,4,0),"")</f>
        <v>LEONOR</v>
      </c>
      <c r="P40" s="6">
        <f>VLOOKUP(DATA_MARZO_202651[[#This Row],[ASER_]],D1_MARZO_202655[[ASESOR_CRR]:[RECUPERO]],6,0)</f>
        <v>8055</v>
      </c>
      <c r="Q40" s="6">
        <f>VLOOKUP(DATA_MARZO_202651[[#This Row],[ASER_]],D1_MARZO_202655[[ASESOR_CRR]:[META]],2,0)</f>
        <v>16000</v>
      </c>
      <c r="R40" t="s">
        <v>566</v>
      </c>
      <c r="S40">
        <v>0</v>
      </c>
      <c r="T40">
        <v>0</v>
      </c>
      <c r="U40">
        <v>0</v>
      </c>
      <c r="V40">
        <v>0</v>
      </c>
      <c r="W40" s="5">
        <v>0</v>
      </c>
      <c r="X40" s="6">
        <v>300</v>
      </c>
      <c r="Y40" s="6">
        <v>715</v>
      </c>
      <c r="Z40" s="6">
        <v>0</v>
      </c>
      <c r="AA40" s="6">
        <v>350</v>
      </c>
      <c r="AB40" s="6">
        <v>0</v>
      </c>
      <c r="AC40" s="6">
        <v>0</v>
      </c>
      <c r="AD40" s="6">
        <v>0</v>
      </c>
      <c r="AE40" s="6">
        <v>0</v>
      </c>
      <c r="AF40" s="6">
        <v>600</v>
      </c>
      <c r="AG40" s="6">
        <v>0</v>
      </c>
      <c r="AH40" s="6">
        <v>230</v>
      </c>
      <c r="AI40" s="6">
        <v>130</v>
      </c>
      <c r="AJ40" s="6">
        <v>0</v>
      </c>
      <c r="AK40" s="6">
        <v>0</v>
      </c>
      <c r="AL40" s="6">
        <v>3000</v>
      </c>
      <c r="AM40" s="6">
        <v>1330</v>
      </c>
      <c r="AN40" s="6">
        <v>1400</v>
      </c>
      <c r="AO40" s="55" t="str" cm="1">
        <f t="array" ref="AO40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</row>
    <row r="41" spans="1:41" x14ac:dyDescent="0.25">
      <c r="A41" s="34" t="str" cm="1">
        <f t="array" ref="A4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1" s="34" t="str" cm="1">
        <f t="array" ref="B41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MARIA TINTAYA</v>
      </c>
      <c r="C41" s="34" cm="1">
        <f t="array" ref="C41">_xlfn.XLOOKUP(1,(TablaMeta[CONCAT]=$M$3&amp;$N$3&amp;D1_MARZO_202655[[#This Row],[SUPER]])*(TablaMeta[SEGG]=D1_MARZO_202655[[#This Row],[SEGMENTO]]),TablaMeta[Meta_Asesor])</f>
        <v>56000</v>
      </c>
      <c r="D41" s="35">
        <f>IF(D1_MARZO_202655[[#This Row],[RECUPERO]]="VACACIONES","VACACIONES",IFERROR(D1_MARZO_202655[[#This Row],[RECUPERO]]/D1_MARZO_202655[[#This Row],[META]],""))</f>
        <v>1.0212857142857144</v>
      </c>
      <c r="E41" s="35" t="str">
        <f>D1_MARZO_202655[[#This Row],[SUPER]]</f>
        <v>JOHAN</v>
      </c>
      <c r="F41" t="s">
        <v>75</v>
      </c>
      <c r="G41" s="3">
        <v>57192</v>
      </c>
      <c r="H41" cm="1">
        <f t="array" ref="H4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71264767</v>
      </c>
      <c r="I41" s="56" cm="1">
        <f t="array" ref="I4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44714</v>
      </c>
      <c r="J41" s="56" t="str" cm="1">
        <f t="array" ref="J4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1" s="56" t="str" cm="1">
        <f t="array" ref="K4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1" s="56"/>
      <c r="M41" s="5">
        <f>DATA_MARZO_202651[[#This Row],[RECUPERO]]/DATA_MARZO_202651[[#This Row],[META]]</f>
        <v>0.75437500000000002</v>
      </c>
      <c r="N41" s="54" t="str" cm="1">
        <f t="array" ref="N41">IF(DATA_MARZO_202651[[#This Row],[ASER_]]="","",IFERROR(_xlfn.IFS(M41&gt;=100%,"&gt;100%",AND(M41&lt;100%,M41&gt;=70%),"&gt;70%",AND(M41&lt;70%,M41&gt;=40%),"&gt;40%",AND(M41&lt;40%,M41&gt;=0%),"&gt;0%"),""))</f>
        <v>&gt;70%</v>
      </c>
      <c r="O41" s="55" t="str">
        <f>IFERROR(VLOOKUP(DATA_MARZO_202651[[#This Row],[ASER_]],$B:$G,4,0),"")</f>
        <v>LEONOR</v>
      </c>
      <c r="P41" s="6">
        <f>VLOOKUP(DATA_MARZO_202651[[#This Row],[ASER_]],D1_MARZO_202655[[ASESOR_CRR]:[RECUPERO]],6,0)</f>
        <v>12070</v>
      </c>
      <c r="Q41" s="6">
        <f>VLOOKUP(DATA_MARZO_202651[[#This Row],[ASER_]],D1_MARZO_202655[[ASESOR_CRR]:[META]],2,0)</f>
        <v>16000</v>
      </c>
      <c r="R41" t="s">
        <v>565</v>
      </c>
      <c r="S41">
        <v>0</v>
      </c>
      <c r="T41">
        <v>0</v>
      </c>
      <c r="U41">
        <v>0</v>
      </c>
      <c r="V41">
        <v>0</v>
      </c>
      <c r="W41" s="5">
        <v>0</v>
      </c>
      <c r="X41" s="6">
        <v>0</v>
      </c>
      <c r="Y41" s="6">
        <v>2000</v>
      </c>
      <c r="Z41" s="6">
        <v>120</v>
      </c>
      <c r="AA41" s="6">
        <v>300</v>
      </c>
      <c r="AB41" s="6">
        <v>450</v>
      </c>
      <c r="AC41" s="6">
        <v>0</v>
      </c>
      <c r="AD41" s="6">
        <v>3000</v>
      </c>
      <c r="AE41" s="6">
        <v>0</v>
      </c>
      <c r="AF41" s="6">
        <v>400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5800</v>
      </c>
      <c r="AM41" s="6">
        <v>0</v>
      </c>
      <c r="AN41" s="6">
        <v>0</v>
      </c>
      <c r="AO41" s="55" t="str" cm="1">
        <f t="array" ref="AO4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</row>
    <row r="42" spans="1:41" x14ac:dyDescent="0.25">
      <c r="A42" s="34" t="str" cm="1">
        <f t="array" ref="A4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2" s="34" t="str" cm="1">
        <f t="array" ref="B42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ERIKA VILLAR</v>
      </c>
      <c r="C42" s="34" cm="1">
        <f t="array" ref="C42">_xlfn.XLOOKUP(1,(TablaMeta[CONCAT]=$M$3&amp;$N$3&amp;D1_MARZO_202655[[#This Row],[SUPER]])*(TablaMeta[SEGG]=D1_MARZO_202655[[#This Row],[SEGMENTO]]),TablaMeta[Meta_Asesor])</f>
        <v>56000</v>
      </c>
      <c r="D42" s="35">
        <f>IF(D1_MARZO_202655[[#This Row],[RECUPERO]]="VACACIONES","VACACIONES",IFERROR(D1_MARZO_202655[[#This Row],[RECUPERO]]/D1_MARZO_202655[[#This Row],[META]],""))</f>
        <v>0.86050000000000004</v>
      </c>
      <c r="E42" s="35" t="str">
        <f>D1_MARZO_202655[[#This Row],[SUPER]]</f>
        <v>JOHAN</v>
      </c>
      <c r="F42" t="s">
        <v>72</v>
      </c>
      <c r="G42" s="3">
        <v>48188</v>
      </c>
      <c r="H42" cm="1">
        <f t="array" ref="H4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47690367</v>
      </c>
      <c r="I42" s="56" cm="1">
        <f t="array" ref="I4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45691</v>
      </c>
      <c r="J42" s="56" t="str" cm="1">
        <f t="array" ref="J4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2" s="56" t="str" cm="1">
        <f t="array" ref="K4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2" s="56"/>
      <c r="M42" s="5">
        <f>DATA_MARZO_202651[[#This Row],[RECUPERO]]/DATA_MARZO_202651[[#This Row],[META]]</f>
        <v>1.2964615384615386</v>
      </c>
      <c r="N42" s="54" t="str" cm="1">
        <f t="array" ref="N42">IF(DATA_MARZO_202651[[#This Row],[ASER_]]="","",IFERROR(_xlfn.IFS(M42&gt;=100%,"&gt;100%",AND(M42&lt;100%,M42&gt;=70%),"&gt;70%",AND(M42&lt;70%,M42&gt;=40%),"&gt;40%",AND(M42&lt;40%,M42&gt;=0%),"&gt;0%"),""))</f>
        <v>&gt;100%</v>
      </c>
      <c r="O42" s="55" t="str">
        <f>IFERROR(VLOOKUP(DATA_MARZO_202651[[#This Row],[ASER_]],$B:$G,4,0),"")</f>
        <v>SANDY</v>
      </c>
      <c r="P42" s="6">
        <f>VLOOKUP(DATA_MARZO_202651[[#This Row],[ASER_]],D1_MARZO_202655[[ASESOR_CRR]:[RECUPERO]],6,0)</f>
        <v>42135</v>
      </c>
      <c r="Q42" s="6">
        <f>VLOOKUP(DATA_MARZO_202651[[#This Row],[ASER_]],D1_MARZO_202655[[ASESOR_CRR]:[META]],2,0)</f>
        <v>32500</v>
      </c>
      <c r="R42" t="s">
        <v>96</v>
      </c>
      <c r="S42">
        <v>4400</v>
      </c>
      <c r="T42">
        <v>1970</v>
      </c>
      <c r="U42">
        <v>0</v>
      </c>
      <c r="V42">
        <v>0</v>
      </c>
      <c r="W42" s="5">
        <v>1480</v>
      </c>
      <c r="X42" s="6">
        <v>19000</v>
      </c>
      <c r="Y42" s="6">
        <v>0</v>
      </c>
      <c r="Z42" s="6">
        <v>1000</v>
      </c>
      <c r="AA42" s="6">
        <v>0</v>
      </c>
      <c r="AB42" s="6">
        <v>0</v>
      </c>
      <c r="AC42" s="6">
        <v>0</v>
      </c>
      <c r="AD42" s="6">
        <v>0</v>
      </c>
      <c r="AE42" s="6">
        <v>1500</v>
      </c>
      <c r="AF42" s="6">
        <v>0</v>
      </c>
      <c r="AG42" s="6">
        <v>1285</v>
      </c>
      <c r="AH42" s="6">
        <v>4200</v>
      </c>
      <c r="AI42" s="6">
        <v>1200</v>
      </c>
      <c r="AJ42" s="6">
        <v>0</v>
      </c>
      <c r="AK42" s="6">
        <v>0</v>
      </c>
      <c r="AL42" s="6">
        <v>2950</v>
      </c>
      <c r="AM42" s="6">
        <v>0</v>
      </c>
      <c r="AN42" s="6">
        <v>3150</v>
      </c>
      <c r="AO42" s="55" t="str" cm="1">
        <f t="array" ref="AO42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3" spans="1:41" x14ac:dyDescent="0.25">
      <c r="A43" s="34" t="str" cm="1">
        <f t="array" ref="A4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3" s="34" t="str" cm="1">
        <f t="array" ref="B43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ALEIDITH GUEVARA</v>
      </c>
      <c r="C43" s="34" cm="1">
        <f t="array" ref="C43">_xlfn.XLOOKUP(1,(TablaMeta[CONCAT]=$M$3&amp;$N$3&amp;D1_MARZO_202655[[#This Row],[SUPER]])*(TablaMeta[SEGG]=D1_MARZO_202655[[#This Row],[SEGMENTO]]),TablaMeta[Meta_Asesor])</f>
        <v>56000</v>
      </c>
      <c r="D43" s="35">
        <f>IF(D1_MARZO_202655[[#This Row],[RECUPERO]]="VACACIONES","VACACIONES",IFERROR(D1_MARZO_202655[[#This Row],[RECUPERO]]/D1_MARZO_202655[[#This Row],[META]],""))</f>
        <v>0.80812499999999998</v>
      </c>
      <c r="E43" s="35" t="str">
        <f>D1_MARZO_202655[[#This Row],[SUPER]]</f>
        <v>JOHAN</v>
      </c>
      <c r="F43" t="s">
        <v>18</v>
      </c>
      <c r="G43" s="3">
        <v>45255</v>
      </c>
      <c r="H43" cm="1">
        <f t="array" ref="H4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76214436</v>
      </c>
      <c r="I43" s="56" cm="1">
        <f t="array" ref="I4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45132</v>
      </c>
      <c r="J43" s="56" t="str" cm="1">
        <f t="array" ref="J4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3" s="56" t="str" cm="1">
        <f t="array" ref="K4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3" s="56"/>
      <c r="M43" s="5">
        <f>DATA_MARZO_202651[[#This Row],[RECUPERO]]/DATA_MARZO_202651[[#This Row],[META]]</f>
        <v>3.5090769230769232</v>
      </c>
      <c r="N43" s="54" t="str" cm="1">
        <f t="array" ref="N43">IF(DATA_MARZO_202651[[#This Row],[ASER_]]="","",IFERROR(_xlfn.IFS(M43&gt;=100%,"&gt;100%",AND(M43&lt;100%,M43&gt;=70%),"&gt;70%",AND(M43&lt;70%,M43&gt;=40%),"&gt;40%",AND(M43&lt;40%,M43&gt;=0%),"&gt;0%"),""))</f>
        <v>&gt;100%</v>
      </c>
      <c r="O43" s="55" t="str">
        <f>IFERROR(VLOOKUP(DATA_MARZO_202651[[#This Row],[ASER_]],$B:$G,4,0),"")</f>
        <v>SANDY</v>
      </c>
      <c r="P43" s="6">
        <f>VLOOKUP(DATA_MARZO_202651[[#This Row],[ASER_]],D1_MARZO_202655[[ASESOR_CRR]:[RECUPERO]],6,0)</f>
        <v>114045</v>
      </c>
      <c r="Q43" s="6">
        <f>VLOOKUP(DATA_MARZO_202651[[#This Row],[ASER_]],D1_MARZO_202655[[ASESOR_CRR]:[META]],2,0)</f>
        <v>32500</v>
      </c>
      <c r="R43" t="s">
        <v>79</v>
      </c>
      <c r="S43">
        <v>1100</v>
      </c>
      <c r="T43">
        <v>270</v>
      </c>
      <c r="U43">
        <v>1100</v>
      </c>
      <c r="V43">
        <v>12000</v>
      </c>
      <c r="W43" s="5">
        <v>0</v>
      </c>
      <c r="X43" s="6">
        <v>5000</v>
      </c>
      <c r="Y43" s="6">
        <v>0</v>
      </c>
      <c r="Z43" s="6">
        <v>0</v>
      </c>
      <c r="AA43" s="6">
        <v>0</v>
      </c>
      <c r="AB43" s="6">
        <v>9100</v>
      </c>
      <c r="AC43" s="6">
        <v>12105</v>
      </c>
      <c r="AD43" s="6">
        <v>1200</v>
      </c>
      <c r="AE43" s="6">
        <v>9000</v>
      </c>
      <c r="AF43" s="6">
        <v>170</v>
      </c>
      <c r="AG43" s="6">
        <v>10970</v>
      </c>
      <c r="AH43" s="6">
        <v>0</v>
      </c>
      <c r="AI43" s="6">
        <v>0</v>
      </c>
      <c r="AJ43" s="6">
        <v>13000</v>
      </c>
      <c r="AK43" s="6">
        <v>2700</v>
      </c>
      <c r="AL43" s="6">
        <v>0</v>
      </c>
      <c r="AM43" s="6">
        <v>34950</v>
      </c>
      <c r="AN43" s="6">
        <v>1380</v>
      </c>
      <c r="AO43" s="55" t="str" cm="1">
        <f t="array" ref="AO43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4" spans="1:41" x14ac:dyDescent="0.25">
      <c r="A44" s="34" t="str" cm="1">
        <f t="array" ref="A4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4" s="34" t="str" cm="1">
        <f t="array" ref="B44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GENESIS VICUNA</v>
      </c>
      <c r="C44" s="34" cm="1">
        <f t="array" ref="C44">_xlfn.XLOOKUP(1,(TablaMeta[CONCAT]=$M$3&amp;$N$3&amp;D1_MARZO_202655[[#This Row],[SUPER]])*(TablaMeta[SEGG]=D1_MARZO_202655[[#This Row],[SEGMENTO]]),TablaMeta[Meta_Asesor])</f>
        <v>56000</v>
      </c>
      <c r="D44" s="35">
        <f>IF(D1_MARZO_202655[[#This Row],[RECUPERO]]="VACACIONES","VACACIONES",IFERROR(D1_MARZO_202655[[#This Row],[RECUPERO]]/D1_MARZO_202655[[#This Row],[META]],""))</f>
        <v>0.73692857142857138</v>
      </c>
      <c r="E44" s="35" t="str">
        <f>D1_MARZO_202655[[#This Row],[SUPER]]</f>
        <v>JOHAN</v>
      </c>
      <c r="F44" t="s">
        <v>12</v>
      </c>
      <c r="G44" s="3">
        <v>41268</v>
      </c>
      <c r="H44" cm="1">
        <f t="array" ref="H4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45262585</v>
      </c>
      <c r="I44" s="56" cm="1">
        <f t="array" ref="I4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44868</v>
      </c>
      <c r="J44" s="56" t="str" cm="1">
        <f t="array" ref="J4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4" s="56" t="str" cm="1">
        <f t="array" ref="K4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4" s="56"/>
      <c r="M44" s="5">
        <f>DATA_MARZO_202651[[#This Row],[RECUPERO]]/DATA_MARZO_202651[[#This Row],[META]]</f>
        <v>1.7521969230769232</v>
      </c>
      <c r="N44" s="54" t="str" cm="1">
        <f t="array" ref="N44">IF(DATA_MARZO_202651[[#This Row],[ASER_]]="","",IFERROR(_xlfn.IFS(M44&gt;=100%,"&gt;100%",AND(M44&lt;100%,M44&gt;=70%),"&gt;70%",AND(M44&lt;70%,M44&gt;=40%),"&gt;40%",AND(M44&lt;40%,M44&gt;=0%),"&gt;0%"),""))</f>
        <v>&gt;100%</v>
      </c>
      <c r="O44" s="55" t="str">
        <f>IFERROR(VLOOKUP(DATA_MARZO_202651[[#This Row],[ASER_]],$B:$G,4,0),"")</f>
        <v>SANDY</v>
      </c>
      <c r="P44" s="6">
        <f>VLOOKUP(DATA_MARZO_202651[[#This Row],[ASER_]],D1_MARZO_202655[[ASESOR_CRR]:[RECUPERO]],6,0)</f>
        <v>56946.400000000001</v>
      </c>
      <c r="Q44" s="6">
        <f>VLOOKUP(DATA_MARZO_202651[[#This Row],[ASER_]],D1_MARZO_202655[[ASESOR_CRR]:[META]],2,0)</f>
        <v>32500</v>
      </c>
      <c r="R44" t="s">
        <v>29</v>
      </c>
      <c r="S44">
        <v>383.4</v>
      </c>
      <c r="T44">
        <v>500</v>
      </c>
      <c r="U44">
        <v>0</v>
      </c>
      <c r="V44">
        <v>1778</v>
      </c>
      <c r="W44" s="5">
        <v>1220</v>
      </c>
      <c r="X44" s="6">
        <v>0</v>
      </c>
      <c r="Y44" s="6">
        <v>0</v>
      </c>
      <c r="Z44" s="6">
        <v>200</v>
      </c>
      <c r="AA44" s="6">
        <v>23145</v>
      </c>
      <c r="AB44" s="6">
        <v>0</v>
      </c>
      <c r="AC44" s="6">
        <v>2848</v>
      </c>
      <c r="AD44" s="6">
        <v>0</v>
      </c>
      <c r="AE44" s="6">
        <v>310</v>
      </c>
      <c r="AF44" s="6">
        <v>0</v>
      </c>
      <c r="AG44" s="6">
        <v>1102</v>
      </c>
      <c r="AH44" s="6">
        <v>1800</v>
      </c>
      <c r="AI44" s="6">
        <v>845</v>
      </c>
      <c r="AJ44" s="6">
        <v>1050</v>
      </c>
      <c r="AK44" s="6">
        <v>453</v>
      </c>
      <c r="AL44" s="6">
        <v>3300</v>
      </c>
      <c r="AM44" s="6">
        <v>9480</v>
      </c>
      <c r="AN44" s="6">
        <v>8532</v>
      </c>
      <c r="AO44" s="55" t="str" cm="1">
        <f t="array" ref="AO44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5" spans="1:41" x14ac:dyDescent="0.25">
      <c r="A45" s="34" t="str" cm="1">
        <f t="array" ref="A4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5" s="34" t="str" cm="1">
        <f t="array" ref="B45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JEREMIAS ROJAS</v>
      </c>
      <c r="C45" s="34" cm="1">
        <f t="array" ref="C45">_xlfn.XLOOKUP(1,(TablaMeta[CONCAT]=$M$3&amp;$N$3&amp;D1_MARZO_202655[[#This Row],[SUPER]])*(TablaMeta[SEGG]=D1_MARZO_202655[[#This Row],[SEGMENTO]]),TablaMeta[Meta_Asesor])</f>
        <v>56000</v>
      </c>
      <c r="D45" s="35">
        <f>IF(D1_MARZO_202655[[#This Row],[RECUPERO]]="VACACIONES","VACACIONES",IFERROR(D1_MARZO_202655[[#This Row],[RECUPERO]]/D1_MARZO_202655[[#This Row],[META]],""))</f>
        <v>0.70133928571428572</v>
      </c>
      <c r="E45" s="35" t="str">
        <f>D1_MARZO_202655[[#This Row],[SUPER]]</f>
        <v>JOHAN</v>
      </c>
      <c r="F45" t="s">
        <v>122</v>
      </c>
      <c r="G45" s="3">
        <v>39275</v>
      </c>
      <c r="H45" cm="1">
        <f t="array" ref="H4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76586998</v>
      </c>
      <c r="I45" s="56" cm="1">
        <f t="array" ref="I4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45971</v>
      </c>
      <c r="J45" s="56" t="str" cm="1">
        <f t="array" ref="J4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5" s="56" t="str" cm="1">
        <f t="array" ref="K4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5" s="56"/>
      <c r="M45" s="5">
        <f>DATA_MARZO_202651[[#This Row],[RECUPERO]]/DATA_MARZO_202651[[#This Row],[META]]</f>
        <v>1.4471187692307692</v>
      </c>
      <c r="N45" s="54" t="str" cm="1">
        <f t="array" ref="N45">IF(DATA_MARZO_202651[[#This Row],[ASER_]]="","",IFERROR(_xlfn.IFS(M45&gt;=100%,"&gt;100%",AND(M45&lt;100%,M45&gt;=70%),"&gt;70%",AND(M45&lt;70%,M45&gt;=40%),"&gt;40%",AND(M45&lt;40%,M45&gt;=0%),"&gt;0%"),""))</f>
        <v>&gt;100%</v>
      </c>
      <c r="O45" s="55" t="str">
        <f>IFERROR(VLOOKUP(DATA_MARZO_202651[[#This Row],[ASER_]],$B:$G,4,0),"")</f>
        <v>SANDY</v>
      </c>
      <c r="P45" s="6">
        <f>VLOOKUP(DATA_MARZO_202651[[#This Row],[ASER_]],D1_MARZO_202655[[ASESOR_CRR]:[RECUPERO]],6,0)</f>
        <v>47031.360000000001</v>
      </c>
      <c r="Q45" s="6">
        <f>VLOOKUP(DATA_MARZO_202651[[#This Row],[ASER_]],D1_MARZO_202655[[ASESOR_CRR]:[META]],2,0)</f>
        <v>32500</v>
      </c>
      <c r="R45" t="s">
        <v>68</v>
      </c>
      <c r="S45">
        <v>0</v>
      </c>
      <c r="T45">
        <v>1200</v>
      </c>
      <c r="U45">
        <v>5000</v>
      </c>
      <c r="V45">
        <v>8783.36</v>
      </c>
      <c r="W45" s="5">
        <v>0</v>
      </c>
      <c r="X45" s="6">
        <v>0</v>
      </c>
      <c r="Y45" s="6">
        <v>0</v>
      </c>
      <c r="Z45" s="6">
        <v>2010</v>
      </c>
      <c r="AA45" s="6">
        <v>0</v>
      </c>
      <c r="AB45" s="6">
        <v>2628</v>
      </c>
      <c r="AC45" s="6">
        <v>0</v>
      </c>
      <c r="AD45" s="6">
        <v>0</v>
      </c>
      <c r="AE45" s="6">
        <v>0</v>
      </c>
      <c r="AF45" s="6">
        <v>0</v>
      </c>
      <c r="AG45" s="6">
        <v>300</v>
      </c>
      <c r="AH45" s="6">
        <v>0</v>
      </c>
      <c r="AI45" s="6">
        <v>647.36</v>
      </c>
      <c r="AJ45" s="6">
        <v>12450</v>
      </c>
      <c r="AK45" s="6">
        <v>10000.36</v>
      </c>
      <c r="AL45" s="6">
        <v>2000</v>
      </c>
      <c r="AM45" s="6">
        <v>2010</v>
      </c>
      <c r="AN45" s="6">
        <v>0</v>
      </c>
      <c r="AO45" s="55" t="str" cm="1">
        <f t="array" ref="AO45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6" spans="1:41" x14ac:dyDescent="0.25">
      <c r="A46" s="34" t="str" cm="1">
        <f t="array" ref="A4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6" s="34" t="str" cm="1">
        <f t="array" ref="B46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MARTIN VARGAS</v>
      </c>
      <c r="C46" s="34" cm="1">
        <f t="array" ref="C46">_xlfn.XLOOKUP(1,(TablaMeta[CONCAT]=$M$3&amp;$N$3&amp;D1_MARZO_202655[[#This Row],[SUPER]])*(TablaMeta[SEGG]=D1_MARZO_202655[[#This Row],[SEGMENTO]]),TablaMeta[Meta_Asesor])</f>
        <v>56000</v>
      </c>
      <c r="D46" s="35">
        <f>IF(D1_MARZO_202655[[#This Row],[RECUPERO]]="VACACIONES","VACACIONES",IFERROR(D1_MARZO_202655[[#This Row],[RECUPERO]]/D1_MARZO_202655[[#This Row],[META]],""))</f>
        <v>0.36885714285714288</v>
      </c>
      <c r="E46" s="35" t="str">
        <f>D1_MARZO_202655[[#This Row],[SUPER]]</f>
        <v>JOHAN</v>
      </c>
      <c r="F46" t="s">
        <v>206</v>
      </c>
      <c r="G46" s="3">
        <v>20656</v>
      </c>
      <c r="H46" cm="1">
        <f t="array" ref="H4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47497410</v>
      </c>
      <c r="I46" s="56" cm="1">
        <f t="array" ref="I4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46024</v>
      </c>
      <c r="J46" s="56" t="str" cm="1">
        <f t="array" ref="J4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6" s="56" t="str" cm="1">
        <f t="array" ref="K4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6" s="56"/>
      <c r="M46" s="5">
        <f>DATA_MARZO_202651[[#This Row],[RECUPERO]]/DATA_MARZO_202651[[#This Row],[META]]</f>
        <v>0.9849230769230769</v>
      </c>
      <c r="N46" s="54" t="str" cm="1">
        <f t="array" ref="N46">IF(DATA_MARZO_202651[[#This Row],[ASER_]]="","",IFERROR(_xlfn.IFS(M46&gt;=100%,"&gt;100%",AND(M46&lt;100%,M46&gt;=70%),"&gt;70%",AND(M46&lt;70%,M46&gt;=40%),"&gt;40%",AND(M46&lt;40%,M46&gt;=0%),"&gt;0%"),""))</f>
        <v>&gt;70%</v>
      </c>
      <c r="O46" s="55" t="str">
        <f>IFERROR(VLOOKUP(DATA_MARZO_202651[[#This Row],[ASER_]],$B:$G,4,0),"")</f>
        <v>SANDY</v>
      </c>
      <c r="P46" s="6">
        <f>VLOOKUP(DATA_MARZO_202651[[#This Row],[ASER_]],D1_MARZO_202655[[ASESOR_CRR]:[RECUPERO]],6,0)</f>
        <v>32010</v>
      </c>
      <c r="Q46" s="6">
        <f>VLOOKUP(DATA_MARZO_202651[[#This Row],[ASER_]],D1_MARZO_202655[[ASESOR_CRR]:[META]],2,0)</f>
        <v>32500</v>
      </c>
      <c r="R46" t="s">
        <v>174</v>
      </c>
      <c r="S46">
        <v>0</v>
      </c>
      <c r="T46">
        <v>0</v>
      </c>
      <c r="U46">
        <v>0</v>
      </c>
      <c r="V46">
        <v>200</v>
      </c>
      <c r="W46">
        <v>0</v>
      </c>
      <c r="X46" s="5">
        <v>350</v>
      </c>
      <c r="Y46" s="6">
        <v>4000</v>
      </c>
      <c r="Z46" s="6">
        <v>110</v>
      </c>
      <c r="AA46" s="6">
        <v>380</v>
      </c>
      <c r="AB46" s="6">
        <v>200</v>
      </c>
      <c r="AC46" s="6">
        <v>5000</v>
      </c>
      <c r="AD46" s="6">
        <v>6800</v>
      </c>
      <c r="AE46" s="6">
        <v>0</v>
      </c>
      <c r="AF46" s="6">
        <v>0</v>
      </c>
      <c r="AG46" s="6">
        <v>3450</v>
      </c>
      <c r="AH46" s="6">
        <v>0</v>
      </c>
      <c r="AI46" s="6">
        <v>0</v>
      </c>
      <c r="AJ46" s="6">
        <v>1200</v>
      </c>
      <c r="AK46" s="6">
        <v>0</v>
      </c>
      <c r="AL46" s="6">
        <v>3600</v>
      </c>
      <c r="AM46" s="6">
        <v>5500</v>
      </c>
      <c r="AN46" s="6">
        <v>1220</v>
      </c>
      <c r="AO46" s="55" t="str" cm="1">
        <f t="array" ref="AO46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7" spans="1:41" x14ac:dyDescent="0.25">
      <c r="A47" s="34" t="str" cm="1">
        <f t="array" ref="A4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7" s="34" t="str" cm="1">
        <f t="array" ref="B47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ANTHONY VICENTE</v>
      </c>
      <c r="C47" s="34" cm="1">
        <f t="array" ref="C47">_xlfn.XLOOKUP(1,(TablaMeta[CONCAT]=$M$3&amp;$N$3&amp;D1_MARZO_202655[[#This Row],[SUPER]])*(TablaMeta[SEGG]=D1_MARZO_202655[[#This Row],[SEGMENTO]]),TablaMeta[Meta_Asesor])</f>
        <v>56000</v>
      </c>
      <c r="D47" s="35">
        <f>IF(D1_MARZO_202655[[#This Row],[RECUPERO]]="VACACIONES","VACACIONES",IFERROR(D1_MARZO_202655[[#This Row],[RECUPERO]]/D1_MARZO_202655[[#This Row],[META]],""))</f>
        <v>0.30598214285714287</v>
      </c>
      <c r="E47" s="35" t="str">
        <f>D1_MARZO_202655[[#This Row],[SUPER]]</f>
        <v>JOHAN</v>
      </c>
      <c r="F47" t="s">
        <v>85</v>
      </c>
      <c r="G47" s="3">
        <v>17135</v>
      </c>
      <c r="H47" cm="1">
        <f t="array" ref="H4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70477743</v>
      </c>
      <c r="I47" s="56" cm="1">
        <f t="array" ref="I4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46055</v>
      </c>
      <c r="J47" s="56" t="str" cm="1">
        <f t="array" ref="J4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7" s="56" t="str" cm="1">
        <f t="array" ref="K4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7" s="56"/>
      <c r="M47" s="5">
        <f>DATA_MARZO_202651[[#This Row],[RECUPERO]]/DATA_MARZO_202651[[#This Row],[META]]</f>
        <v>2.1332923076923076</v>
      </c>
      <c r="N47" s="54" t="str" cm="1">
        <f t="array" ref="N47">IF(DATA_MARZO_202651[[#This Row],[ASER_]]="","",IFERROR(_xlfn.IFS(M47&gt;=100%,"&gt;100%",AND(M47&lt;100%,M47&gt;=70%),"&gt;70%",AND(M47&lt;70%,M47&gt;=40%),"&gt;40%",AND(M47&lt;40%,M47&gt;=0%),"&gt;0%"),""))</f>
        <v>&gt;100%</v>
      </c>
      <c r="O47" s="55" t="str">
        <f>IFERROR(VLOOKUP(DATA_MARZO_202651[[#This Row],[ASER_]],$B:$G,4,0),"")</f>
        <v>SANDY</v>
      </c>
      <c r="P47" s="6">
        <f>VLOOKUP(DATA_MARZO_202651[[#This Row],[ASER_]],D1_MARZO_202655[[ASESOR_CRR]:[RECUPERO]],6,0)</f>
        <v>69332</v>
      </c>
      <c r="Q47" s="6">
        <f>VLOOKUP(DATA_MARZO_202651[[#This Row],[ASER_]],D1_MARZO_202655[[ASESOR_CRR]:[META]],2,0)</f>
        <v>32500</v>
      </c>
      <c r="R47" t="s">
        <v>32</v>
      </c>
      <c r="S47">
        <v>0</v>
      </c>
      <c r="T47">
        <v>7500</v>
      </c>
      <c r="U47">
        <v>0</v>
      </c>
      <c r="V47">
        <v>0</v>
      </c>
      <c r="W47">
        <v>2912</v>
      </c>
      <c r="X47" s="5">
        <v>1542</v>
      </c>
      <c r="Y47" s="6">
        <v>0</v>
      </c>
      <c r="Z47" s="6">
        <v>750</v>
      </c>
      <c r="AA47" s="6">
        <v>11150</v>
      </c>
      <c r="AB47" s="6">
        <v>210</v>
      </c>
      <c r="AC47" s="6">
        <v>210</v>
      </c>
      <c r="AD47" s="6">
        <v>0</v>
      </c>
      <c r="AE47" s="6">
        <v>15450</v>
      </c>
      <c r="AF47" s="6">
        <v>0</v>
      </c>
      <c r="AG47" s="6">
        <v>3280</v>
      </c>
      <c r="AH47" s="6">
        <v>0</v>
      </c>
      <c r="AI47" s="6">
        <v>3000</v>
      </c>
      <c r="AJ47" s="6">
        <v>1880</v>
      </c>
      <c r="AK47" s="6">
        <v>0</v>
      </c>
      <c r="AL47" s="6">
        <v>8000</v>
      </c>
      <c r="AM47" s="6">
        <v>6280</v>
      </c>
      <c r="AN47" s="6">
        <v>7375</v>
      </c>
      <c r="AO47" s="55" t="str" cm="1">
        <f t="array" ref="AO47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8" spans="1:41" x14ac:dyDescent="0.25">
      <c r="A48" s="34" t="str" cm="1">
        <f t="array" ref="A4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8" s="34" t="str" cm="1">
        <f t="array" ref="B48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ALEJANDRO GONZALES</v>
      </c>
      <c r="C48" s="34" cm="1">
        <f t="array" ref="C48">_xlfn.XLOOKUP(1,(TablaMeta[CONCAT]=$M$3&amp;$N$3&amp;D1_MARZO_202655[[#This Row],[SUPER]])*(TablaMeta[SEGG]=D1_MARZO_202655[[#This Row],[SEGMENTO]]),TablaMeta[Meta_Asesor])</f>
        <v>56000</v>
      </c>
      <c r="D48" s="35">
        <f>IF(D1_MARZO_202655[[#This Row],[RECUPERO]]="VACACIONES","VACACIONES",IFERROR(D1_MARZO_202655[[#This Row],[RECUPERO]]/D1_MARZO_202655[[#This Row],[META]],""))</f>
        <v>0.28767857142857145</v>
      </c>
      <c r="E48" s="35" t="str">
        <f>D1_MARZO_202655[[#This Row],[SUPER]]</f>
        <v>JOHAN</v>
      </c>
      <c r="F48" t="s">
        <v>109</v>
      </c>
      <c r="G48" s="3">
        <v>16110</v>
      </c>
      <c r="H48" cm="1">
        <f t="array" ref="H4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74626735</v>
      </c>
      <c r="I48" s="56" cm="1">
        <f t="array" ref="I4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46024</v>
      </c>
      <c r="J48" s="56" t="str" cm="1">
        <f t="array" ref="J4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8" s="56" t="str" cm="1">
        <f t="array" ref="K4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8" s="56"/>
      <c r="M48" s="5">
        <f>DATA_MARZO_202651[[#This Row],[RECUPERO]]/DATA_MARZO_202651[[#This Row],[META]]</f>
        <v>0.92175384615384615</v>
      </c>
      <c r="N48" s="54" t="str" cm="1">
        <f t="array" ref="N48">IF(DATA_MARZO_202651[[#This Row],[ASER_]]="","",IFERROR(_xlfn.IFS(M48&gt;=100%,"&gt;100%",AND(M48&lt;100%,M48&gt;=70%),"&gt;70%",AND(M48&lt;70%,M48&gt;=40%),"&gt;40%",AND(M48&lt;40%,M48&gt;=0%),"&gt;0%"),""))</f>
        <v>&gt;70%</v>
      </c>
      <c r="O48" s="55" t="str">
        <f>IFERROR(VLOOKUP(DATA_MARZO_202651[[#This Row],[ASER_]],$B:$G,4,0),"")</f>
        <v>SANDY</v>
      </c>
      <c r="P48" s="6">
        <f>VLOOKUP(DATA_MARZO_202651[[#This Row],[ASER_]],D1_MARZO_202655[[ASESOR_CRR]:[RECUPERO]],6,0)</f>
        <v>29957</v>
      </c>
      <c r="Q48" s="6">
        <f>VLOOKUP(DATA_MARZO_202651[[#This Row],[ASER_]],D1_MARZO_202655[[ASESOR_CRR]:[META]],2,0)</f>
        <v>32500</v>
      </c>
      <c r="R48" t="s">
        <v>493</v>
      </c>
      <c r="S48">
        <v>0</v>
      </c>
      <c r="T48">
        <v>0</v>
      </c>
      <c r="U48">
        <v>10300</v>
      </c>
      <c r="V48">
        <v>0</v>
      </c>
      <c r="W48">
        <v>0</v>
      </c>
      <c r="X48" s="5">
        <v>0</v>
      </c>
      <c r="Y48" s="6">
        <v>900</v>
      </c>
      <c r="Z48" s="6">
        <v>2000</v>
      </c>
      <c r="AA48" s="6">
        <v>0</v>
      </c>
      <c r="AB48" s="6">
        <v>0</v>
      </c>
      <c r="AC48" s="6">
        <v>0</v>
      </c>
      <c r="AD48" s="6">
        <v>1000</v>
      </c>
      <c r="AE48" s="6">
        <v>0</v>
      </c>
      <c r="AF48" s="6">
        <v>300</v>
      </c>
      <c r="AG48" s="6">
        <v>500</v>
      </c>
      <c r="AH48" s="6">
        <v>0</v>
      </c>
      <c r="AI48" s="6">
        <v>0</v>
      </c>
      <c r="AJ48" s="6">
        <v>400</v>
      </c>
      <c r="AK48" s="6">
        <v>597</v>
      </c>
      <c r="AL48" s="6">
        <v>7960</v>
      </c>
      <c r="AM48" s="6">
        <v>0</v>
      </c>
      <c r="AN48" s="6">
        <v>6000</v>
      </c>
      <c r="AO48" s="55" t="str" cm="1">
        <f t="array" ref="AO48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49" spans="1:41" x14ac:dyDescent="0.25">
      <c r="A49" s="34" t="str" cm="1">
        <f t="array" ref="A4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49" s="34" t="str" cm="1">
        <f t="array" ref="B49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LISELY MERA</v>
      </c>
      <c r="C49" s="34" cm="1">
        <f t="array" ref="C49">_xlfn.XLOOKUP(1,(TablaMeta[CONCAT]=$M$3&amp;$N$3&amp;D1_MARZO_202655[[#This Row],[SUPER]])*(TablaMeta[SEGG]=D1_MARZO_202655[[#This Row],[SEGMENTO]]),TablaMeta[Meta_Asesor])</f>
        <v>56000</v>
      </c>
      <c r="D49" s="35">
        <f>IF(D1_MARZO_202655[[#This Row],[RECUPERO]]="VACACIONES","VACACIONES",IFERROR(D1_MARZO_202655[[#This Row],[RECUPERO]]/D1_MARZO_202655[[#This Row],[META]],""))</f>
        <v>1.4916848214285716</v>
      </c>
      <c r="E49" s="35" t="str">
        <f>D1_MARZO_202655[[#This Row],[SUPER]]</f>
        <v>JORGE</v>
      </c>
      <c r="F49" t="s">
        <v>23</v>
      </c>
      <c r="G49" s="3">
        <v>83534.350000000006</v>
      </c>
      <c r="H49" cm="1">
        <f t="array" ref="H4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72413556</v>
      </c>
      <c r="I49" s="56" cm="1">
        <f t="array" ref="I4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44109</v>
      </c>
      <c r="J49" s="56" t="str" cm="1">
        <f t="array" ref="J4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9" s="56" t="str" cm="1">
        <f t="array" ref="K4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9" s="56"/>
      <c r="M49" s="5">
        <f>DATA_MARZO_202651[[#This Row],[RECUPERO]]/DATA_MARZO_202651[[#This Row],[META]]</f>
        <v>1.5171491489361701</v>
      </c>
      <c r="N49" s="54" t="str" cm="1">
        <f t="array" ref="N49">IF(DATA_MARZO_202651[[#This Row],[ASER_]]="","",IFERROR(_xlfn.IFS(M49&gt;=100%,"&gt;100%",AND(M49&lt;100%,M49&gt;=70%),"&gt;70%",AND(M49&lt;70%,M49&gt;=40%),"&gt;40%",AND(M49&lt;40%,M49&gt;=0%),"&gt;0%"),""))</f>
        <v>&gt;100%</v>
      </c>
      <c r="O49" s="55" t="str">
        <f>IFERROR(VLOOKUP(DATA_MARZO_202651[[#This Row],[ASER_]],$B:$G,4,0),"")</f>
        <v>SANDY</v>
      </c>
      <c r="P49" s="6">
        <f>VLOOKUP(DATA_MARZO_202651[[#This Row],[ASER_]],D1_MARZO_202655[[ASESOR_CRR]:[RECUPERO]],6,0)</f>
        <v>142612.01999999999</v>
      </c>
      <c r="Q49" s="6">
        <f>VLOOKUP(DATA_MARZO_202651[[#This Row],[ASER_]],D1_MARZO_202655[[ASESOR_CRR]:[META]],2,0)</f>
        <v>94000</v>
      </c>
      <c r="R49" t="s">
        <v>38</v>
      </c>
      <c r="S49">
        <v>200</v>
      </c>
      <c r="T49">
        <v>6484.86</v>
      </c>
      <c r="U49">
        <v>7300</v>
      </c>
      <c r="V49">
        <v>10150</v>
      </c>
      <c r="W49">
        <v>6377</v>
      </c>
      <c r="X49" s="5">
        <v>11957.74</v>
      </c>
      <c r="Y49" s="6">
        <v>1030</v>
      </c>
      <c r="Z49" s="6">
        <v>2100</v>
      </c>
      <c r="AA49" s="6">
        <v>2500</v>
      </c>
      <c r="AB49" s="6">
        <v>537.76</v>
      </c>
      <c r="AC49" s="6">
        <v>1300</v>
      </c>
      <c r="AD49" s="6">
        <v>3700</v>
      </c>
      <c r="AE49" s="6">
        <v>5780</v>
      </c>
      <c r="AF49" s="6">
        <v>13000</v>
      </c>
      <c r="AG49" s="6">
        <v>8450</v>
      </c>
      <c r="AH49" s="6">
        <v>4300</v>
      </c>
      <c r="AI49" s="6">
        <v>6400</v>
      </c>
      <c r="AJ49" s="6">
        <v>750</v>
      </c>
      <c r="AK49" s="6">
        <v>2500</v>
      </c>
      <c r="AL49" s="6">
        <v>4080</v>
      </c>
      <c r="AM49" s="6">
        <v>12015</v>
      </c>
      <c r="AN49" s="6">
        <v>32000</v>
      </c>
      <c r="AO49" s="55" t="str" cm="1">
        <f t="array" ref="AO49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0" spans="1:41" x14ac:dyDescent="0.25">
      <c r="A50" s="34" t="str" cm="1">
        <f t="array" ref="A5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0" s="34" t="str" cm="1">
        <f t="array" ref="B50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EVELY TENORIO</v>
      </c>
      <c r="C50" s="34" cm="1">
        <f t="array" ref="C50">_xlfn.XLOOKUP(1,(TablaMeta[CONCAT]=$M$3&amp;$N$3&amp;D1_MARZO_202655[[#This Row],[SUPER]])*(TablaMeta[SEGG]=D1_MARZO_202655[[#This Row],[SEGMENTO]]),TablaMeta[Meta_Asesor])</f>
        <v>56000</v>
      </c>
      <c r="D50" s="35">
        <f>IF(D1_MARZO_202655[[#This Row],[RECUPERO]]="VACACIONES","VACACIONES",IFERROR(D1_MARZO_202655[[#This Row],[RECUPERO]]/D1_MARZO_202655[[#This Row],[META]],""))</f>
        <v>1.11625</v>
      </c>
      <c r="E50" s="35" t="str">
        <f>D1_MARZO_202655[[#This Row],[SUPER]]</f>
        <v>JORGE</v>
      </c>
      <c r="F50" t="s">
        <v>22</v>
      </c>
      <c r="G50" s="3">
        <v>62510</v>
      </c>
      <c r="H50" cm="1">
        <f t="array" ref="H5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70551168</v>
      </c>
      <c r="I50" s="56" cm="1">
        <f t="array" ref="I5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45295</v>
      </c>
      <c r="J50" s="56" t="str" cm="1">
        <f t="array" ref="J5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0" s="56" t="str" cm="1">
        <f t="array" ref="K50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0" s="56"/>
      <c r="M50" s="5">
        <f>DATA_MARZO_202651[[#This Row],[RECUPERO]]/DATA_MARZO_202651[[#This Row],[META]]</f>
        <v>1.080235744680851</v>
      </c>
      <c r="N50" s="54" t="str" cm="1">
        <f t="array" ref="N50">IF(DATA_MARZO_202651[[#This Row],[ASER_]]="","",IFERROR(_xlfn.IFS(M50&gt;=100%,"&gt;100%",AND(M50&lt;100%,M50&gt;=70%),"&gt;70%",AND(M50&lt;70%,M50&gt;=40%),"&gt;40%",AND(M50&lt;40%,M50&gt;=0%),"&gt;0%"),""))</f>
        <v>&gt;100%</v>
      </c>
      <c r="O50" s="55" t="str">
        <f>IFERROR(VLOOKUP(DATA_MARZO_202651[[#This Row],[ASER_]],$B:$G,4,0),"")</f>
        <v>SANDY</v>
      </c>
      <c r="P50" s="6">
        <f>VLOOKUP(DATA_MARZO_202651[[#This Row],[ASER_]],D1_MARZO_202655[[ASESOR_CRR]:[RECUPERO]],6,0)</f>
        <v>101542.16</v>
      </c>
      <c r="Q50" s="6">
        <f>VLOOKUP(DATA_MARZO_202651[[#This Row],[ASER_]],D1_MARZO_202655[[ASESOR_CRR]:[META]],2,0)</f>
        <v>94000</v>
      </c>
      <c r="R50" t="s">
        <v>76</v>
      </c>
      <c r="S50">
        <v>0</v>
      </c>
      <c r="T50">
        <v>3450</v>
      </c>
      <c r="U50">
        <v>8660.16</v>
      </c>
      <c r="V50">
        <v>16000</v>
      </c>
      <c r="W50">
        <v>0</v>
      </c>
      <c r="X50" s="5">
        <v>20000</v>
      </c>
      <c r="Y50" s="6">
        <v>4463</v>
      </c>
      <c r="Z50" s="6">
        <v>3500</v>
      </c>
      <c r="AA50" s="6">
        <v>0</v>
      </c>
      <c r="AB50" s="6">
        <v>0</v>
      </c>
      <c r="AC50" s="6">
        <v>1000</v>
      </c>
      <c r="AD50" s="6">
        <v>8515</v>
      </c>
      <c r="AE50" s="6">
        <v>0</v>
      </c>
      <c r="AF50" s="6">
        <v>4000</v>
      </c>
      <c r="AG50" s="6">
        <v>400</v>
      </c>
      <c r="AH50" s="6">
        <v>8500</v>
      </c>
      <c r="AI50" s="6">
        <v>1000</v>
      </c>
      <c r="AJ50" s="6">
        <v>8999.82</v>
      </c>
      <c r="AK50" s="6">
        <v>8800</v>
      </c>
      <c r="AL50" s="6">
        <v>2000</v>
      </c>
      <c r="AM50" s="6">
        <v>0</v>
      </c>
      <c r="AN50" s="6">
        <v>2254</v>
      </c>
      <c r="AO50" s="55" t="str" cm="1">
        <f t="array" ref="AO50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1" spans="1:41" x14ac:dyDescent="0.25">
      <c r="A51" s="34" t="str" cm="1">
        <f t="array" ref="A5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1" s="34" t="str" cm="1">
        <f t="array" ref="B51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GIANFRANCO PINEDO</v>
      </c>
      <c r="C51" s="34" cm="1">
        <f t="array" ref="C51">_xlfn.XLOOKUP(1,(TablaMeta[CONCAT]=$M$3&amp;$N$3&amp;D1_MARZO_202655[[#This Row],[SUPER]])*(TablaMeta[SEGG]=D1_MARZO_202655[[#This Row],[SEGMENTO]]),TablaMeta[Meta_Asesor])</f>
        <v>56000</v>
      </c>
      <c r="D51" s="35">
        <f>IF(D1_MARZO_202655[[#This Row],[RECUPERO]]="VACACIONES","VACACIONES",IFERROR(D1_MARZO_202655[[#This Row],[RECUPERO]]/D1_MARZO_202655[[#This Row],[META]],""))</f>
        <v>0.87978571428571428</v>
      </c>
      <c r="E51" s="35" t="str">
        <f>D1_MARZO_202655[[#This Row],[SUPER]]</f>
        <v>JORGE</v>
      </c>
      <c r="F51" t="s">
        <v>13</v>
      </c>
      <c r="G51" s="3">
        <v>49268</v>
      </c>
      <c r="H51" cm="1">
        <f t="array" ref="H5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72512391</v>
      </c>
      <c r="I51" s="56" cm="1">
        <f t="array" ref="I5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44809</v>
      </c>
      <c r="J51" s="56" t="str" cm="1">
        <f t="array" ref="J5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1" s="56" t="str" cm="1">
        <f t="array" ref="K51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1" s="56"/>
      <c r="M51" s="5">
        <f>DATA_MARZO_202651[[#This Row],[RECUPERO]]/DATA_MARZO_202651[[#This Row],[META]]</f>
        <v>0.81320319148936171</v>
      </c>
      <c r="N51" s="54" t="str" cm="1">
        <f t="array" ref="N51">IF(DATA_MARZO_202651[[#This Row],[ASER_]]="","",IFERROR(_xlfn.IFS(M51&gt;=100%,"&gt;100%",AND(M51&lt;100%,M51&gt;=70%),"&gt;70%",AND(M51&lt;70%,M51&gt;=40%),"&gt;40%",AND(M51&lt;40%,M51&gt;=0%),"&gt;0%"),""))</f>
        <v>&gt;70%</v>
      </c>
      <c r="O51" s="55" t="str">
        <f>IFERROR(VLOOKUP(DATA_MARZO_202651[[#This Row],[ASER_]],$B:$G,4,0),"")</f>
        <v>SANDY</v>
      </c>
      <c r="P51" s="6">
        <f>VLOOKUP(DATA_MARZO_202651[[#This Row],[ASER_]],D1_MARZO_202655[[ASESOR_CRR]:[RECUPERO]],6,0)</f>
        <v>76441.100000000006</v>
      </c>
      <c r="Q51" s="6">
        <f>VLOOKUP(DATA_MARZO_202651[[#This Row],[ASER_]],D1_MARZO_202655[[ASESOR_CRR]:[META]],2,0)</f>
        <v>94000</v>
      </c>
      <c r="R51" t="s">
        <v>78</v>
      </c>
      <c r="S51">
        <v>0</v>
      </c>
      <c r="T51">
        <v>6000</v>
      </c>
      <c r="U51">
        <v>8600</v>
      </c>
      <c r="V51">
        <v>0</v>
      </c>
      <c r="W51">
        <v>2495</v>
      </c>
      <c r="X51" s="5">
        <v>10750</v>
      </c>
      <c r="Y51" s="6">
        <v>0</v>
      </c>
      <c r="Z51" s="6">
        <v>496</v>
      </c>
      <c r="AA51" s="6">
        <v>1800</v>
      </c>
      <c r="AB51" s="6">
        <v>0</v>
      </c>
      <c r="AC51" s="6">
        <v>2800</v>
      </c>
      <c r="AD51" s="6">
        <v>17350.099999999999</v>
      </c>
      <c r="AE51" s="6">
        <v>9000</v>
      </c>
      <c r="AF51" s="6">
        <v>0</v>
      </c>
      <c r="AG51" s="6">
        <v>800</v>
      </c>
      <c r="AH51" s="6">
        <v>1820</v>
      </c>
      <c r="AI51" s="6">
        <v>500</v>
      </c>
      <c r="AJ51" s="6">
        <v>4000</v>
      </c>
      <c r="AK51" s="6">
        <v>0</v>
      </c>
      <c r="AL51" s="6">
        <v>4000</v>
      </c>
      <c r="AM51" s="6">
        <v>3250</v>
      </c>
      <c r="AN51" s="6">
        <v>2870</v>
      </c>
      <c r="AO51" s="55" t="str" cm="1">
        <f t="array" ref="AO5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2" spans="1:41" x14ac:dyDescent="0.25">
      <c r="A52" s="34" t="str" cm="1">
        <f t="array" ref="A5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2" s="34" t="str" cm="1">
        <f t="array" ref="B52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ANDERSON RODRIGUEZ</v>
      </c>
      <c r="C52" s="34" cm="1">
        <f t="array" ref="C52">_xlfn.XLOOKUP(1,(TablaMeta[CONCAT]=$M$3&amp;$N$3&amp;D1_MARZO_202655[[#This Row],[SUPER]])*(TablaMeta[SEGG]=D1_MARZO_202655[[#This Row],[SEGMENTO]]),TablaMeta[Meta_Asesor])</f>
        <v>56000</v>
      </c>
      <c r="D52" s="35">
        <f>IF(D1_MARZO_202655[[#This Row],[RECUPERO]]="VACACIONES","VACACIONES",IFERROR(D1_MARZO_202655[[#This Row],[RECUPERO]]/D1_MARZO_202655[[#This Row],[META]],""))</f>
        <v>0.76867857142857143</v>
      </c>
      <c r="E52" s="35" t="str">
        <f>D1_MARZO_202655[[#This Row],[SUPER]]</f>
        <v>JORGE</v>
      </c>
      <c r="F52" t="s">
        <v>15</v>
      </c>
      <c r="G52" s="3">
        <v>43046</v>
      </c>
      <c r="H52" cm="1">
        <f t="array" ref="H5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47587400</v>
      </c>
      <c r="I52" s="56" cm="1">
        <f t="array" ref="I5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44733</v>
      </c>
      <c r="J52" s="56" t="str" cm="1">
        <f t="array" ref="J5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2" s="56" t="str" cm="1">
        <f t="array" ref="K52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2" s="56"/>
      <c r="M52" s="5">
        <f>DATA_MARZO_202651[[#This Row],[RECUPERO]]/DATA_MARZO_202651[[#This Row],[META]]</f>
        <v>0.45149418604651165</v>
      </c>
      <c r="N52" s="54" t="str" cm="1">
        <f t="array" ref="N52">IF(DATA_MARZO_202651[[#This Row],[ASER_]]="","",IFERROR(_xlfn.IFS(M52&gt;=100%,"&gt;100%",AND(M52&lt;100%,M52&gt;=70%),"&gt;70%",AND(M52&lt;70%,M52&gt;=40%),"&gt;40%",AND(M52&lt;40%,M52&gt;=0%),"&gt;0%"),""))</f>
        <v>&gt;40%</v>
      </c>
      <c r="O52" s="55" t="str">
        <f>IFERROR(VLOOKUP(DATA_MARZO_202651[[#This Row],[ASER_]],$B:$G,4,0),"")</f>
        <v>KENNETH</v>
      </c>
      <c r="P52" s="6">
        <f>VLOOKUP(DATA_MARZO_202651[[#This Row],[ASER_]],D1_MARZO_202655[[ASESOR_CRR]:[RECUPERO]],6,0)</f>
        <v>38828.5</v>
      </c>
      <c r="Q52" s="6">
        <f>VLOOKUP(DATA_MARZO_202651[[#This Row],[ASER_]],D1_MARZO_202655[[ASESOR_CRR]:[META]],2,0)</f>
        <v>86000</v>
      </c>
      <c r="R52" t="s">
        <v>37</v>
      </c>
      <c r="S52">
        <v>266.5</v>
      </c>
      <c r="T52">
        <v>1000</v>
      </c>
      <c r="U52">
        <v>150</v>
      </c>
      <c r="V52">
        <v>3300</v>
      </c>
      <c r="W52">
        <v>0</v>
      </c>
      <c r="X52" s="5">
        <v>200</v>
      </c>
      <c r="Y52" s="6">
        <v>100</v>
      </c>
      <c r="Z52" s="6">
        <v>0</v>
      </c>
      <c r="AA52" s="6">
        <v>3800</v>
      </c>
      <c r="AB52" s="6">
        <v>500</v>
      </c>
      <c r="AC52" s="6">
        <v>2300</v>
      </c>
      <c r="AD52" s="6">
        <v>5150</v>
      </c>
      <c r="AE52" s="6">
        <v>0</v>
      </c>
      <c r="AF52" s="6">
        <v>0</v>
      </c>
      <c r="AG52" s="6">
        <v>3022</v>
      </c>
      <c r="AH52" s="6">
        <v>0</v>
      </c>
      <c r="AI52" s="6">
        <v>0</v>
      </c>
      <c r="AJ52" s="6">
        <v>3440</v>
      </c>
      <c r="AK52" s="6">
        <v>3000</v>
      </c>
      <c r="AL52" s="6">
        <v>0</v>
      </c>
      <c r="AM52" s="6">
        <v>8500</v>
      </c>
      <c r="AN52" s="6">
        <v>4100</v>
      </c>
      <c r="AO52" s="55" t="str" cm="1">
        <f t="array" ref="AO52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3" spans="1:41" x14ac:dyDescent="0.25">
      <c r="A53" s="34" t="str" cm="1">
        <f t="array" ref="A5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3" s="34" t="str" cm="1">
        <f t="array" ref="B53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MALORY MONTEBLANCO</v>
      </c>
      <c r="C53" s="34" cm="1">
        <f t="array" ref="C53">_xlfn.XLOOKUP(1,(TablaMeta[CONCAT]=$M$3&amp;$N$3&amp;D1_MARZO_202655[[#This Row],[SUPER]])*(TablaMeta[SEGG]=D1_MARZO_202655[[#This Row],[SEGMENTO]]),TablaMeta[Meta_Asesor])</f>
        <v>56000</v>
      </c>
      <c r="D53" s="35">
        <f>IF(D1_MARZO_202655[[#This Row],[RECUPERO]]="VACACIONES","VACACIONES",IFERROR(D1_MARZO_202655[[#This Row],[RECUPERO]]/D1_MARZO_202655[[#This Row],[META]],""))</f>
        <v>0.70067857142857148</v>
      </c>
      <c r="E53" s="35" t="str">
        <f>D1_MARZO_202655[[#This Row],[SUPER]]</f>
        <v>JORGE</v>
      </c>
      <c r="F53" t="s">
        <v>25</v>
      </c>
      <c r="G53" s="3">
        <v>39238</v>
      </c>
      <c r="H53" cm="1">
        <f t="array" ref="H5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72373931</v>
      </c>
      <c r="I53" s="56" cm="1">
        <f t="array" ref="I5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44818</v>
      </c>
      <c r="J53" s="56" t="str" cm="1">
        <f t="array" ref="J5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3" s="56" t="str" cm="1">
        <f t="array" ref="K53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3" s="56"/>
      <c r="M53" s="5">
        <f>DATA_MARZO_202651[[#This Row],[RECUPERO]]/DATA_MARZO_202651[[#This Row],[META]]</f>
        <v>0.73029069767441857</v>
      </c>
      <c r="N53" s="54" t="str" cm="1">
        <f t="array" ref="N53">IF(DATA_MARZO_202651[[#This Row],[ASER_]]="","",IFERROR(_xlfn.IFS(M53&gt;=100%,"&gt;100%",AND(M53&lt;100%,M53&gt;=70%),"&gt;70%",AND(M53&lt;70%,M53&gt;=40%),"&gt;40%",AND(M53&lt;40%,M53&gt;=0%),"&gt;0%"),""))</f>
        <v>&gt;70%</v>
      </c>
      <c r="O53" s="55" t="str">
        <f>IFERROR(VLOOKUP(DATA_MARZO_202651[[#This Row],[ASER_]],$B:$G,4,0),"")</f>
        <v>KENNETH</v>
      </c>
      <c r="P53" s="6">
        <f>VLOOKUP(DATA_MARZO_202651[[#This Row],[ASER_]],D1_MARZO_202655[[ASESOR_CRR]:[RECUPERO]],6,0)</f>
        <v>62805</v>
      </c>
      <c r="Q53" s="6">
        <f>VLOOKUP(DATA_MARZO_202651[[#This Row],[ASER_]],D1_MARZO_202655[[ASESOR_CRR]:[META]],2,0)</f>
        <v>86000</v>
      </c>
      <c r="R53" t="s">
        <v>35</v>
      </c>
      <c r="S53">
        <v>1500</v>
      </c>
      <c r="T53">
        <v>2950</v>
      </c>
      <c r="U53">
        <v>500</v>
      </c>
      <c r="V53">
        <v>1350</v>
      </c>
      <c r="W53">
        <v>325</v>
      </c>
      <c r="X53" s="5">
        <v>4000</v>
      </c>
      <c r="Y53" s="6">
        <v>8600</v>
      </c>
      <c r="Z53" s="6">
        <v>350</v>
      </c>
      <c r="AA53" s="6">
        <v>0</v>
      </c>
      <c r="AB53" s="6">
        <v>960</v>
      </c>
      <c r="AC53" s="6">
        <v>10100</v>
      </c>
      <c r="AD53" s="6">
        <v>10000</v>
      </c>
      <c r="AE53" s="6">
        <v>0</v>
      </c>
      <c r="AF53" s="6">
        <v>2500</v>
      </c>
      <c r="AG53" s="6">
        <v>1500</v>
      </c>
      <c r="AH53" s="6">
        <v>1820</v>
      </c>
      <c r="AI53" s="6">
        <v>0</v>
      </c>
      <c r="AJ53" s="6">
        <v>500</v>
      </c>
      <c r="AK53" s="6">
        <v>0</v>
      </c>
      <c r="AL53" s="6">
        <v>2450</v>
      </c>
      <c r="AM53" s="6">
        <v>850</v>
      </c>
      <c r="AN53" s="6">
        <v>12550</v>
      </c>
      <c r="AO53" s="55" t="str" cm="1">
        <f t="array" ref="AO53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4" spans="1:41" x14ac:dyDescent="0.25">
      <c r="A54" s="34" t="str" cm="1">
        <f t="array" ref="A5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4" s="34" t="str" cm="1">
        <f t="array" ref="B54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FRANCO HUAMANI</v>
      </c>
      <c r="C54" s="34" cm="1">
        <f t="array" ref="C54">_xlfn.XLOOKUP(1,(TablaMeta[CONCAT]=$M$3&amp;$N$3&amp;D1_MARZO_202655[[#This Row],[SUPER]])*(TablaMeta[SEGG]=D1_MARZO_202655[[#This Row],[SEGMENTO]]),TablaMeta[Meta_Asesor])</f>
        <v>56000</v>
      </c>
      <c r="D54" s="35">
        <f>IF(D1_MARZO_202655[[#This Row],[RECUPERO]]="VACACIONES","VACACIONES",IFERROR(D1_MARZO_202655[[#This Row],[RECUPERO]]/D1_MARZO_202655[[#This Row],[META]],""))</f>
        <v>0.65587499999999999</v>
      </c>
      <c r="E54" s="35" t="str">
        <f>D1_MARZO_202655[[#This Row],[SUPER]]</f>
        <v>JORGE</v>
      </c>
      <c r="F54" t="s">
        <v>24</v>
      </c>
      <c r="G54" s="3">
        <v>36729</v>
      </c>
      <c r="H54" cm="1">
        <f t="array" ref="H5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43614775</v>
      </c>
      <c r="I54" s="56" cm="1">
        <f t="array" ref="I5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45334</v>
      </c>
      <c r="J54" s="56" t="str" cm="1">
        <f t="array" ref="J5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4" s="56" t="str" cm="1">
        <f t="array" ref="K54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4" s="5">
        <f>DATA_MARZO_202651[[#This Row],[RECUPERO]]/DATA_MARZO_202651[[#This Row],[META]]</f>
        <v>1.2405232558139534</v>
      </c>
      <c r="N54" s="54" t="str" cm="1">
        <f t="array" ref="N54">IF(DATA_MARZO_202651[[#This Row],[ASER_]]="","",IFERROR(_xlfn.IFS(M54&gt;=100%,"&gt;100%",AND(M54&lt;100%,M54&gt;=70%),"&gt;70%",AND(M54&lt;70%,M54&gt;=40%),"&gt;40%",AND(M54&lt;40%,M54&gt;=0%),"&gt;0%"),""))</f>
        <v>&gt;100%</v>
      </c>
      <c r="O54" s="55" t="str">
        <f>IFERROR(VLOOKUP(DATA_MARZO_202651[[#This Row],[ASER_]],$B:$G,4,0),"")</f>
        <v>KENNETH</v>
      </c>
      <c r="P54" s="6">
        <f>VLOOKUP(DATA_MARZO_202651[[#This Row],[ASER_]],D1_MARZO_202655[[ASESOR_CRR]:[RECUPERO]],6,0)</f>
        <v>106685</v>
      </c>
      <c r="Q54" s="6">
        <f>VLOOKUP(DATA_MARZO_202651[[#This Row],[ASER_]],D1_MARZO_202655[[ASESOR_CRR]:[META]],2,0)</f>
        <v>86000</v>
      </c>
      <c r="R54" t="s">
        <v>97</v>
      </c>
      <c r="S54">
        <v>300</v>
      </c>
      <c r="T54">
        <v>450</v>
      </c>
      <c r="U54">
        <v>895</v>
      </c>
      <c r="V54">
        <v>4500</v>
      </c>
      <c r="W54">
        <v>4800</v>
      </c>
      <c r="X54" s="5">
        <v>0</v>
      </c>
      <c r="Y54" s="6">
        <v>420</v>
      </c>
      <c r="Z54" s="6">
        <v>0</v>
      </c>
      <c r="AA54" s="6">
        <v>5500</v>
      </c>
      <c r="AB54" s="6">
        <v>295</v>
      </c>
      <c r="AC54" s="6">
        <v>800</v>
      </c>
      <c r="AD54" s="6">
        <v>14760</v>
      </c>
      <c r="AE54" s="6">
        <v>14700</v>
      </c>
      <c r="AF54" s="6">
        <v>5270</v>
      </c>
      <c r="AG54" s="6">
        <v>18855</v>
      </c>
      <c r="AH54" s="6">
        <v>1000</v>
      </c>
      <c r="AI54" s="6">
        <v>5350</v>
      </c>
      <c r="AJ54" s="6">
        <v>805</v>
      </c>
      <c r="AK54" s="6">
        <v>4200</v>
      </c>
      <c r="AL54" s="6">
        <v>18160</v>
      </c>
      <c r="AM54" s="6">
        <v>3600</v>
      </c>
      <c r="AN54" s="6">
        <v>2025</v>
      </c>
      <c r="AO54" s="55" t="str" cm="1">
        <f t="array" ref="AO54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BBVA</v>
      </c>
    </row>
    <row r="55" spans="1:41" x14ac:dyDescent="0.25">
      <c r="A55" s="34" t="str" cm="1">
        <f t="array" ref="A5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5" s="34" t="str" cm="1">
        <f t="array" ref="B55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JHONATAN CHAVEZ</v>
      </c>
      <c r="C55" s="34" cm="1">
        <f t="array" ref="C55">_xlfn.XLOOKUP(1,(TablaMeta[CONCAT]=$M$3&amp;$N$3&amp;D1_MARZO_202655[[#This Row],[SUPER]])*(TablaMeta[SEGG]=D1_MARZO_202655[[#This Row],[SEGMENTO]]),TablaMeta[Meta_Asesor])</f>
        <v>56000</v>
      </c>
      <c r="D55" s="35">
        <f>IF(D1_MARZO_202655[[#This Row],[RECUPERO]]="VACACIONES","VACACIONES",IFERROR(D1_MARZO_202655[[#This Row],[RECUPERO]]/D1_MARZO_202655[[#This Row],[META]],""))</f>
        <v>0.50608928571428569</v>
      </c>
      <c r="E55" s="35" t="str">
        <f>D1_MARZO_202655[[#This Row],[SUPER]]</f>
        <v>JORGE</v>
      </c>
      <c r="F55" t="s">
        <v>65</v>
      </c>
      <c r="G55" s="3">
        <v>28341</v>
      </c>
      <c r="H55" cm="1">
        <f t="array" ref="H5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47659267</v>
      </c>
      <c r="I55" s="56" cm="1">
        <f t="array" ref="I5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45019</v>
      </c>
      <c r="J55" s="56" t="str" cm="1">
        <f t="array" ref="J5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5" s="56" t="str" cm="1">
        <f t="array" ref="K55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5" s="5">
        <f>DATA_MARZO_202651[[#This Row],[RECUPERO]]/DATA_MARZO_202651[[#This Row],[META]]</f>
        <v>0.86926229508196717</v>
      </c>
      <c r="N55" s="54" t="str" cm="1">
        <f t="array" ref="N55">IF(DATA_MARZO_202651[[#This Row],[ASER_]]="","",IFERROR(_xlfn.IFS(M55&gt;=100%,"&gt;100%",AND(M55&lt;100%,M55&gt;=70%),"&gt;70%",AND(M55&lt;70%,M55&gt;=40%),"&gt;40%",AND(M55&lt;40%,M55&gt;=0%),"&gt;0%"),""))</f>
        <v>&gt;70%</v>
      </c>
      <c r="O55" s="55" t="str">
        <f>IFERROR(VLOOKUP(DATA_MARZO_202651[[#This Row],[ASER_]],$B:$G,4,0),"")</f>
        <v>KENNETH</v>
      </c>
      <c r="P55" s="6">
        <f>VLOOKUP(DATA_MARZO_202651[[#This Row],[ASER_]],D1_MARZO_202655[[ASESOR_CRR]:[RECUPERO]],6,0)</f>
        <v>26512.5</v>
      </c>
      <c r="Q55" s="6">
        <f>VLOOKUP(DATA_MARZO_202651[[#This Row],[ASER_]],D1_MARZO_202655[[ASESOR_CRR]:[META]],2,0)</f>
        <v>30500</v>
      </c>
      <c r="R55" t="s">
        <v>105</v>
      </c>
      <c r="S55">
        <v>0</v>
      </c>
      <c r="T55">
        <v>0</v>
      </c>
      <c r="U55">
        <v>1200</v>
      </c>
      <c r="V55">
        <v>252.5</v>
      </c>
      <c r="W55">
        <v>0</v>
      </c>
      <c r="X55" s="5">
        <v>0</v>
      </c>
      <c r="Y55" s="6">
        <v>0</v>
      </c>
      <c r="Z55" s="6">
        <v>0</v>
      </c>
      <c r="AA55" s="6">
        <v>605</v>
      </c>
      <c r="AB55" s="6">
        <v>550</v>
      </c>
      <c r="AC55" s="6">
        <v>420</v>
      </c>
      <c r="AD55" s="6">
        <v>0</v>
      </c>
      <c r="AE55" s="6">
        <v>6500</v>
      </c>
      <c r="AF55" s="6">
        <v>0</v>
      </c>
      <c r="AG55" s="6">
        <v>1000</v>
      </c>
      <c r="AH55" s="6">
        <v>2600</v>
      </c>
      <c r="AI55" s="6">
        <v>0</v>
      </c>
      <c r="AJ55" s="6">
        <v>0</v>
      </c>
      <c r="AK55" s="6">
        <v>0</v>
      </c>
      <c r="AL55" s="6">
        <v>0</v>
      </c>
      <c r="AM55" s="6">
        <v>8760</v>
      </c>
      <c r="AN55" s="6">
        <v>4625</v>
      </c>
      <c r="AO55" s="55" t="str" cm="1">
        <f t="array" ref="AO55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56" spans="1:41" x14ac:dyDescent="0.25">
      <c r="A56" s="34" t="str" cm="1">
        <f t="array" ref="A5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6" s="34" t="str" cm="1">
        <f t="array" ref="B56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ELVIS GUERRERA</v>
      </c>
      <c r="C56" s="34" cm="1">
        <f t="array" ref="C56">_xlfn.XLOOKUP(1,(TablaMeta[CONCAT]=$M$3&amp;$N$3&amp;D1_MARZO_202655[[#This Row],[SUPER]])*(TablaMeta[SEGG]=D1_MARZO_202655[[#This Row],[SEGMENTO]]),TablaMeta[Meta_Asesor])</f>
        <v>56000</v>
      </c>
      <c r="D56" s="35">
        <f>IF(D1_MARZO_202655[[#This Row],[RECUPERO]]="VACACIONES","VACACIONES",IFERROR(D1_MARZO_202655[[#This Row],[RECUPERO]]/D1_MARZO_202655[[#This Row],[META]],""))</f>
        <v>0.45019642857142855</v>
      </c>
      <c r="E56" s="35" t="str">
        <f>D1_MARZO_202655[[#This Row],[SUPER]]</f>
        <v>JORGE</v>
      </c>
      <c r="F56" t="s">
        <v>377</v>
      </c>
      <c r="G56" s="3">
        <v>25211</v>
      </c>
      <c r="H56" cm="1">
        <f t="array" ref="H5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44883074</v>
      </c>
      <c r="I56" s="56" cm="1">
        <f t="array" ref="I5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46038</v>
      </c>
      <c r="J56" s="56" t="str" cm="1">
        <f t="array" ref="J5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6" s="56" t="str" cm="1">
        <f t="array" ref="K56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6" s="5">
        <f>DATA_MARZO_202651[[#This Row],[RECUPERO]]/DATA_MARZO_202651[[#This Row],[META]]</f>
        <v>0.84006557377049185</v>
      </c>
      <c r="N56" s="54" t="str" cm="1">
        <f t="array" ref="N56">IF(DATA_MARZO_202651[[#This Row],[ASER_]]="","",IFERROR(_xlfn.IFS(M56&gt;=100%,"&gt;100%",AND(M56&lt;100%,M56&gt;=70%),"&gt;70%",AND(M56&lt;70%,M56&gt;=40%),"&gt;40%",AND(M56&lt;40%,M56&gt;=0%),"&gt;0%"),""))</f>
        <v>&gt;70%</v>
      </c>
      <c r="O56" s="55" t="str">
        <f>IFERROR(VLOOKUP(DATA_MARZO_202651[[#This Row],[ASER_]],$B:$G,4,0),"")</f>
        <v>KENNETH</v>
      </c>
      <c r="P56" s="6">
        <f>VLOOKUP(DATA_MARZO_202651[[#This Row],[ASER_]],D1_MARZO_202655[[ASESOR_CRR]:[RECUPERO]],6,0)</f>
        <v>25622</v>
      </c>
      <c r="Q56" s="6">
        <f>VLOOKUP(DATA_MARZO_202651[[#This Row],[ASER_]],D1_MARZO_202655[[ASESOR_CRR]:[META]],2,0)</f>
        <v>30500</v>
      </c>
      <c r="R56" t="s">
        <v>81</v>
      </c>
      <c r="S56">
        <v>509</v>
      </c>
      <c r="T56">
        <v>0</v>
      </c>
      <c r="U56">
        <v>345</v>
      </c>
      <c r="V56">
        <v>1100</v>
      </c>
      <c r="W56">
        <v>3650</v>
      </c>
      <c r="X56" s="5">
        <v>0</v>
      </c>
      <c r="Y56" s="6">
        <v>0</v>
      </c>
      <c r="Z56" s="6">
        <v>2200</v>
      </c>
      <c r="AA56" s="6">
        <v>526</v>
      </c>
      <c r="AB56" s="6">
        <v>180</v>
      </c>
      <c r="AC56" s="6">
        <v>210</v>
      </c>
      <c r="AD56" s="6">
        <v>0</v>
      </c>
      <c r="AE56" s="6">
        <v>645</v>
      </c>
      <c r="AF56" s="6">
        <v>100</v>
      </c>
      <c r="AG56" s="6">
        <v>200</v>
      </c>
      <c r="AH56" s="6">
        <v>0</v>
      </c>
      <c r="AI56" s="6">
        <v>4500</v>
      </c>
      <c r="AJ56" s="6">
        <v>2000</v>
      </c>
      <c r="AK56" s="6">
        <v>0</v>
      </c>
      <c r="AL56" s="6">
        <v>1035</v>
      </c>
      <c r="AM56" s="6">
        <v>5698</v>
      </c>
      <c r="AN56" s="6">
        <v>2724</v>
      </c>
      <c r="AO56" s="55" t="str" cm="1">
        <f t="array" ref="AO56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57" spans="1:41" x14ac:dyDescent="0.25">
      <c r="A57" s="34" t="str" cm="1">
        <f t="array" ref="A5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7" s="34" t="str" cm="1">
        <f t="array" ref="B57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JENY QUINONES</v>
      </c>
      <c r="C57" s="34" cm="1">
        <f t="array" ref="C57">_xlfn.XLOOKUP(1,(TablaMeta[CONCAT]=$M$3&amp;$N$3&amp;D1_MARZO_202655[[#This Row],[SUPER]])*(TablaMeta[SEGG]=D1_MARZO_202655[[#This Row],[SEGMENTO]]),TablaMeta[Meta_Asesor])</f>
        <v>56000</v>
      </c>
      <c r="D57" s="35">
        <f>IF(D1_MARZO_202655[[#This Row],[RECUPERO]]="VACACIONES","VACACIONES",IFERROR(D1_MARZO_202655[[#This Row],[RECUPERO]]/D1_MARZO_202655[[#This Row],[META]],""))</f>
        <v>0.27027946428571425</v>
      </c>
      <c r="E57" s="35" t="str">
        <f>D1_MARZO_202655[[#This Row],[SUPER]]</f>
        <v>JORGE</v>
      </c>
      <c r="F57" t="s">
        <v>564</v>
      </c>
      <c r="G57" s="3">
        <v>15135.65</v>
      </c>
      <c r="H57" cm="1">
        <f t="array" ref="H5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43184866</v>
      </c>
      <c r="I57" s="56" cm="1">
        <f t="array" ref="I5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46083</v>
      </c>
      <c r="J57" s="56" t="str" cm="1">
        <f t="array" ref="J5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7" s="56" t="str" cm="1">
        <f t="array" ref="K57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7" s="5">
        <f>DATA_MARZO_202651[[#This Row],[RECUPERO]]/DATA_MARZO_202651[[#This Row],[META]]</f>
        <v>2.1974098360655736</v>
      </c>
      <c r="N57" s="54" t="str" cm="1">
        <f t="array" ref="N57">IF(DATA_MARZO_202651[[#This Row],[ASER_]]="","",IFERROR(_xlfn.IFS(M57&gt;=100%,"&gt;100%",AND(M57&lt;100%,M57&gt;=70%),"&gt;70%",AND(M57&lt;70%,M57&gt;=40%),"&gt;40%",AND(M57&lt;40%,M57&gt;=0%),"&gt;0%"),""))</f>
        <v>&gt;100%</v>
      </c>
      <c r="O57" s="55" t="str">
        <f>IFERROR(VLOOKUP(DATA_MARZO_202651[[#This Row],[ASER_]],$B:$G,4,0),"")</f>
        <v>KENNETH</v>
      </c>
      <c r="P57" s="6">
        <f>VLOOKUP(DATA_MARZO_202651[[#This Row],[ASER_]],D1_MARZO_202655[[ASESOR_CRR]:[RECUPERO]],6,0)</f>
        <v>67021</v>
      </c>
      <c r="Q57" s="6">
        <f>VLOOKUP(DATA_MARZO_202651[[#This Row],[ASER_]],D1_MARZO_202655[[ASESOR_CRR]:[META]],2,0)</f>
        <v>30500</v>
      </c>
      <c r="R57" t="s">
        <v>19</v>
      </c>
      <c r="S57">
        <v>0</v>
      </c>
      <c r="T57">
        <v>0</v>
      </c>
      <c r="U57">
        <v>0</v>
      </c>
      <c r="V57">
        <v>200</v>
      </c>
      <c r="W57">
        <v>0</v>
      </c>
      <c r="X57" s="5">
        <v>0</v>
      </c>
      <c r="Y57" s="6">
        <v>0</v>
      </c>
      <c r="Z57" s="6">
        <v>1000</v>
      </c>
      <c r="AA57" s="6">
        <v>4000</v>
      </c>
      <c r="AB57" s="6">
        <v>10400</v>
      </c>
      <c r="AC57" s="6">
        <v>0</v>
      </c>
      <c r="AD57" s="6">
        <v>3800</v>
      </c>
      <c r="AE57" s="6">
        <v>0</v>
      </c>
      <c r="AF57" s="6">
        <v>3000</v>
      </c>
      <c r="AG57" s="6">
        <v>1875</v>
      </c>
      <c r="AH57" s="6">
        <v>2500</v>
      </c>
      <c r="AI57" s="6">
        <v>380</v>
      </c>
      <c r="AJ57" s="6">
        <v>9500</v>
      </c>
      <c r="AK57" s="6">
        <v>4300</v>
      </c>
      <c r="AL57" s="6">
        <v>1500</v>
      </c>
      <c r="AM57" s="6">
        <v>7066</v>
      </c>
      <c r="AN57" s="6">
        <v>17500</v>
      </c>
      <c r="AO57" s="55" t="str" cm="1">
        <f t="array" ref="AO57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58" spans="1:41" x14ac:dyDescent="0.25">
      <c r="A58" s="34" t="str" cm="1">
        <f t="array" ref="A5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8" s="34" t="str" cm="1">
        <f t="array" ref="B58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MARIA BARRIONUEVO</v>
      </c>
      <c r="C58" s="34" cm="1">
        <f t="array" ref="C58">_xlfn.XLOOKUP(1,(TablaMeta[CONCAT]=$M$3&amp;$N$3&amp;D1_MARZO_202655[[#This Row],[SUPER]])*(TablaMeta[SEGG]=D1_MARZO_202655[[#This Row],[SEGMENTO]]),TablaMeta[Meta_Asesor])</f>
        <v>56000</v>
      </c>
      <c r="D58" s="35">
        <f>IF(D1_MARZO_202655[[#This Row],[RECUPERO]]="VACACIONES","VACACIONES",IFERROR(D1_MARZO_202655[[#This Row],[RECUPERO]]/D1_MARZO_202655[[#This Row],[META]],""))</f>
        <v>0.16071428571428573</v>
      </c>
      <c r="E58" s="35" t="str">
        <f>D1_MARZO_202655[[#This Row],[SUPER]]</f>
        <v>JORGE</v>
      </c>
      <c r="F58" t="s">
        <v>207</v>
      </c>
      <c r="G58" s="3">
        <v>9000</v>
      </c>
      <c r="H58" cm="1">
        <f t="array" ref="H5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75069320</v>
      </c>
      <c r="I58" s="56" cm="1">
        <f t="array" ref="I5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46029</v>
      </c>
      <c r="J58" s="56" t="str" cm="1">
        <f t="array" ref="J5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CESADO</v>
      </c>
      <c r="K58" s="56" t="str" cm="1">
        <f t="array" ref="K58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8" s="5">
        <f>DATA_MARZO_202651[[#This Row],[RECUPERO]]/DATA_MARZO_202651[[#This Row],[META]]</f>
        <v>1.231016393442623</v>
      </c>
      <c r="N58" s="54" t="str" cm="1">
        <f t="array" ref="N58">IF(DATA_MARZO_202651[[#This Row],[ASER_]]="","",IFERROR(_xlfn.IFS(M58&gt;=100%,"&gt;100%",AND(M58&lt;100%,M58&gt;=70%),"&gt;70%",AND(M58&lt;70%,M58&gt;=40%),"&gt;40%",AND(M58&lt;40%,M58&gt;=0%),"&gt;0%"),""))</f>
        <v>&gt;100%</v>
      </c>
      <c r="O58" s="55" t="str">
        <f>IFERROR(VLOOKUP(DATA_MARZO_202651[[#This Row],[ASER_]],$B:$G,4,0),"")</f>
        <v>KENNETH</v>
      </c>
      <c r="P58" s="6">
        <f>VLOOKUP(DATA_MARZO_202651[[#This Row],[ASER_]],D1_MARZO_202655[[ASESOR_CRR]:[RECUPERO]],6,0)</f>
        <v>37546</v>
      </c>
      <c r="Q58" s="6">
        <f>VLOOKUP(DATA_MARZO_202651[[#This Row],[ASER_]],D1_MARZO_202655[[ASESOR_CRR]:[META]],2,0)</f>
        <v>30500</v>
      </c>
      <c r="R58" t="s">
        <v>50</v>
      </c>
      <c r="S58">
        <v>0</v>
      </c>
      <c r="T58">
        <v>0</v>
      </c>
      <c r="U58">
        <v>300</v>
      </c>
      <c r="V58">
        <v>0</v>
      </c>
      <c r="W58">
        <v>120</v>
      </c>
      <c r="X58" s="5">
        <v>6700</v>
      </c>
      <c r="Y58" s="6">
        <v>2601</v>
      </c>
      <c r="Z58" s="6">
        <v>7600</v>
      </c>
      <c r="AA58" s="6">
        <v>0</v>
      </c>
      <c r="AB58" s="6">
        <v>0</v>
      </c>
      <c r="AC58" s="6">
        <v>1345</v>
      </c>
      <c r="AD58" s="6">
        <v>0</v>
      </c>
      <c r="AE58" s="6">
        <v>900</v>
      </c>
      <c r="AF58" s="6">
        <v>3500</v>
      </c>
      <c r="AG58" s="6">
        <v>0</v>
      </c>
      <c r="AH58" s="6">
        <v>360</v>
      </c>
      <c r="AI58" s="6">
        <v>2820</v>
      </c>
      <c r="AJ58" s="6">
        <v>500</v>
      </c>
      <c r="AK58" s="6">
        <v>0</v>
      </c>
      <c r="AL58" s="6">
        <v>1700</v>
      </c>
      <c r="AM58" s="6">
        <v>8100</v>
      </c>
      <c r="AN58" s="6">
        <v>1000</v>
      </c>
      <c r="AO58" s="55" t="str" cm="1">
        <f t="array" ref="AO58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59" spans="1:41" x14ac:dyDescent="0.25">
      <c r="A59" s="34" t="str" cm="1">
        <f t="array" ref="A5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59" s="34" t="str" cm="1">
        <f t="array" ref="B59">TRIM(IFERROR(_xlfn.IFS(D1_MARZO_202655[[#This Row],[ASESOR]]="ELVIS GUERRA","ELVIS GUERRERA",D1_MARZO_202655[[#This Row],[ASESOR]]="GENESIS VICUÑA","GENESIS VICUNA",D1_MARZO_202655[[#This Row],[ASESOR]]="JENY QUIÑONES","JENY QUINONES",D1_MARZO_202655[[#This Row],[ASESOR]]="NICOLE CAURURO","NICOLE CAURURO"),D1_MARZO_202655[[#This Row],[ASESOR]]))</f>
        <v>MARGARITA PIANCHACHI</v>
      </c>
      <c r="C59" s="34" cm="1">
        <f t="array" ref="C59">_xlfn.XLOOKUP(1,(TablaMeta[CONCAT]=$M$3&amp;$N$3&amp;D1_MARZO_202655[[#This Row],[SUPER]])*(TablaMeta[SEGG]=D1_MARZO_202655[[#This Row],[SEGMENTO]]),TablaMeta[Meta_Asesor])</f>
        <v>56000</v>
      </c>
      <c r="D59" s="35">
        <f>IF(D1_MARZO_202655[[#This Row],[RECUPERO]]="VACACIONES","VACACIONES",IFERROR(D1_MARZO_202655[[#This Row],[RECUPERO]]/D1_MARZO_202655[[#This Row],[META]],""))</f>
        <v>7.0258928571428569E-2</v>
      </c>
      <c r="E59" s="35" t="str">
        <f>D1_MARZO_202655[[#This Row],[SUPER]]</f>
        <v>JORGE</v>
      </c>
      <c r="F59" t="s">
        <v>17</v>
      </c>
      <c r="G59" s="3">
        <v>3934.5</v>
      </c>
      <c r="H59" cm="1">
        <f t="array" ref="H5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70876605</v>
      </c>
      <c r="I59" s="56" cm="1">
        <f t="array" ref="I5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44886</v>
      </c>
      <c r="J59" s="56" t="str" cm="1">
        <f t="array" ref="J5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9" s="56" t="str" cm="1">
        <f t="array" ref="K59">IFERROR(VLOOKUP(D1_MARZO_202655[[#This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9" s="5">
        <f>DATA_MARZO_202651[[#This Row],[RECUPERO]]/DATA_MARZO_202651[[#This Row],[META]]</f>
        <v>1.2284262295081967</v>
      </c>
      <c r="N59" s="54" t="str" cm="1">
        <f t="array" ref="N59">IF(DATA_MARZO_202651[[#This Row],[ASER_]]="","",IFERROR(_xlfn.IFS(M59&gt;=100%,"&gt;100%",AND(M59&lt;100%,M59&gt;=70%),"&gt;70%",AND(M59&lt;70%,M59&gt;=40%),"&gt;40%",AND(M59&lt;40%,M59&gt;=0%),"&gt;0%"),""))</f>
        <v>&gt;100%</v>
      </c>
      <c r="O59" s="55" t="str">
        <f>IFERROR(VLOOKUP(DATA_MARZO_202651[[#This Row],[ASER_]],$B:$G,4,0),"")</f>
        <v>KENNETH</v>
      </c>
      <c r="P59" s="6">
        <f>VLOOKUP(DATA_MARZO_202651[[#This Row],[ASER_]],D1_MARZO_202655[[ASESOR_CRR]:[RECUPERO]],6,0)</f>
        <v>37467</v>
      </c>
      <c r="Q59" s="6">
        <f>VLOOKUP(DATA_MARZO_202651[[#This Row],[ASER_]],D1_MARZO_202655[[ASESOR_CRR]:[META]],2,0)</f>
        <v>30500</v>
      </c>
      <c r="R59" t="s">
        <v>11</v>
      </c>
      <c r="S59">
        <v>0</v>
      </c>
      <c r="T59">
        <v>150</v>
      </c>
      <c r="U59">
        <v>0</v>
      </c>
      <c r="V59">
        <v>300</v>
      </c>
      <c r="W59">
        <v>246</v>
      </c>
      <c r="X59" s="5">
        <v>5578</v>
      </c>
      <c r="Y59" s="6">
        <v>250</v>
      </c>
      <c r="Z59" s="6">
        <v>1000</v>
      </c>
      <c r="AA59" s="6">
        <v>0</v>
      </c>
      <c r="AB59" s="6">
        <v>0</v>
      </c>
      <c r="AC59" s="6">
        <v>113</v>
      </c>
      <c r="AD59" s="6">
        <v>700</v>
      </c>
      <c r="AE59" s="6">
        <v>1200</v>
      </c>
      <c r="AF59" s="6">
        <v>0</v>
      </c>
      <c r="AG59" s="6">
        <v>230</v>
      </c>
      <c r="AH59" s="6">
        <v>950</v>
      </c>
      <c r="AI59" s="6">
        <v>1250</v>
      </c>
      <c r="AJ59" s="6">
        <v>1500</v>
      </c>
      <c r="AK59" s="6">
        <v>4200</v>
      </c>
      <c r="AL59" s="6">
        <v>0</v>
      </c>
      <c r="AM59" s="6">
        <v>7300</v>
      </c>
      <c r="AN59" s="6">
        <v>12500</v>
      </c>
      <c r="AO59" s="55" t="str" cm="1">
        <f t="array" ref="AO59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60" spans="1:41" x14ac:dyDescent="0.25">
      <c r="A60" s="34"/>
      <c r="B60" s="34"/>
      <c r="C60" s="35"/>
      <c r="D60" s="35"/>
      <c r="E60" s="35"/>
      <c r="M60" s="5">
        <f>DATA_MARZO_202651[[#This Row],[RECUPERO]]/DATA_MARZO_202651[[#This Row],[META]]</f>
        <v>0.77855737704918038</v>
      </c>
      <c r="N60" s="54" t="str" cm="1">
        <f t="array" ref="N60">IF(DATA_MARZO_202651[[#This Row],[ASER_]]="","",IFERROR(_xlfn.IFS(M60&gt;=100%,"&gt;100%",AND(M60&lt;100%,M60&gt;=70%),"&gt;70%",AND(M60&lt;70%,M60&gt;=40%),"&gt;40%",AND(M60&lt;40%,M60&gt;=0%),"&gt;0%"),""))</f>
        <v>&gt;70%</v>
      </c>
      <c r="O60" s="55" t="str">
        <f>IFERROR(VLOOKUP(DATA_MARZO_202651[[#This Row],[ASER_]],$B:$G,4,0),"")</f>
        <v>KENNETH</v>
      </c>
      <c r="P60" s="6">
        <f>VLOOKUP(DATA_MARZO_202651[[#This Row],[ASER_]],D1_MARZO_202655[[ASESOR_CRR]:[RECUPERO]],6,0)</f>
        <v>23746</v>
      </c>
      <c r="Q60" s="6">
        <f>VLOOKUP(DATA_MARZO_202651[[#This Row],[ASER_]],D1_MARZO_202655[[ASESOR_CRR]:[META]],2,0)</f>
        <v>30500</v>
      </c>
      <c r="R60" t="s">
        <v>80</v>
      </c>
      <c r="S60">
        <v>0</v>
      </c>
      <c r="T60">
        <v>1000</v>
      </c>
      <c r="U60">
        <v>0</v>
      </c>
      <c r="V60">
        <v>860</v>
      </c>
      <c r="W60">
        <v>5000</v>
      </c>
      <c r="X60" s="5">
        <v>550</v>
      </c>
      <c r="Y60" s="6">
        <v>5000</v>
      </c>
      <c r="Z60" s="6">
        <v>0</v>
      </c>
      <c r="AA60" s="6">
        <v>0</v>
      </c>
      <c r="AB60" s="6">
        <v>4000</v>
      </c>
      <c r="AC60" s="6">
        <v>400</v>
      </c>
      <c r="AD60" s="6">
        <v>0</v>
      </c>
      <c r="AE60" s="6">
        <v>550</v>
      </c>
      <c r="AF60" s="6">
        <v>0</v>
      </c>
      <c r="AG60" s="6">
        <v>932</v>
      </c>
      <c r="AH60" s="6">
        <v>2500</v>
      </c>
      <c r="AI60" s="6">
        <v>0</v>
      </c>
      <c r="AJ60" s="6">
        <v>1000</v>
      </c>
      <c r="AK60" s="6">
        <v>0</v>
      </c>
      <c r="AL60" s="6">
        <v>654</v>
      </c>
      <c r="AM60" s="6">
        <v>900</v>
      </c>
      <c r="AN60" s="6">
        <v>400</v>
      </c>
      <c r="AO60" s="55" t="str" cm="1">
        <f t="array" ref="AO60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  <row r="61" spans="1:41" x14ac:dyDescent="0.25">
      <c r="A61" s="34"/>
      <c r="B61" s="34"/>
      <c r="C61" s="35"/>
      <c r="D61" s="35"/>
      <c r="E61" s="35"/>
      <c r="M61" s="5">
        <f>DATA_MARZO_202651[[#This Row],[RECUPERO]]/DATA_MARZO_202651[[#This Row],[META]]</f>
        <v>2.4763278688524588</v>
      </c>
      <c r="N61" s="54" t="str" cm="1">
        <f t="array" ref="N61">IF(DATA_MARZO_202651[[#This Row],[ASER_]]="","",IFERROR(_xlfn.IFS(M61&gt;=100%,"&gt;100%",AND(M61&lt;100%,M61&gt;=70%),"&gt;70%",AND(M61&lt;70%,M61&gt;=40%),"&gt;40%",AND(M61&lt;40%,M61&gt;=0%),"&gt;0%"),""))</f>
        <v>&gt;100%</v>
      </c>
      <c r="O61" s="55" t="str">
        <f>IFERROR(VLOOKUP(DATA_MARZO_202651[[#This Row],[ASER_]],$B:$G,4,0),"")</f>
        <v>KENNETH</v>
      </c>
      <c r="P61" s="6">
        <f>VLOOKUP(DATA_MARZO_202651[[#This Row],[ASER_]],D1_MARZO_202655[[ASESOR_CRR]:[RECUPERO]],6,0)</f>
        <v>75528</v>
      </c>
      <c r="Q61" s="6">
        <f>VLOOKUP(DATA_MARZO_202651[[#This Row],[ASER_]],D1_MARZO_202655[[ASESOR_CRR]:[META]],2,0)</f>
        <v>30500</v>
      </c>
      <c r="R61" t="s">
        <v>34</v>
      </c>
      <c r="S61">
        <v>0</v>
      </c>
      <c r="T61">
        <v>1250</v>
      </c>
      <c r="U61">
        <v>1450</v>
      </c>
      <c r="V61">
        <v>0</v>
      </c>
      <c r="W61">
        <v>500</v>
      </c>
      <c r="X61" s="5">
        <v>1500</v>
      </c>
      <c r="Y61" s="6">
        <v>1100</v>
      </c>
      <c r="Z61" s="6">
        <v>8000</v>
      </c>
      <c r="AA61" s="6">
        <v>500</v>
      </c>
      <c r="AB61" s="6">
        <v>2625</v>
      </c>
      <c r="AC61" s="6">
        <v>0</v>
      </c>
      <c r="AD61" s="6">
        <v>4100</v>
      </c>
      <c r="AE61" s="6">
        <v>140</v>
      </c>
      <c r="AF61" s="6">
        <v>0</v>
      </c>
      <c r="AG61" s="6">
        <v>900</v>
      </c>
      <c r="AH61" s="6">
        <v>4500</v>
      </c>
      <c r="AI61" s="6">
        <v>0</v>
      </c>
      <c r="AJ61" s="6">
        <v>2500</v>
      </c>
      <c r="AK61" s="6">
        <v>2500</v>
      </c>
      <c r="AL61" s="6">
        <v>24750</v>
      </c>
      <c r="AM61" s="6">
        <v>1590</v>
      </c>
      <c r="AN61" s="6">
        <v>17623</v>
      </c>
      <c r="AO61" s="55" t="str" cm="1">
        <f t="array" ref="AO61">IFERROR(VLOOKUP(DATA_MARZO_202651[[#This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S0 - IBK</v>
      </c>
    </row>
  </sheetData>
  <conditionalFormatting sqref="E3:E59">
    <cfRule type="containsText" dxfId="9" priority="1" operator="containsText" text="kenneth">
      <formula>NOT(ISERROR(SEARCH("kenneth",E3)))</formula>
    </cfRule>
  </conditionalFormatting>
  <conditionalFormatting sqref="R9:R61">
    <cfRule type="duplicateValues" dxfId="8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6282-EA0C-4991-A105-2BD54A0138E8}">
  <dimension ref="A1:CJ59"/>
  <sheetViews>
    <sheetView topLeftCell="T1" zoomScale="80" zoomScaleNormal="80" workbookViewId="0">
      <selection activeCell="AM10" sqref="AM10"/>
    </sheetView>
  </sheetViews>
  <sheetFormatPr baseColWidth="10" defaultRowHeight="15" x14ac:dyDescent="0.25"/>
  <cols>
    <col min="2" max="2" width="23.5703125" bestFit="1" customWidth="1"/>
  </cols>
  <sheetData>
    <row r="1" spans="1:88" x14ac:dyDescent="0.25">
      <c r="A1" s="34"/>
      <c r="B1" s="34"/>
      <c r="C1" s="35"/>
      <c r="D1" s="35"/>
      <c r="E1" s="35"/>
      <c r="J1" s="56"/>
      <c r="K1" s="56"/>
      <c r="L1" s="56"/>
      <c r="N1" s="5"/>
    </row>
    <row r="2" spans="1:88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88" ht="26.25" x14ac:dyDescent="0.4">
      <c r="A3" s="62" t="str" cm="1">
        <f t="array" ref="A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LICENCIA</v>
      </c>
      <c r="B3" s="62" t="str" cm="1">
        <f t="array" ref="B3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MARGARITA PIANCHACHI</v>
      </c>
      <c r="C3" s="62" t="e" cm="1">
        <f t="array" ref="C3">_xlfn.XLOOKUP(1,(TablaMeta[CONCAT]=$M$3&amp;$N$3&amp;D1_MARZO_202660[[#This Row],[SUPER]])*(TablaMeta[SEGG]=D1_MARZO_202660[[#This Row],[SEGMENTO]]),TablaMeta[Meta_Asesor])</f>
        <v>#N/A</v>
      </c>
      <c r="D3" s="63"/>
      <c r="E3" s="63" t="str">
        <f>D1_MARZO_202660[[#This Row],[SUPER]]</f>
        <v>LICENCIA</v>
      </c>
      <c r="F3" s="62" t="s">
        <v>17</v>
      </c>
      <c r="G3" s="62"/>
      <c r="H3" s="62" cm="1">
        <f t="array" ref="H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70876605</v>
      </c>
      <c r="I3" s="64" cm="1">
        <f t="array" ref="I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44886</v>
      </c>
      <c r="J3" s="64" t="str" cm="1">
        <f t="array" ref="J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LICENCIA</v>
      </c>
      <c r="K3" s="64" t="str" cm="1">
        <f t="array" ref="K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LICENCIA</v>
      </c>
      <c r="L3" s="56"/>
      <c r="M3" s="33">
        <v>2026</v>
      </c>
      <c r="N3" s="33" t="s">
        <v>142</v>
      </c>
      <c r="O3" s="33">
        <v>20</v>
      </c>
    </row>
    <row r="4" spans="1:88" x14ac:dyDescent="0.25">
      <c r="A4" s="62" t="str" cm="1">
        <f t="array" ref="A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4" s="62" t="str" cm="1">
        <f t="array" ref="B4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URSULA CENTENO</v>
      </c>
      <c r="C4" s="62" t="e" cm="1">
        <f t="array" ref="C4">_xlfn.XLOOKUP(1,(TablaMeta[CONCAT]=$M$3&amp;$N$3&amp;D1_MARZO_202660[[#This Row],[SUPER]])*(TablaMeta[SEGG]=D1_MARZO_202660[[#This Row],[SEGMENTO]]),TablaMeta[Meta_Asesor])</f>
        <v>#N/A</v>
      </c>
      <c r="D4" s="63"/>
      <c r="E4" s="63" t="str">
        <f>D1_MARZO_202660[[#This Row],[SUPER]]</f>
        <v>VACACIONES</v>
      </c>
      <c r="F4" s="62" t="s">
        <v>78</v>
      </c>
      <c r="G4" s="62"/>
      <c r="H4" s="62" cm="1">
        <f t="array" ref="H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10706451</v>
      </c>
      <c r="I4" s="64" cm="1">
        <f t="array" ref="I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44943</v>
      </c>
      <c r="J4" s="64" t="str" cm="1">
        <f t="array" ref="J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4" s="64" t="str" cm="1">
        <f t="array" ref="K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4" s="56"/>
      <c r="N4" s="5"/>
      <c r="S4" s="45"/>
    </row>
    <row r="5" spans="1:88" x14ac:dyDescent="0.25">
      <c r="A5" s="62" t="str" cm="1">
        <f t="array" ref="A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5" s="62" t="str" cm="1">
        <f t="array" ref="B5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CARMEN PUMA</v>
      </c>
      <c r="C5" s="62" t="e" cm="1">
        <f t="array" ref="C5">_xlfn.XLOOKUP(1,(TablaMeta[CONCAT]=$M$3&amp;$N$3&amp;D1_MARZO_202660[[#This Row],[SUPER]])*(TablaMeta[SEGG]=D1_MARZO_202660[[#This Row],[SEGMENTO]]),TablaMeta[Meta_Asesor])</f>
        <v>#N/A</v>
      </c>
      <c r="D5" s="63"/>
      <c r="E5" s="63" t="str">
        <f>D1_MARZO_202660[[#This Row],[SUPER]]</f>
        <v>VACACIONES</v>
      </c>
      <c r="F5" s="62" t="s">
        <v>19</v>
      </c>
      <c r="G5" s="62"/>
      <c r="H5" s="62" cm="1">
        <f t="array" ref="H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76656128</v>
      </c>
      <c r="I5" s="64" cm="1">
        <f t="array" ref="I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44671</v>
      </c>
      <c r="J5" s="64" t="str" cm="1">
        <f t="array" ref="J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5" s="64" t="str" cm="1">
        <f t="array" ref="K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5" s="56"/>
      <c r="N5" s="5"/>
      <c r="S5" s="45"/>
      <c r="BH5" s="45"/>
    </row>
    <row r="6" spans="1:88" x14ac:dyDescent="0.25">
      <c r="A6" s="66" t="str" cm="1">
        <f t="array" ref="A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6" s="66" t="str" cm="1">
        <f t="array" ref="B6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GERALDINE ARROYO</v>
      </c>
      <c r="C6" s="62" t="e" cm="1">
        <f t="array" ref="C6">_xlfn.XLOOKUP(1,(TablaMeta[CONCAT]=$M$3&amp;$N$3&amp;D1_MARZO_202660[[#This Row],[SUPER]])*(TablaMeta[SEGG]=D1_MARZO_202660[[#This Row],[SEGMENTO]]),TablaMeta[Meta_Asesor])</f>
        <v>#N/A</v>
      </c>
      <c r="D6" s="63"/>
      <c r="E6" s="67" t="str">
        <f>D1_MARZO_202660[[#This Row],[SUPER]]</f>
        <v>VACACIONES</v>
      </c>
      <c r="F6" s="66" t="s">
        <v>51</v>
      </c>
      <c r="G6" s="73"/>
      <c r="H6" s="66" cm="1">
        <f t="array" ref="H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76089925</v>
      </c>
      <c r="I6" s="68" cm="1">
        <f t="array" ref="I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45678</v>
      </c>
      <c r="J6" s="68" t="str" cm="1">
        <f t="array" ref="J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VACACIONES</v>
      </c>
      <c r="K6" s="68" t="str" cm="1">
        <f t="array" ref="K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6" s="56"/>
      <c r="N6" s="5"/>
      <c r="S6" s="45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88" x14ac:dyDescent="0.25">
      <c r="A7" s="34" t="str" cm="1">
        <f t="array" ref="A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7" s="34" t="str" cm="1">
        <f t="array" ref="B7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LISELY MERA</v>
      </c>
      <c r="C7" s="34" cm="1">
        <f t="array" ref="C7">_xlfn.XLOOKUP(1,(TablaMeta[CONCAT]=$M$3&amp;$N$3&amp;D1_MARZO_202660[[#This Row],[SUPER]])*(TablaMeta[SEGG]=D1_MARZO_202660[[#This Row],[SEGMENTO]]),TablaMeta[Meta_Asesor])</f>
        <v>48500</v>
      </c>
      <c r="D7" s="35">
        <f>IF(D1_MARZO_202660[[#This Row],[RECUPERO]]="VACACIONES","VACACIONES",IFERROR(D1_MARZO_202660[[#This Row],[RECUPERO]]/D1_MARZO_202660[[#This Row],[META]],""))</f>
        <v>1.1446391752577321</v>
      </c>
      <c r="E7" s="35" t="str">
        <f>D1_MARZO_202660[[#This Row],[SUPER]]</f>
        <v>JORGE</v>
      </c>
      <c r="F7" s="34" t="s">
        <v>23</v>
      </c>
      <c r="G7" s="36">
        <v>55515</v>
      </c>
      <c r="H7" s="34" cm="1">
        <f t="array" ref="H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72413556</v>
      </c>
      <c r="I7" s="61" cm="1">
        <f t="array" ref="I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44109</v>
      </c>
      <c r="J7" s="61" t="str" cm="1">
        <f t="array" ref="J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7" s="61" t="str" cm="1">
        <f t="array" ref="K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7" s="56"/>
      <c r="M7" s="1"/>
      <c r="N7" s="5"/>
    </row>
    <row r="8" spans="1:88" x14ac:dyDescent="0.25">
      <c r="A8" s="34" t="str" cm="1">
        <f t="array" ref="A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8" s="34" t="str" cm="1">
        <f t="array" ref="B8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FRANCO HUAMANI</v>
      </c>
      <c r="C8" s="34" cm="1">
        <f t="array" ref="C8">_xlfn.XLOOKUP(1,(TablaMeta[CONCAT]=$M$3&amp;$N$3&amp;D1_MARZO_202660[[#This Row],[SUPER]])*(TablaMeta[SEGG]=D1_MARZO_202660[[#This Row],[SEGMENTO]]),TablaMeta[Meta_Asesor])</f>
        <v>48500</v>
      </c>
      <c r="D8" s="35">
        <f>IF(D1_MARZO_202660[[#This Row],[RECUPERO]]="VACACIONES","VACACIONES",IFERROR(D1_MARZO_202660[[#This Row],[RECUPERO]]/D1_MARZO_202660[[#This Row],[META]],""))</f>
        <v>1.088639175257732</v>
      </c>
      <c r="E8" s="35" t="str">
        <f>D1_MARZO_202660[[#This Row],[SUPER]]</f>
        <v>JORGE</v>
      </c>
      <c r="F8" s="34" t="s">
        <v>24</v>
      </c>
      <c r="G8" s="36">
        <v>52799</v>
      </c>
      <c r="H8" s="34" cm="1">
        <f t="array" ref="H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43614775</v>
      </c>
      <c r="I8" s="61" cm="1">
        <f t="array" ref="I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45334</v>
      </c>
      <c r="J8" s="61" t="str" cm="1">
        <f t="array" ref="J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8" s="61" t="str" cm="1">
        <f t="array" ref="K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533</v>
      </c>
      <c r="T8" s="13" t="s">
        <v>505</v>
      </c>
      <c r="U8" s="13" t="s">
        <v>506</v>
      </c>
      <c r="V8" s="13" t="s">
        <v>507</v>
      </c>
      <c r="W8" s="13" t="s">
        <v>508</v>
      </c>
      <c r="X8" s="13" t="s">
        <v>526</v>
      </c>
      <c r="Y8" s="13" t="s">
        <v>510</v>
      </c>
      <c r="Z8" s="13" t="s">
        <v>511</v>
      </c>
      <c r="AA8" s="13" t="s">
        <v>512</v>
      </c>
      <c r="AB8" s="13" t="s">
        <v>513</v>
      </c>
      <c r="AC8" s="13" t="s">
        <v>527</v>
      </c>
      <c r="AD8" s="13" t="s">
        <v>515</v>
      </c>
      <c r="AE8" s="13" t="s">
        <v>516</v>
      </c>
      <c r="AF8" s="13" t="s">
        <v>517</v>
      </c>
      <c r="AG8" s="13" t="s">
        <v>518</v>
      </c>
      <c r="AH8" s="13" t="s">
        <v>528</v>
      </c>
      <c r="AI8" s="13" t="s">
        <v>520</v>
      </c>
      <c r="AJ8" s="13" t="s">
        <v>521</v>
      </c>
      <c r="AK8" s="13" t="s">
        <v>522</v>
      </c>
      <c r="AL8" s="13" t="s">
        <v>523</v>
      </c>
      <c r="AM8" s="14" t="s">
        <v>502</v>
      </c>
      <c r="AO8" s="18" t="s">
        <v>135</v>
      </c>
      <c r="AP8" s="18" t="s">
        <v>137</v>
      </c>
      <c r="AQ8" s="18" t="s">
        <v>138</v>
      </c>
      <c r="AR8" s="19" t="s">
        <v>94</v>
      </c>
      <c r="AS8" s="19" t="s">
        <v>533</v>
      </c>
      <c r="AT8" s="19" t="s">
        <v>505</v>
      </c>
      <c r="AU8" s="19" t="s">
        <v>506</v>
      </c>
      <c r="AV8" s="19" t="s">
        <v>507</v>
      </c>
      <c r="AW8" s="19" t="s">
        <v>508</v>
      </c>
      <c r="AX8" s="19" t="s">
        <v>526</v>
      </c>
      <c r="AY8" s="19" t="s">
        <v>510</v>
      </c>
      <c r="AZ8" s="19" t="s">
        <v>511</v>
      </c>
      <c r="BA8" s="19" t="s">
        <v>512</v>
      </c>
      <c r="BB8" s="19" t="s">
        <v>513</v>
      </c>
      <c r="BC8" s="19" t="s">
        <v>527</v>
      </c>
      <c r="BD8" s="19" t="s">
        <v>515</v>
      </c>
      <c r="BE8" s="19" t="s">
        <v>516</v>
      </c>
      <c r="BF8" s="19" t="s">
        <v>517</v>
      </c>
      <c r="BG8" s="19" t="s">
        <v>518</v>
      </c>
      <c r="BH8" s="19" t="s">
        <v>528</v>
      </c>
      <c r="BI8" s="19" t="s">
        <v>520</v>
      </c>
      <c r="BJ8" s="19" t="s">
        <v>521</v>
      </c>
      <c r="BK8" s="19" t="s">
        <v>522</v>
      </c>
      <c r="BL8" s="19" t="s">
        <v>523</v>
      </c>
      <c r="BM8" s="18" t="s">
        <v>134</v>
      </c>
    </row>
    <row r="9" spans="1:88" x14ac:dyDescent="0.25">
      <c r="A9" s="34" t="str" cm="1">
        <f t="array" ref="A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9" s="34" t="str" cm="1">
        <f t="array" ref="B9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GIANFRANCO PINEDO</v>
      </c>
      <c r="C9" s="34" cm="1">
        <f t="array" ref="C9">_xlfn.XLOOKUP(1,(TablaMeta[CONCAT]=$M$3&amp;$N$3&amp;D1_MARZO_202660[[#This Row],[SUPER]])*(TablaMeta[SEGG]=D1_MARZO_202660[[#This Row],[SEGMENTO]]),TablaMeta[Meta_Asesor])</f>
        <v>48500</v>
      </c>
      <c r="D9" s="35">
        <f>IF(D1_MARZO_202660[[#This Row],[RECUPERO]]="VACACIONES","VACACIONES",IFERROR(D1_MARZO_202660[[#This Row],[RECUPERO]]/D1_MARZO_202660[[#This Row],[META]],""))</f>
        <v>0.92719587628865985</v>
      </c>
      <c r="E9" s="35" t="str">
        <f>D1_MARZO_202660[[#This Row],[SUPER]]</f>
        <v>JORGE</v>
      </c>
      <c r="F9" s="34" t="s">
        <v>13</v>
      </c>
      <c r="G9" s="36">
        <v>44969</v>
      </c>
      <c r="H9" s="34" cm="1">
        <f t="array" ref="H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72512391</v>
      </c>
      <c r="I9" s="61" cm="1">
        <f t="array" ref="I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44809</v>
      </c>
      <c r="J9" s="61" t="str" cm="1">
        <f t="array" ref="J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9" s="61" t="str" cm="1">
        <f t="array" ref="K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9" s="56"/>
      <c r="M9" s="5">
        <f>DATA_MARZO_202659[[#This Row],[RECUPERO]]/DATA_MARZO_202659[[#This Row],[META]]</f>
        <v>0.52888639175257735</v>
      </c>
      <c r="N9" s="5" t="str" cm="1">
        <f t="array" ref="N9">IF(DATA_MARZO_202659[[#This Row],[ASER_]]="","",IFERROR(_xlfn.IFS(M9&gt;=100%,"&gt;100%",AND(M9&lt;100%,M9&gt;=70%),"&gt;70%",AND(M9&lt;70%,M9&gt;=40%),"&gt;40%",AND(M9&lt;40%,M9&gt;=0%),"&gt;0%"),""))</f>
        <v>&gt;40%</v>
      </c>
      <c r="O9" s="55" t="str">
        <f>IFERROR(VLOOKUP(DATA_MARZO_202659[[#This Row],[ASER_]],$B:$G,4,0),"")</f>
        <v>JORGE</v>
      </c>
      <c r="P9" s="6">
        <f>VLOOKUP(DATA_MARZO_202659[[#This Row],[ASER_]],D1_MARZO_202660[[ASESOR_CRR]:[RECUPERO]],6,0)</f>
        <v>25650.99</v>
      </c>
      <c r="Q9" s="6">
        <f>VLOOKUP(DATA_MARZO_202659[[#This Row],[ASER_]],D1_MARZO_202660[[ASESOR_CRR]:[META]],2,0)</f>
        <v>48500</v>
      </c>
      <c r="R9" t="s">
        <v>81</v>
      </c>
      <c r="S9">
        <v>0</v>
      </c>
      <c r="T9">
        <v>0</v>
      </c>
      <c r="U9">
        <v>0</v>
      </c>
      <c r="V9">
        <v>0</v>
      </c>
      <c r="W9">
        <v>90</v>
      </c>
      <c r="X9">
        <v>500</v>
      </c>
      <c r="Y9">
        <v>4620</v>
      </c>
      <c r="Z9">
        <v>0</v>
      </c>
      <c r="AA9">
        <v>100</v>
      </c>
      <c r="AB9">
        <v>0</v>
      </c>
      <c r="AC9">
        <v>2530</v>
      </c>
      <c r="AD9">
        <v>3530</v>
      </c>
      <c r="AE9">
        <v>9246.99</v>
      </c>
      <c r="AF9">
        <v>0</v>
      </c>
      <c r="AG9">
        <v>3600</v>
      </c>
      <c r="AH9">
        <v>0</v>
      </c>
      <c r="AI9">
        <v>0</v>
      </c>
      <c r="AJ9">
        <v>0</v>
      </c>
      <c r="AK9">
        <v>1434</v>
      </c>
      <c r="AL9">
        <v>0</v>
      </c>
      <c r="AM9" s="55" t="str" cm="1">
        <f t="array" ref="AM9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O9" s="10">
        <f>SUMIFS(TablaMeta[Meta_Equipo],TablaMeta[CONCAT],$M$3&amp;$N$3&amp;DITE_MARZO_202661[[#This Row],[SUPER]])</f>
        <v>279317</v>
      </c>
      <c r="AP9" s="10">
        <f>MAX(DITE_MARZO_202661[[#This Row],[SUPER]:[CARTERA]])</f>
        <v>403526</v>
      </c>
      <c r="AQ9" s="16">
        <f>IFERROR(DITE_MARZO_202661[[#This Row],[RECUPERO SUPERVISOR]]/DITE_MARZO_202661[[#This Row],[META SUPER]],"")</f>
        <v>1.4446882932295564</v>
      </c>
      <c r="AR9" s="10" t="s">
        <v>3</v>
      </c>
      <c r="AS9" s="46">
        <v>9413</v>
      </c>
      <c r="AT9" s="46">
        <v>19583</v>
      </c>
      <c r="AU9" s="46">
        <v>27808</v>
      </c>
      <c r="AV9" s="46">
        <v>44923</v>
      </c>
      <c r="AW9" s="46">
        <v>62603</v>
      </c>
      <c r="AX9" s="46">
        <v>81231</v>
      </c>
      <c r="AY9" s="46">
        <v>84911</v>
      </c>
      <c r="AZ9" s="46">
        <v>88631</v>
      </c>
      <c r="BA9" s="46">
        <v>100024</v>
      </c>
      <c r="BB9" s="46">
        <v>122608</v>
      </c>
      <c r="BC9" s="46">
        <v>154011</v>
      </c>
      <c r="BD9" s="46">
        <v>179684</v>
      </c>
      <c r="BE9" s="46">
        <v>190904</v>
      </c>
      <c r="BF9" s="46">
        <v>199020</v>
      </c>
      <c r="BG9" s="46">
        <v>209729</v>
      </c>
      <c r="BH9" s="46">
        <v>215240</v>
      </c>
      <c r="BI9" s="46">
        <v>249455</v>
      </c>
      <c r="BJ9" s="46">
        <v>270325</v>
      </c>
      <c r="BK9" s="46">
        <v>336275</v>
      </c>
      <c r="BL9" s="46">
        <v>403526</v>
      </c>
      <c r="BM9" s="10" t="str" cm="1">
        <f t="array" ref="BM9">IFERROR(VLOOKUP(DITE_MARZO_202661[[#This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S0</v>
      </c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</row>
    <row r="10" spans="1:88" x14ac:dyDescent="0.25">
      <c r="A10" s="34" t="str" cm="1">
        <f t="array" ref="A1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0" s="34" t="str" cm="1">
        <f t="array" ref="B10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JIMENA MEDINA</v>
      </c>
      <c r="C10" s="34" cm="1">
        <f t="array" ref="C10">_xlfn.XLOOKUP(1,(TablaMeta[CONCAT]=$M$3&amp;$N$3&amp;D1_MARZO_202660[[#This Row],[SUPER]])*(TablaMeta[SEGG]=D1_MARZO_202660[[#This Row],[SEGMENTO]]),TablaMeta[Meta_Asesor])</f>
        <v>48500</v>
      </c>
      <c r="D10" s="35">
        <f>IF(D1_MARZO_202660[[#This Row],[RECUPERO]]="VACACIONES","VACACIONES",IFERROR(D1_MARZO_202660[[#This Row],[RECUPERO]]/D1_MARZO_202660[[#This Row],[META]],""))</f>
        <v>0.56547030927835051</v>
      </c>
      <c r="E10" s="35" t="str">
        <f>D1_MARZO_202660[[#This Row],[SUPER]]</f>
        <v>JORGE</v>
      </c>
      <c r="F10" s="34" t="s">
        <v>37</v>
      </c>
      <c r="G10" s="36">
        <v>27425.31</v>
      </c>
      <c r="H10" s="34" cm="1">
        <f t="array" ref="H1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70988976</v>
      </c>
      <c r="I10" s="61" cm="1">
        <f t="array" ref="I1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45112</v>
      </c>
      <c r="J10" s="61" t="str" cm="1">
        <f t="array" ref="J1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0" s="61" t="str" cm="1">
        <f t="array" ref="K1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0" s="56"/>
      <c r="M10" s="5">
        <f>DATA_MARZO_202659[[#This Row],[RECUPERO]]/DATA_MARZO_202659[[#This Row],[META]]</f>
        <v>0.23344329896907218</v>
      </c>
      <c r="N10" s="5" t="str" cm="1">
        <f t="array" ref="N10">IF(DATA_MARZO_202659[[#This Row],[ASER_]]="","",IFERROR(_xlfn.IFS(M10&gt;=100%,"&gt;100%",AND(M10&lt;100%,M10&gt;=70%),"&gt;70%",AND(M10&lt;70%,M10&gt;=40%),"&gt;40%",AND(M10&lt;40%,M10&gt;=0%),"&gt;0%"),""))</f>
        <v>&gt;0%</v>
      </c>
      <c r="O10" s="55" t="str">
        <f>IFERROR(VLOOKUP(DATA_MARZO_202659[[#This Row],[ASER_]],$B:$G,4,0),"")</f>
        <v>JORGE</v>
      </c>
      <c r="P10" s="6">
        <f>VLOOKUP(DATA_MARZO_202659[[#This Row],[ASER_]],D1_MARZO_202660[[ASESOR_CRR]:[RECUPERO]],6,0)</f>
        <v>11322</v>
      </c>
      <c r="Q10" s="6">
        <f>VLOOKUP(DATA_MARZO_202659[[#This Row],[ASER_]],D1_MARZO_202660[[ASESOR_CRR]:[META]],2,0)</f>
        <v>48500</v>
      </c>
      <c r="R10" t="s">
        <v>42</v>
      </c>
      <c r="S10">
        <v>0</v>
      </c>
      <c r="T10">
        <v>0</v>
      </c>
      <c r="U10">
        <v>0</v>
      </c>
      <c r="V10">
        <v>1000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220</v>
      </c>
      <c r="AG10">
        <v>1952</v>
      </c>
      <c r="AH10">
        <v>0</v>
      </c>
      <c r="AI10">
        <v>1650</v>
      </c>
      <c r="AJ10">
        <v>0</v>
      </c>
      <c r="AK10">
        <v>0</v>
      </c>
      <c r="AL10">
        <v>6500</v>
      </c>
      <c r="AM10" s="55" t="str" cm="1">
        <f t="array" ref="AM10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O10" s="11">
        <f>SUMIFS(TablaMeta[Meta_Equipo],TablaMeta[CONCAT],$M$3&amp;$N$3&amp;DITE_MARZO_202661[[#This Row],[SUPER]])</f>
        <v>362638</v>
      </c>
      <c r="AP10" s="11">
        <f>MAX(DITE_MARZO_202661[[#This Row],[SUPER]:[CARTERA]])</f>
        <v>395413</v>
      </c>
      <c r="AQ10" s="17">
        <f>IFERROR(DITE_MARZO_202661[[#This Row],[RECUPERO SUPERVISOR]]/DITE_MARZO_202661[[#This Row],[META SUPER]],"")</f>
        <v>1.0903793866059266</v>
      </c>
      <c r="AR10" s="11" t="s">
        <v>6</v>
      </c>
      <c r="AS10" s="46">
        <v>5225</v>
      </c>
      <c r="AT10" s="46">
        <v>31961</v>
      </c>
      <c r="AU10" s="46">
        <v>48941</v>
      </c>
      <c r="AV10" s="46">
        <v>59457</v>
      </c>
      <c r="AW10" s="46">
        <v>93577</v>
      </c>
      <c r="AX10" s="46">
        <v>103643</v>
      </c>
      <c r="AY10" s="46">
        <v>125764</v>
      </c>
      <c r="AZ10" s="46">
        <v>132119</v>
      </c>
      <c r="BA10" s="46">
        <v>143539</v>
      </c>
      <c r="BB10" s="46">
        <v>168013</v>
      </c>
      <c r="BC10" s="46">
        <v>192472</v>
      </c>
      <c r="BD10" s="46">
        <v>206572</v>
      </c>
      <c r="BE10" s="46">
        <v>216118</v>
      </c>
      <c r="BF10" s="46">
        <v>223198</v>
      </c>
      <c r="BG10" s="46">
        <v>229053</v>
      </c>
      <c r="BH10" s="46">
        <v>269545</v>
      </c>
      <c r="BI10" s="46">
        <v>278850</v>
      </c>
      <c r="BJ10" s="46">
        <v>298921</v>
      </c>
      <c r="BK10" s="46">
        <v>333521</v>
      </c>
      <c r="BL10" s="46">
        <v>395413</v>
      </c>
      <c r="BM10" s="11" t="str" cm="1">
        <f t="array" ref="BM10">IFERROR(VLOOKUP(DITE_MARZO_202661[[#This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S0</v>
      </c>
      <c r="BP10" s="47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</row>
    <row r="11" spans="1:88" x14ac:dyDescent="0.25">
      <c r="A11" s="34" t="str" cm="1">
        <f t="array" ref="A1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1" s="34" t="str" cm="1">
        <f t="array" ref="B11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DAVID SANCHEZ</v>
      </c>
      <c r="C11" s="34" cm="1">
        <f t="array" ref="C11">_xlfn.XLOOKUP(1,(TablaMeta[CONCAT]=$M$3&amp;$N$3&amp;D1_MARZO_202660[[#This Row],[SUPER]])*(TablaMeta[SEGG]=D1_MARZO_202660[[#This Row],[SEGMENTO]]),TablaMeta[Meta_Asesor])</f>
        <v>48500</v>
      </c>
      <c r="D11" s="35">
        <f>IF(D1_MARZO_202660[[#This Row],[RECUPERO]]="VACACIONES","VACACIONES",IFERROR(D1_MARZO_202660[[#This Row],[RECUPERO]]/D1_MARZO_202660[[#This Row],[META]],""))</f>
        <v>0.52888639175257735</v>
      </c>
      <c r="E11" s="35" t="str">
        <f>D1_MARZO_202660[[#This Row],[SUPER]]</f>
        <v>JORGE</v>
      </c>
      <c r="F11" t="s">
        <v>81</v>
      </c>
      <c r="G11" s="3">
        <v>25650.99</v>
      </c>
      <c r="H11" cm="1">
        <f t="array" ref="H1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72716299</v>
      </c>
      <c r="I11" s="56" cm="1">
        <f t="array" ref="I1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45511</v>
      </c>
      <c r="J11" s="56" t="str" cm="1">
        <f t="array" ref="J1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1" s="61" t="str" cm="1">
        <f t="array" ref="K1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1" s="56"/>
      <c r="M11" s="5">
        <f>DATA_MARZO_202659[[#This Row],[RECUPERO]]/DATA_MARZO_202659[[#This Row],[META]]</f>
        <v>1.1446391752577321</v>
      </c>
      <c r="N11" s="5" t="str" cm="1">
        <f t="array" ref="N11">IF(DATA_MARZO_202659[[#This Row],[ASER_]]="","",IFERROR(_xlfn.IFS(M11&gt;=100%,"&gt;100%",AND(M11&lt;100%,M11&gt;=70%),"&gt;70%",AND(M11&lt;70%,M11&gt;=40%),"&gt;40%",AND(M11&lt;40%,M11&gt;=0%),"&gt;0%"),""))</f>
        <v>&gt;100%</v>
      </c>
      <c r="O11" s="55" t="str">
        <f>IFERROR(VLOOKUP(DATA_MARZO_202659[[#This Row],[ASER_]],$B:$G,4,0),"")</f>
        <v>JORGE</v>
      </c>
      <c r="P11" s="6">
        <f>VLOOKUP(DATA_MARZO_202659[[#This Row],[ASER_]],D1_MARZO_202660[[ASESOR_CRR]:[RECUPERO]],6,0)</f>
        <v>55515</v>
      </c>
      <c r="Q11" s="6">
        <f>VLOOKUP(DATA_MARZO_202659[[#This Row],[ASER_]],D1_MARZO_202660[[ASESOR_CRR]:[META]],2,0)</f>
        <v>48500</v>
      </c>
      <c r="R11" t="s">
        <v>23</v>
      </c>
      <c r="S11">
        <v>2770</v>
      </c>
      <c r="T11">
        <v>3130</v>
      </c>
      <c r="U11">
        <v>578</v>
      </c>
      <c r="V11">
        <v>0</v>
      </c>
      <c r="W11">
        <v>580</v>
      </c>
      <c r="X11">
        <v>1768</v>
      </c>
      <c r="Y11">
        <v>300</v>
      </c>
      <c r="Z11">
        <v>200</v>
      </c>
      <c r="AA11">
        <v>1450</v>
      </c>
      <c r="AB11">
        <v>2110</v>
      </c>
      <c r="AC11">
        <v>2950</v>
      </c>
      <c r="AD11">
        <v>5000</v>
      </c>
      <c r="AE11">
        <v>450</v>
      </c>
      <c r="AF11">
        <v>1325</v>
      </c>
      <c r="AG11">
        <v>8000</v>
      </c>
      <c r="AH11">
        <v>0</v>
      </c>
      <c r="AI11">
        <v>7910</v>
      </c>
      <c r="AJ11">
        <v>800</v>
      </c>
      <c r="AK11">
        <v>2225</v>
      </c>
      <c r="AL11">
        <v>13969</v>
      </c>
      <c r="AM11" s="55" t="str" cm="1">
        <f t="array" ref="AM11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O11" s="10">
        <f>SUMIFS(TablaMeta[Meta_Equipo],TablaMeta[CONCAT],$M$3&amp;$N$3&amp;DITE_MARZO_202661[[#This Row],[SUPER]])</f>
        <v>529535</v>
      </c>
      <c r="AP11" s="10">
        <f>MAX(DITE_MARZO_202661[[#This Row],[SUPER]:[CARTERA]])</f>
        <v>298539</v>
      </c>
      <c r="AQ11" s="16">
        <f>IFERROR(DITE_MARZO_202661[[#This Row],[RECUPERO SUPERVISOR]]/DITE_MARZO_202661[[#This Row],[META SUPER]],"")</f>
        <v>0.56377576553013498</v>
      </c>
      <c r="AR11" s="10" t="s">
        <v>2</v>
      </c>
      <c r="AS11" s="46">
        <v>6311</v>
      </c>
      <c r="AT11" s="46">
        <v>15068</v>
      </c>
      <c r="AU11" s="46">
        <v>43246</v>
      </c>
      <c r="AV11" s="46">
        <v>45646</v>
      </c>
      <c r="AW11" s="46">
        <v>46316</v>
      </c>
      <c r="AX11" s="46">
        <v>61292</v>
      </c>
      <c r="AY11" s="46">
        <v>68462</v>
      </c>
      <c r="AZ11" s="46">
        <v>73662</v>
      </c>
      <c r="BA11" s="46">
        <v>83217</v>
      </c>
      <c r="BB11" s="46">
        <v>87877</v>
      </c>
      <c r="BC11" s="46">
        <v>116407</v>
      </c>
      <c r="BD11" s="46">
        <v>135673</v>
      </c>
      <c r="BE11" s="46">
        <v>155241</v>
      </c>
      <c r="BF11" s="46">
        <v>176136</v>
      </c>
      <c r="BG11" s="46">
        <v>198215</v>
      </c>
      <c r="BH11" s="46">
        <v>207974</v>
      </c>
      <c r="BI11" s="46">
        <v>223204</v>
      </c>
      <c r="BJ11" s="46">
        <v>230854</v>
      </c>
      <c r="BK11" s="46">
        <v>245242</v>
      </c>
      <c r="BL11" s="46">
        <v>298539</v>
      </c>
      <c r="BM11" s="10" t="str" cm="1">
        <f t="array" ref="BM11">IFERROR(VLOOKUP(DITE_MARZO_202661[[#This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S1</v>
      </c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</row>
    <row r="12" spans="1:88" x14ac:dyDescent="0.25">
      <c r="A12" s="34" t="str" cm="1">
        <f t="array" ref="A1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2" s="34" t="str" cm="1">
        <f t="array" ref="B12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JHONATAN CHAVEZ</v>
      </c>
      <c r="C12" s="34" cm="1">
        <f t="array" ref="C12">_xlfn.XLOOKUP(1,(TablaMeta[CONCAT]=$M$3&amp;$N$3&amp;D1_MARZO_202660[[#This Row],[SUPER]])*(TablaMeta[SEGG]=D1_MARZO_202660[[#This Row],[SEGMENTO]]),TablaMeta[Meta_Asesor])</f>
        <v>48500</v>
      </c>
      <c r="D12" s="35">
        <f>IF(D1_MARZO_202660[[#This Row],[RECUPERO]]="VACACIONES","VACACIONES",IFERROR(D1_MARZO_202660[[#This Row],[RECUPERO]]/D1_MARZO_202660[[#This Row],[META]],""))</f>
        <v>0.48810309278350517</v>
      </c>
      <c r="E12" s="35" t="str">
        <f>D1_MARZO_202660[[#This Row],[SUPER]]</f>
        <v>JORGE</v>
      </c>
      <c r="F12" t="s">
        <v>65</v>
      </c>
      <c r="G12" s="3">
        <v>23673</v>
      </c>
      <c r="H12" cm="1">
        <f t="array" ref="H1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47659267</v>
      </c>
      <c r="I12" s="56" cm="1">
        <f t="array" ref="I1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45019</v>
      </c>
      <c r="J12" s="56" t="str" cm="1">
        <f t="array" ref="J1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2" s="56" t="str" cm="1">
        <f t="array" ref="K1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2" s="56"/>
      <c r="M12" s="5">
        <f>DATA_MARZO_202659[[#This Row],[RECUPERO]]/DATA_MARZO_202659[[#This Row],[META]]</f>
        <v>0.48810309278350517</v>
      </c>
      <c r="N12" s="5" t="str" cm="1">
        <f t="array" ref="N12">IF(DATA_MARZO_202659[[#This Row],[ASER_]]="","",IFERROR(_xlfn.IFS(M12&gt;=100%,"&gt;100%",AND(M12&lt;100%,M12&gt;=70%),"&gt;70%",AND(M12&lt;70%,M12&gt;=40%),"&gt;40%",AND(M12&lt;40%,M12&gt;=0%),"&gt;0%"),""))</f>
        <v>&gt;40%</v>
      </c>
      <c r="O12" s="55" t="str">
        <f>IFERROR(VLOOKUP(DATA_MARZO_202659[[#This Row],[ASER_]],$B:$G,4,0),"")</f>
        <v>JORGE</v>
      </c>
      <c r="P12" s="6">
        <f>VLOOKUP(DATA_MARZO_202659[[#This Row],[ASER_]],D1_MARZO_202660[[ASESOR_CRR]:[RECUPERO]],6,0)</f>
        <v>23673</v>
      </c>
      <c r="Q12" s="6">
        <f>VLOOKUP(DATA_MARZO_202659[[#This Row],[ASER_]],D1_MARZO_202660[[ASESOR_CRR]:[META]],2,0)</f>
        <v>48500</v>
      </c>
      <c r="R12" t="s">
        <v>65</v>
      </c>
      <c r="S12">
        <v>1700</v>
      </c>
      <c r="T12">
        <v>0</v>
      </c>
      <c r="U12">
        <v>6000</v>
      </c>
      <c r="V12">
        <v>0</v>
      </c>
      <c r="W12">
        <v>0</v>
      </c>
      <c r="X12">
        <v>308</v>
      </c>
      <c r="Y12">
        <v>350</v>
      </c>
      <c r="Z12">
        <v>0</v>
      </c>
      <c r="AA12">
        <v>0</v>
      </c>
      <c r="AB12">
        <v>0</v>
      </c>
      <c r="AC12">
        <v>2900</v>
      </c>
      <c r="AD12">
        <v>1720</v>
      </c>
      <c r="AE12">
        <v>0</v>
      </c>
      <c r="AF12">
        <v>0</v>
      </c>
      <c r="AG12">
        <v>0</v>
      </c>
      <c r="AH12">
        <v>0</v>
      </c>
      <c r="AI12">
        <v>3040</v>
      </c>
      <c r="AJ12">
        <v>3850</v>
      </c>
      <c r="AK12">
        <v>1681</v>
      </c>
      <c r="AL12">
        <v>2124</v>
      </c>
      <c r="AM12" s="55" t="str" cm="1">
        <f t="array" ref="AM12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O12" s="11">
        <f>SUMIFS(TablaMeta[Meta_Equipo],TablaMeta[CONCAT],$M$3&amp;$N$3&amp;DITE_MARZO_202661[[#This Row],[SUPER]])</f>
        <v>529535</v>
      </c>
      <c r="AP12" s="11">
        <f>MAX(DITE_MARZO_202661[[#This Row],[SUPER]:[CARTERA]])</f>
        <v>472978</v>
      </c>
      <c r="AQ12" s="17">
        <f>IFERROR(DITE_MARZO_202661[[#This Row],[RECUPERO SUPERVISOR]]/DITE_MARZO_202661[[#This Row],[META SUPER]],"")</f>
        <v>0.89319497294796379</v>
      </c>
      <c r="AR12" s="11" t="s">
        <v>125</v>
      </c>
      <c r="AS12" s="46">
        <v>45887</v>
      </c>
      <c r="AT12" s="46">
        <v>67677</v>
      </c>
      <c r="AU12" s="46">
        <v>72948</v>
      </c>
      <c r="AV12" s="46">
        <v>95303</v>
      </c>
      <c r="AW12" s="46">
        <v>96928</v>
      </c>
      <c r="AX12" s="46">
        <v>140875</v>
      </c>
      <c r="AY12" s="46">
        <v>144975</v>
      </c>
      <c r="AZ12" s="46">
        <v>159005</v>
      </c>
      <c r="BA12" s="46">
        <v>175055</v>
      </c>
      <c r="BB12" s="46">
        <v>184012</v>
      </c>
      <c r="BC12" s="46">
        <v>194912</v>
      </c>
      <c r="BD12" s="46">
        <v>208201</v>
      </c>
      <c r="BE12" s="46">
        <v>252201</v>
      </c>
      <c r="BF12" s="46">
        <v>262151</v>
      </c>
      <c r="BG12" s="46">
        <v>280991</v>
      </c>
      <c r="BH12" s="46">
        <v>297128</v>
      </c>
      <c r="BI12" s="46">
        <v>323868</v>
      </c>
      <c r="BJ12" s="46">
        <v>350589</v>
      </c>
      <c r="BK12" s="46">
        <v>419419</v>
      </c>
      <c r="BL12" s="46">
        <v>472978</v>
      </c>
      <c r="BM12" s="11" t="str" cm="1">
        <f t="array" ref="BM12">IFERROR(VLOOKUP(DITE_MARZO_202661[[#This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S1</v>
      </c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</row>
    <row r="13" spans="1:88" x14ac:dyDescent="0.25">
      <c r="A13" s="34" t="str" cm="1">
        <f t="array" ref="A1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3" s="34" t="str" cm="1">
        <f t="array" ref="B13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ANDERSON RODRIGUEZ</v>
      </c>
      <c r="C13" s="34" cm="1">
        <f t="array" ref="C13">_xlfn.XLOOKUP(1,(TablaMeta[CONCAT]=$M$3&amp;$N$3&amp;D1_MARZO_202660[[#This Row],[SUPER]])*(TablaMeta[SEGG]=D1_MARZO_202660[[#This Row],[SEGMENTO]]),TablaMeta[Meta_Asesor])</f>
        <v>48500</v>
      </c>
      <c r="D13" s="35">
        <f>IF(D1_MARZO_202660[[#This Row],[RECUPERO]]="VACACIONES","VACACIONES",IFERROR(D1_MARZO_202660[[#This Row],[RECUPERO]]/D1_MARZO_202660[[#This Row],[META]],""))</f>
        <v>0.46653608247422679</v>
      </c>
      <c r="E13" s="35" t="str">
        <f>D1_MARZO_202660[[#This Row],[SUPER]]</f>
        <v>JORGE</v>
      </c>
      <c r="F13" t="s">
        <v>15</v>
      </c>
      <c r="G13" s="3">
        <v>22627</v>
      </c>
      <c r="H13" cm="1">
        <f t="array" ref="H1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47587400</v>
      </c>
      <c r="I13" s="56" cm="1">
        <f t="array" ref="I1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44733</v>
      </c>
      <c r="J13" s="56" t="str" cm="1">
        <f t="array" ref="J1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3" s="56" t="str" cm="1">
        <f t="array" ref="K1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3" s="56"/>
      <c r="M13" s="5">
        <f>DATA_MARZO_202659[[#This Row],[RECUPERO]]/DATA_MARZO_202659[[#This Row],[META]]</f>
        <v>0.46653608247422679</v>
      </c>
      <c r="N13" s="5" t="str" cm="1">
        <f t="array" ref="N13">IF(DATA_MARZO_202659[[#This Row],[ASER_]]="","",IFERROR(_xlfn.IFS(M13&gt;=100%,"&gt;100%",AND(M13&lt;100%,M13&gt;=70%),"&gt;70%",AND(M13&lt;70%,M13&gt;=40%),"&gt;40%",AND(M13&lt;40%,M13&gt;=0%),"&gt;0%"),""))</f>
        <v>&gt;40%</v>
      </c>
      <c r="O13" s="55" t="str">
        <f>IFERROR(VLOOKUP(DATA_MARZO_202659[[#This Row],[ASER_]],$B:$G,4,0),"")</f>
        <v>JORGE</v>
      </c>
      <c r="P13" s="6">
        <f>VLOOKUP(DATA_MARZO_202659[[#This Row],[ASER_]],D1_MARZO_202660[[ASESOR_CRR]:[RECUPERO]],6,0)</f>
        <v>22627</v>
      </c>
      <c r="Q13" s="6">
        <f>VLOOKUP(DATA_MARZO_202659[[#This Row],[ASER_]],D1_MARZO_202660[[ASESOR_CRR]:[META]],2,0)</f>
        <v>48500</v>
      </c>
      <c r="R13" t="s">
        <v>15</v>
      </c>
      <c r="S13" s="47">
        <v>0</v>
      </c>
      <c r="T13">
        <v>0</v>
      </c>
      <c r="U13">
        <v>3300</v>
      </c>
      <c r="V13">
        <v>0</v>
      </c>
      <c r="W13">
        <v>0</v>
      </c>
      <c r="X13">
        <v>7500</v>
      </c>
      <c r="Y13">
        <v>0</v>
      </c>
      <c r="Z13">
        <v>0</v>
      </c>
      <c r="AA13">
        <v>0</v>
      </c>
      <c r="AB13">
        <v>0</v>
      </c>
      <c r="AC13">
        <v>225</v>
      </c>
      <c r="AD13">
        <v>0</v>
      </c>
      <c r="AE13">
        <v>1405</v>
      </c>
      <c r="AF13">
        <v>0</v>
      </c>
      <c r="AG13">
        <v>0</v>
      </c>
      <c r="AH13">
        <v>4246</v>
      </c>
      <c r="AI13">
        <v>0</v>
      </c>
      <c r="AJ13">
        <v>3000</v>
      </c>
      <c r="AK13">
        <v>1190</v>
      </c>
      <c r="AL13">
        <v>1761</v>
      </c>
      <c r="AM13" s="55" t="str" cm="1">
        <f t="array" ref="AM13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O13" s="10">
        <f>SUMIFS(TablaMeta[Meta_Equipo],TablaMeta[CONCAT],$M$3&amp;$N$3&amp;DITE_MARZO_202661[[#This Row],[SUPER]])</f>
        <v>245120</v>
      </c>
      <c r="AP13" s="10">
        <f>MAX(DITE_MARZO_202661[[#This Row],[SUPER]:[CARTERA]])</f>
        <v>253629</v>
      </c>
      <c r="AQ13" s="16">
        <f>IFERROR(DITE_MARZO_202661[[#This Row],[RECUPERO SUPERVISOR]]/DITE_MARZO_202661[[#This Row],[META SUPER]],"")</f>
        <v>1.0347136096605745</v>
      </c>
      <c r="AR13" s="10" t="s">
        <v>7</v>
      </c>
      <c r="AS13" s="46">
        <v>8436</v>
      </c>
      <c r="AT13" s="46">
        <v>16245</v>
      </c>
      <c r="AU13" s="45">
        <v>18304</v>
      </c>
      <c r="AV13" s="46">
        <v>26178</v>
      </c>
      <c r="AW13" s="46">
        <v>29506</v>
      </c>
      <c r="AX13" s="46">
        <v>42921</v>
      </c>
      <c r="AY13" s="46">
        <v>56048</v>
      </c>
      <c r="AZ13" s="45">
        <v>80886</v>
      </c>
      <c r="BA13" s="46">
        <v>89936</v>
      </c>
      <c r="BB13" s="46">
        <v>106475</v>
      </c>
      <c r="BC13" s="46">
        <v>110694</v>
      </c>
      <c r="BD13" s="45">
        <v>139044</v>
      </c>
      <c r="BE13" s="46">
        <v>153647</v>
      </c>
      <c r="BF13" s="46">
        <v>165477</v>
      </c>
      <c r="BG13" s="46">
        <v>181349</v>
      </c>
      <c r="BH13" s="46">
        <v>194069</v>
      </c>
      <c r="BI13" s="46">
        <v>206819</v>
      </c>
      <c r="BJ13" s="46">
        <v>214719</v>
      </c>
      <c r="BK13" s="46">
        <v>232811</v>
      </c>
      <c r="BL13" s="46">
        <v>253629</v>
      </c>
      <c r="BM13" s="10" t="str" cm="1">
        <f t="array" ref="BM13">IFERROR(VLOOKUP(DITE_MARZO_202661[[#This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S2-3-4</v>
      </c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</row>
    <row r="14" spans="1:88" x14ac:dyDescent="0.25">
      <c r="A14" s="34" t="str" cm="1">
        <f t="array" ref="A1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4" s="34" t="str" cm="1">
        <f t="array" ref="B14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MALORY MONTEBLANCO</v>
      </c>
      <c r="C14" s="34" cm="1">
        <f t="array" ref="C14">_xlfn.XLOOKUP(1,(TablaMeta[CONCAT]=$M$3&amp;$N$3&amp;D1_MARZO_202660[[#This Row],[SUPER]])*(TablaMeta[SEGG]=D1_MARZO_202660[[#This Row],[SEGMENTO]]),TablaMeta[Meta_Asesor])</f>
        <v>48500</v>
      </c>
      <c r="D14" s="35">
        <f>IF(D1_MARZO_202660[[#This Row],[RECUPERO]]="VACACIONES","VACACIONES",IFERROR(D1_MARZO_202660[[#This Row],[RECUPERO]]/D1_MARZO_202660[[#This Row],[META]],""))</f>
        <v>0.45311340206185569</v>
      </c>
      <c r="E14" s="35" t="str">
        <f>D1_MARZO_202660[[#This Row],[SUPER]]</f>
        <v>JORGE</v>
      </c>
      <c r="F14" t="s">
        <v>25</v>
      </c>
      <c r="G14" s="3">
        <v>21976</v>
      </c>
      <c r="H14" cm="1">
        <f t="array" ref="H1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72373931</v>
      </c>
      <c r="I14" s="56" cm="1">
        <f t="array" ref="I1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44818</v>
      </c>
      <c r="J14" s="56" t="str" cm="1">
        <f t="array" ref="J1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4" s="56" t="str" cm="1">
        <f t="array" ref="K1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4" s="56"/>
      <c r="M14" s="5">
        <f>DATA_MARZO_202659[[#This Row],[RECUPERO]]/DATA_MARZO_202659[[#This Row],[META]]</f>
        <v>0.56547030927835051</v>
      </c>
      <c r="N14" s="5" t="str" cm="1">
        <f t="array" ref="N14">IF(DATA_MARZO_202659[[#This Row],[ASER_]]="","",IFERROR(_xlfn.IFS(M14&gt;=100%,"&gt;100%",AND(M14&lt;100%,M14&gt;=70%),"&gt;70%",AND(M14&lt;70%,M14&gt;=40%),"&gt;40%",AND(M14&lt;40%,M14&gt;=0%),"&gt;0%"),""))</f>
        <v>&gt;40%</v>
      </c>
      <c r="O14" s="55" t="str">
        <f>IFERROR(VLOOKUP(DATA_MARZO_202659[[#This Row],[ASER_]],$B:$G,4,0),"")</f>
        <v>JORGE</v>
      </c>
      <c r="P14" s="6">
        <f>VLOOKUP(DATA_MARZO_202659[[#This Row],[ASER_]],D1_MARZO_202660[[ASESOR_CRR]:[RECUPERO]],6,0)</f>
        <v>27425.31</v>
      </c>
      <c r="Q14" s="6">
        <f>VLOOKUP(DATA_MARZO_202659[[#This Row],[ASER_]],D1_MARZO_202660[[ASESOR_CRR]:[META]],2,0)</f>
        <v>48500</v>
      </c>
      <c r="R14" t="s">
        <v>37</v>
      </c>
      <c r="S14" s="47">
        <v>780</v>
      </c>
      <c r="T14">
        <v>0</v>
      </c>
      <c r="U14">
        <v>0</v>
      </c>
      <c r="V14">
        <v>0</v>
      </c>
      <c r="W14">
        <v>0</v>
      </c>
      <c r="X14">
        <v>2500</v>
      </c>
      <c r="Y14">
        <v>0</v>
      </c>
      <c r="Z14">
        <v>0</v>
      </c>
      <c r="AA14">
        <v>0</v>
      </c>
      <c r="AB14">
        <v>0</v>
      </c>
      <c r="AC14">
        <v>1750</v>
      </c>
      <c r="AD14">
        <v>250</v>
      </c>
      <c r="AE14">
        <v>350</v>
      </c>
      <c r="AF14">
        <v>0</v>
      </c>
      <c r="AG14">
        <v>4007</v>
      </c>
      <c r="AH14">
        <v>300</v>
      </c>
      <c r="AI14">
        <v>0</v>
      </c>
      <c r="AJ14">
        <v>0</v>
      </c>
      <c r="AK14">
        <v>4988.3100000000004</v>
      </c>
      <c r="AL14">
        <v>12500</v>
      </c>
      <c r="AM14" s="55" t="str" cm="1">
        <f t="array" ref="AM14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15" spans="1:88" x14ac:dyDescent="0.25">
      <c r="A15" s="34" t="str" cm="1">
        <f t="array" ref="A1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5" s="34" t="str" cm="1">
        <f t="array" ref="B15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HAROLD FLORES</v>
      </c>
      <c r="C15" s="34" cm="1">
        <f t="array" ref="C15">_xlfn.XLOOKUP(1,(TablaMeta[CONCAT]=$M$3&amp;$N$3&amp;D1_MARZO_202660[[#This Row],[SUPER]])*(TablaMeta[SEGG]=D1_MARZO_202660[[#This Row],[SEGMENTO]]),TablaMeta[Meta_Asesor])</f>
        <v>48500</v>
      </c>
      <c r="D15" s="35">
        <f>IF(D1_MARZO_202660[[#This Row],[RECUPERO]]="VACACIONES","VACACIONES",IFERROR(D1_MARZO_202660[[#This Row],[RECUPERO]]/D1_MARZO_202660[[#This Row],[META]],""))</f>
        <v>0.23344329896907218</v>
      </c>
      <c r="E15" s="35" t="str">
        <f>D1_MARZO_202660[[#This Row],[SUPER]]</f>
        <v>JORGE</v>
      </c>
      <c r="F15" t="s">
        <v>42</v>
      </c>
      <c r="G15" s="3">
        <v>11322</v>
      </c>
      <c r="H15" cm="1">
        <f t="array" ref="H1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73725129</v>
      </c>
      <c r="I15" s="56" cm="1">
        <f t="array" ref="I1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45398</v>
      </c>
      <c r="J15" s="56" t="str" cm="1">
        <f t="array" ref="J1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5" s="56" t="str" cm="1">
        <f t="array" ref="K1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5" s="56"/>
      <c r="M15" s="5">
        <f>DATA_MARZO_202659[[#This Row],[RECUPERO]]/DATA_MARZO_202659[[#This Row],[META]]</f>
        <v>1.088639175257732</v>
      </c>
      <c r="N15" s="5" t="str" cm="1">
        <f t="array" ref="N15">IF(DATA_MARZO_202659[[#This Row],[ASER_]]="","",IFERROR(_xlfn.IFS(M15&gt;=100%,"&gt;100%",AND(M15&lt;100%,M15&gt;=70%),"&gt;70%",AND(M15&lt;70%,M15&gt;=40%),"&gt;40%",AND(M15&lt;40%,M15&gt;=0%),"&gt;0%"),""))</f>
        <v>&gt;100%</v>
      </c>
      <c r="O15" s="55" t="str">
        <f>IFERROR(VLOOKUP(DATA_MARZO_202659[[#This Row],[ASER_]],$B:$G,4,0),"")</f>
        <v>JORGE</v>
      </c>
      <c r="P15" s="6">
        <f>VLOOKUP(DATA_MARZO_202659[[#This Row],[ASER_]],D1_MARZO_202660[[ASESOR_CRR]:[RECUPERO]],6,0)</f>
        <v>52799</v>
      </c>
      <c r="Q15" s="6">
        <f>VLOOKUP(DATA_MARZO_202659[[#This Row],[ASER_]],D1_MARZO_202660[[ASESOR_CRR]:[META]],2,0)</f>
        <v>48500</v>
      </c>
      <c r="R15" t="s">
        <v>24</v>
      </c>
      <c r="S15" s="47">
        <v>0</v>
      </c>
      <c r="T15">
        <v>4500</v>
      </c>
      <c r="U15">
        <v>13300</v>
      </c>
      <c r="V15">
        <v>0</v>
      </c>
      <c r="W15">
        <v>0</v>
      </c>
      <c r="X15">
        <v>2400</v>
      </c>
      <c r="Y15">
        <v>1900</v>
      </c>
      <c r="Z15">
        <v>1000</v>
      </c>
      <c r="AA15">
        <v>6500</v>
      </c>
      <c r="AB15">
        <v>600</v>
      </c>
      <c r="AC15">
        <v>1300</v>
      </c>
      <c r="AD15">
        <v>4050</v>
      </c>
      <c r="AE15">
        <v>7380</v>
      </c>
      <c r="AF15">
        <v>150</v>
      </c>
      <c r="AG15">
        <v>0</v>
      </c>
      <c r="AH15">
        <v>413</v>
      </c>
      <c r="AI15">
        <v>0</v>
      </c>
      <c r="AJ15">
        <v>0</v>
      </c>
      <c r="AK15">
        <v>600</v>
      </c>
      <c r="AL15">
        <v>8706</v>
      </c>
      <c r="AM15" s="55" t="str" cm="1">
        <f t="array" ref="AM15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X15" s="45"/>
      <c r="AZ15" s="45"/>
      <c r="BA15" s="45"/>
      <c r="BC15" s="45"/>
    </row>
    <row r="16" spans="1:88" x14ac:dyDescent="0.25">
      <c r="A16" s="34" t="str" cm="1">
        <f t="array" ref="A1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6" s="34" t="str" cm="1">
        <f t="array" ref="B16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EVELY TENORIO</v>
      </c>
      <c r="C16" s="34" cm="1">
        <f t="array" ref="C16">_xlfn.XLOOKUP(1,(TablaMeta[CONCAT]=$M$3&amp;$N$3&amp;D1_MARZO_202660[[#This Row],[SUPER]])*(TablaMeta[SEGG]=D1_MARZO_202660[[#This Row],[SEGMENTO]]),TablaMeta[Meta_Asesor])</f>
        <v>48500</v>
      </c>
      <c r="D16" s="35">
        <f>IF(D1_MARZO_202660[[#This Row],[RECUPERO]]="VACACIONES","VACACIONES",IFERROR(D1_MARZO_202660[[#This Row],[RECUPERO]]/D1_MARZO_202660[[#This Row],[META]],""))</f>
        <v>0.17992371134020618</v>
      </c>
      <c r="E16" s="35" t="str">
        <f>D1_MARZO_202660[[#This Row],[SUPER]]</f>
        <v>JORGE</v>
      </c>
      <c r="F16" t="s">
        <v>22</v>
      </c>
      <c r="G16" s="3">
        <v>8726.2999999999993</v>
      </c>
      <c r="H16" cm="1">
        <f t="array" ref="H1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70551168</v>
      </c>
      <c r="I16" s="56" cm="1">
        <f t="array" ref="I1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45295</v>
      </c>
      <c r="J16" s="56" t="str" cm="1">
        <f t="array" ref="J1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6" s="56" t="str" cm="1">
        <f t="array" ref="K1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6" s="56"/>
      <c r="M16" s="5">
        <f>DATA_MARZO_202659[[#This Row],[RECUPERO]]/DATA_MARZO_202659[[#This Row],[META]]</f>
        <v>0.92719587628865985</v>
      </c>
      <c r="N16" s="5" t="str" cm="1">
        <f t="array" ref="N16">IF(DATA_MARZO_202659[[#This Row],[ASER_]]="","",IFERROR(_xlfn.IFS(M16&gt;=100%,"&gt;100%",AND(M16&lt;100%,M16&gt;=70%),"&gt;70%",AND(M16&lt;70%,M16&gt;=40%),"&gt;40%",AND(M16&lt;40%,M16&gt;=0%),"&gt;0%"),""))</f>
        <v>&gt;70%</v>
      </c>
      <c r="O16" s="55" t="str">
        <f>IFERROR(VLOOKUP(DATA_MARZO_202659[[#This Row],[ASER_]],$B:$G,4,0),"")</f>
        <v>JORGE</v>
      </c>
      <c r="P16" s="6">
        <f>VLOOKUP(DATA_MARZO_202659[[#This Row],[ASER_]],D1_MARZO_202660[[ASESOR_CRR]:[RECUPERO]],6,0)</f>
        <v>44969</v>
      </c>
      <c r="Q16" s="6">
        <f>VLOOKUP(DATA_MARZO_202659[[#This Row],[ASER_]],D1_MARZO_202660[[ASESOR_CRR]:[META]],2,0)</f>
        <v>48500</v>
      </c>
      <c r="R16" t="s">
        <v>13</v>
      </c>
      <c r="S16">
        <v>520</v>
      </c>
      <c r="T16">
        <v>500</v>
      </c>
      <c r="U16">
        <v>0</v>
      </c>
      <c r="V16">
        <v>0</v>
      </c>
      <c r="W16">
        <v>0</v>
      </c>
      <c r="X16">
        <v>0</v>
      </c>
      <c r="Y16">
        <v>0</v>
      </c>
      <c r="Z16">
        <v>1500</v>
      </c>
      <c r="AA16">
        <v>1200</v>
      </c>
      <c r="AB16">
        <v>1650</v>
      </c>
      <c r="AC16">
        <v>12500</v>
      </c>
      <c r="AD16">
        <v>1001</v>
      </c>
      <c r="AE16">
        <v>500</v>
      </c>
      <c r="AF16">
        <v>18000</v>
      </c>
      <c r="AG16">
        <v>2500</v>
      </c>
      <c r="AH16">
        <v>0</v>
      </c>
      <c r="AI16">
        <v>2300</v>
      </c>
      <c r="AJ16">
        <v>0</v>
      </c>
      <c r="AK16">
        <v>2550</v>
      </c>
      <c r="AL16">
        <v>248</v>
      </c>
      <c r="AM16" s="55" t="str" cm="1">
        <f t="array" ref="AM16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X16" s="45"/>
      <c r="AY16" s="45"/>
      <c r="AZ16" s="45"/>
      <c r="BA16" s="45"/>
      <c r="BC16" s="45"/>
      <c r="BD16" s="45"/>
      <c r="BE16" s="45"/>
      <c r="BM16" s="45"/>
    </row>
    <row r="17" spans="1:70" x14ac:dyDescent="0.25">
      <c r="A17" s="34" t="str" cm="1">
        <f t="array" ref="A1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17" s="34" t="str" cm="1">
        <f t="array" ref="B17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KIARA CANEPA</v>
      </c>
      <c r="C17" s="34" cm="1">
        <f t="array" ref="C17">_xlfn.XLOOKUP(1,(TablaMeta[CONCAT]=$M$3&amp;$N$3&amp;D1_MARZO_202660[[#This Row],[SUPER]])*(TablaMeta[SEGG]=D1_MARZO_202660[[#This Row],[SEGMENTO]]),TablaMeta[Meta_Asesor])</f>
        <v>48500</v>
      </c>
      <c r="D17" s="35">
        <f>IF(D1_MARZO_202660[[#This Row],[RECUPERO]]="VACACIONES","VACACIONES",IFERROR(D1_MARZO_202660[[#This Row],[RECUPERO]]/D1_MARZO_202660[[#This Row],[META]],""))</f>
        <v>7.3298969072164946E-2</v>
      </c>
      <c r="E17" s="35" t="str">
        <f>D1_MARZO_202660[[#This Row],[SUPER]]</f>
        <v>JORGE</v>
      </c>
      <c r="F17" t="s">
        <v>50</v>
      </c>
      <c r="G17" s="3">
        <v>3555</v>
      </c>
      <c r="H17" cm="1">
        <f t="array" ref="H1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72733809</v>
      </c>
      <c r="I17" s="56" cm="1">
        <f t="array" ref="I1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45789</v>
      </c>
      <c r="J17" s="56" t="str" cm="1">
        <f t="array" ref="J1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7" s="56" t="str" cm="1">
        <f t="array" ref="K1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17" s="56"/>
      <c r="M17" s="5">
        <f>DATA_MARZO_202659[[#This Row],[RECUPERO]]/DATA_MARZO_202659[[#This Row],[META]]</f>
        <v>0.45311340206185569</v>
      </c>
      <c r="N17" s="5" t="str" cm="1">
        <f t="array" ref="N17">IF(DATA_MARZO_202659[[#This Row],[ASER_]]="","",IFERROR(_xlfn.IFS(M17&gt;=100%,"&gt;100%",AND(M17&lt;100%,M17&gt;=70%),"&gt;70%",AND(M17&lt;70%,M17&gt;=40%),"&gt;40%",AND(M17&lt;40%,M17&gt;=0%),"&gt;0%"),""))</f>
        <v>&gt;40%</v>
      </c>
      <c r="O17" s="55" t="str">
        <f>IFERROR(VLOOKUP(DATA_MARZO_202659[[#This Row],[ASER_]],$B:$G,4,0),"")</f>
        <v>JORGE</v>
      </c>
      <c r="P17" s="6">
        <f>VLOOKUP(DATA_MARZO_202659[[#This Row],[ASER_]],D1_MARZO_202660[[ASESOR_CRR]:[RECUPERO]],6,0)</f>
        <v>21976</v>
      </c>
      <c r="Q17" s="6">
        <f>VLOOKUP(DATA_MARZO_202659[[#This Row],[ASER_]],D1_MARZO_202660[[ASESOR_CRR]:[META]],2,0)</f>
        <v>48500</v>
      </c>
      <c r="R17" t="s">
        <v>25</v>
      </c>
      <c r="S17" s="45">
        <v>541</v>
      </c>
      <c r="T17">
        <v>197.5</v>
      </c>
      <c r="U17">
        <v>5000</v>
      </c>
      <c r="V17">
        <v>0</v>
      </c>
      <c r="W17">
        <v>0</v>
      </c>
      <c r="X17">
        <v>0</v>
      </c>
      <c r="Y17">
        <v>0</v>
      </c>
      <c r="Z17">
        <v>2500</v>
      </c>
      <c r="AA17">
        <v>390</v>
      </c>
      <c r="AB17">
        <v>0</v>
      </c>
      <c r="AC17">
        <v>4000</v>
      </c>
      <c r="AD17">
        <v>250</v>
      </c>
      <c r="AE17">
        <v>0</v>
      </c>
      <c r="AF17">
        <v>600</v>
      </c>
      <c r="AG17">
        <v>350</v>
      </c>
      <c r="AH17">
        <v>3800</v>
      </c>
      <c r="AI17">
        <v>0</v>
      </c>
      <c r="AJ17">
        <v>0</v>
      </c>
      <c r="AK17">
        <v>0</v>
      </c>
      <c r="AL17">
        <v>4347.5</v>
      </c>
      <c r="AM17" s="55" t="str" cm="1">
        <f t="array" ref="AM17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W17" s="45"/>
      <c r="AY17" s="45"/>
      <c r="AZ17" s="47"/>
      <c r="BA17" s="47"/>
      <c r="BC17" s="47"/>
      <c r="BD17" s="45"/>
      <c r="BE17" s="45"/>
      <c r="BG17" s="45"/>
      <c r="BL17" s="45"/>
      <c r="BM17" s="45"/>
    </row>
    <row r="18" spans="1:70" x14ac:dyDescent="0.25">
      <c r="A18" s="34" t="str" cm="1">
        <f t="array" ref="A1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8" s="34" t="str" cm="1">
        <f t="array" ref="B18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NATALIA MARIN</v>
      </c>
      <c r="C18" s="34" cm="1">
        <f t="array" ref="C18">_xlfn.XLOOKUP(1,(TablaMeta[CONCAT]=$M$3&amp;$N$3&amp;D1_MARZO_202660[[#This Row],[SUPER]])*(TablaMeta[SEGG]=D1_MARZO_202660[[#This Row],[SEGMENTO]]),TablaMeta[Meta_Asesor])</f>
        <v>28000</v>
      </c>
      <c r="D18" s="35">
        <f>IF(D1_MARZO_202660[[#This Row],[RECUPERO]]="VACACIONES","VACACIONES",IFERROR(D1_MARZO_202660[[#This Row],[RECUPERO]]/D1_MARZO_202660[[#This Row],[META]],""))</f>
        <v>2.1300357142857145</v>
      </c>
      <c r="E18" s="35" t="str">
        <f>D1_MARZO_202660[[#This Row],[SUPER]]</f>
        <v>SANDY</v>
      </c>
      <c r="F18" t="s">
        <v>79</v>
      </c>
      <c r="G18" s="3">
        <v>59641</v>
      </c>
      <c r="H18" cm="1">
        <f t="array" ref="H1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71262377</v>
      </c>
      <c r="I18" s="56" cm="1">
        <f t="array" ref="I1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45145</v>
      </c>
      <c r="J18" s="56" t="str" cm="1">
        <f t="array" ref="J1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8" s="56" t="str" cm="1">
        <f t="array" ref="K1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8" s="56"/>
      <c r="M18" s="5">
        <f>DATA_MARZO_202659[[#This Row],[RECUPERO]]/DATA_MARZO_202659[[#This Row],[META]]</f>
        <v>0.17992371134020618</v>
      </c>
      <c r="N18" s="5" t="str" cm="1">
        <f t="array" ref="N18">IF(DATA_MARZO_202659[[#This Row],[ASER_]]="","",IFERROR(_xlfn.IFS(M18&gt;=100%,"&gt;100%",AND(M18&lt;100%,M18&gt;=70%),"&gt;70%",AND(M18&lt;70%,M18&gt;=40%),"&gt;40%",AND(M18&lt;40%,M18&gt;=0%),"&gt;0%"),""))</f>
        <v>&gt;0%</v>
      </c>
      <c r="O18" s="55" t="str">
        <f>IFERROR(VLOOKUP(DATA_MARZO_202659[[#This Row],[ASER_]],$B:$G,4,0),"")</f>
        <v>JORGE</v>
      </c>
      <c r="P18" s="6">
        <f>VLOOKUP(DATA_MARZO_202659[[#This Row],[ASER_]],D1_MARZO_202660[[ASESOR_CRR]:[RECUPERO]],6,0)</f>
        <v>8726.2999999999993</v>
      </c>
      <c r="Q18" s="6">
        <f>VLOOKUP(DATA_MARZO_202659[[#This Row],[ASER_]],D1_MARZO_202660[[ASESOR_CRR]:[META]],2,0)</f>
        <v>48500</v>
      </c>
      <c r="R18" t="s">
        <v>22</v>
      </c>
      <c r="S18">
        <v>0</v>
      </c>
      <c r="T18">
        <v>0</v>
      </c>
      <c r="U18">
        <v>0</v>
      </c>
      <c r="V18">
        <v>1400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3466.3</v>
      </c>
      <c r="AE18">
        <v>0</v>
      </c>
      <c r="AF18">
        <v>0</v>
      </c>
      <c r="AG18">
        <v>0</v>
      </c>
      <c r="AH18">
        <v>1000</v>
      </c>
      <c r="AI18">
        <v>0</v>
      </c>
      <c r="AJ18">
        <v>0</v>
      </c>
      <c r="AK18">
        <v>0</v>
      </c>
      <c r="AL18">
        <v>2860</v>
      </c>
      <c r="AM18" s="55" t="str" cm="1">
        <f t="array" ref="AM18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S18" s="45"/>
      <c r="AY18" s="47"/>
      <c r="AZ18" s="45"/>
      <c r="BA18" s="45"/>
      <c r="BC18" s="45"/>
      <c r="BD18" s="47"/>
      <c r="BE18" s="47"/>
      <c r="BG18" s="45"/>
      <c r="BH18" s="45"/>
      <c r="BL18" s="45"/>
      <c r="BM18" s="47"/>
    </row>
    <row r="19" spans="1:70" x14ac:dyDescent="0.25">
      <c r="A19" s="34" t="str" cm="1">
        <f t="array" ref="A1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9" s="34" t="str" cm="1">
        <f t="array" ref="B19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ANTHONY VICENTE</v>
      </c>
      <c r="C19" s="34" cm="1">
        <f t="array" ref="C19">_xlfn.XLOOKUP(1,(TablaMeta[CONCAT]=$M$3&amp;$N$3&amp;D1_MARZO_202660[[#This Row],[SUPER]])*(TablaMeta[SEGG]=D1_MARZO_202660[[#This Row],[SEGMENTO]]),TablaMeta[Meta_Asesor])</f>
        <v>28000</v>
      </c>
      <c r="D19" s="35">
        <f>IF(D1_MARZO_202660[[#This Row],[RECUPERO]]="VACACIONES","VACACIONES",IFERROR(D1_MARZO_202660[[#This Row],[RECUPERO]]/D1_MARZO_202660[[#This Row],[META]],""))</f>
        <v>2.0886785714285714</v>
      </c>
      <c r="E19" s="35" t="str">
        <f>D1_MARZO_202660[[#This Row],[SUPER]]</f>
        <v>SANDY</v>
      </c>
      <c r="F19" t="s">
        <v>85</v>
      </c>
      <c r="G19" s="3">
        <v>58483</v>
      </c>
      <c r="H19" cm="1">
        <f t="array" ref="H1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70477743</v>
      </c>
      <c r="I19" s="56" cm="1">
        <f t="array" ref="I1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46055</v>
      </c>
      <c r="J19" s="56" t="str" cm="1">
        <f t="array" ref="J1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9" s="56" t="str" cm="1">
        <f t="array" ref="K1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9" s="56"/>
      <c r="M19" s="5">
        <f>DATA_MARZO_202659[[#This Row],[RECUPERO]]/DATA_MARZO_202659[[#This Row],[META]]</f>
        <v>7.3298969072164946E-2</v>
      </c>
      <c r="N19" s="5" t="str" cm="1">
        <f t="array" ref="N19">IF(DATA_MARZO_202659[[#This Row],[ASER_]]="","",IFERROR(_xlfn.IFS(M19&gt;=100%,"&gt;100%",AND(M19&lt;100%,M19&gt;=70%),"&gt;70%",AND(M19&lt;70%,M19&gt;=40%),"&gt;40%",AND(M19&lt;40%,M19&gt;=0%),"&gt;0%"),""))</f>
        <v>&gt;0%</v>
      </c>
      <c r="O19" s="55" t="str">
        <f>IFERROR(VLOOKUP(DATA_MARZO_202659[[#This Row],[ASER_]],$B:$G,4,0),"")</f>
        <v>JORGE</v>
      </c>
      <c r="P19" s="6">
        <f>VLOOKUP(DATA_MARZO_202659[[#This Row],[ASER_]],D1_MARZO_202660[[ASESOR_CRR]:[RECUPERO]],6,0)</f>
        <v>3555</v>
      </c>
      <c r="Q19" s="6">
        <f>VLOOKUP(DATA_MARZO_202659[[#This Row],[ASER_]],D1_MARZO_202660[[ASESOR_CRR]:[META]],2,0)</f>
        <v>48500</v>
      </c>
      <c r="R19" t="s">
        <v>50</v>
      </c>
      <c r="S19">
        <v>130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305</v>
      </c>
      <c r="AB19">
        <v>900</v>
      </c>
      <c r="AC19">
        <v>0</v>
      </c>
      <c r="AD19">
        <v>0</v>
      </c>
      <c r="AE19">
        <v>220</v>
      </c>
      <c r="AF19">
        <v>0</v>
      </c>
      <c r="AG19">
        <v>2000</v>
      </c>
      <c r="AH19">
        <v>0</v>
      </c>
      <c r="AI19">
        <v>0</v>
      </c>
      <c r="AJ19">
        <v>0</v>
      </c>
      <c r="AK19">
        <v>0</v>
      </c>
      <c r="AL19">
        <v>0</v>
      </c>
      <c r="AM19" s="55" t="str" cm="1">
        <f t="array" ref="AM19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0" spans="1:70" x14ac:dyDescent="0.25">
      <c r="A20" s="34" t="str" cm="1">
        <f t="array" ref="A2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0" s="34" t="str" cm="1">
        <f t="array" ref="B20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LUCERO JORDAN</v>
      </c>
      <c r="C20" s="34" cm="1">
        <f t="array" ref="C20">_xlfn.XLOOKUP(1,(TablaMeta[CONCAT]=$M$3&amp;$N$3&amp;D1_MARZO_202660[[#This Row],[SUPER]])*(TablaMeta[SEGG]=D1_MARZO_202660[[#This Row],[SEGMENTO]]),TablaMeta[Meta_Asesor])</f>
        <v>28000</v>
      </c>
      <c r="D20" s="35">
        <f>IF(D1_MARZO_202660[[#This Row],[RECUPERO]]="VACACIONES","VACACIONES",IFERROR(D1_MARZO_202660[[#This Row],[RECUPERO]]/D1_MARZO_202660[[#This Row],[META]],""))</f>
        <v>1.8801785714285715</v>
      </c>
      <c r="E20" s="35" t="str">
        <f>D1_MARZO_202660[[#This Row],[SUPER]]</f>
        <v>SANDY</v>
      </c>
      <c r="F20" t="s">
        <v>68</v>
      </c>
      <c r="G20" s="3">
        <v>52645</v>
      </c>
      <c r="H20" cm="1">
        <f t="array" ref="H2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73257316</v>
      </c>
      <c r="I20" s="56" cm="1">
        <f t="array" ref="I2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45363</v>
      </c>
      <c r="J20" s="56" t="str" cm="1">
        <f t="array" ref="J2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0" s="56" t="str" cm="1">
        <f t="array" ref="K2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0" s="56"/>
      <c r="M20" s="5">
        <f>DATA_MARZO_202659[[#This Row],[RECUPERO]]/DATA_MARZO_202659[[#This Row],[META]]</f>
        <v>2.1300357142857145</v>
      </c>
      <c r="N20" s="5" t="str" cm="1">
        <f t="array" ref="N20">IF(DATA_MARZO_202659[[#This Row],[ASER_]]="","",IFERROR(_xlfn.IFS(M20&gt;=100%,"&gt;100%",AND(M20&lt;100%,M20&gt;=70%),"&gt;70%",AND(M20&lt;70%,M20&gt;=40%),"&gt;40%",AND(M20&lt;40%,M20&gt;=0%),"&gt;0%"),""))</f>
        <v>&gt;100%</v>
      </c>
      <c r="O20" s="55" t="str">
        <f>IFERROR(VLOOKUP(DATA_MARZO_202659[[#This Row],[ASER_]],$B:$G,4,0),"")</f>
        <v>SANDY</v>
      </c>
      <c r="P20" s="6">
        <f>VLOOKUP(DATA_MARZO_202659[[#This Row],[ASER_]],D1_MARZO_202660[[ASESOR_CRR]:[RECUPERO]],6,0)</f>
        <v>59641</v>
      </c>
      <c r="Q20" s="6">
        <f>VLOOKUP(DATA_MARZO_202659[[#This Row],[ASER_]],D1_MARZO_202660[[ASESOR_CRR]:[META]],2,0)</f>
        <v>28000</v>
      </c>
      <c r="R20" t="s">
        <v>79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350</v>
      </c>
      <c r="AA20">
        <v>291</v>
      </c>
      <c r="AB20">
        <v>0</v>
      </c>
      <c r="AC20">
        <v>1000</v>
      </c>
      <c r="AD20">
        <v>1000</v>
      </c>
      <c r="AE20">
        <v>5000</v>
      </c>
      <c r="AF20">
        <v>0</v>
      </c>
      <c r="AG20">
        <v>0</v>
      </c>
      <c r="AH20">
        <v>0</v>
      </c>
      <c r="AI20">
        <v>13000</v>
      </c>
      <c r="AJ20">
        <v>5000</v>
      </c>
      <c r="AK20">
        <v>5750</v>
      </c>
      <c r="AL20">
        <v>28250</v>
      </c>
      <c r="AM20" s="55" t="str" cm="1">
        <f t="array" ref="AM20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BR20" s="45"/>
    </row>
    <row r="21" spans="1:70" x14ac:dyDescent="0.25">
      <c r="A21" s="34" t="str" cm="1">
        <f t="array" ref="A2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1" s="34" t="str" cm="1">
        <f t="array" ref="B21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GENESIS PALACIOS</v>
      </c>
      <c r="C21" s="34" cm="1">
        <f t="array" ref="C21">_xlfn.XLOOKUP(1,(TablaMeta[CONCAT]=$M$3&amp;$N$3&amp;D1_MARZO_202660[[#This Row],[SUPER]])*(TablaMeta[SEGG]=D1_MARZO_202660[[#This Row],[SEGMENTO]]),TablaMeta[Meta_Asesor])</f>
        <v>28000</v>
      </c>
      <c r="D21" s="35">
        <f>IF(D1_MARZO_202660[[#This Row],[RECUPERO]]="VACACIONES","VACACIONES",IFERROR(D1_MARZO_202660[[#This Row],[RECUPERO]]/D1_MARZO_202660[[#This Row],[META]],""))</f>
        <v>1.4542471428571428</v>
      </c>
      <c r="E21" s="35" t="str">
        <f>D1_MARZO_202660[[#This Row],[SUPER]]</f>
        <v>SANDY</v>
      </c>
      <c r="F21" t="s">
        <v>493</v>
      </c>
      <c r="G21" s="3">
        <v>40718.92</v>
      </c>
      <c r="H21" cm="1">
        <f t="array" ref="H2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75026229</v>
      </c>
      <c r="I21" s="56" cm="1">
        <f t="array" ref="I2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46052</v>
      </c>
      <c r="J21" s="56" t="str" cm="1">
        <f t="array" ref="J2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1" s="56" t="str" cm="1">
        <f t="array" ref="K2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1" s="56"/>
      <c r="M21" s="5">
        <f>DATA_MARZO_202659[[#This Row],[RECUPERO]]/DATA_MARZO_202659[[#This Row],[META]]</f>
        <v>1.0010357142857143</v>
      </c>
      <c r="N21" s="5" t="str" cm="1">
        <f t="array" ref="N21">IF(DATA_MARZO_202659[[#This Row],[ASER_]]="","",IFERROR(_xlfn.IFS(M21&gt;=100%,"&gt;100%",AND(M21&lt;100%,M21&gt;=70%),"&gt;70%",AND(M21&lt;70%,M21&gt;=40%),"&gt;40%",AND(M21&lt;40%,M21&gt;=0%),"&gt;0%"),""))</f>
        <v>&gt;100%</v>
      </c>
      <c r="O21" s="55" t="str">
        <f>IFERROR(VLOOKUP(DATA_MARZO_202659[[#This Row],[ASER_]],$B:$G,4,0),"")</f>
        <v>SANDY</v>
      </c>
      <c r="P21" s="6">
        <f>VLOOKUP(DATA_MARZO_202659[[#This Row],[ASER_]],D1_MARZO_202660[[ASESOR_CRR]:[RECUPERO]],6,0)</f>
        <v>28029</v>
      </c>
      <c r="Q21" s="6">
        <f>VLOOKUP(DATA_MARZO_202659[[#This Row],[ASER_]],D1_MARZO_202660[[ASESOR_CRR]:[META]],2,0)</f>
        <v>28000</v>
      </c>
      <c r="R21" t="s">
        <v>29</v>
      </c>
      <c r="S21">
        <v>563.4</v>
      </c>
      <c r="T21">
        <v>2000</v>
      </c>
      <c r="U21">
        <v>1450</v>
      </c>
      <c r="V21">
        <v>525</v>
      </c>
      <c r="W21">
        <v>155</v>
      </c>
      <c r="X21">
        <v>960</v>
      </c>
      <c r="Y21">
        <v>869</v>
      </c>
      <c r="Z21">
        <v>0</v>
      </c>
      <c r="AA21">
        <v>1060</v>
      </c>
      <c r="AB21">
        <v>1261</v>
      </c>
      <c r="AC21">
        <v>5000</v>
      </c>
      <c r="AD21">
        <v>2488</v>
      </c>
      <c r="AE21">
        <v>0</v>
      </c>
      <c r="AF21">
        <v>230</v>
      </c>
      <c r="AG21">
        <v>1299</v>
      </c>
      <c r="AH21">
        <v>1880</v>
      </c>
      <c r="AI21">
        <v>767</v>
      </c>
      <c r="AJ21">
        <v>0</v>
      </c>
      <c r="AK21">
        <v>400</v>
      </c>
      <c r="AL21">
        <v>8081.6</v>
      </c>
      <c r="AM21" s="55" t="str" cm="1">
        <f t="array" ref="AM21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BR21" s="45"/>
    </row>
    <row r="22" spans="1:70" x14ac:dyDescent="0.25">
      <c r="A22" s="34" t="str" cm="1">
        <f t="array" ref="A2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2" s="34" t="str" cm="1">
        <f t="array" ref="B22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GIANNINA AGUILAR</v>
      </c>
      <c r="C22" s="34" cm="1">
        <f t="array" ref="C22">_xlfn.XLOOKUP(1,(TablaMeta[CONCAT]=$M$3&amp;$N$3&amp;D1_MARZO_202660[[#This Row],[SUPER]])*(TablaMeta[SEGG]=D1_MARZO_202660[[#This Row],[SEGMENTO]]),TablaMeta[Meta_Asesor])</f>
        <v>28000</v>
      </c>
      <c r="D22" s="35">
        <f>IF(D1_MARZO_202660[[#This Row],[RECUPERO]]="VACACIONES","VACACIONES",IFERROR(D1_MARZO_202660[[#This Row],[RECUPERO]]/D1_MARZO_202660[[#This Row],[META]],""))</f>
        <v>1.2056071428571429</v>
      </c>
      <c r="E22" s="35" t="str">
        <f>D1_MARZO_202660[[#This Row],[SUPER]]</f>
        <v>SANDY</v>
      </c>
      <c r="F22" t="s">
        <v>32</v>
      </c>
      <c r="G22" s="3">
        <v>33757</v>
      </c>
      <c r="H22" cm="1">
        <f t="array" ref="H2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48584670</v>
      </c>
      <c r="I22" s="56" cm="1">
        <f t="array" ref="I2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45526</v>
      </c>
      <c r="J22" s="56" t="str" cm="1">
        <f t="array" ref="J2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2" s="56" t="str" cm="1">
        <f t="array" ref="K2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2" s="56"/>
      <c r="M22" s="5">
        <f>DATA_MARZO_202659[[#This Row],[RECUPERO]]/DATA_MARZO_202659[[#This Row],[META]]</f>
        <v>0.94574999999999998</v>
      </c>
      <c r="N22" s="5" t="str" cm="1">
        <f t="array" ref="N22">IF(DATA_MARZO_202659[[#This Row],[ASER_]]="","",IFERROR(_xlfn.IFS(M22&gt;=100%,"&gt;100%",AND(M22&lt;100%,M22&gt;=70%),"&gt;70%",AND(M22&lt;70%,M22&gt;=40%),"&gt;40%",AND(M22&lt;40%,M22&gt;=0%),"&gt;0%"),""))</f>
        <v>&gt;70%</v>
      </c>
      <c r="O22" s="55" t="str">
        <f>IFERROR(VLOOKUP(DATA_MARZO_202659[[#This Row],[ASER_]],$B:$G,4,0),"")</f>
        <v>SANDY</v>
      </c>
      <c r="P22" s="6">
        <f>VLOOKUP(DATA_MARZO_202659[[#This Row],[ASER_]],D1_MARZO_202660[[ASESOR_CRR]:[RECUPERO]],6,0)</f>
        <v>26481</v>
      </c>
      <c r="Q22" s="6">
        <f>VLOOKUP(DATA_MARZO_202659[[#This Row],[ASER_]],D1_MARZO_202660[[ASESOR_CRR]:[META]],2,0)</f>
        <v>28000</v>
      </c>
      <c r="R22" t="s">
        <v>96</v>
      </c>
      <c r="S22">
        <v>0</v>
      </c>
      <c r="T22">
        <v>2600</v>
      </c>
      <c r="U22">
        <v>0</v>
      </c>
      <c r="V22">
        <v>2200</v>
      </c>
      <c r="W22">
        <v>600</v>
      </c>
      <c r="X22">
        <v>2400</v>
      </c>
      <c r="Y22">
        <v>600</v>
      </c>
      <c r="Z22">
        <v>400</v>
      </c>
      <c r="AA22">
        <v>2400</v>
      </c>
      <c r="AB22">
        <v>300</v>
      </c>
      <c r="AC22">
        <v>610</v>
      </c>
      <c r="AD22">
        <v>0</v>
      </c>
      <c r="AE22">
        <v>0</v>
      </c>
      <c r="AF22">
        <v>0</v>
      </c>
      <c r="AG22">
        <v>3250</v>
      </c>
      <c r="AH22">
        <v>0</v>
      </c>
      <c r="AI22">
        <v>2000</v>
      </c>
      <c r="AJ22">
        <v>1500</v>
      </c>
      <c r="AK22">
        <v>0</v>
      </c>
      <c r="AL22">
        <v>7825</v>
      </c>
      <c r="AM22" s="55" t="str" cm="1">
        <f t="array" ref="AM22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BR22" s="45"/>
    </row>
    <row r="23" spans="1:70" x14ac:dyDescent="0.25">
      <c r="A23" s="34" t="str" cm="1">
        <f t="array" ref="A2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3" s="34" t="str" cm="1">
        <f t="array" ref="B23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ALEJANDRA QUISPE</v>
      </c>
      <c r="C23" s="34" cm="1">
        <f t="array" ref="C23">_xlfn.XLOOKUP(1,(TablaMeta[CONCAT]=$M$3&amp;$N$3&amp;D1_MARZO_202660[[#This Row],[SUPER]])*(TablaMeta[SEGG]=D1_MARZO_202660[[#This Row],[SEGMENTO]]),TablaMeta[Meta_Asesor])</f>
        <v>28000</v>
      </c>
      <c r="D23" s="35">
        <f>IF(D1_MARZO_202660[[#This Row],[RECUPERO]]="VACACIONES","VACACIONES",IFERROR(D1_MARZO_202660[[#This Row],[RECUPERO]]/D1_MARZO_202660[[#This Row],[META]],""))</f>
        <v>1.1185357142857142</v>
      </c>
      <c r="E23" s="35" t="str">
        <f>D1_MARZO_202660[[#This Row],[SUPER]]</f>
        <v>SANDY</v>
      </c>
      <c r="F23" t="s">
        <v>58</v>
      </c>
      <c r="G23" s="3">
        <v>31319</v>
      </c>
      <c r="H23" cm="1">
        <f t="array" ref="H2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72519113</v>
      </c>
      <c r="I23" s="56" cm="1">
        <f t="array" ref="I2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43119</v>
      </c>
      <c r="J23" s="56" t="str" cm="1">
        <f t="array" ref="J2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3" s="56" t="str" cm="1">
        <f t="array" ref="K2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3" s="56"/>
      <c r="M23" s="5">
        <f>DATA_MARZO_202659[[#This Row],[RECUPERO]]/DATA_MARZO_202659[[#This Row],[META]]</f>
        <v>0.84489285714285711</v>
      </c>
      <c r="N23" s="5" t="str" cm="1">
        <f t="array" ref="N23">IF(DATA_MARZO_202659[[#This Row],[ASER_]]="","",IFERROR(_xlfn.IFS(M23&gt;=100%,"&gt;100%",AND(M23&lt;100%,M23&gt;=70%),"&gt;70%",AND(M23&lt;70%,M23&gt;=40%),"&gt;40%",AND(M23&lt;40%,M23&gt;=0%),"&gt;0%"),""))</f>
        <v>&gt;70%</v>
      </c>
      <c r="O23" s="55" t="str">
        <f>IFERROR(VLOOKUP(DATA_MARZO_202659[[#This Row],[ASER_]],$B:$G,4,0),"")</f>
        <v>SANDY</v>
      </c>
      <c r="P23" s="6">
        <f>VLOOKUP(DATA_MARZO_202659[[#This Row],[ASER_]],D1_MARZO_202660[[ASESOR_CRR]:[RECUPERO]],6,0)</f>
        <v>23657</v>
      </c>
      <c r="Q23" s="6">
        <f>VLOOKUP(DATA_MARZO_202659[[#This Row],[ASER_]],D1_MARZO_202660[[ASESOR_CRR]:[META]],2,0)</f>
        <v>28000</v>
      </c>
      <c r="R23" t="s">
        <v>174</v>
      </c>
      <c r="S23">
        <v>250</v>
      </c>
      <c r="T23">
        <v>1200</v>
      </c>
      <c r="U23">
        <v>0</v>
      </c>
      <c r="V23">
        <v>0</v>
      </c>
      <c r="W23">
        <v>0</v>
      </c>
      <c r="X23">
        <v>0</v>
      </c>
      <c r="Y23">
        <v>0</v>
      </c>
      <c r="Z23">
        <v>575</v>
      </c>
      <c r="AA23">
        <v>1220</v>
      </c>
      <c r="AB23">
        <v>0</v>
      </c>
      <c r="AC23">
        <v>6433</v>
      </c>
      <c r="AD23">
        <v>2150</v>
      </c>
      <c r="AE23">
        <v>0</v>
      </c>
      <c r="AF23">
        <v>4210</v>
      </c>
      <c r="AG23">
        <v>0</v>
      </c>
      <c r="AH23">
        <v>0</v>
      </c>
      <c r="AI23">
        <v>500</v>
      </c>
      <c r="AJ23">
        <v>1000</v>
      </c>
      <c r="AK23">
        <v>220</v>
      </c>
      <c r="AL23">
        <v>4999</v>
      </c>
      <c r="AM23" s="55" t="str" cm="1">
        <f t="array" ref="AM23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BR23" s="45"/>
    </row>
    <row r="24" spans="1:70" x14ac:dyDescent="0.25">
      <c r="A24" s="34" t="str" cm="1">
        <f t="array" ref="A2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4" s="34" t="str" cm="1">
        <f t="array" ref="B24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LUIS VALLADARES</v>
      </c>
      <c r="C24" s="34" cm="1">
        <f t="array" ref="C24">_xlfn.XLOOKUP(1,(TablaMeta[CONCAT]=$M$3&amp;$N$3&amp;D1_MARZO_202660[[#This Row],[SUPER]])*(TablaMeta[SEGG]=D1_MARZO_202660[[#This Row],[SEGMENTO]]),TablaMeta[Meta_Asesor])</f>
        <v>28000</v>
      </c>
      <c r="D24" s="35">
        <f>IF(D1_MARZO_202660[[#This Row],[RECUPERO]]="VACACIONES","VACACIONES",IFERROR(D1_MARZO_202660[[#This Row],[RECUPERO]]/D1_MARZO_202660[[#This Row],[META]],""))</f>
        <v>1.0010357142857143</v>
      </c>
      <c r="E24" s="35" t="str">
        <f>D1_MARZO_202660[[#This Row],[SUPER]]</f>
        <v>SANDY</v>
      </c>
      <c r="F24" t="s">
        <v>29</v>
      </c>
      <c r="G24" s="3">
        <v>28029</v>
      </c>
      <c r="H24" cm="1">
        <f t="array" ref="H2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72758956</v>
      </c>
      <c r="I24" s="56" cm="1">
        <f t="array" ref="I2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44685</v>
      </c>
      <c r="J24" s="56" t="str" cm="1">
        <f t="array" ref="J2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4" s="56" t="str" cm="1">
        <f t="array" ref="K2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4" s="56"/>
      <c r="M24" s="5">
        <f>DATA_MARZO_202659[[#This Row],[RECUPERO]]/DATA_MARZO_202659[[#This Row],[META]]</f>
        <v>2.0886785714285714</v>
      </c>
      <c r="N24" s="5" t="str" cm="1">
        <f t="array" ref="N24">IF(DATA_MARZO_202659[[#This Row],[ASER_]]="","",IFERROR(_xlfn.IFS(M24&gt;=100%,"&gt;100%",AND(M24&lt;100%,M24&gt;=70%),"&gt;70%",AND(M24&lt;70%,M24&gt;=40%),"&gt;40%",AND(M24&lt;40%,M24&gt;=0%),"&gt;0%"),""))</f>
        <v>&gt;100%</v>
      </c>
      <c r="O24" s="55" t="str">
        <f>IFERROR(VLOOKUP(DATA_MARZO_202659[[#This Row],[ASER_]],$B:$G,4,0),"")</f>
        <v>SANDY</v>
      </c>
      <c r="P24" s="6">
        <f>VLOOKUP(DATA_MARZO_202659[[#This Row],[ASER_]],D1_MARZO_202660[[ASESOR_CRR]:[RECUPERO]],6,0)</f>
        <v>58483</v>
      </c>
      <c r="Q24" s="6">
        <f>VLOOKUP(DATA_MARZO_202659[[#This Row],[ASER_]],D1_MARZO_202660[[ASESOR_CRR]:[META]],2,0)</f>
        <v>28000</v>
      </c>
      <c r="R24" t="s">
        <v>85</v>
      </c>
      <c r="S24">
        <v>0</v>
      </c>
      <c r="T24">
        <v>0</v>
      </c>
      <c r="U24">
        <v>3800</v>
      </c>
      <c r="V24">
        <v>0</v>
      </c>
      <c r="W24">
        <v>0</v>
      </c>
      <c r="X24">
        <v>6078</v>
      </c>
      <c r="Y24">
        <v>0</v>
      </c>
      <c r="Z24">
        <v>280</v>
      </c>
      <c r="AA24">
        <v>5000</v>
      </c>
      <c r="AB24">
        <v>13050</v>
      </c>
      <c r="AC24">
        <v>0</v>
      </c>
      <c r="AD24">
        <v>12375</v>
      </c>
      <c r="AE24">
        <v>0</v>
      </c>
      <c r="AF24">
        <v>0</v>
      </c>
      <c r="AG24">
        <v>4300</v>
      </c>
      <c r="AH24">
        <v>2000</v>
      </c>
      <c r="AI24">
        <v>0</v>
      </c>
      <c r="AJ24">
        <v>600</v>
      </c>
      <c r="AK24">
        <v>10000</v>
      </c>
      <c r="AL24">
        <v>4000</v>
      </c>
      <c r="AM24" s="55" t="str" cm="1">
        <f t="array" ref="AM24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BR24" s="45"/>
    </row>
    <row r="25" spans="1:70" x14ac:dyDescent="0.25">
      <c r="A25" s="34" t="str" cm="1">
        <f t="array" ref="A2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5" s="34" t="str" cm="1">
        <f t="array" ref="B25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JESSICA MELGAREJO</v>
      </c>
      <c r="C25" s="34" cm="1">
        <f t="array" ref="C25">_xlfn.XLOOKUP(1,(TablaMeta[CONCAT]=$M$3&amp;$N$3&amp;D1_MARZO_202660[[#This Row],[SUPER]])*(TablaMeta[SEGG]=D1_MARZO_202660[[#This Row],[SEGMENTO]]),TablaMeta[Meta_Asesor])</f>
        <v>28000</v>
      </c>
      <c r="D25" s="35">
        <f>IF(D1_MARZO_202660[[#This Row],[RECUPERO]]="VACACIONES","VACACIONES",IFERROR(D1_MARZO_202660[[#This Row],[RECUPERO]]/D1_MARZO_202660[[#This Row],[META]],""))</f>
        <v>0.94574999999999998</v>
      </c>
      <c r="E25" s="35" t="str">
        <f>D1_MARZO_202660[[#This Row],[SUPER]]</f>
        <v>SANDY</v>
      </c>
      <c r="F25" t="s">
        <v>96</v>
      </c>
      <c r="G25" s="3">
        <v>26481</v>
      </c>
      <c r="H25" cm="1">
        <f t="array" ref="H2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46793103</v>
      </c>
      <c r="I25" s="56" cm="1">
        <f t="array" ref="I2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45882</v>
      </c>
      <c r="J25" s="56" t="str" cm="1">
        <f t="array" ref="J2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5" s="56" t="str" cm="1">
        <f t="array" ref="K2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5" s="56"/>
      <c r="M25" s="5">
        <f>DATA_MARZO_202659[[#This Row],[RECUPERO]]/DATA_MARZO_202659[[#This Row],[META]]</f>
        <v>1.1185357142857142</v>
      </c>
      <c r="N25" s="5" t="str" cm="1">
        <f t="array" ref="N25">IF(DATA_MARZO_202659[[#This Row],[ASER_]]="","",IFERROR(_xlfn.IFS(M25&gt;=100%,"&gt;100%",AND(M25&lt;100%,M25&gt;=70%),"&gt;70%",AND(M25&lt;70%,M25&gt;=40%),"&gt;40%",AND(M25&lt;40%,M25&gt;=0%),"&gt;0%"),""))</f>
        <v>&gt;100%</v>
      </c>
      <c r="O25" s="55" t="str">
        <f>IFERROR(VLOOKUP(DATA_MARZO_202659[[#This Row],[ASER_]],$B:$G,4,0),"")</f>
        <v>SANDY</v>
      </c>
      <c r="P25" s="6">
        <f>VLOOKUP(DATA_MARZO_202659[[#This Row],[ASER_]],D1_MARZO_202660[[ASESOR_CRR]:[RECUPERO]],6,0)</f>
        <v>31319</v>
      </c>
      <c r="Q25" s="6">
        <f>VLOOKUP(DATA_MARZO_202659[[#This Row],[ASER_]],D1_MARZO_202660[[ASESOR_CRR]:[META]],2,0)</f>
        <v>28000</v>
      </c>
      <c r="R25" t="s">
        <v>58</v>
      </c>
      <c r="S25" s="45">
        <v>250</v>
      </c>
      <c r="T25">
        <v>0</v>
      </c>
      <c r="U25">
        <v>0</v>
      </c>
      <c r="V25">
        <v>210</v>
      </c>
      <c r="W25">
        <v>473</v>
      </c>
      <c r="X25">
        <v>0</v>
      </c>
      <c r="Y25">
        <v>1600</v>
      </c>
      <c r="Z25">
        <v>285</v>
      </c>
      <c r="AA25">
        <v>200</v>
      </c>
      <c r="AB25">
        <v>3025</v>
      </c>
      <c r="AC25">
        <v>1500</v>
      </c>
      <c r="AD25">
        <v>4910</v>
      </c>
      <c r="AE25">
        <v>500</v>
      </c>
      <c r="AF25">
        <v>0</v>
      </c>
      <c r="AG25">
        <v>0</v>
      </c>
      <c r="AH25">
        <v>750</v>
      </c>
      <c r="AI25">
        <v>0</v>
      </c>
      <c r="AJ25">
        <v>7000</v>
      </c>
      <c r="AK25">
        <v>6500</v>
      </c>
      <c r="AL25">
        <v>3566</v>
      </c>
      <c r="AM25" s="55" t="str" cm="1">
        <f t="array" ref="AM25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25" s="45"/>
      <c r="AS25" s="45"/>
      <c r="AT25" s="45"/>
      <c r="AU25" s="45"/>
      <c r="AV25" s="45"/>
    </row>
    <row r="26" spans="1:70" x14ac:dyDescent="0.25">
      <c r="A26" s="34" t="str" cm="1">
        <f t="array" ref="A2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6" s="34" t="str" cm="1">
        <f t="array" ref="B26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CARLA VALENCIA</v>
      </c>
      <c r="C26" s="34" cm="1">
        <f t="array" ref="C26">_xlfn.XLOOKUP(1,(TablaMeta[CONCAT]=$M$3&amp;$N$3&amp;D1_MARZO_202660[[#This Row],[SUPER]])*(TablaMeta[SEGG]=D1_MARZO_202660[[#This Row],[SEGMENTO]]),TablaMeta[Meta_Asesor])</f>
        <v>28000</v>
      </c>
      <c r="D26" s="35">
        <f>IF(D1_MARZO_202660[[#This Row],[RECUPERO]]="VACACIONES","VACACIONES",IFERROR(D1_MARZO_202660[[#This Row],[RECUPERO]]/D1_MARZO_202660[[#This Row],[META]],""))</f>
        <v>0.84489285714285711</v>
      </c>
      <c r="E26" s="35" t="str">
        <f>D1_MARZO_202660[[#This Row],[SUPER]]</f>
        <v>SANDY</v>
      </c>
      <c r="F26" t="s">
        <v>174</v>
      </c>
      <c r="G26" s="3">
        <v>23657</v>
      </c>
      <c r="H26" cm="1">
        <f t="array" ref="H2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46994661</v>
      </c>
      <c r="I26" s="56" cm="1">
        <f t="array" ref="I2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45992</v>
      </c>
      <c r="J26" s="56" t="str" cm="1">
        <f t="array" ref="J2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6" s="56" t="str" cm="1">
        <f t="array" ref="K2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6" s="56"/>
      <c r="M26" s="5">
        <f>DATA_MARZO_202659[[#This Row],[RECUPERO]]/DATA_MARZO_202659[[#This Row],[META]]</f>
        <v>1.2056071428571429</v>
      </c>
      <c r="N26" s="5" t="str" cm="1">
        <f t="array" ref="N26">IF(DATA_MARZO_202659[[#This Row],[ASER_]]="","",IFERROR(_xlfn.IFS(M26&gt;=100%,"&gt;100%",AND(M26&lt;100%,M26&gt;=70%),"&gt;70%",AND(M26&lt;70%,M26&gt;=40%),"&gt;40%",AND(M26&lt;40%,M26&gt;=0%),"&gt;0%"),""))</f>
        <v>&gt;100%</v>
      </c>
      <c r="O26" s="55" t="str">
        <f>IFERROR(VLOOKUP(DATA_MARZO_202659[[#This Row],[ASER_]],$B:$G,4,0),"")</f>
        <v>SANDY</v>
      </c>
      <c r="P26" s="6">
        <f>VLOOKUP(DATA_MARZO_202659[[#This Row],[ASER_]],D1_MARZO_202660[[ASESOR_CRR]:[RECUPERO]],6,0)</f>
        <v>33757</v>
      </c>
      <c r="Q26" s="6">
        <f>VLOOKUP(DATA_MARZO_202659[[#This Row],[ASER_]],D1_MARZO_202660[[ASESOR_CRR]:[META]],2,0)</f>
        <v>28000</v>
      </c>
      <c r="R26" t="s">
        <v>32</v>
      </c>
      <c r="S26" s="45">
        <v>350</v>
      </c>
      <c r="T26">
        <v>0</v>
      </c>
      <c r="U26">
        <v>2500</v>
      </c>
      <c r="V26">
        <v>260</v>
      </c>
      <c r="W26">
        <v>2412</v>
      </c>
      <c r="X26">
        <v>8750</v>
      </c>
      <c r="Y26">
        <v>0</v>
      </c>
      <c r="Z26">
        <v>0</v>
      </c>
      <c r="AA26">
        <v>0</v>
      </c>
      <c r="AB26">
        <v>340</v>
      </c>
      <c r="AC26">
        <v>9200</v>
      </c>
      <c r="AD26">
        <v>0</v>
      </c>
      <c r="AE26">
        <v>780</v>
      </c>
      <c r="AF26">
        <v>100</v>
      </c>
      <c r="AG26">
        <v>0</v>
      </c>
      <c r="AH26">
        <v>680</v>
      </c>
      <c r="AI26">
        <v>0</v>
      </c>
      <c r="AJ26">
        <v>0</v>
      </c>
      <c r="AK26">
        <v>4830</v>
      </c>
      <c r="AL26">
        <v>3555</v>
      </c>
      <c r="AM26" s="55" t="str" cm="1">
        <f t="array" ref="AM26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26" s="45"/>
      <c r="AS26" s="45"/>
      <c r="AT26" s="45"/>
      <c r="AU26" s="45"/>
      <c r="AV26" s="45"/>
    </row>
    <row r="27" spans="1:70" x14ac:dyDescent="0.25">
      <c r="A27" s="34" t="str" cm="1">
        <f t="array" ref="A2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27" s="34" t="str" cm="1">
        <f t="array" ref="B27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JENY QUINONES</v>
      </c>
      <c r="C27" s="34" cm="1">
        <f t="array" ref="C27">_xlfn.XLOOKUP(1,(TablaMeta[CONCAT]=$M$3&amp;$N$3&amp;D1_MARZO_202660[[#This Row],[SUPER]])*(TablaMeta[SEGG]=D1_MARZO_202660[[#This Row],[SEGMENTO]]),TablaMeta[Meta_Asesor])</f>
        <v>28000</v>
      </c>
      <c r="D27" s="35">
        <f>IF(D1_MARZO_202660[[#This Row],[RECUPERO]]="VACACIONES","VACACIONES",IFERROR(D1_MARZO_202660[[#This Row],[RECUPERO]]/D1_MARZO_202660[[#This Row],[META]],""))</f>
        <v>0.81410714285714281</v>
      </c>
      <c r="E27" s="35" t="str">
        <f>D1_MARZO_202660[[#This Row],[SUPER]]</f>
        <v>SANDY</v>
      </c>
      <c r="F27" t="s">
        <v>564</v>
      </c>
      <c r="G27" s="3">
        <v>22795</v>
      </c>
      <c r="H27" cm="1">
        <f t="array" ref="H2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43184866</v>
      </c>
      <c r="I27" s="56" cm="1">
        <f t="array" ref="I2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46083</v>
      </c>
      <c r="J27" s="56" t="str" cm="1">
        <f t="array" ref="J2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7" s="56" t="str" cm="1">
        <f t="array" ref="K2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7" s="56"/>
      <c r="M27" s="5">
        <f>DATA_MARZO_202659[[#This Row],[RECUPERO]]/DATA_MARZO_202659[[#This Row],[META]]</f>
        <v>1.8801785714285715</v>
      </c>
      <c r="N27" s="5" t="str" cm="1">
        <f t="array" ref="N27">IF(DATA_MARZO_202659[[#This Row],[ASER_]]="","",IFERROR(_xlfn.IFS(M27&gt;=100%,"&gt;100%",AND(M27&lt;100%,M27&gt;=70%),"&gt;70%",AND(M27&lt;70%,M27&gt;=40%),"&gt;40%",AND(M27&lt;40%,M27&gt;=0%),"&gt;0%"),""))</f>
        <v>&gt;100%</v>
      </c>
      <c r="O27" s="55" t="str">
        <f>IFERROR(VLOOKUP(DATA_MARZO_202659[[#This Row],[ASER_]],$B:$G,4,0),"")</f>
        <v>SANDY</v>
      </c>
      <c r="P27" s="6">
        <f>VLOOKUP(DATA_MARZO_202659[[#This Row],[ASER_]],D1_MARZO_202660[[ASESOR_CRR]:[RECUPERO]],6,0)</f>
        <v>52645</v>
      </c>
      <c r="Q27" s="6">
        <f>VLOOKUP(DATA_MARZO_202659[[#This Row],[ASER_]],D1_MARZO_202660[[ASESOR_CRR]:[META]],2,0)</f>
        <v>28000</v>
      </c>
      <c r="R27" t="s">
        <v>68</v>
      </c>
      <c r="S27">
        <v>8000</v>
      </c>
      <c r="T27">
        <v>3200</v>
      </c>
      <c r="U27">
        <v>0</v>
      </c>
      <c r="V27">
        <v>900</v>
      </c>
      <c r="W27">
        <v>13700</v>
      </c>
      <c r="X27">
        <v>500</v>
      </c>
      <c r="Y27">
        <v>0</v>
      </c>
      <c r="Z27">
        <v>232</v>
      </c>
      <c r="AA27">
        <v>0</v>
      </c>
      <c r="AB27">
        <v>500</v>
      </c>
      <c r="AC27">
        <v>4000</v>
      </c>
      <c r="AD27">
        <v>500</v>
      </c>
      <c r="AE27">
        <v>0</v>
      </c>
      <c r="AF27">
        <v>950</v>
      </c>
      <c r="AG27">
        <v>360</v>
      </c>
      <c r="AH27">
        <v>1001</v>
      </c>
      <c r="AI27">
        <v>0</v>
      </c>
      <c r="AJ27">
        <v>0</v>
      </c>
      <c r="AK27">
        <v>15000</v>
      </c>
      <c r="AL27">
        <v>3803</v>
      </c>
      <c r="AM27" s="55" t="str" cm="1">
        <f t="array" ref="AM27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27" s="45"/>
      <c r="AS27" s="45"/>
      <c r="AT27" s="45"/>
      <c r="AU27" s="45"/>
      <c r="AV27" s="45"/>
    </row>
    <row r="28" spans="1:70" x14ac:dyDescent="0.25">
      <c r="A28" s="34" t="str" cm="1">
        <f t="array" ref="A2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8" s="34" t="str" cm="1">
        <f t="array" ref="B28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STWUAR MACURI</v>
      </c>
      <c r="C28" s="34" cm="1">
        <f t="array" ref="C28">_xlfn.XLOOKUP(1,(TablaMeta[CONCAT]=$M$3&amp;$N$3&amp;D1_MARZO_202660[[#This Row],[SUPER]])*(TablaMeta[SEGG]=D1_MARZO_202660[[#This Row],[SEGMENTO]]),TablaMeta[Meta_Asesor])</f>
        <v>52000</v>
      </c>
      <c r="D28" s="35">
        <f>IF(D1_MARZO_202660[[#This Row],[RECUPERO]]="VACACIONES","VACACIONES",IFERROR(D1_MARZO_202660[[#This Row],[RECUPERO]]/D1_MARZO_202660[[#This Row],[META]],""))</f>
        <v>1.61</v>
      </c>
      <c r="E28" s="35" t="str">
        <f>D1_MARZO_202660[[#This Row],[SUPER]]</f>
        <v>KENNETH</v>
      </c>
      <c r="F28" t="s">
        <v>34</v>
      </c>
      <c r="G28" s="3">
        <v>83720</v>
      </c>
      <c r="H28" cm="1">
        <f t="array" ref="H2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76824571</v>
      </c>
      <c r="I28" s="56" cm="1">
        <f t="array" ref="I2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45173</v>
      </c>
      <c r="J28" s="56" t="str" cm="1">
        <f t="array" ref="J2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8" s="56" t="str" cm="1">
        <f t="array" ref="K2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8" s="56"/>
      <c r="M28" s="5">
        <f>DATA_MARZO_202659[[#This Row],[RECUPERO]]/DATA_MARZO_202659[[#This Row],[META]]</f>
        <v>1.4542471428571428</v>
      </c>
      <c r="N28" s="5" t="str" cm="1">
        <f t="array" ref="N28">IF(DATA_MARZO_202659[[#This Row],[ASER_]]="","",IFERROR(_xlfn.IFS(M28&gt;=100%,"&gt;100%",AND(M28&lt;100%,M28&gt;=70%),"&gt;70%",AND(M28&lt;70%,M28&gt;=40%),"&gt;40%",AND(M28&lt;40%,M28&gt;=0%),"&gt;0%"),""))</f>
        <v>&gt;100%</v>
      </c>
      <c r="O28" s="55" t="str">
        <f>IFERROR(VLOOKUP(DATA_MARZO_202659[[#This Row],[ASER_]],$B:$G,4,0),"")</f>
        <v>SANDY</v>
      </c>
      <c r="P28" s="6">
        <f>VLOOKUP(DATA_MARZO_202659[[#This Row],[ASER_]],D1_MARZO_202660[[ASESOR_CRR]:[RECUPERO]],6,0)</f>
        <v>40718.92</v>
      </c>
      <c r="Q28" s="6">
        <f>VLOOKUP(DATA_MARZO_202659[[#This Row],[ASER_]],D1_MARZO_202660[[ASESOR_CRR]:[META]],2,0)</f>
        <v>28000</v>
      </c>
      <c r="R28" t="s">
        <v>493</v>
      </c>
      <c r="S28">
        <v>0</v>
      </c>
      <c r="T28">
        <v>1170</v>
      </c>
      <c r="U28">
        <v>355</v>
      </c>
      <c r="V28">
        <v>200</v>
      </c>
      <c r="W28">
        <v>400</v>
      </c>
      <c r="X28">
        <v>0</v>
      </c>
      <c r="Y28">
        <v>610.5</v>
      </c>
      <c r="Z28">
        <v>1580</v>
      </c>
      <c r="AA28">
        <v>0</v>
      </c>
      <c r="AB28">
        <v>3308.42</v>
      </c>
      <c r="AC28">
        <v>4000</v>
      </c>
      <c r="AD28">
        <v>0</v>
      </c>
      <c r="AE28">
        <v>0</v>
      </c>
      <c r="AF28">
        <v>1625</v>
      </c>
      <c r="AG28">
        <v>200</v>
      </c>
      <c r="AH28">
        <v>0</v>
      </c>
      <c r="AI28">
        <v>2449</v>
      </c>
      <c r="AJ28">
        <v>3270</v>
      </c>
      <c r="AK28">
        <v>19000</v>
      </c>
      <c r="AL28">
        <v>1800.7</v>
      </c>
      <c r="AM28" s="55" t="str" cm="1">
        <f t="array" ref="AM28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28" s="45"/>
      <c r="AS28" s="45"/>
      <c r="AT28" s="45"/>
      <c r="AU28" s="45"/>
      <c r="AV28" s="45"/>
    </row>
    <row r="29" spans="1:70" x14ac:dyDescent="0.25">
      <c r="A29" s="34" t="str" cm="1">
        <f t="array" ref="A2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9" s="34" t="str" cm="1">
        <f t="array" ref="B29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NOEMI CHUQUILIN</v>
      </c>
      <c r="C29" s="34" cm="1">
        <f t="array" ref="C29">_xlfn.XLOOKUP(1,(TablaMeta[CONCAT]=$M$3&amp;$N$3&amp;D1_MARZO_202660[[#This Row],[SUPER]])*(TablaMeta[SEGG]=D1_MARZO_202660[[#This Row],[SEGMENTO]]),TablaMeta[Meta_Asesor])</f>
        <v>52000</v>
      </c>
      <c r="D29" s="35">
        <f>IF(D1_MARZO_202660[[#This Row],[RECUPERO]]="VACACIONES","VACACIONES",IFERROR(D1_MARZO_202660[[#This Row],[RECUPERO]]/D1_MARZO_202660[[#This Row],[META]],""))</f>
        <v>1.2354807692307692</v>
      </c>
      <c r="E29" s="35" t="str">
        <f>D1_MARZO_202660[[#This Row],[SUPER]]</f>
        <v>KENNETH</v>
      </c>
      <c r="F29" t="s">
        <v>97</v>
      </c>
      <c r="G29" s="3">
        <v>64245</v>
      </c>
      <c r="H29" cm="1">
        <f t="array" ref="H2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74602206</v>
      </c>
      <c r="I29" s="56" cm="1">
        <f t="array" ref="I2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45884</v>
      </c>
      <c r="J29" s="56" t="str" cm="1">
        <f t="array" ref="J2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9" s="56" t="str" cm="1">
        <f t="array" ref="K2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9" s="56"/>
      <c r="M29" s="5">
        <f>DATA_MARZO_202659[[#This Row],[RECUPERO]]/DATA_MARZO_202659[[#This Row],[META]]</f>
        <v>0.81410714285714281</v>
      </c>
      <c r="N29" s="5" t="str" cm="1">
        <f t="array" ref="N29">IF(DATA_MARZO_202659[[#This Row],[ASER_]]="","",IFERROR(_xlfn.IFS(M29&gt;=100%,"&gt;100%",AND(M29&lt;100%,M29&gt;=70%),"&gt;70%",AND(M29&lt;70%,M29&gt;=40%),"&gt;40%",AND(M29&lt;40%,M29&gt;=0%),"&gt;0%"),""))</f>
        <v>&gt;70%</v>
      </c>
      <c r="O29" s="55" t="str">
        <f>IFERROR(VLOOKUP(DATA_MARZO_202659[[#This Row],[ASER_]],$B:$G,4,0),"")</f>
        <v>SANDY</v>
      </c>
      <c r="P29" s="6">
        <f>VLOOKUP(DATA_MARZO_202659[[#This Row],[ASER_]],D1_MARZO_202660[[ASESOR_CRR]:[RECUPERO]],6,0)</f>
        <v>22795</v>
      </c>
      <c r="Q29" s="6">
        <f>VLOOKUP(DATA_MARZO_202659[[#This Row],[ASER_]],D1_MARZO_202660[[ASESOR_CRR]:[META]],2,0)</f>
        <v>28000</v>
      </c>
      <c r="R29" t="s">
        <v>564</v>
      </c>
      <c r="S29">
        <v>0</v>
      </c>
      <c r="T29">
        <v>0</v>
      </c>
      <c r="U29" s="45">
        <v>120</v>
      </c>
      <c r="V29">
        <v>2700</v>
      </c>
      <c r="W29">
        <v>0</v>
      </c>
      <c r="X29">
        <v>0</v>
      </c>
      <c r="Y29">
        <v>0</v>
      </c>
      <c r="Z29">
        <v>800</v>
      </c>
      <c r="AA29">
        <v>400</v>
      </c>
      <c r="AB29">
        <v>800</v>
      </c>
      <c r="AC29">
        <v>0</v>
      </c>
      <c r="AD29">
        <v>3250</v>
      </c>
      <c r="AE29">
        <v>4600</v>
      </c>
      <c r="AF29">
        <v>1000</v>
      </c>
      <c r="AG29">
        <v>500</v>
      </c>
      <c r="AH29">
        <v>0</v>
      </c>
      <c r="AI29">
        <v>4600</v>
      </c>
      <c r="AJ29">
        <v>3000</v>
      </c>
      <c r="AK29">
        <v>0</v>
      </c>
      <c r="AL29">
        <v>1025</v>
      </c>
      <c r="AM29" s="55" t="str" cm="1">
        <f t="array" ref="AM29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29" s="45"/>
      <c r="AS29" s="45"/>
      <c r="AT29" s="45"/>
      <c r="AU29" s="45"/>
      <c r="AV29" s="45"/>
    </row>
    <row r="30" spans="1:70" x14ac:dyDescent="0.25">
      <c r="A30" s="34" t="str" cm="1">
        <f t="array" ref="A3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30" s="34" t="str" cm="1">
        <f t="array" ref="B30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MILAGROS QUIO</v>
      </c>
      <c r="C30" s="34" cm="1">
        <f t="array" ref="C30">_xlfn.XLOOKUP(1,(TablaMeta[CONCAT]=$M$3&amp;$N$3&amp;D1_MARZO_202660[[#This Row],[SUPER]])*(TablaMeta[SEGG]=D1_MARZO_202660[[#This Row],[SEGMENTO]]),TablaMeta[Meta_Asesor])</f>
        <v>52000</v>
      </c>
      <c r="D30" s="35">
        <f>IF(D1_MARZO_202660[[#This Row],[RECUPERO]]="VACACIONES","VACACIONES",IFERROR(D1_MARZO_202660[[#This Row],[RECUPERO]]/D1_MARZO_202660[[#This Row],[META]],""))</f>
        <v>1.205426923076923</v>
      </c>
      <c r="E30" s="35" t="str">
        <f>D1_MARZO_202660[[#This Row],[SUPER]]</f>
        <v>KENNETH</v>
      </c>
      <c r="F30" t="s">
        <v>11</v>
      </c>
      <c r="G30" s="3">
        <v>62682.2</v>
      </c>
      <c r="H30" cm="1">
        <f t="array" ref="H3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45139159</v>
      </c>
      <c r="I30" s="56" cm="1">
        <f t="array" ref="I3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45369</v>
      </c>
      <c r="J30" s="56" t="str" cm="1">
        <f t="array" ref="J3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0" s="56" t="str" cm="1">
        <f t="array" ref="K3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30" s="56"/>
      <c r="M30" s="5">
        <f>DATA_MARZO_202659[[#This Row],[RECUPERO]]/DATA_MARZO_202659[[#This Row],[META]]</f>
        <v>0.97709615384615389</v>
      </c>
      <c r="N30" s="5" t="str" cm="1">
        <f t="array" ref="N30">IF(DATA_MARZO_202659[[#This Row],[ASER_]]="","",IFERROR(_xlfn.IFS(M30&gt;=100%,"&gt;100%",AND(M30&lt;100%,M30&gt;=70%),"&gt;70%",AND(M30&lt;70%,M30&gt;=40%),"&gt;40%",AND(M30&lt;40%,M30&gt;=0%),"&gt;0%"),""))</f>
        <v>&gt;70%</v>
      </c>
      <c r="O30" s="55" t="str">
        <f>IFERROR(VLOOKUP(DATA_MARZO_202659[[#This Row],[ASER_]],$B:$G,4,0),"")</f>
        <v>KENNETH</v>
      </c>
      <c r="P30" s="6">
        <f>VLOOKUP(DATA_MARZO_202659[[#This Row],[ASER_]],D1_MARZO_202660[[ASESOR_CRR]:[RECUPERO]],6,0)</f>
        <v>50809</v>
      </c>
      <c r="Q30" s="6">
        <f>VLOOKUP(DATA_MARZO_202659[[#This Row],[ASER_]],D1_MARZO_202660[[ASESOR_CRR]:[META]],2,0)</f>
        <v>52000</v>
      </c>
      <c r="R30" t="s">
        <v>76</v>
      </c>
      <c r="S30">
        <v>1022</v>
      </c>
      <c r="T30">
        <v>7350</v>
      </c>
      <c r="U30">
        <v>0</v>
      </c>
      <c r="V30">
        <v>0</v>
      </c>
      <c r="W30">
        <v>0</v>
      </c>
      <c r="X30">
        <v>1326</v>
      </c>
      <c r="Y30">
        <v>12321</v>
      </c>
      <c r="Z30">
        <v>0</v>
      </c>
      <c r="AA30">
        <v>1500</v>
      </c>
      <c r="AB30">
        <v>3550</v>
      </c>
      <c r="AC30">
        <v>6000</v>
      </c>
      <c r="AD30">
        <v>200</v>
      </c>
      <c r="AE30">
        <v>0</v>
      </c>
      <c r="AF30">
        <v>500</v>
      </c>
      <c r="AG30">
        <v>1000</v>
      </c>
      <c r="AH30">
        <v>7200</v>
      </c>
      <c r="AI30">
        <v>1500</v>
      </c>
      <c r="AJ30">
        <v>254</v>
      </c>
      <c r="AK30">
        <v>1000</v>
      </c>
      <c r="AL30">
        <v>6086</v>
      </c>
      <c r="AM30" s="55" t="str" cm="1">
        <f t="array" ref="AM30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0" s="45"/>
      <c r="AS30" s="45"/>
      <c r="AT30" s="45"/>
      <c r="AU30" s="45"/>
      <c r="AV30" s="45"/>
    </row>
    <row r="31" spans="1:70" x14ac:dyDescent="0.25">
      <c r="A31" s="34" t="str" cm="1">
        <f t="array" ref="A3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31" s="34" t="str" cm="1">
        <f t="array" ref="B31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MARIA HUARCAYA</v>
      </c>
      <c r="C31" s="34" cm="1">
        <f t="array" ref="C31">_xlfn.XLOOKUP(1,(TablaMeta[CONCAT]=$M$3&amp;$N$3&amp;D1_MARZO_202660[[#This Row],[SUPER]])*(TablaMeta[SEGG]=D1_MARZO_202660[[#This Row],[SEGMENTO]]),TablaMeta[Meta_Asesor])</f>
        <v>52000</v>
      </c>
      <c r="D31" s="35">
        <f>IF(D1_MARZO_202660[[#This Row],[RECUPERO]]="VACACIONES","VACACIONES",IFERROR(D1_MARZO_202660[[#This Row],[RECUPERO]]/D1_MARZO_202660[[#This Row],[META]],""))</f>
        <v>1.0908461538461538</v>
      </c>
      <c r="E31" s="35" t="str">
        <f>D1_MARZO_202660[[#This Row],[SUPER]]</f>
        <v>KENNETH</v>
      </c>
      <c r="F31" t="s">
        <v>38</v>
      </c>
      <c r="G31" s="3">
        <v>56724</v>
      </c>
      <c r="H31" cm="1">
        <f t="array" ref="H3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47411966</v>
      </c>
      <c r="I31" s="56" cm="1">
        <f t="array" ref="I3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45800</v>
      </c>
      <c r="J31" s="56" t="str" cm="1">
        <f t="array" ref="J3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1" s="56" t="str" cm="1">
        <f t="array" ref="K3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31" s="56"/>
      <c r="M31" s="5">
        <f>DATA_MARZO_202659[[#This Row],[RECUPERO]]/DATA_MARZO_202659[[#This Row],[META]]</f>
        <v>0.70242307692307693</v>
      </c>
      <c r="N31" s="5" t="str" cm="1">
        <f t="array" ref="N31">IF(DATA_MARZO_202659[[#This Row],[ASER_]]="","",IFERROR(_xlfn.IFS(M31&gt;=100%,"&gt;100%",AND(M31&lt;100%,M31&gt;=70%),"&gt;70%",AND(M31&lt;70%,M31&gt;=40%),"&gt;40%",AND(M31&lt;40%,M31&gt;=0%),"&gt;0%"),""))</f>
        <v>&gt;70%</v>
      </c>
      <c r="O31" s="55" t="str">
        <f>IFERROR(VLOOKUP(DATA_MARZO_202659[[#This Row],[ASER_]],$B:$G,4,0),"")</f>
        <v>KENNETH</v>
      </c>
      <c r="P31" s="6">
        <f>VLOOKUP(DATA_MARZO_202659[[#This Row],[ASER_]],D1_MARZO_202660[[ASESOR_CRR]:[RECUPERO]],6,0)</f>
        <v>36526</v>
      </c>
      <c r="Q31" s="6">
        <f>VLOOKUP(DATA_MARZO_202659[[#This Row],[ASER_]],D1_MARZO_202660[[ASESOR_CRR]:[META]],2,0)</f>
        <v>52000</v>
      </c>
      <c r="R31" t="s">
        <v>35</v>
      </c>
      <c r="S31">
        <v>1403</v>
      </c>
      <c r="T31">
        <v>2786</v>
      </c>
      <c r="U31">
        <v>0</v>
      </c>
      <c r="V31">
        <v>0</v>
      </c>
      <c r="W31">
        <v>0</v>
      </c>
      <c r="X31">
        <v>0</v>
      </c>
      <c r="Y31">
        <v>800</v>
      </c>
      <c r="Z31">
        <v>4000</v>
      </c>
      <c r="AA31">
        <v>100</v>
      </c>
      <c r="AB31">
        <v>700</v>
      </c>
      <c r="AC31">
        <v>2000</v>
      </c>
      <c r="AD31">
        <v>1600</v>
      </c>
      <c r="AE31">
        <v>320</v>
      </c>
      <c r="AF31">
        <v>0</v>
      </c>
      <c r="AG31">
        <v>200</v>
      </c>
      <c r="AH31">
        <v>100</v>
      </c>
      <c r="AI31">
        <v>0</v>
      </c>
      <c r="AJ31">
        <v>3100</v>
      </c>
      <c r="AK31">
        <v>8700</v>
      </c>
      <c r="AL31">
        <v>10717</v>
      </c>
      <c r="AM31" s="55" t="str" cm="1">
        <f t="array" ref="AM31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1" s="45"/>
      <c r="AS31" s="45"/>
      <c r="AT31" s="45"/>
      <c r="AU31" s="45"/>
      <c r="AV31" s="45"/>
    </row>
    <row r="32" spans="1:70" x14ac:dyDescent="0.25">
      <c r="A32" s="34" t="str" cm="1">
        <f t="array" ref="A3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32" s="34" t="str" cm="1">
        <f t="array" ref="B32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VICTOR RAMIREZ</v>
      </c>
      <c r="C32" s="34" cm="1">
        <f t="array" ref="C32">_xlfn.XLOOKUP(1,(TablaMeta[CONCAT]=$M$3&amp;$N$3&amp;D1_MARZO_202660[[#This Row],[SUPER]])*(TablaMeta[SEGG]=D1_MARZO_202660[[#This Row],[SEGMENTO]]),TablaMeta[Meta_Asesor])</f>
        <v>52000</v>
      </c>
      <c r="D32" s="35">
        <f>IF(D1_MARZO_202660[[#This Row],[RECUPERO]]="VACACIONES","VACACIONES",IFERROR(D1_MARZO_202660[[#This Row],[RECUPERO]]/D1_MARZO_202660[[#This Row],[META]],""))</f>
        <v>0.97709615384615389</v>
      </c>
      <c r="E32" s="35" t="str">
        <f>D1_MARZO_202660[[#This Row],[SUPER]]</f>
        <v>KENNETH</v>
      </c>
      <c r="F32" t="s">
        <v>76</v>
      </c>
      <c r="G32" s="3">
        <v>50809</v>
      </c>
      <c r="H32" cm="1">
        <f t="array" ref="H3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60914051</v>
      </c>
      <c r="I32" s="56" cm="1">
        <f t="array" ref="I3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44817</v>
      </c>
      <c r="J32" s="56" t="str" cm="1">
        <f t="array" ref="J3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2" s="56" t="str" cm="1">
        <f t="array" ref="K3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32" s="56"/>
      <c r="M32" s="5">
        <f>DATA_MARZO_202659[[#This Row],[RECUPERO]]/DATA_MARZO_202659[[#This Row],[META]]</f>
        <v>1.2354807692307692</v>
      </c>
      <c r="N32" s="5" t="str" cm="1">
        <f t="array" ref="N32">IF(DATA_MARZO_202659[[#This Row],[ASER_]]="","",IFERROR(_xlfn.IFS(M32&gt;=100%,"&gt;100%",AND(M32&lt;100%,M32&gt;=70%),"&gt;70%",AND(M32&lt;70%,M32&gt;=40%),"&gt;40%",AND(M32&lt;40%,M32&gt;=0%),"&gt;0%"),""))</f>
        <v>&gt;100%</v>
      </c>
      <c r="O32" s="55" t="str">
        <f>IFERROR(VLOOKUP(DATA_MARZO_202659[[#This Row],[ASER_]],$B:$G,4,0),"")</f>
        <v>KENNETH</v>
      </c>
      <c r="P32" s="6">
        <f>VLOOKUP(DATA_MARZO_202659[[#This Row],[ASER_]],D1_MARZO_202660[[ASESOR_CRR]:[RECUPERO]],6,0)</f>
        <v>64245</v>
      </c>
      <c r="Q32" s="6">
        <f>VLOOKUP(DATA_MARZO_202659[[#This Row],[ASER_]],D1_MARZO_202660[[ASESOR_CRR]:[META]],2,0)</f>
        <v>52000</v>
      </c>
      <c r="R32" t="s">
        <v>97</v>
      </c>
      <c r="S32">
        <v>0</v>
      </c>
      <c r="T32">
        <v>3480</v>
      </c>
      <c r="U32">
        <v>1010</v>
      </c>
      <c r="V32">
        <v>2850</v>
      </c>
      <c r="W32">
        <v>0</v>
      </c>
      <c r="X32">
        <v>3420</v>
      </c>
      <c r="Y32">
        <v>8100</v>
      </c>
      <c r="Z32">
        <v>130</v>
      </c>
      <c r="AA32">
        <v>800</v>
      </c>
      <c r="AB32">
        <v>1500</v>
      </c>
      <c r="AC32">
        <v>1010</v>
      </c>
      <c r="AD32">
        <v>2720</v>
      </c>
      <c r="AE32">
        <v>700</v>
      </c>
      <c r="AF32">
        <v>3250</v>
      </c>
      <c r="AG32">
        <v>3255</v>
      </c>
      <c r="AH32">
        <v>11950</v>
      </c>
      <c r="AI32">
        <v>0</v>
      </c>
      <c r="AJ32">
        <v>4605</v>
      </c>
      <c r="AK32">
        <v>7100</v>
      </c>
      <c r="AL32">
        <v>8365</v>
      </c>
      <c r="AM32" s="55" t="str" cm="1">
        <f t="array" ref="AM32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2" s="45"/>
      <c r="AS32" s="45"/>
      <c r="AT32" s="45"/>
      <c r="AU32" s="45"/>
      <c r="AV32" s="45"/>
    </row>
    <row r="33" spans="1:48" x14ac:dyDescent="0.25">
      <c r="A33" s="34" t="str" cm="1">
        <f t="array" ref="A3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33" s="34" t="str" cm="1">
        <f t="array" ref="B33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FRANK PACORA</v>
      </c>
      <c r="C33" s="34" cm="1">
        <f t="array" ref="C33">_xlfn.XLOOKUP(1,(TablaMeta[CONCAT]=$M$3&amp;$N$3&amp;D1_MARZO_202660[[#This Row],[SUPER]])*(TablaMeta[SEGG]=D1_MARZO_202660[[#This Row],[SEGMENTO]]),TablaMeta[Meta_Asesor])</f>
        <v>52000</v>
      </c>
      <c r="D33" s="35">
        <f>IF(D1_MARZO_202660[[#This Row],[RECUPERO]]="VACACIONES","VACACIONES",IFERROR(D1_MARZO_202660[[#This Row],[RECUPERO]]/D1_MARZO_202660[[#This Row],[META]],""))</f>
        <v>0.78282692307692303</v>
      </c>
      <c r="E33" s="35" t="str">
        <f>D1_MARZO_202660[[#This Row],[SUPER]]</f>
        <v>KENNETH</v>
      </c>
      <c r="F33" t="s">
        <v>105</v>
      </c>
      <c r="G33" s="3">
        <v>40707</v>
      </c>
      <c r="H33" cm="1">
        <f t="array" ref="H3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48344037</v>
      </c>
      <c r="I33" s="56" cm="1">
        <f t="array" ref="I3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46027</v>
      </c>
      <c r="J33" s="56" t="str" cm="1">
        <f t="array" ref="J3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3" s="56" t="str" cm="1">
        <f t="array" ref="K3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33" s="56"/>
      <c r="M33" s="5">
        <f>DATA_MARZO_202659[[#This Row],[RECUPERO]]/DATA_MARZO_202659[[#This Row],[META]]</f>
        <v>0.78282692307692303</v>
      </c>
      <c r="N33" s="5" t="str" cm="1">
        <f t="array" ref="N33">IF(DATA_MARZO_202659[[#This Row],[ASER_]]="","",IFERROR(_xlfn.IFS(M33&gt;=100%,"&gt;100%",AND(M33&lt;100%,M33&gt;=70%),"&gt;70%",AND(M33&lt;70%,M33&gt;=40%),"&gt;40%",AND(M33&lt;40%,M33&gt;=0%),"&gt;0%"),""))</f>
        <v>&gt;70%</v>
      </c>
      <c r="O33" s="55" t="str">
        <f>IFERROR(VLOOKUP(DATA_MARZO_202659[[#This Row],[ASER_]],$B:$G,4,0),"")</f>
        <v>KENNETH</v>
      </c>
      <c r="P33" s="6">
        <f>VLOOKUP(DATA_MARZO_202659[[#This Row],[ASER_]],D1_MARZO_202660[[ASESOR_CRR]:[RECUPERO]],6,0)</f>
        <v>40707</v>
      </c>
      <c r="Q33" s="6">
        <f>VLOOKUP(DATA_MARZO_202659[[#This Row],[ASER_]],D1_MARZO_202660[[ASESOR_CRR]:[META]],2,0)</f>
        <v>52000</v>
      </c>
      <c r="R33" t="s">
        <v>105</v>
      </c>
      <c r="S33">
        <v>0</v>
      </c>
      <c r="T33">
        <v>0</v>
      </c>
      <c r="U33">
        <v>2500</v>
      </c>
      <c r="V33">
        <v>366</v>
      </c>
      <c r="W33">
        <v>0</v>
      </c>
      <c r="X33">
        <v>0</v>
      </c>
      <c r="Y33">
        <v>0</v>
      </c>
      <c r="Z33">
        <v>700</v>
      </c>
      <c r="AA33">
        <v>5000</v>
      </c>
      <c r="AB33">
        <v>6000</v>
      </c>
      <c r="AC33">
        <v>12000</v>
      </c>
      <c r="AD33">
        <v>0</v>
      </c>
      <c r="AE33">
        <v>0</v>
      </c>
      <c r="AF33">
        <v>50</v>
      </c>
      <c r="AG33">
        <v>1200</v>
      </c>
      <c r="AH33">
        <v>4000</v>
      </c>
      <c r="AI33">
        <v>0</v>
      </c>
      <c r="AJ33">
        <v>1701</v>
      </c>
      <c r="AK33">
        <v>0</v>
      </c>
      <c r="AL33">
        <v>7190</v>
      </c>
      <c r="AM33" s="55" t="str" cm="1">
        <f t="array" ref="AM33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3" s="45"/>
      <c r="AS33" s="45"/>
      <c r="AT33" s="45"/>
      <c r="AU33" s="45"/>
      <c r="AV33" s="45"/>
    </row>
    <row r="34" spans="1:48" x14ac:dyDescent="0.25">
      <c r="A34" s="34" t="str" cm="1">
        <f t="array" ref="A3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34" s="34" t="str" cm="1">
        <f t="array" ref="B34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JUAN LOZA</v>
      </c>
      <c r="C34" s="34" cm="1">
        <f t="array" ref="C34">_xlfn.XLOOKUP(1,(TablaMeta[CONCAT]=$M$3&amp;$N$3&amp;D1_MARZO_202660[[#This Row],[SUPER]])*(TablaMeta[SEGG]=D1_MARZO_202660[[#This Row],[SEGMENTO]]),TablaMeta[Meta_Asesor])</f>
        <v>52000</v>
      </c>
      <c r="D34" s="35">
        <f>IF(D1_MARZO_202660[[#This Row],[RECUPERO]]="VACACIONES","VACACIONES",IFERROR(D1_MARZO_202660[[#This Row],[RECUPERO]]/D1_MARZO_202660[[#This Row],[META]],""))</f>
        <v>0.70242307692307693</v>
      </c>
      <c r="E34" s="35" t="str">
        <f>D1_MARZO_202660[[#This Row],[SUPER]]</f>
        <v>KENNETH</v>
      </c>
      <c r="F34" t="s">
        <v>35</v>
      </c>
      <c r="G34" s="3">
        <v>36526</v>
      </c>
      <c r="H34" cm="1">
        <f t="array" ref="H3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10491198</v>
      </c>
      <c r="I34" s="56" cm="1">
        <f t="array" ref="I3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44746</v>
      </c>
      <c r="J34" s="56" t="str" cm="1">
        <f t="array" ref="J3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4" s="56" t="str" cm="1">
        <f t="array" ref="K3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34" s="56"/>
      <c r="M34" s="5">
        <f>DATA_MARZO_202659[[#This Row],[RECUPERO]]/DATA_MARZO_202659[[#This Row],[META]]</f>
        <v>1.205426923076923</v>
      </c>
      <c r="N34" s="54" t="str" cm="1">
        <f t="array" ref="N34">IF(DATA_MARZO_202659[[#This Row],[ASER_]]="","",IFERROR(_xlfn.IFS(M34&gt;=100%,"&gt;100%",AND(M34&lt;100%,M34&gt;=70%),"&gt;70%",AND(M34&lt;70%,M34&gt;=40%),"&gt;40%",AND(M34&lt;40%,M34&gt;=0%),"&gt;0%"),""))</f>
        <v>&gt;100%</v>
      </c>
      <c r="O34" s="55" t="str">
        <f>IFERROR(VLOOKUP(DATA_MARZO_202659[[#This Row],[ASER_]],$B:$G,4,0),"")</f>
        <v>KENNETH</v>
      </c>
      <c r="P34" s="6">
        <f>VLOOKUP(DATA_MARZO_202659[[#This Row],[ASER_]],D1_MARZO_202660[[ASESOR_CRR]:[RECUPERO]],6,0)</f>
        <v>62682.2</v>
      </c>
      <c r="Q34" s="6">
        <f>VLOOKUP(DATA_MARZO_202659[[#This Row],[ASER_]],D1_MARZO_202660[[ASESOR_CRR]:[META]],2,0)</f>
        <v>52000</v>
      </c>
      <c r="R34" t="s">
        <v>11</v>
      </c>
      <c r="S34">
        <v>0</v>
      </c>
      <c r="T34">
        <v>10000</v>
      </c>
      <c r="U34">
        <v>5500</v>
      </c>
      <c r="V34">
        <v>0</v>
      </c>
      <c r="W34">
        <v>24800</v>
      </c>
      <c r="X34">
        <v>4000</v>
      </c>
      <c r="Y34">
        <v>400</v>
      </c>
      <c r="Z34">
        <v>0</v>
      </c>
      <c r="AA34">
        <v>0</v>
      </c>
      <c r="AB34">
        <v>4994.2</v>
      </c>
      <c r="AC34">
        <v>99</v>
      </c>
      <c r="AD34">
        <v>0</v>
      </c>
      <c r="AE34">
        <v>1000</v>
      </c>
      <c r="AF34">
        <v>2000</v>
      </c>
      <c r="AG34">
        <v>0</v>
      </c>
      <c r="AH34">
        <v>2440</v>
      </c>
      <c r="AI34">
        <v>1705</v>
      </c>
      <c r="AJ34">
        <v>200</v>
      </c>
      <c r="AK34">
        <v>0</v>
      </c>
      <c r="AL34">
        <v>5544</v>
      </c>
      <c r="AM34" s="55" t="str" cm="1">
        <f t="array" ref="AM34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4" s="45"/>
      <c r="AS34" s="45"/>
      <c r="AT34" s="45"/>
      <c r="AU34" s="45"/>
      <c r="AV34" s="45"/>
    </row>
    <row r="35" spans="1:48" x14ac:dyDescent="0.25">
      <c r="A35" s="34" t="str" cm="1">
        <f t="array" ref="A3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5" s="34" t="str" cm="1">
        <f t="array" ref="B35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JOSELIN MONTALVO</v>
      </c>
      <c r="C35" s="34" cm="1">
        <f t="array" ref="C35">_xlfn.XLOOKUP(1,(TablaMeta[CONCAT]=$M$3&amp;$N$3&amp;D1_MARZO_202660[[#This Row],[SUPER]])*(TablaMeta[SEGG]=D1_MARZO_202660[[#This Row],[SEGMENTO]]),TablaMeta[Meta_Asesor])</f>
        <v>16500</v>
      </c>
      <c r="D35" s="35">
        <f>IF(D1_MARZO_202660[[#This Row],[RECUPERO]]="VACACIONES","VACACIONES",IFERROR(D1_MARZO_202660[[#This Row],[RECUPERO]]/D1_MARZO_202660[[#This Row],[META]],""))</f>
        <v>0.89684848484848489</v>
      </c>
      <c r="E35" s="35" t="str">
        <f>D1_MARZO_202660[[#This Row],[SUPER]]</f>
        <v>LEONOR</v>
      </c>
      <c r="F35" t="s">
        <v>549</v>
      </c>
      <c r="G35" s="3">
        <v>14798</v>
      </c>
      <c r="H35" cm="1">
        <f t="array" ref="H3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73233992</v>
      </c>
      <c r="I35" s="56" cm="1">
        <f t="array" ref="I3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46065</v>
      </c>
      <c r="J35" s="56" t="str" cm="1">
        <f t="array" ref="J3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5" s="56" t="str" cm="1">
        <f t="array" ref="K3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5" s="56"/>
      <c r="M35" s="5">
        <f>DATA_MARZO_202659[[#This Row],[RECUPERO]]/DATA_MARZO_202659[[#This Row],[META]]</f>
        <v>1.0908461538461538</v>
      </c>
      <c r="N35" s="54" t="str" cm="1">
        <f t="array" ref="N35">IF(DATA_MARZO_202659[[#This Row],[ASER_]]="","",IFERROR(_xlfn.IFS(M35&gt;=100%,"&gt;100%",AND(M35&lt;100%,M35&gt;=70%),"&gt;70%",AND(M35&lt;70%,M35&gt;=40%),"&gt;40%",AND(M35&lt;40%,M35&gt;=0%),"&gt;0%"),""))</f>
        <v>&gt;100%</v>
      </c>
      <c r="O35" s="55" t="str">
        <f>IFERROR(VLOOKUP(DATA_MARZO_202659[[#This Row],[ASER_]],$B:$G,4,0),"")</f>
        <v>KENNETH</v>
      </c>
      <c r="P35" s="6">
        <f>VLOOKUP(DATA_MARZO_202659[[#This Row],[ASER_]],D1_MARZO_202660[[ASESOR_CRR]:[RECUPERO]],6,0)</f>
        <v>56724</v>
      </c>
      <c r="Q35" s="6">
        <f>VLOOKUP(DATA_MARZO_202659[[#This Row],[ASER_]],D1_MARZO_202660[[ASESOR_CRR]:[META]],2,0)</f>
        <v>52000</v>
      </c>
      <c r="R35" t="s">
        <v>38</v>
      </c>
      <c r="S35">
        <v>0</v>
      </c>
      <c r="T35">
        <v>600</v>
      </c>
      <c r="U35">
        <v>0</v>
      </c>
      <c r="V35">
        <v>0</v>
      </c>
      <c r="W35">
        <v>5000</v>
      </c>
      <c r="X35">
        <v>0</v>
      </c>
      <c r="Y35">
        <v>500</v>
      </c>
      <c r="Z35">
        <v>1525</v>
      </c>
      <c r="AA35">
        <v>2300</v>
      </c>
      <c r="AB35">
        <v>300</v>
      </c>
      <c r="AC35">
        <v>3350</v>
      </c>
      <c r="AD35">
        <v>6000</v>
      </c>
      <c r="AE35">
        <v>1526</v>
      </c>
      <c r="AF35">
        <v>1280</v>
      </c>
      <c r="AG35">
        <v>0</v>
      </c>
      <c r="AH35">
        <v>8002</v>
      </c>
      <c r="AI35">
        <v>2600</v>
      </c>
      <c r="AJ35">
        <v>10211</v>
      </c>
      <c r="AK35">
        <v>10500</v>
      </c>
      <c r="AL35">
        <v>3030</v>
      </c>
      <c r="AM35" s="55" t="str" cm="1">
        <f t="array" ref="AM35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5" s="45"/>
      <c r="AS35" s="45"/>
      <c r="AT35" s="45"/>
      <c r="AU35" s="45"/>
      <c r="AV35" s="45"/>
    </row>
    <row r="36" spans="1:48" x14ac:dyDescent="0.25">
      <c r="A36" s="34" t="str" cm="1">
        <f t="array" ref="A3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6" s="34" t="str" cm="1">
        <f t="array" ref="B36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CHRISTIAN ALVARADO</v>
      </c>
      <c r="C36" s="34" cm="1">
        <f t="array" ref="C36">_xlfn.XLOOKUP(1,(TablaMeta[CONCAT]=$M$3&amp;$N$3&amp;D1_MARZO_202660[[#This Row],[SUPER]])*(TablaMeta[SEGG]=D1_MARZO_202660[[#This Row],[SEGMENTO]]),TablaMeta[Meta_Asesor])</f>
        <v>16500</v>
      </c>
      <c r="D36" s="35">
        <f>IF(D1_MARZO_202660[[#This Row],[RECUPERO]]="VACACIONES","VACACIONES",IFERROR(D1_MARZO_202660[[#This Row],[RECUPERO]]/D1_MARZO_202660[[#This Row],[META]],""))</f>
        <v>0.88903030303030306</v>
      </c>
      <c r="E36" s="35" t="str">
        <f>D1_MARZO_202660[[#This Row],[SUPER]]</f>
        <v>LEONOR</v>
      </c>
      <c r="F36" t="s">
        <v>41</v>
      </c>
      <c r="G36" s="3">
        <v>14669</v>
      </c>
      <c r="H36" cm="1">
        <f t="array" ref="H3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46461021</v>
      </c>
      <c r="I36" s="56" cm="1">
        <f t="array" ref="I3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45302</v>
      </c>
      <c r="J36" s="56" t="str" cm="1">
        <f t="array" ref="J3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6" s="56" t="str" cm="1">
        <f t="array" ref="K3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6" s="56"/>
      <c r="M36" s="5">
        <f>DATA_MARZO_202659[[#This Row],[RECUPERO]]/DATA_MARZO_202659[[#This Row],[META]]</f>
        <v>1.61</v>
      </c>
      <c r="N36" s="54" t="str" cm="1">
        <f t="array" ref="N36">IF(DATA_MARZO_202659[[#This Row],[ASER_]]="","",IFERROR(_xlfn.IFS(M36&gt;=100%,"&gt;100%",AND(M36&lt;100%,M36&gt;=70%),"&gt;70%",AND(M36&lt;70%,M36&gt;=40%),"&gt;40%",AND(M36&lt;40%,M36&gt;=0%),"&gt;0%"),""))</f>
        <v>&gt;100%</v>
      </c>
      <c r="O36" s="55" t="str">
        <f>IFERROR(VLOOKUP(DATA_MARZO_202659[[#This Row],[ASER_]],$B:$G,4,0),"")</f>
        <v>KENNETH</v>
      </c>
      <c r="P36" s="6">
        <f>VLOOKUP(DATA_MARZO_202659[[#This Row],[ASER_]],D1_MARZO_202660[[ASESOR_CRR]:[RECUPERO]],6,0)</f>
        <v>83720</v>
      </c>
      <c r="Q36" s="6">
        <f>VLOOKUP(DATA_MARZO_202659[[#This Row],[ASER_]],D1_MARZO_202660[[ASESOR_CRR]:[META]],2,0)</f>
        <v>52000</v>
      </c>
      <c r="R36" t="s">
        <v>34</v>
      </c>
      <c r="S36">
        <v>2500</v>
      </c>
      <c r="T36">
        <v>0</v>
      </c>
      <c r="U36">
        <v>10770</v>
      </c>
      <c r="V36">
        <v>7300</v>
      </c>
      <c r="W36">
        <v>4300</v>
      </c>
      <c r="X36">
        <v>1300</v>
      </c>
      <c r="Y36">
        <v>0</v>
      </c>
      <c r="Z36">
        <v>0</v>
      </c>
      <c r="AA36">
        <v>3720</v>
      </c>
      <c r="AB36" s="6">
        <v>5430</v>
      </c>
      <c r="AC36" s="6">
        <v>0</v>
      </c>
      <c r="AD36" s="6">
        <v>3580</v>
      </c>
      <c r="AE36" s="6">
        <v>6000</v>
      </c>
      <c r="AF36" s="6">
        <v>0</v>
      </c>
      <c r="AG36" s="6">
        <v>200</v>
      </c>
      <c r="AH36" s="6">
        <v>6800</v>
      </c>
      <c r="AI36">
        <v>3500</v>
      </c>
      <c r="AJ36">
        <v>0</v>
      </c>
      <c r="AK36">
        <v>7300</v>
      </c>
      <c r="AL36">
        <v>21020</v>
      </c>
      <c r="AM36" s="55" t="str" cm="1">
        <f t="array" ref="AM36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AR36" s="45"/>
      <c r="AS36" s="45"/>
      <c r="AT36" s="45"/>
      <c r="AU36" s="45"/>
      <c r="AV36" s="45"/>
    </row>
    <row r="37" spans="1:48" x14ac:dyDescent="0.25">
      <c r="A37" s="34" t="str" cm="1">
        <f t="array" ref="A3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7" s="34" t="str" cm="1">
        <f t="array" ref="B37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SONIA SULLA</v>
      </c>
      <c r="C37" s="34" cm="1">
        <f t="array" ref="C37">_xlfn.XLOOKUP(1,(TablaMeta[CONCAT]=$M$3&amp;$N$3&amp;D1_MARZO_202660[[#This Row],[SUPER]])*(TablaMeta[SEGG]=D1_MARZO_202660[[#This Row],[SEGMENTO]]),TablaMeta[Meta_Asesor])</f>
        <v>16500</v>
      </c>
      <c r="D37" s="35">
        <f>IF(D1_MARZO_202660[[#This Row],[RECUPERO]]="VACACIONES","VACACIONES",IFERROR(D1_MARZO_202660[[#This Row],[RECUPERO]]/D1_MARZO_202660[[#This Row],[META]],""))</f>
        <v>0.4946060606060606</v>
      </c>
      <c r="E37" s="35" t="str">
        <f>D1_MARZO_202660[[#This Row],[SUPER]]</f>
        <v>LEONOR</v>
      </c>
      <c r="F37" t="s">
        <v>557</v>
      </c>
      <c r="G37" s="3">
        <v>8161</v>
      </c>
      <c r="H37" cm="1">
        <f t="array" ref="H3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10330959</v>
      </c>
      <c r="I37" s="56" cm="1">
        <f t="array" ref="I3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46073</v>
      </c>
      <c r="J37" s="56" t="str" cm="1">
        <f t="array" ref="J3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CESADO</v>
      </c>
      <c r="K37" s="56" t="str" cm="1">
        <f t="array" ref="K3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7" s="56"/>
      <c r="M37" s="5">
        <f>DATA_MARZO_202659[[#This Row],[RECUPERO]]/DATA_MARZO_202659[[#This Row],[META]]</f>
        <v>1.85192</v>
      </c>
      <c r="N37" s="54" t="str" cm="1">
        <f t="array" ref="N37">IF(DATA_MARZO_202659[[#This Row],[ASER_]]="","",IFERROR(_xlfn.IFS(M37&gt;=100%,"&gt;100%",AND(M37&lt;100%,M37&gt;=70%),"&gt;70%",AND(M37&lt;70%,M37&gt;=40%),"&gt;40%",AND(M37&lt;40%,M37&gt;=0%),"&gt;0%"),""))</f>
        <v>&gt;100%</v>
      </c>
      <c r="O37" s="55" t="str">
        <f>IFERROR(VLOOKUP(DATA_MARZO_202659[[#This Row],[ASER_]],$B:$G,4,0),"")</f>
        <v>LEONOR</v>
      </c>
      <c r="P37" s="6">
        <f>VLOOKUP(DATA_MARZO_202659[[#This Row],[ASER_]],D1_MARZO_202660[[ASESOR_CRR]:[RECUPERO]],6,0)</f>
        <v>46298</v>
      </c>
      <c r="Q37" s="6">
        <f>VLOOKUP(DATA_MARZO_202659[[#This Row],[ASER_]],D1_MARZO_202660[[ASESOR_CRR]:[META]],2,0)</f>
        <v>25000</v>
      </c>
      <c r="R37" t="s">
        <v>77</v>
      </c>
      <c r="S37">
        <v>350</v>
      </c>
      <c r="T37">
        <v>265</v>
      </c>
      <c r="U37">
        <v>0</v>
      </c>
      <c r="V37">
        <v>0</v>
      </c>
      <c r="W37">
        <v>2500</v>
      </c>
      <c r="X37">
        <v>0</v>
      </c>
      <c r="Y37">
        <v>1567</v>
      </c>
      <c r="Z37">
        <v>2538</v>
      </c>
      <c r="AA37">
        <v>800</v>
      </c>
      <c r="AB37" s="6">
        <v>3739</v>
      </c>
      <c r="AC37" s="6">
        <v>1200</v>
      </c>
      <c r="AD37" s="6">
        <v>9644</v>
      </c>
      <c r="AE37" s="6">
        <v>5953</v>
      </c>
      <c r="AF37" s="6">
        <v>3100</v>
      </c>
      <c r="AG37" s="6">
        <v>5000</v>
      </c>
      <c r="AH37" s="6">
        <v>0</v>
      </c>
      <c r="AI37">
        <v>0</v>
      </c>
      <c r="AJ37">
        <v>2100</v>
      </c>
      <c r="AK37">
        <v>3800</v>
      </c>
      <c r="AL37">
        <v>3742</v>
      </c>
      <c r="AM37" s="55" t="str" cm="1">
        <f t="array" ref="AM37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37" s="45"/>
      <c r="AS37" s="45"/>
      <c r="AT37" s="45"/>
      <c r="AU37" s="45"/>
      <c r="AV37" s="45"/>
    </row>
    <row r="38" spans="1:48" x14ac:dyDescent="0.25">
      <c r="A38" s="34" t="str" cm="1">
        <f t="array" ref="A3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8" s="34" t="str" cm="1">
        <f t="array" ref="B38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JEREMY RODRIGUEZ</v>
      </c>
      <c r="C38" s="34" cm="1">
        <f t="array" ref="C38">_xlfn.XLOOKUP(1,(TablaMeta[CONCAT]=$M$3&amp;$N$3&amp;D1_MARZO_202660[[#This Row],[SUPER]])*(TablaMeta[SEGG]=D1_MARZO_202660[[#This Row],[SEGMENTO]]),TablaMeta[Meta_Asesor])</f>
        <v>16500</v>
      </c>
      <c r="D38" s="35">
        <f>IF(D1_MARZO_202660[[#This Row],[RECUPERO]]="VACACIONES","VACACIONES",IFERROR(D1_MARZO_202660[[#This Row],[RECUPERO]]/D1_MARZO_202660[[#This Row],[META]],""))</f>
        <v>0.38642424242424245</v>
      </c>
      <c r="E38" s="35" t="str">
        <f>D1_MARZO_202660[[#This Row],[SUPER]]</f>
        <v>LEONOR</v>
      </c>
      <c r="F38" t="s">
        <v>599</v>
      </c>
      <c r="G38" s="3">
        <v>6376</v>
      </c>
      <c r="H38" cm="1">
        <f t="array" ref="H3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42227234</v>
      </c>
      <c r="I38" s="56" cm="1">
        <f t="array" ref="I3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46121</v>
      </c>
      <c r="J38" s="56" t="str" cm="1">
        <f t="array" ref="J3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8" s="56" t="str" cm="1">
        <f t="array" ref="K3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8" s="56"/>
      <c r="M38" s="5">
        <f>DATA_MARZO_202659[[#This Row],[RECUPERO]]/DATA_MARZO_202659[[#This Row],[META]]</f>
        <v>0.66115999999999997</v>
      </c>
      <c r="N38" s="54" t="str" cm="1">
        <f t="array" ref="N38">IF(DATA_MARZO_202659[[#This Row],[ASER_]]="","",IFERROR(_xlfn.IFS(M38&gt;=100%,"&gt;100%",AND(M38&lt;100%,M38&gt;=70%),"&gt;70%",AND(M38&lt;70%,M38&gt;=40%),"&gt;40%",AND(M38&lt;40%,M38&gt;=0%),"&gt;0%"),""))</f>
        <v>&gt;40%</v>
      </c>
      <c r="O38" s="55" t="str">
        <f>IFERROR(VLOOKUP(DATA_MARZO_202659[[#This Row],[ASER_]],$B:$G,4,0),"")</f>
        <v>LEONOR</v>
      </c>
      <c r="P38" s="6">
        <f>VLOOKUP(DATA_MARZO_202659[[#This Row],[ASER_]],D1_MARZO_202660[[ASESOR_CRR]:[RECUPERO]],6,0)</f>
        <v>16529</v>
      </c>
      <c r="Q38" s="6">
        <f>VLOOKUP(DATA_MARZO_202659[[#This Row],[ASER_]],D1_MARZO_202660[[ASESOR_CRR]:[META]],2,0)</f>
        <v>25000</v>
      </c>
      <c r="R38" t="s">
        <v>73</v>
      </c>
      <c r="S38">
        <v>0</v>
      </c>
      <c r="T38">
        <v>600</v>
      </c>
      <c r="U38">
        <v>0</v>
      </c>
      <c r="V38">
        <v>0</v>
      </c>
      <c r="W38" s="5">
        <v>0</v>
      </c>
      <c r="X38" s="6">
        <v>0</v>
      </c>
      <c r="Y38" s="6">
        <v>0</v>
      </c>
      <c r="Z38" s="6">
        <v>500</v>
      </c>
      <c r="AA38" s="6">
        <v>5500</v>
      </c>
      <c r="AB38" s="6">
        <v>800</v>
      </c>
      <c r="AC38" s="6">
        <v>260</v>
      </c>
      <c r="AD38" s="6">
        <v>0</v>
      </c>
      <c r="AE38" s="6">
        <v>250</v>
      </c>
      <c r="AF38" s="6">
        <v>0</v>
      </c>
      <c r="AG38" s="6">
        <v>270</v>
      </c>
      <c r="AH38" s="6">
        <v>0</v>
      </c>
      <c r="AI38" s="6">
        <v>0</v>
      </c>
      <c r="AJ38" s="6">
        <v>0</v>
      </c>
      <c r="AK38" s="6">
        <v>7547</v>
      </c>
      <c r="AL38" s="6">
        <v>800</v>
      </c>
      <c r="AM38" s="55" t="str" cm="1">
        <f t="array" ref="AM38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38" s="45"/>
      <c r="AS38" s="45"/>
      <c r="AT38" s="45"/>
      <c r="AU38" s="45"/>
      <c r="AV38" s="45"/>
    </row>
    <row r="39" spans="1:48" x14ac:dyDescent="0.25">
      <c r="A39" s="34" t="str" cm="1">
        <f t="array" ref="A3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39" s="34" t="str" cm="1">
        <f t="array" ref="B39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NICOLE CAURURO</v>
      </c>
      <c r="C39" s="34" cm="1">
        <f t="array" ref="C39">_xlfn.XLOOKUP(1,(TablaMeta[CONCAT]=$M$3&amp;$N$3&amp;D1_MARZO_202660[[#This Row],[SUPER]])*(TablaMeta[SEGG]=D1_MARZO_202660[[#This Row],[SEGMENTO]]),TablaMeta[Meta_Asesor])</f>
        <v>16500</v>
      </c>
      <c r="D39" s="35">
        <f>IF(D1_MARZO_202660[[#This Row],[RECUPERO]]="VACACIONES","VACACIONES",IFERROR(D1_MARZO_202660[[#This Row],[RECUPERO]]/D1_MARZO_202660[[#This Row],[META]],""))</f>
        <v>0.25757575757575757</v>
      </c>
      <c r="E39" s="35" t="str">
        <f>D1_MARZO_202660[[#This Row],[SUPER]]</f>
        <v>LEONOR</v>
      </c>
      <c r="F39" t="s">
        <v>566</v>
      </c>
      <c r="G39" s="3">
        <v>4250</v>
      </c>
      <c r="H39" cm="1">
        <f t="array" ref="H3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75693756</v>
      </c>
      <c r="I39" s="56" cm="1">
        <f t="array" ref="I3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46084</v>
      </c>
      <c r="J39" s="56" t="str" cm="1">
        <f t="array" ref="J3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9" s="56" t="str" cm="1">
        <f t="array" ref="K3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9" s="56"/>
      <c r="M39" s="5">
        <f>DATA_MARZO_202659[[#This Row],[RECUPERO]]/DATA_MARZO_202659[[#This Row],[META]]</f>
        <v>0.75456000000000001</v>
      </c>
      <c r="N39" s="54" t="str" cm="1">
        <f t="array" ref="N39">IF(DATA_MARZO_202659[[#This Row],[ASER_]]="","",IFERROR(_xlfn.IFS(M39&gt;=100%,"&gt;100%",AND(M39&lt;100%,M39&gt;=70%),"&gt;70%",AND(M39&lt;70%,M39&gt;=40%),"&gt;40%",AND(M39&lt;40%,M39&gt;=0%),"&gt;0%"),""))</f>
        <v>&gt;70%</v>
      </c>
      <c r="O39" s="55" t="str">
        <f>IFERROR(VLOOKUP(DATA_MARZO_202659[[#This Row],[ASER_]],$B:$G,4,0),"")</f>
        <v>LEONOR</v>
      </c>
      <c r="P39" s="6">
        <f>VLOOKUP(DATA_MARZO_202659[[#This Row],[ASER_]],D1_MARZO_202660[[ASESOR_CRR]:[RECUPERO]],6,0)</f>
        <v>18864</v>
      </c>
      <c r="Q39" s="6">
        <f>VLOOKUP(DATA_MARZO_202659[[#This Row],[ASER_]],D1_MARZO_202660[[ASESOR_CRR]:[META]],2,0)</f>
        <v>25000</v>
      </c>
      <c r="R39" t="s">
        <v>48</v>
      </c>
      <c r="S39">
        <v>400</v>
      </c>
      <c r="T39">
        <v>1900</v>
      </c>
      <c r="U39">
        <v>291</v>
      </c>
      <c r="V39">
        <v>3500</v>
      </c>
      <c r="W39" s="5">
        <v>0</v>
      </c>
      <c r="X39" s="6">
        <v>0</v>
      </c>
      <c r="Y39" s="6">
        <v>770</v>
      </c>
      <c r="Z39" s="6">
        <v>5000</v>
      </c>
      <c r="AA39" s="6">
        <v>0</v>
      </c>
      <c r="AB39" s="6">
        <v>0</v>
      </c>
      <c r="AC39" s="6">
        <v>0</v>
      </c>
      <c r="AD39" s="6">
        <v>2260</v>
      </c>
      <c r="AE39" s="6">
        <v>0</v>
      </c>
      <c r="AF39" s="6">
        <v>1280</v>
      </c>
      <c r="AG39" s="6">
        <v>1772</v>
      </c>
      <c r="AH39" s="6">
        <v>1000</v>
      </c>
      <c r="AI39" s="6">
        <v>0</v>
      </c>
      <c r="AJ39" s="6">
        <v>0</v>
      </c>
      <c r="AK39" s="6">
        <v>0</v>
      </c>
      <c r="AL39" s="6">
        <v>691</v>
      </c>
      <c r="AM39" s="55" t="str" cm="1">
        <f t="array" ref="AM39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39" s="45"/>
      <c r="AS39" s="45"/>
      <c r="AT39" s="45"/>
      <c r="AU39" s="45"/>
      <c r="AV39" s="45"/>
    </row>
    <row r="40" spans="1:48" x14ac:dyDescent="0.25">
      <c r="A40" s="34" t="str" cm="1">
        <f t="array" ref="A4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40" s="34" t="str" cm="1">
        <f t="array" ref="B40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FERNANDA APAZA</v>
      </c>
      <c r="C40" s="34" cm="1">
        <f t="array" ref="C40">_xlfn.XLOOKUP(1,(TablaMeta[CONCAT]=$M$3&amp;$N$3&amp;D1_MARZO_202660[[#This Row],[SUPER]])*(TablaMeta[SEGG]=D1_MARZO_202660[[#This Row],[SEGMENTO]]),TablaMeta[Meta_Asesor])</f>
        <v>25000</v>
      </c>
      <c r="D40" s="35">
        <f>IF(D1_MARZO_202660[[#This Row],[RECUPERO]]="VACACIONES","VACACIONES",IFERROR(D1_MARZO_202660[[#This Row],[RECUPERO]]/D1_MARZO_202660[[#This Row],[META]],""))</f>
        <v>0.04</v>
      </c>
      <c r="E40" s="35" t="str">
        <f>D1_MARZO_202660[[#This Row],[SUPER]]</f>
        <v>LEONOR</v>
      </c>
      <c r="F40" t="s">
        <v>603</v>
      </c>
      <c r="G40" s="3">
        <v>1000</v>
      </c>
      <c r="H40" cm="1">
        <f t="array" ref="H4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73623874</v>
      </c>
      <c r="I40" s="56" cm="1">
        <f t="array" ref="I4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46139</v>
      </c>
      <c r="J40" s="56" t="str" cm="1">
        <f t="array" ref="J4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0" s="56" t="str" cm="1">
        <f t="array" ref="K4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0" s="56"/>
      <c r="M40" s="5">
        <f>DATA_MARZO_202659[[#This Row],[RECUPERO]]/DATA_MARZO_202659[[#This Row],[META]]</f>
        <v>1.2295199999999999</v>
      </c>
      <c r="N40" s="54" t="str" cm="1">
        <f t="array" ref="N40">IF(DATA_MARZO_202659[[#This Row],[ASER_]]="","",IFERROR(_xlfn.IFS(M40&gt;=100%,"&gt;100%",AND(M40&lt;100%,M40&gt;=70%),"&gt;70%",AND(M40&lt;70%,M40&gt;=40%),"&gt;40%",AND(M40&lt;40%,M40&gt;=0%),"&gt;0%"),""))</f>
        <v>&gt;100%</v>
      </c>
      <c r="O40" s="55" t="str">
        <f>IFERROR(VLOOKUP(DATA_MARZO_202659[[#This Row],[ASER_]],$B:$G,4,0),"")</f>
        <v>LEONOR</v>
      </c>
      <c r="P40" s="6">
        <f>VLOOKUP(DATA_MARZO_202659[[#This Row],[ASER_]],D1_MARZO_202660[[ASESOR_CRR]:[RECUPERO]],6,0)</f>
        <v>30738</v>
      </c>
      <c r="Q40" s="6">
        <f>VLOOKUP(DATA_MARZO_202659[[#This Row],[ASER_]],D1_MARZO_202660[[ASESOR_CRR]:[META]],2,0)</f>
        <v>25000</v>
      </c>
      <c r="R40" t="s">
        <v>109</v>
      </c>
      <c r="S40">
        <v>0</v>
      </c>
      <c r="T40">
        <v>2490</v>
      </c>
      <c r="U40">
        <v>0</v>
      </c>
      <c r="V40">
        <v>0</v>
      </c>
      <c r="W40" s="5">
        <v>0</v>
      </c>
      <c r="X40" s="6">
        <v>4715</v>
      </c>
      <c r="Y40" s="6">
        <v>0</v>
      </c>
      <c r="Z40" s="6">
        <v>5000</v>
      </c>
      <c r="AA40" s="6">
        <v>0</v>
      </c>
      <c r="AB40" s="6">
        <v>5000</v>
      </c>
      <c r="AC40" s="6">
        <v>273</v>
      </c>
      <c r="AD40" s="6">
        <v>4000</v>
      </c>
      <c r="AE40" s="6">
        <v>5500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3760</v>
      </c>
      <c r="AM40" s="55" t="str" cm="1">
        <f t="array" ref="AM40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40" s="45"/>
      <c r="AS40" s="45"/>
      <c r="AT40" s="45"/>
      <c r="AU40" s="45"/>
      <c r="AV40" s="45"/>
    </row>
    <row r="41" spans="1:48" x14ac:dyDescent="0.25">
      <c r="A41" s="34" t="str" cm="1">
        <f t="array" ref="A4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1" s="34" t="str" cm="1">
        <f t="array" ref="B41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PIERINA TESEN</v>
      </c>
      <c r="C41" s="34" cm="1">
        <f t="array" ref="C41">_xlfn.XLOOKUP(1,(TablaMeta[CONCAT]=$M$3&amp;$N$3&amp;D1_MARZO_202660[[#This Row],[SUPER]])*(TablaMeta[SEGG]=D1_MARZO_202660[[#This Row],[SEGMENTO]]),TablaMeta[Meta_Asesor])</f>
        <v>48500</v>
      </c>
      <c r="D41" s="35">
        <f>IF(D1_MARZO_202660[[#This Row],[RECUPERO]]="VACACIONES","VACACIONES",IFERROR(D1_MARZO_202660[[#This Row],[RECUPERO]]/D1_MARZO_202660[[#This Row],[META]],""))</f>
        <v>2.2298144329896905</v>
      </c>
      <c r="E41" s="35" t="str">
        <f>D1_MARZO_202660[[#This Row],[SUPER]]</f>
        <v>JOHAN</v>
      </c>
      <c r="F41" t="s">
        <v>59</v>
      </c>
      <c r="G41" s="3">
        <v>108146</v>
      </c>
      <c r="H41" cm="1">
        <f t="array" ref="H4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60870839</v>
      </c>
      <c r="I41" s="56" cm="1">
        <f t="array" ref="I4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45344</v>
      </c>
      <c r="J41" s="56" t="str" cm="1">
        <f t="array" ref="J4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1" s="56" t="str" cm="1">
        <f t="array" ref="K4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1" s="56"/>
      <c r="M41" s="5">
        <f>DATA_MARZO_202659[[#This Row],[RECUPERO]]/DATA_MARZO_202659[[#This Row],[META]]</f>
        <v>1.2205600000000001</v>
      </c>
      <c r="N41" s="54" t="str" cm="1">
        <f t="array" ref="N41">IF(DATA_MARZO_202659[[#This Row],[ASER_]]="","",IFERROR(_xlfn.IFS(M41&gt;=100%,"&gt;100%",AND(M41&lt;100%,M41&gt;=70%),"&gt;70%",AND(M41&lt;70%,M41&gt;=40%),"&gt;40%",AND(M41&lt;40%,M41&gt;=0%),"&gt;0%"),""))</f>
        <v>&gt;100%</v>
      </c>
      <c r="O41" s="55" t="str">
        <f>IFERROR(VLOOKUP(DATA_MARZO_202659[[#This Row],[ASER_]],$B:$G,4,0),"")</f>
        <v>LEONOR</v>
      </c>
      <c r="P41" s="6">
        <f>VLOOKUP(DATA_MARZO_202659[[#This Row],[ASER_]],D1_MARZO_202660[[ASESOR_CRR]:[RECUPERO]],6,0)</f>
        <v>30514</v>
      </c>
      <c r="Q41" s="6">
        <f>VLOOKUP(DATA_MARZO_202659[[#This Row],[ASER_]],D1_MARZO_202660[[ASESOR_CRR]:[META]],2,0)</f>
        <v>25000</v>
      </c>
      <c r="R41" t="s">
        <v>49</v>
      </c>
      <c r="S41">
        <v>0</v>
      </c>
      <c r="T41">
        <v>0</v>
      </c>
      <c r="U41">
        <v>0</v>
      </c>
      <c r="V41">
        <v>0</v>
      </c>
      <c r="W41" s="5">
        <v>0</v>
      </c>
      <c r="X41" s="6">
        <v>2000</v>
      </c>
      <c r="Y41" s="6">
        <v>3700</v>
      </c>
      <c r="Z41" s="6">
        <v>0</v>
      </c>
      <c r="AA41" s="6">
        <v>2400</v>
      </c>
      <c r="AB41" s="6">
        <v>600</v>
      </c>
      <c r="AC41" s="6">
        <v>1344</v>
      </c>
      <c r="AD41" s="6">
        <v>8400</v>
      </c>
      <c r="AE41" s="6">
        <v>0</v>
      </c>
      <c r="AF41" s="6">
        <v>0</v>
      </c>
      <c r="AG41" s="6">
        <v>1000</v>
      </c>
      <c r="AH41" s="6">
        <v>0</v>
      </c>
      <c r="AI41" s="6">
        <v>8000</v>
      </c>
      <c r="AJ41" s="6">
        <v>1000</v>
      </c>
      <c r="AK41" s="6">
        <v>300</v>
      </c>
      <c r="AL41" s="6">
        <v>1700</v>
      </c>
      <c r="AM41" s="55" t="str" cm="1">
        <f t="array" ref="AM41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41" s="45"/>
      <c r="AS41" s="45"/>
      <c r="AT41" s="45"/>
      <c r="AU41" s="45"/>
      <c r="AV41" s="45"/>
    </row>
    <row r="42" spans="1:48" x14ac:dyDescent="0.25">
      <c r="A42" s="34" t="str" cm="1">
        <f t="array" ref="A4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2" s="34" t="str" cm="1">
        <f t="array" ref="B42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CRISTINA TICONA</v>
      </c>
      <c r="C42" s="34" cm="1">
        <f t="array" ref="C42">_xlfn.XLOOKUP(1,(TablaMeta[CONCAT]=$M$3&amp;$N$3&amp;D1_MARZO_202660[[#This Row],[SUPER]])*(TablaMeta[SEGG]=D1_MARZO_202660[[#This Row],[SEGMENTO]]),TablaMeta[Meta_Asesor])</f>
        <v>48500</v>
      </c>
      <c r="D42" s="35">
        <f>IF(D1_MARZO_202660[[#This Row],[RECUPERO]]="VACACIONES","VACACIONES",IFERROR(D1_MARZO_202660[[#This Row],[RECUPERO]]/D1_MARZO_202660[[#This Row],[META]],""))</f>
        <v>1.1284329896907217</v>
      </c>
      <c r="E42" s="35" t="str">
        <f>D1_MARZO_202660[[#This Row],[SUPER]]</f>
        <v>JOHAN</v>
      </c>
      <c r="F42" t="s">
        <v>61</v>
      </c>
      <c r="G42" s="3">
        <v>54729</v>
      </c>
      <c r="H42" cm="1">
        <f t="array" ref="H4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44001162</v>
      </c>
      <c r="I42" s="56" cm="1">
        <f t="array" ref="I4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44907</v>
      </c>
      <c r="J42" s="56" t="str" cm="1">
        <f t="array" ref="J4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2" s="56" t="str" cm="1">
        <f t="array" ref="K4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2" s="56"/>
      <c r="M42" s="5">
        <f>DATA_MARZO_202659[[#This Row],[RECUPERO]]/DATA_MARZO_202659[[#This Row],[META]]</f>
        <v>1.0087999999999999</v>
      </c>
      <c r="N42" s="54" t="str" cm="1">
        <f t="array" ref="N42">IF(DATA_MARZO_202659[[#This Row],[ASER_]]="","",IFERROR(_xlfn.IFS(M42&gt;=100%,"&gt;100%",AND(M42&lt;100%,M42&gt;=70%),"&gt;70%",AND(M42&lt;70%,M42&gt;=40%),"&gt;40%",AND(M42&lt;40%,M42&gt;=0%),"&gt;0%"),""))</f>
        <v>&gt;100%</v>
      </c>
      <c r="O42" s="55" t="str">
        <f>IFERROR(VLOOKUP(DATA_MARZO_202659[[#This Row],[ASER_]],$B:$G,4,0),"")</f>
        <v>LEONOR</v>
      </c>
      <c r="P42" s="6">
        <f>VLOOKUP(DATA_MARZO_202659[[#This Row],[ASER_]],D1_MARZO_202660[[ASESOR_CRR]:[RECUPERO]],6,0)</f>
        <v>25220</v>
      </c>
      <c r="Q42" s="6">
        <f>VLOOKUP(DATA_MARZO_202659[[#This Row],[ASER_]],D1_MARZO_202660[[ASESOR_CRR]:[META]],2,0)</f>
        <v>25000</v>
      </c>
      <c r="R42" t="s">
        <v>495</v>
      </c>
      <c r="S42">
        <v>100</v>
      </c>
      <c r="T42">
        <v>0</v>
      </c>
      <c r="U42">
        <v>250</v>
      </c>
      <c r="V42">
        <v>1500</v>
      </c>
      <c r="W42" s="5">
        <v>50</v>
      </c>
      <c r="X42" s="6">
        <v>0</v>
      </c>
      <c r="Y42" s="6">
        <v>410</v>
      </c>
      <c r="Z42" s="6">
        <v>7350</v>
      </c>
      <c r="AA42" s="6">
        <v>0</v>
      </c>
      <c r="AB42" s="6">
        <v>1350</v>
      </c>
      <c r="AC42" s="6">
        <v>0</v>
      </c>
      <c r="AD42" s="6">
        <v>0</v>
      </c>
      <c r="AE42" s="6">
        <v>0</v>
      </c>
      <c r="AF42" s="6">
        <v>4200</v>
      </c>
      <c r="AG42" s="6">
        <v>1050</v>
      </c>
      <c r="AH42" s="6">
        <v>3460</v>
      </c>
      <c r="AI42" s="6">
        <v>4050</v>
      </c>
      <c r="AJ42" s="6">
        <v>0</v>
      </c>
      <c r="AK42" s="6">
        <v>1220</v>
      </c>
      <c r="AL42" s="6">
        <v>680</v>
      </c>
      <c r="AM42" s="55" t="str" cm="1">
        <f t="array" ref="AM42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42" s="45"/>
      <c r="AS42" s="45"/>
      <c r="AT42" s="45"/>
      <c r="AU42" s="45"/>
      <c r="AV42" s="45"/>
    </row>
    <row r="43" spans="1:48" x14ac:dyDescent="0.25">
      <c r="A43" s="34" t="str" cm="1">
        <f t="array" ref="A4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3" s="34" t="str" cm="1">
        <f t="array" ref="B43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DANIEL ZAPATA</v>
      </c>
      <c r="C43" s="34" cm="1">
        <f t="array" ref="C43">_xlfn.XLOOKUP(1,(TablaMeta[CONCAT]=$M$3&amp;$N$3&amp;D1_MARZO_202660[[#This Row],[SUPER]])*(TablaMeta[SEGG]=D1_MARZO_202660[[#This Row],[SEGMENTO]]),TablaMeta[Meta_Asesor])</f>
        <v>48500</v>
      </c>
      <c r="D43" s="35">
        <f>IF(D1_MARZO_202660[[#This Row],[RECUPERO]]="VACACIONES","VACACIONES",IFERROR(D1_MARZO_202660[[#This Row],[RECUPERO]]/D1_MARZO_202660[[#This Row],[META]],""))</f>
        <v>0.96927835051546396</v>
      </c>
      <c r="E43" s="35" t="str">
        <f>D1_MARZO_202660[[#This Row],[SUPER]]</f>
        <v>JOHAN</v>
      </c>
      <c r="F43" t="s">
        <v>80</v>
      </c>
      <c r="G43" s="3">
        <v>47010</v>
      </c>
      <c r="H43" cm="1">
        <f t="array" ref="H4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45084594</v>
      </c>
      <c r="I43" s="56" cm="1">
        <f t="array" ref="I4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45281</v>
      </c>
      <c r="J43" s="56" t="str" cm="1">
        <f t="array" ref="J4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3" s="56" t="str" cm="1">
        <f t="array" ref="K4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3" s="56"/>
      <c r="M43" s="5">
        <f>DATA_MARZO_202659[[#This Row],[RECUPERO]]/DATA_MARZO_202659[[#This Row],[META]]</f>
        <v>0.88903030303030306</v>
      </c>
      <c r="N43" s="54" t="str" cm="1">
        <f t="array" ref="N43">IF(DATA_MARZO_202659[[#This Row],[ASER_]]="","",IFERROR(_xlfn.IFS(M43&gt;=100%,"&gt;100%",AND(M43&lt;100%,M43&gt;=70%),"&gt;70%",AND(M43&lt;70%,M43&gt;=40%),"&gt;40%",AND(M43&lt;40%,M43&gt;=0%),"&gt;0%"),""))</f>
        <v>&gt;70%</v>
      </c>
      <c r="O43" s="55" t="str">
        <f>IFERROR(VLOOKUP(DATA_MARZO_202659[[#This Row],[ASER_]],$B:$G,4,0),"")</f>
        <v>LEONOR</v>
      </c>
      <c r="P43" s="6">
        <f>VLOOKUP(DATA_MARZO_202659[[#This Row],[ASER_]],D1_MARZO_202660[[ASESOR_CRR]:[RECUPERO]],6,0)</f>
        <v>14669</v>
      </c>
      <c r="Q43" s="6">
        <f>VLOOKUP(DATA_MARZO_202659[[#This Row],[ASER_]],D1_MARZO_202660[[ASESOR_CRR]:[META]],2,0)</f>
        <v>16500</v>
      </c>
      <c r="R43" t="s">
        <v>41</v>
      </c>
      <c r="S43">
        <v>2086</v>
      </c>
      <c r="T43">
        <v>300</v>
      </c>
      <c r="U43">
        <v>608</v>
      </c>
      <c r="V43">
        <v>0</v>
      </c>
      <c r="W43" s="5">
        <v>0</v>
      </c>
      <c r="X43" s="6">
        <v>0</v>
      </c>
      <c r="Y43" s="6">
        <v>1100</v>
      </c>
      <c r="Z43" s="6">
        <v>250</v>
      </c>
      <c r="AA43" s="6">
        <v>0</v>
      </c>
      <c r="AB43" s="6">
        <v>2900</v>
      </c>
      <c r="AC43" s="6">
        <v>562</v>
      </c>
      <c r="AD43" s="6">
        <v>0</v>
      </c>
      <c r="AE43" s="6">
        <v>0</v>
      </c>
      <c r="AF43" s="6">
        <v>0</v>
      </c>
      <c r="AG43" s="6">
        <v>0</v>
      </c>
      <c r="AH43" s="6">
        <v>3000</v>
      </c>
      <c r="AI43" s="6">
        <v>0</v>
      </c>
      <c r="AJ43" s="6">
        <v>1100</v>
      </c>
      <c r="AK43" s="6">
        <v>300</v>
      </c>
      <c r="AL43" s="6">
        <v>2463</v>
      </c>
      <c r="AM43" s="55" t="str" cm="1">
        <f t="array" ref="AM43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R43" s="45"/>
      <c r="AS43" s="45"/>
      <c r="AT43" s="45"/>
      <c r="AU43" s="45"/>
      <c r="AV43" s="45"/>
    </row>
    <row r="44" spans="1:48" x14ac:dyDescent="0.25">
      <c r="A44" s="34" t="str" cm="1">
        <f t="array" ref="A4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4" s="34" t="str" cm="1">
        <f t="array" ref="B44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MARIA TINTAYA</v>
      </c>
      <c r="C44" s="34" cm="1">
        <f t="array" ref="C44">_xlfn.XLOOKUP(1,(TablaMeta[CONCAT]=$M$3&amp;$N$3&amp;D1_MARZO_202660[[#This Row],[SUPER]])*(TablaMeta[SEGG]=D1_MARZO_202660[[#This Row],[SEGMENTO]]),TablaMeta[Meta_Asesor])</f>
        <v>48500</v>
      </c>
      <c r="D44" s="35">
        <f>IF(D1_MARZO_202660[[#This Row],[RECUPERO]]="VACACIONES","VACACIONES",IFERROR(D1_MARZO_202660[[#This Row],[RECUPERO]]/D1_MARZO_202660[[#This Row],[META]],""))</f>
        <v>0.90045360824742271</v>
      </c>
      <c r="E44" s="35" t="str">
        <f>D1_MARZO_202660[[#This Row],[SUPER]]</f>
        <v>JOHAN</v>
      </c>
      <c r="F44" t="s">
        <v>75</v>
      </c>
      <c r="G44" s="3">
        <v>43672</v>
      </c>
      <c r="H44" cm="1">
        <f t="array" ref="H4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71264767</v>
      </c>
      <c r="I44" s="56" cm="1">
        <f t="array" ref="I4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44714</v>
      </c>
      <c r="J44" s="56" t="str" cm="1">
        <f t="array" ref="J4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4" s="56" t="str" cm="1">
        <f t="array" ref="K4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4" s="56"/>
      <c r="M44" s="5">
        <f>DATA_MARZO_202659[[#This Row],[RECUPERO]]/DATA_MARZO_202659[[#This Row],[META]]</f>
        <v>0.89684848484848489</v>
      </c>
      <c r="N44" s="54" t="str" cm="1">
        <f t="array" ref="N44">IF(DATA_MARZO_202659[[#This Row],[ASER_]]="","",IFERROR(_xlfn.IFS(M44&gt;=100%,"&gt;100%",AND(M44&lt;100%,M44&gt;=70%),"&gt;70%",AND(M44&lt;70%,M44&gt;=40%),"&gt;40%",AND(M44&lt;40%,M44&gt;=0%),"&gt;0%"),""))</f>
        <v>&gt;70%</v>
      </c>
      <c r="O44" s="55" t="str">
        <f>IFERROR(VLOOKUP(DATA_MARZO_202659[[#This Row],[ASER_]],$B:$G,4,0),"")</f>
        <v>LEONOR</v>
      </c>
      <c r="P44" s="6">
        <f>VLOOKUP(DATA_MARZO_202659[[#This Row],[ASER_]],D1_MARZO_202660[[ASESOR_CRR]:[RECUPERO]],6,0)</f>
        <v>14798</v>
      </c>
      <c r="Q44" s="6">
        <f>VLOOKUP(DATA_MARZO_202659[[#This Row],[ASER_]],D1_MARZO_202660[[ASESOR_CRR]:[META]],2,0)</f>
        <v>16500</v>
      </c>
      <c r="R44" t="s">
        <v>549</v>
      </c>
      <c r="S44">
        <v>1800</v>
      </c>
      <c r="T44">
        <v>874</v>
      </c>
      <c r="U44">
        <v>0</v>
      </c>
      <c r="V44">
        <v>474</v>
      </c>
      <c r="W44" s="5">
        <v>150</v>
      </c>
      <c r="X44" s="6">
        <v>0</v>
      </c>
      <c r="Y44" s="6">
        <v>2000</v>
      </c>
      <c r="Z44" s="6">
        <v>3000</v>
      </c>
      <c r="AA44" s="6">
        <v>0</v>
      </c>
      <c r="AB44" s="6">
        <v>600</v>
      </c>
      <c r="AC44" s="6">
        <v>0</v>
      </c>
      <c r="AD44" s="6">
        <v>0</v>
      </c>
      <c r="AE44" s="6">
        <v>1200</v>
      </c>
      <c r="AF44" s="6">
        <v>1500</v>
      </c>
      <c r="AG44" s="6">
        <v>0</v>
      </c>
      <c r="AH44" s="6">
        <v>0</v>
      </c>
      <c r="AI44" s="6">
        <v>200</v>
      </c>
      <c r="AJ44" s="6">
        <v>2000</v>
      </c>
      <c r="AK44" s="6">
        <v>0</v>
      </c>
      <c r="AL44" s="6">
        <v>1000</v>
      </c>
      <c r="AM44" s="55" t="str" cm="1">
        <f t="array" ref="AM44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R44" s="45"/>
      <c r="AS44" s="45"/>
      <c r="AT44" s="45"/>
      <c r="AU44" s="45"/>
      <c r="AV44" s="45"/>
    </row>
    <row r="45" spans="1:48" x14ac:dyDescent="0.25">
      <c r="A45" s="34" t="str" cm="1">
        <f t="array" ref="A4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5" s="34" t="str" cm="1">
        <f t="array" ref="B45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ANALUCIA PONCE</v>
      </c>
      <c r="C45" s="34" cm="1">
        <f t="array" ref="C45">_xlfn.XLOOKUP(1,(TablaMeta[CONCAT]=$M$3&amp;$N$3&amp;D1_MARZO_202660[[#This Row],[SUPER]])*(TablaMeta[SEGG]=D1_MARZO_202660[[#This Row],[SEGMENTO]]),TablaMeta[Meta_Asesor])</f>
        <v>48500</v>
      </c>
      <c r="D45" s="35">
        <f>IF(D1_MARZO_202660[[#This Row],[RECUPERO]]="VACACIONES","VACACIONES",IFERROR(D1_MARZO_202660[[#This Row],[RECUPERO]]/D1_MARZO_202660[[#This Row],[META]],""))</f>
        <v>0.7580412371134021</v>
      </c>
      <c r="E45" s="35" t="str">
        <f>D1_MARZO_202660[[#This Row],[SUPER]]</f>
        <v>JOHAN</v>
      </c>
      <c r="F45" t="s">
        <v>60</v>
      </c>
      <c r="G45" s="3">
        <v>36765</v>
      </c>
      <c r="H45" cm="1">
        <f t="array" ref="H4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72839865</v>
      </c>
      <c r="I45" s="56" cm="1">
        <f t="array" ref="I4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45854</v>
      </c>
      <c r="J45" s="56" t="str" cm="1">
        <f t="array" ref="J4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5" s="56" t="str" cm="1">
        <f t="array" ref="K4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5" s="56"/>
      <c r="M45" s="5">
        <f>DATA_MARZO_202659[[#This Row],[RECUPERO]]/DATA_MARZO_202659[[#This Row],[META]]</f>
        <v>0.4946060606060606</v>
      </c>
      <c r="N45" s="54" t="str" cm="1">
        <f t="array" ref="N45">IF(DATA_MARZO_202659[[#This Row],[ASER_]]="","",IFERROR(_xlfn.IFS(M45&gt;=100%,"&gt;100%",AND(M45&lt;100%,M45&gt;=70%),"&gt;70%",AND(M45&lt;70%,M45&gt;=40%),"&gt;40%",AND(M45&lt;40%,M45&gt;=0%),"&gt;0%"),""))</f>
        <v>&gt;40%</v>
      </c>
      <c r="O45" s="55" t="str">
        <f>IFERROR(VLOOKUP(DATA_MARZO_202659[[#This Row],[ASER_]],$B:$G,4,0),"")</f>
        <v>LEONOR</v>
      </c>
      <c r="P45" s="6">
        <f>VLOOKUP(DATA_MARZO_202659[[#This Row],[ASER_]],D1_MARZO_202660[[ASESOR_CRR]:[RECUPERO]],6,0)</f>
        <v>8161</v>
      </c>
      <c r="Q45" s="6">
        <f>VLOOKUP(DATA_MARZO_202659[[#This Row],[ASER_]],D1_MARZO_202660[[ASESOR_CRR]:[META]],2,0)</f>
        <v>16500</v>
      </c>
      <c r="R45" t="s">
        <v>557</v>
      </c>
      <c r="S45">
        <v>0</v>
      </c>
      <c r="T45">
        <v>80</v>
      </c>
      <c r="U45">
        <v>0</v>
      </c>
      <c r="V45">
        <v>0</v>
      </c>
      <c r="W45">
        <v>351</v>
      </c>
      <c r="X45" s="5">
        <v>1180</v>
      </c>
      <c r="Y45" s="6">
        <v>300</v>
      </c>
      <c r="Z45" s="6">
        <v>1000</v>
      </c>
      <c r="AA45" s="6">
        <v>0</v>
      </c>
      <c r="AB45" s="6">
        <v>150</v>
      </c>
      <c r="AC45" s="6">
        <v>180</v>
      </c>
      <c r="AD45" s="6">
        <v>0</v>
      </c>
      <c r="AE45" s="6">
        <v>0</v>
      </c>
      <c r="AF45" s="6">
        <v>350</v>
      </c>
      <c r="AG45" s="6">
        <v>0</v>
      </c>
      <c r="AH45" s="6">
        <v>1000</v>
      </c>
      <c r="AI45" s="6">
        <v>0</v>
      </c>
      <c r="AJ45" s="6">
        <v>0</v>
      </c>
      <c r="AK45" s="6">
        <v>3350</v>
      </c>
      <c r="AL45" s="6">
        <v>220</v>
      </c>
      <c r="AM45" s="55" t="str" cm="1">
        <f t="array" ref="AM45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R45" s="45"/>
      <c r="AS45" s="45"/>
      <c r="AT45" s="45"/>
      <c r="AU45" s="45"/>
      <c r="AV45" s="45"/>
    </row>
    <row r="46" spans="1:48" x14ac:dyDescent="0.25">
      <c r="A46" s="34" t="str" cm="1">
        <f t="array" ref="A4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6" s="34" t="str" cm="1">
        <f t="array" ref="B46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GENESIS VICUNA</v>
      </c>
      <c r="C46" s="34" cm="1">
        <f t="array" ref="C46">_xlfn.XLOOKUP(1,(TablaMeta[CONCAT]=$M$3&amp;$N$3&amp;D1_MARZO_202660[[#This Row],[SUPER]])*(TablaMeta[SEGG]=D1_MARZO_202660[[#This Row],[SEGMENTO]]),TablaMeta[Meta_Asesor])</f>
        <v>48500</v>
      </c>
      <c r="D46" s="35">
        <f>IF(D1_MARZO_202660[[#This Row],[RECUPERO]]="VACACIONES","VACACIONES",IFERROR(D1_MARZO_202660[[#This Row],[RECUPERO]]/D1_MARZO_202660[[#This Row],[META]],""))</f>
        <v>0.63148453608247423</v>
      </c>
      <c r="E46" s="35" t="str">
        <f>D1_MARZO_202660[[#This Row],[SUPER]]</f>
        <v>JOHAN</v>
      </c>
      <c r="F46" t="s">
        <v>12</v>
      </c>
      <c r="G46" s="3">
        <v>30627</v>
      </c>
      <c r="H46" cm="1">
        <f t="array" ref="H4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45262585</v>
      </c>
      <c r="I46" s="56" cm="1">
        <f t="array" ref="I4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44868</v>
      </c>
      <c r="J46" s="56" t="str" cm="1">
        <f t="array" ref="J4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6" s="56" t="str" cm="1">
        <f t="array" ref="K4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6" s="56"/>
      <c r="M46" s="5">
        <f>DATA_MARZO_202659[[#This Row],[RECUPERO]]/DATA_MARZO_202659[[#This Row],[META]]</f>
        <v>0.38642424242424245</v>
      </c>
      <c r="N46" s="54" t="str" cm="1">
        <f t="array" ref="N46">IF(DATA_MARZO_202659[[#This Row],[ASER_]]="","",IFERROR(_xlfn.IFS(M46&gt;=100%,"&gt;100%",AND(M46&lt;100%,M46&gt;=70%),"&gt;70%",AND(M46&lt;70%,M46&gt;=40%),"&gt;40%",AND(M46&lt;40%,M46&gt;=0%),"&gt;0%"),""))</f>
        <v>&gt;0%</v>
      </c>
      <c r="O46" s="55" t="str">
        <f>IFERROR(VLOOKUP(DATA_MARZO_202659[[#This Row],[ASER_]],$B:$G,4,0),"")</f>
        <v>LEONOR</v>
      </c>
      <c r="P46" s="6">
        <f>VLOOKUP(DATA_MARZO_202659[[#This Row],[ASER_]],D1_MARZO_202660[[ASESOR_CRR]:[RECUPERO]],6,0)</f>
        <v>6376</v>
      </c>
      <c r="Q46" s="6">
        <f>VLOOKUP(DATA_MARZO_202659[[#This Row],[ASER_]],D1_MARZO_202660[[ASESOR_CRR]:[META]],2,0)</f>
        <v>16500</v>
      </c>
      <c r="R46" t="s">
        <v>599</v>
      </c>
      <c r="S46">
        <v>0</v>
      </c>
      <c r="T46">
        <v>0</v>
      </c>
      <c r="U46">
        <v>0</v>
      </c>
      <c r="V46">
        <v>0</v>
      </c>
      <c r="W46">
        <v>0</v>
      </c>
      <c r="X46" s="5">
        <v>0</v>
      </c>
      <c r="Y46" s="6">
        <v>200</v>
      </c>
      <c r="Z46" s="6">
        <v>76</v>
      </c>
      <c r="AA46" s="6">
        <v>0</v>
      </c>
      <c r="AB46" s="6">
        <v>150</v>
      </c>
      <c r="AC46" s="6">
        <v>0</v>
      </c>
      <c r="AD46" s="6">
        <v>1000</v>
      </c>
      <c r="AE46" s="6">
        <v>700</v>
      </c>
      <c r="AF46" s="6">
        <v>0</v>
      </c>
      <c r="AG46" s="6">
        <v>0</v>
      </c>
      <c r="AH46" s="6">
        <v>1000</v>
      </c>
      <c r="AI46" s="6">
        <v>250</v>
      </c>
      <c r="AJ46" s="6">
        <v>1500</v>
      </c>
      <c r="AK46" s="6">
        <v>0</v>
      </c>
      <c r="AL46" s="6">
        <v>1500</v>
      </c>
      <c r="AM46" s="55" t="str" cm="1">
        <f t="array" ref="AM46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R46" s="45"/>
      <c r="AS46" s="45"/>
      <c r="AT46" s="45"/>
      <c r="AU46" s="45"/>
      <c r="AV46" s="45"/>
    </row>
    <row r="47" spans="1:48" x14ac:dyDescent="0.25">
      <c r="A47" s="34" t="str" cm="1">
        <f t="array" ref="A4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7" s="34" t="str" cm="1">
        <f t="array" ref="B47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ERIKA VILLAR</v>
      </c>
      <c r="C47" s="34" cm="1">
        <f t="array" ref="C47">_xlfn.XLOOKUP(1,(TablaMeta[CONCAT]=$M$3&amp;$N$3&amp;D1_MARZO_202660[[#This Row],[SUPER]])*(TablaMeta[SEGG]=D1_MARZO_202660[[#This Row],[SEGMENTO]]),TablaMeta[Meta_Asesor])</f>
        <v>48500</v>
      </c>
      <c r="D47" s="35">
        <f>IF(D1_MARZO_202660[[#This Row],[RECUPERO]]="VACACIONES","VACACIONES",IFERROR(D1_MARZO_202660[[#This Row],[RECUPERO]]/D1_MARZO_202660[[#This Row],[META]],""))</f>
        <v>0.61006185567010307</v>
      </c>
      <c r="E47" s="35" t="str">
        <f>D1_MARZO_202660[[#This Row],[SUPER]]</f>
        <v>JOHAN</v>
      </c>
      <c r="F47" t="s">
        <v>72</v>
      </c>
      <c r="G47" s="3">
        <v>29588</v>
      </c>
      <c r="H47" cm="1">
        <f t="array" ref="H4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47690367</v>
      </c>
      <c r="I47" s="56" cm="1">
        <f t="array" ref="I4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45691</v>
      </c>
      <c r="J47" s="56" t="str" cm="1">
        <f t="array" ref="J4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7" s="56" t="str" cm="1">
        <f t="array" ref="K4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7" s="56"/>
      <c r="M47" s="5">
        <f>DATA_MARZO_202659[[#This Row],[RECUPERO]]/DATA_MARZO_202659[[#This Row],[META]]</f>
        <v>0.25757575757575757</v>
      </c>
      <c r="N47" s="54" t="str" cm="1">
        <f t="array" ref="N47">IF(DATA_MARZO_202659[[#This Row],[ASER_]]="","",IFERROR(_xlfn.IFS(M47&gt;=100%,"&gt;100%",AND(M47&lt;100%,M47&gt;=70%),"&gt;70%",AND(M47&lt;70%,M47&gt;=40%),"&gt;40%",AND(M47&lt;40%,M47&gt;=0%),"&gt;0%"),""))</f>
        <v>&gt;0%</v>
      </c>
      <c r="O47" s="55" t="str">
        <f>IFERROR(VLOOKUP(DATA_MARZO_202659[[#This Row],[ASER_]],$B:$G,4,0),"")</f>
        <v>LEONOR</v>
      </c>
      <c r="P47" s="6">
        <f>VLOOKUP(DATA_MARZO_202659[[#This Row],[ASER_]],D1_MARZO_202660[[ASESOR_CRR]:[RECUPERO]],6,0)</f>
        <v>4250</v>
      </c>
      <c r="Q47" s="6">
        <f>VLOOKUP(DATA_MARZO_202659[[#This Row],[ASER_]],D1_MARZO_202660[[ASESOR_CRR]:[META]],2,0)</f>
        <v>16500</v>
      </c>
      <c r="R47" t="s">
        <v>566</v>
      </c>
      <c r="S47">
        <v>0</v>
      </c>
      <c r="T47">
        <v>400</v>
      </c>
      <c r="U47">
        <v>0</v>
      </c>
      <c r="V47">
        <v>0</v>
      </c>
      <c r="W47">
        <v>0</v>
      </c>
      <c r="X47" s="5">
        <v>300</v>
      </c>
      <c r="Y47" s="6">
        <v>0</v>
      </c>
      <c r="Z47" s="6">
        <v>0</v>
      </c>
      <c r="AA47" s="6">
        <v>0</v>
      </c>
      <c r="AB47" s="6">
        <v>1400</v>
      </c>
      <c r="AC47" s="6">
        <v>350</v>
      </c>
      <c r="AD47" s="6">
        <v>0</v>
      </c>
      <c r="AE47" s="6">
        <v>0</v>
      </c>
      <c r="AF47" s="6">
        <v>0</v>
      </c>
      <c r="AG47" s="6">
        <v>0</v>
      </c>
      <c r="AH47" s="6">
        <v>650</v>
      </c>
      <c r="AI47" s="6">
        <v>250</v>
      </c>
      <c r="AJ47" s="6">
        <v>0</v>
      </c>
      <c r="AK47" s="6">
        <v>0</v>
      </c>
      <c r="AL47" s="6">
        <v>900</v>
      </c>
      <c r="AM47" s="55" t="str" cm="1">
        <f t="array" ref="AM47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R47" s="45"/>
      <c r="AS47" s="45"/>
      <c r="AT47" s="45"/>
      <c r="AU47" s="45"/>
      <c r="AV47" s="45"/>
    </row>
    <row r="48" spans="1:48" x14ac:dyDescent="0.25">
      <c r="A48" s="34" t="str" cm="1">
        <f t="array" ref="A4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8" s="34" t="str" cm="1">
        <f t="array" ref="B48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JENY LAZARO</v>
      </c>
      <c r="C48" s="34" cm="1">
        <f t="array" ref="C48">_xlfn.XLOOKUP(1,(TablaMeta[CONCAT]=$M$3&amp;$N$3&amp;D1_MARZO_202660[[#This Row],[SUPER]])*(TablaMeta[SEGG]=D1_MARZO_202660[[#This Row],[SEGMENTO]]),TablaMeta[Meta_Asesor])</f>
        <v>48500</v>
      </c>
      <c r="D48" s="35">
        <f>IF(D1_MARZO_202660[[#This Row],[RECUPERO]]="VACACIONES","VACACIONES",IFERROR(D1_MARZO_202660[[#This Row],[RECUPERO]]/D1_MARZO_202660[[#This Row],[META]],""))</f>
        <v>0.53338144329896908</v>
      </c>
      <c r="E48" s="35" t="str">
        <f>D1_MARZO_202660[[#This Row],[SUPER]]</f>
        <v>JOHAN</v>
      </c>
      <c r="F48" t="s">
        <v>26</v>
      </c>
      <c r="G48" s="3">
        <v>25869</v>
      </c>
      <c r="H48" cm="1">
        <f t="array" ref="H4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41005089</v>
      </c>
      <c r="I48" s="56" cm="1">
        <f t="array" ref="I4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44257</v>
      </c>
      <c r="J48" s="56" t="str" cm="1">
        <f t="array" ref="J4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8" s="56" t="str" cm="1">
        <f t="array" ref="K48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8" s="56"/>
      <c r="M48" s="5">
        <f>DATA_MARZO_202659[[#This Row],[RECUPERO]]/DATA_MARZO_202659[[#This Row],[META]]</f>
        <v>0.04</v>
      </c>
      <c r="N48" s="54" t="str" cm="1">
        <f t="array" ref="N48">IF(DATA_MARZO_202659[[#This Row],[ASER_]]="","",IFERROR(_xlfn.IFS(M48&gt;=100%,"&gt;100%",AND(M48&lt;100%,M48&gt;=70%),"&gt;70%",AND(M48&lt;70%,M48&gt;=40%),"&gt;40%",AND(M48&lt;40%,M48&gt;=0%),"&gt;0%"),""))</f>
        <v>&gt;0%</v>
      </c>
      <c r="O48" s="55" t="str">
        <f>IFERROR(VLOOKUP(DATA_MARZO_202659[[#This Row],[ASER_]],$B:$G,4,0),"")</f>
        <v>LEONOR</v>
      </c>
      <c r="P48" s="6">
        <f>VLOOKUP(DATA_MARZO_202659[[#This Row],[ASER_]],D1_MARZO_202660[[ASESOR_CRR]:[RECUPERO]],6,0)</f>
        <v>1000</v>
      </c>
      <c r="Q48" s="6">
        <f>VLOOKUP(DATA_MARZO_202659[[#This Row],[ASER_]],D1_MARZO_202660[[ASESOR_CRR]:[META]],2,0)</f>
        <v>25000</v>
      </c>
      <c r="R48" t="s">
        <v>600</v>
      </c>
      <c r="S48">
        <v>0</v>
      </c>
      <c r="T48">
        <v>0</v>
      </c>
      <c r="U48">
        <v>0</v>
      </c>
      <c r="V48">
        <v>0</v>
      </c>
      <c r="W48">
        <v>0</v>
      </c>
      <c r="X48" s="5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1000</v>
      </c>
      <c r="AK48" s="6">
        <v>0</v>
      </c>
      <c r="AL48" s="6">
        <v>0</v>
      </c>
      <c r="AM48" s="55" t="str" cm="1">
        <f t="array" ref="AM48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R48" s="45"/>
      <c r="AS48" s="45"/>
      <c r="AT48" s="45"/>
      <c r="AU48" s="45"/>
      <c r="AV48" s="45"/>
    </row>
    <row r="49" spans="1:48" x14ac:dyDescent="0.25">
      <c r="A49" s="34" t="str" cm="1">
        <f t="array" ref="A4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49" s="34" t="str" cm="1">
        <f t="array" ref="B49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ALEIDITH GUEVARA</v>
      </c>
      <c r="C49" s="34" cm="1">
        <f t="array" ref="C49">_xlfn.XLOOKUP(1,(TablaMeta[CONCAT]=$M$3&amp;$N$3&amp;D1_MARZO_202660[[#This Row],[SUPER]])*(TablaMeta[SEGG]=D1_MARZO_202660[[#This Row],[SEGMENTO]]),TablaMeta[Meta_Asesor])</f>
        <v>48500</v>
      </c>
      <c r="D49" s="35">
        <f>IF(D1_MARZO_202660[[#This Row],[RECUPERO]]="VACACIONES","VACACIONES",IFERROR(D1_MARZO_202660[[#This Row],[RECUPERO]]/D1_MARZO_202660[[#This Row],[META]],""))</f>
        <v>0.464680412371134</v>
      </c>
      <c r="E49" s="35" t="str">
        <f>D1_MARZO_202660[[#This Row],[SUPER]]</f>
        <v>JOHAN</v>
      </c>
      <c r="F49" t="s">
        <v>18</v>
      </c>
      <c r="G49" s="3">
        <v>22537</v>
      </c>
      <c r="H49" cm="1">
        <f t="array" ref="H4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76214436</v>
      </c>
      <c r="I49" s="56" cm="1">
        <f t="array" ref="I4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45132</v>
      </c>
      <c r="J49" s="56" t="str" cm="1">
        <f t="array" ref="J4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9" s="56" t="str" cm="1">
        <f t="array" ref="K49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9" s="56"/>
      <c r="M49" s="5">
        <f>DATA_MARZO_202659[[#This Row],[RECUPERO]]/DATA_MARZO_202659[[#This Row],[META]]</f>
        <v>2.2298144329896905</v>
      </c>
      <c r="N49" s="54" t="str" cm="1">
        <f t="array" ref="N49">IF(DATA_MARZO_202659[[#This Row],[ASER_]]="","",IFERROR(_xlfn.IFS(M49&gt;=100%,"&gt;100%",AND(M49&lt;100%,M49&gt;=70%),"&gt;70%",AND(M49&lt;70%,M49&gt;=40%),"&gt;40%",AND(M49&lt;40%,M49&gt;=0%),"&gt;0%"),""))</f>
        <v>&gt;100%</v>
      </c>
      <c r="O49" s="55" t="str">
        <f>IFERROR(VLOOKUP(DATA_MARZO_202659[[#This Row],[ASER_]],$B:$G,4,0),"")</f>
        <v>JOHAN</v>
      </c>
      <c r="P49" s="6">
        <f>VLOOKUP(DATA_MARZO_202659[[#This Row],[ASER_]],D1_MARZO_202660[[ASESOR_CRR]:[RECUPERO]],6,0)</f>
        <v>108146</v>
      </c>
      <c r="Q49" s="6">
        <f>VLOOKUP(DATA_MARZO_202659[[#This Row],[ASER_]],D1_MARZO_202660[[ASESOR_CRR]:[META]],2,0)</f>
        <v>48500</v>
      </c>
      <c r="R49" t="s">
        <v>59</v>
      </c>
      <c r="S49">
        <v>38348.5</v>
      </c>
      <c r="T49">
        <v>2400</v>
      </c>
      <c r="U49">
        <v>0</v>
      </c>
      <c r="V49">
        <v>6350</v>
      </c>
      <c r="W49">
        <v>1000</v>
      </c>
      <c r="X49" s="5">
        <v>7497</v>
      </c>
      <c r="Y49" s="6">
        <v>0</v>
      </c>
      <c r="Z49" s="6">
        <v>0</v>
      </c>
      <c r="AA49" s="6">
        <v>4600</v>
      </c>
      <c r="AB49" s="6">
        <v>750</v>
      </c>
      <c r="AC49" s="6">
        <v>0</v>
      </c>
      <c r="AD49" s="6">
        <v>210</v>
      </c>
      <c r="AE49" s="6">
        <v>20300</v>
      </c>
      <c r="AF49" s="6">
        <v>2000</v>
      </c>
      <c r="AG49" s="6">
        <v>1040</v>
      </c>
      <c r="AH49" s="6">
        <v>6200</v>
      </c>
      <c r="AI49" s="6">
        <v>2000</v>
      </c>
      <c r="AJ49" s="6">
        <v>0</v>
      </c>
      <c r="AK49" s="6">
        <v>0</v>
      </c>
      <c r="AL49" s="6">
        <v>15450.5</v>
      </c>
      <c r="AM49" s="55" t="str" cm="1">
        <f t="array" ref="AM49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R49" s="45"/>
      <c r="AS49" s="45"/>
      <c r="AT49" s="45"/>
      <c r="AU49" s="45"/>
      <c r="AV49" s="45"/>
    </row>
    <row r="50" spans="1:48" x14ac:dyDescent="0.25">
      <c r="A50" s="34" t="str" cm="1">
        <f t="array" ref="A5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50" s="34" t="str" cm="1">
        <f t="array" ref="B50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VERONICA TASAYCO</v>
      </c>
      <c r="C50" s="34" cm="1">
        <f t="array" ref="C50">_xlfn.XLOOKUP(1,(TablaMeta[CONCAT]=$M$3&amp;$N$3&amp;D1_MARZO_202660[[#This Row],[SUPER]])*(TablaMeta[SEGG]=D1_MARZO_202660[[#This Row],[SEGMENTO]]),TablaMeta[Meta_Asesor])</f>
        <v>48500</v>
      </c>
      <c r="D50" s="35">
        <f>IF(D1_MARZO_202660[[#This Row],[RECUPERO]]="VACACIONES","VACACIONES",IFERROR(D1_MARZO_202660[[#This Row],[RECUPERO]]/D1_MARZO_202660[[#This Row],[META]],""))</f>
        <v>0.39278350515463917</v>
      </c>
      <c r="E50" s="35" t="str">
        <f>D1_MARZO_202660[[#This Row],[SUPER]]</f>
        <v>JOHAN</v>
      </c>
      <c r="F50" t="s">
        <v>10</v>
      </c>
      <c r="G50" s="3">
        <v>19050</v>
      </c>
      <c r="H50" cm="1">
        <f t="array" ref="H5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40980108</v>
      </c>
      <c r="I50" s="56" cm="1">
        <f t="array" ref="I5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44704</v>
      </c>
      <c r="J50" s="56" t="str" cm="1">
        <f t="array" ref="J5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0" s="56" t="str" cm="1">
        <f t="array" ref="K50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0" s="56"/>
      <c r="M50" s="5">
        <f>DATA_MARZO_202659[[#This Row],[RECUPERO]]/DATA_MARZO_202659[[#This Row],[META]]</f>
        <v>0.7580412371134021</v>
      </c>
      <c r="N50" s="54" t="str" cm="1">
        <f t="array" ref="N50">IF(DATA_MARZO_202659[[#This Row],[ASER_]]="","",IFERROR(_xlfn.IFS(M50&gt;=100%,"&gt;100%",AND(M50&lt;100%,M50&gt;=70%),"&gt;70%",AND(M50&lt;70%,M50&gt;=40%),"&gt;40%",AND(M50&lt;40%,M50&gt;=0%),"&gt;0%"),""))</f>
        <v>&gt;70%</v>
      </c>
      <c r="O50" s="55" t="str">
        <f>IFERROR(VLOOKUP(DATA_MARZO_202659[[#This Row],[ASER_]],$B:$G,4,0),"")</f>
        <v>JOHAN</v>
      </c>
      <c r="P50" s="6">
        <f>VLOOKUP(DATA_MARZO_202659[[#This Row],[ASER_]],D1_MARZO_202660[[ASESOR_CRR]:[RECUPERO]],6,0)</f>
        <v>36765</v>
      </c>
      <c r="Q50" s="6">
        <f>VLOOKUP(DATA_MARZO_202659[[#This Row],[ASER_]],D1_MARZO_202660[[ASESOR_CRR]:[META]],2,0)</f>
        <v>48500</v>
      </c>
      <c r="R50" t="s">
        <v>60</v>
      </c>
      <c r="S50">
        <v>1000</v>
      </c>
      <c r="T50">
        <v>600</v>
      </c>
      <c r="U50">
        <v>1500</v>
      </c>
      <c r="V50">
        <v>0</v>
      </c>
      <c r="W50">
        <v>0</v>
      </c>
      <c r="X50" s="5">
        <v>0</v>
      </c>
      <c r="Y50" s="6">
        <v>0</v>
      </c>
      <c r="Z50" s="6">
        <v>0</v>
      </c>
      <c r="AA50" s="6">
        <v>0</v>
      </c>
      <c r="AB50" s="6">
        <v>500</v>
      </c>
      <c r="AC50" s="6">
        <v>4000</v>
      </c>
      <c r="AD50" s="6">
        <v>0</v>
      </c>
      <c r="AE50" s="6">
        <v>2000</v>
      </c>
      <c r="AF50" s="6">
        <v>0</v>
      </c>
      <c r="AG50" s="6">
        <v>11750</v>
      </c>
      <c r="AH50" s="6">
        <v>700</v>
      </c>
      <c r="AI50" s="6">
        <v>1001</v>
      </c>
      <c r="AJ50" s="6">
        <v>3000</v>
      </c>
      <c r="AK50" s="6">
        <v>630</v>
      </c>
      <c r="AL50" s="6">
        <v>8950</v>
      </c>
      <c r="AM50" s="55" t="str" cm="1">
        <f t="array" ref="AM50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R50" s="45"/>
      <c r="AS50" s="45"/>
      <c r="AT50" s="45"/>
      <c r="AU50" s="45"/>
      <c r="AV50" s="45"/>
    </row>
    <row r="51" spans="1:48" x14ac:dyDescent="0.25">
      <c r="A51" s="34" t="str" cm="1">
        <f t="array" ref="A5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JOHAN</v>
      </c>
      <c r="B51" s="34" t="str" cm="1">
        <f t="array" ref="B51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JEREMIAS ROJAS</v>
      </c>
      <c r="C51" s="34" cm="1">
        <f t="array" ref="C51">_xlfn.XLOOKUP(1,(TablaMeta[CONCAT]=$M$3&amp;$N$3&amp;D1_MARZO_202660[[#This Row],[SUPER]])*(TablaMeta[SEGG]=D1_MARZO_202660[[#This Row],[SEGMENTO]]),TablaMeta[Meta_Asesor])</f>
        <v>48500</v>
      </c>
      <c r="D51" s="35">
        <f>IF(D1_MARZO_202660[[#This Row],[RECUPERO]]="VACACIONES","VACACIONES",IFERROR(D1_MARZO_202660[[#This Row],[RECUPERO]]/D1_MARZO_202660[[#This Row],[META]],""))</f>
        <v>8.216494845360825E-2</v>
      </c>
      <c r="E51" s="35" t="str">
        <f>D1_MARZO_202660[[#This Row],[SUPER]]</f>
        <v>JOHAN</v>
      </c>
      <c r="F51" t="s">
        <v>122</v>
      </c>
      <c r="G51" s="3">
        <v>3985</v>
      </c>
      <c r="H51" cm="1">
        <f t="array" ref="H5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76586998</v>
      </c>
      <c r="I51" s="56" cm="1">
        <f t="array" ref="I5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45971</v>
      </c>
      <c r="J51" s="56" t="str" cm="1">
        <f t="array" ref="J5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CESADO</v>
      </c>
      <c r="K51" s="56" t="str" cm="1">
        <f t="array" ref="K51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1" s="56"/>
      <c r="M51" s="5">
        <f>DATA_MARZO_202659[[#This Row],[RECUPERO]]/DATA_MARZO_202659[[#This Row],[META]]</f>
        <v>0.90045360824742271</v>
      </c>
      <c r="N51" s="54" t="str" cm="1">
        <f t="array" ref="N51">IF(DATA_MARZO_202659[[#This Row],[ASER_]]="","",IFERROR(_xlfn.IFS(M51&gt;=100%,"&gt;100%",AND(M51&lt;100%,M51&gt;=70%),"&gt;70%",AND(M51&lt;70%,M51&gt;=40%),"&gt;40%",AND(M51&lt;40%,M51&gt;=0%),"&gt;0%"),""))</f>
        <v>&gt;70%</v>
      </c>
      <c r="O51" s="55" t="str">
        <f>IFERROR(VLOOKUP(DATA_MARZO_202659[[#This Row],[ASER_]],$B:$G,4,0),"")</f>
        <v>JOHAN</v>
      </c>
      <c r="P51" s="6">
        <f>VLOOKUP(DATA_MARZO_202659[[#This Row],[ASER_]],D1_MARZO_202660[[ASESOR_CRR]:[RECUPERO]],6,0)</f>
        <v>43672</v>
      </c>
      <c r="Q51" s="6">
        <f>VLOOKUP(DATA_MARZO_202659[[#This Row],[ASER_]],D1_MARZO_202660[[ASESOR_CRR]:[META]],2,0)</f>
        <v>48500</v>
      </c>
      <c r="R51" t="s">
        <v>75</v>
      </c>
      <c r="S51">
        <v>0</v>
      </c>
      <c r="T51">
        <v>0</v>
      </c>
      <c r="U51">
        <v>0</v>
      </c>
      <c r="V51">
        <v>900</v>
      </c>
      <c r="W51">
        <v>0</v>
      </c>
      <c r="X51" s="5">
        <v>0</v>
      </c>
      <c r="Y51" s="6">
        <v>0</v>
      </c>
      <c r="Z51" s="6">
        <v>0</v>
      </c>
      <c r="AA51" s="6">
        <v>2000</v>
      </c>
      <c r="AB51" s="6">
        <v>2933</v>
      </c>
      <c r="AC51" s="6">
        <v>2900</v>
      </c>
      <c r="AD51" s="6">
        <v>10750</v>
      </c>
      <c r="AE51" s="6">
        <v>0</v>
      </c>
      <c r="AF51" s="6">
        <v>2650</v>
      </c>
      <c r="AG51" s="6">
        <v>0</v>
      </c>
      <c r="AH51" s="6">
        <v>57</v>
      </c>
      <c r="AI51" s="6">
        <v>8500</v>
      </c>
      <c r="AJ51" s="6">
        <v>3237</v>
      </c>
      <c r="AK51" s="6">
        <v>3800</v>
      </c>
      <c r="AL51" s="6">
        <v>4500</v>
      </c>
      <c r="AM51" s="55" t="str" cm="1">
        <f t="array" ref="AM51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R51" s="45"/>
      <c r="AS51" s="45"/>
      <c r="AT51" s="45"/>
      <c r="AU51" s="45"/>
      <c r="AV51" s="45"/>
    </row>
    <row r="52" spans="1:48" x14ac:dyDescent="0.25">
      <c r="A52" s="34" t="str" cm="1">
        <f t="array" ref="A5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2" s="34" t="str" cm="1">
        <f t="array" ref="B52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JUAN ALANOCCA</v>
      </c>
      <c r="C52" s="34" cm="1">
        <f t="array" ref="C52">_xlfn.XLOOKUP(1,(TablaMeta[CONCAT]=$M$3&amp;$N$3&amp;D1_MARZO_202660[[#This Row],[SUPER]])*(TablaMeta[SEGG]=D1_MARZO_202660[[#This Row],[SEGMENTO]]),TablaMeta[Meta_Asesor])</f>
        <v>25000</v>
      </c>
      <c r="D52" s="35">
        <f>IF(D1_MARZO_202660[[#This Row],[RECUPERO]]="VACACIONES","VACACIONES",IFERROR(D1_MARZO_202660[[#This Row],[RECUPERO]]/D1_MARZO_202660[[#This Row],[META]],""))</f>
        <v>1.85192</v>
      </c>
      <c r="E52" s="35" t="str">
        <f>D1_MARZO_202660[[#This Row],[SUPER]]</f>
        <v>LEONOR</v>
      </c>
      <c r="F52" t="s">
        <v>77</v>
      </c>
      <c r="G52" s="3">
        <v>46298</v>
      </c>
      <c r="H52" cm="1">
        <f t="array" ref="H5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42251780</v>
      </c>
      <c r="I52" s="56" cm="1">
        <f t="array" ref="I5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44838</v>
      </c>
      <c r="J52" s="56" t="str" cm="1">
        <f t="array" ref="J5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2" s="56" t="str" cm="1">
        <f t="array" ref="K52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52" s="56"/>
      <c r="M52" s="5">
        <f>DATA_MARZO_202659[[#This Row],[RECUPERO]]/DATA_MARZO_202659[[#This Row],[META]]</f>
        <v>0.61006185567010307</v>
      </c>
      <c r="N52" s="54" t="str" cm="1">
        <f t="array" ref="N52">IF(DATA_MARZO_202659[[#This Row],[ASER_]]="","",IFERROR(_xlfn.IFS(M52&gt;=100%,"&gt;100%",AND(M52&lt;100%,M52&gt;=70%),"&gt;70%",AND(M52&lt;70%,M52&gt;=40%),"&gt;40%",AND(M52&lt;40%,M52&gt;=0%),"&gt;0%"),""))</f>
        <v>&gt;40%</v>
      </c>
      <c r="O52" s="55" t="str">
        <f>IFERROR(VLOOKUP(DATA_MARZO_202659[[#This Row],[ASER_]],$B:$G,4,0),"")</f>
        <v>JOHAN</v>
      </c>
      <c r="P52" s="6">
        <f>VLOOKUP(DATA_MARZO_202659[[#This Row],[ASER_]],D1_MARZO_202660[[ASESOR_CRR]:[RECUPERO]],6,0)</f>
        <v>29588</v>
      </c>
      <c r="Q52" s="6">
        <f>VLOOKUP(DATA_MARZO_202659[[#This Row],[ASER_]],D1_MARZO_202660[[ASESOR_CRR]:[META]],2,0)</f>
        <v>48500</v>
      </c>
      <c r="R52" t="s">
        <v>72</v>
      </c>
      <c r="S52">
        <v>4300</v>
      </c>
      <c r="T52">
        <v>0</v>
      </c>
      <c r="U52">
        <v>1300</v>
      </c>
      <c r="V52">
        <v>10000</v>
      </c>
      <c r="W52">
        <v>0</v>
      </c>
      <c r="X52" s="5">
        <v>0</v>
      </c>
      <c r="Y52" s="6">
        <v>0</v>
      </c>
      <c r="Z52" s="6">
        <v>0</v>
      </c>
      <c r="AA52" s="6">
        <v>5750</v>
      </c>
      <c r="AB52" s="6">
        <v>450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4788</v>
      </c>
      <c r="AI52" s="6">
        <v>0</v>
      </c>
      <c r="AJ52" s="6">
        <v>3000</v>
      </c>
      <c r="AK52" s="6">
        <v>0</v>
      </c>
      <c r="AL52" s="6">
        <v>5945</v>
      </c>
      <c r="AM52" s="55" t="str" cm="1">
        <f t="array" ref="AM52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R52" s="45"/>
      <c r="AS52" s="45"/>
      <c r="AT52" s="45"/>
      <c r="AU52" s="45"/>
      <c r="AV52" s="45"/>
    </row>
    <row r="53" spans="1:48" x14ac:dyDescent="0.25">
      <c r="A53" s="34" t="str" cm="1">
        <f t="array" ref="A5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3" s="34" t="str" cm="1">
        <f t="array" ref="B53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ALEJANDRO GONZALES</v>
      </c>
      <c r="C53" s="34" cm="1">
        <f t="array" ref="C53">_xlfn.XLOOKUP(1,(TablaMeta[CONCAT]=$M$3&amp;$N$3&amp;D1_MARZO_202660[[#This Row],[SUPER]])*(TablaMeta[SEGG]=D1_MARZO_202660[[#This Row],[SEGMENTO]]),TablaMeta[Meta_Asesor])</f>
        <v>25000</v>
      </c>
      <c r="D53" s="35">
        <f>IF(D1_MARZO_202660[[#This Row],[RECUPERO]]="VACACIONES","VACACIONES",IFERROR(D1_MARZO_202660[[#This Row],[RECUPERO]]/D1_MARZO_202660[[#This Row],[META]],""))</f>
        <v>1.2295199999999999</v>
      </c>
      <c r="E53" s="35" t="str">
        <f>D1_MARZO_202660[[#This Row],[SUPER]]</f>
        <v>LEONOR</v>
      </c>
      <c r="F53" t="s">
        <v>109</v>
      </c>
      <c r="G53" s="3">
        <v>30738</v>
      </c>
      <c r="H53" cm="1">
        <f t="array" ref="H5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74626735</v>
      </c>
      <c r="I53" s="56" cm="1">
        <f t="array" ref="I5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46024</v>
      </c>
      <c r="J53" s="56" t="str" cm="1">
        <f t="array" ref="J5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3" s="56" t="str" cm="1">
        <f t="array" ref="K53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53" s="56"/>
      <c r="M53" s="5">
        <f>DATA_MARZO_202659[[#This Row],[RECUPERO]]/DATA_MARZO_202659[[#This Row],[META]]</f>
        <v>0.63148453608247423</v>
      </c>
      <c r="N53" s="54" t="str" cm="1">
        <f t="array" ref="N53">IF(DATA_MARZO_202659[[#This Row],[ASER_]]="","",IFERROR(_xlfn.IFS(M53&gt;=100%,"&gt;100%",AND(M53&lt;100%,M53&gt;=70%),"&gt;70%",AND(M53&lt;70%,M53&gt;=40%),"&gt;40%",AND(M53&lt;40%,M53&gt;=0%),"&gt;0%"),""))</f>
        <v>&gt;40%</v>
      </c>
      <c r="O53" s="55" t="str">
        <f>IFERROR(VLOOKUP(DATA_MARZO_202659[[#This Row],[ASER_]],$B:$G,4,0),"")</f>
        <v>JOHAN</v>
      </c>
      <c r="P53" s="6">
        <f>VLOOKUP(DATA_MARZO_202659[[#This Row],[ASER_]],D1_MARZO_202660[[ASESOR_CRR]:[RECUPERO]],6,0)</f>
        <v>30627</v>
      </c>
      <c r="Q53" s="6">
        <f>VLOOKUP(DATA_MARZO_202659[[#This Row],[ASER_]],D1_MARZO_202660[[ASESOR_CRR]:[META]],2,0)</f>
        <v>48500</v>
      </c>
      <c r="R53" t="s">
        <v>12</v>
      </c>
      <c r="S53">
        <v>0</v>
      </c>
      <c r="T53">
        <v>0</v>
      </c>
      <c r="U53">
        <v>300</v>
      </c>
      <c r="V53">
        <v>0</v>
      </c>
      <c r="W53">
        <v>0</v>
      </c>
      <c r="X53" s="5">
        <v>0</v>
      </c>
      <c r="Y53" s="6">
        <v>0</v>
      </c>
      <c r="Z53" s="6">
        <v>0</v>
      </c>
      <c r="AA53" s="6">
        <v>0</v>
      </c>
      <c r="AB53" s="6">
        <v>928</v>
      </c>
      <c r="AC53" s="6">
        <v>3500</v>
      </c>
      <c r="AD53" s="6">
        <v>500</v>
      </c>
      <c r="AE53" s="6">
        <v>15000</v>
      </c>
      <c r="AF53" s="6">
        <v>0</v>
      </c>
      <c r="AG53" s="6">
        <v>950</v>
      </c>
      <c r="AH53" s="6">
        <v>0</v>
      </c>
      <c r="AI53" s="6">
        <v>6649</v>
      </c>
      <c r="AJ53" s="6">
        <v>250</v>
      </c>
      <c r="AK53" s="6">
        <v>0</v>
      </c>
      <c r="AL53" s="6">
        <v>10084</v>
      </c>
      <c r="AM53" s="55" t="str" cm="1">
        <f t="array" ref="AM53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4" spans="1:48" x14ac:dyDescent="0.25">
      <c r="A54" s="34" t="str" cm="1">
        <f t="array" ref="A5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4" s="34" t="str" cm="1">
        <f t="array" ref="B54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JANETH PORTOCARRERO</v>
      </c>
      <c r="C54" s="34" cm="1">
        <f t="array" ref="C54">_xlfn.XLOOKUP(1,(TablaMeta[CONCAT]=$M$3&amp;$N$3&amp;D1_MARZO_202660[[#This Row],[SUPER]])*(TablaMeta[SEGG]=D1_MARZO_202660[[#This Row],[SEGMENTO]]),TablaMeta[Meta_Asesor])</f>
        <v>25000</v>
      </c>
      <c r="D54" s="35">
        <f>IF(D1_MARZO_202660[[#This Row],[RECUPERO]]="VACACIONES","VACACIONES",IFERROR(D1_MARZO_202660[[#This Row],[RECUPERO]]/D1_MARZO_202660[[#This Row],[META]],""))</f>
        <v>1.2205600000000001</v>
      </c>
      <c r="E54" s="35" t="str">
        <f>D1_MARZO_202660[[#This Row],[SUPER]]</f>
        <v>LEONOR</v>
      </c>
      <c r="F54" t="s">
        <v>49</v>
      </c>
      <c r="G54" s="3">
        <v>30514</v>
      </c>
      <c r="H54" cm="1">
        <f t="array" ref="H5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40702064</v>
      </c>
      <c r="I54" s="56" cm="1">
        <f t="array" ref="I5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43313</v>
      </c>
      <c r="J54" s="56" t="str" cm="1">
        <f t="array" ref="J5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4" s="56" t="str" cm="1">
        <f t="array" ref="K54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M54" s="5">
        <f>DATA_MARZO_202659[[#This Row],[RECUPERO]]/DATA_MARZO_202659[[#This Row],[META]]</f>
        <v>0.464680412371134</v>
      </c>
      <c r="N54" s="54" t="str" cm="1">
        <f t="array" ref="N54">IF(DATA_MARZO_202659[[#This Row],[ASER_]]="","",IFERROR(_xlfn.IFS(M54&gt;=100%,"&gt;100%",AND(M54&lt;100%,M54&gt;=70%),"&gt;70%",AND(M54&lt;70%,M54&gt;=40%),"&gt;40%",AND(M54&lt;40%,M54&gt;=0%),"&gt;0%"),""))</f>
        <v>&gt;40%</v>
      </c>
      <c r="O54" s="55" t="str">
        <f>IFERROR(VLOOKUP(DATA_MARZO_202659[[#This Row],[ASER_]],$B:$G,4,0),"")</f>
        <v>JOHAN</v>
      </c>
      <c r="P54" s="6">
        <f>VLOOKUP(DATA_MARZO_202659[[#This Row],[ASER_]],D1_MARZO_202660[[ASESOR_CRR]:[RECUPERO]],6,0)</f>
        <v>22537</v>
      </c>
      <c r="Q54" s="6">
        <f>VLOOKUP(DATA_MARZO_202659[[#This Row],[ASER_]],D1_MARZO_202660[[ASESOR_CRR]:[META]],2,0)</f>
        <v>48500</v>
      </c>
      <c r="R54" t="s">
        <v>18</v>
      </c>
      <c r="S54">
        <v>0</v>
      </c>
      <c r="T54">
        <v>3900</v>
      </c>
      <c r="U54">
        <v>0</v>
      </c>
      <c r="V54">
        <v>2000</v>
      </c>
      <c r="W54">
        <v>375</v>
      </c>
      <c r="X54" s="5">
        <v>8200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3557</v>
      </c>
      <c r="AI54" s="6">
        <v>1500</v>
      </c>
      <c r="AJ54" s="6">
        <v>0</v>
      </c>
      <c r="AK54" s="6">
        <v>600</v>
      </c>
      <c r="AL54" s="6">
        <v>2550</v>
      </c>
      <c r="AM54" s="55" t="str" cm="1">
        <f t="array" ref="AM54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5" spans="1:48" x14ac:dyDescent="0.25">
      <c r="A55" s="34" t="str" cm="1">
        <f t="array" ref="A5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5" s="34" t="str" cm="1">
        <f t="array" ref="B55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ERIKA PANTA</v>
      </c>
      <c r="C55" s="34" cm="1">
        <f t="array" ref="C55">_xlfn.XLOOKUP(1,(TablaMeta[CONCAT]=$M$3&amp;$N$3&amp;D1_MARZO_202660[[#This Row],[SUPER]])*(TablaMeta[SEGG]=D1_MARZO_202660[[#This Row],[SEGMENTO]]),TablaMeta[Meta_Asesor])</f>
        <v>25000</v>
      </c>
      <c r="D55" s="35">
        <f>IF(D1_MARZO_202660[[#This Row],[RECUPERO]]="VACACIONES","VACACIONES",IFERROR(D1_MARZO_202660[[#This Row],[RECUPERO]]/D1_MARZO_202660[[#This Row],[META]],""))</f>
        <v>1.0087999999999999</v>
      </c>
      <c r="E55" s="35" t="str">
        <f>D1_MARZO_202660[[#This Row],[SUPER]]</f>
        <v>LEONOR</v>
      </c>
      <c r="F55" t="s">
        <v>495</v>
      </c>
      <c r="G55" s="3">
        <v>25220</v>
      </c>
      <c r="H55" cm="1">
        <f t="array" ref="H5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62792399</v>
      </c>
      <c r="I55" s="56" cm="1">
        <f t="array" ref="I5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46052</v>
      </c>
      <c r="J55" s="56" t="str" cm="1">
        <f t="array" ref="J5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5" s="56" t="str" cm="1">
        <f t="array" ref="K55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M55" s="5">
        <f>DATA_MARZO_202659[[#This Row],[RECUPERO]]/DATA_MARZO_202659[[#This Row],[META]]</f>
        <v>8.216494845360825E-2</v>
      </c>
      <c r="N55" s="54" t="str" cm="1">
        <f t="array" ref="N55">IF(DATA_MARZO_202659[[#This Row],[ASER_]]="","",IFERROR(_xlfn.IFS(M55&gt;=100%,"&gt;100%",AND(M55&lt;100%,M55&gt;=70%),"&gt;70%",AND(M55&lt;70%,M55&gt;=40%),"&gt;40%",AND(M55&lt;40%,M55&gt;=0%),"&gt;0%"),""))</f>
        <v>&gt;0%</v>
      </c>
      <c r="O55" s="55" t="str">
        <f>IFERROR(VLOOKUP(DATA_MARZO_202659[[#This Row],[ASER_]],$B:$G,4,0),"")</f>
        <v>JOHAN</v>
      </c>
      <c r="P55" s="6">
        <f>VLOOKUP(DATA_MARZO_202659[[#This Row],[ASER_]],D1_MARZO_202660[[ASESOR_CRR]:[RECUPERO]],6,0)</f>
        <v>3985</v>
      </c>
      <c r="Q55" s="6">
        <f>VLOOKUP(DATA_MARZO_202659[[#This Row],[ASER_]],D1_MARZO_202660[[ASESOR_CRR]:[META]],2,0)</f>
        <v>48500</v>
      </c>
      <c r="R55" t="s">
        <v>122</v>
      </c>
      <c r="S55">
        <v>0</v>
      </c>
      <c r="T55">
        <v>0</v>
      </c>
      <c r="U55">
        <v>150</v>
      </c>
      <c r="V55">
        <v>0</v>
      </c>
      <c r="W55">
        <v>250</v>
      </c>
      <c r="X55" s="5">
        <v>2250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200</v>
      </c>
      <c r="AF55" s="6">
        <v>0</v>
      </c>
      <c r="AG55" s="6">
        <v>0</v>
      </c>
      <c r="AH55" s="6">
        <v>335</v>
      </c>
      <c r="AI55" s="6">
        <v>0</v>
      </c>
      <c r="AJ55" s="6">
        <v>0</v>
      </c>
      <c r="AK55" s="6">
        <v>0</v>
      </c>
      <c r="AL55" s="6">
        <v>0</v>
      </c>
      <c r="AM55" s="55" t="str" cm="1">
        <f t="array" ref="AM55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6" spans="1:48" x14ac:dyDescent="0.25">
      <c r="A56" s="34" t="str" cm="1">
        <f t="array" ref="A5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6" s="34" t="str" cm="1">
        <f t="array" ref="B56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VERONICA HUARCA</v>
      </c>
      <c r="C56" s="34" cm="1">
        <f t="array" ref="C56">_xlfn.XLOOKUP(1,(TablaMeta[CONCAT]=$M$3&amp;$N$3&amp;D1_MARZO_202660[[#This Row],[SUPER]])*(TablaMeta[SEGG]=D1_MARZO_202660[[#This Row],[SEGMENTO]]),TablaMeta[Meta_Asesor])</f>
        <v>25000</v>
      </c>
      <c r="D56" s="35">
        <f>IF(D1_MARZO_202660[[#This Row],[RECUPERO]]="VACACIONES","VACACIONES",IFERROR(D1_MARZO_202660[[#This Row],[RECUPERO]]/D1_MARZO_202660[[#This Row],[META]],""))</f>
        <v>0.75456000000000001</v>
      </c>
      <c r="E56" s="35" t="str">
        <f>D1_MARZO_202660[[#This Row],[SUPER]]</f>
        <v>LEONOR</v>
      </c>
      <c r="F56" t="s">
        <v>48</v>
      </c>
      <c r="G56" s="3">
        <v>18864</v>
      </c>
      <c r="H56" cm="1">
        <f t="array" ref="H5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43307898</v>
      </c>
      <c r="I56" s="56" cm="1">
        <f t="array" ref="I5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44746</v>
      </c>
      <c r="J56" s="56" t="str" cm="1">
        <f t="array" ref="J5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6" s="56" t="str" cm="1">
        <f t="array" ref="K56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M56" s="5">
        <f>DATA_MARZO_202659[[#This Row],[RECUPERO]]/DATA_MARZO_202659[[#This Row],[META]]</f>
        <v>0.53338144329896908</v>
      </c>
      <c r="N56" s="54" t="str" cm="1">
        <f t="array" ref="N56">IF(DATA_MARZO_202659[[#This Row],[ASER_]]="","",IFERROR(_xlfn.IFS(M56&gt;=100%,"&gt;100%",AND(M56&lt;100%,M56&gt;=70%),"&gt;70%",AND(M56&lt;70%,M56&gt;=40%),"&gt;40%",AND(M56&lt;40%,M56&gt;=0%),"&gt;0%"),""))</f>
        <v>&gt;40%</v>
      </c>
      <c r="O56" s="55" t="str">
        <f>IFERROR(VLOOKUP(DATA_MARZO_202659[[#This Row],[ASER_]],$B:$G,4,0),"")</f>
        <v>JOHAN</v>
      </c>
      <c r="P56" s="6">
        <f>VLOOKUP(DATA_MARZO_202659[[#This Row],[ASER_]],D1_MARZO_202660[[ASESOR_CRR]:[RECUPERO]],6,0)</f>
        <v>25869</v>
      </c>
      <c r="Q56" s="6">
        <f>VLOOKUP(DATA_MARZO_202659[[#This Row],[ASER_]],D1_MARZO_202660[[ASESOR_CRR]:[META]],2,0)</f>
        <v>48500</v>
      </c>
      <c r="R56" t="s">
        <v>26</v>
      </c>
      <c r="S56">
        <v>0</v>
      </c>
      <c r="T56">
        <v>10620</v>
      </c>
      <c r="U56">
        <v>550</v>
      </c>
      <c r="V56">
        <v>0</v>
      </c>
      <c r="W56">
        <v>0</v>
      </c>
      <c r="X56" s="5">
        <v>5000</v>
      </c>
      <c r="Y56" s="6">
        <v>0</v>
      </c>
      <c r="Z56" s="6">
        <v>230</v>
      </c>
      <c r="AA56" s="6">
        <v>0</v>
      </c>
      <c r="AB56" s="6">
        <v>600</v>
      </c>
      <c r="AC56" s="6">
        <v>0</v>
      </c>
      <c r="AD56" s="6">
        <v>879</v>
      </c>
      <c r="AE56" s="6">
        <v>500</v>
      </c>
      <c r="AF56" s="6">
        <v>1000</v>
      </c>
      <c r="AG56" s="6">
        <v>5100</v>
      </c>
      <c r="AH56" s="6">
        <v>0</v>
      </c>
      <c r="AI56" s="6">
        <v>590</v>
      </c>
      <c r="AJ56" s="6">
        <v>0</v>
      </c>
      <c r="AK56" s="6">
        <v>500</v>
      </c>
      <c r="AL56" s="6">
        <v>300</v>
      </c>
      <c r="AM56" s="55" t="str" cm="1">
        <f t="array" ref="AM56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7" spans="1:48" x14ac:dyDescent="0.25">
      <c r="A57" s="34" t="str" cm="1">
        <f t="array" ref="A5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7" s="34" t="str" cm="1">
        <f t="array" ref="B57">TRIM(IFERROR(_xlfn.IFS(D1_MARZO_202660[[#This Row],[ASESOR]]="ELVIS GUERRA","ELVIS GUERRERA",D1_MARZO_202660[[#This Row],[ASESOR]]="GENESIS VICUÑA","GENESIS VICUNA",D1_MARZO_202660[[#This Row],[ASESOR]]="JENY QUIÑONES","JENY QUINONES",D1_MARZO_202660[[#This Row],[ASESOR]]="NICOLE CAURURO","NICOLE CAURURO"),D1_MARZO_202660[[#This Row],[ASESOR]]))</f>
        <v>SARITA GARAY</v>
      </c>
      <c r="C57" s="34" cm="1">
        <f t="array" ref="C57">_xlfn.XLOOKUP(1,(TablaMeta[CONCAT]=$M$3&amp;$N$3&amp;D1_MARZO_202660[[#This Row],[SUPER]])*(TablaMeta[SEGG]=D1_MARZO_202660[[#This Row],[SEGMENTO]]),TablaMeta[Meta_Asesor])</f>
        <v>25000</v>
      </c>
      <c r="D57" s="35">
        <f>IF(D1_MARZO_202660[[#This Row],[RECUPERO]]="VACACIONES","VACACIONES",IFERROR(D1_MARZO_202660[[#This Row],[RECUPERO]]/D1_MARZO_202660[[#This Row],[META]],""))</f>
        <v>0.66115999999999997</v>
      </c>
      <c r="E57" s="35" t="str">
        <f>D1_MARZO_202660[[#This Row],[SUPER]]</f>
        <v>LEONOR</v>
      </c>
      <c r="F57" t="s">
        <v>73</v>
      </c>
      <c r="G57" s="3">
        <v>16529</v>
      </c>
      <c r="H57" cm="1">
        <f t="array" ref="H5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40318129</v>
      </c>
      <c r="I57" s="56" cm="1">
        <f t="array" ref="I5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45141</v>
      </c>
      <c r="J57" s="56" t="str" cm="1">
        <f t="array" ref="J5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7" s="56" t="str" cm="1">
        <f t="array" ref="K57">IFERROR(VLOOKUP(D1_MARZO_202660[[#This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M57" s="5">
        <f>DATA_MARZO_202659[[#This Row],[RECUPERO]]/DATA_MARZO_202659[[#This Row],[META]]</f>
        <v>0.96927835051546396</v>
      </c>
      <c r="N57" s="54" t="str" cm="1">
        <f t="array" ref="N57">IF(DATA_MARZO_202659[[#This Row],[ASER_]]="","",IFERROR(_xlfn.IFS(M57&gt;=100%,"&gt;100%",AND(M57&lt;100%,M57&gt;=70%),"&gt;70%",AND(M57&lt;70%,M57&gt;=40%),"&gt;40%",AND(M57&lt;40%,M57&gt;=0%),"&gt;0%"),""))</f>
        <v>&gt;70%</v>
      </c>
      <c r="O57" s="55" t="str">
        <f>IFERROR(VLOOKUP(DATA_MARZO_202659[[#This Row],[ASER_]],$B:$G,4,0),"")</f>
        <v>JOHAN</v>
      </c>
      <c r="P57" s="6">
        <f>VLOOKUP(DATA_MARZO_202659[[#This Row],[ASER_]],D1_MARZO_202660[[ASESOR_CRR]:[RECUPERO]],6,0)</f>
        <v>47010</v>
      </c>
      <c r="Q57" s="6">
        <f>VLOOKUP(DATA_MARZO_202659[[#This Row],[ASER_]],D1_MARZO_202660[[ASESOR_CRR]:[META]],2,0)</f>
        <v>48500</v>
      </c>
      <c r="R57" t="s">
        <v>80</v>
      </c>
      <c r="S57">
        <v>0</v>
      </c>
      <c r="T57">
        <v>3805</v>
      </c>
      <c r="U57">
        <v>0</v>
      </c>
      <c r="V57">
        <v>3105</v>
      </c>
      <c r="W57">
        <v>0</v>
      </c>
      <c r="X57" s="5">
        <v>15000</v>
      </c>
      <c r="Y57" s="6">
        <v>4100</v>
      </c>
      <c r="Z57" s="6">
        <v>5100</v>
      </c>
      <c r="AA57" s="6">
        <v>1000</v>
      </c>
      <c r="AB57" s="6">
        <v>300</v>
      </c>
      <c r="AC57" s="6">
        <v>500</v>
      </c>
      <c r="AD57" s="6">
        <v>0</v>
      </c>
      <c r="AE57" s="6">
        <v>1000</v>
      </c>
      <c r="AF57" s="6">
        <v>0</v>
      </c>
      <c r="AG57" s="6">
        <v>0</v>
      </c>
      <c r="AH57" s="6">
        <v>500</v>
      </c>
      <c r="AI57" s="6">
        <v>0</v>
      </c>
      <c r="AJ57" s="6">
        <v>4600</v>
      </c>
      <c r="AK57" s="6">
        <v>3500</v>
      </c>
      <c r="AL57" s="6">
        <v>2405</v>
      </c>
      <c r="AM57" s="55" t="str" cm="1">
        <f t="array" ref="AM57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8" spans="1:48" x14ac:dyDescent="0.25">
      <c r="M58" s="5">
        <f>DATA_MARZO_202659[[#This Row],[RECUPERO]]/DATA_MARZO_202659[[#This Row],[META]]</f>
        <v>1.1284329896907217</v>
      </c>
      <c r="N58" s="54" t="str" cm="1">
        <f t="array" ref="N58">IF(DATA_MARZO_202659[[#This Row],[ASER_]]="","",IFERROR(_xlfn.IFS(M58&gt;=100%,"&gt;100%",AND(M58&lt;100%,M58&gt;=70%),"&gt;70%",AND(M58&lt;70%,M58&gt;=40%),"&gt;40%",AND(M58&lt;40%,M58&gt;=0%),"&gt;0%"),""))</f>
        <v>&gt;100%</v>
      </c>
      <c r="O58" s="55" t="str">
        <f>IFERROR(VLOOKUP(DATA_MARZO_202659[[#This Row],[ASER_]],$B:$G,4,0),"")</f>
        <v>JOHAN</v>
      </c>
      <c r="P58" s="6">
        <f>VLOOKUP(DATA_MARZO_202659[[#This Row],[ASER_]],D1_MARZO_202660[[ASESOR_CRR]:[RECUPERO]],6,0)</f>
        <v>54729</v>
      </c>
      <c r="Q58" s="6">
        <f>VLOOKUP(DATA_MARZO_202659[[#This Row],[ASER_]],D1_MARZO_202660[[ASESOR_CRR]:[META]],2,0)</f>
        <v>48500</v>
      </c>
      <c r="R58" t="s">
        <v>61</v>
      </c>
      <c r="S58">
        <v>1838</v>
      </c>
      <c r="T58">
        <v>465</v>
      </c>
      <c r="U58">
        <v>871</v>
      </c>
      <c r="V58">
        <v>0</v>
      </c>
      <c r="W58">
        <v>0</v>
      </c>
      <c r="X58" s="5">
        <v>6000</v>
      </c>
      <c r="Y58" s="6">
        <v>0</v>
      </c>
      <c r="Z58" s="6">
        <v>4000</v>
      </c>
      <c r="AA58" s="6">
        <v>2000</v>
      </c>
      <c r="AB58" s="6">
        <v>2321</v>
      </c>
      <c r="AC58" s="6">
        <v>0</v>
      </c>
      <c r="AD58" s="6">
        <v>750</v>
      </c>
      <c r="AE58" s="6">
        <v>0</v>
      </c>
      <c r="AF58" s="6">
        <v>3300</v>
      </c>
      <c r="AG58" s="6">
        <v>0</v>
      </c>
      <c r="AH58" s="6">
        <v>0</v>
      </c>
      <c r="AI58" s="6">
        <v>3000</v>
      </c>
      <c r="AJ58" s="6">
        <v>12634</v>
      </c>
      <c r="AK58" s="6">
        <v>8600</v>
      </c>
      <c r="AL58" s="6">
        <v>3675</v>
      </c>
      <c r="AM58" s="55" t="str" cm="1">
        <f t="array" ref="AM58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9" spans="1:48" x14ac:dyDescent="0.25">
      <c r="M59" s="5">
        <f>DATA_MARZO_202659[[#This Row],[RECUPERO]]/DATA_MARZO_202659[[#This Row],[META]]</f>
        <v>0.39278350515463917</v>
      </c>
      <c r="N59" s="54" t="str" cm="1">
        <f t="array" ref="N59">IF(DATA_MARZO_202659[[#This Row],[ASER_]]="","",IFERROR(_xlfn.IFS(M59&gt;=100%,"&gt;100%",AND(M59&lt;100%,M59&gt;=70%),"&gt;70%",AND(M59&lt;70%,M59&gt;=40%),"&gt;40%",AND(M59&lt;40%,M59&gt;=0%),"&gt;0%"),""))</f>
        <v>&gt;0%</v>
      </c>
      <c r="O59" s="55" t="str">
        <f>IFERROR(VLOOKUP(DATA_MARZO_202659[[#This Row],[ASER_]],$B:$G,4,0),"")</f>
        <v>JOHAN</v>
      </c>
      <c r="P59" s="6">
        <f>VLOOKUP(DATA_MARZO_202659[[#This Row],[ASER_]],D1_MARZO_202660[[ASESOR_CRR]:[RECUPERO]],6,0)</f>
        <v>19050</v>
      </c>
      <c r="Q59" s="6">
        <f>VLOOKUP(DATA_MARZO_202659[[#This Row],[ASER_]],D1_MARZO_202660[[ASESOR_CRR]:[META]],2,0)</f>
        <v>48500</v>
      </c>
      <c r="R59" t="s">
        <v>10</v>
      </c>
      <c r="S59">
        <v>0</v>
      </c>
      <c r="T59">
        <v>0</v>
      </c>
      <c r="U59">
        <v>0</v>
      </c>
      <c r="V59">
        <v>0</v>
      </c>
      <c r="W59">
        <v>0</v>
      </c>
      <c r="X59" s="5">
        <v>0</v>
      </c>
      <c r="Y59" s="6">
        <v>0</v>
      </c>
      <c r="Z59" s="6">
        <v>4700</v>
      </c>
      <c r="AA59" s="6">
        <v>700</v>
      </c>
      <c r="AB59" s="6">
        <v>175</v>
      </c>
      <c r="AC59" s="6">
        <v>0</v>
      </c>
      <c r="AD59" s="6">
        <v>200</v>
      </c>
      <c r="AE59" s="6">
        <v>2000</v>
      </c>
      <c r="AF59" s="6">
        <v>1000</v>
      </c>
      <c r="AG59" s="6">
        <v>0</v>
      </c>
      <c r="AH59" s="6">
        <v>0</v>
      </c>
      <c r="AI59" s="6">
        <v>3500</v>
      </c>
      <c r="AJ59" s="6">
        <v>0</v>
      </c>
      <c r="AK59" s="6">
        <v>3100</v>
      </c>
      <c r="AL59" s="6">
        <v>800</v>
      </c>
      <c r="AM59" s="55" t="str" cm="1">
        <f t="array" ref="AM59">IFERROR(VLOOKUP(DATA_MARZO_202659[[#This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</sheetData>
  <conditionalFormatting sqref="E3:E57">
    <cfRule type="containsText" dxfId="7" priority="1" operator="containsText" text="kenneth">
      <formula>NOT(ISERROR(SEARCH("kenneth",E3)))</formula>
    </cfRule>
  </conditionalFormatting>
  <conditionalFormatting sqref="R9:R59">
    <cfRule type="duplicateValues" dxfId="6" priority="45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8008-2241-4F22-8B70-E40CFB02F787}">
  <dimension ref="A1:BO174"/>
  <sheetViews>
    <sheetView tabSelected="1" zoomScale="70" zoomScaleNormal="70" workbookViewId="0">
      <selection activeCell="E12" sqref="E12:E13"/>
    </sheetView>
  </sheetViews>
  <sheetFormatPr baseColWidth="10" defaultRowHeight="15" x14ac:dyDescent="0.25"/>
  <cols>
    <col min="1" max="1" width="14.5703125" style="34" customWidth="1"/>
    <col min="2" max="2" width="30.28515625" style="34" customWidth="1"/>
    <col min="3" max="5" width="14.85546875" style="35" customWidth="1"/>
    <col min="6" max="6" width="30.28515625" customWidth="1"/>
    <col min="7" max="7" width="15" customWidth="1"/>
    <col min="8" max="8" width="15" style="34" customWidth="1"/>
    <col min="9" max="12" width="27.85546875" customWidth="1"/>
    <col min="13" max="13" width="11.42578125" customWidth="1"/>
    <col min="14" max="14" width="26" bestFit="1" customWidth="1"/>
    <col min="15" max="15" width="20.28515625" style="5" bestFit="1" customWidth="1"/>
    <col min="16" max="16" width="13.5703125" bestFit="1" customWidth="1"/>
    <col min="18" max="18" width="30.28515625" bestFit="1" customWidth="1"/>
    <col min="19" max="24" width="12" customWidth="1"/>
    <col min="25" max="39" width="13" customWidth="1"/>
    <col min="40" max="40" width="13" bestFit="1" customWidth="1"/>
    <col min="41" max="42" width="13" customWidth="1"/>
    <col min="43" max="43" width="20" customWidth="1"/>
    <col min="44" max="44" width="16" bestFit="1" customWidth="1"/>
    <col min="45" max="45" width="20" customWidth="1"/>
    <col min="46" max="46" width="16.7109375" customWidth="1"/>
    <col min="47" max="52" width="12" customWidth="1"/>
    <col min="53" max="58" width="13" customWidth="1"/>
    <col min="59" max="59" width="13.42578125" customWidth="1"/>
    <col min="60" max="60" width="13" customWidth="1"/>
    <col min="61" max="62" width="13.42578125" customWidth="1"/>
    <col min="63" max="67" width="13.42578125" bestFit="1" customWidth="1"/>
  </cols>
  <sheetData>
    <row r="1" spans="1:67" x14ac:dyDescent="0.25">
      <c r="H1"/>
      <c r="J1" s="56"/>
      <c r="K1" s="56"/>
      <c r="L1" s="56"/>
      <c r="N1" s="5"/>
      <c r="O1"/>
    </row>
    <row r="2" spans="1:67" x14ac:dyDescent="0.25">
      <c r="A2" s="8" t="s">
        <v>94</v>
      </c>
      <c r="B2" s="8" t="s">
        <v>108</v>
      </c>
      <c r="C2" s="31" t="s">
        <v>90</v>
      </c>
      <c r="D2" s="31" t="s">
        <v>1</v>
      </c>
      <c r="E2" s="31" t="s">
        <v>202</v>
      </c>
      <c r="F2" s="37" t="s">
        <v>0</v>
      </c>
      <c r="G2" s="37" t="s">
        <v>95</v>
      </c>
      <c r="H2" s="8" t="s">
        <v>376</v>
      </c>
      <c r="I2" s="8" t="s">
        <v>558</v>
      </c>
      <c r="J2" s="59" t="s">
        <v>499</v>
      </c>
      <c r="K2" s="59" t="s">
        <v>567</v>
      </c>
      <c r="L2" s="56"/>
      <c r="M2" s="32" t="s">
        <v>166</v>
      </c>
      <c r="N2" s="32" t="s">
        <v>136</v>
      </c>
      <c r="O2" s="32" t="s">
        <v>205</v>
      </c>
    </row>
    <row r="3" spans="1:67" ht="26.25" x14ac:dyDescent="0.4">
      <c r="A3" s="62" t="str" cm="1">
        <f t="array" ref="A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LICENCIA</v>
      </c>
      <c r="B3" s="62" t="str" cm="1">
        <f t="array" ref="B3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MARGARITA PIANCHACHI</v>
      </c>
      <c r="C3" s="62" t="e" cm="1">
        <f t="array" ref="C3">_xlfn.XLOOKUP(1,(TablaMeta[CONCAT]=$M$3&amp;$N$3&amp;D1_MARZO_2026[[#This Row],[SUPER]])*(TablaMeta[SEGG]=D1_MARZO_2026[[#This Row],[SEGMENTO]]),TablaMeta[Meta_Asesor])</f>
        <v>#N/A</v>
      </c>
      <c r="D3" s="63"/>
      <c r="E3" s="63" t="str">
        <f>D1_MARZO_2026[[#This Row],[SUPER]]</f>
        <v>LICENCIA</v>
      </c>
      <c r="F3" s="62" t="s">
        <v>17</v>
      </c>
      <c r="G3" s="62"/>
      <c r="H3" s="62" cm="1">
        <f t="array" ref="H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70876605</v>
      </c>
      <c r="I3" s="64" cm="1">
        <f t="array" ref="I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44886</v>
      </c>
      <c r="J3" s="64" t="str" cm="1">
        <f t="array" ref="J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" s="64" t="str" cm="1">
        <f t="array" ref="K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LICENCIA</v>
      </c>
      <c r="L3" s="56"/>
      <c r="M3" s="33">
        <v>2026</v>
      </c>
      <c r="N3" s="33" t="s">
        <v>143</v>
      </c>
      <c r="O3" s="33">
        <v>21</v>
      </c>
    </row>
    <row r="4" spans="1:67" x14ac:dyDescent="0.25">
      <c r="A4" s="62" t="str" cm="1">
        <f t="array" ref="A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4" s="62" t="str" cm="1">
        <f t="array" ref="B4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MARIA HUARCAYA</v>
      </c>
      <c r="C4" s="62" t="e" cm="1">
        <f t="array" ref="C4">_xlfn.XLOOKUP(1,(TablaMeta[CONCAT]=$M$3&amp;$N$3&amp;D1_MARZO_2026[[#This Row],[SUPER]])*(TablaMeta[SEGG]=D1_MARZO_2026[[#This Row],[SEGMENTO]]),TablaMeta[Meta_Asesor])</f>
        <v>#N/A</v>
      </c>
      <c r="D4" s="63"/>
      <c r="E4" s="63" t="str">
        <f>D1_MARZO_2026[[#This Row],[SUPER]]</f>
        <v>VACACIONES</v>
      </c>
      <c r="F4" s="62" t="s">
        <v>38</v>
      </c>
      <c r="G4" s="62"/>
      <c r="H4" s="62" cm="1">
        <f t="array" ref="H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47411966</v>
      </c>
      <c r="I4" s="64" cm="1">
        <f t="array" ref="I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45800</v>
      </c>
      <c r="J4" s="64" t="str" cm="1">
        <f t="array" ref="J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" s="64" t="str" cm="1">
        <f t="array" ref="K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4" s="56"/>
      <c r="N4" s="5"/>
      <c r="O4"/>
      <c r="S4" s="45"/>
    </row>
    <row r="5" spans="1:67" x14ac:dyDescent="0.25">
      <c r="A5" s="62" t="str" cm="1">
        <f t="array" ref="A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5" s="62" t="str" cm="1">
        <f t="array" ref="B5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ANDERSON RODRIGUEZ</v>
      </c>
      <c r="C5" s="62" t="e" cm="1">
        <f t="array" ref="C5">_xlfn.XLOOKUP(1,(TablaMeta[CONCAT]=$M$3&amp;$N$3&amp;D1_MARZO_2026[[#This Row],[SUPER]])*(TablaMeta[SEGG]=D1_MARZO_2026[[#This Row],[SEGMENTO]]),TablaMeta[Meta_Asesor])</f>
        <v>#N/A</v>
      </c>
      <c r="D5" s="63"/>
      <c r="E5" s="63" t="str">
        <f>D1_MARZO_2026[[#This Row],[SUPER]]</f>
        <v>VACACIONES</v>
      </c>
      <c r="F5" s="62" t="s">
        <v>15</v>
      </c>
      <c r="G5" s="62"/>
      <c r="H5" s="62" cm="1">
        <f t="array" ref="H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47587400</v>
      </c>
      <c r="I5" s="64" cm="1">
        <f t="array" ref="I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44733</v>
      </c>
      <c r="J5" s="64" t="str" cm="1">
        <f t="array" ref="J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" s="64" t="str" cm="1">
        <f t="array" ref="K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5" s="56"/>
      <c r="N5" s="5"/>
      <c r="O5"/>
      <c r="S5" s="45"/>
      <c r="BG5" s="45"/>
    </row>
    <row r="6" spans="1:67" x14ac:dyDescent="0.25">
      <c r="A6" s="66" t="str" cm="1">
        <f t="array" ref="A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6" s="66" t="str" cm="1">
        <f t="array" ref="B6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KIARA CANEPA</v>
      </c>
      <c r="C6" s="62" t="e" cm="1">
        <f t="array" ref="C6">_xlfn.XLOOKUP(1,(TablaMeta[CONCAT]=$M$3&amp;$N$3&amp;D1_MARZO_2026[[#This Row],[SUPER]])*(TablaMeta[SEGG]=D1_MARZO_2026[[#This Row],[SEGMENTO]]),TablaMeta[Meta_Asesor])</f>
        <v>#N/A</v>
      </c>
      <c r="D6" s="63"/>
      <c r="E6" s="67" t="str">
        <f>D1_MARZO_2026[[#This Row],[SUPER]]</f>
        <v>VACACIONES</v>
      </c>
      <c r="F6" s="66" t="s">
        <v>50</v>
      </c>
      <c r="G6" s="73"/>
      <c r="H6" s="66" cm="1">
        <f t="array" ref="H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72733809</v>
      </c>
      <c r="I6" s="68" cm="1">
        <f t="array" ref="I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45789</v>
      </c>
      <c r="J6" s="68" t="str" cm="1">
        <f t="array" ref="J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6" s="68" t="str" cm="1">
        <f t="array" ref="K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6" s="56"/>
      <c r="N6" s="5"/>
      <c r="O6"/>
      <c r="S6" s="45"/>
    </row>
    <row r="7" spans="1:67" x14ac:dyDescent="0.25">
      <c r="A7" s="66" t="str" cm="1">
        <f t="array" ref="A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VACACIONES</v>
      </c>
      <c r="B7" s="66" t="str" cm="1">
        <f t="array" ref="B7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SARITA GARAY</v>
      </c>
      <c r="C7" s="66" t="e" cm="1">
        <f t="array" ref="C7">_xlfn.XLOOKUP(1,(TablaMeta[CONCAT]=$M$3&amp;$N$3&amp;D1_MARZO_2026[[#This Row],[SUPER]])*(TablaMeta[SEGG]=D1_MARZO_2026[[#This Row],[SEGMENTO]]),TablaMeta[Meta_Asesor])</f>
        <v>#N/A</v>
      </c>
      <c r="D7" s="67" t="str">
        <f>IF(D1_MARZO_2026[[#This Row],[RECUPERO]]="VACACIONES","VACACIONES",IFERROR(D1_MARZO_2026[[#This Row],[RECUPERO]]/D1_MARZO_2026[[#This Row],[META]],""))</f>
        <v/>
      </c>
      <c r="E7" s="67" t="str">
        <f>D1_MARZO_2026[[#This Row],[SUPER]]</f>
        <v>VACACIONES</v>
      </c>
      <c r="F7" s="66" t="s">
        <v>73</v>
      </c>
      <c r="G7" s="73"/>
      <c r="H7" s="66" cm="1">
        <f t="array" ref="H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40318129</v>
      </c>
      <c r="I7" s="68" cm="1">
        <f t="array" ref="I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45141</v>
      </c>
      <c r="J7" s="68" t="str" cm="1">
        <f t="array" ref="J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7" s="68" t="str" cm="1">
        <f t="array" ref="K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VACACIONES</v>
      </c>
      <c r="L7" s="56"/>
      <c r="M7" s="1"/>
      <c r="N7" s="5"/>
      <c r="O7"/>
    </row>
    <row r="8" spans="1:67" x14ac:dyDescent="0.25">
      <c r="A8" s="34" t="str" cm="1">
        <f t="array" ref="A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8" s="34" t="str" cm="1">
        <f t="array" ref="B8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NATALIA MARIN</v>
      </c>
      <c r="C8" s="34" cm="1">
        <f t="array" ref="C8">_xlfn.XLOOKUP(1,(TablaMeta[CONCAT]=$M$3&amp;$N$3&amp;D1_MARZO_2026[[#This Row],[SUPER]])*(TablaMeta[SEGG]=D1_MARZO_2026[[#This Row],[SEGMENTO]]),TablaMeta[Meta_Asesor])</f>
        <v>38500</v>
      </c>
      <c r="D8" s="35">
        <f>IF(D1_MARZO_2026[[#This Row],[RECUPERO]]="VACACIONES","VACACIONES",IFERROR(D1_MARZO_2026[[#This Row],[RECUPERO]]/D1_MARZO_2026[[#This Row],[META]],""))</f>
        <v>0.43246753246753245</v>
      </c>
      <c r="E8" s="35" t="str">
        <f>D1_MARZO_2026[[#This Row],[SUPER]]</f>
        <v>SANDY</v>
      </c>
      <c r="F8" s="34" t="s">
        <v>79</v>
      </c>
      <c r="G8" s="36">
        <v>16650</v>
      </c>
      <c r="H8" s="34" cm="1">
        <f t="array" ref="H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71262377</v>
      </c>
      <c r="I8" s="61" cm="1">
        <f t="array" ref="I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45145</v>
      </c>
      <c r="J8" s="61" t="str" cm="1">
        <f t="array" ref="J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8" s="61" t="str" cm="1">
        <f t="array" ref="K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8" s="56"/>
      <c r="M8" s="38" t="s">
        <v>87</v>
      </c>
      <c r="N8" s="15" t="s">
        <v>89</v>
      </c>
      <c r="O8" s="14" t="s">
        <v>133</v>
      </c>
      <c r="P8" s="14" t="s">
        <v>95</v>
      </c>
      <c r="Q8" s="14" t="s">
        <v>90</v>
      </c>
      <c r="R8" s="13" t="s">
        <v>88</v>
      </c>
      <c r="S8" s="13" t="s">
        <v>529</v>
      </c>
      <c r="T8" s="13" t="s">
        <v>504</v>
      </c>
      <c r="U8" s="13" t="s">
        <v>505</v>
      </c>
      <c r="V8" s="13" t="s">
        <v>506</v>
      </c>
      <c r="W8" s="13" t="s">
        <v>507</v>
      </c>
      <c r="X8" s="13" t="s">
        <v>530</v>
      </c>
      <c r="Y8" s="13" t="s">
        <v>509</v>
      </c>
      <c r="Z8" s="13" t="s">
        <v>510</v>
      </c>
      <c r="AA8" s="13" t="s">
        <v>511</v>
      </c>
      <c r="AB8" s="13" t="s">
        <v>512</v>
      </c>
      <c r="AC8" s="13" t="s">
        <v>531</v>
      </c>
      <c r="AD8" s="13" t="s">
        <v>514</v>
      </c>
      <c r="AE8" s="13" t="s">
        <v>515</v>
      </c>
      <c r="AF8" s="13" t="s">
        <v>516</v>
      </c>
      <c r="AG8" s="13" t="s">
        <v>517</v>
      </c>
      <c r="AH8" s="13" t="s">
        <v>532</v>
      </c>
      <c r="AI8" s="13" t="s">
        <v>519</v>
      </c>
      <c r="AJ8" s="13" t="s">
        <v>520</v>
      </c>
      <c r="AK8" s="13" t="s">
        <v>521</v>
      </c>
      <c r="AL8" s="13" t="s">
        <v>522</v>
      </c>
      <c r="AM8" s="13" t="s">
        <v>523</v>
      </c>
      <c r="AN8" s="14" t="s">
        <v>502</v>
      </c>
      <c r="AP8" s="18" t="s">
        <v>135</v>
      </c>
      <c r="AQ8" s="18" t="s">
        <v>137</v>
      </c>
      <c r="AR8" s="18" t="s">
        <v>138</v>
      </c>
      <c r="AS8" s="19" t="s">
        <v>94</v>
      </c>
      <c r="AT8" s="19" t="s">
        <v>529</v>
      </c>
      <c r="AU8" s="19" t="s">
        <v>504</v>
      </c>
      <c r="AV8" s="19" t="s">
        <v>505</v>
      </c>
      <c r="AW8" s="19" t="s">
        <v>506</v>
      </c>
      <c r="AX8" s="19" t="s">
        <v>507</v>
      </c>
      <c r="AY8" s="19" t="s">
        <v>530</v>
      </c>
      <c r="AZ8" s="19" t="s">
        <v>509</v>
      </c>
      <c r="BA8" s="19" t="s">
        <v>510</v>
      </c>
      <c r="BB8" s="19" t="s">
        <v>511</v>
      </c>
      <c r="BC8" s="19" t="s">
        <v>512</v>
      </c>
      <c r="BD8" s="19" t="s">
        <v>531</v>
      </c>
      <c r="BE8" s="19" t="s">
        <v>514</v>
      </c>
      <c r="BF8" s="19" t="s">
        <v>515</v>
      </c>
      <c r="BG8" s="19" t="s">
        <v>516</v>
      </c>
      <c r="BH8" s="19" t="s">
        <v>517</v>
      </c>
      <c r="BI8" s="19" t="s">
        <v>532</v>
      </c>
      <c r="BJ8" s="19" t="s">
        <v>519</v>
      </c>
      <c r="BK8" s="19" t="s">
        <v>520</v>
      </c>
      <c r="BL8" s="19" t="s">
        <v>521</v>
      </c>
      <c r="BM8" s="19" t="s">
        <v>522</v>
      </c>
      <c r="BN8" s="19" t="s">
        <v>523</v>
      </c>
      <c r="BO8" s="18" t="s">
        <v>134</v>
      </c>
    </row>
    <row r="9" spans="1:67" x14ac:dyDescent="0.25">
      <c r="A9" s="34" t="str" cm="1">
        <f t="array" ref="A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9" s="34" t="str" cm="1">
        <f t="array" ref="B9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ANTHONY VICENTE</v>
      </c>
      <c r="C9" s="34" cm="1">
        <f t="array" ref="C9">_xlfn.XLOOKUP(1,(TablaMeta[CONCAT]=$M$3&amp;$N$3&amp;D1_MARZO_2026[[#This Row],[SUPER]])*(TablaMeta[SEGG]=D1_MARZO_2026[[#This Row],[SEGMENTO]]),TablaMeta[Meta_Asesor])</f>
        <v>38500</v>
      </c>
      <c r="D9" s="35">
        <f>IF(D1_MARZO_2026[[#This Row],[RECUPERO]]="VACACIONES","VACACIONES",IFERROR(D1_MARZO_2026[[#This Row],[RECUPERO]]/D1_MARZO_2026[[#This Row],[META]],""))</f>
        <v>0.2844155844155844</v>
      </c>
      <c r="E9" s="35" t="str">
        <f>D1_MARZO_2026[[#This Row],[SUPER]]</f>
        <v>SANDY</v>
      </c>
      <c r="F9" s="34" t="s">
        <v>85</v>
      </c>
      <c r="G9" s="36">
        <v>10950</v>
      </c>
      <c r="H9" s="34" cm="1">
        <f t="array" ref="H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70477743</v>
      </c>
      <c r="I9" s="61" cm="1">
        <f t="array" ref="I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46055</v>
      </c>
      <c r="J9" s="61" t="str" cm="1">
        <f t="array" ref="J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9" s="61" t="str" cm="1">
        <f t="array" ref="K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9" s="56"/>
      <c r="M9" s="5">
        <f>DATA_MARZO_2026[[#This Row],[RECUPERO]]/DATA_MARZO_2026[[#This Row],[META]]</f>
        <v>0.16666666666666666</v>
      </c>
      <c r="N9" s="5" t="str" cm="1">
        <f t="array" ref="N9">IF(DATA_MARZO_2026[[#This Row],[ASER_]]="","",IFERROR(_xlfn.IFS(M9&gt;=100%,"&gt;100%",AND(M9&lt;100%,M9&gt;=70%),"&gt;70%",AND(M9&lt;70%,M9&gt;=40%),"&gt;40%",AND(M9&lt;40%,M9&gt;=0%),"&gt;0%"),""))</f>
        <v>&gt;0%</v>
      </c>
      <c r="O9" s="55" t="str">
        <f>IFERROR(VLOOKUP(DATA_MARZO_2026[[#This Row],[ASER_]],$B:$G,4,0),"")</f>
        <v>LISELY</v>
      </c>
      <c r="P9" s="6">
        <f>VLOOKUP(DATA_MARZO_2026[[#This Row],[ASER_]],D1_MARZO_2026[[ASESOR_CRR]:[RECUPERO]],6,0)</f>
        <v>3800</v>
      </c>
      <c r="Q9" s="6">
        <f>VLOOKUP(DATA_MARZO_2026[[#This Row],[ASER_]],D1_MARZO_2026[[ASESOR_CRR]:[META]],2,0)</f>
        <v>22800</v>
      </c>
      <c r="R9" t="s">
        <v>495</v>
      </c>
      <c r="S9">
        <v>600</v>
      </c>
      <c r="T9">
        <v>2000</v>
      </c>
      <c r="U9">
        <v>0</v>
      </c>
      <c r="V9">
        <v>1200</v>
      </c>
      <c r="AN9" s="55" t="str" cm="1">
        <f t="array" ref="AN9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P9" s="10">
        <f>SUMIFS(TablaMeta[Meta_Equipo],TablaMeta[CONCAT],$M$3&amp;$N$3&amp;DITE_MARZO_2026[[#This Row],[SUPER]])</f>
        <v>384414</v>
      </c>
      <c r="AQ9" s="10">
        <f>MAX(DITE_MARZO_2026[[#This Row],[SUPER]:[CARTERA]])</f>
        <v>57005</v>
      </c>
      <c r="AR9" s="16">
        <f>IFERROR(DITE_MARZO_2026[[#This Row],[RECUPERO SUPERVISOR]]/DITE_MARZO_2026[[#This Row],[META SUPER]],"")</f>
        <v>0.14829064498171243</v>
      </c>
      <c r="AS9" s="10" t="s">
        <v>3</v>
      </c>
      <c r="AT9" s="46">
        <v>7593</v>
      </c>
      <c r="AU9" s="46">
        <v>27065</v>
      </c>
      <c r="AV9" s="46">
        <v>51000</v>
      </c>
      <c r="AW9" s="46">
        <v>57005</v>
      </c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10" t="str" cm="1">
        <f t="array" ref="BO9">IFERROR(VLOOKUP(DITE_MARZO_2026[[#This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S0</v>
      </c>
    </row>
    <row r="10" spans="1:67" x14ac:dyDescent="0.25">
      <c r="A10" s="34" t="str" cm="1">
        <f t="array" ref="A1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0" s="34" t="str" cm="1">
        <f t="array" ref="B10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LUCERO JORDAN</v>
      </c>
      <c r="C10" s="34" cm="1">
        <f t="array" ref="C10">_xlfn.XLOOKUP(1,(TablaMeta[CONCAT]=$M$3&amp;$N$3&amp;D1_MARZO_2026[[#This Row],[SUPER]])*(TablaMeta[SEGG]=D1_MARZO_2026[[#This Row],[SEGMENTO]]),TablaMeta[Meta_Asesor])</f>
        <v>38500</v>
      </c>
      <c r="D10" s="35">
        <f>IF(D1_MARZO_2026[[#This Row],[RECUPERO]]="VACACIONES","VACACIONES",IFERROR(D1_MARZO_2026[[#This Row],[RECUPERO]]/D1_MARZO_2026[[#This Row],[META]],""))</f>
        <v>0.2</v>
      </c>
      <c r="E10" s="35" t="str">
        <f>D1_MARZO_2026[[#This Row],[SUPER]]</f>
        <v>SANDY</v>
      </c>
      <c r="F10" s="34" t="s">
        <v>68</v>
      </c>
      <c r="G10" s="36">
        <v>7700</v>
      </c>
      <c r="H10" s="34" cm="1">
        <f t="array" ref="H1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73257316</v>
      </c>
      <c r="I10" s="61" cm="1">
        <f t="array" ref="I1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45363</v>
      </c>
      <c r="J10" s="61" t="str" cm="1">
        <f t="array" ref="J1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0" s="61" t="str" cm="1">
        <f t="array" ref="K1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0" s="56"/>
      <c r="M10" s="5">
        <f>DATA_MARZO_2026[[#This Row],[RECUPERO]]/DATA_MARZO_2026[[#This Row],[META]]</f>
        <v>0</v>
      </c>
      <c r="N10" s="5" t="str" cm="1">
        <f t="array" ref="N10">IF(DATA_MARZO_2026[[#This Row],[ASER_]]="","",IFERROR(_xlfn.IFS(M10&gt;=100%,"&gt;100%",AND(M10&lt;100%,M10&gt;=70%),"&gt;70%",AND(M10&lt;70%,M10&gt;=40%),"&gt;40%",AND(M10&lt;40%,M10&gt;=0%),"&gt;0%"),""))</f>
        <v>&gt;0%</v>
      </c>
      <c r="O10" s="55" t="str">
        <f>IFERROR(VLOOKUP(DATA_MARZO_2026[[#This Row],[ASER_]],$B:$G,4,0),"")</f>
        <v>LISELY</v>
      </c>
      <c r="P10" s="6">
        <f>VLOOKUP(DATA_MARZO_2026[[#This Row],[ASER_]],D1_MARZO_2026[[ASESOR_CRR]:[RECUPERO]],6,0)</f>
        <v>0</v>
      </c>
      <c r="Q10" s="6">
        <f>VLOOKUP(DATA_MARZO_2026[[#This Row],[ASER_]],D1_MARZO_2026[[ASESOR_CRR]:[META]],2,0)</f>
        <v>22800</v>
      </c>
      <c r="R10" t="s">
        <v>109</v>
      </c>
      <c r="S10">
        <v>0</v>
      </c>
      <c r="T10">
        <v>0</v>
      </c>
      <c r="U10">
        <v>0</v>
      </c>
      <c r="V10">
        <v>0</v>
      </c>
      <c r="AN10" s="55" t="str" cm="1">
        <f t="array" ref="AN10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P10" s="11">
        <f>SUMIFS(TablaMeta[Meta_Equipo],TablaMeta[CONCAT],$M$3&amp;$N$3&amp;DITE_MARZO_2026[[#This Row],[SUPER]])</f>
        <v>429088</v>
      </c>
      <c r="AQ10" s="11">
        <f>MAX(DITE_MARZO_2026[[#This Row],[SUPER]:[CARTERA]])</f>
        <v>38890</v>
      </c>
      <c r="AR10" s="17">
        <f>IFERROR(DITE_MARZO_2026[[#This Row],[RECUPERO SUPERVISOR]]/DITE_MARZO_2026[[#This Row],[META SUPER]],"")</f>
        <v>9.063408904467149E-2</v>
      </c>
      <c r="AS10" s="11" t="s">
        <v>6</v>
      </c>
      <c r="AT10" s="46">
        <v>8950</v>
      </c>
      <c r="AU10" s="46">
        <v>14935</v>
      </c>
      <c r="AV10" s="46">
        <v>17405</v>
      </c>
      <c r="AW10" s="46">
        <v>38890</v>
      </c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11" t="str" cm="1">
        <f t="array" ref="BO10">IFERROR(VLOOKUP(DITE_MARZO_2026[[#This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S0</v>
      </c>
    </row>
    <row r="11" spans="1:67" x14ac:dyDescent="0.25">
      <c r="A11" s="34" t="str" cm="1">
        <f t="array" ref="A1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1" s="34" t="str" cm="1">
        <f t="array" ref="B11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GENESIS PALACIOS</v>
      </c>
      <c r="C11" s="34" cm="1">
        <f t="array" ref="C11">_xlfn.XLOOKUP(1,(TablaMeta[CONCAT]=$M$3&amp;$N$3&amp;D1_MARZO_2026[[#This Row],[SUPER]])*(TablaMeta[SEGG]=D1_MARZO_2026[[#This Row],[SEGMENTO]]),TablaMeta[Meta_Asesor])</f>
        <v>38500</v>
      </c>
      <c r="D11" s="35">
        <f>IF(D1_MARZO_2026[[#This Row],[RECUPERO]]="VACACIONES","VACACIONES",IFERROR(D1_MARZO_2026[[#This Row],[RECUPERO]]/D1_MARZO_2026[[#This Row],[META]],""))</f>
        <v>9.0909090909090912E-2</v>
      </c>
      <c r="E11" s="35" t="str">
        <f>D1_MARZO_2026[[#This Row],[SUPER]]</f>
        <v>SANDY</v>
      </c>
      <c r="F11" t="s">
        <v>493</v>
      </c>
      <c r="G11" s="3">
        <v>3500</v>
      </c>
      <c r="H11" cm="1">
        <f t="array" ref="H1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75026229</v>
      </c>
      <c r="I11" s="56" cm="1">
        <f t="array" ref="I1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46052</v>
      </c>
      <c r="J11" s="56" t="str" cm="1">
        <f t="array" ref="J1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1" s="61" t="str" cm="1">
        <f t="array" ref="K1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1" s="56"/>
      <c r="M11" s="5">
        <f>DATA_MARZO_2026[[#This Row],[RECUPERO]]/DATA_MARZO_2026[[#This Row],[META]]</f>
        <v>0.25438596491228072</v>
      </c>
      <c r="N11" s="5" t="str" cm="1">
        <f t="array" ref="N11">IF(DATA_MARZO_2026[[#This Row],[ASER_]]="","",IFERROR(_xlfn.IFS(M11&gt;=100%,"&gt;100%",AND(M11&lt;100%,M11&gt;=70%),"&gt;70%",AND(M11&lt;70%,M11&gt;=40%),"&gt;40%",AND(M11&lt;40%,M11&gt;=0%),"&gt;0%"),""))</f>
        <v>&gt;0%</v>
      </c>
      <c r="O11" s="55" t="str">
        <f>IFERROR(VLOOKUP(DATA_MARZO_2026[[#This Row],[ASER_]],$B:$G,4,0),"")</f>
        <v>LISELY</v>
      </c>
      <c r="P11" s="6">
        <f>VLOOKUP(DATA_MARZO_2026[[#This Row],[ASER_]],D1_MARZO_2026[[ASESOR_CRR]:[RECUPERO]],6,0)</f>
        <v>5800</v>
      </c>
      <c r="Q11" s="6">
        <f>VLOOKUP(DATA_MARZO_2026[[#This Row],[ASER_]],D1_MARZO_2026[[ASESOR_CRR]:[META]],2,0)</f>
        <v>22800</v>
      </c>
      <c r="R11" t="s">
        <v>49</v>
      </c>
      <c r="S11">
        <v>5800</v>
      </c>
      <c r="T11">
        <v>0</v>
      </c>
      <c r="U11">
        <v>0</v>
      </c>
      <c r="V11">
        <v>0</v>
      </c>
      <c r="AN11" s="55" t="str" cm="1">
        <f t="array" ref="AN11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P11" s="10">
        <f>SUMIFS(TablaMeta[Meta_Equipo],TablaMeta[CONCAT],$M$3&amp;$N$3&amp;DITE_MARZO_2026[[#This Row],[SUPER]])</f>
        <v>446424</v>
      </c>
      <c r="AQ11" s="10">
        <f>MAX(DITE_MARZO_2026[[#This Row],[SUPER]:[CARTERA]])</f>
        <v>58781</v>
      </c>
      <c r="AR11" s="16">
        <f>IFERROR(DITE_MARZO_2026[[#This Row],[RECUPERO SUPERVISOR]]/DITE_MARZO_2026[[#This Row],[META SUPER]],"")</f>
        <v>0.13167078830887227</v>
      </c>
      <c r="AS11" s="10" t="s">
        <v>2</v>
      </c>
      <c r="AT11" s="46">
        <v>6965</v>
      </c>
      <c r="AU11" s="46">
        <v>15665</v>
      </c>
      <c r="AV11" s="46">
        <v>51081</v>
      </c>
      <c r="AW11" s="46">
        <v>58781</v>
      </c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10" t="str" cm="1">
        <f t="array" ref="BO11">IFERROR(VLOOKUP(DITE_MARZO_2026[[#This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S1</v>
      </c>
    </row>
    <row r="12" spans="1:67" x14ac:dyDescent="0.25">
      <c r="A12" s="34" t="str" cm="1">
        <f t="array" ref="A1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2" s="34" t="str" cm="1">
        <f t="array" ref="B12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JESSICA MELGAREJO</v>
      </c>
      <c r="C12" s="34" cm="1">
        <f t="array" ref="C12">_xlfn.XLOOKUP(1,(TablaMeta[CONCAT]=$M$3&amp;$N$3&amp;D1_MARZO_2026[[#This Row],[SUPER]])*(TablaMeta[SEGG]=D1_MARZO_2026[[#This Row],[SEGMENTO]]),TablaMeta[Meta_Asesor])</f>
        <v>38500</v>
      </c>
      <c r="D12" s="35">
        <f>IF(D1_MARZO_2026[[#This Row],[RECUPERO]]="VACACIONES","VACACIONES",IFERROR(D1_MARZO_2026[[#This Row],[RECUPERO]]/D1_MARZO_2026[[#This Row],[META]],""))</f>
        <v>9.0285714285714289E-2</v>
      </c>
      <c r="E12" s="35" t="str">
        <f>D1_MARZO_2026[[#This Row],[SUPER]]</f>
        <v>SANDY</v>
      </c>
      <c r="F12" t="s">
        <v>96</v>
      </c>
      <c r="G12" s="3">
        <v>3476</v>
      </c>
      <c r="H12" cm="1">
        <f t="array" ref="H1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46793103</v>
      </c>
      <c r="I12" s="56" cm="1">
        <f t="array" ref="I1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45882</v>
      </c>
      <c r="J12" s="56" t="str" cm="1">
        <f t="array" ref="J1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2" s="56" t="str" cm="1">
        <f t="array" ref="K1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2" s="56"/>
      <c r="M12" s="5">
        <f>DATA_MARZO_2026[[#This Row],[RECUPERO]]/DATA_MARZO_2026[[#This Row],[META]]</f>
        <v>0.40741228070175439</v>
      </c>
      <c r="N12" s="5" t="str" cm="1">
        <f t="array" ref="N12">IF(DATA_MARZO_2026[[#This Row],[ASER_]]="","",IFERROR(_xlfn.IFS(M12&gt;=100%,"&gt;100%",AND(M12&lt;100%,M12&gt;=70%),"&gt;70%",AND(M12&lt;70%,M12&gt;=40%),"&gt;40%",AND(M12&lt;40%,M12&gt;=0%),"&gt;0%"),""))</f>
        <v>&gt;40%</v>
      </c>
      <c r="O12" s="55" t="str">
        <f>IFERROR(VLOOKUP(DATA_MARZO_2026[[#This Row],[ASER_]],$B:$G,4,0),"")</f>
        <v>LISELY</v>
      </c>
      <c r="P12" s="6">
        <f>VLOOKUP(DATA_MARZO_2026[[#This Row],[ASER_]],D1_MARZO_2026[[ASESOR_CRR]:[RECUPERO]],6,0)</f>
        <v>9289</v>
      </c>
      <c r="Q12" s="6">
        <f>VLOOKUP(DATA_MARZO_2026[[#This Row],[ASER_]],D1_MARZO_2026[[ASESOR_CRR]:[META]],2,0)</f>
        <v>22800</v>
      </c>
      <c r="R12" t="s">
        <v>77</v>
      </c>
      <c r="S12">
        <v>4924</v>
      </c>
      <c r="T12">
        <v>865</v>
      </c>
      <c r="U12">
        <v>3500</v>
      </c>
      <c r="V12">
        <v>0</v>
      </c>
      <c r="AN12" s="55" t="str" cm="1">
        <f t="array" ref="AN12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P12" s="11">
        <f>SUMIFS(TablaMeta[Meta_Equipo],TablaMeta[CONCAT],$M$3&amp;$N$3&amp;DITE_MARZO_2026[[#This Row],[SUPER]])</f>
        <v>290167</v>
      </c>
      <c r="AQ12" s="11">
        <f>MAX(DITE_MARZO_2026[[#This Row],[SUPER]:[CARTERA]])</f>
        <v>61183</v>
      </c>
      <c r="AR12" s="17">
        <f>IFERROR(DITE_MARZO_2026[[#This Row],[RECUPERO SUPERVISOR]]/DITE_MARZO_2026[[#This Row],[META SUPER]],"")</f>
        <v>0.21085443899547501</v>
      </c>
      <c r="AS12" s="11" t="s">
        <v>604</v>
      </c>
      <c r="AT12" s="46">
        <v>11374</v>
      </c>
      <c r="AU12" s="46">
        <v>42799</v>
      </c>
      <c r="AV12" s="46">
        <v>58933</v>
      </c>
      <c r="AW12" s="46">
        <v>61183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11" t="str" cm="1">
        <f t="array" ref="BO12">IFERROR(VLOOKUP(DITE_MARZO_2026[[#This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S2-3-4</v>
      </c>
    </row>
    <row r="13" spans="1:67" x14ac:dyDescent="0.25">
      <c r="A13" s="34" t="str" cm="1">
        <f t="array" ref="A1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3" s="34" t="str" cm="1">
        <f t="array" ref="B13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ALEJANDRA QUISPE</v>
      </c>
      <c r="C13" s="34" cm="1">
        <f t="array" ref="C13">_xlfn.XLOOKUP(1,(TablaMeta[CONCAT]=$M$3&amp;$N$3&amp;D1_MARZO_2026[[#This Row],[SUPER]])*(TablaMeta[SEGG]=D1_MARZO_2026[[#This Row],[SEGMENTO]]),TablaMeta[Meta_Asesor])</f>
        <v>38500</v>
      </c>
      <c r="D13" s="35">
        <f>IF(D1_MARZO_2026[[#This Row],[RECUPERO]]="VACACIONES","VACACIONES",IFERROR(D1_MARZO_2026[[#This Row],[RECUPERO]]/D1_MARZO_2026[[#This Row],[META]],""))</f>
        <v>8.3116883116883117E-2</v>
      </c>
      <c r="E13" s="35" t="str">
        <f>D1_MARZO_2026[[#This Row],[SUPER]]</f>
        <v>SANDY</v>
      </c>
      <c r="F13" t="s">
        <v>58</v>
      </c>
      <c r="G13" s="3">
        <v>3200</v>
      </c>
      <c r="H13" cm="1">
        <f t="array" ref="H1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72519113</v>
      </c>
      <c r="I13" s="56" cm="1">
        <f t="array" ref="I1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43119</v>
      </c>
      <c r="J13" s="56" t="str" cm="1">
        <f t="array" ref="J1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3" s="56" t="str" cm="1">
        <f t="array" ref="K1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3" s="56"/>
      <c r="M13" s="5">
        <f>DATA_MARZO_2026[[#This Row],[RECUPERO]]/DATA_MARZO_2026[[#This Row],[META]]</f>
        <v>0</v>
      </c>
      <c r="N13" s="5" t="str" cm="1">
        <f t="array" ref="N13">IF(DATA_MARZO_2026[[#This Row],[ASER_]]="","",IFERROR(_xlfn.IFS(M13&gt;=100%,"&gt;100%",AND(M13&lt;100%,M13&gt;=70%),"&gt;70%",AND(M13&lt;70%,M13&gt;=40%),"&gt;40%",AND(M13&lt;40%,M13&gt;=0%),"&gt;0%"),""))</f>
        <v>&gt;0%</v>
      </c>
      <c r="O13" s="55" t="str">
        <f>IFERROR(VLOOKUP(DATA_MARZO_2026[[#This Row],[ASER_]],$B:$G,4,0),"")</f>
        <v>LISELY</v>
      </c>
      <c r="P13" s="6">
        <f>VLOOKUP(DATA_MARZO_2026[[#This Row],[ASER_]],D1_MARZO_2026[[ASESOR_CRR]:[RECUPERO]],6,0)</f>
        <v>0</v>
      </c>
      <c r="Q13" s="6">
        <f>VLOOKUP(DATA_MARZO_2026[[#This Row],[ASER_]],D1_MARZO_2026[[ASESOR_CRR]:[META]],2,0)</f>
        <v>22800</v>
      </c>
      <c r="R13" t="s">
        <v>600</v>
      </c>
      <c r="S13" s="47">
        <v>0</v>
      </c>
      <c r="T13">
        <v>0</v>
      </c>
      <c r="U13">
        <v>0</v>
      </c>
      <c r="V13">
        <v>0</v>
      </c>
      <c r="AN13" s="55" t="str" cm="1">
        <f t="array" ref="AN13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P13" s="10">
        <f>SUMIFS(TablaMeta[Meta_Equipo],TablaMeta[CONCAT],$M$3&amp;$N$3&amp;DITE_MARZO_2026[[#This Row],[SUPER]])</f>
        <v>446424</v>
      </c>
      <c r="AQ13" s="10">
        <f>MAX(DITE_MARZO_2026[[#This Row],[SUPER]:[CARTERA]])</f>
        <v>62581</v>
      </c>
      <c r="AR13" s="16">
        <f>IFERROR(DITE_MARZO_2026[[#This Row],[RECUPERO SUPERVISOR]]/DITE_MARZO_2026[[#This Row],[META SUPER]],"")</f>
        <v>0.14018287547264485</v>
      </c>
      <c r="AS13" s="10" t="s">
        <v>7</v>
      </c>
      <c r="AT13" s="46">
        <v>11923</v>
      </c>
      <c r="AU13" s="46">
        <v>24423</v>
      </c>
      <c r="AV13" s="45">
        <v>48043</v>
      </c>
      <c r="AW13" s="46">
        <v>62581</v>
      </c>
      <c r="AX13" s="46"/>
      <c r="AY13" s="46"/>
      <c r="AZ13" s="46"/>
      <c r="BA13" s="45"/>
      <c r="BB13" s="46"/>
      <c r="BC13" s="46"/>
      <c r="BD13" s="46"/>
      <c r="BE13" s="45"/>
      <c r="BF13" s="46"/>
      <c r="BG13" s="46"/>
      <c r="BH13" s="46"/>
      <c r="BI13" s="46"/>
      <c r="BJ13" s="46"/>
      <c r="BK13" s="46"/>
      <c r="BL13" s="46"/>
      <c r="BM13" s="46"/>
      <c r="BN13" s="46"/>
      <c r="BO13" s="10" t="str" cm="1">
        <f t="array" ref="BO13">IFERROR(VLOOKUP(DITE_MARZO_2026[[#This Row],[SUPER]],_xlfn._xlws.FILTER(PLANTILLA[[EQUIPO]:[FECHA DE CESE]],(PLANTILLA[FECHA]=_xlfn.CONCAT($M$3,"_",_xlfn.IFS($N$3="ENERO","1",$N$3="FEBRERO","2",$N$3="MARZO","3",$N$3="ABRIL","4",$N$3="MAYO","5",$N$3="JUNIO","6",$N$3="JULIO","7",$N$3="AGOSTO","8",$N$3="SETIEMBRE","9",$N$3="OCTUBRE","10",$N$3="NOVIEMBRE","11",$N$3="DICIEMBRE","12")))*(PLANTILLA[CONDICION]="SUPERVISOR")),6,0),"")</f>
        <v>S1</v>
      </c>
    </row>
    <row r="14" spans="1:67" x14ac:dyDescent="0.25">
      <c r="A14" s="34" t="str" cm="1">
        <f t="array" ref="A1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4" s="34" t="str" cm="1">
        <f t="array" ref="B14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GIANNINA AGUILAR</v>
      </c>
      <c r="C14" s="34" cm="1">
        <f t="array" ref="C14">_xlfn.XLOOKUP(1,(TablaMeta[CONCAT]=$M$3&amp;$N$3&amp;D1_MARZO_2026[[#This Row],[SUPER]])*(TablaMeta[SEGG]=D1_MARZO_2026[[#This Row],[SEGMENTO]]),TablaMeta[Meta_Asesor])</f>
        <v>38500</v>
      </c>
      <c r="D14" s="35">
        <f>IF(D1_MARZO_2026[[#This Row],[RECUPERO]]="VACACIONES","VACACIONES",IFERROR(D1_MARZO_2026[[#This Row],[RECUPERO]]/D1_MARZO_2026[[#This Row],[META]],""))</f>
        <v>7.792207792207792E-2</v>
      </c>
      <c r="E14" s="35" t="str">
        <f>D1_MARZO_2026[[#This Row],[SUPER]]</f>
        <v>SANDY</v>
      </c>
      <c r="F14" t="s">
        <v>32</v>
      </c>
      <c r="G14" s="3">
        <v>3000</v>
      </c>
      <c r="H14" cm="1">
        <f t="array" ref="H1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48584670</v>
      </c>
      <c r="I14" s="56" cm="1">
        <f t="array" ref="I1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45526</v>
      </c>
      <c r="J14" s="56" t="str" cm="1">
        <f t="array" ref="J1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4" s="56" t="str" cm="1">
        <f t="array" ref="K1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4" s="56"/>
      <c r="M14" s="5">
        <f>DATA_MARZO_2026[[#This Row],[RECUPERO]]/DATA_MARZO_2026[[#This Row],[META]]</f>
        <v>2.4122807017543858E-2</v>
      </c>
      <c r="N14" s="5" t="str" cm="1">
        <f t="array" ref="N14">IF(DATA_MARZO_2026[[#This Row],[ASER_]]="","",IFERROR(_xlfn.IFS(M14&gt;=100%,"&gt;100%",AND(M14&lt;100%,M14&gt;=70%),"&gt;70%",AND(M14&lt;70%,M14&gt;=40%),"&gt;40%",AND(M14&lt;40%,M14&gt;=0%),"&gt;0%"),""))</f>
        <v>&gt;0%</v>
      </c>
      <c r="O14" s="55" t="str">
        <f>IFERROR(VLOOKUP(DATA_MARZO_2026[[#This Row],[ASER_]],$B:$G,4,0),"")</f>
        <v>LISELY</v>
      </c>
      <c r="P14" s="6">
        <f>VLOOKUP(DATA_MARZO_2026[[#This Row],[ASER_]],D1_MARZO_2026[[ASESOR_CRR]:[RECUPERO]],6,0)</f>
        <v>550</v>
      </c>
      <c r="Q14" s="6">
        <f>VLOOKUP(DATA_MARZO_2026[[#This Row],[ASER_]],D1_MARZO_2026[[ASESOR_CRR]:[META]],2,0)</f>
        <v>22800</v>
      </c>
      <c r="R14" t="s">
        <v>48</v>
      </c>
      <c r="S14" s="47">
        <v>0</v>
      </c>
      <c r="T14">
        <v>0</v>
      </c>
      <c r="U14">
        <v>0</v>
      </c>
      <c r="V14">
        <v>550</v>
      </c>
      <c r="AN14" s="55" t="str" cm="1">
        <f t="array" ref="AN14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</row>
    <row r="15" spans="1:67" x14ac:dyDescent="0.25">
      <c r="A15" s="34" t="str" cm="1">
        <f t="array" ref="A1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5" s="34" t="str" cm="1">
        <f t="array" ref="B15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LUIS VALLADARES</v>
      </c>
      <c r="C15" s="34" cm="1">
        <f t="array" ref="C15">_xlfn.XLOOKUP(1,(TablaMeta[CONCAT]=$M$3&amp;$N$3&amp;D1_MARZO_2026[[#This Row],[SUPER]])*(TablaMeta[SEGG]=D1_MARZO_2026[[#This Row],[SEGMENTO]]),TablaMeta[Meta_Asesor])</f>
        <v>38500</v>
      </c>
      <c r="D15" s="35">
        <f>IF(D1_MARZO_2026[[#This Row],[RECUPERO]]="VACACIONES","VACACIONES",IFERROR(D1_MARZO_2026[[#This Row],[RECUPERO]]/D1_MARZO_2026[[#This Row],[META]],""))</f>
        <v>8.9984415584415584E-2</v>
      </c>
      <c r="E15" s="35" t="str">
        <f>D1_MARZO_2026[[#This Row],[SUPER]]</f>
        <v>SANDY</v>
      </c>
      <c r="F15" t="s">
        <v>29</v>
      </c>
      <c r="G15" s="3">
        <v>3464.4</v>
      </c>
      <c r="H15" cm="1">
        <f t="array" ref="H1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72758956</v>
      </c>
      <c r="I15" s="56" cm="1">
        <f t="array" ref="I1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44685</v>
      </c>
      <c r="J15" s="56" t="str" cm="1">
        <f t="array" ref="J1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5" s="56" t="str" cm="1">
        <f t="array" ref="K1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5" s="56"/>
      <c r="M15" s="5">
        <f>DATA_MARZO_2026[[#This Row],[RECUPERO]]/DATA_MARZO_2026[[#This Row],[META]]</f>
        <v>8.771929824561403E-2</v>
      </c>
      <c r="N15" s="5" t="str" cm="1">
        <f t="array" ref="N15">IF(DATA_MARZO_2026[[#This Row],[ASER_]]="","",IFERROR(_xlfn.IFS(M15&gt;=100%,"&gt;100%",AND(M15&lt;100%,M15&gt;=70%),"&gt;70%",AND(M15&lt;70%,M15&gt;=40%),"&gt;40%",AND(M15&lt;40%,M15&gt;=0%),"&gt;0%"),""))</f>
        <v>&gt;0%</v>
      </c>
      <c r="O15" s="55" t="str">
        <f>IFERROR(VLOOKUP(DATA_MARZO_2026[[#This Row],[ASER_]],$B:$G,4,0),"")</f>
        <v>LISELY</v>
      </c>
      <c r="P15" s="6">
        <f>VLOOKUP(DATA_MARZO_2026[[#This Row],[ASER_]],D1_MARZO_2026[[ASESOR_CRR]:[RECUPERO]],6,0)</f>
        <v>2000</v>
      </c>
      <c r="Q15" s="6">
        <f>VLOOKUP(DATA_MARZO_2026[[#This Row],[ASER_]],D1_MARZO_2026[[ASESOR_CRR]:[META]],2,0)</f>
        <v>22800</v>
      </c>
      <c r="R15" t="s">
        <v>78</v>
      </c>
      <c r="S15" s="47">
        <v>0</v>
      </c>
      <c r="T15">
        <v>2000</v>
      </c>
      <c r="U15">
        <v>0</v>
      </c>
      <c r="V15">
        <v>0</v>
      </c>
      <c r="AN15" s="55" t="str" cm="1">
        <f t="array" ref="AN15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AY15" s="45"/>
      <c r="BA15" s="45"/>
      <c r="BB15" s="45"/>
      <c r="BD15" s="45"/>
    </row>
    <row r="16" spans="1:67" x14ac:dyDescent="0.25">
      <c r="A16" s="34" t="str" cm="1">
        <f t="array" ref="A1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6" s="34" t="str" cm="1">
        <f t="array" ref="B16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CARLA VALENCIA</v>
      </c>
      <c r="C16" s="34" cm="1">
        <f t="array" ref="C16">_xlfn.XLOOKUP(1,(TablaMeta[CONCAT]=$M$3&amp;$N$3&amp;D1_MARZO_2026[[#This Row],[SUPER]])*(TablaMeta[SEGG]=D1_MARZO_2026[[#This Row],[SEGMENTO]]),TablaMeta[Meta_Asesor])</f>
        <v>38500</v>
      </c>
      <c r="D16" s="35">
        <f>IF(D1_MARZO_2026[[#This Row],[RECUPERO]]="VACACIONES","VACACIONES",IFERROR(D1_MARZO_2026[[#This Row],[RECUPERO]]/D1_MARZO_2026[[#This Row],[META]],""))</f>
        <v>6.9090909090909092E-2</v>
      </c>
      <c r="E16" s="35" t="str">
        <f>D1_MARZO_2026[[#This Row],[SUPER]]</f>
        <v>SANDY</v>
      </c>
      <c r="F16" t="s">
        <v>174</v>
      </c>
      <c r="G16" s="3">
        <v>2660</v>
      </c>
      <c r="H16" cm="1">
        <f t="array" ref="H1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46994661</v>
      </c>
      <c r="I16" s="56" cm="1">
        <f t="array" ref="I1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45992</v>
      </c>
      <c r="J16" s="56" t="str" cm="1">
        <f t="array" ref="J1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6" s="56" t="str" cm="1">
        <f t="array" ref="K1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6" s="56"/>
      <c r="M16" s="5">
        <f>DATA_MARZO_2026[[#This Row],[RECUPERO]]/DATA_MARZO_2026[[#This Row],[META]]</f>
        <v>9.6353591160220992E-2</v>
      </c>
      <c r="N16" s="5" t="str" cm="1">
        <f t="array" ref="N16">IF(DATA_MARZO_2026[[#This Row],[ASER_]]="","",IFERROR(_xlfn.IFS(M16&gt;=100%,"&gt;100%",AND(M16&lt;100%,M16&gt;=70%),"&gt;70%",AND(M16&lt;70%,M16&gt;=40%),"&gt;40%",AND(M16&lt;40%,M16&gt;=0%),"&gt;0%"),""))</f>
        <v>&gt;0%</v>
      </c>
      <c r="O16" s="55" t="str">
        <f>IFERROR(VLOOKUP(DATA_MARZO_2026[[#This Row],[ASER_]],$B:$G,4,0),"")</f>
        <v>LISELY</v>
      </c>
      <c r="P16" s="6">
        <f>VLOOKUP(DATA_MARZO_2026[[#This Row],[ASER_]],D1_MARZO_2026[[ASESOR_CRR]:[RECUPERO]],6,0)</f>
        <v>1744</v>
      </c>
      <c r="Q16" s="6">
        <f>VLOOKUP(DATA_MARZO_2026[[#This Row],[ASER_]],D1_MARZO_2026[[ASESOR_CRR]:[META]],2,0)</f>
        <v>18100</v>
      </c>
      <c r="R16" t="s">
        <v>549</v>
      </c>
      <c r="S16">
        <v>350</v>
      </c>
      <c r="T16">
        <v>660</v>
      </c>
      <c r="U16">
        <v>734</v>
      </c>
      <c r="V16">
        <v>0</v>
      </c>
      <c r="AN16" s="55" t="str" cm="1">
        <f t="array" ref="AN16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Y16" s="45"/>
      <c r="AZ16" s="45"/>
      <c r="BA16" s="45"/>
      <c r="BB16" s="45"/>
      <c r="BD16" s="45"/>
      <c r="BE16" s="45"/>
      <c r="BF16" s="45"/>
      <c r="BN16" s="45"/>
    </row>
    <row r="17" spans="1:66" x14ac:dyDescent="0.25">
      <c r="A17" s="34" t="str" cm="1">
        <f t="array" ref="A1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SANDY</v>
      </c>
      <c r="B17" s="34" t="str" cm="1">
        <f t="array" ref="B17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JENY QUINONES</v>
      </c>
      <c r="C17" s="34" cm="1">
        <f t="array" ref="C17">_xlfn.XLOOKUP(1,(TablaMeta[CONCAT]=$M$3&amp;$N$3&amp;D1_MARZO_2026[[#This Row],[SUPER]])*(TablaMeta[SEGG]=D1_MARZO_2026[[#This Row],[SEGMENTO]]),TablaMeta[Meta_Asesor])</f>
        <v>38500</v>
      </c>
      <c r="D17" s="35">
        <f>IF(D1_MARZO_2026[[#This Row],[RECUPERO]]="VACACIONES","VACACIONES",IFERROR(D1_MARZO_2026[[#This Row],[RECUPERO]]/D1_MARZO_2026[[#This Row],[META]],""))</f>
        <v>6.246753246753247E-2</v>
      </c>
      <c r="E17" s="35" t="str">
        <f>D1_MARZO_2026[[#This Row],[SUPER]]</f>
        <v>SANDY</v>
      </c>
      <c r="F17" t="s">
        <v>564</v>
      </c>
      <c r="G17" s="3">
        <v>2405</v>
      </c>
      <c r="H17" cm="1">
        <f t="array" ref="H1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43184866</v>
      </c>
      <c r="I17" s="56" cm="1">
        <f t="array" ref="I1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46083</v>
      </c>
      <c r="J17" s="56" t="str" cm="1">
        <f t="array" ref="J1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7" s="56" t="str" cm="1">
        <f t="array" ref="K1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7" s="56"/>
      <c r="M17" s="5">
        <f>DATA_MARZO_2026[[#This Row],[RECUPERO]]/DATA_MARZO_2026[[#This Row],[META]]</f>
        <v>0</v>
      </c>
      <c r="N17" s="5" t="str" cm="1">
        <f t="array" ref="N17">IF(DATA_MARZO_2026[[#This Row],[ASER_]]="","",IFERROR(_xlfn.IFS(M17&gt;=100%,"&gt;100%",AND(M17&lt;100%,M17&gt;=70%),"&gt;70%",AND(M17&lt;70%,M17&gt;=40%),"&gt;40%",AND(M17&lt;40%,M17&gt;=0%),"&gt;0%"),""))</f>
        <v>&gt;0%</v>
      </c>
      <c r="O17" s="55" t="str">
        <f>IFERROR(VLOOKUP(DATA_MARZO_2026[[#This Row],[ASER_]],$B:$G,4,0),"")</f>
        <v>LISELY</v>
      </c>
      <c r="P17" s="6">
        <f>VLOOKUP(DATA_MARZO_2026[[#This Row],[ASER_]],D1_MARZO_2026[[ASESOR_CRR]:[RECUPERO]],6,0)</f>
        <v>0</v>
      </c>
      <c r="Q17" s="6">
        <f>VLOOKUP(DATA_MARZO_2026[[#This Row],[ASER_]],D1_MARZO_2026[[ASESOR_CRR]:[META]],2,0)</f>
        <v>18100</v>
      </c>
      <c r="R17" t="s">
        <v>599</v>
      </c>
      <c r="S17" s="45">
        <v>0</v>
      </c>
      <c r="T17">
        <v>0</v>
      </c>
      <c r="U17">
        <v>0</v>
      </c>
      <c r="V17">
        <v>0</v>
      </c>
      <c r="AN17" s="55" t="str" cm="1">
        <f t="array" ref="AN17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X17" s="45"/>
      <c r="AZ17" s="45"/>
      <c r="BA17" s="47"/>
      <c r="BB17" s="47"/>
      <c r="BD17" s="47"/>
      <c r="BE17" s="45"/>
      <c r="BF17" s="45"/>
      <c r="BH17" s="45"/>
      <c r="BM17" s="45"/>
      <c r="BN17" s="45"/>
    </row>
    <row r="18" spans="1:66" x14ac:dyDescent="0.25">
      <c r="A18" s="34" t="str" cm="1">
        <f t="array" ref="A1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8" s="34" t="str" cm="1">
        <f t="array" ref="B18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STWUAR MACURI</v>
      </c>
      <c r="C18" s="34" cm="1">
        <f t="array" ref="C18">_xlfn.XLOOKUP(1,(TablaMeta[CONCAT]=$M$3&amp;$N$3&amp;D1_MARZO_2026[[#This Row],[SUPER]])*(TablaMeta[SEGG]=D1_MARZO_2026[[#This Row],[SEGMENTO]]),TablaMeta[Meta_Asesor])</f>
        <v>61300</v>
      </c>
      <c r="D18" s="35">
        <f>IF(D1_MARZO_2026[[#This Row],[RECUPERO]]="VACACIONES","VACACIONES",IFERROR(D1_MARZO_2026[[#This Row],[RECUPERO]]/D1_MARZO_2026[[#This Row],[META]],""))</f>
        <v>0.28874388254486133</v>
      </c>
      <c r="E18" s="35" t="str">
        <f>D1_MARZO_2026[[#This Row],[SUPER]]</f>
        <v>KENNETH</v>
      </c>
      <c r="F18" t="s">
        <v>34</v>
      </c>
      <c r="G18" s="3">
        <v>17700</v>
      </c>
      <c r="H18" cm="1">
        <f t="array" ref="H1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76824571</v>
      </c>
      <c r="I18" s="56" cm="1">
        <f t="array" ref="I1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45173</v>
      </c>
      <c r="J18" s="56" t="str" cm="1">
        <f t="array" ref="J1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8" s="56" t="str" cm="1">
        <f t="array" ref="K1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8" s="56"/>
      <c r="M18" s="5">
        <f>DATA_MARZO_2026[[#This Row],[RECUPERO]]/DATA_MARZO_2026[[#This Row],[META]]</f>
        <v>0.49171270718232046</v>
      </c>
      <c r="N18" s="5" t="str" cm="1">
        <f t="array" ref="N18">IF(DATA_MARZO_2026[[#This Row],[ASER_]]="","",IFERROR(_xlfn.IFS(M18&gt;=100%,"&gt;100%",AND(M18&lt;100%,M18&gt;=70%),"&gt;70%",AND(M18&lt;70%,M18&gt;=40%),"&gt;40%",AND(M18&lt;40%,M18&gt;=0%),"&gt;0%"),""))</f>
        <v>&gt;40%</v>
      </c>
      <c r="O18" s="55" t="str">
        <f>IFERROR(VLOOKUP(DATA_MARZO_2026[[#This Row],[ASER_]],$B:$G,4,0),"")</f>
        <v>LISELY</v>
      </c>
      <c r="P18" s="6">
        <f>VLOOKUP(DATA_MARZO_2026[[#This Row],[ASER_]],D1_MARZO_2026[[ASESOR_CRR]:[RECUPERO]],6,0)</f>
        <v>8900</v>
      </c>
      <c r="Q18" s="6">
        <f>VLOOKUP(DATA_MARZO_2026[[#This Row],[ASER_]],D1_MARZO_2026[[ASESOR_CRR]:[META]],2,0)</f>
        <v>18100</v>
      </c>
      <c r="R18" t="s">
        <v>41</v>
      </c>
      <c r="S18">
        <v>0</v>
      </c>
      <c r="T18">
        <v>6900</v>
      </c>
      <c r="U18">
        <v>1500</v>
      </c>
      <c r="V18">
        <v>500</v>
      </c>
      <c r="AN18" s="55" t="str" cm="1">
        <f t="array" ref="AN18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Z18" s="47"/>
      <c r="BA18" s="45"/>
      <c r="BB18" s="45"/>
      <c r="BD18" s="45"/>
      <c r="BE18" s="47"/>
      <c r="BF18" s="47"/>
      <c r="BH18" s="45"/>
      <c r="BI18" s="45"/>
      <c r="BM18" s="45"/>
      <c r="BN18" s="47"/>
    </row>
    <row r="19" spans="1:66" x14ac:dyDescent="0.25">
      <c r="A19" s="34" t="str" cm="1">
        <f t="array" ref="A1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19" s="34" t="str" cm="1">
        <f t="array" ref="B19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FRANK PACORA</v>
      </c>
      <c r="C19" s="34" cm="1">
        <f t="array" ref="C19">_xlfn.XLOOKUP(1,(TablaMeta[CONCAT]=$M$3&amp;$N$3&amp;D1_MARZO_2026[[#This Row],[SUPER]])*(TablaMeta[SEGG]=D1_MARZO_2026[[#This Row],[SEGMENTO]]),TablaMeta[Meta_Asesor])</f>
        <v>61300</v>
      </c>
      <c r="D19" s="35">
        <f>IF(D1_MARZO_2026[[#This Row],[RECUPERO]]="VACACIONES","VACACIONES",IFERROR(D1_MARZO_2026[[#This Row],[RECUPERO]]/D1_MARZO_2026[[#This Row],[META]],""))</f>
        <v>0.19575856443719414</v>
      </c>
      <c r="E19" s="35" t="str">
        <f>D1_MARZO_2026[[#This Row],[SUPER]]</f>
        <v>KENNETH</v>
      </c>
      <c r="F19" t="s">
        <v>105</v>
      </c>
      <c r="G19" s="3">
        <v>12000</v>
      </c>
      <c r="H19" cm="1">
        <f t="array" ref="H1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48344037</v>
      </c>
      <c r="I19" s="56" cm="1">
        <f t="array" ref="I1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46027</v>
      </c>
      <c r="J19" s="56" t="str" cm="1">
        <f t="array" ref="J1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19" s="56" t="str" cm="1">
        <f t="array" ref="K1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19" s="56"/>
      <c r="M19" s="5">
        <f>DATA_MARZO_2026[[#This Row],[RECUPERO]]/DATA_MARZO_2026[[#This Row],[META]]</f>
        <v>1.6574585635359115E-2</v>
      </c>
      <c r="N19" s="5" t="str" cm="1">
        <f t="array" ref="N19">IF(DATA_MARZO_2026[[#This Row],[ASER_]]="","",IFERROR(_xlfn.IFS(M19&gt;=100%,"&gt;100%",AND(M19&lt;100%,M19&gt;=70%),"&gt;70%",AND(M19&lt;70%,M19&gt;=40%),"&gt;40%",AND(M19&lt;40%,M19&gt;=0%),"&gt;0%"),""))</f>
        <v>&gt;0%</v>
      </c>
      <c r="O19" s="55" t="str">
        <f>IFERROR(VLOOKUP(DATA_MARZO_2026[[#This Row],[ASER_]],$B:$G,4,0),"")</f>
        <v>LISELY</v>
      </c>
      <c r="P19" s="6">
        <f>VLOOKUP(DATA_MARZO_2026[[#This Row],[ASER_]],D1_MARZO_2026[[ASESOR_CRR]:[RECUPERO]],6,0)</f>
        <v>300</v>
      </c>
      <c r="Q19" s="6">
        <f>VLOOKUP(DATA_MARZO_2026[[#This Row],[ASER_]],D1_MARZO_2026[[ASESOR_CRR]:[META]],2,0)</f>
        <v>18100</v>
      </c>
      <c r="R19" t="s">
        <v>566</v>
      </c>
      <c r="S19">
        <v>300</v>
      </c>
      <c r="T19">
        <v>0</v>
      </c>
      <c r="U19">
        <v>0</v>
      </c>
      <c r="V19">
        <v>0</v>
      </c>
      <c r="AN19" s="55" t="str" cm="1">
        <f t="array" ref="AN19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T19" s="45"/>
      <c r="AZ19" s="47"/>
      <c r="BA19" s="45"/>
      <c r="BB19" s="45"/>
      <c r="BD19" s="45"/>
      <c r="BE19" s="47"/>
      <c r="BF19" s="47"/>
      <c r="BH19" s="45"/>
      <c r="BI19" s="45"/>
      <c r="BM19" s="47"/>
      <c r="BN19" s="47"/>
    </row>
    <row r="20" spans="1:66" x14ac:dyDescent="0.25">
      <c r="A20" s="34" t="str" cm="1">
        <f t="array" ref="A2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0" s="34" t="str" cm="1">
        <f t="array" ref="B20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NOEMI CHUQUILIN</v>
      </c>
      <c r="C20" s="34" cm="1">
        <f t="array" ref="C20">_xlfn.XLOOKUP(1,(TablaMeta[CONCAT]=$M$3&amp;$N$3&amp;D1_MARZO_2026[[#This Row],[SUPER]])*(TablaMeta[SEGG]=D1_MARZO_2026[[#This Row],[SEGMENTO]]),TablaMeta[Meta_Asesor])</f>
        <v>61300</v>
      </c>
      <c r="D20" s="35">
        <f>IF(D1_MARZO_2026[[#This Row],[RECUPERO]]="VACACIONES","VACACIONES",IFERROR(D1_MARZO_2026[[#This Row],[RECUPERO]]/D1_MARZO_2026[[#This Row],[META]],""))</f>
        <v>5.872756933115824E-2</v>
      </c>
      <c r="E20" s="35" t="str">
        <f>D1_MARZO_2026[[#This Row],[SUPER]]</f>
        <v>KENNETH</v>
      </c>
      <c r="F20" t="s">
        <v>97</v>
      </c>
      <c r="G20" s="3">
        <v>3600</v>
      </c>
      <c r="H20" cm="1">
        <f t="array" ref="H2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74602206</v>
      </c>
      <c r="I20" s="56" cm="1">
        <f t="array" ref="I2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45884</v>
      </c>
      <c r="J20" s="56" t="str" cm="1">
        <f t="array" ref="J2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0" s="56" t="str" cm="1">
        <f t="array" ref="K2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0" s="56"/>
      <c r="M20" s="5">
        <f>DATA_MARZO_2026[[#This Row],[RECUPERO]]/DATA_MARZO_2026[[#This Row],[META]]</f>
        <v>0</v>
      </c>
      <c r="N20" s="5" t="str" cm="1">
        <f t="array" ref="N20">IF(DATA_MARZO_2026[[#This Row],[ASER_]]="","",IFERROR(_xlfn.IFS(M20&gt;=100%,"&gt;100%",AND(M20&lt;100%,M20&gt;=70%),"&gt;70%",AND(M20&lt;70%,M20&gt;=40%),"&gt;40%",AND(M20&lt;40%,M20&gt;=0%),"&gt;0%"),""))</f>
        <v>&gt;0%</v>
      </c>
      <c r="O20" s="55" t="str">
        <f>IFERROR(VLOOKUP(DATA_MARZO_2026[[#This Row],[ASER_]],$B:$G,4,0),"")</f>
        <v>LISELY</v>
      </c>
      <c r="P20" s="6">
        <f>VLOOKUP(DATA_MARZO_2026[[#This Row],[ASER_]],D1_MARZO_2026[[ASESOR_CRR]:[RECUPERO]],6,0)</f>
        <v>0</v>
      </c>
      <c r="Q20" s="6">
        <f>VLOOKUP(DATA_MARZO_2026[[#This Row],[ASER_]],D1_MARZO_2026[[ASESOR_CRR]:[META]],2,0)</f>
        <v>18100</v>
      </c>
      <c r="R20" t="s">
        <v>55</v>
      </c>
      <c r="S20">
        <v>0</v>
      </c>
      <c r="T20">
        <v>0</v>
      </c>
      <c r="U20">
        <v>0</v>
      </c>
      <c r="V20">
        <v>0</v>
      </c>
      <c r="AN20" s="55" t="str" cm="1">
        <f t="array" ref="AN20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T20" s="47"/>
      <c r="AZ20" s="45"/>
      <c r="BF20" s="45"/>
      <c r="BH20" s="45"/>
      <c r="BI20" s="47"/>
      <c r="BL20" s="45"/>
      <c r="BM20" s="47"/>
      <c r="BN20" s="45"/>
    </row>
    <row r="21" spans="1:66" x14ac:dyDescent="0.25">
      <c r="A21" s="34" t="str" cm="1">
        <f t="array" ref="A2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1" s="34" t="str" cm="1">
        <f t="array" ref="B21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JUAN LOZA</v>
      </c>
      <c r="C21" s="34" cm="1">
        <f t="array" ref="C21">_xlfn.XLOOKUP(1,(TablaMeta[CONCAT]=$M$3&amp;$N$3&amp;D1_MARZO_2026[[#This Row],[SUPER]])*(TablaMeta[SEGG]=D1_MARZO_2026[[#This Row],[SEGMENTO]]),TablaMeta[Meta_Asesor])</f>
        <v>61300</v>
      </c>
      <c r="D21" s="35">
        <f>IF(D1_MARZO_2026[[#This Row],[RECUPERO]]="VACACIONES","VACACIONES",IFERROR(D1_MARZO_2026[[#This Row],[RECUPERO]]/D1_MARZO_2026[[#This Row],[META]],""))</f>
        <v>4.8613376835236539E-2</v>
      </c>
      <c r="E21" s="35" t="str">
        <f>D1_MARZO_2026[[#This Row],[SUPER]]</f>
        <v>KENNETH</v>
      </c>
      <c r="F21" t="s">
        <v>35</v>
      </c>
      <c r="G21" s="3">
        <v>2980</v>
      </c>
      <c r="H21" cm="1">
        <f t="array" ref="H2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10491198</v>
      </c>
      <c r="I21" s="56" cm="1">
        <f t="array" ref="I2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44746</v>
      </c>
      <c r="J21" s="56" t="str" cm="1">
        <f t="array" ref="J2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1" s="56" t="str" cm="1">
        <f t="array" ref="K2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1" s="56"/>
      <c r="M21" s="5">
        <f>DATA_MARZO_2026[[#This Row],[RECUPERO]]/DATA_MARZO_2026[[#This Row],[META]]</f>
        <v>1.6574585635359115E-2</v>
      </c>
      <c r="N21" s="5" t="str" cm="1">
        <f t="array" ref="N21">IF(DATA_MARZO_2026[[#This Row],[ASER_]]="","",IFERROR(_xlfn.IFS(M21&gt;=100%,"&gt;100%",AND(M21&lt;100%,M21&gt;=70%),"&gt;70%",AND(M21&lt;70%,M21&gt;=40%),"&gt;40%",AND(M21&lt;40%,M21&gt;=0%),"&gt;0%"),""))</f>
        <v>&gt;0%</v>
      </c>
      <c r="O21" s="55" t="str">
        <f>IFERROR(VLOOKUP(DATA_MARZO_2026[[#This Row],[ASER_]],$B:$G,4,0),"")</f>
        <v>LISELY</v>
      </c>
      <c r="P21" s="6">
        <f>VLOOKUP(DATA_MARZO_2026[[#This Row],[ASER_]],D1_MARZO_2026[[ASESOR_CRR]:[RECUPERO]],6,0)</f>
        <v>300</v>
      </c>
      <c r="Q21" s="6">
        <f>VLOOKUP(DATA_MARZO_2026[[#This Row],[ASER_]],D1_MARZO_2026[[ASESOR_CRR]:[META]],2,0)</f>
        <v>18100</v>
      </c>
      <c r="R21" t="s">
        <v>601</v>
      </c>
      <c r="S21">
        <v>0</v>
      </c>
      <c r="T21">
        <v>300</v>
      </c>
      <c r="U21">
        <v>0</v>
      </c>
      <c r="V21">
        <v>0</v>
      </c>
      <c r="AN21" s="55" t="str" cm="1">
        <f t="array" ref="AN21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AT21" s="45"/>
      <c r="BH21" s="45"/>
      <c r="BI21" s="47"/>
      <c r="BL21" s="45"/>
      <c r="BM21" s="45"/>
    </row>
    <row r="22" spans="1:66" x14ac:dyDescent="0.25">
      <c r="A22" s="34" t="str" cm="1">
        <f t="array" ref="A2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2" s="34" t="str" cm="1">
        <f t="array" ref="B22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CARMEN PUMA</v>
      </c>
      <c r="C22" s="34" cm="1">
        <f t="array" ref="C22">_xlfn.XLOOKUP(1,(TablaMeta[CONCAT]=$M$3&amp;$N$3&amp;D1_MARZO_2026[[#This Row],[SUPER]])*(TablaMeta[SEGG]=D1_MARZO_2026[[#This Row],[SEGMENTO]]),TablaMeta[Meta_Asesor])</f>
        <v>61300</v>
      </c>
      <c r="D22" s="35">
        <f>IF(D1_MARZO_2026[[#This Row],[RECUPERO]]="VACACIONES","VACACIONES",IFERROR(D1_MARZO_2026[[#This Row],[RECUPERO]]/D1_MARZO_2026[[#This Row],[META]],""))</f>
        <v>2.2838499184339316E-2</v>
      </c>
      <c r="E22" s="35" t="str">
        <f>D1_MARZO_2026[[#This Row],[SUPER]]</f>
        <v>KENNETH</v>
      </c>
      <c r="F22" t="s">
        <v>19</v>
      </c>
      <c r="G22" s="3">
        <v>1400</v>
      </c>
      <c r="H22" cm="1">
        <f t="array" ref="H2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76656128</v>
      </c>
      <c r="I22" s="56" cm="1">
        <f t="array" ref="I2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44671</v>
      </c>
      <c r="J22" s="56" t="str" cm="1">
        <f t="array" ref="J2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2" s="56" t="str" cm="1">
        <f t="array" ref="K2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2" s="56"/>
      <c r="M22" s="5">
        <f>DATA_MARZO_2026[[#This Row],[RECUPERO]]/DATA_MARZO_2026[[#This Row],[META]]</f>
        <v>0</v>
      </c>
      <c r="N22" s="5" t="str" cm="1">
        <f t="array" ref="N22">IF(DATA_MARZO_2026[[#This Row],[ASER_]]="","",IFERROR(_xlfn.IFS(M22&gt;=100%,"&gt;100%",AND(M22&lt;100%,M22&gt;=70%),"&gt;70%",AND(M22&lt;70%,M22&gt;=40%),"&gt;40%",AND(M22&lt;40%,M22&gt;=0%),"&gt;0%"),""))</f>
        <v>&gt;0%</v>
      </c>
      <c r="O22" s="55" t="str">
        <f>IFERROR(VLOOKUP(DATA_MARZO_2026[[#This Row],[ASER_]],$B:$G,4,0),"")</f>
        <v>JORGE</v>
      </c>
      <c r="P22" s="6">
        <f>VLOOKUP(DATA_MARZO_2026[[#This Row],[ASER_]],D1_MARZO_2026[[ASESOR_CRR]:[RECUPERO]],6,0)</f>
        <v>0</v>
      </c>
      <c r="Q22" s="6">
        <f>VLOOKUP(DATA_MARZO_2026[[#This Row],[ASER_]],D1_MARZO_2026[[ASESOR_CRR]:[META]],2,0)</f>
        <v>44700</v>
      </c>
      <c r="R22" t="s">
        <v>81</v>
      </c>
      <c r="S22">
        <v>0</v>
      </c>
      <c r="T22">
        <v>0</v>
      </c>
      <c r="U22">
        <v>0</v>
      </c>
      <c r="V22">
        <v>0</v>
      </c>
      <c r="AN22" s="55" t="str" cm="1">
        <f t="array" ref="AN22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AT22" s="47"/>
      <c r="BH22" s="47"/>
      <c r="BI22" s="45"/>
      <c r="BL22" s="45"/>
    </row>
    <row r="23" spans="1:66" x14ac:dyDescent="0.25">
      <c r="A23" s="34" t="str" cm="1">
        <f t="array" ref="A2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3" s="34" t="str" cm="1">
        <f t="array" ref="B23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VICTOR RAMIREZ</v>
      </c>
      <c r="C23" s="34" cm="1">
        <f t="array" ref="C23">_xlfn.XLOOKUP(1,(TablaMeta[CONCAT]=$M$3&amp;$N$3&amp;D1_MARZO_2026[[#This Row],[SUPER]])*(TablaMeta[SEGG]=D1_MARZO_2026[[#This Row],[SEGMENTO]]),TablaMeta[Meta_Asesor])</f>
        <v>61300</v>
      </c>
      <c r="D23" s="35">
        <f>IF(D1_MARZO_2026[[#This Row],[RECUPERO]]="VACACIONES","VACACIONES",IFERROR(D1_MARZO_2026[[#This Row],[RECUPERO]]/D1_MARZO_2026[[#This Row],[META]],""))</f>
        <v>1.2398042414355628E-2</v>
      </c>
      <c r="E23" s="35" t="str">
        <f>D1_MARZO_2026[[#This Row],[SUPER]]</f>
        <v>KENNETH</v>
      </c>
      <c r="F23" t="s">
        <v>76</v>
      </c>
      <c r="G23" s="3">
        <v>760</v>
      </c>
      <c r="H23" cm="1">
        <f t="array" ref="H2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60914051</v>
      </c>
      <c r="I23" s="56" cm="1">
        <f t="array" ref="I2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44817</v>
      </c>
      <c r="J23" s="56" t="str" cm="1">
        <f t="array" ref="J2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3" s="56" t="str" cm="1">
        <f t="array" ref="K2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3" s="56"/>
      <c r="M23" s="5">
        <f>DATA_MARZO_2026[[#This Row],[RECUPERO]]/DATA_MARZO_2026[[#This Row],[META]]</f>
        <v>3.803131991051454E-2</v>
      </c>
      <c r="N23" s="5" t="str" cm="1">
        <f t="array" ref="N23">IF(DATA_MARZO_2026[[#This Row],[ASER_]]="","",IFERROR(_xlfn.IFS(M23&gt;=100%,"&gt;100%",AND(M23&lt;100%,M23&gt;=70%),"&gt;70%",AND(M23&lt;70%,M23&gt;=40%),"&gt;40%",AND(M23&lt;40%,M23&gt;=0%),"&gt;0%"),""))</f>
        <v>&gt;0%</v>
      </c>
      <c r="O23" s="55" t="str">
        <f>IFERROR(VLOOKUP(DATA_MARZO_2026[[#This Row],[ASER_]],$B:$G,4,0),"")</f>
        <v>JORGE</v>
      </c>
      <c r="P23" s="6">
        <f>VLOOKUP(DATA_MARZO_2026[[#This Row],[ASER_]],D1_MARZO_2026[[ASESOR_CRR]:[RECUPERO]],6,0)</f>
        <v>1700</v>
      </c>
      <c r="Q23" s="6">
        <f>VLOOKUP(DATA_MARZO_2026[[#This Row],[ASER_]],D1_MARZO_2026[[ASESOR_CRR]:[META]],2,0)</f>
        <v>44700</v>
      </c>
      <c r="R23" t="s">
        <v>42</v>
      </c>
      <c r="S23">
        <v>400</v>
      </c>
      <c r="T23">
        <v>0</v>
      </c>
      <c r="U23">
        <v>1300</v>
      </c>
      <c r="V23">
        <v>0</v>
      </c>
      <c r="AN23" s="55" t="str" cm="1">
        <f t="array" ref="AN23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H23" s="45"/>
    </row>
    <row r="24" spans="1:66" x14ac:dyDescent="0.25">
      <c r="A24" s="34" t="str" cm="1">
        <f t="array" ref="A2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KENNETH</v>
      </c>
      <c r="B24" s="34" t="str" cm="1">
        <f t="array" ref="B24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MILAGROS QUIO</v>
      </c>
      <c r="C24" s="34" cm="1">
        <f t="array" ref="C24">_xlfn.XLOOKUP(1,(TablaMeta[CONCAT]=$M$3&amp;$N$3&amp;D1_MARZO_2026[[#This Row],[SUPER]])*(TablaMeta[SEGG]=D1_MARZO_2026[[#This Row],[SEGMENTO]]),TablaMeta[Meta_Asesor])</f>
        <v>61300</v>
      </c>
      <c r="D24" s="35">
        <f>IF(D1_MARZO_2026[[#This Row],[RECUPERO]]="VACACIONES","VACACIONES",IFERROR(D1_MARZO_2026[[#This Row],[RECUPERO]]/D1_MARZO_2026[[#This Row],[META]],""))</f>
        <v>7.34094616639478E-3</v>
      </c>
      <c r="E24" s="35" t="str">
        <f>D1_MARZO_2026[[#This Row],[SUPER]]</f>
        <v>KENNETH</v>
      </c>
      <c r="F24" t="s">
        <v>11</v>
      </c>
      <c r="G24" s="3">
        <v>450</v>
      </c>
      <c r="H24" cm="1">
        <f t="array" ref="H2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45139159</v>
      </c>
      <c r="I24" s="56" cm="1">
        <f t="array" ref="I2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45369</v>
      </c>
      <c r="J24" s="56" t="str" cm="1">
        <f t="array" ref="J2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4" s="56" t="str" cm="1">
        <f t="array" ref="K2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  <c r="L24" s="56"/>
      <c r="M24" s="5">
        <f>DATA_MARZO_2026[[#This Row],[RECUPERO]]/DATA_MARZO_2026[[#This Row],[META]]</f>
        <v>9.7315436241610737E-2</v>
      </c>
      <c r="N24" s="5" t="str" cm="1">
        <f t="array" ref="N24">IF(DATA_MARZO_2026[[#This Row],[ASER_]]="","",IFERROR(_xlfn.IFS(M24&gt;=100%,"&gt;100%",AND(M24&lt;100%,M24&gt;=70%),"&gt;70%",AND(M24&lt;70%,M24&gt;=40%),"&gt;40%",AND(M24&lt;40%,M24&gt;=0%),"&gt;0%"),""))</f>
        <v>&gt;0%</v>
      </c>
      <c r="O24" s="55" t="str">
        <f>IFERROR(VLOOKUP(DATA_MARZO_2026[[#This Row],[ASER_]],$B:$G,4,0),"")</f>
        <v>JORGE</v>
      </c>
      <c r="P24" s="6">
        <f>VLOOKUP(DATA_MARZO_2026[[#This Row],[ASER_]],D1_MARZO_2026[[ASESOR_CRR]:[RECUPERO]],6,0)</f>
        <v>4350</v>
      </c>
      <c r="Q24" s="6">
        <f>VLOOKUP(DATA_MARZO_2026[[#This Row],[ASER_]],D1_MARZO_2026[[ASESOR_CRR]:[META]],2,0)</f>
        <v>44700</v>
      </c>
      <c r="R24" t="s">
        <v>65</v>
      </c>
      <c r="S24">
        <v>1565</v>
      </c>
      <c r="T24">
        <v>0</v>
      </c>
      <c r="U24">
        <v>2785</v>
      </c>
      <c r="V24">
        <v>0</v>
      </c>
      <c r="AN24" s="55" t="str" cm="1">
        <f t="array" ref="AN24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BL24" s="45"/>
    </row>
    <row r="25" spans="1:66" x14ac:dyDescent="0.25">
      <c r="A25" s="34" t="str" cm="1">
        <f t="array" ref="A2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25" s="34" t="str" cm="1">
        <f t="array" ref="B25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VERONICA TASAYCO</v>
      </c>
      <c r="C25" s="34" cm="1">
        <f t="array" ref="C25">_xlfn.XLOOKUP(1,(TablaMeta[CONCAT]=$M$3&amp;$N$3&amp;D1_MARZO_2026[[#This Row],[SUPER]])*(TablaMeta[SEGG]=D1_MARZO_2026[[#This Row],[SEGMENTO]]),TablaMeta[Meta_Asesor])</f>
        <v>44700</v>
      </c>
      <c r="D25" s="35">
        <f>IF(D1_MARZO_2026[[#This Row],[RECUPERO]]="VACACIONES","VACACIONES",IFERROR(D1_MARZO_2026[[#This Row],[RECUPERO]]/D1_MARZO_2026[[#This Row],[META]],""))</f>
        <v>0.38002237136465322</v>
      </c>
      <c r="E25" s="35" t="str">
        <f>D1_MARZO_2026[[#This Row],[SUPER]]</f>
        <v>JORGE</v>
      </c>
      <c r="F25" t="s">
        <v>10</v>
      </c>
      <c r="G25" s="3">
        <v>16987</v>
      </c>
      <c r="H25" cm="1">
        <f t="array" ref="H2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40980108</v>
      </c>
      <c r="I25" s="56" cm="1">
        <f t="array" ref="I2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44704</v>
      </c>
      <c r="J25" s="56" t="str" cm="1">
        <f t="array" ref="J2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5" s="56" t="str" cm="1">
        <f t="array" ref="K2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25" s="56"/>
      <c r="M25" s="5">
        <f>DATA_MARZO_2026[[#This Row],[RECUPERO]]/DATA_MARZO_2026[[#This Row],[META]]</f>
        <v>0.38002237136465322</v>
      </c>
      <c r="N25" s="5" t="str" cm="1">
        <f t="array" ref="N25">IF(DATA_MARZO_2026[[#This Row],[ASER_]]="","",IFERROR(_xlfn.IFS(M25&gt;=100%,"&gt;100%",AND(M25&lt;100%,M25&gt;=70%),"&gt;70%",AND(M25&lt;70%,M25&gt;=40%),"&gt;40%",AND(M25&lt;40%,M25&gt;=0%),"&gt;0%"),""))</f>
        <v>&gt;0%</v>
      </c>
      <c r="O25" s="55" t="str">
        <f>IFERROR(VLOOKUP(DATA_MARZO_2026[[#This Row],[ASER_]],$B:$G,4,0),"")</f>
        <v>JORGE</v>
      </c>
      <c r="P25" s="6">
        <f>VLOOKUP(DATA_MARZO_2026[[#This Row],[ASER_]],D1_MARZO_2026[[ASESOR_CRR]:[RECUPERO]],6,0)</f>
        <v>16987</v>
      </c>
      <c r="Q25" s="6">
        <f>VLOOKUP(DATA_MARZO_2026[[#This Row],[ASER_]],D1_MARZO_2026[[ASESOR_CRR]:[META]],2,0)</f>
        <v>44700</v>
      </c>
      <c r="R25" t="s">
        <v>10</v>
      </c>
      <c r="S25" s="45">
        <v>0</v>
      </c>
      <c r="T25">
        <v>0</v>
      </c>
      <c r="U25">
        <v>16987</v>
      </c>
      <c r="V25">
        <v>0</v>
      </c>
      <c r="AN25" s="55" t="str" cm="1">
        <f t="array" ref="AN25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6" spans="1:66" x14ac:dyDescent="0.25">
      <c r="A26" s="34" t="str" cm="1">
        <f t="array" ref="A2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26" s="34" t="str" cm="1">
        <f t="array" ref="B26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LUIS CENTENO</v>
      </c>
      <c r="C26" s="34" cm="1">
        <f t="array" ref="C26">_xlfn.XLOOKUP(1,(TablaMeta[CONCAT]=$M$3&amp;$N$3&amp;D1_MARZO_2026[[#This Row],[SUPER]])*(TablaMeta[SEGG]=D1_MARZO_2026[[#This Row],[SEGMENTO]]),TablaMeta[Meta_Asesor])</f>
        <v>44700</v>
      </c>
      <c r="D26" s="35">
        <f>IF(D1_MARZO_2026[[#This Row],[RECUPERO]]="VACACIONES","VACACIONES",IFERROR(D1_MARZO_2026[[#This Row],[RECUPERO]]/D1_MARZO_2026[[#This Row],[META]],""))</f>
        <v>0.2967337807606264</v>
      </c>
      <c r="E26" s="35" t="str">
        <f>D1_MARZO_2026[[#This Row],[SUPER]]</f>
        <v>JORGE</v>
      </c>
      <c r="F26" t="s">
        <v>31</v>
      </c>
      <c r="G26" s="3">
        <v>13264</v>
      </c>
      <c r="H26" cm="1">
        <f t="array" ref="H2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75882265</v>
      </c>
      <c r="I26" s="56" cm="1">
        <f t="array" ref="I2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46141</v>
      </c>
      <c r="J26" s="56" t="str" cm="1">
        <f t="array" ref="J2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6" s="56" t="str" cm="1">
        <f t="array" ref="K2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26" s="56"/>
      <c r="M26" s="5">
        <f>DATA_MARZO_2026[[#This Row],[RECUPERO]]/DATA_MARZO_2026[[#This Row],[META]]</f>
        <v>0.15548098434004473</v>
      </c>
      <c r="N26" s="5" t="str" cm="1">
        <f t="array" ref="N26">IF(DATA_MARZO_2026[[#This Row],[ASER_]]="","",IFERROR(_xlfn.IFS(M26&gt;=100%,"&gt;100%",AND(M26&lt;100%,M26&gt;=70%),"&gt;70%",AND(M26&lt;70%,M26&gt;=40%),"&gt;40%",AND(M26&lt;40%,M26&gt;=0%),"&gt;0%"),""))</f>
        <v>&gt;0%</v>
      </c>
      <c r="O26" s="55" t="str">
        <f>IFERROR(VLOOKUP(DATA_MARZO_2026[[#This Row],[ASER_]],$B:$G,4,0),"")</f>
        <v>JORGE</v>
      </c>
      <c r="P26" s="6">
        <f>VLOOKUP(DATA_MARZO_2026[[#This Row],[ASER_]],D1_MARZO_2026[[ASESOR_CRR]:[RECUPERO]],6,0)</f>
        <v>6950</v>
      </c>
      <c r="Q26" s="6">
        <f>VLOOKUP(DATA_MARZO_2026[[#This Row],[ASER_]],D1_MARZO_2026[[ASESOR_CRR]:[META]],2,0)</f>
        <v>44700</v>
      </c>
      <c r="R26" t="s">
        <v>37</v>
      </c>
      <c r="S26" s="45">
        <v>0</v>
      </c>
      <c r="T26">
        <v>6000</v>
      </c>
      <c r="U26">
        <v>0</v>
      </c>
      <c r="V26">
        <v>950</v>
      </c>
      <c r="AN26" s="55" t="str" cm="1">
        <f t="array" ref="AN26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7" spans="1:66" x14ac:dyDescent="0.25">
      <c r="A27" s="34" t="str" cm="1">
        <f t="array" ref="A2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27" s="34" t="str" cm="1">
        <f t="array" ref="B27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JIMENA MEDINA</v>
      </c>
      <c r="C27" s="34" cm="1">
        <f t="array" ref="C27">_xlfn.XLOOKUP(1,(TablaMeta[CONCAT]=$M$3&amp;$N$3&amp;D1_MARZO_2026[[#This Row],[SUPER]])*(TablaMeta[SEGG]=D1_MARZO_2026[[#This Row],[SEGMENTO]]),TablaMeta[Meta_Asesor])</f>
        <v>44700</v>
      </c>
      <c r="D27" s="35">
        <f>IF(D1_MARZO_2026[[#This Row],[RECUPERO]]="VACACIONES","VACACIONES",IFERROR(D1_MARZO_2026[[#This Row],[RECUPERO]]/D1_MARZO_2026[[#This Row],[META]],""))</f>
        <v>0.15548098434004473</v>
      </c>
      <c r="E27" s="35" t="str">
        <f>D1_MARZO_2026[[#This Row],[SUPER]]</f>
        <v>JORGE</v>
      </c>
      <c r="F27" t="s">
        <v>37</v>
      </c>
      <c r="G27" s="3">
        <v>6950</v>
      </c>
      <c r="H27" cm="1">
        <f t="array" ref="H2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70988976</v>
      </c>
      <c r="I27" s="56" cm="1">
        <f t="array" ref="I2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45112</v>
      </c>
      <c r="J27" s="56" t="str" cm="1">
        <f t="array" ref="J2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7" s="56" t="str" cm="1">
        <f t="array" ref="K2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27" s="56"/>
      <c r="M27" s="5">
        <f>DATA_MARZO_2026[[#This Row],[RECUPERO]]/DATA_MARZO_2026[[#This Row],[META]]</f>
        <v>0.15548098434004473</v>
      </c>
      <c r="N27" s="5" t="str" cm="1">
        <f t="array" ref="N27">IF(DATA_MARZO_2026[[#This Row],[ASER_]]="","",IFERROR(_xlfn.IFS(M27&gt;=100%,"&gt;100%",AND(M27&lt;100%,M27&gt;=70%),"&gt;70%",AND(M27&lt;70%,M27&gt;=40%),"&gt;40%",AND(M27&lt;40%,M27&gt;=0%),"&gt;0%"),""))</f>
        <v>&gt;0%</v>
      </c>
      <c r="O27" s="55" t="str">
        <f>IFERROR(VLOOKUP(DATA_MARZO_2026[[#This Row],[ASER_]],$B:$G,4,0),"")</f>
        <v>JORGE</v>
      </c>
      <c r="P27" s="6">
        <f>VLOOKUP(DATA_MARZO_2026[[#This Row],[ASER_]],D1_MARZO_2026[[ASESOR_CRR]:[RECUPERO]],6,0)</f>
        <v>6950</v>
      </c>
      <c r="Q27" s="6">
        <f>VLOOKUP(DATA_MARZO_2026[[#This Row],[ASER_]],D1_MARZO_2026[[ASESOR_CRR]:[META]],2,0)</f>
        <v>44700</v>
      </c>
      <c r="R27" t="s">
        <v>24</v>
      </c>
      <c r="S27">
        <v>0</v>
      </c>
      <c r="T27">
        <v>700</v>
      </c>
      <c r="U27">
        <v>0</v>
      </c>
      <c r="V27">
        <v>6250</v>
      </c>
      <c r="AN27" s="55" t="str" cm="1">
        <f t="array" ref="AN27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8" spans="1:66" x14ac:dyDescent="0.25">
      <c r="A28" s="34" t="str" cm="1">
        <f t="array" ref="A2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28" s="34" t="str" cm="1">
        <f t="array" ref="B28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FRANCO HUAMANI</v>
      </c>
      <c r="C28" s="34" cm="1">
        <f t="array" ref="C28">_xlfn.XLOOKUP(1,(TablaMeta[CONCAT]=$M$3&amp;$N$3&amp;D1_MARZO_2026[[#This Row],[SUPER]])*(TablaMeta[SEGG]=D1_MARZO_2026[[#This Row],[SEGMENTO]]),TablaMeta[Meta_Asesor])</f>
        <v>44700</v>
      </c>
      <c r="D28" s="35">
        <f>IF(D1_MARZO_2026[[#This Row],[RECUPERO]]="VACACIONES","VACACIONES",IFERROR(D1_MARZO_2026[[#This Row],[RECUPERO]]/D1_MARZO_2026[[#This Row],[META]],""))</f>
        <v>0.15548098434004473</v>
      </c>
      <c r="E28" s="35" t="str">
        <f>D1_MARZO_2026[[#This Row],[SUPER]]</f>
        <v>JORGE</v>
      </c>
      <c r="F28" t="s">
        <v>24</v>
      </c>
      <c r="G28" s="3">
        <v>6950</v>
      </c>
      <c r="H28" cm="1">
        <f t="array" ref="H2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43614775</v>
      </c>
      <c r="I28" s="56" cm="1">
        <f t="array" ref="I2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45334</v>
      </c>
      <c r="J28" s="56" t="str" cm="1">
        <f t="array" ref="J2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8" s="56" t="str" cm="1">
        <f t="array" ref="K2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28" s="56"/>
      <c r="M28" s="5">
        <f>DATA_MARZO_2026[[#This Row],[RECUPERO]]/DATA_MARZO_2026[[#This Row],[META]]</f>
        <v>3.5794183445190156E-2</v>
      </c>
      <c r="N28" s="5" t="str" cm="1">
        <f t="array" ref="N28">IF(DATA_MARZO_2026[[#This Row],[ASER_]]="","",IFERROR(_xlfn.IFS(M28&gt;=100%,"&gt;100%",AND(M28&lt;100%,M28&gt;=70%),"&gt;70%",AND(M28&lt;70%,M28&gt;=40%),"&gt;40%",AND(M28&lt;40%,M28&gt;=0%),"&gt;0%"),""))</f>
        <v>&gt;0%</v>
      </c>
      <c r="O28" s="55" t="str">
        <f>IFERROR(VLOOKUP(DATA_MARZO_2026[[#This Row],[ASER_]],$B:$G,4,0),"")</f>
        <v>JORGE</v>
      </c>
      <c r="P28" s="6">
        <f>VLOOKUP(DATA_MARZO_2026[[#This Row],[ASER_]],D1_MARZO_2026[[ASESOR_CRR]:[RECUPERO]],6,0)</f>
        <v>1600</v>
      </c>
      <c r="Q28" s="6">
        <f>VLOOKUP(DATA_MARZO_2026[[#This Row],[ASER_]],D1_MARZO_2026[[ASESOR_CRR]:[META]],2,0)</f>
        <v>44700</v>
      </c>
      <c r="R28" t="s">
        <v>13</v>
      </c>
      <c r="S28">
        <v>1600</v>
      </c>
      <c r="T28">
        <v>0</v>
      </c>
      <c r="U28">
        <v>0</v>
      </c>
      <c r="V28">
        <v>0</v>
      </c>
      <c r="AN28" s="55" t="str" cm="1">
        <f t="array" ref="AN28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29" spans="1:66" x14ac:dyDescent="0.25">
      <c r="A29" s="34" t="str" cm="1">
        <f t="array" ref="A2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29" s="34" t="str" cm="1">
        <f t="array" ref="B29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MALORY MONTEBLANCO</v>
      </c>
      <c r="C29" s="34" cm="1">
        <f t="array" ref="C29">_xlfn.XLOOKUP(1,(TablaMeta[CONCAT]=$M$3&amp;$N$3&amp;D1_MARZO_2026[[#This Row],[SUPER]])*(TablaMeta[SEGG]=D1_MARZO_2026[[#This Row],[SEGMENTO]]),TablaMeta[Meta_Asesor])</f>
        <v>44700</v>
      </c>
      <c r="D29" s="35">
        <f>IF(D1_MARZO_2026[[#This Row],[RECUPERO]]="VACACIONES","VACACIONES",IFERROR(D1_MARZO_2026[[#This Row],[RECUPERO]]/D1_MARZO_2026[[#This Row],[META]],""))</f>
        <v>0.10469798657718121</v>
      </c>
      <c r="E29" s="35" t="str">
        <f>D1_MARZO_2026[[#This Row],[SUPER]]</f>
        <v>JORGE</v>
      </c>
      <c r="F29" t="s">
        <v>25</v>
      </c>
      <c r="G29" s="3">
        <v>4680</v>
      </c>
      <c r="H29" cm="1">
        <f t="array" ref="H2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72373931</v>
      </c>
      <c r="I29" s="56" cm="1">
        <f t="array" ref="I2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44818</v>
      </c>
      <c r="J29" s="56" t="str" cm="1">
        <f t="array" ref="J2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29" s="56" t="str" cm="1">
        <f t="array" ref="K2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29" s="56"/>
      <c r="M29" s="5">
        <f>DATA_MARZO_2026[[#This Row],[RECUPERO]]/DATA_MARZO_2026[[#This Row],[META]]</f>
        <v>0.10469798657718121</v>
      </c>
      <c r="N29" s="5" t="str" cm="1">
        <f t="array" ref="N29">IF(DATA_MARZO_2026[[#This Row],[ASER_]]="","",IFERROR(_xlfn.IFS(M29&gt;=100%,"&gt;100%",AND(M29&lt;100%,M29&gt;=70%),"&gt;70%",AND(M29&lt;70%,M29&gt;=40%),"&gt;40%",AND(M29&lt;40%,M29&gt;=0%),"&gt;0%"),""))</f>
        <v>&gt;0%</v>
      </c>
      <c r="O29" s="55" t="str">
        <f>IFERROR(VLOOKUP(DATA_MARZO_2026[[#This Row],[ASER_]],$B:$G,4,0),"")</f>
        <v>JORGE</v>
      </c>
      <c r="P29" s="6">
        <f>VLOOKUP(DATA_MARZO_2026[[#This Row],[ASER_]],D1_MARZO_2026[[ASESOR_CRR]:[RECUPERO]],6,0)</f>
        <v>4680</v>
      </c>
      <c r="Q29" s="6">
        <f>VLOOKUP(DATA_MARZO_2026[[#This Row],[ASER_]],D1_MARZO_2026[[ASESOR_CRR]:[META]],2,0)</f>
        <v>44700</v>
      </c>
      <c r="R29" t="s">
        <v>25</v>
      </c>
      <c r="S29">
        <v>1100</v>
      </c>
      <c r="T29">
        <v>0</v>
      </c>
      <c r="U29" s="45">
        <v>3080</v>
      </c>
      <c r="V29">
        <v>500</v>
      </c>
      <c r="AN29" s="55" t="str" cm="1">
        <f t="array" ref="AN29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0" spans="1:66" x14ac:dyDescent="0.25">
      <c r="A30" s="34" t="str" cm="1">
        <f t="array" ref="A3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30" s="34" t="str" cm="1">
        <f t="array" ref="B30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JHONATAN CHAVEZ</v>
      </c>
      <c r="C30" s="34" cm="1">
        <f t="array" ref="C30">_xlfn.XLOOKUP(1,(TablaMeta[CONCAT]=$M$3&amp;$N$3&amp;D1_MARZO_2026[[#This Row],[SUPER]])*(TablaMeta[SEGG]=D1_MARZO_2026[[#This Row],[SEGMENTO]]),TablaMeta[Meta_Asesor])</f>
        <v>44700</v>
      </c>
      <c r="D30" s="35">
        <f>IF(D1_MARZO_2026[[#This Row],[RECUPERO]]="VACACIONES","VACACIONES",IFERROR(D1_MARZO_2026[[#This Row],[RECUPERO]]/D1_MARZO_2026[[#This Row],[META]],""))</f>
        <v>9.7315436241610737E-2</v>
      </c>
      <c r="E30" s="35" t="str">
        <f>D1_MARZO_2026[[#This Row],[SUPER]]</f>
        <v>JORGE</v>
      </c>
      <c r="F30" t="s">
        <v>65</v>
      </c>
      <c r="G30" s="3">
        <v>4350</v>
      </c>
      <c r="H30" cm="1">
        <f t="array" ref="H3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47659267</v>
      </c>
      <c r="I30" s="56" cm="1">
        <f t="array" ref="I3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45019</v>
      </c>
      <c r="J30" s="56" t="str" cm="1">
        <f t="array" ref="J3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0" s="56" t="str" cm="1">
        <f t="array" ref="K3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0" s="56"/>
      <c r="M30" s="5">
        <f>DATA_MARZO_2026[[#This Row],[RECUPERO]]/DATA_MARZO_2026[[#This Row],[META]]</f>
        <v>4.4742729306487698E-2</v>
      </c>
      <c r="N30" s="5" t="str" cm="1">
        <f t="array" ref="N30">IF(DATA_MARZO_2026[[#This Row],[ASER_]]="","",IFERROR(_xlfn.IFS(M30&gt;=100%,"&gt;100%",AND(M30&lt;100%,M30&gt;=70%),"&gt;70%",AND(M30&lt;70%,M30&gt;=40%),"&gt;40%",AND(M30&lt;40%,M30&gt;=0%),"&gt;0%"),""))</f>
        <v>&gt;0%</v>
      </c>
      <c r="O30" s="55" t="str">
        <f>IFERROR(VLOOKUP(DATA_MARZO_2026[[#This Row],[ASER_]],$B:$G,4,0),"")</f>
        <v>JORGE</v>
      </c>
      <c r="P30" s="6">
        <f>VLOOKUP(DATA_MARZO_2026[[#This Row],[ASER_]],D1_MARZO_2026[[ASESOR_CRR]:[RECUPERO]],6,0)</f>
        <v>2000</v>
      </c>
      <c r="Q30" s="6">
        <f>VLOOKUP(DATA_MARZO_2026[[#This Row],[ASER_]],D1_MARZO_2026[[ASESOR_CRR]:[META]],2,0)</f>
        <v>44700</v>
      </c>
      <c r="R30" t="s">
        <v>22</v>
      </c>
      <c r="S30">
        <v>2000</v>
      </c>
      <c r="T30">
        <v>0</v>
      </c>
      <c r="U30">
        <v>0</v>
      </c>
      <c r="V30">
        <v>0</v>
      </c>
      <c r="AN30" s="55" t="str" cm="1">
        <f t="array" ref="AN30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1" spans="1:66" x14ac:dyDescent="0.25">
      <c r="A31" s="34" t="str" cm="1">
        <f t="array" ref="A3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31" s="34" t="str" cm="1">
        <f t="array" ref="B31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EVELY TENORIO</v>
      </c>
      <c r="C31" s="34" cm="1">
        <f t="array" ref="C31">_xlfn.XLOOKUP(1,(TablaMeta[CONCAT]=$M$3&amp;$N$3&amp;D1_MARZO_2026[[#This Row],[SUPER]])*(TablaMeta[SEGG]=D1_MARZO_2026[[#This Row],[SEGMENTO]]),TablaMeta[Meta_Asesor])</f>
        <v>44700</v>
      </c>
      <c r="D31" s="35">
        <f>IF(D1_MARZO_2026[[#This Row],[RECUPERO]]="VACACIONES","VACACIONES",IFERROR(D1_MARZO_2026[[#This Row],[RECUPERO]]/D1_MARZO_2026[[#This Row],[META]],""))</f>
        <v>4.4742729306487698E-2</v>
      </c>
      <c r="E31" s="35" t="str">
        <f>D1_MARZO_2026[[#This Row],[SUPER]]</f>
        <v>JORGE</v>
      </c>
      <c r="F31" t="s">
        <v>22</v>
      </c>
      <c r="G31" s="3">
        <v>2000</v>
      </c>
      <c r="H31" cm="1">
        <f t="array" ref="H3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70551168</v>
      </c>
      <c r="I31" s="56" cm="1">
        <f t="array" ref="I3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45295</v>
      </c>
      <c r="J31" s="56" t="str" cm="1">
        <f t="array" ref="J3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1" s="56" t="str" cm="1">
        <f t="array" ref="K3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1" s="56"/>
      <c r="M31" s="5">
        <f>DATA_MARZO_2026[[#This Row],[RECUPERO]]/DATA_MARZO_2026[[#This Row],[META]]</f>
        <v>0.2967337807606264</v>
      </c>
      <c r="N31" s="5" t="str" cm="1">
        <f t="array" ref="N31">IF(DATA_MARZO_2026[[#This Row],[ASER_]]="","",IFERROR(_xlfn.IFS(M31&gt;=100%,"&gt;100%",AND(M31&lt;100%,M31&gt;=70%),"&gt;70%",AND(M31&lt;70%,M31&gt;=40%),"&gt;40%",AND(M31&lt;40%,M31&gt;=0%),"&gt;0%"),""))</f>
        <v>&gt;0%</v>
      </c>
      <c r="O31" s="55" t="str">
        <f>IFERROR(VLOOKUP(DATA_MARZO_2026[[#This Row],[ASER_]],$B:$G,4,0),"")</f>
        <v>JORGE</v>
      </c>
      <c r="P31" s="6">
        <f>VLOOKUP(DATA_MARZO_2026[[#This Row],[ASER_]],D1_MARZO_2026[[ASESOR_CRR]:[RECUPERO]],6,0)</f>
        <v>13264</v>
      </c>
      <c r="Q31" s="6">
        <f>VLOOKUP(DATA_MARZO_2026[[#This Row],[ASER_]],D1_MARZO_2026[[ASESOR_CRR]:[META]],2,0)</f>
        <v>44700</v>
      </c>
      <c r="R31" t="s">
        <v>31</v>
      </c>
      <c r="S31">
        <v>0</v>
      </c>
      <c r="T31">
        <v>2000</v>
      </c>
      <c r="U31">
        <v>11264</v>
      </c>
      <c r="V31">
        <v>0</v>
      </c>
      <c r="AN31" s="55" t="str" cm="1">
        <f t="array" ref="AN31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32" spans="1:66" x14ac:dyDescent="0.25">
      <c r="A32" s="34" t="str" cm="1">
        <f t="array" ref="A3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32" s="34" t="str" cm="1">
        <f t="array" ref="B32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HAROLD FLORES</v>
      </c>
      <c r="C32" s="34" cm="1">
        <f t="array" ref="C32">_xlfn.XLOOKUP(1,(TablaMeta[CONCAT]=$M$3&amp;$N$3&amp;D1_MARZO_2026[[#This Row],[SUPER]])*(TablaMeta[SEGG]=D1_MARZO_2026[[#This Row],[SEGMENTO]]),TablaMeta[Meta_Asesor])</f>
        <v>44700</v>
      </c>
      <c r="D32" s="35">
        <f>IF(D1_MARZO_2026[[#This Row],[RECUPERO]]="VACACIONES","VACACIONES",IFERROR(D1_MARZO_2026[[#This Row],[RECUPERO]]/D1_MARZO_2026[[#This Row],[META]],""))</f>
        <v>3.803131991051454E-2</v>
      </c>
      <c r="E32" s="35" t="str">
        <f>D1_MARZO_2026[[#This Row],[SUPER]]</f>
        <v>JORGE</v>
      </c>
      <c r="F32" t="s">
        <v>42</v>
      </c>
      <c r="G32" s="3">
        <v>1700</v>
      </c>
      <c r="H32" cm="1">
        <f t="array" ref="H3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73725129</v>
      </c>
      <c r="I32" s="56" cm="1">
        <f t="array" ref="I3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45398</v>
      </c>
      <c r="J32" s="56" t="str" cm="1">
        <f t="array" ref="J3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2" s="56" t="str" cm="1">
        <f t="array" ref="K3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2" s="56"/>
      <c r="M32" s="5">
        <f>DATA_MARZO_2026[[#This Row],[RECUPERO]]/DATA_MARZO_2026[[#This Row],[META]]</f>
        <v>1.2398042414355628E-2</v>
      </c>
      <c r="N32" s="5" t="str" cm="1">
        <f t="array" ref="N32">IF(DATA_MARZO_2026[[#This Row],[ASER_]]="","",IFERROR(_xlfn.IFS(M32&gt;=100%,"&gt;100%",AND(M32&lt;100%,M32&gt;=70%),"&gt;70%",AND(M32&lt;70%,M32&gt;=40%),"&gt;40%",AND(M32&lt;40%,M32&gt;=0%),"&gt;0%"),""))</f>
        <v>&gt;0%</v>
      </c>
      <c r="O32" s="55" t="str">
        <f>IFERROR(VLOOKUP(DATA_MARZO_2026[[#This Row],[ASER_]],$B:$G,4,0),"")</f>
        <v>KENNETH</v>
      </c>
      <c r="P32" s="6">
        <f>VLOOKUP(DATA_MARZO_2026[[#This Row],[ASER_]],D1_MARZO_2026[[ASESOR_CRR]:[RECUPERO]],6,0)</f>
        <v>760</v>
      </c>
      <c r="Q32" s="6">
        <f>VLOOKUP(DATA_MARZO_2026[[#This Row],[ASER_]],D1_MARZO_2026[[ASESOR_CRR]:[META]],2,0)</f>
        <v>61300</v>
      </c>
      <c r="R32" t="s">
        <v>76</v>
      </c>
      <c r="S32">
        <v>0</v>
      </c>
      <c r="T32">
        <v>0</v>
      </c>
      <c r="U32">
        <v>500</v>
      </c>
      <c r="V32">
        <v>260</v>
      </c>
      <c r="AN32" s="55" t="str" cm="1">
        <f t="array" ref="AN32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3" spans="1:40" x14ac:dyDescent="0.25">
      <c r="A33" s="34" t="str" cm="1">
        <f t="array" ref="A3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33" s="34" t="str" cm="1">
        <f t="array" ref="B33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GIANFRANCO PINEDO</v>
      </c>
      <c r="C33" s="34" cm="1">
        <f t="array" ref="C33">_xlfn.XLOOKUP(1,(TablaMeta[CONCAT]=$M$3&amp;$N$3&amp;D1_MARZO_2026[[#This Row],[SUPER]])*(TablaMeta[SEGG]=D1_MARZO_2026[[#This Row],[SEGMENTO]]),TablaMeta[Meta_Asesor])</f>
        <v>44700</v>
      </c>
      <c r="D33" s="35">
        <f>IF(D1_MARZO_2026[[#This Row],[RECUPERO]]="VACACIONES","VACACIONES",IFERROR(D1_MARZO_2026[[#This Row],[RECUPERO]]/D1_MARZO_2026[[#This Row],[META]],""))</f>
        <v>3.5794183445190156E-2</v>
      </c>
      <c r="E33" s="35" t="str">
        <f>D1_MARZO_2026[[#This Row],[SUPER]]</f>
        <v>JORGE</v>
      </c>
      <c r="F33" t="s">
        <v>13</v>
      </c>
      <c r="G33" s="3">
        <v>1600</v>
      </c>
      <c r="H33" cm="1">
        <f t="array" ref="H3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72512391</v>
      </c>
      <c r="I33" s="56" cm="1">
        <f t="array" ref="I3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44809</v>
      </c>
      <c r="J33" s="56" t="str" cm="1">
        <f t="array" ref="J3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3" s="56" t="str" cm="1">
        <f t="array" ref="K3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3" s="56"/>
      <c r="M33" s="5">
        <f>DATA_MARZO_2026[[#This Row],[RECUPERO]]/DATA_MARZO_2026[[#This Row],[META]]</f>
        <v>4.8613376835236539E-2</v>
      </c>
      <c r="N33" s="54" t="str" cm="1">
        <f t="array" ref="N33">IF(DATA_MARZO_2026[[#This Row],[ASER_]]="","",IFERROR(_xlfn.IFS(M33&gt;=100%,"&gt;100%",AND(M33&lt;100%,M33&gt;=70%),"&gt;70%",AND(M33&lt;70%,M33&gt;=40%),"&gt;40%",AND(M33&lt;40%,M33&gt;=0%),"&gt;0%"),""))</f>
        <v>&gt;0%</v>
      </c>
      <c r="O33" s="55" t="str">
        <f>IFERROR(VLOOKUP(DATA_MARZO_2026[[#This Row],[ASER_]],$B:$G,4,0),"")</f>
        <v>KENNETH</v>
      </c>
      <c r="P33" s="6">
        <f>VLOOKUP(DATA_MARZO_2026[[#This Row],[ASER_]],D1_MARZO_2026[[ASESOR_CRR]:[RECUPERO]],6,0)</f>
        <v>2980</v>
      </c>
      <c r="Q33" s="6">
        <f>VLOOKUP(DATA_MARZO_2026[[#This Row],[ASER_]],D1_MARZO_2026[[ASESOR_CRR]:[META]],2,0)</f>
        <v>61300</v>
      </c>
      <c r="R33" t="s">
        <v>35</v>
      </c>
      <c r="S33">
        <v>500</v>
      </c>
      <c r="T33">
        <v>0</v>
      </c>
      <c r="U33">
        <v>300</v>
      </c>
      <c r="V33">
        <v>0</v>
      </c>
      <c r="AN33" s="55" t="str" cm="1">
        <f t="array" ref="AN33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4" spans="1:40" x14ac:dyDescent="0.25">
      <c r="A34" s="34" t="str" cm="1">
        <f t="array" ref="A3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JORGE</v>
      </c>
      <c r="B34" s="34" t="str" cm="1">
        <f t="array" ref="B34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DAVID SANCHEZ</v>
      </c>
      <c r="C34" s="34" cm="1">
        <f t="array" ref="C34">_xlfn.XLOOKUP(1,(TablaMeta[CONCAT]=$M$3&amp;$N$3&amp;D1_MARZO_2026[[#This Row],[SUPER]])*(TablaMeta[SEGG]=D1_MARZO_2026[[#This Row],[SEGMENTO]]),TablaMeta[Meta_Asesor])</f>
        <v>44700</v>
      </c>
      <c r="D34" s="35">
        <f>IF(D1_MARZO_2026[[#This Row],[RECUPERO]]="VACACIONES","VACACIONES",IFERROR(D1_MARZO_2026[[#This Row],[RECUPERO]]/D1_MARZO_2026[[#This Row],[META]],""))</f>
        <v>0</v>
      </c>
      <c r="E34" s="35" t="str">
        <f>D1_MARZO_2026[[#This Row],[SUPER]]</f>
        <v>JORGE</v>
      </c>
      <c r="F34" t="s">
        <v>81</v>
      </c>
      <c r="G34" s="3">
        <v>0</v>
      </c>
      <c r="H34" cm="1">
        <f t="array" ref="H3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72716299</v>
      </c>
      <c r="I34" s="56" cm="1">
        <f t="array" ref="I3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45511</v>
      </c>
      <c r="J34" s="56" t="str" cm="1">
        <f t="array" ref="J3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4" s="56" t="str" cm="1">
        <f t="array" ref="K3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34" s="56"/>
      <c r="M34" s="5">
        <f>DATA_MARZO_2026[[#This Row],[RECUPERO]]/DATA_MARZO_2026[[#This Row],[META]]</f>
        <v>5.872756933115824E-2</v>
      </c>
      <c r="N34" s="54" t="str" cm="1">
        <f t="array" ref="N34">IF(DATA_MARZO_2026[[#This Row],[ASER_]]="","",IFERROR(_xlfn.IFS(M34&gt;=100%,"&gt;100%",AND(M34&lt;100%,M34&gt;=70%),"&gt;70%",AND(M34&lt;70%,M34&gt;=40%),"&gt;40%",AND(M34&lt;40%,M34&gt;=0%),"&gt;0%"),""))</f>
        <v>&gt;0%</v>
      </c>
      <c r="O34" s="55" t="str">
        <f>IFERROR(VLOOKUP(DATA_MARZO_2026[[#This Row],[ASER_]],$B:$G,4,0),"")</f>
        <v>KENNETH</v>
      </c>
      <c r="P34" s="6">
        <f>VLOOKUP(DATA_MARZO_2026[[#This Row],[ASER_]],D1_MARZO_2026[[ASESOR_CRR]:[RECUPERO]],6,0)</f>
        <v>3600</v>
      </c>
      <c r="Q34" s="6">
        <f>VLOOKUP(DATA_MARZO_2026[[#This Row],[ASER_]],D1_MARZO_2026[[ASESOR_CRR]:[META]],2,0)</f>
        <v>61300</v>
      </c>
      <c r="R34" t="s">
        <v>97</v>
      </c>
      <c r="S34">
        <v>350</v>
      </c>
      <c r="T34">
        <v>0</v>
      </c>
      <c r="U34">
        <v>340</v>
      </c>
      <c r="V34">
        <v>225</v>
      </c>
      <c r="AN34" s="55" t="str" cm="1">
        <f t="array" ref="AN34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5" spans="1:40" x14ac:dyDescent="0.25">
      <c r="A35" s="34" t="str" cm="1">
        <f t="array" ref="A3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35" s="34" t="str" cm="1">
        <f t="array" ref="B35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CHRISTIAN ALVARADO</v>
      </c>
      <c r="C35" s="34" cm="1">
        <f t="array" ref="C35">_xlfn.XLOOKUP(1,(TablaMeta[CONCAT]=$M$3&amp;$N$3&amp;D1_MARZO_2026[[#This Row],[SUPER]])*(TablaMeta[SEGG]=D1_MARZO_2026[[#This Row],[SEGMENTO]]),TablaMeta[Meta_Asesor])</f>
        <v>18100</v>
      </c>
      <c r="D35" s="35">
        <f>IF(D1_MARZO_2026[[#This Row],[RECUPERO]]="VACACIONES","VACACIONES",IFERROR(D1_MARZO_2026[[#This Row],[RECUPERO]]/D1_MARZO_2026[[#This Row],[META]],""))</f>
        <v>0.49171270718232046</v>
      </c>
      <c r="E35" s="35" t="str">
        <f>D1_MARZO_2026[[#This Row],[SUPER]]</f>
        <v>LISELY</v>
      </c>
      <c r="F35" t="s">
        <v>41</v>
      </c>
      <c r="G35" s="3">
        <v>8900</v>
      </c>
      <c r="H35" cm="1">
        <f t="array" ref="H3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46461021</v>
      </c>
      <c r="I35" s="56" cm="1">
        <f t="array" ref="I3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45302</v>
      </c>
      <c r="J35" s="56" t="str" cm="1">
        <f t="array" ref="J3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5" s="56" t="str" cm="1">
        <f t="array" ref="K3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5" s="56"/>
      <c r="M35" s="5">
        <f>DATA_MARZO_2026[[#This Row],[RECUPERO]]/DATA_MARZO_2026[[#This Row],[META]]</f>
        <v>0.19575856443719414</v>
      </c>
      <c r="N35" s="54" t="str" cm="1">
        <f t="array" ref="N35">IF(DATA_MARZO_2026[[#This Row],[ASER_]]="","",IFERROR(_xlfn.IFS(M35&gt;=100%,"&gt;100%",AND(M35&lt;100%,M35&gt;=70%),"&gt;70%",AND(M35&lt;70%,M35&gt;=40%),"&gt;40%",AND(M35&lt;40%,M35&gt;=0%),"&gt;0%"),""))</f>
        <v>&gt;0%</v>
      </c>
      <c r="O35" s="55" t="str">
        <f>IFERROR(VLOOKUP(DATA_MARZO_2026[[#This Row],[ASER_]],$B:$G,4,0),"")</f>
        <v>KENNETH</v>
      </c>
      <c r="P35" s="6">
        <f>VLOOKUP(DATA_MARZO_2026[[#This Row],[ASER_]],D1_MARZO_2026[[ASESOR_CRR]:[RECUPERO]],6,0)</f>
        <v>12000</v>
      </c>
      <c r="Q35" s="6">
        <f>VLOOKUP(DATA_MARZO_2026[[#This Row],[ASER_]],D1_MARZO_2026[[ASESOR_CRR]:[META]],2,0)</f>
        <v>61300</v>
      </c>
      <c r="R35" t="s">
        <v>105</v>
      </c>
      <c r="S35">
        <v>0</v>
      </c>
      <c r="T35">
        <v>0</v>
      </c>
      <c r="U35">
        <v>0</v>
      </c>
      <c r="V35">
        <v>0</v>
      </c>
      <c r="AB35" s="6"/>
      <c r="AC35" s="6"/>
      <c r="AD35" s="6"/>
      <c r="AE35" s="6"/>
      <c r="AF35" s="6"/>
      <c r="AG35" s="6"/>
      <c r="AH35" s="6"/>
      <c r="AN35" s="55" t="str" cm="1">
        <f t="array" ref="AN35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6" spans="1:40" x14ac:dyDescent="0.25">
      <c r="A36" s="34" t="str" cm="1">
        <f t="array" ref="A3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36" s="34" t="str" cm="1">
        <f t="array" ref="B36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JOSELIN MONTALVO</v>
      </c>
      <c r="C36" s="34" cm="1">
        <f t="array" ref="C36">_xlfn.XLOOKUP(1,(TablaMeta[CONCAT]=$M$3&amp;$N$3&amp;D1_MARZO_2026[[#This Row],[SUPER]])*(TablaMeta[SEGG]=D1_MARZO_2026[[#This Row],[SEGMENTO]]),TablaMeta[Meta_Asesor])</f>
        <v>18100</v>
      </c>
      <c r="D36" s="35">
        <f>IF(D1_MARZO_2026[[#This Row],[RECUPERO]]="VACACIONES","VACACIONES",IFERROR(D1_MARZO_2026[[#This Row],[RECUPERO]]/D1_MARZO_2026[[#This Row],[META]],""))</f>
        <v>9.6353591160220992E-2</v>
      </c>
      <c r="E36" s="35" t="str">
        <f>D1_MARZO_2026[[#This Row],[SUPER]]</f>
        <v>LISELY</v>
      </c>
      <c r="F36" t="s">
        <v>549</v>
      </c>
      <c r="G36" s="3">
        <v>1744</v>
      </c>
      <c r="H36" cm="1">
        <f t="array" ref="H3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73233992</v>
      </c>
      <c r="I36" s="56" cm="1">
        <f t="array" ref="I3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46065</v>
      </c>
      <c r="J36" s="56" t="str" cm="1">
        <f t="array" ref="J3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6" s="56" t="str" cm="1">
        <f t="array" ref="K3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6" s="56"/>
      <c r="M36" s="5">
        <f>DATA_MARZO_2026[[#This Row],[RECUPERO]]/DATA_MARZO_2026[[#This Row],[META]]</f>
        <v>7.34094616639478E-3</v>
      </c>
      <c r="N36" s="54" t="str" cm="1">
        <f t="array" ref="N36">IF(DATA_MARZO_2026[[#This Row],[ASER_]]="","",IFERROR(_xlfn.IFS(M36&gt;=100%,"&gt;100%",AND(M36&lt;100%,M36&gt;=70%),"&gt;70%",AND(M36&lt;70%,M36&gt;=40%),"&gt;40%",AND(M36&lt;40%,M36&gt;=0%),"&gt;0%"),""))</f>
        <v>&gt;0%</v>
      </c>
      <c r="O36" s="55" t="str">
        <f>IFERROR(VLOOKUP(DATA_MARZO_2026[[#This Row],[ASER_]],$B:$G,4,0),"")</f>
        <v>KENNETH</v>
      </c>
      <c r="P36" s="6">
        <f>VLOOKUP(DATA_MARZO_2026[[#This Row],[ASER_]],D1_MARZO_2026[[ASESOR_CRR]:[RECUPERO]],6,0)</f>
        <v>450</v>
      </c>
      <c r="Q36" s="6">
        <f>VLOOKUP(DATA_MARZO_2026[[#This Row],[ASER_]],D1_MARZO_2026[[ASESOR_CRR]:[META]],2,0)</f>
        <v>61300</v>
      </c>
      <c r="R36" t="s">
        <v>11</v>
      </c>
      <c r="S36">
        <v>0</v>
      </c>
      <c r="T36">
        <v>0</v>
      </c>
      <c r="U36">
        <v>150</v>
      </c>
      <c r="V36">
        <v>300</v>
      </c>
      <c r="AB36" s="6"/>
      <c r="AC36" s="6"/>
      <c r="AD36" s="6"/>
      <c r="AE36" s="6"/>
      <c r="AF36" s="6"/>
      <c r="AG36" s="6"/>
      <c r="AH36" s="6"/>
      <c r="AN36" s="55" t="str" cm="1">
        <f t="array" ref="AN36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7" spans="1:40" x14ac:dyDescent="0.25">
      <c r="A37" s="34" t="str" cm="1">
        <f t="array" ref="A3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37" s="34" t="str" cm="1">
        <f t="array" ref="B37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NICOLE CAURURO</v>
      </c>
      <c r="C37" s="34" cm="1">
        <f t="array" ref="C37">_xlfn.XLOOKUP(1,(TablaMeta[CONCAT]=$M$3&amp;$N$3&amp;D1_MARZO_2026[[#This Row],[SUPER]])*(TablaMeta[SEGG]=D1_MARZO_2026[[#This Row],[SEGMENTO]]),TablaMeta[Meta_Asesor])</f>
        <v>18100</v>
      </c>
      <c r="D37" s="35">
        <f>IF(D1_MARZO_2026[[#This Row],[RECUPERO]]="VACACIONES","VACACIONES",IFERROR(D1_MARZO_2026[[#This Row],[RECUPERO]]/D1_MARZO_2026[[#This Row],[META]],""))</f>
        <v>1.6574585635359115E-2</v>
      </c>
      <c r="E37" s="35" t="str">
        <f>D1_MARZO_2026[[#This Row],[SUPER]]</f>
        <v>LISELY</v>
      </c>
      <c r="F37" t="s">
        <v>566</v>
      </c>
      <c r="G37" s="3">
        <v>300</v>
      </c>
      <c r="H37" cm="1">
        <f t="array" ref="H3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75693756</v>
      </c>
      <c r="I37" s="56" cm="1">
        <f t="array" ref="I3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46084</v>
      </c>
      <c r="J37" s="56" t="str" cm="1">
        <f t="array" ref="J3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7" s="56" t="str" cm="1">
        <f t="array" ref="K3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7" s="56"/>
      <c r="M37" s="5">
        <f>DATA_MARZO_2026[[#This Row],[RECUPERO]]/DATA_MARZO_2026[[#This Row],[META]]</f>
        <v>2.2838499184339316E-2</v>
      </c>
      <c r="N37" s="54" t="str" cm="1">
        <f t="array" ref="N37">IF(DATA_MARZO_2026[[#This Row],[ASER_]]="","",IFERROR(_xlfn.IFS(M37&gt;=100%,"&gt;100%",AND(M37&lt;100%,M37&gt;=70%),"&gt;70%",AND(M37&lt;70%,M37&gt;=40%),"&gt;40%",AND(M37&lt;40%,M37&gt;=0%),"&gt;0%"),""))</f>
        <v>&gt;0%</v>
      </c>
      <c r="O37" s="55" t="str">
        <f>IFERROR(VLOOKUP(DATA_MARZO_2026[[#This Row],[ASER_]],$B:$G,4,0),"")</f>
        <v>KENNETH</v>
      </c>
      <c r="P37" s="6">
        <f>VLOOKUP(DATA_MARZO_2026[[#This Row],[ASER_]],D1_MARZO_2026[[ASESOR_CRR]:[RECUPERO]],6,0)</f>
        <v>1400</v>
      </c>
      <c r="Q37" s="6">
        <f>VLOOKUP(DATA_MARZO_2026[[#This Row],[ASER_]],D1_MARZO_2026[[ASESOR_CRR]:[META]],2,0)</f>
        <v>61300</v>
      </c>
      <c r="R37" t="s">
        <v>19</v>
      </c>
      <c r="S37">
        <v>700</v>
      </c>
      <c r="T37">
        <v>0</v>
      </c>
      <c r="U37">
        <v>0</v>
      </c>
      <c r="V37">
        <v>700</v>
      </c>
      <c r="AB37" s="6"/>
      <c r="AC37" s="6"/>
      <c r="AD37" s="6"/>
      <c r="AE37" s="6"/>
      <c r="AF37" s="6"/>
      <c r="AG37" s="6"/>
      <c r="AH37" s="6"/>
      <c r="AN37" s="55" t="str" cm="1">
        <f t="array" ref="AN37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8" spans="1:40" x14ac:dyDescent="0.25">
      <c r="A38" s="34" t="str" cm="1">
        <f t="array" ref="A3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38" s="34" t="str" cm="1">
        <f t="array" ref="B38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ZAYDA CORTEZ</v>
      </c>
      <c r="C38" s="34" cm="1">
        <f t="array" ref="C38">_xlfn.XLOOKUP(1,(TablaMeta[CONCAT]=$M$3&amp;$N$3&amp;D1_MARZO_2026[[#This Row],[SUPER]])*(TablaMeta[SEGG]=D1_MARZO_2026[[#This Row],[SEGMENTO]]),TablaMeta[Meta_Asesor])</f>
        <v>18100</v>
      </c>
      <c r="D38" s="35">
        <f>IF(D1_MARZO_2026[[#This Row],[RECUPERO]]="VACACIONES","VACACIONES",IFERROR(D1_MARZO_2026[[#This Row],[RECUPERO]]/D1_MARZO_2026[[#This Row],[META]],""))</f>
        <v>1.6574585635359115E-2</v>
      </c>
      <c r="E38" s="35" t="str">
        <f>D1_MARZO_2026[[#This Row],[SUPER]]</f>
        <v>LISELY</v>
      </c>
      <c r="F38" t="s">
        <v>601</v>
      </c>
      <c r="G38" s="3">
        <v>300</v>
      </c>
      <c r="H38" cm="1">
        <f t="array" ref="H3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77710185</v>
      </c>
      <c r="I38" s="56" cm="1">
        <f t="array" ref="I3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46141</v>
      </c>
      <c r="J38" s="56" t="str" cm="1">
        <f t="array" ref="J3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8" s="56" t="str" cm="1">
        <f t="array" ref="K3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8" s="56"/>
      <c r="M38" s="5">
        <f>DATA_MARZO_2026[[#This Row],[RECUPERO]]/DATA_MARZO_2026[[#This Row],[META]]</f>
        <v>0.28874388254486133</v>
      </c>
      <c r="N38" s="54" t="str" cm="1">
        <f t="array" ref="N38">IF(DATA_MARZO_2026[[#This Row],[ASER_]]="","",IFERROR(_xlfn.IFS(M38&gt;=100%,"&gt;100%",AND(M38&lt;100%,M38&gt;=70%),"&gt;70%",AND(M38&lt;70%,M38&gt;=40%),"&gt;40%",AND(M38&lt;40%,M38&gt;=0%),"&gt;0%"),""))</f>
        <v>&gt;0%</v>
      </c>
      <c r="O38" s="55" t="str">
        <f>IFERROR(VLOOKUP(DATA_MARZO_2026[[#This Row],[ASER_]],$B:$G,4,0),"")</f>
        <v>KENNETH</v>
      </c>
      <c r="P38" s="6">
        <f>VLOOKUP(DATA_MARZO_2026[[#This Row],[ASER_]],D1_MARZO_2026[[ASESOR_CRR]:[RECUPERO]],6,0)</f>
        <v>17700</v>
      </c>
      <c r="Q38" s="6">
        <f>VLOOKUP(DATA_MARZO_2026[[#This Row],[ASER_]],D1_MARZO_2026[[ASESOR_CRR]:[META]],2,0)</f>
        <v>61300</v>
      </c>
      <c r="R38" t="s">
        <v>34</v>
      </c>
      <c r="S38">
        <v>2500</v>
      </c>
      <c r="T38">
        <v>5000</v>
      </c>
      <c r="U38">
        <v>0</v>
      </c>
      <c r="V38">
        <v>0</v>
      </c>
      <c r="W38" s="5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55" t="str" cm="1">
        <f t="array" ref="AN38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39" spans="1:40" x14ac:dyDescent="0.25">
      <c r="A39" s="34" t="str" cm="1">
        <f t="array" ref="A3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39" s="34" t="str" cm="1">
        <f t="array" ref="B39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JEREMY RODRIGUEZ</v>
      </c>
      <c r="C39" s="34" cm="1">
        <f t="array" ref="C39">_xlfn.XLOOKUP(1,(TablaMeta[CONCAT]=$M$3&amp;$N$3&amp;D1_MARZO_2026[[#This Row],[SUPER]])*(TablaMeta[SEGG]=D1_MARZO_2026[[#This Row],[SEGMENTO]]),TablaMeta[Meta_Asesor])</f>
        <v>18100</v>
      </c>
      <c r="D39" s="35">
        <f>IF(D1_MARZO_2026[[#This Row],[RECUPERO]]="VACACIONES","VACACIONES",IFERROR(D1_MARZO_2026[[#This Row],[RECUPERO]]/D1_MARZO_2026[[#This Row],[META]],""))</f>
        <v>0</v>
      </c>
      <c r="E39" s="35" t="str">
        <f>D1_MARZO_2026[[#This Row],[SUPER]]</f>
        <v>LISELY</v>
      </c>
      <c r="F39" t="s">
        <v>599</v>
      </c>
      <c r="G39" s="3">
        <v>0</v>
      </c>
      <c r="H39" cm="1">
        <f t="array" ref="H3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42227234</v>
      </c>
      <c r="I39" s="56" cm="1">
        <f t="array" ref="I3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46121</v>
      </c>
      <c r="J39" s="56" t="str" cm="1">
        <f t="array" ref="J3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39" s="56" t="str" cm="1">
        <f t="array" ref="K3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39" s="56"/>
      <c r="M39" s="5">
        <f>DATA_MARZO_2026[[#This Row],[RECUPERO]]/DATA_MARZO_2026[[#This Row],[META]]</f>
        <v>8.3116883116883117E-2</v>
      </c>
      <c r="N39" s="54" t="str" cm="1">
        <f t="array" ref="N39">IF(DATA_MARZO_2026[[#This Row],[ASER_]]="","",IFERROR(_xlfn.IFS(M39&gt;=100%,"&gt;100%",AND(M39&lt;100%,M39&gt;=70%),"&gt;70%",AND(M39&lt;70%,M39&gt;=40%),"&gt;40%",AND(M39&lt;40%,M39&gt;=0%),"&gt;0%"),""))</f>
        <v>&gt;0%</v>
      </c>
      <c r="O39" s="55" t="str">
        <f>IFERROR(VLOOKUP(DATA_MARZO_2026[[#This Row],[ASER_]],$B:$G,4,0),"")</f>
        <v>SANDY</v>
      </c>
      <c r="P39" s="6">
        <f>VLOOKUP(DATA_MARZO_2026[[#This Row],[ASER_]],D1_MARZO_2026[[ASESOR_CRR]:[RECUPERO]],6,0)</f>
        <v>3200</v>
      </c>
      <c r="Q39" s="6">
        <f>VLOOKUP(DATA_MARZO_2026[[#This Row],[ASER_]],D1_MARZO_2026[[ASESOR_CRR]:[META]],2,0)</f>
        <v>38500</v>
      </c>
      <c r="R39" t="s">
        <v>58</v>
      </c>
      <c r="S39">
        <v>3100</v>
      </c>
      <c r="T39">
        <v>100</v>
      </c>
      <c r="U39">
        <v>0</v>
      </c>
      <c r="V39">
        <v>0</v>
      </c>
      <c r="W39" s="5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55" t="str" cm="1">
        <f t="array" ref="AN39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0" spans="1:40" x14ac:dyDescent="0.25">
      <c r="A40" s="34" t="str" cm="1">
        <f t="array" ref="A4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0" s="34" t="str" cm="1">
        <f t="array" ref="B40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MAYRA AVALOS</v>
      </c>
      <c r="C40" s="34" cm="1">
        <f t="array" ref="C40">_xlfn.XLOOKUP(1,(TablaMeta[CONCAT]=$M$3&amp;$N$3&amp;D1_MARZO_2026[[#This Row],[SUPER]])*(TablaMeta[SEGG]=D1_MARZO_2026[[#This Row],[SEGMENTO]]),TablaMeta[Meta_Asesor])</f>
        <v>18100</v>
      </c>
      <c r="D40" s="35">
        <f>IF(D1_MARZO_2026[[#This Row],[RECUPERO]]="VACACIONES","VACACIONES",IFERROR(D1_MARZO_2026[[#This Row],[RECUPERO]]/D1_MARZO_2026[[#This Row],[META]],""))</f>
        <v>0</v>
      </c>
      <c r="E40" s="35" t="str">
        <f>D1_MARZO_2026[[#This Row],[SUPER]]</f>
        <v>LISELY</v>
      </c>
      <c r="F40" t="s">
        <v>55</v>
      </c>
      <c r="G40" s="3">
        <v>0</v>
      </c>
      <c r="H40" cm="1">
        <f t="array" ref="H4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45119892</v>
      </c>
      <c r="I40" s="56" cm="1">
        <f t="array" ref="I4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45813</v>
      </c>
      <c r="J40" s="56" t="str" cm="1">
        <f t="array" ref="J4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0" s="56" t="str" cm="1">
        <f t="array" ref="K4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MIX</v>
      </c>
      <c r="L40" s="56"/>
      <c r="M40" s="5">
        <f>DATA_MARZO_2026[[#This Row],[RECUPERO]]/DATA_MARZO_2026[[#This Row],[META]]</f>
        <v>0.2</v>
      </c>
      <c r="N40" s="54" t="str" cm="1">
        <f t="array" ref="N40">IF(DATA_MARZO_2026[[#This Row],[ASER_]]="","",IFERROR(_xlfn.IFS(M40&gt;=100%,"&gt;100%",AND(M40&lt;100%,M40&gt;=70%),"&gt;70%",AND(M40&lt;70%,M40&gt;=40%),"&gt;40%",AND(M40&lt;40%,M40&gt;=0%),"&gt;0%"),""))</f>
        <v>&gt;0%</v>
      </c>
      <c r="O40" s="55" t="str">
        <f>IFERROR(VLOOKUP(DATA_MARZO_2026[[#This Row],[ASER_]],$B:$G,4,0),"")</f>
        <v>SANDY</v>
      </c>
      <c r="P40" s="6">
        <f>VLOOKUP(DATA_MARZO_2026[[#This Row],[ASER_]],D1_MARZO_2026[[ASESOR_CRR]:[RECUPERO]],6,0)</f>
        <v>7700</v>
      </c>
      <c r="Q40" s="6">
        <f>VLOOKUP(DATA_MARZO_2026[[#This Row],[ASER_]],D1_MARZO_2026[[ASESOR_CRR]:[META]],2,0)</f>
        <v>38500</v>
      </c>
      <c r="R40" t="s">
        <v>68</v>
      </c>
      <c r="S40">
        <v>2900</v>
      </c>
      <c r="T40">
        <v>0</v>
      </c>
      <c r="U40">
        <v>2000</v>
      </c>
      <c r="V40">
        <v>2800</v>
      </c>
      <c r="W40" s="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55" t="str" cm="1">
        <f t="array" ref="AN40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1" spans="1:40" x14ac:dyDescent="0.25">
      <c r="A41" s="34" t="str" cm="1">
        <f t="array" ref="A4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1" s="34" t="str" cm="1">
        <f t="array" ref="B41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JUAN ALANOCCA</v>
      </c>
      <c r="C41" s="34" cm="1">
        <f t="array" ref="C41">_xlfn.XLOOKUP(1,(TablaMeta[CONCAT]=$M$3&amp;$N$3&amp;D1_MARZO_2026[[#This Row],[SUPER]])*(TablaMeta[SEGG]=D1_MARZO_2026[[#This Row],[SEGMENTO]]),TablaMeta[Meta_Asesor])</f>
        <v>22800</v>
      </c>
      <c r="D41" s="35">
        <f>IF(D1_MARZO_2026[[#This Row],[RECUPERO]]="VACACIONES","VACACIONES",IFERROR(D1_MARZO_2026[[#This Row],[RECUPERO]]/D1_MARZO_2026[[#This Row],[META]],""))</f>
        <v>0.40741228070175439</v>
      </c>
      <c r="E41" s="35" t="str">
        <f>D1_MARZO_2026[[#This Row],[SUPER]]</f>
        <v>LISELY</v>
      </c>
      <c r="F41" t="s">
        <v>77</v>
      </c>
      <c r="G41" s="3">
        <v>9289</v>
      </c>
      <c r="H41" cm="1">
        <f t="array" ref="H4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42251780</v>
      </c>
      <c r="I41" s="56" cm="1">
        <f t="array" ref="I4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44838</v>
      </c>
      <c r="J41" s="56" t="str" cm="1">
        <f t="array" ref="J4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1" s="56" t="str" cm="1">
        <f t="array" ref="K4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1" s="56"/>
      <c r="M41" s="5">
        <f>DATA_MARZO_2026[[#This Row],[RECUPERO]]/DATA_MARZO_2026[[#This Row],[META]]</f>
        <v>9.0909090909090912E-2</v>
      </c>
      <c r="N41" s="54" t="str" cm="1">
        <f t="array" ref="N41">IF(DATA_MARZO_2026[[#This Row],[ASER_]]="","",IFERROR(_xlfn.IFS(M41&gt;=100%,"&gt;100%",AND(M41&lt;100%,M41&gt;=70%),"&gt;70%",AND(M41&lt;70%,M41&gt;=40%),"&gt;40%",AND(M41&lt;40%,M41&gt;=0%),"&gt;0%"),""))</f>
        <v>&gt;0%</v>
      </c>
      <c r="O41" s="55" t="str">
        <f>IFERROR(VLOOKUP(DATA_MARZO_2026[[#This Row],[ASER_]],$B:$G,4,0),"")</f>
        <v>SANDY</v>
      </c>
      <c r="P41" s="6">
        <f>VLOOKUP(DATA_MARZO_2026[[#This Row],[ASER_]],D1_MARZO_2026[[ASESOR_CRR]:[RECUPERO]],6,0)</f>
        <v>3500</v>
      </c>
      <c r="Q41" s="6">
        <f>VLOOKUP(DATA_MARZO_2026[[#This Row],[ASER_]],D1_MARZO_2026[[ASESOR_CRR]:[META]],2,0)</f>
        <v>38500</v>
      </c>
      <c r="R41" t="s">
        <v>493</v>
      </c>
      <c r="S41">
        <v>750</v>
      </c>
      <c r="T41">
        <v>2000</v>
      </c>
      <c r="U41">
        <v>750</v>
      </c>
      <c r="V41">
        <v>0</v>
      </c>
      <c r="W41" s="5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55" t="str" cm="1">
        <f t="array" ref="AN41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2" spans="1:40" x14ac:dyDescent="0.25">
      <c r="A42" s="34" t="str" cm="1">
        <f t="array" ref="A4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2" s="34" t="str" cm="1">
        <f t="array" ref="B42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JANETH PORTOCARRERO</v>
      </c>
      <c r="C42" s="34" cm="1">
        <f t="array" ref="C42">_xlfn.XLOOKUP(1,(TablaMeta[CONCAT]=$M$3&amp;$N$3&amp;D1_MARZO_2026[[#This Row],[SUPER]])*(TablaMeta[SEGG]=D1_MARZO_2026[[#This Row],[SEGMENTO]]),TablaMeta[Meta_Asesor])</f>
        <v>22800</v>
      </c>
      <c r="D42" s="35">
        <f>IF(D1_MARZO_2026[[#This Row],[RECUPERO]]="VACACIONES","VACACIONES",IFERROR(D1_MARZO_2026[[#This Row],[RECUPERO]]/D1_MARZO_2026[[#This Row],[META]],""))</f>
        <v>0.25438596491228072</v>
      </c>
      <c r="E42" s="35" t="str">
        <f>D1_MARZO_2026[[#This Row],[SUPER]]</f>
        <v>LISELY</v>
      </c>
      <c r="F42" t="s">
        <v>49</v>
      </c>
      <c r="G42" s="3">
        <v>5800</v>
      </c>
      <c r="H42" cm="1">
        <f t="array" ref="H4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40702064</v>
      </c>
      <c r="I42" s="56" cm="1">
        <f t="array" ref="I4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43313</v>
      </c>
      <c r="J42" s="56" t="str" cm="1">
        <f t="array" ref="J4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2" s="56" t="str" cm="1">
        <f t="array" ref="K4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2" s="56"/>
      <c r="M42" s="5">
        <f>DATA_MARZO_2026[[#This Row],[RECUPERO]]/DATA_MARZO_2026[[#This Row],[META]]</f>
        <v>8.9984415584415584E-2</v>
      </c>
      <c r="N42" s="54" t="str" cm="1">
        <f t="array" ref="N42">IF(DATA_MARZO_2026[[#This Row],[ASER_]]="","",IFERROR(_xlfn.IFS(M42&gt;=100%,"&gt;100%",AND(M42&lt;100%,M42&gt;=70%),"&gt;70%",AND(M42&lt;70%,M42&gt;=40%),"&gt;40%",AND(M42&lt;40%,M42&gt;=0%),"&gt;0%"),""))</f>
        <v>&gt;0%</v>
      </c>
      <c r="O42" s="55" t="str">
        <f>IFERROR(VLOOKUP(DATA_MARZO_2026[[#This Row],[ASER_]],$B:$G,4,0),"")</f>
        <v>SANDY</v>
      </c>
      <c r="P42" s="6">
        <f>VLOOKUP(DATA_MARZO_2026[[#This Row],[ASER_]],D1_MARZO_2026[[ASESOR_CRR]:[RECUPERO]],6,0)</f>
        <v>3464.4</v>
      </c>
      <c r="Q42" s="6">
        <f>VLOOKUP(DATA_MARZO_2026[[#This Row],[ASER_]],D1_MARZO_2026[[ASESOR_CRR]:[META]],2,0)</f>
        <v>38500</v>
      </c>
      <c r="R42" t="s">
        <v>29</v>
      </c>
      <c r="S42">
        <v>383.4</v>
      </c>
      <c r="T42">
        <v>196</v>
      </c>
      <c r="U42">
        <v>1885</v>
      </c>
      <c r="V42">
        <v>1000</v>
      </c>
      <c r="W42" s="5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55" t="str" cm="1">
        <f t="array" ref="AN42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3" spans="1:40" x14ac:dyDescent="0.25">
      <c r="A43" s="34" t="str" cm="1">
        <f t="array" ref="A4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3" s="34" t="str" cm="1">
        <f t="array" ref="B43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ERIKA PANTA</v>
      </c>
      <c r="C43" s="34" cm="1">
        <f t="array" ref="C43">_xlfn.XLOOKUP(1,(TablaMeta[CONCAT]=$M$3&amp;$N$3&amp;D1_MARZO_2026[[#This Row],[SUPER]])*(TablaMeta[SEGG]=D1_MARZO_2026[[#This Row],[SEGMENTO]]),TablaMeta[Meta_Asesor])</f>
        <v>22800</v>
      </c>
      <c r="D43" s="35">
        <f>IF(D1_MARZO_2026[[#This Row],[RECUPERO]]="VACACIONES","VACACIONES",IFERROR(D1_MARZO_2026[[#This Row],[RECUPERO]]/D1_MARZO_2026[[#This Row],[META]],""))</f>
        <v>0.16666666666666666</v>
      </c>
      <c r="E43" s="35" t="str">
        <f>D1_MARZO_2026[[#This Row],[SUPER]]</f>
        <v>LISELY</v>
      </c>
      <c r="F43" t="s">
        <v>495</v>
      </c>
      <c r="G43" s="3">
        <v>3800</v>
      </c>
      <c r="H43" cm="1">
        <f t="array" ref="H4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62792399</v>
      </c>
      <c r="I43" s="56" cm="1">
        <f t="array" ref="I4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46052</v>
      </c>
      <c r="J43" s="56" t="str" cm="1">
        <f t="array" ref="J4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3" s="56" t="str" cm="1">
        <f t="array" ref="K4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3" s="56"/>
      <c r="M43" s="5">
        <f>DATA_MARZO_2026[[#This Row],[RECUPERO]]/DATA_MARZO_2026[[#This Row],[META]]</f>
        <v>0.2844155844155844</v>
      </c>
      <c r="N43" s="54" t="str" cm="1">
        <f t="array" ref="N43">IF(DATA_MARZO_2026[[#This Row],[ASER_]]="","",IFERROR(_xlfn.IFS(M43&gt;=100%,"&gt;100%",AND(M43&lt;100%,M43&gt;=70%),"&gt;70%",AND(M43&lt;70%,M43&gt;=40%),"&gt;40%",AND(M43&lt;40%,M43&gt;=0%),"&gt;0%"),""))</f>
        <v>&gt;0%</v>
      </c>
      <c r="O43" s="55" t="str">
        <f>IFERROR(VLOOKUP(DATA_MARZO_2026[[#This Row],[ASER_]],$B:$G,4,0),"")</f>
        <v>SANDY</v>
      </c>
      <c r="P43" s="6">
        <f>VLOOKUP(DATA_MARZO_2026[[#This Row],[ASER_]],D1_MARZO_2026[[ASESOR_CRR]:[RECUPERO]],6,0)</f>
        <v>10950</v>
      </c>
      <c r="Q43" s="6">
        <f>VLOOKUP(DATA_MARZO_2026[[#This Row],[ASER_]],D1_MARZO_2026[[ASESOR_CRR]:[META]],2,0)</f>
        <v>38500</v>
      </c>
      <c r="R43" t="s">
        <v>85</v>
      </c>
      <c r="S43">
        <v>250</v>
      </c>
      <c r="T43">
        <v>700</v>
      </c>
      <c r="U43">
        <v>10000</v>
      </c>
      <c r="V43">
        <v>0</v>
      </c>
      <c r="W43" s="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55" t="str" cm="1">
        <f t="array" ref="AN43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4" spans="1:40" x14ac:dyDescent="0.25">
      <c r="A44" s="34" t="str" cm="1">
        <f t="array" ref="A4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4" s="34" t="str" cm="1">
        <f t="array" ref="B44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URSULA CENTENO</v>
      </c>
      <c r="C44" s="34" cm="1">
        <f t="array" ref="C44">_xlfn.XLOOKUP(1,(TablaMeta[CONCAT]=$M$3&amp;$N$3&amp;D1_MARZO_2026[[#This Row],[SUPER]])*(TablaMeta[SEGG]=D1_MARZO_2026[[#This Row],[SEGMENTO]]),TablaMeta[Meta_Asesor])</f>
        <v>22800</v>
      </c>
      <c r="D44" s="35">
        <f>IF(D1_MARZO_2026[[#This Row],[RECUPERO]]="VACACIONES","VACACIONES",IFERROR(D1_MARZO_2026[[#This Row],[RECUPERO]]/D1_MARZO_2026[[#This Row],[META]],""))</f>
        <v>8.771929824561403E-2</v>
      </c>
      <c r="E44" s="35" t="str">
        <f>D1_MARZO_2026[[#This Row],[SUPER]]</f>
        <v>LISELY</v>
      </c>
      <c r="F44" t="s">
        <v>78</v>
      </c>
      <c r="G44" s="3">
        <v>2000</v>
      </c>
      <c r="H44" cm="1">
        <f t="array" ref="H4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10706451</v>
      </c>
      <c r="I44" s="56" cm="1">
        <f t="array" ref="I4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44943</v>
      </c>
      <c r="J44" s="56" t="str" cm="1">
        <f t="array" ref="J4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4" s="56" t="str" cm="1">
        <f t="array" ref="K4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4" s="56"/>
      <c r="M44" s="5">
        <f>DATA_MARZO_2026[[#This Row],[RECUPERO]]/DATA_MARZO_2026[[#This Row],[META]]</f>
        <v>6.9090909090909092E-2</v>
      </c>
      <c r="N44" s="54" t="str" cm="1">
        <f t="array" ref="N44">IF(DATA_MARZO_2026[[#This Row],[ASER_]]="","",IFERROR(_xlfn.IFS(M44&gt;=100%,"&gt;100%",AND(M44&lt;100%,M44&gt;=70%),"&gt;70%",AND(M44&lt;70%,M44&gt;=40%),"&gt;40%",AND(M44&lt;40%,M44&gt;=0%),"&gt;0%"),""))</f>
        <v>&gt;0%</v>
      </c>
      <c r="O44" s="55" t="str">
        <f>IFERROR(VLOOKUP(DATA_MARZO_2026[[#This Row],[ASER_]],$B:$G,4,0),"")</f>
        <v>SANDY</v>
      </c>
      <c r="P44" s="6">
        <f>VLOOKUP(DATA_MARZO_2026[[#This Row],[ASER_]],D1_MARZO_2026[[ASESOR_CRR]:[RECUPERO]],6,0)</f>
        <v>2660</v>
      </c>
      <c r="Q44" s="6">
        <f>VLOOKUP(DATA_MARZO_2026[[#This Row],[ASER_]],D1_MARZO_2026[[ASESOR_CRR]:[META]],2,0)</f>
        <v>38500</v>
      </c>
      <c r="R44" t="s">
        <v>174</v>
      </c>
      <c r="S44">
        <v>210</v>
      </c>
      <c r="T44">
        <v>0</v>
      </c>
      <c r="U44">
        <v>1650</v>
      </c>
      <c r="V44">
        <v>800</v>
      </c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55" t="str" cm="1">
        <f t="array" ref="AN44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5" spans="1:40" x14ac:dyDescent="0.25">
      <c r="A45" s="34" t="str" cm="1">
        <f t="array" ref="A4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5" s="34" t="str" cm="1">
        <f t="array" ref="B45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VERONICA HUARCA</v>
      </c>
      <c r="C45" s="34" cm="1">
        <f t="array" ref="C45">_xlfn.XLOOKUP(1,(TablaMeta[CONCAT]=$M$3&amp;$N$3&amp;D1_MARZO_2026[[#This Row],[SUPER]])*(TablaMeta[SEGG]=D1_MARZO_2026[[#This Row],[SEGMENTO]]),TablaMeta[Meta_Asesor])</f>
        <v>22800</v>
      </c>
      <c r="D45" s="35">
        <f>IF(D1_MARZO_2026[[#This Row],[RECUPERO]]="VACACIONES","VACACIONES",IFERROR(D1_MARZO_2026[[#This Row],[RECUPERO]]/D1_MARZO_2026[[#This Row],[META]],""))</f>
        <v>2.4122807017543858E-2</v>
      </c>
      <c r="E45" s="35" t="str">
        <f>D1_MARZO_2026[[#This Row],[SUPER]]</f>
        <v>LISELY</v>
      </c>
      <c r="F45" t="s">
        <v>48</v>
      </c>
      <c r="G45" s="3">
        <v>550</v>
      </c>
      <c r="H45" cm="1">
        <f t="array" ref="H4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43307898</v>
      </c>
      <c r="I45" s="56" cm="1">
        <f t="array" ref="I4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44746</v>
      </c>
      <c r="J45" s="56" t="str" cm="1">
        <f t="array" ref="J4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5" s="56" t="str" cm="1">
        <f t="array" ref="K4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5" s="56"/>
      <c r="M45" s="5">
        <f>DATA_MARZO_2026[[#This Row],[RECUPERO]]/DATA_MARZO_2026[[#This Row],[META]]</f>
        <v>0.43246753246753245</v>
      </c>
      <c r="N45" s="54" t="str" cm="1">
        <f t="array" ref="N45">IF(DATA_MARZO_2026[[#This Row],[ASER_]]="","",IFERROR(_xlfn.IFS(M45&gt;=100%,"&gt;100%",AND(M45&lt;100%,M45&gt;=70%),"&gt;70%",AND(M45&lt;70%,M45&gt;=40%),"&gt;40%",AND(M45&lt;40%,M45&gt;=0%),"&gt;0%"),""))</f>
        <v>&gt;40%</v>
      </c>
      <c r="O45" s="55" t="str">
        <f>IFERROR(VLOOKUP(DATA_MARZO_2026[[#This Row],[ASER_]],$B:$G,4,0),"")</f>
        <v>SANDY</v>
      </c>
      <c r="P45" s="6">
        <f>VLOOKUP(DATA_MARZO_2026[[#This Row],[ASER_]],D1_MARZO_2026[[ASESOR_CRR]:[RECUPERO]],6,0)</f>
        <v>16650</v>
      </c>
      <c r="Q45" s="6">
        <f>VLOOKUP(DATA_MARZO_2026[[#This Row],[ASER_]],D1_MARZO_2026[[ASESOR_CRR]:[META]],2,0)</f>
        <v>38500</v>
      </c>
      <c r="R45" t="s">
        <v>79</v>
      </c>
      <c r="S45">
        <v>0</v>
      </c>
      <c r="T45">
        <v>15500</v>
      </c>
      <c r="U45">
        <v>1150</v>
      </c>
      <c r="V45">
        <v>0</v>
      </c>
      <c r="X45" s="5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55" t="str" cm="1">
        <f t="array" ref="AN45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6" spans="1:40" x14ac:dyDescent="0.25">
      <c r="A46" s="34" t="str" cm="1">
        <f t="array" ref="A4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6" s="34" t="str" cm="1">
        <f t="array" ref="B46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ALEJANDRO GONZALES</v>
      </c>
      <c r="C46" s="34" cm="1">
        <f t="array" ref="C46">_xlfn.XLOOKUP(1,(TablaMeta[CONCAT]=$M$3&amp;$N$3&amp;D1_MARZO_2026[[#This Row],[SUPER]])*(TablaMeta[SEGG]=D1_MARZO_2026[[#This Row],[SEGMENTO]]),TablaMeta[Meta_Asesor])</f>
        <v>22800</v>
      </c>
      <c r="D46" s="35">
        <f>IF(D1_MARZO_2026[[#This Row],[RECUPERO]]="VACACIONES","VACACIONES",IFERROR(D1_MARZO_2026[[#This Row],[RECUPERO]]/D1_MARZO_2026[[#This Row],[META]],""))</f>
        <v>0</v>
      </c>
      <c r="E46" s="35" t="str">
        <f>D1_MARZO_2026[[#This Row],[SUPER]]</f>
        <v>LISELY</v>
      </c>
      <c r="F46" t="s">
        <v>109</v>
      </c>
      <c r="G46" s="3">
        <v>0</v>
      </c>
      <c r="H46" cm="1">
        <f t="array" ref="H4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74626735</v>
      </c>
      <c r="I46" s="56" cm="1">
        <f t="array" ref="I4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46024</v>
      </c>
      <c r="J46" s="56" t="str" cm="1">
        <f t="array" ref="J4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6" s="56" t="str" cm="1">
        <f t="array" ref="K4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6" s="56"/>
      <c r="M46" s="5">
        <f>DATA_MARZO_2026[[#This Row],[RECUPERO]]/DATA_MARZO_2026[[#This Row],[META]]</f>
        <v>9.0285714285714289E-2</v>
      </c>
      <c r="N46" s="54" t="str" cm="1">
        <f t="array" ref="N46">IF(DATA_MARZO_2026[[#This Row],[ASER_]]="","",IFERROR(_xlfn.IFS(M46&gt;=100%,"&gt;100%",AND(M46&lt;100%,M46&gt;=70%),"&gt;70%",AND(M46&lt;70%,M46&gt;=40%),"&gt;40%",AND(M46&lt;40%,M46&gt;=0%),"&gt;0%"),""))</f>
        <v>&gt;0%</v>
      </c>
      <c r="O46" s="55" t="str">
        <f>IFERROR(VLOOKUP(DATA_MARZO_2026[[#This Row],[ASER_]],$B:$G,4,0),"")</f>
        <v>SANDY</v>
      </c>
      <c r="P46" s="6">
        <f>VLOOKUP(DATA_MARZO_2026[[#This Row],[ASER_]],D1_MARZO_2026[[ASESOR_CRR]:[RECUPERO]],6,0)</f>
        <v>3476</v>
      </c>
      <c r="Q46" s="6">
        <f>VLOOKUP(DATA_MARZO_2026[[#This Row],[ASER_]],D1_MARZO_2026[[ASESOR_CRR]:[META]],2,0)</f>
        <v>38500</v>
      </c>
      <c r="R46" t="s">
        <v>96</v>
      </c>
      <c r="S46">
        <v>0</v>
      </c>
      <c r="T46">
        <v>976</v>
      </c>
      <c r="U46">
        <v>2500</v>
      </c>
      <c r="V46">
        <v>0</v>
      </c>
      <c r="X46" s="5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55" t="str" cm="1">
        <f t="array" ref="AN46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7" spans="1:40" x14ac:dyDescent="0.25">
      <c r="A47" s="34" t="str" cm="1">
        <f t="array" ref="A4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LISELY</v>
      </c>
      <c r="B47" s="34" t="str" cm="1">
        <f t="array" ref="B47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FERNANDA APAZA</v>
      </c>
      <c r="C47" s="34" cm="1">
        <f t="array" ref="C47">_xlfn.XLOOKUP(1,(TablaMeta[CONCAT]=$M$3&amp;$N$3&amp;D1_MARZO_2026[[#This Row],[SUPER]])*(TablaMeta[SEGG]=D1_MARZO_2026[[#This Row],[SEGMENTO]]),TablaMeta[Meta_Asesor])</f>
        <v>22800</v>
      </c>
      <c r="D47" s="35">
        <f>IF(D1_MARZO_2026[[#This Row],[RECUPERO]]="VACACIONES","VACACIONES",IFERROR(D1_MARZO_2026[[#This Row],[RECUPERO]]/D1_MARZO_2026[[#This Row],[META]],""))</f>
        <v>0</v>
      </c>
      <c r="E47" s="35" t="str">
        <f>D1_MARZO_2026[[#This Row],[SUPER]]</f>
        <v>LISELY</v>
      </c>
      <c r="F47" t="s">
        <v>600</v>
      </c>
      <c r="G47" s="3">
        <v>0</v>
      </c>
      <c r="H47" cm="1">
        <f t="array" ref="H4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73623874</v>
      </c>
      <c r="I47" s="56" cm="1">
        <f t="array" ref="I4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46139</v>
      </c>
      <c r="J47" s="56" t="str" cm="1">
        <f t="array" ref="J4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7" s="56" t="str" cm="1">
        <f t="array" ref="K4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S2-3-4 BANCO</v>
      </c>
      <c r="L47" s="56"/>
      <c r="M47" s="5">
        <f>DATA_MARZO_2026[[#This Row],[RECUPERO]]/DATA_MARZO_2026[[#This Row],[META]]</f>
        <v>7.792207792207792E-2</v>
      </c>
      <c r="N47" s="54" t="str" cm="1">
        <f t="array" ref="N47">IF(DATA_MARZO_2026[[#This Row],[ASER_]]="","",IFERROR(_xlfn.IFS(M47&gt;=100%,"&gt;100%",AND(M47&lt;100%,M47&gt;=70%),"&gt;70%",AND(M47&lt;70%,M47&gt;=40%),"&gt;40%",AND(M47&lt;40%,M47&gt;=0%),"&gt;0%"),""))</f>
        <v>&gt;0%</v>
      </c>
      <c r="O47" s="55" t="str">
        <f>IFERROR(VLOOKUP(DATA_MARZO_2026[[#This Row],[ASER_]],$B:$G,4,0),"")</f>
        <v>SANDY</v>
      </c>
      <c r="P47" s="6">
        <f>VLOOKUP(DATA_MARZO_2026[[#This Row],[ASER_]],D1_MARZO_2026[[ASESOR_CRR]:[RECUPERO]],6,0)</f>
        <v>3000</v>
      </c>
      <c r="Q47" s="6">
        <f>VLOOKUP(DATA_MARZO_2026[[#This Row],[ASER_]],D1_MARZO_2026[[ASESOR_CRR]:[META]],2,0)</f>
        <v>38500</v>
      </c>
      <c r="R47" t="s">
        <v>32</v>
      </c>
      <c r="S47">
        <v>0</v>
      </c>
      <c r="T47">
        <v>0</v>
      </c>
      <c r="U47">
        <v>3000</v>
      </c>
      <c r="V47">
        <v>0</v>
      </c>
      <c r="X47" s="5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55" t="str" cm="1">
        <f t="array" ref="AN47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8" spans="1:40" x14ac:dyDescent="0.25">
      <c r="A48" s="34" t="str" cm="1">
        <f t="array" ref="A4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48" s="34" t="str" cm="1">
        <f t="array" ref="B48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ALEIDITH GUEVARA</v>
      </c>
      <c r="C48" s="34" cm="1">
        <f t="array" ref="C48">_xlfn.XLOOKUP(1,(TablaMeta[CONCAT]=$M$3&amp;$N$3&amp;D1_MARZO_2026[[#This Row],[SUPER]])*(TablaMeta[SEGG]=D1_MARZO_2026[[#This Row],[SEGMENTO]]),TablaMeta[Meta_Asesor])</f>
        <v>44700</v>
      </c>
      <c r="D48" s="35">
        <f>IF(D1_MARZO_2026[[#This Row],[RECUPERO]]="VACACIONES","VACACIONES",IFERROR(D1_MARZO_2026[[#This Row],[RECUPERO]]/D1_MARZO_2026[[#This Row],[META]],""))</f>
        <v>0.2651006711409396</v>
      </c>
      <c r="E48" s="35" t="str">
        <f>D1_MARZO_2026[[#This Row],[SUPER]]</f>
        <v>LEONOR</v>
      </c>
      <c r="F48" t="s">
        <v>18</v>
      </c>
      <c r="G48" s="3">
        <v>11850</v>
      </c>
      <c r="H48" cm="1">
        <f t="array" ref="H4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76214436</v>
      </c>
      <c r="I48" s="56" cm="1">
        <f t="array" ref="I4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45132</v>
      </c>
      <c r="J48" s="56" t="str" cm="1">
        <f t="array" ref="J4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8" s="56" t="str" cm="1">
        <f t="array" ref="K48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8" s="56"/>
      <c r="M48" s="5">
        <f>DATA_MARZO_2026[[#This Row],[RECUPERO]]/DATA_MARZO_2026[[#This Row],[META]]</f>
        <v>6.246753246753247E-2</v>
      </c>
      <c r="N48" s="54" t="str" cm="1">
        <f t="array" ref="N48">IF(DATA_MARZO_2026[[#This Row],[ASER_]]="","",IFERROR(_xlfn.IFS(M48&gt;=100%,"&gt;100%",AND(M48&lt;100%,M48&gt;=70%),"&gt;70%",AND(M48&lt;70%,M48&gt;=40%),"&gt;40%",AND(M48&lt;40%,M48&gt;=0%),"&gt;0%"),""))</f>
        <v>&gt;0%</v>
      </c>
      <c r="O48" s="55" t="str">
        <f>IFERROR(VLOOKUP(DATA_MARZO_2026[[#This Row],[ASER_]],$B:$G,4,0),"")</f>
        <v>SANDY</v>
      </c>
      <c r="P48" s="6">
        <f>VLOOKUP(DATA_MARZO_2026[[#This Row],[ASER_]],D1_MARZO_2026[[ASESOR_CRR]:[RECUPERO]],6,0)</f>
        <v>2405</v>
      </c>
      <c r="Q48" s="6">
        <f>VLOOKUP(DATA_MARZO_2026[[#This Row],[ASER_]],D1_MARZO_2026[[ASESOR_CRR]:[META]],2,0)</f>
        <v>38500</v>
      </c>
      <c r="R48" t="s">
        <v>564</v>
      </c>
      <c r="S48">
        <v>0</v>
      </c>
      <c r="T48">
        <v>500</v>
      </c>
      <c r="U48">
        <v>500</v>
      </c>
      <c r="V48">
        <v>1405</v>
      </c>
      <c r="X48" s="5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55" t="str" cm="1">
        <f t="array" ref="AN48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S0</v>
      </c>
    </row>
    <row r="49" spans="1:40" x14ac:dyDescent="0.25">
      <c r="A49" s="34" t="str" cm="1">
        <f t="array" ref="A4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49" s="34" t="str" cm="1">
        <f t="array" ref="B49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ERIKA VILLAR</v>
      </c>
      <c r="C49" s="34" cm="1">
        <f t="array" ref="C49">_xlfn.XLOOKUP(1,(TablaMeta[CONCAT]=$M$3&amp;$N$3&amp;D1_MARZO_2026[[#This Row],[SUPER]])*(TablaMeta[SEGG]=D1_MARZO_2026[[#This Row],[SEGMENTO]]),TablaMeta[Meta_Asesor])</f>
        <v>44700</v>
      </c>
      <c r="D49" s="35">
        <f>IF(D1_MARZO_2026[[#This Row],[RECUPERO]]="VACACIONES","VACACIONES",IFERROR(D1_MARZO_2026[[#This Row],[RECUPERO]]/D1_MARZO_2026[[#This Row],[META]],""))</f>
        <v>0.25950782997762861</v>
      </c>
      <c r="E49" s="35" t="str">
        <f>D1_MARZO_2026[[#This Row],[SUPER]]</f>
        <v>LEONOR</v>
      </c>
      <c r="F49" t="s">
        <v>629</v>
      </c>
      <c r="G49" s="3">
        <v>11600</v>
      </c>
      <c r="H49" cm="1">
        <f t="array" ref="H4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47690367</v>
      </c>
      <c r="I49" s="56" cm="1">
        <f t="array" ref="I4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45691</v>
      </c>
      <c r="J49" s="56" t="str" cm="1">
        <f t="array" ref="J4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49" s="56" t="str" cm="1">
        <f t="array" ref="K49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49" s="56"/>
      <c r="M49" s="5">
        <f>DATA_MARZO_2026[[#This Row],[RECUPERO]]/DATA_MARZO_2026[[#This Row],[META]]</f>
        <v>1.1185682326621925E-2</v>
      </c>
      <c r="N49" s="54" t="str" cm="1">
        <f t="array" ref="N49">IF(DATA_MARZO_2026[[#This Row],[ASER_]]="","",IFERROR(_xlfn.IFS(M49&gt;=100%,"&gt;100%",AND(M49&lt;100%,M49&gt;=70%),"&gt;70%",AND(M49&lt;70%,M49&gt;=40%),"&gt;40%",AND(M49&lt;40%,M49&gt;=0%),"&gt;0%"),""))</f>
        <v>&gt;0%</v>
      </c>
      <c r="O49" s="55" t="str">
        <f>IFERROR(VLOOKUP(DATA_MARZO_2026[[#This Row],[ASER_]],$B:$G,4,0),"")</f>
        <v>LEONOR</v>
      </c>
      <c r="P49" s="6">
        <f>VLOOKUP(DATA_MARZO_2026[[#This Row],[ASER_]],D1_MARZO_2026[[ASESOR_CRR]:[RECUPERO]],6,0)</f>
        <v>500</v>
      </c>
      <c r="Q49" s="6">
        <f>VLOOKUP(DATA_MARZO_2026[[#This Row],[ASER_]],D1_MARZO_2026[[ASESOR_CRR]:[META]],2,0)</f>
        <v>44700</v>
      </c>
      <c r="R49" t="s">
        <v>51</v>
      </c>
      <c r="S49">
        <v>500</v>
      </c>
      <c r="T49">
        <v>0</v>
      </c>
      <c r="U49">
        <v>0</v>
      </c>
      <c r="V49">
        <v>0</v>
      </c>
      <c r="X49" s="5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55" t="str" cm="1">
        <f t="array" ref="AN49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0" spans="1:40" x14ac:dyDescent="0.25">
      <c r="A50" s="34" t="str" cm="1">
        <f t="array" ref="A5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0" s="34" t="str" cm="1">
        <f t="array" ref="B50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ANALUCIA PONCE</v>
      </c>
      <c r="C50" s="34" cm="1">
        <f t="array" ref="C50">_xlfn.XLOOKUP(1,(TablaMeta[CONCAT]=$M$3&amp;$N$3&amp;D1_MARZO_2026[[#This Row],[SUPER]])*(TablaMeta[SEGG]=D1_MARZO_2026[[#This Row],[SEGMENTO]]),TablaMeta[Meta_Asesor])</f>
        <v>44700</v>
      </c>
      <c r="D50" s="35">
        <f>IF(D1_MARZO_2026[[#This Row],[RECUPERO]]="VACACIONES","VACACIONES",IFERROR(D1_MARZO_2026[[#This Row],[RECUPERO]]/D1_MARZO_2026[[#This Row],[META]],""))</f>
        <v>0.2402013422818792</v>
      </c>
      <c r="E50" s="35" t="str">
        <f>D1_MARZO_2026[[#This Row],[SUPER]]</f>
        <v>LEONOR</v>
      </c>
      <c r="F50" t="s">
        <v>628</v>
      </c>
      <c r="G50" s="3">
        <v>10737</v>
      </c>
      <c r="H50" cm="1">
        <f t="array" ref="H5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72839865</v>
      </c>
      <c r="I50" s="56" cm="1">
        <f t="array" ref="I5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45854</v>
      </c>
      <c r="J50" s="56" t="str" cm="1">
        <f t="array" ref="J5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0" s="56" t="str" cm="1">
        <f t="array" ref="K50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0" s="56"/>
      <c r="M50" s="5">
        <f>DATA_MARZO_2026[[#This Row],[RECUPERO]]/DATA_MARZO_2026[[#This Row],[META]]</f>
        <v>0.2651006711409396</v>
      </c>
      <c r="N50" s="54" t="str" cm="1">
        <f t="array" ref="N50">IF(DATA_MARZO_2026[[#This Row],[ASER_]]="","",IFERROR(_xlfn.IFS(M50&gt;=100%,"&gt;100%",AND(M50&lt;100%,M50&gt;=70%),"&gt;70%",AND(M50&lt;70%,M50&gt;=40%),"&gt;40%",AND(M50&lt;40%,M50&gt;=0%),"&gt;0%"),""))</f>
        <v>&gt;0%</v>
      </c>
      <c r="O50" s="55" t="str">
        <f>IFERROR(VLOOKUP(DATA_MARZO_2026[[#This Row],[ASER_]],$B:$G,4,0),"")</f>
        <v>LEONOR</v>
      </c>
      <c r="P50" s="6">
        <f>VLOOKUP(DATA_MARZO_2026[[#This Row],[ASER_]],D1_MARZO_2026[[ASESOR_CRR]:[RECUPERO]],6,0)</f>
        <v>11850</v>
      </c>
      <c r="Q50" s="6">
        <f>VLOOKUP(DATA_MARZO_2026[[#This Row],[ASER_]],D1_MARZO_2026[[ASESOR_CRR]:[META]],2,0)</f>
        <v>44700</v>
      </c>
      <c r="R50" t="s">
        <v>18</v>
      </c>
      <c r="S50">
        <v>350</v>
      </c>
      <c r="T50">
        <v>2700</v>
      </c>
      <c r="U50">
        <v>3000</v>
      </c>
      <c r="V50">
        <v>5800</v>
      </c>
      <c r="X50" s="5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55" t="str" cm="1">
        <f t="array" ref="AN50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1" spans="1:40" x14ac:dyDescent="0.25">
      <c r="A51" s="34" t="str" cm="1">
        <f t="array" ref="A5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1" s="34" t="str" cm="1">
        <f t="array" ref="B51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PIERINA TESEN</v>
      </c>
      <c r="C51" s="34" cm="1">
        <f t="array" ref="C51">_xlfn.XLOOKUP(1,(TablaMeta[CONCAT]=$M$3&amp;$N$3&amp;D1_MARZO_2026[[#This Row],[SUPER]])*(TablaMeta[SEGG]=D1_MARZO_2026[[#This Row],[SEGMENTO]]),TablaMeta[Meta_Asesor])</f>
        <v>44700</v>
      </c>
      <c r="D51" s="35">
        <f>IF(D1_MARZO_2026[[#This Row],[RECUPERO]]="VACACIONES","VACACIONES",IFERROR(D1_MARZO_2026[[#This Row],[RECUPERO]]/D1_MARZO_2026[[#This Row],[META]],""))</f>
        <v>0.21588366890380314</v>
      </c>
      <c r="E51" s="35" t="str">
        <f>D1_MARZO_2026[[#This Row],[SUPER]]</f>
        <v>LEONOR</v>
      </c>
      <c r="F51" t="s">
        <v>627</v>
      </c>
      <c r="G51" s="3">
        <v>9650</v>
      </c>
      <c r="H51" cm="1">
        <f t="array" ref="H5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60870839</v>
      </c>
      <c r="I51" s="56" cm="1">
        <f t="array" ref="I5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45344</v>
      </c>
      <c r="J51" s="56" t="str" cm="1">
        <f t="array" ref="J5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1" s="56" t="str" cm="1">
        <f t="array" ref="K51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1" s="56"/>
      <c r="M51" s="5">
        <f>DATA_MARZO_2026[[#This Row],[RECUPERO]]/DATA_MARZO_2026[[#This Row],[META]]</f>
        <v>0</v>
      </c>
      <c r="N51" s="54" t="str" cm="1">
        <f t="array" ref="N51">IF(DATA_MARZO_2026[[#This Row],[ASER_]]="","",IFERROR(_xlfn.IFS(M51&gt;=100%,"&gt;100%",AND(M51&lt;100%,M51&gt;=70%),"&gt;70%",AND(M51&lt;70%,M51&gt;=40%),"&gt;40%",AND(M51&lt;40%,M51&gt;=0%),"&gt;0%"),""))</f>
        <v>&gt;0%</v>
      </c>
      <c r="O51" s="55" t="str">
        <f>IFERROR(VLOOKUP(DATA_MARZO_2026[[#This Row],[ASER_]],$B:$G,4,0),"")</f>
        <v>LEONOR</v>
      </c>
      <c r="P51" s="6">
        <f>VLOOKUP(DATA_MARZO_2026[[#This Row],[ASER_]],D1_MARZO_2026[[ASESOR_CRR]:[RECUPERO]],6,0)</f>
        <v>0</v>
      </c>
      <c r="Q51" s="6">
        <f>VLOOKUP(DATA_MARZO_2026[[#This Row],[ASER_]],D1_MARZO_2026[[ASESOR_CRR]:[META]],2,0)</f>
        <v>44700</v>
      </c>
      <c r="R51" t="s">
        <v>12</v>
      </c>
      <c r="S51">
        <v>0</v>
      </c>
      <c r="T51">
        <v>0</v>
      </c>
      <c r="U51">
        <v>0</v>
      </c>
      <c r="V51">
        <v>0</v>
      </c>
      <c r="X51" s="5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55" t="str" cm="1">
        <f t="array" ref="AN51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2" spans="1:40" x14ac:dyDescent="0.25">
      <c r="A52" s="34" t="str" cm="1">
        <f t="array" ref="A5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2" s="34" t="str" cm="1">
        <f t="array" ref="B52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CRISTINA TICONA</v>
      </c>
      <c r="C52" s="34" cm="1">
        <f t="array" ref="C52">_xlfn.XLOOKUP(1,(TablaMeta[CONCAT]=$M$3&amp;$N$3&amp;D1_MARZO_2026[[#This Row],[SUPER]])*(TablaMeta[SEGG]=D1_MARZO_2026[[#This Row],[SEGMENTO]]),TablaMeta[Meta_Asesor])</f>
        <v>44700</v>
      </c>
      <c r="D52" s="35">
        <f>IF(D1_MARZO_2026[[#This Row],[RECUPERO]]="VACACIONES","VACACIONES",IFERROR(D1_MARZO_2026[[#This Row],[RECUPERO]]/D1_MARZO_2026[[#This Row],[META]],""))</f>
        <v>0.17391498881431766</v>
      </c>
      <c r="E52" s="35" t="str">
        <f>D1_MARZO_2026[[#This Row],[SUPER]]</f>
        <v>LEONOR</v>
      </c>
      <c r="F52" t="s">
        <v>630</v>
      </c>
      <c r="G52" s="3">
        <v>7774</v>
      </c>
      <c r="H52" cm="1">
        <f t="array" ref="H5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44001162</v>
      </c>
      <c r="I52" s="56" cm="1">
        <f t="array" ref="I5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44907</v>
      </c>
      <c r="J52" s="56" t="str" cm="1">
        <f t="array" ref="J5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2" s="56" t="str" cm="1">
        <f t="array" ref="K52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2" s="56"/>
      <c r="M52" s="5">
        <f>DATA_MARZO_2026[[#This Row],[RECUPERO]]/DATA_MARZO_2026[[#This Row],[META]]</f>
        <v>0.11185682326621924</v>
      </c>
      <c r="N52" s="54" t="str" cm="1">
        <f t="array" ref="N52">IF(DATA_MARZO_2026[[#This Row],[ASER_]]="","",IFERROR(_xlfn.IFS(M52&gt;=100%,"&gt;100%",AND(M52&lt;100%,M52&gt;=70%),"&gt;70%",AND(M52&lt;70%,M52&gt;=40%),"&gt;40%",AND(M52&lt;40%,M52&gt;=0%),"&gt;0%"),""))</f>
        <v>&gt;0%</v>
      </c>
      <c r="O52" s="55" t="str">
        <f>IFERROR(VLOOKUP(DATA_MARZO_2026[[#This Row],[ASER_]],$B:$G,4,0),"")</f>
        <v>LEONOR</v>
      </c>
      <c r="P52" s="6">
        <f>VLOOKUP(DATA_MARZO_2026[[#This Row],[ASER_]],D1_MARZO_2026[[ASESOR_CRR]:[RECUPERO]],6,0)</f>
        <v>5000</v>
      </c>
      <c r="Q52" s="6">
        <f>VLOOKUP(DATA_MARZO_2026[[#This Row],[ASER_]],D1_MARZO_2026[[ASESOR_CRR]:[META]],2,0)</f>
        <v>44700</v>
      </c>
      <c r="R52" t="s">
        <v>80</v>
      </c>
      <c r="S52">
        <v>5000</v>
      </c>
      <c r="T52">
        <v>0</v>
      </c>
      <c r="U52">
        <v>0</v>
      </c>
      <c r="V52">
        <v>0</v>
      </c>
      <c r="X52" s="5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55" t="str" cm="1">
        <f t="array" ref="AN52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3" spans="1:40" x14ac:dyDescent="0.25">
      <c r="A53" s="34" t="str" cm="1">
        <f t="array" ref="A5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3" s="34" t="str" cm="1">
        <f t="array" ref="B53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DANIEL ZAPATA</v>
      </c>
      <c r="C53" s="34" cm="1">
        <f t="array" ref="C53">_xlfn.XLOOKUP(1,(TablaMeta[CONCAT]=$M$3&amp;$N$3&amp;D1_MARZO_2026[[#This Row],[SUPER]])*(TablaMeta[SEGG]=D1_MARZO_2026[[#This Row],[SEGMENTO]]),TablaMeta[Meta_Asesor])</f>
        <v>44700</v>
      </c>
      <c r="D53" s="35">
        <f>IF(D1_MARZO_2026[[#This Row],[RECUPERO]]="VACACIONES","VACACIONES",IFERROR(D1_MARZO_2026[[#This Row],[RECUPERO]]/D1_MARZO_2026[[#This Row],[META]],""))</f>
        <v>0.11185682326621924</v>
      </c>
      <c r="E53" s="35" t="str">
        <f>D1_MARZO_2026[[#This Row],[SUPER]]</f>
        <v>LEONOR</v>
      </c>
      <c r="F53" t="s">
        <v>624</v>
      </c>
      <c r="G53" s="3">
        <v>5000</v>
      </c>
      <c r="H53" cm="1">
        <f t="array" ref="H5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45084594</v>
      </c>
      <c r="I53" s="56" cm="1">
        <f t="array" ref="I5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45281</v>
      </c>
      <c r="J53" s="56" t="str" cm="1">
        <f t="array" ref="J5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3" s="56" t="str" cm="1">
        <f t="array" ref="K53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L53" s="56"/>
      <c r="M53" s="5">
        <f>DATA_MARZO_2026[[#This Row],[RECUPERO]]/DATA_MARZO_2026[[#This Row],[META]]</f>
        <v>3.2885906040268455E-2</v>
      </c>
      <c r="N53" s="54" t="str" cm="1">
        <f t="array" ref="N53">IF(DATA_MARZO_2026[[#This Row],[ASER_]]="","",IFERROR(_xlfn.IFS(M53&gt;=100%,"&gt;100%",AND(M53&lt;100%,M53&gt;=70%),"&gt;70%",AND(M53&lt;70%,M53&gt;=40%),"&gt;40%",AND(M53&lt;40%,M53&gt;=0%),"&gt;0%"),""))</f>
        <v>&gt;0%</v>
      </c>
      <c r="O53" s="55" t="str">
        <f>IFERROR(VLOOKUP(DATA_MARZO_2026[[#This Row],[ASER_]],$B:$G,4,0),"")</f>
        <v>LEONOR</v>
      </c>
      <c r="P53" s="6">
        <f>VLOOKUP(DATA_MARZO_2026[[#This Row],[ASER_]],D1_MARZO_2026[[ASESOR_CRR]:[RECUPERO]],6,0)</f>
        <v>1470</v>
      </c>
      <c r="Q53" s="6">
        <f>VLOOKUP(DATA_MARZO_2026[[#This Row],[ASER_]],D1_MARZO_2026[[ASESOR_CRR]:[META]],2,0)</f>
        <v>44700</v>
      </c>
      <c r="R53" t="s">
        <v>26</v>
      </c>
      <c r="S53">
        <v>1000</v>
      </c>
      <c r="T53">
        <v>0</v>
      </c>
      <c r="U53">
        <v>470</v>
      </c>
      <c r="V53">
        <v>0</v>
      </c>
      <c r="X53" s="5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55" t="str" cm="1">
        <f t="array" ref="AN53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4" spans="1:40" x14ac:dyDescent="0.25">
      <c r="A54" s="34" t="str" cm="1">
        <f t="array" ref="A5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4" s="34" t="str" cm="1">
        <f t="array" ref="B54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MARIA TINTAYA</v>
      </c>
      <c r="C54" s="34" cm="1">
        <f t="array" ref="C54">_xlfn.XLOOKUP(1,(TablaMeta[CONCAT]=$M$3&amp;$N$3&amp;D1_MARZO_2026[[#This Row],[SUPER]])*(TablaMeta[SEGG]=D1_MARZO_2026[[#This Row],[SEGMENTO]]),TablaMeta[Meta_Asesor])</f>
        <v>44700</v>
      </c>
      <c r="D54" s="35">
        <f>IF(D1_MARZO_2026[[#This Row],[RECUPERO]]="VACACIONES","VACACIONES",IFERROR(D1_MARZO_2026[[#This Row],[RECUPERO]]/D1_MARZO_2026[[#This Row],[META]],""))</f>
        <v>8.9485458612975396E-2</v>
      </c>
      <c r="E54" s="35" t="str">
        <f>D1_MARZO_2026[[#This Row],[SUPER]]</f>
        <v>LEONOR</v>
      </c>
      <c r="F54" t="s">
        <v>625</v>
      </c>
      <c r="G54" s="3">
        <v>4000</v>
      </c>
      <c r="H54" cm="1">
        <f t="array" ref="H5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71264767</v>
      </c>
      <c r="I54" s="56" cm="1">
        <f t="array" ref="I5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44714</v>
      </c>
      <c r="J54" s="56" t="str" cm="1">
        <f t="array" ref="J5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4" s="56" t="str" cm="1">
        <f t="array" ref="K54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4" s="5">
        <f>DATA_MARZO_2026[[#This Row],[RECUPERO]]/DATA_MARZO_2026[[#This Row],[META]]</f>
        <v>0.17391498881431766</v>
      </c>
      <c r="N54" s="54" t="str" cm="1">
        <f t="array" ref="N54">IF(DATA_MARZO_2026[[#This Row],[ASER_]]="","",IFERROR(_xlfn.IFS(M54&gt;=100%,"&gt;100%",AND(M54&lt;100%,M54&gt;=70%),"&gt;70%",AND(M54&lt;70%,M54&gt;=40%),"&gt;40%",AND(M54&lt;40%,M54&gt;=0%),"&gt;0%"),""))</f>
        <v>&gt;0%</v>
      </c>
      <c r="O54" s="55" t="str">
        <f>IFERROR(VLOOKUP(DATA_MARZO_2026[[#This Row],[ASER_]],$B:$G,4,0),"")</f>
        <v>LEONOR</v>
      </c>
      <c r="P54" s="6">
        <f>VLOOKUP(DATA_MARZO_2026[[#This Row],[ASER_]],D1_MARZO_2026[[ASESOR_CRR]:[RECUPERO]],6,0)</f>
        <v>7774</v>
      </c>
      <c r="Q54" s="6">
        <f>VLOOKUP(DATA_MARZO_2026[[#This Row],[ASER_]],D1_MARZO_2026[[ASESOR_CRR]:[META]],2,0)</f>
        <v>44700</v>
      </c>
      <c r="R54" t="s">
        <v>61</v>
      </c>
      <c r="S54">
        <v>1503</v>
      </c>
      <c r="T54">
        <v>900</v>
      </c>
      <c r="U54">
        <v>1550</v>
      </c>
      <c r="V54">
        <v>3821</v>
      </c>
      <c r="X54" s="5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55" t="str" cm="1">
        <f t="array" ref="AN54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5" spans="1:40" x14ac:dyDescent="0.25">
      <c r="A55" s="34" t="str" cm="1">
        <f t="array" ref="A5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5" s="34" t="str" cm="1">
        <f t="array" ref="B55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JENY LAZARO</v>
      </c>
      <c r="C55" s="34" cm="1">
        <f t="array" ref="C55">_xlfn.XLOOKUP(1,(TablaMeta[CONCAT]=$M$3&amp;$N$3&amp;D1_MARZO_2026[[#This Row],[SUPER]])*(TablaMeta[SEGG]=D1_MARZO_2026[[#This Row],[SEGMENTO]]),TablaMeta[Meta_Asesor])</f>
        <v>44700</v>
      </c>
      <c r="D55" s="35">
        <f>IF(D1_MARZO_2026[[#This Row],[RECUPERO]]="VACACIONES","VACACIONES",IFERROR(D1_MARZO_2026[[#This Row],[RECUPERO]]/D1_MARZO_2026[[#This Row],[META]],""))</f>
        <v>3.2885906040268455E-2</v>
      </c>
      <c r="E55" s="35" t="str">
        <f>D1_MARZO_2026[[#This Row],[SUPER]]</f>
        <v>LEONOR</v>
      </c>
      <c r="F55" t="s">
        <v>626</v>
      </c>
      <c r="G55" s="3">
        <v>1470</v>
      </c>
      <c r="H55" cm="1">
        <f t="array" ref="H5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41005089</v>
      </c>
      <c r="I55" s="56" cm="1">
        <f t="array" ref="I5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44257</v>
      </c>
      <c r="J55" s="56" t="str" cm="1">
        <f t="array" ref="J5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5" s="56" t="str" cm="1">
        <f t="array" ref="K55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5" s="5">
        <f>DATA_MARZO_2026[[#This Row],[RECUPERO]]/DATA_MARZO_2026[[#This Row],[META]]</f>
        <v>0.21588366890380314</v>
      </c>
      <c r="N55" s="54" t="str" cm="1">
        <f t="array" ref="N55">IF(DATA_MARZO_2026[[#This Row],[ASER_]]="","",IFERROR(_xlfn.IFS(M55&gt;=100%,"&gt;100%",AND(M55&lt;100%,M55&gt;=70%),"&gt;70%",AND(M55&lt;70%,M55&gt;=40%),"&gt;40%",AND(M55&lt;40%,M55&gt;=0%),"&gt;0%"),""))</f>
        <v>&gt;0%</v>
      </c>
      <c r="O55" s="55" t="str">
        <f>IFERROR(VLOOKUP(DATA_MARZO_2026[[#This Row],[ASER_]],$B:$G,4,0),"")</f>
        <v>LEONOR</v>
      </c>
      <c r="P55" s="6">
        <f>VLOOKUP(DATA_MARZO_2026[[#This Row],[ASER_]],D1_MARZO_2026[[ASESOR_CRR]:[RECUPERO]],6,0)</f>
        <v>9650</v>
      </c>
      <c r="Q55" s="6">
        <f>VLOOKUP(DATA_MARZO_2026[[#This Row],[ASER_]],D1_MARZO_2026[[ASESOR_CRR]:[META]],2,0)</f>
        <v>44700</v>
      </c>
      <c r="R55" t="s">
        <v>59</v>
      </c>
      <c r="S55">
        <v>1000</v>
      </c>
      <c r="T55">
        <v>5600</v>
      </c>
      <c r="U55">
        <v>0</v>
      </c>
      <c r="V55">
        <v>3050</v>
      </c>
      <c r="X55" s="5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55" t="str" cm="1">
        <f t="array" ref="AN55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6" spans="1:40" x14ac:dyDescent="0.25">
      <c r="A56" s="34" t="str" cm="1">
        <f t="array" ref="A5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6" s="34" t="str" cm="1">
        <f t="array" ref="B56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GERALDINE ARROYO</v>
      </c>
      <c r="C56" s="34" cm="1">
        <f t="array" ref="C56">_xlfn.XLOOKUP(1,(TablaMeta[CONCAT]=$M$3&amp;$N$3&amp;D1_MARZO_2026[[#This Row],[SUPER]])*(TablaMeta[SEGG]=D1_MARZO_2026[[#This Row],[SEGMENTO]]),TablaMeta[Meta_Asesor])</f>
        <v>44700</v>
      </c>
      <c r="D56" s="35">
        <f>IF(D1_MARZO_2026[[#This Row],[RECUPERO]]="VACACIONES","VACACIONES",IFERROR(D1_MARZO_2026[[#This Row],[RECUPERO]]/D1_MARZO_2026[[#This Row],[META]],""))</f>
        <v>1.1185682326621925E-2</v>
      </c>
      <c r="E56" s="35" t="str">
        <f>D1_MARZO_2026[[#This Row],[SUPER]]</f>
        <v>LEONOR</v>
      </c>
      <c r="F56" t="s">
        <v>51</v>
      </c>
      <c r="G56" s="3">
        <v>500</v>
      </c>
      <c r="H56" cm="1">
        <f t="array" ref="H5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76089925</v>
      </c>
      <c r="I56" s="56" cm="1">
        <f t="array" ref="I5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45678</v>
      </c>
      <c r="J56" s="56" t="str" cm="1">
        <f t="array" ref="J5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6" s="56" t="str" cm="1">
        <f t="array" ref="K56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6" s="5">
        <f>DATA_MARZO_2026[[#This Row],[RECUPERO]]/DATA_MARZO_2026[[#This Row],[META]]</f>
        <v>0.25950782997762861</v>
      </c>
      <c r="N56" s="54" t="str" cm="1">
        <f t="array" ref="N56">IF(DATA_MARZO_2026[[#This Row],[ASER_]]="","",IFERROR(_xlfn.IFS(M56&gt;=100%,"&gt;100%",AND(M56&lt;100%,M56&gt;=70%),"&gt;70%",AND(M56&lt;70%,M56&gt;=40%),"&gt;40%",AND(M56&lt;40%,M56&gt;=0%),"&gt;0%"),""))</f>
        <v>&gt;0%</v>
      </c>
      <c r="O56" s="55" t="str">
        <f>IFERROR(VLOOKUP(DATA_MARZO_2026[[#This Row],[ASER_]],$B:$G,4,0),"")</f>
        <v>LEONOR</v>
      </c>
      <c r="P56" s="6">
        <f>VLOOKUP(DATA_MARZO_2026[[#This Row],[ASER_]],D1_MARZO_2026[[ASESOR_CRR]:[RECUPERO]],6,0)</f>
        <v>11600</v>
      </c>
      <c r="Q56" s="6">
        <f>VLOOKUP(DATA_MARZO_2026[[#This Row],[ASER_]],D1_MARZO_2026[[ASESOR_CRR]:[META]],2,0)</f>
        <v>44700</v>
      </c>
      <c r="R56" t="s">
        <v>72</v>
      </c>
      <c r="S56">
        <v>0</v>
      </c>
      <c r="T56">
        <v>0</v>
      </c>
      <c r="U56">
        <v>11600</v>
      </c>
      <c r="V56">
        <v>0</v>
      </c>
      <c r="X56" s="5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55" t="str" cm="1">
        <f t="array" ref="AN56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7" spans="1:40" x14ac:dyDescent="0.25">
      <c r="A57" s="34" t="str" cm="1">
        <f t="array" ref="A5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3,0),"")</f>
        <v>LEONOR</v>
      </c>
      <c r="B57" s="34" t="str" cm="1">
        <f t="array" ref="B57">TRIM(IFERROR(_xlfn.IFS(D1_MARZO_2026[[#This Row],[ASESOR]]="ELVIS GUERRA","ELVIS GUERRERA",D1_MARZO_2026[[#This Row],[ASESOR]]="GENESIS VICUÑA","GENESIS VICUNA",D1_MARZO_2026[[#This Row],[ASESOR]]="JENY QUIÑONES","JENY QUINONES"),D1_MARZO_2026[[#This Row],[ASESOR]]))</f>
        <v>GENESIS VICUNA</v>
      </c>
      <c r="C57" s="34" cm="1">
        <f t="array" ref="C57">_xlfn.XLOOKUP(1,(TablaMeta[CONCAT]=$M$3&amp;$N$3&amp;D1_MARZO_2026[[#This Row],[SUPER]])*(TablaMeta[SEGG]=D1_MARZO_2026[[#This Row],[SEGMENTO]]),TablaMeta[Meta_Asesor])</f>
        <v>44700</v>
      </c>
      <c r="D57" s="35">
        <f>IF(D1_MARZO_2026[[#This Row],[RECUPERO]]="VACACIONES","VACACIONES",IFERROR(D1_MARZO_2026[[#This Row],[RECUPERO]]/D1_MARZO_2026[[#This Row],[META]],""))</f>
        <v>0</v>
      </c>
      <c r="E57" s="35" t="str">
        <f>D1_MARZO_2026[[#This Row],[SUPER]]</f>
        <v>LEONOR</v>
      </c>
      <c r="F57" t="s">
        <v>633</v>
      </c>
      <c r="G57" s="3">
        <v>0</v>
      </c>
      <c r="H57" cm="1">
        <f t="array" ref="H5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2,0),"")</f>
        <v>45262585</v>
      </c>
      <c r="I57" s="56" cm="1">
        <f t="array" ref="I5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6,0),"")</f>
        <v>44868</v>
      </c>
      <c r="J57" s="56" t="str" cm="1">
        <f t="array" ref="J5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4,0),"")</f>
        <v>CALL</v>
      </c>
      <c r="K57" s="56" t="str" cm="1">
        <f t="array" ref="K57">IFERROR(VLOOKUP(D1_MARZO_2026[[#This Row],[ASESOR_CRR]],_xlfn._xlws.FILTER(PLANTILLA[[ASESOR]:[FECHA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  <c r="M57" s="5">
        <f>DATA_MARZO_2026[[#This Row],[RECUPERO]]/DATA_MARZO_2026[[#This Row],[META]]</f>
        <v>0.2402013422818792</v>
      </c>
      <c r="N57" s="54" t="str" cm="1">
        <f t="array" ref="N57">IF(DATA_MARZO_2026[[#This Row],[ASER_]]="","",IFERROR(_xlfn.IFS(M57&gt;=100%,"&gt;100%",AND(M57&lt;100%,M57&gt;=70%),"&gt;70%",AND(M57&lt;70%,M57&gt;=40%),"&gt;40%",AND(M57&lt;40%,M57&gt;=0%),"&gt;0%"),""))</f>
        <v>&gt;0%</v>
      </c>
      <c r="O57" s="55" t="str">
        <f>IFERROR(VLOOKUP(DATA_MARZO_2026[[#This Row],[ASER_]],$B:$G,4,0),"")</f>
        <v>LEONOR</v>
      </c>
      <c r="P57" s="6">
        <f>VLOOKUP(DATA_MARZO_2026[[#This Row],[ASER_]],D1_MARZO_2026[[ASESOR_CRR]:[RECUPERO]],6,0)</f>
        <v>10737</v>
      </c>
      <c r="Q57" s="6">
        <f>VLOOKUP(DATA_MARZO_2026[[#This Row],[ASER_]],D1_MARZO_2026[[ASESOR_CRR]:[META]],2,0)</f>
        <v>44700</v>
      </c>
      <c r="R57" t="s">
        <v>60</v>
      </c>
      <c r="S57">
        <v>570</v>
      </c>
      <c r="T57">
        <v>300</v>
      </c>
      <c r="U57">
        <v>8000</v>
      </c>
      <c r="V57">
        <v>1867</v>
      </c>
      <c r="X57" s="5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55" t="str" cm="1">
        <f t="array" ref="AN57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8" spans="1:40" x14ac:dyDescent="0.25">
      <c r="H58"/>
      <c r="M58" s="5">
        <f>DATA_MARZO_2026[[#This Row],[RECUPERO]]/DATA_MARZO_2026[[#This Row],[META]]</f>
        <v>8.9485458612975396E-2</v>
      </c>
      <c r="N58" s="54" t="str" cm="1">
        <f t="array" ref="N58">IF(DATA_MARZO_2026[[#This Row],[ASER_]]="","",IFERROR(_xlfn.IFS(M58&gt;=100%,"&gt;100%",AND(M58&lt;100%,M58&gt;=70%),"&gt;70%",AND(M58&lt;70%,M58&gt;=40%),"&gt;40%",AND(M58&lt;40%,M58&gt;=0%),"&gt;0%"),""))</f>
        <v>&gt;0%</v>
      </c>
      <c r="O58" s="55" t="str">
        <f>IFERROR(VLOOKUP(DATA_MARZO_2026[[#This Row],[ASER_]],$B:$G,4,0),"")</f>
        <v>LEONOR</v>
      </c>
      <c r="P58" s="6">
        <f>VLOOKUP(DATA_MARZO_2026[[#This Row],[ASER_]],D1_MARZO_2026[[ASESOR_CRR]:[RECUPERO]],6,0)</f>
        <v>4000</v>
      </c>
      <c r="Q58" s="6">
        <f>VLOOKUP(DATA_MARZO_2026[[#This Row],[ASER_]],D1_MARZO_2026[[ASESOR_CRR]:[META]],2,0)</f>
        <v>44700</v>
      </c>
      <c r="R58" t="s">
        <v>75</v>
      </c>
      <c r="S58">
        <v>2000</v>
      </c>
      <c r="T58">
        <v>2000</v>
      </c>
      <c r="U58">
        <v>0</v>
      </c>
      <c r="V58">
        <v>0</v>
      </c>
      <c r="X58" s="5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55" t="str" cm="1">
        <f t="array" ref="AN58">IFERROR(VLOOKUP(DATA_MARZO_2026[[#This Row],[ASER_]],_xlfn._xlws.FILTER(PLANTILLA[[ASESOR]:[FECHA DE CESE]],PLANTILLA[FECHA]=_xlfn.CONCAT($M$3,"_",_xlfn.IFS($N$3="ENERO","1",$N$3="FEBRERO","2",$N$3="MARZO","3",$N$3="ABRIL","4",$N$3="MAYO","5",$N$3="JUNIO","6",$N$3="JULIO","7",$N$3="AGOSTO","8",$N$3="SETIEMBRE","9",$N$3="OCTUBRE","10",$N$3="NOVIEMBRE","11",$N$3="DICIEMBRE","12"))),8,0),"")</f>
        <v>S1</v>
      </c>
    </row>
    <row r="59" spans="1:40" x14ac:dyDescent="0.25">
      <c r="H59"/>
      <c r="X59" s="5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40" x14ac:dyDescent="0.25">
      <c r="F60" s="3"/>
      <c r="G60" s="1"/>
      <c r="H60"/>
      <c r="X60" s="5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40" x14ac:dyDescent="0.25">
      <c r="F61" s="3"/>
      <c r="G61" s="1"/>
      <c r="H61"/>
      <c r="X61" s="5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40" x14ac:dyDescent="0.25">
      <c r="F62" s="3"/>
      <c r="G62" s="1"/>
      <c r="X62" s="5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1:40" x14ac:dyDescent="0.25">
      <c r="F63" s="3"/>
      <c r="G63" s="1"/>
      <c r="X63" s="5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spans="1:40" x14ac:dyDescent="0.25">
      <c r="G64" s="3"/>
      <c r="X64" s="5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spans="7:41" x14ac:dyDescent="0.25">
      <c r="G65" s="3"/>
      <c r="X65" s="5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spans="7:41" x14ac:dyDescent="0.25">
      <c r="G66" s="3"/>
      <c r="X66" s="5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spans="7:41" x14ac:dyDescent="0.25">
      <c r="G67" s="3"/>
      <c r="X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spans="7:41" x14ac:dyDescent="0.25">
      <c r="G68" s="3"/>
      <c r="X68" s="5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spans="7:41" x14ac:dyDescent="0.25">
      <c r="G69" s="3"/>
      <c r="X69" s="5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spans="7:41" x14ac:dyDescent="0.25">
      <c r="G70" s="3"/>
      <c r="X70" s="5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4"/>
    </row>
    <row r="71" spans="7:41" x14ac:dyDescent="0.25">
      <c r="G71" s="3"/>
      <c r="X71" s="5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7:41" x14ac:dyDescent="0.25">
      <c r="G72" s="3"/>
      <c r="X72" s="5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7:41" x14ac:dyDescent="0.25">
      <c r="X73" s="5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7:41" x14ac:dyDescent="0.25">
      <c r="X74" s="5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7:41" x14ac:dyDescent="0.25">
      <c r="X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7:41" x14ac:dyDescent="0.25">
      <c r="X76" s="5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7:41" x14ac:dyDescent="0.25">
      <c r="X77" s="5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7:41" x14ac:dyDescent="0.25">
      <c r="X78" s="5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7:41" x14ac:dyDescent="0.25">
      <c r="X79" s="5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7:41" x14ac:dyDescent="0.25">
      <c r="X80" s="5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24:42" x14ac:dyDescent="0.25">
      <c r="X81" s="5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24:42" x14ac:dyDescent="0.25">
      <c r="X82" s="5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24:42" x14ac:dyDescent="0.25">
      <c r="X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4"/>
    </row>
    <row r="84" spans="24:42" x14ac:dyDescent="0.25">
      <c r="X84" s="5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24:42" x14ac:dyDescent="0.25">
      <c r="X85" s="5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24:42" x14ac:dyDescent="0.25">
      <c r="X86" s="5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24:42" x14ac:dyDescent="0.25">
      <c r="X87" s="5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24:42" x14ac:dyDescent="0.25">
      <c r="AO88" s="6"/>
      <c r="AP88" s="6"/>
    </row>
    <row r="89" spans="24:42" x14ac:dyDescent="0.25">
      <c r="AO89" s="6"/>
      <c r="AP89" s="6"/>
    </row>
    <row r="90" spans="24:42" x14ac:dyDescent="0.25">
      <c r="AO90" s="6"/>
      <c r="AP90" s="6"/>
    </row>
    <row r="91" spans="24:42" x14ac:dyDescent="0.25">
      <c r="AO91" s="6"/>
      <c r="AP91" s="6"/>
    </row>
    <row r="92" spans="24:42" x14ac:dyDescent="0.25">
      <c r="AO92" s="6"/>
      <c r="AP92" s="6"/>
    </row>
    <row r="93" spans="24:42" x14ac:dyDescent="0.25">
      <c r="AO93" s="6"/>
      <c r="AP93" s="6"/>
    </row>
    <row r="94" spans="24:42" x14ac:dyDescent="0.25">
      <c r="AO94" s="6"/>
      <c r="AP94" s="6"/>
    </row>
    <row r="95" spans="24:42" x14ac:dyDescent="0.25">
      <c r="AO95" s="6"/>
      <c r="AP95" s="6"/>
    </row>
    <row r="96" spans="24:42" x14ac:dyDescent="0.25">
      <c r="AO96" s="6"/>
      <c r="AP96" s="6"/>
    </row>
    <row r="97" spans="41:42" x14ac:dyDescent="0.25">
      <c r="AO97" s="6"/>
      <c r="AP97" s="6"/>
    </row>
    <row r="98" spans="41:42" x14ac:dyDescent="0.25">
      <c r="AO98" s="6"/>
      <c r="AP98" s="6"/>
    </row>
    <row r="99" spans="41:42" x14ac:dyDescent="0.25">
      <c r="AO99" s="6"/>
      <c r="AP99" s="6"/>
    </row>
    <row r="100" spans="41:42" x14ac:dyDescent="0.25">
      <c r="AO100" s="6"/>
      <c r="AP100" s="6"/>
    </row>
    <row r="101" spans="41:42" x14ac:dyDescent="0.25">
      <c r="AO101" s="6"/>
      <c r="AP101" s="6"/>
    </row>
    <row r="102" spans="41:42" x14ac:dyDescent="0.25">
      <c r="AO102" s="6"/>
      <c r="AP102" s="6"/>
    </row>
    <row r="103" spans="41:42" x14ac:dyDescent="0.25">
      <c r="AO103" s="6"/>
      <c r="AP103" s="6"/>
    </row>
    <row r="104" spans="41:42" x14ac:dyDescent="0.25">
      <c r="AO104" s="6"/>
      <c r="AP104" s="6"/>
    </row>
    <row r="105" spans="41:42" x14ac:dyDescent="0.25">
      <c r="AO105" s="6"/>
      <c r="AP105" s="6"/>
    </row>
    <row r="106" spans="41:42" x14ac:dyDescent="0.25">
      <c r="AO106" s="6"/>
      <c r="AP106" s="6"/>
    </row>
    <row r="107" spans="41:42" x14ac:dyDescent="0.25">
      <c r="AO107" s="6"/>
      <c r="AP107" s="6"/>
    </row>
    <row r="108" spans="41:42" x14ac:dyDescent="0.25">
      <c r="AO108" s="6"/>
      <c r="AP108" s="6"/>
    </row>
    <row r="109" spans="41:42" x14ac:dyDescent="0.25">
      <c r="AO109" s="6"/>
      <c r="AP109" s="6"/>
    </row>
    <row r="110" spans="41:42" x14ac:dyDescent="0.25">
      <c r="AO110" s="6"/>
      <c r="AP110" s="6"/>
    </row>
    <row r="111" spans="41:42" x14ac:dyDescent="0.25">
      <c r="AO111" s="6"/>
      <c r="AP111" s="6"/>
    </row>
    <row r="112" spans="41:42" x14ac:dyDescent="0.25">
      <c r="AO112" s="6"/>
      <c r="AP112" s="6"/>
    </row>
    <row r="113" spans="41:43" x14ac:dyDescent="0.25">
      <c r="AO113" s="6"/>
      <c r="AP113" s="6"/>
    </row>
    <row r="114" spans="41:43" x14ac:dyDescent="0.25">
      <c r="AO114" s="6"/>
      <c r="AP114" s="6"/>
      <c r="AQ114" s="7"/>
    </row>
    <row r="115" spans="41:43" x14ac:dyDescent="0.25">
      <c r="AO115" s="6"/>
      <c r="AP115" s="6"/>
      <c r="AQ115" s="7"/>
    </row>
    <row r="116" spans="41:43" x14ac:dyDescent="0.25">
      <c r="AO116" s="6"/>
      <c r="AP116" s="6"/>
      <c r="AQ116" s="7"/>
    </row>
    <row r="117" spans="41:43" x14ac:dyDescent="0.25">
      <c r="AO117" s="6"/>
      <c r="AP117" s="6"/>
      <c r="AQ117" s="7"/>
    </row>
    <row r="118" spans="41:43" x14ac:dyDescent="0.25">
      <c r="AO118" s="6"/>
      <c r="AP118" s="6"/>
      <c r="AQ118" s="7"/>
    </row>
    <row r="119" spans="41:43" x14ac:dyDescent="0.25">
      <c r="AO119" s="6"/>
      <c r="AP119" s="6"/>
      <c r="AQ119" s="7"/>
    </row>
    <row r="120" spans="41:43" x14ac:dyDescent="0.25">
      <c r="AO120" s="6"/>
      <c r="AP120" s="6"/>
      <c r="AQ120" s="7"/>
    </row>
    <row r="121" spans="41:43" x14ac:dyDescent="0.25">
      <c r="AO121" s="6"/>
      <c r="AP121" s="6"/>
      <c r="AQ121" s="7"/>
    </row>
    <row r="122" spans="41:43" x14ac:dyDescent="0.25">
      <c r="AO122" s="6"/>
      <c r="AP122" s="6"/>
      <c r="AQ122" s="7"/>
    </row>
    <row r="123" spans="41:43" x14ac:dyDescent="0.25">
      <c r="AO123" s="6"/>
      <c r="AP123" s="6"/>
      <c r="AQ123" s="7"/>
    </row>
    <row r="124" spans="41:43" x14ac:dyDescent="0.25">
      <c r="AO124" s="6"/>
      <c r="AP124" s="6"/>
      <c r="AQ124" s="7"/>
    </row>
    <row r="125" spans="41:43" x14ac:dyDescent="0.25">
      <c r="AO125" s="6"/>
      <c r="AP125" s="6"/>
      <c r="AQ125" s="7"/>
    </row>
    <row r="126" spans="41:43" x14ac:dyDescent="0.25">
      <c r="AO126" s="6"/>
      <c r="AP126" s="6"/>
      <c r="AQ126" s="7"/>
    </row>
    <row r="127" spans="41:43" x14ac:dyDescent="0.25">
      <c r="AO127" s="6"/>
      <c r="AP127" s="6"/>
      <c r="AQ127" s="7"/>
    </row>
    <row r="128" spans="41:43" x14ac:dyDescent="0.25">
      <c r="AO128" s="6"/>
      <c r="AP128" s="6"/>
      <c r="AQ128" s="7"/>
    </row>
    <row r="129" spans="41:43" x14ac:dyDescent="0.25">
      <c r="AO129" s="6"/>
      <c r="AP129" s="6"/>
      <c r="AQ129" s="7"/>
    </row>
    <row r="130" spans="41:43" x14ac:dyDescent="0.25">
      <c r="AO130" s="6"/>
      <c r="AP130" s="6"/>
      <c r="AQ130" s="7"/>
    </row>
    <row r="131" spans="41:43" x14ac:dyDescent="0.25">
      <c r="AO131" s="6"/>
      <c r="AP131" s="6"/>
      <c r="AQ131" s="7"/>
    </row>
    <row r="132" spans="41:43" x14ac:dyDescent="0.25">
      <c r="AP132" s="6"/>
      <c r="AQ132" s="7"/>
    </row>
    <row r="133" spans="41:43" x14ac:dyDescent="0.25">
      <c r="AP133" s="6"/>
      <c r="AQ133" s="7"/>
    </row>
    <row r="134" spans="41:43" x14ac:dyDescent="0.25">
      <c r="AP134" s="6"/>
      <c r="AQ134" s="7"/>
    </row>
    <row r="135" spans="41:43" x14ac:dyDescent="0.25">
      <c r="AP135" s="6"/>
      <c r="AQ135" s="7"/>
    </row>
    <row r="136" spans="41:43" x14ac:dyDescent="0.25">
      <c r="AP136" s="6"/>
      <c r="AQ136" s="7"/>
    </row>
    <row r="137" spans="41:43" x14ac:dyDescent="0.25">
      <c r="AP137" s="6"/>
      <c r="AQ137" s="7"/>
    </row>
    <row r="138" spans="41:43" x14ac:dyDescent="0.25">
      <c r="AP138" s="6"/>
      <c r="AQ138" s="7"/>
    </row>
    <row r="139" spans="41:43" x14ac:dyDescent="0.25">
      <c r="AP139" s="6"/>
      <c r="AQ139" s="7"/>
    </row>
    <row r="140" spans="41:43" x14ac:dyDescent="0.25">
      <c r="AP140" s="6"/>
      <c r="AQ140" s="7"/>
    </row>
    <row r="141" spans="41:43" x14ac:dyDescent="0.25">
      <c r="AP141" s="6"/>
      <c r="AQ141" s="7"/>
    </row>
    <row r="142" spans="41:43" x14ac:dyDescent="0.25">
      <c r="AP142" s="6"/>
      <c r="AQ142" s="7"/>
    </row>
    <row r="143" spans="41:43" x14ac:dyDescent="0.25">
      <c r="AP143" s="6"/>
      <c r="AQ143" s="7"/>
    </row>
    <row r="144" spans="41:43" x14ac:dyDescent="0.25">
      <c r="AP144" s="6"/>
      <c r="AQ144" s="7"/>
    </row>
    <row r="145" spans="43:43" x14ac:dyDescent="0.25">
      <c r="AQ145" s="7"/>
    </row>
    <row r="146" spans="43:43" x14ac:dyDescent="0.25">
      <c r="AQ146" s="7"/>
    </row>
    <row r="147" spans="43:43" x14ac:dyDescent="0.25">
      <c r="AQ147" s="7"/>
    </row>
    <row r="148" spans="43:43" x14ac:dyDescent="0.25">
      <c r="AQ148" s="7"/>
    </row>
    <row r="149" spans="43:43" x14ac:dyDescent="0.25">
      <c r="AQ149" s="7"/>
    </row>
    <row r="150" spans="43:43" x14ac:dyDescent="0.25">
      <c r="AQ150" s="7"/>
    </row>
    <row r="151" spans="43:43" x14ac:dyDescent="0.25">
      <c r="AQ151" s="7"/>
    </row>
    <row r="152" spans="43:43" x14ac:dyDescent="0.25">
      <c r="AQ152" s="7"/>
    </row>
    <row r="153" spans="43:43" x14ac:dyDescent="0.25">
      <c r="AQ153" s="7"/>
    </row>
    <row r="154" spans="43:43" x14ac:dyDescent="0.25">
      <c r="AQ154" s="7"/>
    </row>
    <row r="155" spans="43:43" x14ac:dyDescent="0.25">
      <c r="AQ155" s="7"/>
    </row>
    <row r="156" spans="43:43" x14ac:dyDescent="0.25">
      <c r="AQ156" s="7"/>
    </row>
    <row r="157" spans="43:43" x14ac:dyDescent="0.25">
      <c r="AQ157" s="7"/>
    </row>
    <row r="158" spans="43:43" x14ac:dyDescent="0.25">
      <c r="AQ158" s="7"/>
    </row>
    <row r="159" spans="43:43" x14ac:dyDescent="0.25">
      <c r="AQ159" s="7"/>
    </row>
    <row r="160" spans="43:43" x14ac:dyDescent="0.25">
      <c r="AQ160" s="7"/>
    </row>
    <row r="161" spans="43:43" x14ac:dyDescent="0.25">
      <c r="AQ161" s="7"/>
    </row>
    <row r="162" spans="43:43" x14ac:dyDescent="0.25">
      <c r="AQ162" s="7"/>
    </row>
    <row r="163" spans="43:43" x14ac:dyDescent="0.25">
      <c r="AQ163" s="7"/>
    </row>
    <row r="164" spans="43:43" x14ac:dyDescent="0.25">
      <c r="AQ164" s="7"/>
    </row>
    <row r="165" spans="43:43" x14ac:dyDescent="0.25">
      <c r="AQ165" s="7"/>
    </row>
    <row r="166" spans="43:43" x14ac:dyDescent="0.25">
      <c r="AQ166" s="7"/>
    </row>
    <row r="167" spans="43:43" x14ac:dyDescent="0.25">
      <c r="AQ167" s="7"/>
    </row>
    <row r="168" spans="43:43" x14ac:dyDescent="0.25">
      <c r="AQ168" s="7"/>
    </row>
    <row r="169" spans="43:43" x14ac:dyDescent="0.25">
      <c r="AQ169" s="7"/>
    </row>
    <row r="170" spans="43:43" x14ac:dyDescent="0.25">
      <c r="AQ170" s="7"/>
    </row>
    <row r="171" spans="43:43" x14ac:dyDescent="0.25">
      <c r="AQ171" s="7"/>
    </row>
    <row r="172" spans="43:43" x14ac:dyDescent="0.25">
      <c r="AQ172" s="7"/>
    </row>
    <row r="173" spans="43:43" x14ac:dyDescent="0.25">
      <c r="AQ173" s="7"/>
    </row>
    <row r="174" spans="43:43" x14ac:dyDescent="0.25">
      <c r="AQ174" s="7"/>
    </row>
  </sheetData>
  <phoneticPr fontId="2" type="noConversion"/>
  <conditionalFormatting sqref="E3:E57">
    <cfRule type="containsText" dxfId="5" priority="1" operator="containsText" text="kenneth">
      <formula>NOT(ISERROR(SEARCH("kenneth",E3)))</formula>
    </cfRule>
  </conditionalFormatting>
  <conditionalFormatting sqref="R9:R58">
    <cfRule type="duplicateValues" dxfId="4" priority="47"/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1EAC-660F-4182-86D5-7EBABAAE2527}">
  <sheetPr>
    <tabColor rgb="FFFFC000"/>
  </sheetPr>
  <dimension ref="A1:G107"/>
  <sheetViews>
    <sheetView workbookViewId="0">
      <selection activeCell="A11" sqref="A11"/>
    </sheetView>
  </sheetViews>
  <sheetFormatPr baseColWidth="10" defaultRowHeight="15" x14ac:dyDescent="0.25"/>
  <cols>
    <col min="1" max="1" width="22.7109375" bestFit="1" customWidth="1"/>
    <col min="2" max="2" width="47" bestFit="1" customWidth="1"/>
    <col min="3" max="3" width="11.7109375" bestFit="1" customWidth="1"/>
    <col min="4" max="4" width="43.28515625" bestFit="1" customWidth="1"/>
    <col min="5" max="5" width="10.42578125" bestFit="1" customWidth="1"/>
    <col min="6" max="6" width="11.42578125" bestFit="1" customWidth="1"/>
    <col min="7" max="7" width="6.42578125" bestFit="1" customWidth="1"/>
    <col min="8" max="8" width="10.42578125" bestFit="1" customWidth="1"/>
  </cols>
  <sheetData>
    <row r="1" spans="1:7" x14ac:dyDescent="0.25">
      <c r="A1" t="s">
        <v>210</v>
      </c>
      <c r="B1" t="s">
        <v>345</v>
      </c>
      <c r="C1" t="s">
        <v>341</v>
      </c>
      <c r="D1" t="s">
        <v>340</v>
      </c>
      <c r="E1" t="s">
        <v>343</v>
      </c>
      <c r="F1" t="s">
        <v>136</v>
      </c>
      <c r="G1" t="s">
        <v>344</v>
      </c>
    </row>
    <row r="2" spans="1:7" x14ac:dyDescent="0.25">
      <c r="A2" t="s">
        <v>78</v>
      </c>
      <c r="B2" t="s">
        <v>346</v>
      </c>
      <c r="C2" s="56">
        <v>27152</v>
      </c>
      <c r="D2" t="s">
        <v>265</v>
      </c>
      <c r="E2" t="s">
        <v>0</v>
      </c>
      <c r="F2" t="str">
        <f>UPPER(TEXT(pbi_ListaEmpleadosExpertis[[#This Row],[FEC_NAC]],"mmmm"))</f>
        <v>MAYO</v>
      </c>
      <c r="G2">
        <f>DAY(pbi_ListaEmpleadosExpertis[[#This Row],[FEC_NAC]])</f>
        <v>3</v>
      </c>
    </row>
    <row r="3" spans="1:7" x14ac:dyDescent="0.25">
      <c r="A3" t="s">
        <v>557</v>
      </c>
      <c r="B3" t="s">
        <v>346</v>
      </c>
      <c r="C3" s="56">
        <v>27960</v>
      </c>
      <c r="D3" t="s">
        <v>562</v>
      </c>
      <c r="E3" t="s">
        <v>0</v>
      </c>
      <c r="F3" t="str">
        <f>UPPER(TEXT(pbi_ListaEmpleadosExpertis[[#This Row],[FEC_NAC]],"mmmm"))</f>
        <v>JULIO</v>
      </c>
      <c r="G3">
        <f>DAY(pbi_ListaEmpleadosExpertis[[#This Row],[FEC_NAC]])</f>
        <v>19</v>
      </c>
    </row>
    <row r="4" spans="1:7" x14ac:dyDescent="0.25">
      <c r="A4" t="s">
        <v>35</v>
      </c>
      <c r="B4" t="s">
        <v>346</v>
      </c>
      <c r="C4" s="56">
        <v>28011</v>
      </c>
      <c r="D4" t="s">
        <v>254</v>
      </c>
      <c r="E4" t="s">
        <v>0</v>
      </c>
      <c r="F4" t="str">
        <f>UPPER(TEXT(pbi_ListaEmpleadosExpertis[[#This Row],[FEC_NAC]],"mmmm"))</f>
        <v>SETIEMBRE</v>
      </c>
      <c r="G4">
        <f>DAY(pbi_ListaEmpleadosExpertis[[#This Row],[FEC_NAC]])</f>
        <v>8</v>
      </c>
    </row>
    <row r="5" spans="1:7" x14ac:dyDescent="0.25">
      <c r="A5" t="s">
        <v>242</v>
      </c>
      <c r="B5" t="s">
        <v>354</v>
      </c>
      <c r="C5" s="56">
        <v>28072</v>
      </c>
      <c r="D5" t="s">
        <v>243</v>
      </c>
      <c r="E5" t="s">
        <v>342</v>
      </c>
      <c r="F5" t="str">
        <f>UPPER(TEXT(pbi_ListaEmpleadosExpertis[[#This Row],[FEC_NAC]],"mmmm"))</f>
        <v>NOVIEMBRE</v>
      </c>
      <c r="G5">
        <f>DAY(pbi_ListaEmpleadosExpertis[[#This Row],[FEC_NAC]])</f>
        <v>8</v>
      </c>
    </row>
    <row r="6" spans="1:7" x14ac:dyDescent="0.25">
      <c r="A6" t="s">
        <v>73</v>
      </c>
      <c r="B6" t="s">
        <v>346</v>
      </c>
      <c r="C6" s="56">
        <v>29084</v>
      </c>
      <c r="D6" t="s">
        <v>270</v>
      </c>
      <c r="E6" t="s">
        <v>0</v>
      </c>
      <c r="F6" t="str">
        <f>UPPER(TEXT(pbi_ListaEmpleadosExpertis[[#This Row],[FEC_NAC]],"mmmm"))</f>
        <v>AGOSTO</v>
      </c>
      <c r="G6">
        <f>DAY(pbi_ListaEmpleadosExpertis[[#This Row],[FEC_NAC]])</f>
        <v>17</v>
      </c>
    </row>
    <row r="7" spans="1:7" x14ac:dyDescent="0.25">
      <c r="A7" t="s">
        <v>272</v>
      </c>
      <c r="B7" t="s">
        <v>355</v>
      </c>
      <c r="C7" s="56">
        <v>29359</v>
      </c>
      <c r="D7" t="s">
        <v>273</v>
      </c>
      <c r="E7" t="s">
        <v>342</v>
      </c>
      <c r="F7" t="str">
        <f>UPPER(TEXT(pbi_ListaEmpleadosExpertis[[#This Row],[FEC_NAC]],"mmmm"))</f>
        <v>MAYO</v>
      </c>
      <c r="G7">
        <f>DAY(pbi_ListaEmpleadosExpertis[[#This Row],[FEC_NAC]])</f>
        <v>18</v>
      </c>
    </row>
    <row r="8" spans="1:7" x14ac:dyDescent="0.25">
      <c r="A8" t="s">
        <v>49</v>
      </c>
      <c r="B8" t="s">
        <v>346</v>
      </c>
      <c r="C8" s="56">
        <v>29446</v>
      </c>
      <c r="D8" t="s">
        <v>217</v>
      </c>
      <c r="E8" t="s">
        <v>0</v>
      </c>
      <c r="F8" t="str">
        <f>UPPER(TEXT(pbi_ListaEmpleadosExpertis[[#This Row],[FEC_NAC]],"mmmm"))</f>
        <v>AGOSTO</v>
      </c>
      <c r="G8">
        <f>DAY(pbi_ListaEmpleadosExpertis[[#This Row],[FEC_NAC]])</f>
        <v>13</v>
      </c>
    </row>
    <row r="9" spans="1:7" x14ac:dyDescent="0.25">
      <c r="A9" t="s">
        <v>10</v>
      </c>
      <c r="B9" t="s">
        <v>346</v>
      </c>
      <c r="C9" s="56">
        <v>29662</v>
      </c>
      <c r="D9" t="s">
        <v>251</v>
      </c>
      <c r="E9" t="s">
        <v>0</v>
      </c>
      <c r="F9" t="str">
        <f>UPPER(TEXT(pbi_ListaEmpleadosExpertis[[#This Row],[FEC_NAC]],"mmmm"))</f>
        <v>MARZO</v>
      </c>
      <c r="G9">
        <f>DAY(pbi_ListaEmpleadosExpertis[[#This Row],[FEC_NAC]])</f>
        <v>17</v>
      </c>
    </row>
    <row r="10" spans="1:7" x14ac:dyDescent="0.25">
      <c r="A10" t="s">
        <v>26</v>
      </c>
      <c r="B10" t="s">
        <v>346</v>
      </c>
      <c r="C10" s="56">
        <v>29802</v>
      </c>
      <c r="D10" t="s">
        <v>221</v>
      </c>
      <c r="E10" t="s">
        <v>0</v>
      </c>
      <c r="F10" t="str">
        <f>UPPER(TEXT(pbi_ListaEmpleadosExpertis[[#This Row],[FEC_NAC]],"mmmm"))</f>
        <v>AGOSTO</v>
      </c>
      <c r="G10">
        <f>DAY(pbi_ListaEmpleadosExpertis[[#This Row],[FEC_NAC]])</f>
        <v>4</v>
      </c>
    </row>
    <row r="11" spans="1:7" x14ac:dyDescent="0.25">
      <c r="A11" t="s">
        <v>306</v>
      </c>
      <c r="B11" t="s">
        <v>363</v>
      </c>
      <c r="C11" s="56">
        <v>30385</v>
      </c>
      <c r="D11" t="s">
        <v>307</v>
      </c>
      <c r="E11" t="s">
        <v>342</v>
      </c>
      <c r="F11" t="str">
        <f>UPPER(TEXT(pbi_ListaEmpleadosExpertis[[#This Row],[FEC_NAC]],"mmmm"))</f>
        <v>MARZO</v>
      </c>
      <c r="G11">
        <f>DAY(pbi_ListaEmpleadosExpertis[[#This Row],[FEC_NAC]])</f>
        <v>10</v>
      </c>
    </row>
    <row r="12" spans="1:7" x14ac:dyDescent="0.25">
      <c r="A12" t="s">
        <v>594</v>
      </c>
      <c r="B12" t="s">
        <v>595</v>
      </c>
      <c r="C12" s="56">
        <v>30429</v>
      </c>
      <c r="D12" t="s">
        <v>596</v>
      </c>
      <c r="E12" t="s">
        <v>342</v>
      </c>
      <c r="F12" t="str">
        <f>UPPER(TEXT(pbi_ListaEmpleadosExpertis[[#This Row],[FEC_NAC]],"mmmm"))</f>
        <v>ABRIL</v>
      </c>
      <c r="G12">
        <f>DAY(pbi_ListaEmpleadosExpertis[[#This Row],[FEC_NAC]])</f>
        <v>23</v>
      </c>
    </row>
    <row r="13" spans="1:7" x14ac:dyDescent="0.25">
      <c r="A13" t="s">
        <v>77</v>
      </c>
      <c r="B13" t="s">
        <v>346</v>
      </c>
      <c r="C13" s="56">
        <v>30549</v>
      </c>
      <c r="D13" t="s">
        <v>259</v>
      </c>
      <c r="E13" t="s">
        <v>0</v>
      </c>
      <c r="F13" t="str">
        <f>UPPER(TEXT(pbi_ListaEmpleadosExpertis[[#This Row],[FEC_NAC]],"mmmm"))</f>
        <v>AGOSTO</v>
      </c>
      <c r="G13">
        <f>DAY(pbi_ListaEmpleadosExpertis[[#This Row],[FEC_NAC]])</f>
        <v>21</v>
      </c>
    </row>
    <row r="14" spans="1:7" x14ac:dyDescent="0.25">
      <c r="A14" t="s">
        <v>296</v>
      </c>
      <c r="B14" t="s">
        <v>359</v>
      </c>
      <c r="C14" s="56">
        <v>30628</v>
      </c>
      <c r="D14" t="s">
        <v>297</v>
      </c>
      <c r="E14" t="s">
        <v>342</v>
      </c>
      <c r="F14" t="str">
        <f>UPPER(TEXT(pbi_ListaEmpleadosExpertis[[#This Row],[FEC_NAC]],"mmmm"))</f>
        <v>NOVIEMBRE</v>
      </c>
      <c r="G14">
        <f>DAY(pbi_ListaEmpleadosExpertis[[#This Row],[FEC_NAC]])</f>
        <v>8</v>
      </c>
    </row>
    <row r="15" spans="1:7" x14ac:dyDescent="0.25">
      <c r="A15" t="s">
        <v>609</v>
      </c>
      <c r="B15" t="s">
        <v>610</v>
      </c>
      <c r="C15" s="56">
        <v>30635</v>
      </c>
      <c r="D15" t="s">
        <v>611</v>
      </c>
      <c r="E15" t="s">
        <v>342</v>
      </c>
      <c r="F15" t="str">
        <f>UPPER(TEXT(pbi_ListaEmpleadosExpertis[[#This Row],[FEC_NAC]],"mmmm"))</f>
        <v>NOVIEMBRE</v>
      </c>
      <c r="G15">
        <f>DAY(pbi_ListaEmpleadosExpertis[[#This Row],[FEC_NAC]])</f>
        <v>15</v>
      </c>
    </row>
    <row r="16" spans="1:7" x14ac:dyDescent="0.25">
      <c r="A16" t="s">
        <v>599</v>
      </c>
      <c r="B16" t="s">
        <v>346</v>
      </c>
      <c r="C16" s="56">
        <v>30700</v>
      </c>
      <c r="D16" t="s">
        <v>608</v>
      </c>
      <c r="E16" t="s">
        <v>0</v>
      </c>
      <c r="F16" t="str">
        <f>UPPER(TEXT(pbi_ListaEmpleadosExpertis[[#This Row],[FEC_NAC]],"mmmm"))</f>
        <v>ENERO</v>
      </c>
      <c r="G16">
        <f>DAY(pbi_ListaEmpleadosExpertis[[#This Row],[FEC_NAC]])</f>
        <v>19</v>
      </c>
    </row>
    <row r="17" spans="1:7" x14ac:dyDescent="0.25">
      <c r="A17" t="s">
        <v>238</v>
      </c>
      <c r="B17" t="s">
        <v>350</v>
      </c>
      <c r="C17" s="56">
        <v>30884</v>
      </c>
      <c r="D17" t="s">
        <v>239</v>
      </c>
      <c r="E17" t="s">
        <v>342</v>
      </c>
      <c r="F17" t="str">
        <f>UPPER(TEXT(pbi_ListaEmpleadosExpertis[[#This Row],[FEC_NAC]],"mmmm"))</f>
        <v>JULIO</v>
      </c>
      <c r="G17">
        <f>DAY(pbi_ListaEmpleadosExpertis[[#This Row],[FEC_NAC]])</f>
        <v>21</v>
      </c>
    </row>
    <row r="18" spans="1:7" x14ac:dyDescent="0.25">
      <c r="A18" t="s">
        <v>317</v>
      </c>
      <c r="B18" t="s">
        <v>367</v>
      </c>
      <c r="C18" s="56">
        <v>30965</v>
      </c>
      <c r="D18" t="s">
        <v>318</v>
      </c>
      <c r="E18" t="s">
        <v>342</v>
      </c>
      <c r="F18" t="str">
        <f>UPPER(TEXT(pbi_ListaEmpleadosExpertis[[#This Row],[FEC_NAC]],"mmmm"))</f>
        <v>OCTUBRE</v>
      </c>
      <c r="G18">
        <f>DAY(pbi_ListaEmpleadosExpertis[[#This Row],[FEC_NAC]])</f>
        <v>10</v>
      </c>
    </row>
    <row r="19" spans="1:7" x14ac:dyDescent="0.25">
      <c r="A19" t="s">
        <v>48</v>
      </c>
      <c r="B19" t="s">
        <v>346</v>
      </c>
      <c r="C19" s="56">
        <v>31158</v>
      </c>
      <c r="D19" t="s">
        <v>255</v>
      </c>
      <c r="E19" t="s">
        <v>0</v>
      </c>
      <c r="F19" t="str">
        <f>UPPER(TEXT(pbi_ListaEmpleadosExpertis[[#This Row],[FEC_NAC]],"mmmm"))</f>
        <v>ABRIL</v>
      </c>
      <c r="G19">
        <f>DAY(pbi_ListaEmpleadosExpertis[[#This Row],[FEC_NAC]])</f>
        <v>21</v>
      </c>
    </row>
    <row r="20" spans="1:7" x14ac:dyDescent="0.25">
      <c r="A20" t="s">
        <v>24</v>
      </c>
      <c r="B20" t="s">
        <v>346</v>
      </c>
      <c r="C20" s="56">
        <v>31492</v>
      </c>
      <c r="D20" t="s">
        <v>280</v>
      </c>
      <c r="E20" t="s">
        <v>0</v>
      </c>
      <c r="F20" t="str">
        <f>UPPER(TEXT(pbi_ListaEmpleadosExpertis[[#This Row],[FEC_NAC]],"mmmm"))</f>
        <v>MARZO</v>
      </c>
      <c r="G20">
        <f>DAY(pbi_ListaEmpleadosExpertis[[#This Row],[FEC_NAC]])</f>
        <v>21</v>
      </c>
    </row>
    <row r="21" spans="1:7" x14ac:dyDescent="0.25">
      <c r="A21" t="s">
        <v>61</v>
      </c>
      <c r="B21" t="s">
        <v>346</v>
      </c>
      <c r="C21" s="56">
        <v>31644</v>
      </c>
      <c r="D21" t="s">
        <v>264</v>
      </c>
      <c r="E21" t="s">
        <v>0</v>
      </c>
      <c r="F21" t="str">
        <f>UPPER(TEXT(pbi_ListaEmpleadosExpertis[[#This Row],[FEC_NAC]],"mmmm"))</f>
        <v>AGOSTO</v>
      </c>
      <c r="G21">
        <f>DAY(pbi_ListaEmpleadosExpertis[[#This Row],[FEC_NAC]])</f>
        <v>20</v>
      </c>
    </row>
    <row r="22" spans="1:7" x14ac:dyDescent="0.25">
      <c r="A22" t="s">
        <v>240</v>
      </c>
      <c r="B22" t="s">
        <v>349</v>
      </c>
      <c r="C22" s="56">
        <v>31700</v>
      </c>
      <c r="D22" t="s">
        <v>241</v>
      </c>
      <c r="E22" t="s">
        <v>342</v>
      </c>
      <c r="F22" t="str">
        <f>UPPER(TEXT(pbi_ListaEmpleadosExpertis[[#This Row],[FEC_NAC]],"mmmm"))</f>
        <v>OCTUBRE</v>
      </c>
      <c r="G22">
        <f>DAY(pbi_ListaEmpleadosExpertis[[#This Row],[FEC_NAC]])</f>
        <v>15</v>
      </c>
    </row>
    <row r="23" spans="1:7" x14ac:dyDescent="0.25">
      <c r="A23" t="s">
        <v>248</v>
      </c>
      <c r="B23" t="s">
        <v>133</v>
      </c>
      <c r="C23" s="56">
        <v>31900</v>
      </c>
      <c r="D23" t="s">
        <v>249</v>
      </c>
      <c r="E23" t="s">
        <v>342</v>
      </c>
      <c r="F23" t="str">
        <f>UPPER(TEXT(pbi_ListaEmpleadosExpertis[[#This Row],[FEC_NAC]],"mmmm"))</f>
        <v>MAYO</v>
      </c>
      <c r="G23">
        <f>DAY(pbi_ListaEmpleadosExpertis[[#This Row],[FEC_NAC]])</f>
        <v>3</v>
      </c>
    </row>
    <row r="24" spans="1:7" x14ac:dyDescent="0.25">
      <c r="A24" t="s">
        <v>338</v>
      </c>
      <c r="B24" t="s">
        <v>559</v>
      </c>
      <c r="C24" s="56">
        <v>31980</v>
      </c>
      <c r="D24" t="s">
        <v>339</v>
      </c>
      <c r="E24" t="s">
        <v>342</v>
      </c>
      <c r="F24" t="str">
        <f>UPPER(TEXT(pbi_ListaEmpleadosExpertis[[#This Row],[FEC_NAC]],"mmmm"))</f>
        <v>JULIO</v>
      </c>
      <c r="G24">
        <f>DAY(pbi_ListaEmpleadosExpertis[[#This Row],[FEC_NAC]])</f>
        <v>22</v>
      </c>
    </row>
    <row r="25" spans="1:7" x14ac:dyDescent="0.25">
      <c r="A25" t="s">
        <v>300</v>
      </c>
      <c r="B25" t="s">
        <v>361</v>
      </c>
      <c r="C25" s="56">
        <v>32019</v>
      </c>
      <c r="D25" t="s">
        <v>301</v>
      </c>
      <c r="E25" t="s">
        <v>342</v>
      </c>
      <c r="F25" t="str">
        <f>UPPER(TEXT(pbi_ListaEmpleadosExpertis[[#This Row],[FEC_NAC]],"mmmm"))</f>
        <v>AGOSTO</v>
      </c>
      <c r="G25">
        <f>DAY(pbi_ListaEmpleadosExpertis[[#This Row],[FEC_NAC]])</f>
        <v>30</v>
      </c>
    </row>
    <row r="26" spans="1:7" x14ac:dyDescent="0.25">
      <c r="A26" t="s">
        <v>55</v>
      </c>
      <c r="B26" t="s">
        <v>346</v>
      </c>
      <c r="C26" s="56">
        <v>32222</v>
      </c>
      <c r="D26" t="s">
        <v>311</v>
      </c>
      <c r="E26" t="s">
        <v>0</v>
      </c>
      <c r="F26" t="str">
        <f>UPPER(TEXT(pbi_ListaEmpleadosExpertis[[#This Row],[FEC_NAC]],"mmmm"))</f>
        <v>MARZO</v>
      </c>
      <c r="G26">
        <f>DAY(pbi_ListaEmpleadosExpertis[[#This Row],[FEC_NAC]])</f>
        <v>20</v>
      </c>
    </row>
    <row r="27" spans="1:7" x14ac:dyDescent="0.25">
      <c r="A27" t="s">
        <v>230</v>
      </c>
      <c r="B27" t="s">
        <v>353</v>
      </c>
      <c r="C27" s="56">
        <v>32245</v>
      </c>
      <c r="D27" t="s">
        <v>231</v>
      </c>
      <c r="E27" t="s">
        <v>342</v>
      </c>
      <c r="F27" t="str">
        <f>UPPER(TEXT(pbi_ListaEmpleadosExpertis[[#This Row],[FEC_NAC]],"mmmm"))</f>
        <v>ABRIL</v>
      </c>
      <c r="G27">
        <f>DAY(pbi_ListaEmpleadosExpertis[[#This Row],[FEC_NAC]])</f>
        <v>12</v>
      </c>
    </row>
    <row r="28" spans="1:7" x14ac:dyDescent="0.25">
      <c r="A28" t="s">
        <v>11</v>
      </c>
      <c r="B28" t="s">
        <v>346</v>
      </c>
      <c r="C28" s="56">
        <v>32262</v>
      </c>
      <c r="D28" t="s">
        <v>283</v>
      </c>
      <c r="E28" t="s">
        <v>0</v>
      </c>
      <c r="F28" t="str">
        <f>UPPER(TEXT(pbi_ListaEmpleadosExpertis[[#This Row],[FEC_NAC]],"mmmm"))</f>
        <v>ABRIL</v>
      </c>
      <c r="G28">
        <f>DAY(pbi_ListaEmpleadosExpertis[[#This Row],[FEC_NAC]])</f>
        <v>29</v>
      </c>
    </row>
    <row r="29" spans="1:7" x14ac:dyDescent="0.25">
      <c r="A29" t="s">
        <v>80</v>
      </c>
      <c r="B29" t="s">
        <v>346</v>
      </c>
      <c r="C29" s="56">
        <v>32273</v>
      </c>
      <c r="D29" t="s">
        <v>274</v>
      </c>
      <c r="E29" t="s">
        <v>0</v>
      </c>
      <c r="F29" t="str">
        <f>UPPER(TEXT(pbi_ListaEmpleadosExpertis[[#This Row],[FEC_NAC]],"mmmm"))</f>
        <v>MAYO</v>
      </c>
      <c r="G29">
        <f>DAY(pbi_ListaEmpleadosExpertis[[#This Row],[FEC_NAC]])</f>
        <v>10</v>
      </c>
    </row>
    <row r="30" spans="1:7" x14ac:dyDescent="0.25">
      <c r="A30" t="s">
        <v>12</v>
      </c>
      <c r="B30" t="s">
        <v>346</v>
      </c>
      <c r="C30" s="56">
        <v>32342</v>
      </c>
      <c r="D30" t="s">
        <v>262</v>
      </c>
      <c r="E30" t="s">
        <v>0</v>
      </c>
      <c r="F30" t="str">
        <f>UPPER(TEXT(pbi_ListaEmpleadosExpertis[[#This Row],[FEC_NAC]],"mmmm"))</f>
        <v>JULIO</v>
      </c>
      <c r="G30">
        <f>DAY(pbi_ListaEmpleadosExpertis[[#This Row],[FEC_NAC]])</f>
        <v>18</v>
      </c>
    </row>
    <row r="31" spans="1:7" x14ac:dyDescent="0.25">
      <c r="A31" t="s">
        <v>228</v>
      </c>
      <c r="B31" t="s">
        <v>352</v>
      </c>
      <c r="C31" s="56">
        <v>32507</v>
      </c>
      <c r="D31" t="s">
        <v>229</v>
      </c>
      <c r="E31" t="s">
        <v>342</v>
      </c>
      <c r="F31" t="str">
        <f>UPPER(TEXT(pbi_ListaEmpleadosExpertis[[#This Row],[FEC_NAC]],"mmmm"))</f>
        <v>DICIEMBRE</v>
      </c>
      <c r="G31">
        <f>DAY(pbi_ListaEmpleadosExpertis[[#This Row],[FEC_NAC]])</f>
        <v>30</v>
      </c>
    </row>
    <row r="32" spans="1:7" x14ac:dyDescent="0.25">
      <c r="A32" t="s">
        <v>236</v>
      </c>
      <c r="B32" t="s">
        <v>348</v>
      </c>
      <c r="C32" s="56">
        <v>32523</v>
      </c>
      <c r="D32" t="s">
        <v>237</v>
      </c>
      <c r="E32" t="s">
        <v>342</v>
      </c>
      <c r="F32" t="str">
        <f>UPPER(TEXT(pbi_ListaEmpleadosExpertis[[#This Row],[FEC_NAC]],"mmmm"))</f>
        <v>ENERO</v>
      </c>
      <c r="G32">
        <f>DAY(pbi_ListaEmpleadosExpertis[[#This Row],[FEC_NAC]])</f>
        <v>15</v>
      </c>
    </row>
    <row r="33" spans="1:7" x14ac:dyDescent="0.25">
      <c r="A33" t="s">
        <v>174</v>
      </c>
      <c r="B33" t="s">
        <v>346</v>
      </c>
      <c r="C33" s="56">
        <v>32697</v>
      </c>
      <c r="D33" t="s">
        <v>335</v>
      </c>
      <c r="E33" t="s">
        <v>0</v>
      </c>
      <c r="F33" t="str">
        <f>UPPER(TEXT(pbi_ListaEmpleadosExpertis[[#This Row],[FEC_NAC]],"mmmm"))</f>
        <v>JULIO</v>
      </c>
      <c r="G33">
        <f>DAY(pbi_ListaEmpleadosExpertis[[#This Row],[FEC_NAC]])</f>
        <v>8</v>
      </c>
    </row>
    <row r="34" spans="1:7" x14ac:dyDescent="0.25">
      <c r="A34" t="s">
        <v>41</v>
      </c>
      <c r="B34" t="s">
        <v>346</v>
      </c>
      <c r="C34" s="56">
        <v>32742</v>
      </c>
      <c r="D34" t="s">
        <v>245</v>
      </c>
      <c r="E34" t="s">
        <v>0</v>
      </c>
      <c r="F34" t="str">
        <f>UPPER(TEXT(pbi_ListaEmpleadosExpertis[[#This Row],[FEC_NAC]],"mmmm"))</f>
        <v>AGOSTO</v>
      </c>
      <c r="G34">
        <f>DAY(pbi_ListaEmpleadosExpertis[[#This Row],[FEC_NAC]])</f>
        <v>22</v>
      </c>
    </row>
    <row r="35" spans="1:7" x14ac:dyDescent="0.25">
      <c r="A35" t="s">
        <v>214</v>
      </c>
      <c r="B35" t="s">
        <v>133</v>
      </c>
      <c r="C35" s="56">
        <v>32748</v>
      </c>
      <c r="D35" t="s">
        <v>215</v>
      </c>
      <c r="E35" t="s">
        <v>342</v>
      </c>
      <c r="F35" t="str">
        <f>UPPER(TEXT(pbi_ListaEmpleadosExpertis[[#This Row],[FEC_NAC]],"mmmm"))</f>
        <v>AGOSTO</v>
      </c>
      <c r="G35">
        <f>DAY(pbi_ListaEmpleadosExpertis[[#This Row],[FEC_NAC]])</f>
        <v>28</v>
      </c>
    </row>
    <row r="36" spans="1:7" x14ac:dyDescent="0.25">
      <c r="A36" t="s">
        <v>294</v>
      </c>
      <c r="B36" t="s">
        <v>358</v>
      </c>
      <c r="C36" s="56">
        <v>32983</v>
      </c>
      <c r="D36" t="s">
        <v>295</v>
      </c>
      <c r="E36" t="s">
        <v>342</v>
      </c>
      <c r="F36" t="str">
        <f>UPPER(TEXT(pbi_ListaEmpleadosExpertis[[#This Row],[FEC_NAC]],"mmmm"))</f>
        <v>ABRIL</v>
      </c>
      <c r="G36">
        <f>DAY(pbi_ListaEmpleadosExpertis[[#This Row],[FEC_NAC]])</f>
        <v>20</v>
      </c>
    </row>
    <row r="37" spans="1:7" x14ac:dyDescent="0.25">
      <c r="A37" t="s">
        <v>327</v>
      </c>
      <c r="B37" t="s">
        <v>364</v>
      </c>
      <c r="C37" s="56">
        <v>33158</v>
      </c>
      <c r="D37" t="s">
        <v>328</v>
      </c>
      <c r="E37" t="s">
        <v>342</v>
      </c>
      <c r="F37" t="str">
        <f>UPPER(TEXT(pbi_ListaEmpleadosExpertis[[#This Row],[FEC_NAC]],"mmmm"))</f>
        <v>OCTUBRE</v>
      </c>
      <c r="G37">
        <f>DAY(pbi_ListaEmpleadosExpertis[[#This Row],[FEC_NAC]])</f>
        <v>12</v>
      </c>
    </row>
    <row r="38" spans="1:7" x14ac:dyDescent="0.25">
      <c r="A38" t="s">
        <v>96</v>
      </c>
      <c r="B38" t="s">
        <v>346</v>
      </c>
      <c r="C38" s="56">
        <v>33230</v>
      </c>
      <c r="D38" t="s">
        <v>302</v>
      </c>
      <c r="E38" t="s">
        <v>0</v>
      </c>
      <c r="F38" t="str">
        <f>UPPER(TEXT(pbi_ListaEmpleadosExpertis[[#This Row],[FEC_NAC]],"mmmm"))</f>
        <v>DICIEMBRE</v>
      </c>
      <c r="G38">
        <f>DAY(pbi_ListaEmpleadosExpertis[[#This Row],[FEC_NAC]])</f>
        <v>23</v>
      </c>
    </row>
    <row r="39" spans="1:7" x14ac:dyDescent="0.25">
      <c r="A39" t="s">
        <v>50</v>
      </c>
      <c r="B39" t="s">
        <v>346</v>
      </c>
      <c r="C39" s="56">
        <v>33383</v>
      </c>
      <c r="D39" t="s">
        <v>288</v>
      </c>
      <c r="E39" t="s">
        <v>0</v>
      </c>
      <c r="F39" t="str">
        <f>UPPER(TEXT(pbi_ListaEmpleadosExpertis[[#This Row],[FEC_NAC]],"mmmm"))</f>
        <v>MAYO</v>
      </c>
      <c r="G39">
        <f>DAY(pbi_ListaEmpleadosExpertis[[#This Row],[FEC_NAC]])</f>
        <v>25</v>
      </c>
    </row>
    <row r="40" spans="1:7" x14ac:dyDescent="0.25">
      <c r="A40" t="s">
        <v>38</v>
      </c>
      <c r="B40" t="s">
        <v>346</v>
      </c>
      <c r="C40" s="56">
        <v>33472</v>
      </c>
      <c r="D40" t="s">
        <v>310</v>
      </c>
      <c r="E40" t="s">
        <v>0</v>
      </c>
      <c r="F40" t="str">
        <f>UPPER(TEXT(pbi_ListaEmpleadosExpertis[[#This Row],[FEC_NAC]],"mmmm"))</f>
        <v>AGOSTO</v>
      </c>
      <c r="G40">
        <f>DAY(pbi_ListaEmpleadosExpertis[[#This Row],[FEC_NAC]])</f>
        <v>22</v>
      </c>
    </row>
    <row r="41" spans="1:7" x14ac:dyDescent="0.25">
      <c r="A41" t="s">
        <v>290</v>
      </c>
      <c r="B41" t="s">
        <v>356</v>
      </c>
      <c r="C41" s="56">
        <v>33496</v>
      </c>
      <c r="D41" t="s">
        <v>291</v>
      </c>
      <c r="E41" t="s">
        <v>342</v>
      </c>
      <c r="F41" t="str">
        <f>UPPER(TEXT(pbi_ListaEmpleadosExpertis[[#This Row],[FEC_NAC]],"mmmm"))</f>
        <v>SETIEMBRE</v>
      </c>
      <c r="G41">
        <f>DAY(pbi_ListaEmpleadosExpertis[[#This Row],[FEC_NAC]])</f>
        <v>15</v>
      </c>
    </row>
    <row r="42" spans="1:7" x14ac:dyDescent="0.25">
      <c r="A42" t="s">
        <v>65</v>
      </c>
      <c r="B42" t="s">
        <v>346</v>
      </c>
      <c r="C42" s="56">
        <v>33579</v>
      </c>
      <c r="D42" t="s">
        <v>266</v>
      </c>
      <c r="E42" t="s">
        <v>0</v>
      </c>
      <c r="F42" t="str">
        <f>UPPER(TEXT(pbi_ListaEmpleadosExpertis[[#This Row],[FEC_NAC]],"mmmm"))</f>
        <v>DICIEMBRE</v>
      </c>
      <c r="G42">
        <f>DAY(pbi_ListaEmpleadosExpertis[[#This Row],[FEC_NAC]])</f>
        <v>7</v>
      </c>
    </row>
    <row r="43" spans="1:7" x14ac:dyDescent="0.25">
      <c r="A43" t="s">
        <v>15</v>
      </c>
      <c r="B43" t="s">
        <v>346</v>
      </c>
      <c r="C43" s="56">
        <v>33997</v>
      </c>
      <c r="D43" t="s">
        <v>253</v>
      </c>
      <c r="E43" t="s">
        <v>0</v>
      </c>
      <c r="F43" t="str">
        <f>UPPER(TEXT(pbi_ListaEmpleadosExpertis[[#This Row],[FEC_NAC]],"mmmm"))</f>
        <v>ENERO</v>
      </c>
      <c r="G43">
        <f>DAY(pbi_ListaEmpleadosExpertis[[#This Row],[FEC_NAC]])</f>
        <v>28</v>
      </c>
    </row>
    <row r="44" spans="1:7" x14ac:dyDescent="0.25">
      <c r="A44" t="s">
        <v>72</v>
      </c>
      <c r="B44" t="s">
        <v>346</v>
      </c>
      <c r="C44" s="56">
        <v>34072</v>
      </c>
      <c r="D44" t="s">
        <v>268</v>
      </c>
      <c r="E44" t="s">
        <v>0</v>
      </c>
      <c r="F44" t="str">
        <f>UPPER(TEXT(pbi_ListaEmpleadosExpertis[[#This Row],[FEC_NAC]],"mmmm"))</f>
        <v>ABRIL</v>
      </c>
      <c r="G44">
        <f>DAY(pbi_ListaEmpleadosExpertis[[#This Row],[FEC_NAC]])</f>
        <v>13</v>
      </c>
    </row>
    <row r="45" spans="1:7" x14ac:dyDescent="0.25">
      <c r="A45" t="s">
        <v>29</v>
      </c>
      <c r="B45" t="s">
        <v>346</v>
      </c>
      <c r="C45" s="56">
        <v>34083</v>
      </c>
      <c r="D45" t="s">
        <v>250</v>
      </c>
      <c r="E45" t="s">
        <v>0</v>
      </c>
      <c r="F45" t="str">
        <f>UPPER(TEXT(pbi_ListaEmpleadosExpertis[[#This Row],[FEC_NAC]],"mmmm"))</f>
        <v>ABRIL</v>
      </c>
      <c r="G45">
        <f>DAY(pbi_ListaEmpleadosExpertis[[#This Row],[FEC_NAC]])</f>
        <v>24</v>
      </c>
    </row>
    <row r="46" spans="1:7" x14ac:dyDescent="0.25">
      <c r="A46" t="s">
        <v>58</v>
      </c>
      <c r="B46" t="s">
        <v>346</v>
      </c>
      <c r="C46" s="56">
        <v>34110</v>
      </c>
      <c r="D46" t="s">
        <v>216</v>
      </c>
      <c r="E46" t="s">
        <v>0</v>
      </c>
      <c r="F46" t="str">
        <f>UPPER(TEXT(pbi_ListaEmpleadosExpertis[[#This Row],[FEC_NAC]],"mmmm"))</f>
        <v>MAYO</v>
      </c>
      <c r="G46">
        <f>DAY(pbi_ListaEmpleadosExpertis[[#This Row],[FEC_NAC]])</f>
        <v>21</v>
      </c>
    </row>
    <row r="47" spans="1:7" x14ac:dyDescent="0.25">
      <c r="A47" t="s">
        <v>105</v>
      </c>
      <c r="B47" t="s">
        <v>346</v>
      </c>
      <c r="C47" s="56">
        <v>34138</v>
      </c>
      <c r="D47" t="s">
        <v>246</v>
      </c>
      <c r="E47" t="s">
        <v>0</v>
      </c>
      <c r="F47" t="str">
        <f>UPPER(TEXT(pbi_ListaEmpleadosExpertis[[#This Row],[FEC_NAC]],"mmmm"))</f>
        <v>JUNIO</v>
      </c>
      <c r="G47">
        <f>DAY(pbi_ListaEmpleadosExpertis[[#This Row],[FEC_NAC]])</f>
        <v>18</v>
      </c>
    </row>
    <row r="48" spans="1:7" x14ac:dyDescent="0.25">
      <c r="A48" t="s">
        <v>226</v>
      </c>
      <c r="B48" t="s">
        <v>133</v>
      </c>
      <c r="C48" s="56">
        <v>34159</v>
      </c>
      <c r="D48" t="s">
        <v>227</v>
      </c>
      <c r="E48" t="s">
        <v>342</v>
      </c>
      <c r="F48" t="str">
        <f>UPPER(TEXT(pbi_ListaEmpleadosExpertis[[#This Row],[FEC_NAC]],"mmmm"))</f>
        <v>JULIO</v>
      </c>
      <c r="G48">
        <f>DAY(pbi_ListaEmpleadosExpertis[[#This Row],[FEC_NAC]])</f>
        <v>9</v>
      </c>
    </row>
    <row r="49" spans="1:7" x14ac:dyDescent="0.25">
      <c r="A49" t="s">
        <v>276</v>
      </c>
      <c r="B49" t="s">
        <v>631</v>
      </c>
      <c r="C49" s="56">
        <v>34263</v>
      </c>
      <c r="D49" t="s">
        <v>277</v>
      </c>
      <c r="E49" t="s">
        <v>342</v>
      </c>
      <c r="F49" t="str">
        <f>UPPER(TEXT(pbi_ListaEmpleadosExpertis[[#This Row],[FEC_NAC]],"mmmm"))</f>
        <v>OCTUBRE</v>
      </c>
      <c r="G49">
        <f>DAY(pbi_ListaEmpleadosExpertis[[#This Row],[FEC_NAC]])</f>
        <v>21</v>
      </c>
    </row>
    <row r="50" spans="1:7" x14ac:dyDescent="0.25">
      <c r="A50" t="s">
        <v>319</v>
      </c>
      <c r="B50" t="s">
        <v>368</v>
      </c>
      <c r="C50" s="56">
        <v>34307</v>
      </c>
      <c r="D50" t="s">
        <v>320</v>
      </c>
      <c r="E50" t="s">
        <v>342</v>
      </c>
      <c r="F50" t="str">
        <f>UPPER(TEXT(pbi_ListaEmpleadosExpertis[[#This Row],[FEC_NAC]],"mmmm"))</f>
        <v>DICIEMBRE</v>
      </c>
      <c r="G50">
        <f>DAY(pbi_ListaEmpleadosExpertis[[#This Row],[FEC_NAC]])</f>
        <v>4</v>
      </c>
    </row>
    <row r="51" spans="1:7" x14ac:dyDescent="0.25">
      <c r="A51" t="s">
        <v>321</v>
      </c>
      <c r="B51" t="s">
        <v>369</v>
      </c>
      <c r="C51" s="56">
        <v>34317</v>
      </c>
      <c r="D51" t="s">
        <v>322</v>
      </c>
      <c r="E51" t="s">
        <v>342</v>
      </c>
      <c r="F51" t="str">
        <f>UPPER(TEXT(pbi_ListaEmpleadosExpertis[[#This Row],[FEC_NAC]],"mmmm"))</f>
        <v>DICIEMBRE</v>
      </c>
      <c r="G51">
        <f>DAY(pbi_ListaEmpleadosExpertis[[#This Row],[FEC_NAC]])</f>
        <v>14</v>
      </c>
    </row>
    <row r="52" spans="1:7" x14ac:dyDescent="0.25">
      <c r="A52" t="s">
        <v>212</v>
      </c>
      <c r="B52" t="s">
        <v>133</v>
      </c>
      <c r="C52" s="56">
        <v>34332</v>
      </c>
      <c r="D52" t="s">
        <v>213</v>
      </c>
      <c r="E52" t="s">
        <v>342</v>
      </c>
      <c r="F52" t="str">
        <f>UPPER(TEXT(pbi_ListaEmpleadosExpertis[[#This Row],[FEC_NAC]],"mmmm"))</f>
        <v>DICIEMBRE</v>
      </c>
      <c r="G52">
        <f>DAY(pbi_ListaEmpleadosExpertis[[#This Row],[FEC_NAC]])</f>
        <v>29</v>
      </c>
    </row>
    <row r="53" spans="1:7" x14ac:dyDescent="0.25">
      <c r="A53" t="s">
        <v>224</v>
      </c>
      <c r="B53" t="s">
        <v>133</v>
      </c>
      <c r="C53" s="56">
        <v>34369</v>
      </c>
      <c r="D53" t="s">
        <v>225</v>
      </c>
      <c r="E53" t="s">
        <v>342</v>
      </c>
      <c r="F53" t="str">
        <f>UPPER(TEXT(pbi_ListaEmpleadosExpertis[[#This Row],[FEC_NAC]],"mmmm"))</f>
        <v>FEBRERO</v>
      </c>
      <c r="G53">
        <f>DAY(pbi_ListaEmpleadosExpertis[[#This Row],[FEC_NAC]])</f>
        <v>4</v>
      </c>
    </row>
    <row r="54" spans="1:7" x14ac:dyDescent="0.25">
      <c r="A54" t="s">
        <v>22</v>
      </c>
      <c r="B54" t="s">
        <v>346</v>
      </c>
      <c r="C54" s="56">
        <v>34422</v>
      </c>
      <c r="D54" t="s">
        <v>275</v>
      </c>
      <c r="E54" t="s">
        <v>0</v>
      </c>
      <c r="F54" t="str">
        <f>UPPER(TEXT(pbi_ListaEmpleadosExpertis[[#This Row],[FEC_NAC]],"mmmm"))</f>
        <v>MARZO</v>
      </c>
      <c r="G54">
        <f>DAY(pbi_ListaEmpleadosExpertis[[#This Row],[FEC_NAC]])</f>
        <v>29</v>
      </c>
    </row>
    <row r="55" spans="1:7" x14ac:dyDescent="0.25">
      <c r="A55" t="s">
        <v>549</v>
      </c>
      <c r="B55" t="s">
        <v>560</v>
      </c>
      <c r="C55" s="56">
        <v>34446</v>
      </c>
      <c r="D55" t="s">
        <v>561</v>
      </c>
      <c r="E55" t="s">
        <v>342</v>
      </c>
      <c r="F55" t="str">
        <f>UPPER(TEXT(pbi_ListaEmpleadosExpertis[[#This Row],[FEC_NAC]],"mmmm"))</f>
        <v>ABRIL</v>
      </c>
      <c r="G55">
        <f>DAY(pbi_ListaEmpleadosExpertis[[#This Row],[FEC_NAC]])</f>
        <v>22</v>
      </c>
    </row>
    <row r="56" spans="1:7" x14ac:dyDescent="0.25">
      <c r="A56" t="s">
        <v>32</v>
      </c>
      <c r="B56" t="s">
        <v>346</v>
      </c>
      <c r="C56" s="56">
        <v>34529</v>
      </c>
      <c r="D56" t="s">
        <v>289</v>
      </c>
      <c r="E56" t="s">
        <v>0</v>
      </c>
      <c r="F56" t="str">
        <f>UPPER(TEXT(pbi_ListaEmpleadosExpertis[[#This Row],[FEC_NAC]],"mmmm"))</f>
        <v>JULIO</v>
      </c>
      <c r="G56">
        <f>DAY(pbi_ListaEmpleadosExpertis[[#This Row],[FEC_NAC]])</f>
        <v>14</v>
      </c>
    </row>
    <row r="57" spans="1:7" x14ac:dyDescent="0.25">
      <c r="A57" t="s">
        <v>122</v>
      </c>
      <c r="B57" t="s">
        <v>346</v>
      </c>
      <c r="C57" s="56">
        <v>34546</v>
      </c>
      <c r="D57" t="s">
        <v>267</v>
      </c>
      <c r="E57" t="s">
        <v>0</v>
      </c>
      <c r="F57" t="str">
        <f>UPPER(TEXT(pbi_ListaEmpleadosExpertis[[#This Row],[FEC_NAC]],"mmmm"))</f>
        <v>JULIO</v>
      </c>
      <c r="G57">
        <f>DAY(pbi_ListaEmpleadosExpertis[[#This Row],[FEC_NAC]])</f>
        <v>31</v>
      </c>
    </row>
    <row r="58" spans="1:7" x14ac:dyDescent="0.25">
      <c r="A58" t="s">
        <v>75</v>
      </c>
      <c r="B58" t="s">
        <v>346</v>
      </c>
      <c r="C58" s="56">
        <v>34563</v>
      </c>
      <c r="D58" t="s">
        <v>252</v>
      </c>
      <c r="E58" t="s">
        <v>0</v>
      </c>
      <c r="F58" t="str">
        <f>UPPER(TEXT(pbi_ListaEmpleadosExpertis[[#This Row],[FEC_NAC]],"mmmm"))</f>
        <v>AGOSTO</v>
      </c>
      <c r="G58">
        <f>DAY(pbi_ListaEmpleadosExpertis[[#This Row],[FEC_NAC]])</f>
        <v>17</v>
      </c>
    </row>
    <row r="59" spans="1:7" x14ac:dyDescent="0.25">
      <c r="A59" t="s">
        <v>298</v>
      </c>
      <c r="B59" t="s">
        <v>360</v>
      </c>
      <c r="C59" s="56">
        <v>34575</v>
      </c>
      <c r="D59" t="s">
        <v>299</v>
      </c>
      <c r="E59" t="s">
        <v>342</v>
      </c>
      <c r="F59" t="str">
        <f>UPPER(TEXT(pbi_ListaEmpleadosExpertis[[#This Row],[FEC_NAC]],"mmmm"))</f>
        <v>AGOSTO</v>
      </c>
      <c r="G59">
        <f>DAY(pbi_ListaEmpleadosExpertis[[#This Row],[FEC_NAC]])</f>
        <v>29</v>
      </c>
    </row>
    <row r="60" spans="1:7" x14ac:dyDescent="0.25">
      <c r="A60" t="s">
        <v>292</v>
      </c>
      <c r="B60" t="s">
        <v>357</v>
      </c>
      <c r="C60" s="56">
        <v>34610</v>
      </c>
      <c r="D60" t="s">
        <v>293</v>
      </c>
      <c r="E60" t="s">
        <v>342</v>
      </c>
      <c r="F60" t="str">
        <f>UPPER(TEXT(pbi_ListaEmpleadosExpertis[[#This Row],[FEC_NAC]],"mmmm"))</f>
        <v>OCTUBRE</v>
      </c>
      <c r="G60">
        <f>DAY(pbi_ListaEmpleadosExpertis[[#This Row],[FEC_NAC]])</f>
        <v>3</v>
      </c>
    </row>
    <row r="61" spans="1:7" x14ac:dyDescent="0.25">
      <c r="A61" t="s">
        <v>325</v>
      </c>
      <c r="B61" t="s">
        <v>371</v>
      </c>
      <c r="C61" s="56">
        <v>34677</v>
      </c>
      <c r="D61" t="s">
        <v>326</v>
      </c>
      <c r="E61" t="s">
        <v>342</v>
      </c>
      <c r="F61" t="str">
        <f>UPPER(TEXT(pbi_ListaEmpleadosExpertis[[#This Row],[FEC_NAC]],"mmmm"))</f>
        <v>DICIEMBRE</v>
      </c>
      <c r="G61">
        <f>DAY(pbi_ListaEmpleadosExpertis[[#This Row],[FEC_NAC]])</f>
        <v>9</v>
      </c>
    </row>
    <row r="62" spans="1:7" x14ac:dyDescent="0.25">
      <c r="A62" t="s">
        <v>81</v>
      </c>
      <c r="B62" t="s">
        <v>346</v>
      </c>
      <c r="C62" s="56">
        <v>34710</v>
      </c>
      <c r="D62" t="s">
        <v>287</v>
      </c>
      <c r="E62" t="s">
        <v>0</v>
      </c>
      <c r="F62" t="str">
        <f>UPPER(TEXT(pbi_ListaEmpleadosExpertis[[#This Row],[FEC_NAC]],"mmmm"))</f>
        <v>ENERO</v>
      </c>
      <c r="G62">
        <f>DAY(pbi_ListaEmpleadosExpertis[[#This Row],[FEC_NAC]])</f>
        <v>11</v>
      </c>
    </row>
    <row r="63" spans="1:7" x14ac:dyDescent="0.25">
      <c r="A63" t="s">
        <v>308</v>
      </c>
      <c r="B63" t="s">
        <v>364</v>
      </c>
      <c r="C63" s="56">
        <v>34782</v>
      </c>
      <c r="D63" t="s">
        <v>309</v>
      </c>
      <c r="E63" t="s">
        <v>342</v>
      </c>
      <c r="F63" t="str">
        <f>UPPER(TEXT(pbi_ListaEmpleadosExpertis[[#This Row],[FEC_NAC]],"mmmm"))</f>
        <v>MARZO</v>
      </c>
      <c r="G63">
        <f>DAY(pbi_ListaEmpleadosExpertis[[#This Row],[FEC_NAC]])</f>
        <v>24</v>
      </c>
    </row>
    <row r="64" spans="1:7" x14ac:dyDescent="0.25">
      <c r="A64" t="s">
        <v>97</v>
      </c>
      <c r="B64" t="s">
        <v>346</v>
      </c>
      <c r="C64" s="56">
        <v>34832</v>
      </c>
      <c r="D64" t="s">
        <v>316</v>
      </c>
      <c r="E64" t="s">
        <v>0</v>
      </c>
      <c r="F64" t="str">
        <f>UPPER(TEXT(pbi_ListaEmpleadosExpertis[[#This Row],[FEC_NAC]],"mmmm"))</f>
        <v>MAYO</v>
      </c>
      <c r="G64">
        <f>DAY(pbi_ListaEmpleadosExpertis[[#This Row],[FEC_NAC]])</f>
        <v>13</v>
      </c>
    </row>
    <row r="65" spans="1:7" x14ac:dyDescent="0.25">
      <c r="A65" t="s">
        <v>234</v>
      </c>
      <c r="B65" t="s">
        <v>347</v>
      </c>
      <c r="C65" s="56">
        <v>34917</v>
      </c>
      <c r="D65" t="s">
        <v>235</v>
      </c>
      <c r="E65" t="s">
        <v>342</v>
      </c>
      <c r="F65" t="str">
        <f>UPPER(TEXT(pbi_ListaEmpleadosExpertis[[#This Row],[FEC_NAC]],"mmmm"))</f>
        <v>AGOSTO</v>
      </c>
      <c r="G65">
        <f>DAY(pbi_ListaEmpleadosExpertis[[#This Row],[FEC_NAC]])</f>
        <v>6</v>
      </c>
    </row>
    <row r="66" spans="1:7" x14ac:dyDescent="0.25">
      <c r="A66" t="s">
        <v>232</v>
      </c>
      <c r="B66" t="s">
        <v>351</v>
      </c>
      <c r="C66" s="56">
        <v>35013</v>
      </c>
      <c r="D66" t="s">
        <v>233</v>
      </c>
      <c r="E66" t="s">
        <v>342</v>
      </c>
      <c r="F66" t="str">
        <f>UPPER(TEXT(pbi_ListaEmpleadosExpertis[[#This Row],[FEC_NAC]],"mmmm"))</f>
        <v>NOVIEMBRE</v>
      </c>
      <c r="G66">
        <f>DAY(pbi_ListaEmpleadosExpertis[[#This Row],[FEC_NAC]])</f>
        <v>10</v>
      </c>
    </row>
    <row r="67" spans="1:7" x14ac:dyDescent="0.25">
      <c r="A67" t="s">
        <v>333</v>
      </c>
      <c r="B67" t="s">
        <v>374</v>
      </c>
      <c r="C67" s="56">
        <v>35081</v>
      </c>
      <c r="D67" t="s">
        <v>334</v>
      </c>
      <c r="E67" t="s">
        <v>342</v>
      </c>
      <c r="F67" t="str">
        <f>UPPER(TEXT(pbi_ListaEmpleadosExpertis[[#This Row],[FEC_NAC]],"mmmm"))</f>
        <v>ENERO</v>
      </c>
      <c r="G67">
        <f>DAY(pbi_ListaEmpleadosExpertis[[#This Row],[FEC_NAC]])</f>
        <v>17</v>
      </c>
    </row>
    <row r="68" spans="1:7" x14ac:dyDescent="0.25">
      <c r="A68" t="s">
        <v>68</v>
      </c>
      <c r="B68" t="s">
        <v>346</v>
      </c>
      <c r="C68" s="56">
        <v>35108</v>
      </c>
      <c r="D68" t="s">
        <v>282</v>
      </c>
      <c r="E68" t="s">
        <v>0</v>
      </c>
      <c r="F68" t="str">
        <f>UPPER(TEXT(pbi_ListaEmpleadosExpertis[[#This Row],[FEC_NAC]],"mmmm"))</f>
        <v>FEBRERO</v>
      </c>
      <c r="G68">
        <f>DAY(pbi_ListaEmpleadosExpertis[[#This Row],[FEC_NAC]])</f>
        <v>13</v>
      </c>
    </row>
    <row r="69" spans="1:7" x14ac:dyDescent="0.25">
      <c r="A69" t="s">
        <v>79</v>
      </c>
      <c r="B69" t="s">
        <v>346</v>
      </c>
      <c r="C69" s="56">
        <v>35268</v>
      </c>
      <c r="D69" t="s">
        <v>244</v>
      </c>
      <c r="E69" t="s">
        <v>0</v>
      </c>
      <c r="F69" t="str">
        <f>UPPER(TEXT(pbi_ListaEmpleadosExpertis[[#This Row],[FEC_NAC]],"mmmm"))</f>
        <v>JULIO</v>
      </c>
      <c r="G69">
        <f>DAY(pbi_ListaEmpleadosExpertis[[#This Row],[FEC_NAC]])</f>
        <v>22</v>
      </c>
    </row>
    <row r="70" spans="1:7" x14ac:dyDescent="0.25">
      <c r="A70" t="s">
        <v>13</v>
      </c>
      <c r="B70" t="s">
        <v>346</v>
      </c>
      <c r="C70" s="56">
        <v>35346</v>
      </c>
      <c r="D70" t="s">
        <v>256</v>
      </c>
      <c r="E70" t="s">
        <v>0</v>
      </c>
      <c r="F70" t="str">
        <f>UPPER(TEXT(pbi_ListaEmpleadosExpertis[[#This Row],[FEC_NAC]],"mmmm"))</f>
        <v>OCTUBRE</v>
      </c>
      <c r="G70">
        <f>DAY(pbi_ListaEmpleadosExpertis[[#This Row],[FEC_NAC]])</f>
        <v>8</v>
      </c>
    </row>
    <row r="71" spans="1:7" x14ac:dyDescent="0.25">
      <c r="A71" t="s">
        <v>336</v>
      </c>
      <c r="B71" t="s">
        <v>375</v>
      </c>
      <c r="C71" s="56">
        <v>35388</v>
      </c>
      <c r="D71" t="s">
        <v>337</v>
      </c>
      <c r="E71" t="s">
        <v>342</v>
      </c>
      <c r="F71" t="str">
        <f>UPPER(TEXT(pbi_ListaEmpleadosExpertis[[#This Row],[FEC_NAC]],"mmmm"))</f>
        <v>NOVIEMBRE</v>
      </c>
      <c r="G71">
        <f>DAY(pbi_ListaEmpleadosExpertis[[#This Row],[FEC_NAC]])</f>
        <v>19</v>
      </c>
    </row>
    <row r="72" spans="1:7" x14ac:dyDescent="0.25">
      <c r="A72" t="s">
        <v>18</v>
      </c>
      <c r="B72" t="s">
        <v>346</v>
      </c>
      <c r="C72" s="56">
        <v>35472</v>
      </c>
      <c r="D72" t="s">
        <v>269</v>
      </c>
      <c r="E72" t="s">
        <v>0</v>
      </c>
      <c r="F72" t="str">
        <f>UPPER(TEXT(pbi_ListaEmpleadosExpertis[[#This Row],[FEC_NAC]],"mmmm"))</f>
        <v>FEBRERO</v>
      </c>
      <c r="G72">
        <f>DAY(pbi_ListaEmpleadosExpertis[[#This Row],[FEC_NAC]])</f>
        <v>11</v>
      </c>
    </row>
    <row r="73" spans="1:7" x14ac:dyDescent="0.25">
      <c r="A73" t="s">
        <v>17</v>
      </c>
      <c r="B73" t="s">
        <v>346</v>
      </c>
      <c r="C73" s="56">
        <v>35492</v>
      </c>
      <c r="D73" t="s">
        <v>263</v>
      </c>
      <c r="E73" t="s">
        <v>0</v>
      </c>
      <c r="F73" t="str">
        <f>UPPER(TEXT(pbi_ListaEmpleadosExpertis[[#This Row],[FEC_NAC]],"mmmm"))</f>
        <v>MARZO</v>
      </c>
      <c r="G73">
        <f>DAY(pbi_ListaEmpleadosExpertis[[#This Row],[FEC_NAC]])</f>
        <v>3</v>
      </c>
    </row>
    <row r="74" spans="1:7" x14ac:dyDescent="0.25">
      <c r="A74" t="s">
        <v>23</v>
      </c>
      <c r="B74" t="s">
        <v>346</v>
      </c>
      <c r="C74" s="56">
        <v>35504</v>
      </c>
      <c r="D74" t="s">
        <v>211</v>
      </c>
      <c r="E74" t="s">
        <v>0</v>
      </c>
      <c r="F74" t="str">
        <f>UPPER(TEXT(pbi_ListaEmpleadosExpertis[[#This Row],[FEC_NAC]],"mmmm"))</f>
        <v>MARZO</v>
      </c>
      <c r="G74">
        <f>DAY(pbi_ListaEmpleadosExpertis[[#This Row],[FEC_NAC]])</f>
        <v>15</v>
      </c>
    </row>
    <row r="75" spans="1:7" x14ac:dyDescent="0.25">
      <c r="A75" t="s">
        <v>601</v>
      </c>
      <c r="B75" t="s">
        <v>346</v>
      </c>
      <c r="C75" s="56">
        <v>35531</v>
      </c>
      <c r="D75" t="s">
        <v>623</v>
      </c>
      <c r="E75" t="s">
        <v>0</v>
      </c>
      <c r="F75" t="str">
        <f>UPPER(TEXT(pbi_ListaEmpleadosExpertis[[#This Row],[FEC_NAC]],"mmmm"))</f>
        <v>ABRIL</v>
      </c>
      <c r="G75">
        <f>DAY(pbi_ListaEmpleadosExpertis[[#This Row],[FEC_NAC]])</f>
        <v>11</v>
      </c>
    </row>
    <row r="76" spans="1:7" x14ac:dyDescent="0.25">
      <c r="A76" t="s">
        <v>76</v>
      </c>
      <c r="B76" t="s">
        <v>346</v>
      </c>
      <c r="C76" s="56">
        <v>35600</v>
      </c>
      <c r="D76" t="s">
        <v>257</v>
      </c>
      <c r="E76" t="s">
        <v>0</v>
      </c>
      <c r="F76" t="str">
        <f>UPPER(TEXT(pbi_ListaEmpleadosExpertis[[#This Row],[FEC_NAC]],"mmmm"))</f>
        <v>JUNIO</v>
      </c>
      <c r="G76">
        <f>DAY(pbi_ListaEmpleadosExpertis[[#This Row],[FEC_NAC]])</f>
        <v>19</v>
      </c>
    </row>
    <row r="77" spans="1:7" x14ac:dyDescent="0.25">
      <c r="A77" t="s">
        <v>34</v>
      </c>
      <c r="B77" t="s">
        <v>346</v>
      </c>
      <c r="C77" s="56">
        <v>35634</v>
      </c>
      <c r="D77" t="s">
        <v>271</v>
      </c>
      <c r="E77" t="s">
        <v>0</v>
      </c>
      <c r="F77" t="str">
        <f>UPPER(TEXT(pbi_ListaEmpleadosExpertis[[#This Row],[FEC_NAC]],"mmmm"))</f>
        <v>JULIO</v>
      </c>
      <c r="G77">
        <f>DAY(pbi_ListaEmpleadosExpertis[[#This Row],[FEC_NAC]])</f>
        <v>23</v>
      </c>
    </row>
    <row r="78" spans="1:7" x14ac:dyDescent="0.25">
      <c r="A78" t="s">
        <v>51</v>
      </c>
      <c r="B78" t="s">
        <v>346</v>
      </c>
      <c r="C78" s="56">
        <v>35642</v>
      </c>
      <c r="D78" t="s">
        <v>303</v>
      </c>
      <c r="E78" t="s">
        <v>0</v>
      </c>
      <c r="F78" t="str">
        <f>UPPER(TEXT(pbi_ListaEmpleadosExpertis[[#This Row],[FEC_NAC]],"mmmm"))</f>
        <v>JULIO</v>
      </c>
      <c r="G78">
        <f>DAY(pbi_ListaEmpleadosExpertis[[#This Row],[FEC_NAC]])</f>
        <v>31</v>
      </c>
    </row>
    <row r="79" spans="1:7" x14ac:dyDescent="0.25">
      <c r="A79" t="s">
        <v>109</v>
      </c>
      <c r="B79" t="s">
        <v>346</v>
      </c>
      <c r="C79" s="56">
        <v>35706</v>
      </c>
      <c r="D79" t="s">
        <v>279</v>
      </c>
      <c r="E79" t="s">
        <v>0</v>
      </c>
      <c r="F79" t="str">
        <f>UPPER(TEXT(pbi_ListaEmpleadosExpertis[[#This Row],[FEC_NAC]],"mmmm"))</f>
        <v>OCTUBRE</v>
      </c>
      <c r="G79">
        <f>DAY(pbi_ListaEmpleadosExpertis[[#This Row],[FEC_NAC]])</f>
        <v>3</v>
      </c>
    </row>
    <row r="80" spans="1:7" x14ac:dyDescent="0.25">
      <c r="A80" t="s">
        <v>615</v>
      </c>
      <c r="B80" t="s">
        <v>616</v>
      </c>
      <c r="C80" s="56">
        <v>35900</v>
      </c>
      <c r="D80" t="s">
        <v>617</v>
      </c>
      <c r="E80" t="s">
        <v>342</v>
      </c>
      <c r="F80" t="str">
        <f>UPPER(TEXT(pbi_ListaEmpleadosExpertis[[#This Row],[FEC_NAC]],"mmmm"))</f>
        <v>ABRIL</v>
      </c>
      <c r="G80">
        <f>DAY(pbi_ListaEmpleadosExpertis[[#This Row],[FEC_NAC]])</f>
        <v>15</v>
      </c>
    </row>
    <row r="81" spans="1:7" x14ac:dyDescent="0.25">
      <c r="A81" t="s">
        <v>19</v>
      </c>
      <c r="B81" t="s">
        <v>346</v>
      </c>
      <c r="C81" s="56">
        <v>35905</v>
      </c>
      <c r="D81" t="s">
        <v>247</v>
      </c>
      <c r="E81" t="s">
        <v>0</v>
      </c>
      <c r="F81" t="str">
        <f>UPPER(TEXT(pbi_ListaEmpleadosExpertis[[#This Row],[FEC_NAC]],"mmmm"))</f>
        <v>ABRIL</v>
      </c>
      <c r="G81">
        <f>DAY(pbi_ListaEmpleadosExpertis[[#This Row],[FEC_NAC]])</f>
        <v>20</v>
      </c>
    </row>
    <row r="82" spans="1:7" x14ac:dyDescent="0.25">
      <c r="A82" t="s">
        <v>219</v>
      </c>
      <c r="B82" t="s">
        <v>133</v>
      </c>
      <c r="C82" s="56">
        <v>35909</v>
      </c>
      <c r="D82" t="s">
        <v>220</v>
      </c>
      <c r="E82" t="s">
        <v>342</v>
      </c>
      <c r="F82" t="str">
        <f>UPPER(TEXT(pbi_ListaEmpleadosExpertis[[#This Row],[FEC_NAC]],"mmmm"))</f>
        <v>ABRIL</v>
      </c>
      <c r="G82">
        <f>DAY(pbi_ListaEmpleadosExpertis[[#This Row],[FEC_NAC]])</f>
        <v>24</v>
      </c>
    </row>
    <row r="83" spans="1:7" x14ac:dyDescent="0.25">
      <c r="A83" t="s">
        <v>37</v>
      </c>
      <c r="B83" t="s">
        <v>346</v>
      </c>
      <c r="C83" s="56">
        <v>36072</v>
      </c>
      <c r="D83" t="s">
        <v>218</v>
      </c>
      <c r="E83" t="s">
        <v>0</v>
      </c>
      <c r="F83" t="str">
        <f>UPPER(TEXT(pbi_ListaEmpleadosExpertis[[#This Row],[FEC_NAC]],"mmmm"))</f>
        <v>OCTUBRE</v>
      </c>
      <c r="G83">
        <f>DAY(pbi_ListaEmpleadosExpertis[[#This Row],[FEC_NAC]])</f>
        <v>4</v>
      </c>
    </row>
    <row r="84" spans="1:7" x14ac:dyDescent="0.25">
      <c r="A84" t="s">
        <v>621</v>
      </c>
      <c r="B84" t="s">
        <v>364</v>
      </c>
      <c r="C84" s="56">
        <v>36194</v>
      </c>
      <c r="D84" t="s">
        <v>622</v>
      </c>
      <c r="E84" t="s">
        <v>342</v>
      </c>
      <c r="F84" t="str">
        <f>UPPER(TEXT(pbi_ListaEmpleadosExpertis[[#This Row],[FEC_NAC]],"mmmm"))</f>
        <v>FEBRERO</v>
      </c>
      <c r="G84">
        <f>DAY(pbi_ListaEmpleadosExpertis[[#This Row],[FEC_NAC]])</f>
        <v>3</v>
      </c>
    </row>
    <row r="85" spans="1:7" x14ac:dyDescent="0.25">
      <c r="A85" t="s">
        <v>260</v>
      </c>
      <c r="B85" t="s">
        <v>357</v>
      </c>
      <c r="C85" s="56">
        <v>36240</v>
      </c>
      <c r="D85" t="s">
        <v>261</v>
      </c>
      <c r="E85" t="s">
        <v>342</v>
      </c>
      <c r="F85" t="str">
        <f>UPPER(TEXT(pbi_ListaEmpleadosExpertis[[#This Row],[FEC_NAC]],"mmmm"))</f>
        <v>MARZO</v>
      </c>
      <c r="G85">
        <f>DAY(pbi_ListaEmpleadosExpertis[[#This Row],[FEC_NAC]])</f>
        <v>21</v>
      </c>
    </row>
    <row r="86" spans="1:7" x14ac:dyDescent="0.25">
      <c r="A86" t="s">
        <v>25</v>
      </c>
      <c r="B86" t="s">
        <v>346</v>
      </c>
      <c r="C86" s="56">
        <v>36267</v>
      </c>
      <c r="D86" t="s">
        <v>258</v>
      </c>
      <c r="E86" t="s">
        <v>0</v>
      </c>
      <c r="F86" t="str">
        <f>UPPER(TEXT(pbi_ListaEmpleadosExpertis[[#This Row],[FEC_NAC]],"mmmm"))</f>
        <v>ABRIL</v>
      </c>
      <c r="G86">
        <f>DAY(pbi_ListaEmpleadosExpertis[[#This Row],[FEC_NAC]])</f>
        <v>17</v>
      </c>
    </row>
    <row r="87" spans="1:7" x14ac:dyDescent="0.25">
      <c r="A87" t="s">
        <v>612</v>
      </c>
      <c r="B87" t="s">
        <v>613</v>
      </c>
      <c r="C87" s="56">
        <v>36351</v>
      </c>
      <c r="D87" t="s">
        <v>614</v>
      </c>
      <c r="E87" t="s">
        <v>342</v>
      </c>
      <c r="F87" t="str">
        <f>UPPER(TEXT(pbi_ListaEmpleadosExpertis[[#This Row],[FEC_NAC]],"mmmm"))</f>
        <v>JULIO</v>
      </c>
      <c r="G87">
        <f>DAY(pbi_ListaEmpleadosExpertis[[#This Row],[FEC_NAC]])</f>
        <v>10</v>
      </c>
    </row>
    <row r="88" spans="1:7" x14ac:dyDescent="0.25">
      <c r="A88" t="s">
        <v>618</v>
      </c>
      <c r="B88" t="s">
        <v>619</v>
      </c>
      <c r="C88" s="56">
        <v>36417</v>
      </c>
      <c r="D88" t="s">
        <v>620</v>
      </c>
      <c r="E88" t="s">
        <v>342</v>
      </c>
      <c r="F88" t="str">
        <f>UPPER(TEXT(pbi_ListaEmpleadosExpertis[[#This Row],[FEC_NAC]],"mmmm"))</f>
        <v>SETIEMBRE</v>
      </c>
      <c r="G88">
        <f>DAY(pbi_ListaEmpleadosExpertis[[#This Row],[FEC_NAC]])</f>
        <v>14</v>
      </c>
    </row>
    <row r="89" spans="1:7" x14ac:dyDescent="0.25">
      <c r="A89" t="s">
        <v>600</v>
      </c>
      <c r="B89" t="s">
        <v>346</v>
      </c>
      <c r="C89" s="56">
        <v>36526</v>
      </c>
      <c r="D89" t="s">
        <v>606</v>
      </c>
      <c r="E89" t="s">
        <v>0</v>
      </c>
      <c r="F89" t="str">
        <f>UPPER(TEXT(pbi_ListaEmpleadosExpertis[[#This Row],[FEC_NAC]],"mmmm"))</f>
        <v>ENERO</v>
      </c>
      <c r="G89">
        <f>DAY(pbi_ListaEmpleadosExpertis[[#This Row],[FEC_NAC]])</f>
        <v>1</v>
      </c>
    </row>
    <row r="90" spans="1:7" x14ac:dyDescent="0.25">
      <c r="A90" t="s">
        <v>85</v>
      </c>
      <c r="B90" t="s">
        <v>346</v>
      </c>
      <c r="C90" s="56">
        <v>36674</v>
      </c>
      <c r="D90" t="s">
        <v>543</v>
      </c>
      <c r="E90" t="s">
        <v>0</v>
      </c>
      <c r="F90" t="str">
        <f>UPPER(TEXT(pbi_ListaEmpleadosExpertis[[#This Row],[FEC_NAC]],"mmmm"))</f>
        <v>MAYO</v>
      </c>
      <c r="G90">
        <f>DAY(pbi_ListaEmpleadosExpertis[[#This Row],[FEC_NAC]])</f>
        <v>28</v>
      </c>
    </row>
    <row r="91" spans="1:7" x14ac:dyDescent="0.25">
      <c r="A91" t="s">
        <v>493</v>
      </c>
      <c r="B91" t="s">
        <v>346</v>
      </c>
      <c r="C91" s="56">
        <v>36795</v>
      </c>
      <c r="D91" t="s">
        <v>494</v>
      </c>
      <c r="E91" t="s">
        <v>0</v>
      </c>
      <c r="F91" t="str">
        <f>UPPER(TEXT(pbi_ListaEmpleadosExpertis[[#This Row],[FEC_NAC]],"mmmm"))</f>
        <v>SETIEMBRE</v>
      </c>
      <c r="G91">
        <f>DAY(pbi_ListaEmpleadosExpertis[[#This Row],[FEC_NAC]])</f>
        <v>26</v>
      </c>
    </row>
    <row r="92" spans="1:7" x14ac:dyDescent="0.25">
      <c r="A92" t="s">
        <v>304</v>
      </c>
      <c r="B92" t="s">
        <v>362</v>
      </c>
      <c r="C92" s="56">
        <v>36819</v>
      </c>
      <c r="D92" t="s">
        <v>305</v>
      </c>
      <c r="E92" t="s">
        <v>342</v>
      </c>
      <c r="F92" t="str">
        <f>UPPER(TEXT(pbi_ListaEmpleadosExpertis[[#This Row],[FEC_NAC]],"mmmm"))</f>
        <v>OCTUBRE</v>
      </c>
      <c r="G92">
        <f>DAY(pbi_ListaEmpleadosExpertis[[#This Row],[FEC_NAC]])</f>
        <v>20</v>
      </c>
    </row>
    <row r="93" spans="1:7" x14ac:dyDescent="0.25">
      <c r="A93" t="s">
        <v>60</v>
      </c>
      <c r="B93" t="s">
        <v>346</v>
      </c>
      <c r="C93" s="56">
        <v>36877</v>
      </c>
      <c r="D93" t="s">
        <v>278</v>
      </c>
      <c r="E93" t="s">
        <v>0</v>
      </c>
      <c r="F93" t="str">
        <f>UPPER(TEXT(pbi_ListaEmpleadosExpertis[[#This Row],[FEC_NAC]],"mmmm"))</f>
        <v>DICIEMBRE</v>
      </c>
      <c r="G93">
        <f>DAY(pbi_ListaEmpleadosExpertis[[#This Row],[FEC_NAC]])</f>
        <v>17</v>
      </c>
    </row>
    <row r="94" spans="1:7" x14ac:dyDescent="0.25">
      <c r="A94" t="s">
        <v>312</v>
      </c>
      <c r="B94" t="s">
        <v>365</v>
      </c>
      <c r="C94" s="56">
        <v>37051</v>
      </c>
      <c r="D94" t="s">
        <v>313</v>
      </c>
      <c r="E94" t="s">
        <v>342</v>
      </c>
      <c r="F94" t="str">
        <f>UPPER(TEXT(pbi_ListaEmpleadosExpertis[[#This Row],[FEC_NAC]],"mmmm"))</f>
        <v>JUNIO</v>
      </c>
      <c r="G94">
        <f>DAY(pbi_ListaEmpleadosExpertis[[#This Row],[FEC_NAC]])</f>
        <v>9</v>
      </c>
    </row>
    <row r="95" spans="1:7" x14ac:dyDescent="0.25">
      <c r="A95" t="s">
        <v>495</v>
      </c>
      <c r="B95" t="s">
        <v>346</v>
      </c>
      <c r="C95" s="56">
        <v>37054</v>
      </c>
      <c r="D95" t="s">
        <v>496</v>
      </c>
      <c r="E95" t="s">
        <v>0</v>
      </c>
      <c r="F95" t="str">
        <f>UPPER(TEXT(pbi_ListaEmpleadosExpertis[[#This Row],[FEC_NAC]],"mmmm"))</f>
        <v>JUNIO</v>
      </c>
      <c r="G95">
        <f>DAY(pbi_ListaEmpleadosExpertis[[#This Row],[FEC_NAC]])</f>
        <v>12</v>
      </c>
    </row>
    <row r="96" spans="1:7" x14ac:dyDescent="0.25">
      <c r="A96" t="s">
        <v>329</v>
      </c>
      <c r="B96" t="s">
        <v>372</v>
      </c>
      <c r="C96" s="56">
        <v>37080</v>
      </c>
      <c r="D96" t="s">
        <v>330</v>
      </c>
      <c r="E96" t="s">
        <v>342</v>
      </c>
      <c r="F96" t="str">
        <f>UPPER(TEXT(pbi_ListaEmpleadosExpertis[[#This Row],[FEC_NAC]],"mmmm"))</f>
        <v>JULIO</v>
      </c>
      <c r="G96">
        <f>DAY(pbi_ListaEmpleadosExpertis[[#This Row],[FEC_NAC]])</f>
        <v>8</v>
      </c>
    </row>
    <row r="97" spans="1:7" x14ac:dyDescent="0.25">
      <c r="A97" t="s">
        <v>285</v>
      </c>
      <c r="B97" t="s">
        <v>374</v>
      </c>
      <c r="C97" s="56">
        <v>37354</v>
      </c>
      <c r="D97" t="s">
        <v>286</v>
      </c>
      <c r="E97" t="s">
        <v>342</v>
      </c>
      <c r="F97" t="str">
        <f>UPPER(TEXT(pbi_ListaEmpleadosExpertis[[#This Row],[FEC_NAC]],"mmmm"))</f>
        <v>ABRIL</v>
      </c>
      <c r="G97">
        <f>DAY(pbi_ListaEmpleadosExpertis[[#This Row],[FEC_NAC]])</f>
        <v>8</v>
      </c>
    </row>
    <row r="98" spans="1:7" x14ac:dyDescent="0.25">
      <c r="A98" t="s">
        <v>222</v>
      </c>
      <c r="B98" t="s">
        <v>133</v>
      </c>
      <c r="C98" s="56">
        <v>37410</v>
      </c>
      <c r="D98" t="s">
        <v>223</v>
      </c>
      <c r="E98" t="s">
        <v>342</v>
      </c>
      <c r="F98" t="str">
        <f>UPPER(TEXT(pbi_ListaEmpleadosExpertis[[#This Row],[FEC_NAC]],"mmmm"))</f>
        <v>JUNIO</v>
      </c>
      <c r="G98">
        <f>DAY(pbi_ListaEmpleadosExpertis[[#This Row],[FEC_NAC]])</f>
        <v>3</v>
      </c>
    </row>
    <row r="99" spans="1:7" x14ac:dyDescent="0.25">
      <c r="A99" t="s">
        <v>31</v>
      </c>
      <c r="B99" t="s">
        <v>346</v>
      </c>
      <c r="C99" s="56">
        <v>37505</v>
      </c>
      <c r="D99" t="s">
        <v>607</v>
      </c>
      <c r="E99" t="s">
        <v>0</v>
      </c>
      <c r="F99" t="str">
        <f>UPPER(TEXT(pbi_ListaEmpleadosExpertis[[#This Row],[FEC_NAC]],"mmmm"))</f>
        <v>SETIEMBRE</v>
      </c>
      <c r="G99">
        <f>DAY(pbi_ListaEmpleadosExpertis[[#This Row],[FEC_NAC]])</f>
        <v>6</v>
      </c>
    </row>
    <row r="100" spans="1:7" x14ac:dyDescent="0.25">
      <c r="A100" t="s">
        <v>331</v>
      </c>
      <c r="B100" t="s">
        <v>373</v>
      </c>
      <c r="C100" s="56">
        <v>37550</v>
      </c>
      <c r="D100" t="s">
        <v>332</v>
      </c>
      <c r="E100" t="s">
        <v>342</v>
      </c>
      <c r="F100" t="str">
        <f>UPPER(TEXT(pbi_ListaEmpleadosExpertis[[#This Row],[FEC_NAC]],"mmmm"))</f>
        <v>OCTUBRE</v>
      </c>
      <c r="G100">
        <f>DAY(pbi_ListaEmpleadosExpertis[[#This Row],[FEC_NAC]])</f>
        <v>21</v>
      </c>
    </row>
    <row r="101" spans="1:7" x14ac:dyDescent="0.25">
      <c r="A101" t="s">
        <v>42</v>
      </c>
      <c r="B101" t="s">
        <v>346</v>
      </c>
      <c r="C101" s="56">
        <v>37683</v>
      </c>
      <c r="D101" t="s">
        <v>284</v>
      </c>
      <c r="E101" t="s">
        <v>0</v>
      </c>
      <c r="F101" t="str">
        <f>UPPER(TEXT(pbi_ListaEmpleadosExpertis[[#This Row],[FEC_NAC]],"mmmm"))</f>
        <v>MARZO</v>
      </c>
      <c r="G101">
        <f>DAY(pbi_ListaEmpleadosExpertis[[#This Row],[FEC_NAC]])</f>
        <v>3</v>
      </c>
    </row>
    <row r="102" spans="1:7" x14ac:dyDescent="0.25">
      <c r="A102" t="s">
        <v>591</v>
      </c>
      <c r="B102" t="s">
        <v>592</v>
      </c>
      <c r="C102" s="56">
        <v>37729</v>
      </c>
      <c r="D102" t="s">
        <v>593</v>
      </c>
      <c r="E102" t="s">
        <v>342</v>
      </c>
      <c r="F102" t="str">
        <f>UPPER(TEXT(pbi_ListaEmpleadosExpertis[[#This Row],[FEC_NAC]],"mmmm"))</f>
        <v>ABRIL</v>
      </c>
      <c r="G102">
        <f>DAY(pbi_ListaEmpleadosExpertis[[#This Row],[FEC_NAC]])</f>
        <v>18</v>
      </c>
    </row>
    <row r="103" spans="1:7" x14ac:dyDescent="0.25">
      <c r="A103" t="s">
        <v>566</v>
      </c>
      <c r="B103" t="s">
        <v>346</v>
      </c>
      <c r="C103" s="56">
        <v>37743</v>
      </c>
      <c r="D103" t="s">
        <v>597</v>
      </c>
      <c r="E103" t="s">
        <v>0</v>
      </c>
      <c r="F103" t="str">
        <f>UPPER(TEXT(pbi_ListaEmpleadosExpertis[[#This Row],[FEC_NAC]],"mmmm"))</f>
        <v>MAYO</v>
      </c>
      <c r="G103">
        <f>DAY(pbi_ListaEmpleadosExpertis[[#This Row],[FEC_NAC]])</f>
        <v>2</v>
      </c>
    </row>
    <row r="104" spans="1:7" x14ac:dyDescent="0.25">
      <c r="A104" t="s">
        <v>59</v>
      </c>
      <c r="B104" t="s">
        <v>346</v>
      </c>
      <c r="C104" s="56">
        <v>38004</v>
      </c>
      <c r="D104" t="s">
        <v>281</v>
      </c>
      <c r="E104" t="s">
        <v>0</v>
      </c>
      <c r="F104" t="str">
        <f>UPPER(TEXT(pbi_ListaEmpleadosExpertis[[#This Row],[FEC_NAC]],"mmmm"))</f>
        <v>ENERO</v>
      </c>
      <c r="G104">
        <f>DAY(pbi_ListaEmpleadosExpertis[[#This Row],[FEC_NAC]])</f>
        <v>18</v>
      </c>
    </row>
    <row r="105" spans="1:7" x14ac:dyDescent="0.25">
      <c r="A105" t="s">
        <v>323</v>
      </c>
      <c r="B105" t="s">
        <v>370</v>
      </c>
      <c r="C105" s="56">
        <v>38097</v>
      </c>
      <c r="D105" t="s">
        <v>324</v>
      </c>
      <c r="E105" t="s">
        <v>342</v>
      </c>
      <c r="F105" t="str">
        <f>UPPER(TEXT(pbi_ListaEmpleadosExpertis[[#This Row],[FEC_NAC]],"mmmm"))</f>
        <v>ABRIL</v>
      </c>
      <c r="G105">
        <f>DAY(pbi_ListaEmpleadosExpertis[[#This Row],[FEC_NAC]])</f>
        <v>20</v>
      </c>
    </row>
    <row r="106" spans="1:7" x14ac:dyDescent="0.25">
      <c r="A106" t="s">
        <v>314</v>
      </c>
      <c r="B106" t="s">
        <v>366</v>
      </c>
      <c r="C106" s="56">
        <v>38500</v>
      </c>
      <c r="D106" t="s">
        <v>315</v>
      </c>
      <c r="E106" t="s">
        <v>342</v>
      </c>
      <c r="F106" t="str">
        <f>UPPER(TEXT(pbi_ListaEmpleadosExpertis[[#This Row],[FEC_NAC]],"mmmm"))</f>
        <v>MAYO</v>
      </c>
      <c r="G106">
        <f>DAY(pbi_ListaEmpleadosExpertis[[#This Row],[FEC_NAC]])</f>
        <v>28</v>
      </c>
    </row>
    <row r="107" spans="1:7" x14ac:dyDescent="0.25">
      <c r="A107" t="s">
        <v>589</v>
      </c>
      <c r="B107" t="s">
        <v>632</v>
      </c>
      <c r="C107" s="56"/>
      <c r="D107" t="s">
        <v>590</v>
      </c>
      <c r="E107" t="s">
        <v>342</v>
      </c>
      <c r="F107" t="str">
        <f>UPPER(TEXT(pbi_ListaEmpleadosExpertis[[#This Row],[FEC_NAC]],"mmmm"))</f>
        <v>ENERO</v>
      </c>
      <c r="G107">
        <f>DAY(pbi_ListaEmpleadosExpertis[[#This Row],[FEC_NAC]])</f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9D05-E5CE-447D-9CD6-8EE09A832E8C}">
  <sheetPr>
    <tabColor rgb="FF00B050"/>
  </sheetPr>
  <dimension ref="A1:J528"/>
  <sheetViews>
    <sheetView topLeftCell="A511" workbookViewId="0">
      <selection activeCell="D516" sqref="D516"/>
    </sheetView>
  </sheetViews>
  <sheetFormatPr baseColWidth="10" defaultRowHeight="15" x14ac:dyDescent="0.25"/>
  <cols>
    <col min="1" max="1" width="9.42578125" bestFit="1" customWidth="1"/>
    <col min="2" max="2" width="25.28515625" bestFit="1" customWidth="1"/>
    <col min="3" max="3" width="9" bestFit="1" customWidth="1"/>
    <col min="4" max="4" width="12.140625" bestFit="1" customWidth="1"/>
    <col min="5" max="5" width="14.42578125" bestFit="1" customWidth="1"/>
    <col min="6" max="6" width="7.42578125" bestFit="1" customWidth="1"/>
    <col min="7" max="7" width="21.42578125" bestFit="1" customWidth="1"/>
    <col min="8" max="8" width="22" bestFit="1" customWidth="1"/>
    <col min="9" max="9" width="17.140625" bestFit="1" customWidth="1"/>
    <col min="10" max="10" width="17.7109375" bestFit="1" customWidth="1"/>
  </cols>
  <sheetData>
    <row r="1" spans="1:10" x14ac:dyDescent="0.25">
      <c r="A1" t="s">
        <v>568</v>
      </c>
      <c r="B1" t="s">
        <v>0</v>
      </c>
      <c r="C1" t="s">
        <v>376</v>
      </c>
      <c r="D1" t="s">
        <v>569</v>
      </c>
      <c r="E1" t="s">
        <v>570</v>
      </c>
      <c r="F1" t="s">
        <v>571</v>
      </c>
      <c r="G1" t="s">
        <v>378</v>
      </c>
      <c r="H1" t="s">
        <v>572</v>
      </c>
      <c r="I1" t="s">
        <v>567</v>
      </c>
      <c r="J1" t="s">
        <v>573</v>
      </c>
    </row>
    <row r="2" spans="1:10" x14ac:dyDescent="0.25">
      <c r="A2" t="s">
        <v>574</v>
      </c>
      <c r="B2" t="s">
        <v>219</v>
      </c>
      <c r="C2">
        <v>74122258</v>
      </c>
      <c r="D2" t="s">
        <v>6</v>
      </c>
      <c r="E2" t="s">
        <v>133</v>
      </c>
      <c r="F2" t="s">
        <v>575</v>
      </c>
      <c r="G2" s="56">
        <v>44022</v>
      </c>
      <c r="H2">
        <v>69</v>
      </c>
      <c r="I2" t="s">
        <v>159</v>
      </c>
      <c r="J2" s="56"/>
    </row>
    <row r="3" spans="1:10" x14ac:dyDescent="0.25">
      <c r="A3" t="s">
        <v>574</v>
      </c>
      <c r="B3" t="s">
        <v>222</v>
      </c>
      <c r="C3">
        <v>75000131</v>
      </c>
      <c r="D3" t="s">
        <v>125</v>
      </c>
      <c r="E3" t="s">
        <v>133</v>
      </c>
      <c r="F3" t="s">
        <v>575</v>
      </c>
      <c r="G3" s="56">
        <v>44872</v>
      </c>
      <c r="H3">
        <v>41</v>
      </c>
      <c r="I3" t="s">
        <v>158</v>
      </c>
      <c r="J3" s="56"/>
    </row>
    <row r="4" spans="1:10" x14ac:dyDescent="0.25">
      <c r="A4" t="s">
        <v>574</v>
      </c>
      <c r="B4" t="s">
        <v>226</v>
      </c>
      <c r="C4">
        <v>73049631</v>
      </c>
      <c r="D4" t="s">
        <v>3</v>
      </c>
      <c r="E4" t="s">
        <v>133</v>
      </c>
      <c r="F4" t="s">
        <v>575</v>
      </c>
      <c r="G4" s="56">
        <v>43506</v>
      </c>
      <c r="H4">
        <v>86</v>
      </c>
      <c r="I4" t="s">
        <v>157</v>
      </c>
      <c r="J4" s="56"/>
    </row>
    <row r="5" spans="1:10" x14ac:dyDescent="0.25">
      <c r="A5" t="s">
        <v>574</v>
      </c>
      <c r="B5" t="s">
        <v>214</v>
      </c>
      <c r="C5">
        <v>46872195</v>
      </c>
      <c r="D5" t="s">
        <v>7</v>
      </c>
      <c r="E5" t="s">
        <v>133</v>
      </c>
      <c r="F5" t="s">
        <v>575</v>
      </c>
      <c r="G5" s="56">
        <v>43805</v>
      </c>
      <c r="H5">
        <v>77</v>
      </c>
      <c r="I5" t="s">
        <v>159</v>
      </c>
      <c r="J5" s="56"/>
    </row>
    <row r="6" spans="1:10" x14ac:dyDescent="0.25">
      <c r="A6" t="s">
        <v>574</v>
      </c>
      <c r="B6" t="s">
        <v>224</v>
      </c>
      <c r="C6">
        <v>70984733</v>
      </c>
      <c r="D6" t="s">
        <v>4</v>
      </c>
      <c r="E6" t="s">
        <v>133</v>
      </c>
      <c r="F6" t="s">
        <v>575</v>
      </c>
      <c r="G6" s="56">
        <v>43466</v>
      </c>
      <c r="H6">
        <v>88</v>
      </c>
      <c r="I6" t="s">
        <v>157</v>
      </c>
      <c r="J6" s="56"/>
    </row>
    <row r="7" spans="1:10" x14ac:dyDescent="0.25">
      <c r="A7" t="s">
        <v>574</v>
      </c>
      <c r="B7" t="s">
        <v>212</v>
      </c>
      <c r="C7">
        <v>73613568</v>
      </c>
      <c r="D7" t="s">
        <v>5</v>
      </c>
      <c r="E7" t="s">
        <v>133</v>
      </c>
      <c r="F7" t="s">
        <v>575</v>
      </c>
      <c r="G7" s="56">
        <v>43318</v>
      </c>
      <c r="H7">
        <v>93</v>
      </c>
      <c r="I7" t="s">
        <v>158</v>
      </c>
      <c r="J7" s="56"/>
    </row>
    <row r="8" spans="1:10" x14ac:dyDescent="0.25">
      <c r="A8" t="s">
        <v>574</v>
      </c>
      <c r="B8" t="s">
        <v>118</v>
      </c>
      <c r="C8">
        <v>74318905</v>
      </c>
      <c r="D8" t="s">
        <v>8</v>
      </c>
      <c r="E8" t="s">
        <v>133</v>
      </c>
      <c r="F8" t="s">
        <v>575</v>
      </c>
      <c r="G8" s="56">
        <v>44355</v>
      </c>
      <c r="H8">
        <v>58</v>
      </c>
      <c r="I8" t="s">
        <v>209</v>
      </c>
      <c r="J8" s="56"/>
    </row>
    <row r="9" spans="1:10" x14ac:dyDescent="0.25">
      <c r="A9" t="s">
        <v>574</v>
      </c>
      <c r="B9" t="s">
        <v>576</v>
      </c>
      <c r="C9">
        <v>46796397</v>
      </c>
      <c r="D9" t="s">
        <v>9</v>
      </c>
      <c r="E9" t="s">
        <v>133</v>
      </c>
      <c r="F9" t="s">
        <v>575</v>
      </c>
      <c r="G9" s="56">
        <v>44791</v>
      </c>
      <c r="H9">
        <v>44</v>
      </c>
      <c r="I9" t="s">
        <v>209</v>
      </c>
      <c r="J9" s="56"/>
    </row>
    <row r="10" spans="1:10" x14ac:dyDescent="0.25">
      <c r="A10" t="s">
        <v>574</v>
      </c>
      <c r="B10" t="s">
        <v>58</v>
      </c>
      <c r="C10">
        <v>72519113</v>
      </c>
      <c r="D10" t="s">
        <v>7</v>
      </c>
      <c r="E10" t="s">
        <v>501</v>
      </c>
      <c r="F10" t="s">
        <v>575</v>
      </c>
      <c r="G10" s="56">
        <v>43119</v>
      </c>
      <c r="H10">
        <v>99</v>
      </c>
      <c r="I10" t="s">
        <v>159</v>
      </c>
      <c r="J10" s="56"/>
    </row>
    <row r="11" spans="1:10" x14ac:dyDescent="0.25">
      <c r="A11" t="s">
        <v>574</v>
      </c>
      <c r="B11" t="s">
        <v>49</v>
      </c>
      <c r="C11">
        <v>40702064</v>
      </c>
      <c r="D11" t="s">
        <v>4</v>
      </c>
      <c r="E11" t="s">
        <v>501</v>
      </c>
      <c r="F11" t="s">
        <v>575</v>
      </c>
      <c r="G11" s="56">
        <v>43313</v>
      </c>
      <c r="H11">
        <v>93</v>
      </c>
      <c r="I11" t="s">
        <v>157</v>
      </c>
      <c r="J11" s="56"/>
    </row>
    <row r="12" spans="1:10" x14ac:dyDescent="0.25">
      <c r="A12" t="s">
        <v>574</v>
      </c>
      <c r="B12" t="s">
        <v>23</v>
      </c>
      <c r="C12">
        <v>72413556</v>
      </c>
      <c r="D12" t="s">
        <v>3</v>
      </c>
      <c r="E12" t="s">
        <v>501</v>
      </c>
      <c r="F12" t="s">
        <v>575</v>
      </c>
      <c r="G12" s="56">
        <v>44109</v>
      </c>
      <c r="H12">
        <v>67</v>
      </c>
      <c r="I12" t="s">
        <v>157</v>
      </c>
      <c r="J12" s="56"/>
    </row>
    <row r="13" spans="1:10" x14ac:dyDescent="0.25">
      <c r="A13" t="s">
        <v>574</v>
      </c>
      <c r="B13" t="s">
        <v>26</v>
      </c>
      <c r="C13">
        <v>41005089</v>
      </c>
      <c r="D13" t="s">
        <v>5</v>
      </c>
      <c r="E13" t="s">
        <v>501</v>
      </c>
      <c r="F13" t="s">
        <v>575</v>
      </c>
      <c r="G13" s="56">
        <v>44257</v>
      </c>
      <c r="H13">
        <v>62</v>
      </c>
      <c r="I13" t="s">
        <v>158</v>
      </c>
      <c r="J13" s="56"/>
    </row>
    <row r="14" spans="1:10" x14ac:dyDescent="0.25">
      <c r="A14" t="s">
        <v>574</v>
      </c>
      <c r="B14" t="s">
        <v>69</v>
      </c>
      <c r="C14">
        <v>73930771</v>
      </c>
      <c r="D14" t="s">
        <v>7</v>
      </c>
      <c r="E14" t="s">
        <v>501</v>
      </c>
      <c r="F14" t="s">
        <v>575</v>
      </c>
      <c r="G14" s="56">
        <v>44459</v>
      </c>
      <c r="H14">
        <v>55</v>
      </c>
      <c r="I14" t="s">
        <v>159</v>
      </c>
      <c r="J14" s="56"/>
    </row>
    <row r="15" spans="1:10" x14ac:dyDescent="0.25">
      <c r="A15" t="s">
        <v>574</v>
      </c>
      <c r="B15" t="s">
        <v>74</v>
      </c>
      <c r="C15">
        <v>70135127</v>
      </c>
      <c r="D15" t="s">
        <v>4</v>
      </c>
      <c r="E15" t="s">
        <v>501</v>
      </c>
      <c r="F15" t="s">
        <v>575</v>
      </c>
      <c r="G15" s="56">
        <v>44468</v>
      </c>
      <c r="H15">
        <v>55</v>
      </c>
      <c r="I15" t="s">
        <v>157</v>
      </c>
      <c r="J15" s="56"/>
    </row>
    <row r="16" spans="1:10" x14ac:dyDescent="0.25">
      <c r="A16" t="s">
        <v>574</v>
      </c>
      <c r="B16" t="s">
        <v>19</v>
      </c>
      <c r="C16">
        <v>76656128</v>
      </c>
      <c r="D16" t="s">
        <v>9</v>
      </c>
      <c r="E16" t="s">
        <v>501</v>
      </c>
      <c r="F16" t="s">
        <v>575</v>
      </c>
      <c r="G16" s="56">
        <v>44671</v>
      </c>
      <c r="H16">
        <v>48</v>
      </c>
      <c r="I16" t="s">
        <v>156</v>
      </c>
      <c r="J16" s="56"/>
    </row>
    <row r="17" spans="1:10" x14ac:dyDescent="0.25">
      <c r="A17" t="s">
        <v>574</v>
      </c>
      <c r="B17" t="s">
        <v>29</v>
      </c>
      <c r="C17">
        <v>72758956</v>
      </c>
      <c r="D17" t="s">
        <v>6</v>
      </c>
      <c r="E17" t="s">
        <v>501</v>
      </c>
      <c r="F17" t="s">
        <v>575</v>
      </c>
      <c r="G17" s="56">
        <v>44685</v>
      </c>
      <c r="H17">
        <v>48</v>
      </c>
      <c r="I17" t="s">
        <v>159</v>
      </c>
      <c r="J17" s="56"/>
    </row>
    <row r="18" spans="1:10" x14ac:dyDescent="0.25">
      <c r="A18" t="s">
        <v>574</v>
      </c>
      <c r="B18" t="s">
        <v>10</v>
      </c>
      <c r="C18">
        <v>40980108</v>
      </c>
      <c r="D18" t="s">
        <v>8</v>
      </c>
      <c r="E18" t="s">
        <v>501</v>
      </c>
      <c r="F18" t="s">
        <v>575</v>
      </c>
      <c r="G18" s="56">
        <v>44704</v>
      </c>
      <c r="H18">
        <v>47</v>
      </c>
      <c r="I18" t="s">
        <v>155</v>
      </c>
      <c r="J18" s="56"/>
    </row>
    <row r="19" spans="1:10" x14ac:dyDescent="0.25">
      <c r="A19" t="s">
        <v>574</v>
      </c>
      <c r="B19" t="s">
        <v>75</v>
      </c>
      <c r="C19">
        <v>71264767</v>
      </c>
      <c r="D19" t="s">
        <v>6</v>
      </c>
      <c r="E19" t="s">
        <v>501</v>
      </c>
      <c r="F19" t="s">
        <v>575</v>
      </c>
      <c r="G19" s="56">
        <v>44714</v>
      </c>
      <c r="H19">
        <v>47</v>
      </c>
      <c r="I19" t="s">
        <v>159</v>
      </c>
      <c r="J19" s="56"/>
    </row>
    <row r="20" spans="1:10" x14ac:dyDescent="0.25">
      <c r="A20" t="s">
        <v>574</v>
      </c>
      <c r="B20" t="s">
        <v>15</v>
      </c>
      <c r="C20">
        <v>47587400</v>
      </c>
      <c r="D20" t="s">
        <v>125</v>
      </c>
      <c r="E20" t="s">
        <v>501</v>
      </c>
      <c r="F20" t="s">
        <v>575</v>
      </c>
      <c r="G20" s="56">
        <v>44733</v>
      </c>
      <c r="H20">
        <v>46</v>
      </c>
      <c r="I20" t="s">
        <v>158</v>
      </c>
      <c r="J20" s="56"/>
    </row>
    <row r="21" spans="1:10" x14ac:dyDescent="0.25">
      <c r="A21" t="s">
        <v>574</v>
      </c>
      <c r="B21" t="s">
        <v>35</v>
      </c>
      <c r="C21">
        <v>10491198</v>
      </c>
      <c r="D21" t="s">
        <v>4</v>
      </c>
      <c r="E21" t="s">
        <v>501</v>
      </c>
      <c r="F21" t="s">
        <v>575</v>
      </c>
      <c r="G21" s="56">
        <v>44746</v>
      </c>
      <c r="H21">
        <v>46</v>
      </c>
      <c r="I21" t="s">
        <v>157</v>
      </c>
      <c r="J21" s="56"/>
    </row>
    <row r="22" spans="1:10" x14ac:dyDescent="0.25">
      <c r="A22" t="s">
        <v>574</v>
      </c>
      <c r="B22" t="s">
        <v>48</v>
      </c>
      <c r="C22">
        <v>43307898</v>
      </c>
      <c r="D22" t="s">
        <v>3</v>
      </c>
      <c r="E22" t="s">
        <v>501</v>
      </c>
      <c r="F22" t="s">
        <v>575</v>
      </c>
      <c r="G22" s="56">
        <v>44746</v>
      </c>
      <c r="H22">
        <v>46</v>
      </c>
      <c r="I22" t="s">
        <v>157</v>
      </c>
      <c r="J22" s="56"/>
    </row>
    <row r="23" spans="1:10" x14ac:dyDescent="0.25">
      <c r="A23" t="s">
        <v>574</v>
      </c>
      <c r="B23" t="s">
        <v>106</v>
      </c>
      <c r="C23">
        <v>72197469</v>
      </c>
      <c r="D23" t="s">
        <v>3</v>
      </c>
      <c r="E23" t="s">
        <v>577</v>
      </c>
      <c r="F23" t="s">
        <v>575</v>
      </c>
      <c r="G23" s="56">
        <v>44747</v>
      </c>
      <c r="H23">
        <v>39</v>
      </c>
      <c r="I23" t="s">
        <v>157</v>
      </c>
      <c r="J23" s="56">
        <v>45961</v>
      </c>
    </row>
    <row r="24" spans="1:10" x14ac:dyDescent="0.25">
      <c r="A24" t="s">
        <v>574</v>
      </c>
      <c r="B24" t="s">
        <v>67</v>
      </c>
      <c r="C24">
        <v>9880053</v>
      </c>
      <c r="D24" t="s">
        <v>6</v>
      </c>
      <c r="E24" t="s">
        <v>501</v>
      </c>
      <c r="F24" t="s">
        <v>575</v>
      </c>
      <c r="G24" s="56">
        <v>44809</v>
      </c>
      <c r="H24">
        <v>44</v>
      </c>
      <c r="I24" t="s">
        <v>159</v>
      </c>
      <c r="J24" s="56"/>
    </row>
    <row r="25" spans="1:10" x14ac:dyDescent="0.25">
      <c r="A25" t="s">
        <v>574</v>
      </c>
      <c r="B25" t="s">
        <v>13</v>
      </c>
      <c r="C25">
        <v>72512391</v>
      </c>
      <c r="D25" t="s">
        <v>9</v>
      </c>
      <c r="E25" t="s">
        <v>501</v>
      </c>
      <c r="F25" t="s">
        <v>575</v>
      </c>
      <c r="G25" s="56">
        <v>44809</v>
      </c>
      <c r="H25">
        <v>44</v>
      </c>
      <c r="I25" t="s">
        <v>156</v>
      </c>
      <c r="J25" s="56"/>
    </row>
    <row r="26" spans="1:10" x14ac:dyDescent="0.25">
      <c r="A26" t="s">
        <v>574</v>
      </c>
      <c r="B26" t="s">
        <v>76</v>
      </c>
      <c r="C26">
        <v>60914051</v>
      </c>
      <c r="D26" t="s">
        <v>8</v>
      </c>
      <c r="E26" t="s">
        <v>501</v>
      </c>
      <c r="F26" t="s">
        <v>575</v>
      </c>
      <c r="G26" s="56">
        <v>44817</v>
      </c>
      <c r="H26">
        <v>43</v>
      </c>
      <c r="I26" t="s">
        <v>155</v>
      </c>
      <c r="J26" s="56"/>
    </row>
    <row r="27" spans="1:10" x14ac:dyDescent="0.25">
      <c r="A27" t="s">
        <v>574</v>
      </c>
      <c r="B27" t="s">
        <v>25</v>
      </c>
      <c r="C27">
        <v>72373931</v>
      </c>
      <c r="D27" t="s">
        <v>8</v>
      </c>
      <c r="E27" t="s">
        <v>501</v>
      </c>
      <c r="F27" t="s">
        <v>575</v>
      </c>
      <c r="G27" s="56">
        <v>44818</v>
      </c>
      <c r="H27">
        <v>43</v>
      </c>
      <c r="I27" t="s">
        <v>155</v>
      </c>
      <c r="J27" s="56"/>
    </row>
    <row r="28" spans="1:10" x14ac:dyDescent="0.25">
      <c r="A28" t="s">
        <v>574</v>
      </c>
      <c r="B28" t="s">
        <v>21</v>
      </c>
      <c r="C28">
        <v>44042880</v>
      </c>
      <c r="D28" t="s">
        <v>7</v>
      </c>
      <c r="E28" t="s">
        <v>501</v>
      </c>
      <c r="F28" t="s">
        <v>575</v>
      </c>
      <c r="G28" s="56">
        <v>44824</v>
      </c>
      <c r="H28">
        <v>43</v>
      </c>
      <c r="I28" t="s">
        <v>159</v>
      </c>
      <c r="J28" s="56"/>
    </row>
    <row r="29" spans="1:10" x14ac:dyDescent="0.25">
      <c r="A29" t="s">
        <v>574</v>
      </c>
      <c r="B29" t="s">
        <v>77</v>
      </c>
      <c r="C29">
        <v>42251780</v>
      </c>
      <c r="D29" t="s">
        <v>9</v>
      </c>
      <c r="E29" t="s">
        <v>501</v>
      </c>
      <c r="F29" t="s">
        <v>575</v>
      </c>
      <c r="G29" s="56">
        <v>44838</v>
      </c>
      <c r="H29">
        <v>43</v>
      </c>
      <c r="I29" t="s">
        <v>156</v>
      </c>
      <c r="J29" s="56"/>
    </row>
    <row r="30" spans="1:10" x14ac:dyDescent="0.25">
      <c r="A30" t="s">
        <v>574</v>
      </c>
      <c r="B30" t="s">
        <v>33</v>
      </c>
      <c r="C30">
        <v>80689573</v>
      </c>
      <c r="D30" t="s">
        <v>3</v>
      </c>
      <c r="E30" t="s">
        <v>501</v>
      </c>
      <c r="F30" t="s">
        <v>575</v>
      </c>
      <c r="G30" s="56">
        <v>44867</v>
      </c>
      <c r="H30">
        <v>42</v>
      </c>
      <c r="I30" t="s">
        <v>157</v>
      </c>
      <c r="J30" s="56"/>
    </row>
    <row r="31" spans="1:10" x14ac:dyDescent="0.25">
      <c r="A31" t="s">
        <v>574</v>
      </c>
      <c r="B31" t="s">
        <v>12</v>
      </c>
      <c r="C31">
        <v>45262585</v>
      </c>
      <c r="D31" t="s">
        <v>125</v>
      </c>
      <c r="E31" t="s">
        <v>501</v>
      </c>
      <c r="F31" t="s">
        <v>575</v>
      </c>
      <c r="G31" s="56">
        <v>44868</v>
      </c>
      <c r="H31">
        <v>42</v>
      </c>
      <c r="I31" t="s">
        <v>158</v>
      </c>
      <c r="J31" s="56"/>
    </row>
    <row r="32" spans="1:10" x14ac:dyDescent="0.25">
      <c r="A32" t="s">
        <v>574</v>
      </c>
      <c r="B32" t="s">
        <v>17</v>
      </c>
      <c r="C32">
        <v>70876605</v>
      </c>
      <c r="D32" t="s">
        <v>6</v>
      </c>
      <c r="E32" t="s">
        <v>500</v>
      </c>
      <c r="F32" t="s">
        <v>575</v>
      </c>
      <c r="G32" s="56">
        <v>44886</v>
      </c>
      <c r="H32">
        <v>41</v>
      </c>
      <c r="I32" t="s">
        <v>159</v>
      </c>
      <c r="J32" s="56"/>
    </row>
    <row r="33" spans="1:10" x14ac:dyDescent="0.25">
      <c r="A33" t="s">
        <v>574</v>
      </c>
      <c r="B33" t="s">
        <v>61</v>
      </c>
      <c r="C33">
        <v>44001162</v>
      </c>
      <c r="D33" t="s">
        <v>8</v>
      </c>
      <c r="E33" t="s">
        <v>501</v>
      </c>
      <c r="F33" t="s">
        <v>575</v>
      </c>
      <c r="G33" s="56">
        <v>44907</v>
      </c>
      <c r="H33">
        <v>40</v>
      </c>
      <c r="I33" t="s">
        <v>155</v>
      </c>
      <c r="J33" s="56"/>
    </row>
    <row r="34" spans="1:10" x14ac:dyDescent="0.25">
      <c r="A34" t="s">
        <v>574</v>
      </c>
      <c r="B34" t="s">
        <v>36</v>
      </c>
      <c r="C34">
        <v>76917479</v>
      </c>
      <c r="D34" t="s">
        <v>6</v>
      </c>
      <c r="E34" t="s">
        <v>501</v>
      </c>
      <c r="F34" t="s">
        <v>575</v>
      </c>
      <c r="G34" s="56">
        <v>44939</v>
      </c>
      <c r="H34">
        <v>39</v>
      </c>
      <c r="I34" t="s">
        <v>159</v>
      </c>
      <c r="J34" s="56"/>
    </row>
    <row r="35" spans="1:10" x14ac:dyDescent="0.25">
      <c r="A35" t="s">
        <v>574</v>
      </c>
      <c r="B35" t="s">
        <v>78</v>
      </c>
      <c r="C35">
        <v>10706451</v>
      </c>
      <c r="D35" t="s">
        <v>6</v>
      </c>
      <c r="E35" t="s">
        <v>501</v>
      </c>
      <c r="F35" t="s">
        <v>575</v>
      </c>
      <c r="G35" s="56">
        <v>44943</v>
      </c>
      <c r="H35">
        <v>39</v>
      </c>
      <c r="I35" t="s">
        <v>159</v>
      </c>
      <c r="J35" s="56"/>
    </row>
    <row r="36" spans="1:10" x14ac:dyDescent="0.25">
      <c r="A36" t="s">
        <v>574</v>
      </c>
      <c r="B36" t="s">
        <v>70</v>
      </c>
      <c r="C36">
        <v>47982910</v>
      </c>
      <c r="D36" t="s">
        <v>5</v>
      </c>
      <c r="E36" t="s">
        <v>501</v>
      </c>
      <c r="F36" t="s">
        <v>575</v>
      </c>
      <c r="G36" s="56">
        <v>44967</v>
      </c>
      <c r="H36">
        <v>38</v>
      </c>
      <c r="I36" t="s">
        <v>158</v>
      </c>
      <c r="J36" s="56"/>
    </row>
    <row r="37" spans="1:10" x14ac:dyDescent="0.25">
      <c r="A37" t="s">
        <v>574</v>
      </c>
      <c r="B37" t="s">
        <v>65</v>
      </c>
      <c r="C37">
        <v>47659267</v>
      </c>
      <c r="D37" t="s">
        <v>125</v>
      </c>
      <c r="E37" t="s">
        <v>501</v>
      </c>
      <c r="F37" t="s">
        <v>575</v>
      </c>
      <c r="G37" s="56">
        <v>45019</v>
      </c>
      <c r="H37">
        <v>37</v>
      </c>
      <c r="I37" t="s">
        <v>158</v>
      </c>
      <c r="J37" s="56"/>
    </row>
    <row r="38" spans="1:10" x14ac:dyDescent="0.25">
      <c r="A38" t="s">
        <v>574</v>
      </c>
      <c r="B38" t="s">
        <v>37</v>
      </c>
      <c r="C38">
        <v>70988976</v>
      </c>
      <c r="D38" t="s">
        <v>9</v>
      </c>
      <c r="E38" t="s">
        <v>500</v>
      </c>
      <c r="F38" t="s">
        <v>575</v>
      </c>
      <c r="G38" s="56">
        <v>45112</v>
      </c>
      <c r="H38">
        <v>34</v>
      </c>
      <c r="I38" t="s">
        <v>156</v>
      </c>
      <c r="J38" s="56"/>
    </row>
    <row r="39" spans="1:10" x14ac:dyDescent="0.25">
      <c r="A39" t="s">
        <v>574</v>
      </c>
      <c r="B39" t="s">
        <v>18</v>
      </c>
      <c r="C39">
        <v>76214436</v>
      </c>
      <c r="D39" t="s">
        <v>7</v>
      </c>
      <c r="E39" t="s">
        <v>501</v>
      </c>
      <c r="F39" t="s">
        <v>575</v>
      </c>
      <c r="G39" s="56">
        <v>45132</v>
      </c>
      <c r="H39">
        <v>33</v>
      </c>
      <c r="I39" t="s">
        <v>159</v>
      </c>
      <c r="J39" s="56"/>
    </row>
    <row r="40" spans="1:10" x14ac:dyDescent="0.25">
      <c r="A40" t="s">
        <v>574</v>
      </c>
      <c r="B40" t="s">
        <v>73</v>
      </c>
      <c r="C40">
        <v>40318129</v>
      </c>
      <c r="D40" t="s">
        <v>125</v>
      </c>
      <c r="E40" t="s">
        <v>501</v>
      </c>
      <c r="F40" t="s">
        <v>575</v>
      </c>
      <c r="G40" s="56">
        <v>45141</v>
      </c>
      <c r="H40">
        <v>33</v>
      </c>
      <c r="I40" t="s">
        <v>158</v>
      </c>
      <c r="J40" s="56"/>
    </row>
    <row r="41" spans="1:10" x14ac:dyDescent="0.25">
      <c r="A41" t="s">
        <v>574</v>
      </c>
      <c r="B41" t="s">
        <v>20</v>
      </c>
      <c r="C41">
        <v>48307357</v>
      </c>
      <c r="D41" t="s">
        <v>7</v>
      </c>
      <c r="E41" t="s">
        <v>501</v>
      </c>
      <c r="F41" t="s">
        <v>575</v>
      </c>
      <c r="G41" s="56">
        <v>45141</v>
      </c>
      <c r="H41">
        <v>33</v>
      </c>
      <c r="I41" t="s">
        <v>159</v>
      </c>
      <c r="J41" s="56"/>
    </row>
    <row r="42" spans="1:10" x14ac:dyDescent="0.25">
      <c r="A42" t="s">
        <v>574</v>
      </c>
      <c r="B42" t="s">
        <v>79</v>
      </c>
      <c r="C42">
        <v>71262377</v>
      </c>
      <c r="D42" t="s">
        <v>5</v>
      </c>
      <c r="E42" t="s">
        <v>501</v>
      </c>
      <c r="F42" t="s">
        <v>575</v>
      </c>
      <c r="G42" s="56">
        <v>45145</v>
      </c>
      <c r="H42">
        <v>32</v>
      </c>
      <c r="I42" t="s">
        <v>158</v>
      </c>
      <c r="J42" s="56"/>
    </row>
    <row r="43" spans="1:10" x14ac:dyDescent="0.25">
      <c r="A43" t="s">
        <v>574</v>
      </c>
      <c r="B43" t="s">
        <v>34</v>
      </c>
      <c r="C43">
        <v>76824571</v>
      </c>
      <c r="D43" t="s">
        <v>9</v>
      </c>
      <c r="E43" t="s">
        <v>501</v>
      </c>
      <c r="F43" t="s">
        <v>575</v>
      </c>
      <c r="G43" s="56">
        <v>45173</v>
      </c>
      <c r="H43">
        <v>32</v>
      </c>
      <c r="I43" t="s">
        <v>156</v>
      </c>
      <c r="J43" s="56"/>
    </row>
    <row r="44" spans="1:10" x14ac:dyDescent="0.25">
      <c r="A44" t="s">
        <v>574</v>
      </c>
      <c r="B44" t="s">
        <v>80</v>
      </c>
      <c r="C44">
        <v>45084594</v>
      </c>
      <c r="D44" t="s">
        <v>9</v>
      </c>
      <c r="E44" t="s">
        <v>501</v>
      </c>
      <c r="F44" t="s">
        <v>575</v>
      </c>
      <c r="G44" s="56">
        <v>45281</v>
      </c>
      <c r="H44">
        <v>28</v>
      </c>
      <c r="I44" t="s">
        <v>156</v>
      </c>
      <c r="J44" s="56"/>
    </row>
    <row r="45" spans="1:10" x14ac:dyDescent="0.25">
      <c r="A45" t="s">
        <v>574</v>
      </c>
      <c r="B45" t="s">
        <v>22</v>
      </c>
      <c r="C45">
        <v>70551168</v>
      </c>
      <c r="D45" t="s">
        <v>6</v>
      </c>
      <c r="E45" t="s">
        <v>501</v>
      </c>
      <c r="F45" t="s">
        <v>575</v>
      </c>
      <c r="G45" s="56">
        <v>45295</v>
      </c>
      <c r="H45">
        <v>28</v>
      </c>
      <c r="I45" t="s">
        <v>159</v>
      </c>
      <c r="J45" s="56"/>
    </row>
    <row r="46" spans="1:10" x14ac:dyDescent="0.25">
      <c r="A46" t="s">
        <v>574</v>
      </c>
      <c r="B46" t="s">
        <v>41</v>
      </c>
      <c r="C46">
        <v>46461021</v>
      </c>
      <c r="D46" t="s">
        <v>125</v>
      </c>
      <c r="E46" t="s">
        <v>501</v>
      </c>
      <c r="F46" t="s">
        <v>575</v>
      </c>
      <c r="G46" s="56">
        <v>45302</v>
      </c>
      <c r="H46">
        <v>27</v>
      </c>
      <c r="I46" t="s">
        <v>158</v>
      </c>
      <c r="J46" s="56"/>
    </row>
    <row r="47" spans="1:10" x14ac:dyDescent="0.25">
      <c r="A47" t="s">
        <v>574</v>
      </c>
      <c r="B47" t="s">
        <v>24</v>
      </c>
      <c r="C47">
        <v>43614775</v>
      </c>
      <c r="D47" t="s">
        <v>9</v>
      </c>
      <c r="E47" t="s">
        <v>501</v>
      </c>
      <c r="F47" t="s">
        <v>575</v>
      </c>
      <c r="G47" s="56">
        <v>45334</v>
      </c>
      <c r="H47">
        <v>26</v>
      </c>
      <c r="I47" t="s">
        <v>156</v>
      </c>
      <c r="J47" s="56"/>
    </row>
    <row r="48" spans="1:10" x14ac:dyDescent="0.25">
      <c r="A48" t="s">
        <v>574</v>
      </c>
      <c r="B48" t="s">
        <v>31</v>
      </c>
      <c r="C48">
        <v>75882265</v>
      </c>
      <c r="D48" t="s">
        <v>6</v>
      </c>
      <c r="E48" t="s">
        <v>501</v>
      </c>
      <c r="F48" t="s">
        <v>575</v>
      </c>
      <c r="G48" s="56">
        <v>45334</v>
      </c>
      <c r="H48">
        <v>26</v>
      </c>
      <c r="I48" t="s">
        <v>159</v>
      </c>
      <c r="J48" s="56"/>
    </row>
    <row r="49" spans="1:10" x14ac:dyDescent="0.25">
      <c r="A49" t="s">
        <v>574</v>
      </c>
      <c r="B49" t="s">
        <v>16</v>
      </c>
      <c r="C49">
        <v>47029782</v>
      </c>
      <c r="D49" t="s">
        <v>125</v>
      </c>
      <c r="E49" t="s">
        <v>501</v>
      </c>
      <c r="F49" t="s">
        <v>575</v>
      </c>
      <c r="G49" s="56">
        <v>45334</v>
      </c>
      <c r="H49">
        <v>26</v>
      </c>
      <c r="I49" t="s">
        <v>158</v>
      </c>
      <c r="J49" s="56"/>
    </row>
    <row r="50" spans="1:10" x14ac:dyDescent="0.25">
      <c r="A50" t="s">
        <v>574</v>
      </c>
      <c r="B50" t="s">
        <v>59</v>
      </c>
      <c r="C50">
        <v>60870839</v>
      </c>
      <c r="D50" t="s">
        <v>8</v>
      </c>
      <c r="E50" t="s">
        <v>500</v>
      </c>
      <c r="F50" t="s">
        <v>575</v>
      </c>
      <c r="G50" s="56">
        <v>45344</v>
      </c>
      <c r="H50">
        <v>26</v>
      </c>
      <c r="I50" t="s">
        <v>155</v>
      </c>
      <c r="J50" s="56"/>
    </row>
    <row r="51" spans="1:10" x14ac:dyDescent="0.25">
      <c r="A51" t="s">
        <v>574</v>
      </c>
      <c r="B51" t="s">
        <v>68</v>
      </c>
      <c r="C51">
        <v>73257316</v>
      </c>
      <c r="D51" t="s">
        <v>5</v>
      </c>
      <c r="E51" t="s">
        <v>501</v>
      </c>
      <c r="F51" t="s">
        <v>575</v>
      </c>
      <c r="G51" s="56">
        <v>45363</v>
      </c>
      <c r="H51">
        <v>25</v>
      </c>
      <c r="I51" t="s">
        <v>158</v>
      </c>
      <c r="J51" s="56"/>
    </row>
    <row r="52" spans="1:10" x14ac:dyDescent="0.25">
      <c r="A52" t="s">
        <v>574</v>
      </c>
      <c r="B52" t="s">
        <v>11</v>
      </c>
      <c r="C52">
        <v>45139159</v>
      </c>
      <c r="D52" t="s">
        <v>7</v>
      </c>
      <c r="E52" t="s">
        <v>501</v>
      </c>
      <c r="F52" t="s">
        <v>575</v>
      </c>
      <c r="G52" s="56">
        <v>45369</v>
      </c>
      <c r="H52">
        <v>25</v>
      </c>
      <c r="I52" t="s">
        <v>159</v>
      </c>
      <c r="J52" s="56"/>
    </row>
    <row r="53" spans="1:10" x14ac:dyDescent="0.25">
      <c r="A53" t="s">
        <v>574</v>
      </c>
      <c r="B53" t="s">
        <v>42</v>
      </c>
      <c r="C53">
        <v>73725129</v>
      </c>
      <c r="D53" t="s">
        <v>8</v>
      </c>
      <c r="E53" t="s">
        <v>501</v>
      </c>
      <c r="F53" t="s">
        <v>575</v>
      </c>
      <c r="G53" s="56">
        <v>45398</v>
      </c>
      <c r="H53">
        <v>24</v>
      </c>
      <c r="I53" t="s">
        <v>155</v>
      </c>
      <c r="J53" s="56"/>
    </row>
    <row r="54" spans="1:10" x14ac:dyDescent="0.25">
      <c r="A54" t="s">
        <v>574</v>
      </c>
      <c r="B54" t="s">
        <v>71</v>
      </c>
      <c r="C54">
        <v>45596891</v>
      </c>
      <c r="D54" t="s">
        <v>4</v>
      </c>
      <c r="E54" t="s">
        <v>577</v>
      </c>
      <c r="F54" t="s">
        <v>575</v>
      </c>
      <c r="G54" s="56">
        <v>45427</v>
      </c>
      <c r="H54">
        <v>17</v>
      </c>
      <c r="I54" t="s">
        <v>157</v>
      </c>
      <c r="J54" s="56">
        <v>45961</v>
      </c>
    </row>
    <row r="55" spans="1:10" x14ac:dyDescent="0.25">
      <c r="A55" t="s">
        <v>574</v>
      </c>
      <c r="B55" t="s">
        <v>40</v>
      </c>
      <c r="C55">
        <v>60976055</v>
      </c>
      <c r="D55" t="s">
        <v>4</v>
      </c>
      <c r="E55" t="s">
        <v>501</v>
      </c>
      <c r="F55" t="s">
        <v>575</v>
      </c>
      <c r="G55" s="56">
        <v>45433</v>
      </c>
      <c r="H55">
        <v>23</v>
      </c>
      <c r="I55" t="s">
        <v>157</v>
      </c>
      <c r="J55" s="56"/>
    </row>
    <row r="56" spans="1:10" x14ac:dyDescent="0.25">
      <c r="A56" t="s">
        <v>574</v>
      </c>
      <c r="B56" t="s">
        <v>103</v>
      </c>
      <c r="C56">
        <v>47218693</v>
      </c>
      <c r="D56" t="s">
        <v>5</v>
      </c>
      <c r="E56" t="s">
        <v>577</v>
      </c>
      <c r="F56" t="s">
        <v>575</v>
      </c>
      <c r="G56" s="56">
        <v>45455</v>
      </c>
      <c r="H56">
        <v>16</v>
      </c>
      <c r="I56" t="s">
        <v>158</v>
      </c>
      <c r="J56" s="56">
        <v>45961</v>
      </c>
    </row>
    <row r="57" spans="1:10" x14ac:dyDescent="0.25">
      <c r="A57" t="s">
        <v>574</v>
      </c>
      <c r="B57" t="s">
        <v>81</v>
      </c>
      <c r="C57">
        <v>72716299</v>
      </c>
      <c r="D57" t="s">
        <v>8</v>
      </c>
      <c r="E57" t="s">
        <v>501</v>
      </c>
      <c r="F57" t="s">
        <v>575</v>
      </c>
      <c r="G57" s="56">
        <v>45511</v>
      </c>
      <c r="H57">
        <v>20</v>
      </c>
      <c r="I57" t="s">
        <v>155</v>
      </c>
      <c r="J57" s="56"/>
    </row>
    <row r="58" spans="1:10" x14ac:dyDescent="0.25">
      <c r="A58" t="s">
        <v>574</v>
      </c>
      <c r="B58" t="s">
        <v>32</v>
      </c>
      <c r="C58">
        <v>48584670</v>
      </c>
      <c r="D58" t="s">
        <v>3</v>
      </c>
      <c r="E58" t="s">
        <v>500</v>
      </c>
      <c r="F58" t="s">
        <v>575</v>
      </c>
      <c r="G58" s="56">
        <v>45526</v>
      </c>
      <c r="H58">
        <v>20</v>
      </c>
      <c r="I58" t="s">
        <v>157</v>
      </c>
      <c r="J58" s="56"/>
    </row>
    <row r="59" spans="1:10" x14ac:dyDescent="0.25">
      <c r="A59" t="s">
        <v>574</v>
      </c>
      <c r="B59" t="s">
        <v>57</v>
      </c>
      <c r="C59">
        <v>74996029</v>
      </c>
      <c r="D59" t="s">
        <v>8</v>
      </c>
      <c r="E59" t="s">
        <v>501</v>
      </c>
      <c r="F59" t="s">
        <v>575</v>
      </c>
      <c r="G59" s="56">
        <v>45589</v>
      </c>
      <c r="H59">
        <v>18</v>
      </c>
      <c r="I59" t="s">
        <v>155</v>
      </c>
      <c r="J59" s="56"/>
    </row>
    <row r="60" spans="1:10" x14ac:dyDescent="0.25">
      <c r="A60" t="s">
        <v>574</v>
      </c>
      <c r="B60" t="s">
        <v>66</v>
      </c>
      <c r="C60">
        <v>46819930</v>
      </c>
      <c r="D60" t="s">
        <v>125</v>
      </c>
      <c r="E60" t="s">
        <v>500</v>
      </c>
      <c r="F60" t="s">
        <v>575</v>
      </c>
      <c r="G60" s="56">
        <v>45670</v>
      </c>
      <c r="H60">
        <v>15</v>
      </c>
      <c r="I60" t="s">
        <v>158</v>
      </c>
      <c r="J60" s="56"/>
    </row>
    <row r="61" spans="1:10" x14ac:dyDescent="0.25">
      <c r="A61" t="s">
        <v>574</v>
      </c>
      <c r="B61" t="s">
        <v>27</v>
      </c>
      <c r="C61">
        <v>73203775</v>
      </c>
      <c r="D61" t="s">
        <v>8</v>
      </c>
      <c r="E61" t="s">
        <v>501</v>
      </c>
      <c r="F61" t="s">
        <v>575</v>
      </c>
      <c r="G61" s="56">
        <v>45677</v>
      </c>
      <c r="H61">
        <v>15</v>
      </c>
      <c r="I61" t="s">
        <v>155</v>
      </c>
      <c r="J61" s="56"/>
    </row>
    <row r="62" spans="1:10" x14ac:dyDescent="0.25">
      <c r="A62" t="s">
        <v>574</v>
      </c>
      <c r="B62" t="s">
        <v>51</v>
      </c>
      <c r="C62">
        <v>76089925</v>
      </c>
      <c r="D62" t="s">
        <v>9</v>
      </c>
      <c r="E62" t="s">
        <v>501</v>
      </c>
      <c r="F62" t="s">
        <v>575</v>
      </c>
      <c r="G62" s="56">
        <v>45678</v>
      </c>
      <c r="H62">
        <v>15</v>
      </c>
      <c r="I62" t="s">
        <v>156</v>
      </c>
      <c r="J62" s="56"/>
    </row>
    <row r="63" spans="1:10" x14ac:dyDescent="0.25">
      <c r="A63" t="s">
        <v>574</v>
      </c>
      <c r="B63" t="s">
        <v>72</v>
      </c>
      <c r="C63">
        <v>47690367</v>
      </c>
      <c r="D63" t="s">
        <v>5</v>
      </c>
      <c r="E63" t="s">
        <v>501</v>
      </c>
      <c r="F63" t="s">
        <v>575</v>
      </c>
      <c r="G63" s="56">
        <v>45691</v>
      </c>
      <c r="H63">
        <v>15</v>
      </c>
      <c r="I63" t="s">
        <v>158</v>
      </c>
      <c r="J63" s="56"/>
    </row>
    <row r="64" spans="1:10" x14ac:dyDescent="0.25">
      <c r="A64" t="s">
        <v>574</v>
      </c>
      <c r="B64" t="s">
        <v>110</v>
      </c>
      <c r="C64">
        <v>43611146</v>
      </c>
      <c r="D64" t="s">
        <v>4</v>
      </c>
      <c r="E64" t="s">
        <v>577</v>
      </c>
      <c r="F64" t="s">
        <v>575</v>
      </c>
      <c r="G64" s="56">
        <v>45699</v>
      </c>
      <c r="H64">
        <v>8</v>
      </c>
      <c r="I64" t="s">
        <v>157</v>
      </c>
      <c r="J64" s="56">
        <v>45961</v>
      </c>
    </row>
    <row r="65" spans="1:10" x14ac:dyDescent="0.25">
      <c r="A65" t="s">
        <v>574</v>
      </c>
      <c r="B65" t="s">
        <v>104</v>
      </c>
      <c r="C65">
        <v>72074706</v>
      </c>
      <c r="D65" t="s">
        <v>4</v>
      </c>
      <c r="E65" t="s">
        <v>577</v>
      </c>
      <c r="F65" t="s">
        <v>575</v>
      </c>
      <c r="G65" s="56">
        <v>45699</v>
      </c>
      <c r="H65">
        <v>8</v>
      </c>
      <c r="I65" t="s">
        <v>157</v>
      </c>
      <c r="J65" s="56">
        <v>45961</v>
      </c>
    </row>
    <row r="66" spans="1:10" x14ac:dyDescent="0.25">
      <c r="A66" t="s">
        <v>574</v>
      </c>
      <c r="B66" t="s">
        <v>53</v>
      </c>
      <c r="C66">
        <v>46587976</v>
      </c>
      <c r="D66" t="s">
        <v>3</v>
      </c>
      <c r="E66" t="s">
        <v>501</v>
      </c>
      <c r="F66" t="s">
        <v>575</v>
      </c>
      <c r="G66" s="56">
        <v>45726</v>
      </c>
      <c r="H66">
        <v>13</v>
      </c>
      <c r="I66" t="s">
        <v>157</v>
      </c>
      <c r="J66" s="56"/>
    </row>
    <row r="67" spans="1:10" x14ac:dyDescent="0.25">
      <c r="A67" t="s">
        <v>574</v>
      </c>
      <c r="B67" t="s">
        <v>105</v>
      </c>
      <c r="C67">
        <v>48344037</v>
      </c>
      <c r="D67" t="s">
        <v>7</v>
      </c>
      <c r="E67" t="s">
        <v>501</v>
      </c>
      <c r="F67" t="s">
        <v>575</v>
      </c>
      <c r="G67" s="56">
        <v>45748</v>
      </c>
      <c r="H67">
        <v>13</v>
      </c>
      <c r="I67" t="s">
        <v>159</v>
      </c>
      <c r="J67" s="56"/>
    </row>
    <row r="68" spans="1:10" x14ac:dyDescent="0.25">
      <c r="A68" t="s">
        <v>574</v>
      </c>
      <c r="B68" t="s">
        <v>50</v>
      </c>
      <c r="C68">
        <v>72733809</v>
      </c>
      <c r="D68" t="s">
        <v>9</v>
      </c>
      <c r="E68" t="s">
        <v>501</v>
      </c>
      <c r="F68" t="s">
        <v>575</v>
      </c>
      <c r="G68" s="56">
        <v>45789</v>
      </c>
      <c r="H68">
        <v>11</v>
      </c>
      <c r="I68" t="s">
        <v>156</v>
      </c>
      <c r="J68" s="56"/>
    </row>
    <row r="69" spans="1:10" x14ac:dyDescent="0.25">
      <c r="A69" t="s">
        <v>574</v>
      </c>
      <c r="B69" t="s">
        <v>43</v>
      </c>
      <c r="C69">
        <v>74799185</v>
      </c>
      <c r="D69" t="s">
        <v>3</v>
      </c>
      <c r="E69" t="s">
        <v>501</v>
      </c>
      <c r="F69" t="s">
        <v>575</v>
      </c>
      <c r="G69" s="56">
        <v>45792</v>
      </c>
      <c r="H69">
        <v>11</v>
      </c>
      <c r="I69" t="s">
        <v>157</v>
      </c>
      <c r="J69" s="56"/>
    </row>
    <row r="70" spans="1:10" x14ac:dyDescent="0.25">
      <c r="A70" t="s">
        <v>574</v>
      </c>
      <c r="B70" t="s">
        <v>44</v>
      </c>
      <c r="C70">
        <v>45468175</v>
      </c>
      <c r="D70" t="s">
        <v>3</v>
      </c>
      <c r="E70" t="s">
        <v>501</v>
      </c>
      <c r="F70" t="s">
        <v>575</v>
      </c>
      <c r="G70" s="56">
        <v>45799</v>
      </c>
      <c r="H70">
        <v>11</v>
      </c>
      <c r="I70" t="s">
        <v>157</v>
      </c>
      <c r="J70" s="56"/>
    </row>
    <row r="71" spans="1:10" x14ac:dyDescent="0.25">
      <c r="A71" t="s">
        <v>574</v>
      </c>
      <c r="B71" t="s">
        <v>38</v>
      </c>
      <c r="C71">
        <v>47411966</v>
      </c>
      <c r="D71" t="s">
        <v>125</v>
      </c>
      <c r="E71" t="s">
        <v>501</v>
      </c>
      <c r="F71" t="s">
        <v>575</v>
      </c>
      <c r="G71" s="56">
        <v>45800</v>
      </c>
      <c r="H71">
        <v>11</v>
      </c>
      <c r="I71" t="s">
        <v>158</v>
      </c>
      <c r="J71" s="56"/>
    </row>
    <row r="72" spans="1:10" x14ac:dyDescent="0.25">
      <c r="A72" t="s">
        <v>574</v>
      </c>
      <c r="B72" t="s">
        <v>55</v>
      </c>
      <c r="C72">
        <v>45119892</v>
      </c>
      <c r="D72" t="s">
        <v>4</v>
      </c>
      <c r="E72" t="s">
        <v>501</v>
      </c>
      <c r="F72" t="s">
        <v>575</v>
      </c>
      <c r="G72" s="56">
        <v>45813</v>
      </c>
      <c r="H72">
        <v>11</v>
      </c>
      <c r="I72" t="s">
        <v>157</v>
      </c>
      <c r="J72" s="56"/>
    </row>
    <row r="73" spans="1:10" x14ac:dyDescent="0.25">
      <c r="A73" t="s">
        <v>574</v>
      </c>
      <c r="B73" t="s">
        <v>54</v>
      </c>
      <c r="C73">
        <v>70155949</v>
      </c>
      <c r="D73" t="s">
        <v>9</v>
      </c>
      <c r="E73" t="s">
        <v>501</v>
      </c>
      <c r="F73" t="s">
        <v>575</v>
      </c>
      <c r="G73" s="56">
        <v>45814</v>
      </c>
      <c r="H73">
        <v>11</v>
      </c>
      <c r="I73" t="s">
        <v>156</v>
      </c>
      <c r="J73" s="56"/>
    </row>
    <row r="74" spans="1:10" x14ac:dyDescent="0.25">
      <c r="A74" t="s">
        <v>574</v>
      </c>
      <c r="B74" t="s">
        <v>28</v>
      </c>
      <c r="C74">
        <v>70951123</v>
      </c>
      <c r="D74" t="s">
        <v>5</v>
      </c>
      <c r="E74" t="s">
        <v>501</v>
      </c>
      <c r="F74" t="s">
        <v>575</v>
      </c>
      <c r="G74" s="56">
        <v>45840</v>
      </c>
      <c r="H74">
        <v>10</v>
      </c>
      <c r="I74" t="s">
        <v>158</v>
      </c>
      <c r="J74" s="56"/>
    </row>
    <row r="75" spans="1:10" x14ac:dyDescent="0.25">
      <c r="A75" t="s">
        <v>574</v>
      </c>
      <c r="B75" t="s">
        <v>60</v>
      </c>
      <c r="C75">
        <v>72839865</v>
      </c>
      <c r="D75" t="s">
        <v>7</v>
      </c>
      <c r="E75" t="s">
        <v>501</v>
      </c>
      <c r="F75" t="s">
        <v>575</v>
      </c>
      <c r="G75" s="56">
        <v>45854</v>
      </c>
      <c r="H75">
        <v>9</v>
      </c>
      <c r="I75" t="s">
        <v>159</v>
      </c>
      <c r="J75" s="56"/>
    </row>
    <row r="76" spans="1:10" x14ac:dyDescent="0.25">
      <c r="A76" t="s">
        <v>574</v>
      </c>
      <c r="B76" t="s">
        <v>101</v>
      </c>
      <c r="C76">
        <v>46938414</v>
      </c>
      <c r="D76" t="s">
        <v>3</v>
      </c>
      <c r="E76" t="s">
        <v>577</v>
      </c>
      <c r="F76" t="s">
        <v>575</v>
      </c>
      <c r="G76" s="56">
        <v>45870</v>
      </c>
      <c r="H76">
        <v>2</v>
      </c>
      <c r="I76" t="s">
        <v>157</v>
      </c>
      <c r="J76" s="56">
        <v>45961</v>
      </c>
    </row>
    <row r="77" spans="1:10" x14ac:dyDescent="0.25">
      <c r="A77" t="s">
        <v>574</v>
      </c>
      <c r="B77" t="s">
        <v>102</v>
      </c>
      <c r="C77">
        <v>9996175</v>
      </c>
      <c r="D77" t="s">
        <v>3</v>
      </c>
      <c r="E77" t="s">
        <v>577</v>
      </c>
      <c r="F77" t="s">
        <v>575</v>
      </c>
      <c r="G77" s="56">
        <v>45870</v>
      </c>
      <c r="H77">
        <v>2</v>
      </c>
      <c r="I77" t="s">
        <v>157</v>
      </c>
      <c r="J77" s="56">
        <v>45961</v>
      </c>
    </row>
    <row r="78" spans="1:10" x14ac:dyDescent="0.25">
      <c r="A78" t="s">
        <v>574</v>
      </c>
      <c r="B78" t="s">
        <v>91</v>
      </c>
      <c r="C78">
        <v>75346810</v>
      </c>
      <c r="D78" t="s">
        <v>125</v>
      </c>
      <c r="E78" t="s">
        <v>501</v>
      </c>
      <c r="F78" t="s">
        <v>575</v>
      </c>
      <c r="G78" s="56">
        <v>45877</v>
      </c>
      <c r="H78">
        <v>8</v>
      </c>
      <c r="I78" t="s">
        <v>158</v>
      </c>
      <c r="J78" s="56"/>
    </row>
    <row r="79" spans="1:10" x14ac:dyDescent="0.25">
      <c r="A79" t="s">
        <v>574</v>
      </c>
      <c r="B79" t="s">
        <v>93</v>
      </c>
      <c r="C79">
        <v>47322258</v>
      </c>
      <c r="D79" t="s">
        <v>4</v>
      </c>
      <c r="E79" t="s">
        <v>501</v>
      </c>
      <c r="F79" t="s">
        <v>575</v>
      </c>
      <c r="G79" s="56">
        <v>45880</v>
      </c>
      <c r="H79">
        <v>8</v>
      </c>
      <c r="I79" t="s">
        <v>157</v>
      </c>
      <c r="J79" s="56"/>
    </row>
    <row r="80" spans="1:10" x14ac:dyDescent="0.25">
      <c r="A80" t="s">
        <v>574</v>
      </c>
      <c r="B80" t="s">
        <v>92</v>
      </c>
      <c r="C80">
        <v>73040632</v>
      </c>
      <c r="D80" t="s">
        <v>4</v>
      </c>
      <c r="E80" t="s">
        <v>501</v>
      </c>
      <c r="F80" t="s">
        <v>575</v>
      </c>
      <c r="G80" s="56">
        <v>45880</v>
      </c>
      <c r="H80">
        <v>8</v>
      </c>
      <c r="I80" t="s">
        <v>157</v>
      </c>
      <c r="J80" s="56"/>
    </row>
    <row r="81" spans="1:10" x14ac:dyDescent="0.25">
      <c r="A81" t="s">
        <v>574</v>
      </c>
      <c r="B81" t="s">
        <v>96</v>
      </c>
      <c r="C81">
        <v>46793103</v>
      </c>
      <c r="D81" t="s">
        <v>5</v>
      </c>
      <c r="E81" t="s">
        <v>501</v>
      </c>
      <c r="F81" t="s">
        <v>575</v>
      </c>
      <c r="G81" s="56">
        <v>45882</v>
      </c>
      <c r="H81">
        <v>8</v>
      </c>
      <c r="I81" t="s">
        <v>158</v>
      </c>
      <c r="J81" s="56"/>
    </row>
    <row r="82" spans="1:10" x14ac:dyDescent="0.25">
      <c r="A82" t="s">
        <v>574</v>
      </c>
      <c r="B82" t="s">
        <v>97</v>
      </c>
      <c r="C82">
        <v>74602206</v>
      </c>
      <c r="D82" t="s">
        <v>3</v>
      </c>
      <c r="E82" t="s">
        <v>501</v>
      </c>
      <c r="F82" t="s">
        <v>575</v>
      </c>
      <c r="G82" s="56">
        <v>45884</v>
      </c>
      <c r="H82">
        <v>8</v>
      </c>
      <c r="I82" t="s">
        <v>157</v>
      </c>
      <c r="J82" s="56"/>
    </row>
    <row r="83" spans="1:10" x14ac:dyDescent="0.25">
      <c r="A83" t="s">
        <v>574</v>
      </c>
      <c r="B83" t="s">
        <v>100</v>
      </c>
      <c r="C83">
        <v>41285428</v>
      </c>
      <c r="D83" t="s">
        <v>9</v>
      </c>
      <c r="E83" t="s">
        <v>501</v>
      </c>
      <c r="F83" t="s">
        <v>575</v>
      </c>
      <c r="G83" s="56">
        <v>45890</v>
      </c>
      <c r="H83">
        <v>8</v>
      </c>
      <c r="I83" t="s">
        <v>156</v>
      </c>
      <c r="J83" s="56"/>
    </row>
    <row r="84" spans="1:10" x14ac:dyDescent="0.25">
      <c r="A84" t="s">
        <v>574</v>
      </c>
      <c r="B84" t="s">
        <v>99</v>
      </c>
      <c r="C84">
        <v>73708621</v>
      </c>
      <c r="D84" t="s">
        <v>6</v>
      </c>
      <c r="E84" t="s">
        <v>501</v>
      </c>
      <c r="F84" t="s">
        <v>575</v>
      </c>
      <c r="G84" s="56">
        <v>45891</v>
      </c>
      <c r="H84">
        <v>8</v>
      </c>
      <c r="I84" t="s">
        <v>159</v>
      </c>
      <c r="J84" s="56"/>
    </row>
    <row r="85" spans="1:10" x14ac:dyDescent="0.25">
      <c r="A85" t="s">
        <v>574</v>
      </c>
      <c r="B85" t="s">
        <v>114</v>
      </c>
      <c r="C85">
        <v>47005973</v>
      </c>
      <c r="D85" t="s">
        <v>4</v>
      </c>
      <c r="E85" t="s">
        <v>501</v>
      </c>
      <c r="F85" t="s">
        <v>575</v>
      </c>
      <c r="G85" s="56">
        <v>45912</v>
      </c>
      <c r="H85">
        <v>7</v>
      </c>
      <c r="I85" t="s">
        <v>157</v>
      </c>
      <c r="J85" s="56"/>
    </row>
    <row r="86" spans="1:10" x14ac:dyDescent="0.25">
      <c r="A86" t="s">
        <v>578</v>
      </c>
      <c r="B86" t="s">
        <v>219</v>
      </c>
      <c r="C86">
        <v>74122258</v>
      </c>
      <c r="D86" t="s">
        <v>6</v>
      </c>
      <c r="E86" t="s">
        <v>133</v>
      </c>
      <c r="F86" t="s">
        <v>575</v>
      </c>
      <c r="G86" s="56">
        <v>44022</v>
      </c>
      <c r="H86">
        <v>69</v>
      </c>
      <c r="I86" t="s">
        <v>209</v>
      </c>
      <c r="J86" s="56"/>
    </row>
    <row r="87" spans="1:10" x14ac:dyDescent="0.25">
      <c r="A87" t="s">
        <v>578</v>
      </c>
      <c r="B87" t="s">
        <v>248</v>
      </c>
      <c r="C87">
        <v>44265602</v>
      </c>
      <c r="D87" t="s">
        <v>2</v>
      </c>
      <c r="E87" t="s">
        <v>133</v>
      </c>
      <c r="F87" t="s">
        <v>575</v>
      </c>
      <c r="G87" s="56">
        <v>44673</v>
      </c>
      <c r="H87">
        <v>48</v>
      </c>
      <c r="I87" t="s">
        <v>158</v>
      </c>
      <c r="J87" s="56"/>
    </row>
    <row r="88" spans="1:10" x14ac:dyDescent="0.25">
      <c r="A88" t="s">
        <v>578</v>
      </c>
      <c r="B88" t="s">
        <v>226</v>
      </c>
      <c r="C88">
        <v>73049631</v>
      </c>
      <c r="D88" t="s">
        <v>3</v>
      </c>
      <c r="E88" t="s">
        <v>133</v>
      </c>
      <c r="F88" t="s">
        <v>575</v>
      </c>
      <c r="G88" s="56">
        <v>43506</v>
      </c>
      <c r="H88">
        <v>86</v>
      </c>
      <c r="I88" t="s">
        <v>159</v>
      </c>
      <c r="J88" s="56"/>
    </row>
    <row r="89" spans="1:10" x14ac:dyDescent="0.25">
      <c r="A89" t="s">
        <v>578</v>
      </c>
      <c r="B89" t="s">
        <v>214</v>
      </c>
      <c r="C89">
        <v>46872195</v>
      </c>
      <c r="D89" t="s">
        <v>7</v>
      </c>
      <c r="E89" t="s">
        <v>133</v>
      </c>
      <c r="F89" t="s">
        <v>575</v>
      </c>
      <c r="G89" s="56">
        <v>43805</v>
      </c>
      <c r="H89">
        <v>77</v>
      </c>
      <c r="I89" t="s">
        <v>160</v>
      </c>
      <c r="J89" s="56"/>
    </row>
    <row r="90" spans="1:10" x14ac:dyDescent="0.25">
      <c r="A90" t="s">
        <v>578</v>
      </c>
      <c r="B90" t="s">
        <v>224</v>
      </c>
      <c r="C90">
        <v>70984733</v>
      </c>
      <c r="D90" t="s">
        <v>4</v>
      </c>
      <c r="E90" t="s">
        <v>133</v>
      </c>
      <c r="F90" t="s">
        <v>575</v>
      </c>
      <c r="G90" s="56">
        <v>43466</v>
      </c>
      <c r="H90">
        <v>88</v>
      </c>
      <c r="I90" t="s">
        <v>159</v>
      </c>
      <c r="J90" s="56"/>
    </row>
    <row r="91" spans="1:10" x14ac:dyDescent="0.25">
      <c r="A91" t="s">
        <v>578</v>
      </c>
      <c r="B91" t="s">
        <v>212</v>
      </c>
      <c r="C91">
        <v>73613568</v>
      </c>
      <c r="D91" t="s">
        <v>5</v>
      </c>
      <c r="E91" t="s">
        <v>133</v>
      </c>
      <c r="F91" t="s">
        <v>575</v>
      </c>
      <c r="G91" s="56">
        <v>43318</v>
      </c>
      <c r="H91">
        <v>93</v>
      </c>
      <c r="I91" t="s">
        <v>160</v>
      </c>
      <c r="J91" s="56"/>
    </row>
    <row r="92" spans="1:10" x14ac:dyDescent="0.25">
      <c r="A92" t="s">
        <v>578</v>
      </c>
      <c r="B92" t="s">
        <v>58</v>
      </c>
      <c r="C92">
        <v>72519113</v>
      </c>
      <c r="D92" t="s">
        <v>4</v>
      </c>
      <c r="E92" t="s">
        <v>501</v>
      </c>
      <c r="F92" t="s">
        <v>575</v>
      </c>
      <c r="G92" s="56">
        <v>43119</v>
      </c>
      <c r="H92">
        <v>99</v>
      </c>
      <c r="I92" t="s">
        <v>159</v>
      </c>
      <c r="J92" s="56"/>
    </row>
    <row r="93" spans="1:10" x14ac:dyDescent="0.25">
      <c r="A93" t="s">
        <v>578</v>
      </c>
      <c r="B93" t="s">
        <v>49</v>
      </c>
      <c r="C93">
        <v>40702064</v>
      </c>
      <c r="D93" t="s">
        <v>2</v>
      </c>
      <c r="E93" t="s">
        <v>501</v>
      </c>
      <c r="F93" t="s">
        <v>575</v>
      </c>
      <c r="G93" s="56">
        <v>43313</v>
      </c>
      <c r="H93">
        <v>93</v>
      </c>
      <c r="I93" t="s">
        <v>158</v>
      </c>
      <c r="J93" s="56"/>
    </row>
    <row r="94" spans="1:10" x14ac:dyDescent="0.25">
      <c r="A94" t="s">
        <v>578</v>
      </c>
      <c r="B94" t="s">
        <v>23</v>
      </c>
      <c r="C94">
        <v>72413556</v>
      </c>
      <c r="D94" t="s">
        <v>3</v>
      </c>
      <c r="E94" t="s">
        <v>501</v>
      </c>
      <c r="F94" t="s">
        <v>575</v>
      </c>
      <c r="G94" s="56">
        <v>44109</v>
      </c>
      <c r="H94">
        <v>67</v>
      </c>
      <c r="I94" t="s">
        <v>159</v>
      </c>
      <c r="J94" s="56"/>
    </row>
    <row r="95" spans="1:10" x14ac:dyDescent="0.25">
      <c r="A95" t="s">
        <v>578</v>
      </c>
      <c r="B95" t="s">
        <v>26</v>
      </c>
      <c r="C95">
        <v>41005089</v>
      </c>
      <c r="D95" t="s">
        <v>6</v>
      </c>
      <c r="E95" t="s">
        <v>501</v>
      </c>
      <c r="F95" t="s">
        <v>575</v>
      </c>
      <c r="G95" s="56">
        <v>44257</v>
      </c>
      <c r="H95">
        <v>62</v>
      </c>
      <c r="I95" t="s">
        <v>161</v>
      </c>
      <c r="J95" s="56"/>
    </row>
    <row r="96" spans="1:10" x14ac:dyDescent="0.25">
      <c r="A96" t="s">
        <v>578</v>
      </c>
      <c r="B96" t="s">
        <v>69</v>
      </c>
      <c r="C96">
        <v>73930771</v>
      </c>
      <c r="D96" t="s">
        <v>3</v>
      </c>
      <c r="E96" t="s">
        <v>501</v>
      </c>
      <c r="F96" t="s">
        <v>575</v>
      </c>
      <c r="G96" s="56">
        <v>44459</v>
      </c>
      <c r="H96">
        <v>55</v>
      </c>
      <c r="I96" t="s">
        <v>159</v>
      </c>
      <c r="J96" s="56"/>
    </row>
    <row r="97" spans="1:10" x14ac:dyDescent="0.25">
      <c r="A97" t="s">
        <v>578</v>
      </c>
      <c r="B97" t="s">
        <v>74</v>
      </c>
      <c r="C97">
        <v>70135127</v>
      </c>
      <c r="D97" t="s">
        <v>7</v>
      </c>
      <c r="E97" t="s">
        <v>577</v>
      </c>
      <c r="F97" t="s">
        <v>575</v>
      </c>
      <c r="G97" s="56">
        <v>44468</v>
      </c>
      <c r="H97">
        <v>50</v>
      </c>
      <c r="I97" t="s">
        <v>160</v>
      </c>
      <c r="J97" s="56">
        <v>45991</v>
      </c>
    </row>
    <row r="98" spans="1:10" x14ac:dyDescent="0.25">
      <c r="A98" t="s">
        <v>578</v>
      </c>
      <c r="B98" t="s">
        <v>19</v>
      </c>
      <c r="C98">
        <v>76656128</v>
      </c>
      <c r="D98" t="s">
        <v>6</v>
      </c>
      <c r="E98" t="s">
        <v>501</v>
      </c>
      <c r="F98" t="s">
        <v>575</v>
      </c>
      <c r="G98" s="56">
        <v>44671</v>
      </c>
      <c r="H98">
        <v>48</v>
      </c>
      <c r="I98" t="s">
        <v>161</v>
      </c>
      <c r="J98" s="56"/>
    </row>
    <row r="99" spans="1:10" x14ac:dyDescent="0.25">
      <c r="A99" t="s">
        <v>578</v>
      </c>
      <c r="B99" t="s">
        <v>29</v>
      </c>
      <c r="C99">
        <v>72758956</v>
      </c>
      <c r="D99" t="s">
        <v>5</v>
      </c>
      <c r="E99" t="s">
        <v>501</v>
      </c>
      <c r="F99" t="s">
        <v>575</v>
      </c>
      <c r="G99" s="56">
        <v>44685</v>
      </c>
      <c r="H99">
        <v>48</v>
      </c>
      <c r="I99" t="s">
        <v>160</v>
      </c>
      <c r="J99" s="56"/>
    </row>
    <row r="100" spans="1:10" x14ac:dyDescent="0.25">
      <c r="A100" t="s">
        <v>578</v>
      </c>
      <c r="B100" t="s">
        <v>10</v>
      </c>
      <c r="C100">
        <v>40980108</v>
      </c>
      <c r="D100" t="s">
        <v>4</v>
      </c>
      <c r="E100" t="s">
        <v>501</v>
      </c>
      <c r="F100" t="s">
        <v>575</v>
      </c>
      <c r="G100" s="56">
        <v>44704</v>
      </c>
      <c r="H100">
        <v>47</v>
      </c>
      <c r="I100" t="s">
        <v>159</v>
      </c>
      <c r="J100" s="56"/>
    </row>
    <row r="101" spans="1:10" x14ac:dyDescent="0.25">
      <c r="A101" t="s">
        <v>578</v>
      </c>
      <c r="B101" t="s">
        <v>75</v>
      </c>
      <c r="C101">
        <v>71264767</v>
      </c>
      <c r="D101" t="s">
        <v>4</v>
      </c>
      <c r="E101" t="s">
        <v>501</v>
      </c>
      <c r="F101" t="s">
        <v>575</v>
      </c>
      <c r="G101" s="56">
        <v>44714</v>
      </c>
      <c r="H101">
        <v>47</v>
      </c>
      <c r="I101" t="s">
        <v>159</v>
      </c>
      <c r="J101" s="56"/>
    </row>
    <row r="102" spans="1:10" x14ac:dyDescent="0.25">
      <c r="A102" t="s">
        <v>578</v>
      </c>
      <c r="B102" t="s">
        <v>15</v>
      </c>
      <c r="C102">
        <v>47587400</v>
      </c>
      <c r="D102" t="s">
        <v>2</v>
      </c>
      <c r="E102" t="s">
        <v>501</v>
      </c>
      <c r="F102" t="s">
        <v>575</v>
      </c>
      <c r="G102" s="56">
        <v>44733</v>
      </c>
      <c r="H102">
        <v>46</v>
      </c>
      <c r="I102" t="s">
        <v>158</v>
      </c>
      <c r="J102" s="56"/>
    </row>
    <row r="103" spans="1:10" x14ac:dyDescent="0.25">
      <c r="A103" t="s">
        <v>578</v>
      </c>
      <c r="B103" t="s">
        <v>35</v>
      </c>
      <c r="C103">
        <v>10491198</v>
      </c>
      <c r="D103" t="s">
        <v>6</v>
      </c>
      <c r="E103" t="s">
        <v>501</v>
      </c>
      <c r="F103" t="s">
        <v>575</v>
      </c>
      <c r="G103" s="56">
        <v>44746</v>
      </c>
      <c r="H103">
        <v>46</v>
      </c>
      <c r="I103" t="s">
        <v>161</v>
      </c>
      <c r="J103" s="56"/>
    </row>
    <row r="104" spans="1:10" x14ac:dyDescent="0.25">
      <c r="A104" t="s">
        <v>578</v>
      </c>
      <c r="B104" t="s">
        <v>48</v>
      </c>
      <c r="C104">
        <v>43307898</v>
      </c>
      <c r="D104" t="s">
        <v>2</v>
      </c>
      <c r="E104" t="s">
        <v>501</v>
      </c>
      <c r="F104" t="s">
        <v>575</v>
      </c>
      <c r="G104" s="56">
        <v>44746</v>
      </c>
      <c r="H104">
        <v>46</v>
      </c>
      <c r="I104" t="s">
        <v>158</v>
      </c>
      <c r="J104" s="56"/>
    </row>
    <row r="105" spans="1:10" x14ac:dyDescent="0.25">
      <c r="A105" t="s">
        <v>578</v>
      </c>
      <c r="B105" t="s">
        <v>67</v>
      </c>
      <c r="C105">
        <v>9880053</v>
      </c>
      <c r="D105" t="s">
        <v>6</v>
      </c>
      <c r="E105" t="s">
        <v>577</v>
      </c>
      <c r="F105" t="s">
        <v>575</v>
      </c>
      <c r="G105" s="56">
        <v>44809</v>
      </c>
      <c r="H105">
        <v>38</v>
      </c>
      <c r="I105" t="s">
        <v>161</v>
      </c>
      <c r="J105" s="56">
        <v>45991</v>
      </c>
    </row>
    <row r="106" spans="1:10" x14ac:dyDescent="0.25">
      <c r="A106" t="s">
        <v>578</v>
      </c>
      <c r="B106" t="s">
        <v>13</v>
      </c>
      <c r="C106">
        <v>72512391</v>
      </c>
      <c r="D106" t="s">
        <v>3</v>
      </c>
      <c r="E106" t="s">
        <v>501</v>
      </c>
      <c r="F106" t="s">
        <v>575</v>
      </c>
      <c r="G106" s="56">
        <v>44809</v>
      </c>
      <c r="H106">
        <v>44</v>
      </c>
      <c r="I106" t="s">
        <v>159</v>
      </c>
      <c r="J106" s="56"/>
    </row>
    <row r="107" spans="1:10" x14ac:dyDescent="0.25">
      <c r="A107" t="s">
        <v>578</v>
      </c>
      <c r="B107" t="s">
        <v>76</v>
      </c>
      <c r="C107">
        <v>60914051</v>
      </c>
      <c r="D107" t="s">
        <v>3</v>
      </c>
      <c r="E107" t="s">
        <v>501</v>
      </c>
      <c r="F107" t="s">
        <v>575</v>
      </c>
      <c r="G107" s="56">
        <v>44817</v>
      </c>
      <c r="H107">
        <v>43</v>
      </c>
      <c r="I107" t="s">
        <v>159</v>
      </c>
      <c r="J107" s="56"/>
    </row>
    <row r="108" spans="1:10" x14ac:dyDescent="0.25">
      <c r="A108" t="s">
        <v>578</v>
      </c>
      <c r="B108" t="s">
        <v>25</v>
      </c>
      <c r="C108">
        <v>72373931</v>
      </c>
      <c r="D108" t="s">
        <v>2</v>
      </c>
      <c r="E108" t="s">
        <v>500</v>
      </c>
      <c r="F108" t="s">
        <v>575</v>
      </c>
      <c r="G108" s="56">
        <v>44818</v>
      </c>
      <c r="H108">
        <v>43</v>
      </c>
      <c r="I108" t="s">
        <v>158</v>
      </c>
      <c r="J108" s="56"/>
    </row>
    <row r="109" spans="1:10" x14ac:dyDescent="0.25">
      <c r="A109" t="s">
        <v>578</v>
      </c>
      <c r="B109" t="s">
        <v>21</v>
      </c>
      <c r="C109">
        <v>44042880</v>
      </c>
      <c r="D109" t="s">
        <v>2</v>
      </c>
      <c r="E109" t="s">
        <v>501</v>
      </c>
      <c r="F109" t="s">
        <v>575</v>
      </c>
      <c r="G109" s="56">
        <v>44824</v>
      </c>
      <c r="H109">
        <v>43</v>
      </c>
      <c r="I109" t="s">
        <v>158</v>
      </c>
      <c r="J109" s="56"/>
    </row>
    <row r="110" spans="1:10" x14ac:dyDescent="0.25">
      <c r="A110" t="s">
        <v>578</v>
      </c>
      <c r="B110" t="s">
        <v>77</v>
      </c>
      <c r="C110">
        <v>42251780</v>
      </c>
      <c r="D110" t="s">
        <v>5</v>
      </c>
      <c r="E110" t="s">
        <v>501</v>
      </c>
      <c r="F110" t="s">
        <v>575</v>
      </c>
      <c r="G110" s="56">
        <v>44838</v>
      </c>
      <c r="H110">
        <v>43</v>
      </c>
      <c r="I110" t="s">
        <v>160</v>
      </c>
      <c r="J110" s="56"/>
    </row>
    <row r="111" spans="1:10" x14ac:dyDescent="0.25">
      <c r="A111" t="s">
        <v>578</v>
      </c>
      <c r="B111" t="s">
        <v>33</v>
      </c>
      <c r="C111">
        <v>80689573</v>
      </c>
      <c r="D111" t="s">
        <v>2</v>
      </c>
      <c r="E111" t="s">
        <v>500</v>
      </c>
      <c r="F111" t="s">
        <v>575</v>
      </c>
      <c r="G111" s="56">
        <v>44867</v>
      </c>
      <c r="H111">
        <v>42</v>
      </c>
      <c r="I111" t="s">
        <v>158</v>
      </c>
      <c r="J111" s="56"/>
    </row>
    <row r="112" spans="1:10" x14ac:dyDescent="0.25">
      <c r="A112" t="s">
        <v>578</v>
      </c>
      <c r="B112" t="s">
        <v>12</v>
      </c>
      <c r="C112">
        <v>45262585</v>
      </c>
      <c r="D112" t="s">
        <v>2</v>
      </c>
      <c r="E112" t="s">
        <v>500</v>
      </c>
      <c r="F112" t="s">
        <v>575</v>
      </c>
      <c r="G112" s="56">
        <v>44868</v>
      </c>
      <c r="H112">
        <v>42</v>
      </c>
      <c r="I112" t="s">
        <v>158</v>
      </c>
      <c r="J112" s="56"/>
    </row>
    <row r="113" spans="1:10" x14ac:dyDescent="0.25">
      <c r="A113" t="s">
        <v>578</v>
      </c>
      <c r="B113" t="s">
        <v>17</v>
      </c>
      <c r="C113">
        <v>70876605</v>
      </c>
      <c r="D113" t="s">
        <v>3</v>
      </c>
      <c r="E113" t="s">
        <v>501</v>
      </c>
      <c r="F113" t="s">
        <v>575</v>
      </c>
      <c r="G113" s="56">
        <v>44886</v>
      </c>
      <c r="H113">
        <v>41</v>
      </c>
      <c r="I113" t="s">
        <v>159</v>
      </c>
      <c r="J113" s="56"/>
    </row>
    <row r="114" spans="1:10" x14ac:dyDescent="0.25">
      <c r="A114" t="s">
        <v>578</v>
      </c>
      <c r="B114" t="s">
        <v>61</v>
      </c>
      <c r="C114">
        <v>44001162</v>
      </c>
      <c r="D114" t="s">
        <v>6</v>
      </c>
      <c r="E114" t="s">
        <v>501</v>
      </c>
      <c r="F114" t="s">
        <v>575</v>
      </c>
      <c r="G114" s="56">
        <v>44907</v>
      </c>
      <c r="H114">
        <v>40</v>
      </c>
      <c r="I114" t="s">
        <v>161</v>
      </c>
      <c r="J114" s="56"/>
    </row>
    <row r="115" spans="1:10" x14ac:dyDescent="0.25">
      <c r="A115" t="s">
        <v>578</v>
      </c>
      <c r="B115" t="s">
        <v>36</v>
      </c>
      <c r="C115">
        <v>76917479</v>
      </c>
      <c r="D115" t="s">
        <v>5</v>
      </c>
      <c r="E115" t="s">
        <v>577</v>
      </c>
      <c r="F115" t="s">
        <v>575</v>
      </c>
      <c r="G115" s="56">
        <v>44939</v>
      </c>
      <c r="H115">
        <v>34</v>
      </c>
      <c r="I115" t="s">
        <v>160</v>
      </c>
      <c r="J115" s="56">
        <v>45991</v>
      </c>
    </row>
    <row r="116" spans="1:10" x14ac:dyDescent="0.25">
      <c r="A116" t="s">
        <v>578</v>
      </c>
      <c r="B116" t="s">
        <v>78</v>
      </c>
      <c r="C116">
        <v>10706451</v>
      </c>
      <c r="D116" t="s">
        <v>6</v>
      </c>
      <c r="E116" t="s">
        <v>501</v>
      </c>
      <c r="F116" t="s">
        <v>575</v>
      </c>
      <c r="G116" s="56">
        <v>44943</v>
      </c>
      <c r="H116">
        <v>39</v>
      </c>
      <c r="I116" t="s">
        <v>161</v>
      </c>
      <c r="J116" s="56"/>
    </row>
    <row r="117" spans="1:10" x14ac:dyDescent="0.25">
      <c r="A117" t="s">
        <v>578</v>
      </c>
      <c r="B117" t="s">
        <v>70</v>
      </c>
      <c r="C117">
        <v>47982910</v>
      </c>
      <c r="D117" t="s">
        <v>7</v>
      </c>
      <c r="E117" t="s">
        <v>577</v>
      </c>
      <c r="F117" t="s">
        <v>575</v>
      </c>
      <c r="G117" s="56">
        <v>44967</v>
      </c>
      <c r="H117">
        <v>32</v>
      </c>
      <c r="I117" t="s">
        <v>160</v>
      </c>
      <c r="J117" s="56">
        <v>45965</v>
      </c>
    </row>
    <row r="118" spans="1:10" x14ac:dyDescent="0.25">
      <c r="A118" t="s">
        <v>578</v>
      </c>
      <c r="B118" t="s">
        <v>65</v>
      </c>
      <c r="C118">
        <v>47659267</v>
      </c>
      <c r="D118" t="s">
        <v>6</v>
      </c>
      <c r="E118" t="s">
        <v>501</v>
      </c>
      <c r="F118" t="s">
        <v>575</v>
      </c>
      <c r="G118" s="56">
        <v>45019</v>
      </c>
      <c r="H118">
        <v>37</v>
      </c>
      <c r="I118" t="s">
        <v>161</v>
      </c>
      <c r="J118" s="56"/>
    </row>
    <row r="119" spans="1:10" x14ac:dyDescent="0.25">
      <c r="A119" t="s">
        <v>578</v>
      </c>
      <c r="B119" t="s">
        <v>37</v>
      </c>
      <c r="C119">
        <v>70988976</v>
      </c>
      <c r="D119" t="s">
        <v>4</v>
      </c>
      <c r="E119" t="s">
        <v>501</v>
      </c>
      <c r="F119" t="s">
        <v>575</v>
      </c>
      <c r="G119" s="56">
        <v>45112</v>
      </c>
      <c r="H119">
        <v>34</v>
      </c>
      <c r="I119" t="s">
        <v>159</v>
      </c>
      <c r="J119" s="56"/>
    </row>
    <row r="120" spans="1:10" x14ac:dyDescent="0.25">
      <c r="A120" t="s">
        <v>578</v>
      </c>
      <c r="B120" t="s">
        <v>18</v>
      </c>
      <c r="C120">
        <v>76214436</v>
      </c>
      <c r="D120" t="s">
        <v>6</v>
      </c>
      <c r="E120" t="s">
        <v>501</v>
      </c>
      <c r="F120" t="s">
        <v>575</v>
      </c>
      <c r="G120" s="56">
        <v>45132</v>
      </c>
      <c r="H120">
        <v>33</v>
      </c>
      <c r="I120" t="s">
        <v>161</v>
      </c>
      <c r="J120" s="56"/>
    </row>
    <row r="121" spans="1:10" x14ac:dyDescent="0.25">
      <c r="A121" t="s">
        <v>578</v>
      </c>
      <c r="B121" t="s">
        <v>73</v>
      </c>
      <c r="C121">
        <v>40318129</v>
      </c>
      <c r="D121" t="s">
        <v>2</v>
      </c>
      <c r="E121" t="s">
        <v>501</v>
      </c>
      <c r="F121" t="s">
        <v>575</v>
      </c>
      <c r="G121" s="56">
        <v>45141</v>
      </c>
      <c r="H121">
        <v>33</v>
      </c>
      <c r="I121" t="s">
        <v>158</v>
      </c>
      <c r="J121" s="56"/>
    </row>
    <row r="122" spans="1:10" x14ac:dyDescent="0.25">
      <c r="A122" t="s">
        <v>578</v>
      </c>
      <c r="B122" t="s">
        <v>20</v>
      </c>
      <c r="C122">
        <v>48307357</v>
      </c>
      <c r="D122" t="s">
        <v>7</v>
      </c>
      <c r="E122" t="s">
        <v>577</v>
      </c>
      <c r="F122" t="s">
        <v>575</v>
      </c>
      <c r="G122" s="56">
        <v>45141</v>
      </c>
      <c r="H122">
        <v>27</v>
      </c>
      <c r="I122" t="s">
        <v>160</v>
      </c>
      <c r="J122" s="56">
        <v>45991</v>
      </c>
    </row>
    <row r="123" spans="1:10" x14ac:dyDescent="0.25">
      <c r="A123" t="s">
        <v>578</v>
      </c>
      <c r="B123" t="s">
        <v>79</v>
      </c>
      <c r="C123">
        <v>71262377</v>
      </c>
      <c r="D123" t="s">
        <v>5</v>
      </c>
      <c r="E123" t="s">
        <v>501</v>
      </c>
      <c r="F123" t="s">
        <v>575</v>
      </c>
      <c r="G123" s="56">
        <v>45145</v>
      </c>
      <c r="H123">
        <v>32</v>
      </c>
      <c r="I123" t="s">
        <v>160</v>
      </c>
      <c r="J123" s="56"/>
    </row>
    <row r="124" spans="1:10" x14ac:dyDescent="0.25">
      <c r="A124" t="s">
        <v>578</v>
      </c>
      <c r="B124" t="s">
        <v>34</v>
      </c>
      <c r="C124">
        <v>76824571</v>
      </c>
      <c r="D124" t="s">
        <v>2</v>
      </c>
      <c r="E124" t="s">
        <v>500</v>
      </c>
      <c r="F124" t="s">
        <v>575</v>
      </c>
      <c r="G124" s="56">
        <v>45173</v>
      </c>
      <c r="H124">
        <v>32</v>
      </c>
      <c r="I124" t="s">
        <v>158</v>
      </c>
      <c r="J124" s="56"/>
    </row>
    <row r="125" spans="1:10" x14ac:dyDescent="0.25">
      <c r="A125" t="s">
        <v>578</v>
      </c>
      <c r="B125" t="s">
        <v>80</v>
      </c>
      <c r="C125">
        <v>45084594</v>
      </c>
      <c r="D125" t="s">
        <v>4</v>
      </c>
      <c r="E125" t="s">
        <v>501</v>
      </c>
      <c r="F125" t="s">
        <v>575</v>
      </c>
      <c r="G125" s="56">
        <v>45281</v>
      </c>
      <c r="H125">
        <v>28</v>
      </c>
      <c r="I125" t="s">
        <v>159</v>
      </c>
      <c r="J125" s="56"/>
    </row>
    <row r="126" spans="1:10" x14ac:dyDescent="0.25">
      <c r="A126" t="s">
        <v>578</v>
      </c>
      <c r="B126" t="s">
        <v>22</v>
      </c>
      <c r="C126">
        <v>70551168</v>
      </c>
      <c r="D126" t="s">
        <v>3</v>
      </c>
      <c r="E126" t="s">
        <v>501</v>
      </c>
      <c r="F126" t="s">
        <v>575</v>
      </c>
      <c r="G126" s="56">
        <v>45295</v>
      </c>
      <c r="H126">
        <v>28</v>
      </c>
      <c r="I126" t="s">
        <v>159</v>
      </c>
      <c r="J126" s="56"/>
    </row>
    <row r="127" spans="1:10" x14ac:dyDescent="0.25">
      <c r="A127" t="s">
        <v>578</v>
      </c>
      <c r="B127" t="s">
        <v>41</v>
      </c>
      <c r="C127">
        <v>46461021</v>
      </c>
      <c r="D127" t="s">
        <v>6</v>
      </c>
      <c r="E127" t="s">
        <v>501</v>
      </c>
      <c r="F127" t="s">
        <v>575</v>
      </c>
      <c r="G127" s="56">
        <v>45302</v>
      </c>
      <c r="H127">
        <v>27</v>
      </c>
      <c r="I127" t="s">
        <v>161</v>
      </c>
      <c r="J127" s="56"/>
    </row>
    <row r="128" spans="1:10" x14ac:dyDescent="0.25">
      <c r="A128" t="s">
        <v>578</v>
      </c>
      <c r="B128" t="s">
        <v>24</v>
      </c>
      <c r="C128">
        <v>43614775</v>
      </c>
      <c r="D128" t="s">
        <v>6</v>
      </c>
      <c r="E128" t="s">
        <v>501</v>
      </c>
      <c r="F128" t="s">
        <v>575</v>
      </c>
      <c r="G128" s="56">
        <v>45334</v>
      </c>
      <c r="H128">
        <v>26</v>
      </c>
      <c r="I128" t="s">
        <v>161</v>
      </c>
      <c r="J128" s="56"/>
    </row>
    <row r="129" spans="1:10" x14ac:dyDescent="0.25">
      <c r="A129" t="s">
        <v>578</v>
      </c>
      <c r="B129" t="s">
        <v>31</v>
      </c>
      <c r="C129">
        <v>75882265</v>
      </c>
      <c r="D129" t="s">
        <v>3</v>
      </c>
      <c r="E129" t="s">
        <v>501</v>
      </c>
      <c r="F129" t="s">
        <v>575</v>
      </c>
      <c r="G129" s="56">
        <v>45334</v>
      </c>
      <c r="H129">
        <v>26</v>
      </c>
      <c r="I129" t="s">
        <v>159</v>
      </c>
      <c r="J129" s="56"/>
    </row>
    <row r="130" spans="1:10" x14ac:dyDescent="0.25">
      <c r="A130" t="s">
        <v>578</v>
      </c>
      <c r="B130" t="s">
        <v>16</v>
      </c>
      <c r="C130">
        <v>47029782</v>
      </c>
      <c r="D130" t="s">
        <v>3</v>
      </c>
      <c r="E130" t="s">
        <v>501</v>
      </c>
      <c r="F130" t="s">
        <v>575</v>
      </c>
      <c r="G130" s="56">
        <v>45334</v>
      </c>
      <c r="H130">
        <v>26</v>
      </c>
      <c r="I130" t="s">
        <v>159</v>
      </c>
      <c r="J130" s="56"/>
    </row>
    <row r="131" spans="1:10" x14ac:dyDescent="0.25">
      <c r="A131" t="s">
        <v>578</v>
      </c>
      <c r="B131" t="s">
        <v>59</v>
      </c>
      <c r="C131">
        <v>60870839</v>
      </c>
      <c r="D131" t="s">
        <v>4</v>
      </c>
      <c r="E131" t="s">
        <v>501</v>
      </c>
      <c r="F131" t="s">
        <v>575</v>
      </c>
      <c r="G131" s="56">
        <v>45344</v>
      </c>
      <c r="H131">
        <v>26</v>
      </c>
      <c r="I131" t="s">
        <v>159</v>
      </c>
      <c r="J131" s="56"/>
    </row>
    <row r="132" spans="1:10" x14ac:dyDescent="0.25">
      <c r="A132" t="s">
        <v>578</v>
      </c>
      <c r="B132" t="s">
        <v>68</v>
      </c>
      <c r="C132">
        <v>73257316</v>
      </c>
      <c r="D132" t="s">
        <v>2</v>
      </c>
      <c r="E132" t="s">
        <v>501</v>
      </c>
      <c r="F132" t="s">
        <v>575</v>
      </c>
      <c r="G132" s="56">
        <v>45363</v>
      </c>
      <c r="H132">
        <v>25</v>
      </c>
      <c r="I132" t="s">
        <v>158</v>
      </c>
      <c r="J132" s="56"/>
    </row>
    <row r="133" spans="1:10" x14ac:dyDescent="0.25">
      <c r="A133" t="s">
        <v>578</v>
      </c>
      <c r="B133" t="s">
        <v>11</v>
      </c>
      <c r="C133">
        <v>45139159</v>
      </c>
      <c r="D133" t="s">
        <v>6</v>
      </c>
      <c r="E133" t="s">
        <v>501</v>
      </c>
      <c r="F133" t="s">
        <v>575</v>
      </c>
      <c r="G133" s="56">
        <v>45369</v>
      </c>
      <c r="H133">
        <v>25</v>
      </c>
      <c r="I133" t="s">
        <v>161</v>
      </c>
      <c r="J133" s="56"/>
    </row>
    <row r="134" spans="1:10" x14ac:dyDescent="0.25">
      <c r="A134" t="s">
        <v>578</v>
      </c>
      <c r="B134" t="s">
        <v>42</v>
      </c>
      <c r="C134">
        <v>73725129</v>
      </c>
      <c r="D134" t="s">
        <v>2</v>
      </c>
      <c r="E134" t="s">
        <v>501</v>
      </c>
      <c r="F134" t="s">
        <v>575</v>
      </c>
      <c r="G134" s="56">
        <v>45398</v>
      </c>
      <c r="H134">
        <v>24</v>
      </c>
      <c r="I134" t="s">
        <v>158</v>
      </c>
      <c r="J134" s="56"/>
    </row>
    <row r="135" spans="1:10" x14ac:dyDescent="0.25">
      <c r="A135" t="s">
        <v>578</v>
      </c>
      <c r="B135" t="s">
        <v>40</v>
      </c>
      <c r="C135">
        <v>60976055</v>
      </c>
      <c r="D135" t="s">
        <v>4</v>
      </c>
      <c r="E135" t="s">
        <v>501</v>
      </c>
      <c r="F135" t="s">
        <v>575</v>
      </c>
      <c r="G135" s="56">
        <v>45433</v>
      </c>
      <c r="H135">
        <v>23</v>
      </c>
      <c r="I135" t="s">
        <v>159</v>
      </c>
      <c r="J135" s="56"/>
    </row>
    <row r="136" spans="1:10" x14ac:dyDescent="0.25">
      <c r="A136" t="s">
        <v>578</v>
      </c>
      <c r="B136" t="s">
        <v>81</v>
      </c>
      <c r="C136">
        <v>72716299</v>
      </c>
      <c r="D136" t="s">
        <v>6</v>
      </c>
      <c r="E136" t="s">
        <v>501</v>
      </c>
      <c r="F136" t="s">
        <v>575</v>
      </c>
      <c r="G136" s="56">
        <v>45511</v>
      </c>
      <c r="H136">
        <v>20</v>
      </c>
      <c r="I136" t="s">
        <v>161</v>
      </c>
      <c r="J136" s="56"/>
    </row>
    <row r="137" spans="1:10" x14ac:dyDescent="0.25">
      <c r="A137" t="s">
        <v>578</v>
      </c>
      <c r="B137" t="s">
        <v>32</v>
      </c>
      <c r="C137">
        <v>48584670</v>
      </c>
      <c r="D137" t="s">
        <v>3</v>
      </c>
      <c r="E137" t="s">
        <v>501</v>
      </c>
      <c r="F137" t="s">
        <v>575</v>
      </c>
      <c r="G137" s="56">
        <v>45526</v>
      </c>
      <c r="H137">
        <v>20</v>
      </c>
      <c r="I137" t="s">
        <v>159</v>
      </c>
      <c r="J137" s="56"/>
    </row>
    <row r="138" spans="1:10" x14ac:dyDescent="0.25">
      <c r="A138" t="s">
        <v>578</v>
      </c>
      <c r="B138" t="s">
        <v>57</v>
      </c>
      <c r="C138">
        <v>74996029</v>
      </c>
      <c r="D138" t="s">
        <v>4</v>
      </c>
      <c r="E138" t="s">
        <v>501</v>
      </c>
      <c r="F138" t="s">
        <v>575</v>
      </c>
      <c r="G138" s="56">
        <v>45589</v>
      </c>
      <c r="H138">
        <v>18</v>
      </c>
      <c r="I138" t="s">
        <v>159</v>
      </c>
      <c r="J138" s="56"/>
    </row>
    <row r="139" spans="1:10" x14ac:dyDescent="0.25">
      <c r="A139" t="s">
        <v>578</v>
      </c>
      <c r="B139" t="s">
        <v>27</v>
      </c>
      <c r="C139">
        <v>73203775</v>
      </c>
      <c r="D139" t="s">
        <v>2</v>
      </c>
      <c r="E139" t="s">
        <v>577</v>
      </c>
      <c r="F139" t="s">
        <v>575</v>
      </c>
      <c r="G139" s="56">
        <v>45677</v>
      </c>
      <c r="H139">
        <v>10</v>
      </c>
      <c r="I139" t="s">
        <v>158</v>
      </c>
      <c r="J139" s="56">
        <v>45991</v>
      </c>
    </row>
    <row r="140" spans="1:10" x14ac:dyDescent="0.25">
      <c r="A140" t="s">
        <v>578</v>
      </c>
      <c r="B140" t="s">
        <v>51</v>
      </c>
      <c r="C140">
        <v>76089925</v>
      </c>
      <c r="D140" t="s">
        <v>7</v>
      </c>
      <c r="E140" t="s">
        <v>501</v>
      </c>
      <c r="F140" t="s">
        <v>575</v>
      </c>
      <c r="G140" s="56">
        <v>45678</v>
      </c>
      <c r="H140">
        <v>15</v>
      </c>
      <c r="I140" t="s">
        <v>160</v>
      </c>
      <c r="J140" s="56"/>
    </row>
    <row r="141" spans="1:10" x14ac:dyDescent="0.25">
      <c r="A141" t="s">
        <v>578</v>
      </c>
      <c r="B141" t="s">
        <v>72</v>
      </c>
      <c r="C141">
        <v>47690367</v>
      </c>
      <c r="D141" t="s">
        <v>7</v>
      </c>
      <c r="E141" t="s">
        <v>501</v>
      </c>
      <c r="F141" t="s">
        <v>575</v>
      </c>
      <c r="G141" s="56">
        <v>45691</v>
      </c>
      <c r="H141">
        <v>15</v>
      </c>
      <c r="I141" t="s">
        <v>160</v>
      </c>
      <c r="J141" s="56"/>
    </row>
    <row r="142" spans="1:10" x14ac:dyDescent="0.25">
      <c r="A142" t="s">
        <v>578</v>
      </c>
      <c r="B142" t="s">
        <v>53</v>
      </c>
      <c r="C142">
        <v>46587976</v>
      </c>
      <c r="D142" t="s">
        <v>7</v>
      </c>
      <c r="E142" t="s">
        <v>577</v>
      </c>
      <c r="F142" t="s">
        <v>575</v>
      </c>
      <c r="G142" s="56">
        <v>45726</v>
      </c>
      <c r="H142">
        <v>8</v>
      </c>
      <c r="I142" t="s">
        <v>160</v>
      </c>
      <c r="J142" s="56">
        <v>45991</v>
      </c>
    </row>
    <row r="143" spans="1:10" x14ac:dyDescent="0.25">
      <c r="A143" t="s">
        <v>578</v>
      </c>
      <c r="B143" t="s">
        <v>105</v>
      </c>
      <c r="C143">
        <v>48344037</v>
      </c>
      <c r="D143" t="s">
        <v>4</v>
      </c>
      <c r="E143" t="s">
        <v>577</v>
      </c>
      <c r="F143" t="s">
        <v>575</v>
      </c>
      <c r="G143" s="56">
        <v>45748</v>
      </c>
      <c r="H143">
        <v>7</v>
      </c>
      <c r="I143" t="s">
        <v>159</v>
      </c>
      <c r="J143" s="56">
        <v>45991</v>
      </c>
    </row>
    <row r="144" spans="1:10" x14ac:dyDescent="0.25">
      <c r="A144" t="s">
        <v>578</v>
      </c>
      <c r="B144" t="s">
        <v>50</v>
      </c>
      <c r="C144">
        <v>72733809</v>
      </c>
      <c r="D144" t="s">
        <v>6</v>
      </c>
      <c r="E144" t="s">
        <v>501</v>
      </c>
      <c r="F144" t="s">
        <v>575</v>
      </c>
      <c r="G144" s="56">
        <v>45789</v>
      </c>
      <c r="H144">
        <v>11</v>
      </c>
      <c r="I144" t="s">
        <v>161</v>
      </c>
      <c r="J144" s="56"/>
    </row>
    <row r="145" spans="1:10" x14ac:dyDescent="0.25">
      <c r="A145" t="s">
        <v>578</v>
      </c>
      <c r="B145" t="s">
        <v>43</v>
      </c>
      <c r="C145">
        <v>74799185</v>
      </c>
      <c r="D145" t="s">
        <v>2</v>
      </c>
      <c r="E145" t="s">
        <v>577</v>
      </c>
      <c r="F145" t="s">
        <v>575</v>
      </c>
      <c r="G145" s="56">
        <v>45792</v>
      </c>
      <c r="H145">
        <v>6</v>
      </c>
      <c r="I145" t="s">
        <v>158</v>
      </c>
      <c r="J145" s="56">
        <v>45978</v>
      </c>
    </row>
    <row r="146" spans="1:10" x14ac:dyDescent="0.25">
      <c r="A146" t="s">
        <v>578</v>
      </c>
      <c r="B146" t="s">
        <v>44</v>
      </c>
      <c r="C146">
        <v>45468175</v>
      </c>
      <c r="D146" t="s">
        <v>3</v>
      </c>
      <c r="E146" t="s">
        <v>501</v>
      </c>
      <c r="F146" t="s">
        <v>575</v>
      </c>
      <c r="G146" s="56">
        <v>45799</v>
      </c>
      <c r="H146">
        <v>11</v>
      </c>
      <c r="I146" t="s">
        <v>159</v>
      </c>
      <c r="J146" s="56"/>
    </row>
    <row r="147" spans="1:10" x14ac:dyDescent="0.25">
      <c r="A147" t="s">
        <v>578</v>
      </c>
      <c r="B147" t="s">
        <v>38</v>
      </c>
      <c r="C147">
        <v>47411966</v>
      </c>
      <c r="D147" t="s">
        <v>2</v>
      </c>
      <c r="E147" t="s">
        <v>501</v>
      </c>
      <c r="F147" t="s">
        <v>575</v>
      </c>
      <c r="G147" s="56">
        <v>45800</v>
      </c>
      <c r="H147">
        <v>11</v>
      </c>
      <c r="I147" t="s">
        <v>158</v>
      </c>
      <c r="J147" s="56"/>
    </row>
    <row r="148" spans="1:10" x14ac:dyDescent="0.25">
      <c r="A148" t="s">
        <v>578</v>
      </c>
      <c r="B148" t="s">
        <v>55</v>
      </c>
      <c r="C148">
        <v>45119892</v>
      </c>
      <c r="D148" t="s">
        <v>5</v>
      </c>
      <c r="E148" t="s">
        <v>501</v>
      </c>
      <c r="F148" t="s">
        <v>575</v>
      </c>
      <c r="G148" s="56">
        <v>45813</v>
      </c>
      <c r="H148">
        <v>11</v>
      </c>
      <c r="I148" t="s">
        <v>160</v>
      </c>
      <c r="J148" s="56"/>
    </row>
    <row r="149" spans="1:10" x14ac:dyDescent="0.25">
      <c r="A149" t="s">
        <v>578</v>
      </c>
      <c r="B149" t="s">
        <v>54</v>
      </c>
      <c r="C149">
        <v>70155949</v>
      </c>
      <c r="D149" t="s">
        <v>5</v>
      </c>
      <c r="E149" t="s">
        <v>577</v>
      </c>
      <c r="F149" t="s">
        <v>575</v>
      </c>
      <c r="G149" s="56">
        <v>45814</v>
      </c>
      <c r="H149">
        <v>5</v>
      </c>
      <c r="I149" t="s">
        <v>160</v>
      </c>
      <c r="J149" s="56">
        <v>45991</v>
      </c>
    </row>
    <row r="150" spans="1:10" x14ac:dyDescent="0.25">
      <c r="A150" t="s">
        <v>578</v>
      </c>
      <c r="B150" t="s">
        <v>60</v>
      </c>
      <c r="C150">
        <v>72839865</v>
      </c>
      <c r="D150" t="s">
        <v>4</v>
      </c>
      <c r="E150" t="s">
        <v>501</v>
      </c>
      <c r="F150" t="s">
        <v>575</v>
      </c>
      <c r="G150" s="56">
        <v>45854</v>
      </c>
      <c r="H150">
        <v>9</v>
      </c>
      <c r="I150" t="s">
        <v>159</v>
      </c>
      <c r="J150" s="56"/>
    </row>
    <row r="151" spans="1:10" x14ac:dyDescent="0.25">
      <c r="A151" t="s">
        <v>578</v>
      </c>
      <c r="B151" t="s">
        <v>93</v>
      </c>
      <c r="C151">
        <v>47322258</v>
      </c>
      <c r="D151" t="s">
        <v>4</v>
      </c>
      <c r="E151" t="s">
        <v>501</v>
      </c>
      <c r="F151" t="s">
        <v>575</v>
      </c>
      <c r="G151" s="56">
        <v>45880</v>
      </c>
      <c r="H151">
        <v>8</v>
      </c>
      <c r="I151" t="s">
        <v>159</v>
      </c>
      <c r="J151" s="56"/>
    </row>
    <row r="152" spans="1:10" x14ac:dyDescent="0.25">
      <c r="A152" t="s">
        <v>578</v>
      </c>
      <c r="B152" t="s">
        <v>92</v>
      </c>
      <c r="C152">
        <v>73040632</v>
      </c>
      <c r="D152" t="s">
        <v>7</v>
      </c>
      <c r="E152" t="s">
        <v>577</v>
      </c>
      <c r="F152" t="s">
        <v>575</v>
      </c>
      <c r="G152" s="56">
        <v>45880</v>
      </c>
      <c r="H152">
        <v>2</v>
      </c>
      <c r="I152" t="s">
        <v>160</v>
      </c>
      <c r="J152" s="56">
        <v>45968</v>
      </c>
    </row>
    <row r="153" spans="1:10" x14ac:dyDescent="0.25">
      <c r="A153" t="s">
        <v>578</v>
      </c>
      <c r="B153" t="s">
        <v>96</v>
      </c>
      <c r="C153">
        <v>46793103</v>
      </c>
      <c r="D153" t="s">
        <v>5</v>
      </c>
      <c r="E153" t="s">
        <v>501</v>
      </c>
      <c r="F153" t="s">
        <v>575</v>
      </c>
      <c r="G153" s="56">
        <v>45882</v>
      </c>
      <c r="H153">
        <v>8</v>
      </c>
      <c r="I153" t="s">
        <v>160</v>
      </c>
      <c r="J153" s="56"/>
    </row>
    <row r="154" spans="1:10" x14ac:dyDescent="0.25">
      <c r="A154" t="s">
        <v>578</v>
      </c>
      <c r="B154" t="s">
        <v>97</v>
      </c>
      <c r="C154">
        <v>74602206</v>
      </c>
      <c r="D154" t="s">
        <v>3</v>
      </c>
      <c r="E154" t="s">
        <v>501</v>
      </c>
      <c r="F154" t="s">
        <v>575</v>
      </c>
      <c r="G154" s="56">
        <v>45884</v>
      </c>
      <c r="H154">
        <v>8</v>
      </c>
      <c r="I154" t="s">
        <v>159</v>
      </c>
      <c r="J154" s="56"/>
    </row>
    <row r="155" spans="1:10" x14ac:dyDescent="0.25">
      <c r="A155" t="s">
        <v>578</v>
      </c>
      <c r="B155" t="s">
        <v>100</v>
      </c>
      <c r="C155">
        <v>41285428</v>
      </c>
      <c r="D155" t="s">
        <v>5</v>
      </c>
      <c r="E155" t="s">
        <v>577</v>
      </c>
      <c r="F155" t="s">
        <v>575</v>
      </c>
      <c r="G155" s="56">
        <v>45890</v>
      </c>
      <c r="H155">
        <v>2</v>
      </c>
      <c r="I155" t="s">
        <v>160</v>
      </c>
      <c r="J155" s="56">
        <v>45979</v>
      </c>
    </row>
    <row r="156" spans="1:10" x14ac:dyDescent="0.25">
      <c r="A156" t="s">
        <v>578</v>
      </c>
      <c r="B156" t="s">
        <v>114</v>
      </c>
      <c r="C156">
        <v>47005973</v>
      </c>
      <c r="D156" t="s">
        <v>7</v>
      </c>
      <c r="E156" t="s">
        <v>501</v>
      </c>
      <c r="F156" t="s">
        <v>575</v>
      </c>
      <c r="G156" s="56">
        <v>45912</v>
      </c>
      <c r="H156">
        <v>7</v>
      </c>
      <c r="I156" t="s">
        <v>160</v>
      </c>
      <c r="J156" s="56"/>
    </row>
    <row r="157" spans="1:10" x14ac:dyDescent="0.25">
      <c r="A157" t="s">
        <v>578</v>
      </c>
      <c r="B157" t="s">
        <v>122</v>
      </c>
      <c r="C157">
        <v>76586998</v>
      </c>
      <c r="D157" t="s">
        <v>7</v>
      </c>
      <c r="E157" t="s">
        <v>501</v>
      </c>
      <c r="F157" t="s">
        <v>575</v>
      </c>
      <c r="G157" s="56">
        <v>45971</v>
      </c>
      <c r="H157">
        <v>5</v>
      </c>
      <c r="I157" t="s">
        <v>160</v>
      </c>
      <c r="J157" s="56"/>
    </row>
    <row r="158" spans="1:10" x14ac:dyDescent="0.25">
      <c r="A158" t="s">
        <v>579</v>
      </c>
      <c r="B158" t="s">
        <v>219</v>
      </c>
      <c r="C158">
        <v>74122258</v>
      </c>
      <c r="D158" t="s">
        <v>6</v>
      </c>
      <c r="E158" t="s">
        <v>133</v>
      </c>
      <c r="F158" t="s">
        <v>575</v>
      </c>
      <c r="G158" s="56">
        <v>44022</v>
      </c>
      <c r="H158">
        <v>69</v>
      </c>
      <c r="I158" t="s">
        <v>209</v>
      </c>
      <c r="J158" s="56"/>
    </row>
    <row r="159" spans="1:10" x14ac:dyDescent="0.25">
      <c r="A159" t="s">
        <v>579</v>
      </c>
      <c r="B159" t="s">
        <v>248</v>
      </c>
      <c r="C159">
        <v>44265602</v>
      </c>
      <c r="D159" t="s">
        <v>2</v>
      </c>
      <c r="E159" t="s">
        <v>133</v>
      </c>
      <c r="F159" t="s">
        <v>575</v>
      </c>
      <c r="G159" s="56">
        <v>44673</v>
      </c>
      <c r="H159">
        <v>48</v>
      </c>
      <c r="I159" t="s">
        <v>209</v>
      </c>
      <c r="J159" s="56"/>
    </row>
    <row r="160" spans="1:10" x14ac:dyDescent="0.25">
      <c r="A160" t="s">
        <v>579</v>
      </c>
      <c r="B160" t="s">
        <v>226</v>
      </c>
      <c r="C160">
        <v>73049631</v>
      </c>
      <c r="D160" t="s">
        <v>3</v>
      </c>
      <c r="E160" t="s">
        <v>133</v>
      </c>
      <c r="F160" t="s">
        <v>575</v>
      </c>
      <c r="G160" s="56">
        <v>43506</v>
      </c>
      <c r="H160">
        <v>86</v>
      </c>
      <c r="I160" t="s">
        <v>159</v>
      </c>
      <c r="J160" s="56"/>
    </row>
    <row r="161" spans="1:10" x14ac:dyDescent="0.25">
      <c r="A161" t="s">
        <v>579</v>
      </c>
      <c r="B161" t="s">
        <v>214</v>
      </c>
      <c r="C161">
        <v>46872195</v>
      </c>
      <c r="D161" t="s">
        <v>7</v>
      </c>
      <c r="E161" t="s">
        <v>133</v>
      </c>
      <c r="F161" t="s">
        <v>575</v>
      </c>
      <c r="G161" s="56">
        <v>43805</v>
      </c>
      <c r="H161">
        <v>77</v>
      </c>
      <c r="I161" t="s">
        <v>175</v>
      </c>
      <c r="J161" s="56"/>
    </row>
    <row r="162" spans="1:10" x14ac:dyDescent="0.25">
      <c r="A162" t="s">
        <v>579</v>
      </c>
      <c r="B162" t="s">
        <v>224</v>
      </c>
      <c r="C162">
        <v>70984733</v>
      </c>
      <c r="D162" t="s">
        <v>4</v>
      </c>
      <c r="E162" t="s">
        <v>133</v>
      </c>
      <c r="F162" t="s">
        <v>575</v>
      </c>
      <c r="G162" s="56">
        <v>43466</v>
      </c>
      <c r="H162">
        <v>88</v>
      </c>
      <c r="I162" t="s">
        <v>159</v>
      </c>
      <c r="J162" s="56"/>
    </row>
    <row r="163" spans="1:10" x14ac:dyDescent="0.25">
      <c r="A163" t="s">
        <v>579</v>
      </c>
      <c r="B163" t="s">
        <v>29</v>
      </c>
      <c r="C163">
        <v>72758956</v>
      </c>
      <c r="D163" t="s">
        <v>2</v>
      </c>
      <c r="E163" t="s">
        <v>501</v>
      </c>
      <c r="F163" t="s">
        <v>575</v>
      </c>
      <c r="G163" s="56">
        <v>44685</v>
      </c>
      <c r="H163">
        <v>48</v>
      </c>
      <c r="I163" t="s">
        <v>204</v>
      </c>
      <c r="J163" s="56"/>
    </row>
    <row r="164" spans="1:10" x14ac:dyDescent="0.25">
      <c r="A164" t="s">
        <v>579</v>
      </c>
      <c r="B164" t="s">
        <v>15</v>
      </c>
      <c r="C164">
        <v>47587400</v>
      </c>
      <c r="D164" t="s">
        <v>2</v>
      </c>
      <c r="E164" t="s">
        <v>501</v>
      </c>
      <c r="F164" t="s">
        <v>575</v>
      </c>
      <c r="G164" s="56">
        <v>44733</v>
      </c>
      <c r="H164">
        <v>46</v>
      </c>
      <c r="I164" t="s">
        <v>204</v>
      </c>
      <c r="J164" s="56"/>
    </row>
    <row r="165" spans="1:10" x14ac:dyDescent="0.25">
      <c r="A165" t="s">
        <v>579</v>
      </c>
      <c r="B165" t="s">
        <v>76</v>
      </c>
      <c r="C165">
        <v>60914051</v>
      </c>
      <c r="D165" t="s">
        <v>2</v>
      </c>
      <c r="E165" t="s">
        <v>501</v>
      </c>
      <c r="F165" t="s">
        <v>575</v>
      </c>
      <c r="G165" s="56">
        <v>44817</v>
      </c>
      <c r="H165">
        <v>43</v>
      </c>
      <c r="I165" t="s">
        <v>204</v>
      </c>
      <c r="J165" s="56"/>
    </row>
    <row r="166" spans="1:10" x14ac:dyDescent="0.25">
      <c r="A166" t="s">
        <v>579</v>
      </c>
      <c r="B166" t="s">
        <v>25</v>
      </c>
      <c r="C166">
        <v>72373931</v>
      </c>
      <c r="D166" t="s">
        <v>2</v>
      </c>
      <c r="E166" t="s">
        <v>501</v>
      </c>
      <c r="F166" t="s">
        <v>575</v>
      </c>
      <c r="G166" s="56">
        <v>44818</v>
      </c>
      <c r="H166">
        <v>43</v>
      </c>
      <c r="I166" t="s">
        <v>204</v>
      </c>
      <c r="J166" s="56"/>
    </row>
    <row r="167" spans="1:10" x14ac:dyDescent="0.25">
      <c r="A167" t="s">
        <v>579</v>
      </c>
      <c r="B167" t="s">
        <v>78</v>
      </c>
      <c r="C167">
        <v>10706451</v>
      </c>
      <c r="D167" t="s">
        <v>2</v>
      </c>
      <c r="E167" t="s">
        <v>501</v>
      </c>
      <c r="F167" t="s">
        <v>575</v>
      </c>
      <c r="G167" s="56">
        <v>44943</v>
      </c>
      <c r="H167">
        <v>39</v>
      </c>
      <c r="I167" t="s">
        <v>204</v>
      </c>
      <c r="J167" s="56"/>
    </row>
    <row r="168" spans="1:10" x14ac:dyDescent="0.25">
      <c r="A168" t="s">
        <v>579</v>
      </c>
      <c r="B168" t="s">
        <v>79</v>
      </c>
      <c r="C168">
        <v>71262377</v>
      </c>
      <c r="D168" t="s">
        <v>2</v>
      </c>
      <c r="E168" t="s">
        <v>501</v>
      </c>
      <c r="F168" t="s">
        <v>575</v>
      </c>
      <c r="G168" s="56">
        <v>45145</v>
      </c>
      <c r="H168">
        <v>32</v>
      </c>
      <c r="I168" t="s">
        <v>204</v>
      </c>
      <c r="J168" s="56"/>
    </row>
    <row r="169" spans="1:10" x14ac:dyDescent="0.25">
      <c r="A169" t="s">
        <v>579</v>
      </c>
      <c r="B169" t="s">
        <v>68</v>
      </c>
      <c r="C169">
        <v>73257316</v>
      </c>
      <c r="D169" t="s">
        <v>2</v>
      </c>
      <c r="E169" t="s">
        <v>501</v>
      </c>
      <c r="F169" t="s">
        <v>575</v>
      </c>
      <c r="G169" s="56">
        <v>45363</v>
      </c>
      <c r="H169">
        <v>25</v>
      </c>
      <c r="I169" t="s">
        <v>204</v>
      </c>
      <c r="J169" s="56"/>
    </row>
    <row r="170" spans="1:10" x14ac:dyDescent="0.25">
      <c r="A170" t="s">
        <v>579</v>
      </c>
      <c r="B170" t="s">
        <v>42</v>
      </c>
      <c r="C170">
        <v>73725129</v>
      </c>
      <c r="D170" t="s">
        <v>2</v>
      </c>
      <c r="E170" t="s">
        <v>501</v>
      </c>
      <c r="F170" t="s">
        <v>575</v>
      </c>
      <c r="G170" s="56">
        <v>45398</v>
      </c>
      <c r="H170">
        <v>24</v>
      </c>
      <c r="I170" t="s">
        <v>204</v>
      </c>
      <c r="J170" s="56"/>
    </row>
    <row r="171" spans="1:10" x14ac:dyDescent="0.25">
      <c r="A171" t="s">
        <v>579</v>
      </c>
      <c r="B171" t="s">
        <v>38</v>
      </c>
      <c r="C171">
        <v>47411966</v>
      </c>
      <c r="D171" t="s">
        <v>2</v>
      </c>
      <c r="E171" t="s">
        <v>501</v>
      </c>
      <c r="F171" t="s">
        <v>575</v>
      </c>
      <c r="G171" s="56">
        <v>45800</v>
      </c>
      <c r="H171">
        <v>11</v>
      </c>
      <c r="I171" t="s">
        <v>204</v>
      </c>
      <c r="J171" s="56"/>
    </row>
    <row r="172" spans="1:10" x14ac:dyDescent="0.25">
      <c r="A172" t="s">
        <v>579</v>
      </c>
      <c r="B172" t="s">
        <v>26</v>
      </c>
      <c r="C172">
        <v>41005089</v>
      </c>
      <c r="D172" t="s">
        <v>6</v>
      </c>
      <c r="E172" t="s">
        <v>501</v>
      </c>
      <c r="F172" t="s">
        <v>575</v>
      </c>
      <c r="G172" s="56">
        <v>44257</v>
      </c>
      <c r="H172">
        <v>62</v>
      </c>
      <c r="I172" t="s">
        <v>203</v>
      </c>
      <c r="J172" s="56"/>
    </row>
    <row r="173" spans="1:10" x14ac:dyDescent="0.25">
      <c r="A173" t="s">
        <v>579</v>
      </c>
      <c r="B173" t="s">
        <v>19</v>
      </c>
      <c r="C173">
        <v>76656128</v>
      </c>
      <c r="D173" t="s">
        <v>6</v>
      </c>
      <c r="E173" t="s">
        <v>501</v>
      </c>
      <c r="F173" t="s">
        <v>575</v>
      </c>
      <c r="G173" s="56">
        <v>44671</v>
      </c>
      <c r="H173">
        <v>48</v>
      </c>
      <c r="I173" t="s">
        <v>203</v>
      </c>
      <c r="J173" s="56"/>
    </row>
    <row r="174" spans="1:10" x14ac:dyDescent="0.25">
      <c r="A174" t="s">
        <v>579</v>
      </c>
      <c r="B174" t="s">
        <v>35</v>
      </c>
      <c r="C174">
        <v>10491198</v>
      </c>
      <c r="D174" t="s">
        <v>6</v>
      </c>
      <c r="E174" t="s">
        <v>501</v>
      </c>
      <c r="F174" t="s">
        <v>575</v>
      </c>
      <c r="G174" s="56">
        <v>44746</v>
      </c>
      <c r="H174">
        <v>46</v>
      </c>
      <c r="I174" t="s">
        <v>203</v>
      </c>
      <c r="J174" s="56"/>
    </row>
    <row r="175" spans="1:10" x14ac:dyDescent="0.25">
      <c r="A175" t="s">
        <v>579</v>
      </c>
      <c r="B175" t="s">
        <v>37</v>
      </c>
      <c r="C175">
        <v>70988976</v>
      </c>
      <c r="D175" t="s">
        <v>6</v>
      </c>
      <c r="E175" t="s">
        <v>501</v>
      </c>
      <c r="F175" t="s">
        <v>575</v>
      </c>
      <c r="G175" s="56">
        <v>45112</v>
      </c>
      <c r="H175">
        <v>34</v>
      </c>
      <c r="I175" t="s">
        <v>203</v>
      </c>
      <c r="J175" s="56"/>
    </row>
    <row r="176" spans="1:10" x14ac:dyDescent="0.25">
      <c r="A176" t="s">
        <v>579</v>
      </c>
      <c r="B176" t="s">
        <v>34</v>
      </c>
      <c r="C176">
        <v>76824571</v>
      </c>
      <c r="D176" t="s">
        <v>6</v>
      </c>
      <c r="E176" t="s">
        <v>501</v>
      </c>
      <c r="F176" t="s">
        <v>575</v>
      </c>
      <c r="G176" s="56">
        <v>45173</v>
      </c>
      <c r="H176">
        <v>32</v>
      </c>
      <c r="I176" t="s">
        <v>203</v>
      </c>
      <c r="J176" s="56"/>
    </row>
    <row r="177" spans="1:10" x14ac:dyDescent="0.25">
      <c r="A177" t="s">
        <v>579</v>
      </c>
      <c r="B177" t="s">
        <v>80</v>
      </c>
      <c r="C177">
        <v>45084594</v>
      </c>
      <c r="D177" t="s">
        <v>6</v>
      </c>
      <c r="E177" t="s">
        <v>501</v>
      </c>
      <c r="F177" t="s">
        <v>575</v>
      </c>
      <c r="G177" s="56">
        <v>45281</v>
      </c>
      <c r="H177">
        <v>28</v>
      </c>
      <c r="I177" t="s">
        <v>203</v>
      </c>
      <c r="J177" s="56"/>
    </row>
    <row r="178" spans="1:10" x14ac:dyDescent="0.25">
      <c r="A178" t="s">
        <v>579</v>
      </c>
      <c r="B178" t="s">
        <v>11</v>
      </c>
      <c r="C178">
        <v>45139159</v>
      </c>
      <c r="D178" t="s">
        <v>6</v>
      </c>
      <c r="E178" t="s">
        <v>501</v>
      </c>
      <c r="F178" t="s">
        <v>575</v>
      </c>
      <c r="G178" s="56">
        <v>45369</v>
      </c>
      <c r="H178">
        <v>25</v>
      </c>
      <c r="I178" t="s">
        <v>203</v>
      </c>
      <c r="J178" s="56"/>
    </row>
    <row r="179" spans="1:10" x14ac:dyDescent="0.25">
      <c r="A179" t="s">
        <v>579</v>
      </c>
      <c r="B179" t="s">
        <v>81</v>
      </c>
      <c r="C179">
        <v>72716299</v>
      </c>
      <c r="D179" t="s">
        <v>6</v>
      </c>
      <c r="E179" t="s">
        <v>501</v>
      </c>
      <c r="F179" t="s">
        <v>575</v>
      </c>
      <c r="G179" s="56">
        <v>45511</v>
      </c>
      <c r="H179">
        <v>20</v>
      </c>
      <c r="I179" t="s">
        <v>203</v>
      </c>
      <c r="J179" s="56"/>
    </row>
    <row r="180" spans="1:10" x14ac:dyDescent="0.25">
      <c r="A180" t="s">
        <v>579</v>
      </c>
      <c r="B180" t="s">
        <v>50</v>
      </c>
      <c r="C180">
        <v>72733809</v>
      </c>
      <c r="D180" t="s">
        <v>6</v>
      </c>
      <c r="E180" t="s">
        <v>501</v>
      </c>
      <c r="F180" t="s">
        <v>575</v>
      </c>
      <c r="G180" s="56">
        <v>45789</v>
      </c>
      <c r="H180">
        <v>11</v>
      </c>
      <c r="I180" t="s">
        <v>203</v>
      </c>
      <c r="J180" s="56"/>
    </row>
    <row r="181" spans="1:10" x14ac:dyDescent="0.25">
      <c r="A181" t="s">
        <v>579</v>
      </c>
      <c r="B181" t="s">
        <v>58</v>
      </c>
      <c r="C181">
        <v>72519113</v>
      </c>
      <c r="D181" t="s">
        <v>7</v>
      </c>
      <c r="E181" t="s">
        <v>501</v>
      </c>
      <c r="F181" t="s">
        <v>575</v>
      </c>
      <c r="G181" s="56">
        <v>43119</v>
      </c>
      <c r="H181">
        <v>99</v>
      </c>
      <c r="I181" t="s">
        <v>175</v>
      </c>
      <c r="J181" s="56"/>
    </row>
    <row r="182" spans="1:10" x14ac:dyDescent="0.25">
      <c r="A182" t="s">
        <v>579</v>
      </c>
      <c r="B182" t="s">
        <v>49</v>
      </c>
      <c r="C182">
        <v>40702064</v>
      </c>
      <c r="D182" t="s">
        <v>7</v>
      </c>
      <c r="E182" t="s">
        <v>501</v>
      </c>
      <c r="F182" t="s">
        <v>575</v>
      </c>
      <c r="G182" s="56">
        <v>43313</v>
      </c>
      <c r="H182">
        <v>93</v>
      </c>
      <c r="I182" t="s">
        <v>175</v>
      </c>
      <c r="J182" s="56"/>
    </row>
    <row r="183" spans="1:10" x14ac:dyDescent="0.25">
      <c r="A183" t="s">
        <v>579</v>
      </c>
      <c r="B183" t="s">
        <v>48</v>
      </c>
      <c r="C183">
        <v>43307898</v>
      </c>
      <c r="D183" t="s">
        <v>7</v>
      </c>
      <c r="E183" t="s">
        <v>501</v>
      </c>
      <c r="F183" t="s">
        <v>575</v>
      </c>
      <c r="G183" s="56">
        <v>44746</v>
      </c>
      <c r="H183">
        <v>46</v>
      </c>
      <c r="I183" t="s">
        <v>175</v>
      </c>
      <c r="J183" s="56"/>
    </row>
    <row r="184" spans="1:10" x14ac:dyDescent="0.25">
      <c r="A184" t="s">
        <v>579</v>
      </c>
      <c r="B184" t="s">
        <v>21</v>
      </c>
      <c r="C184">
        <v>44042880</v>
      </c>
      <c r="D184" t="s">
        <v>7</v>
      </c>
      <c r="E184" t="s">
        <v>577</v>
      </c>
      <c r="F184" t="s">
        <v>575</v>
      </c>
      <c r="G184" s="56">
        <v>44824</v>
      </c>
      <c r="H184">
        <v>39</v>
      </c>
      <c r="I184" t="s">
        <v>175</v>
      </c>
      <c r="J184" s="56">
        <v>46022</v>
      </c>
    </row>
    <row r="185" spans="1:10" x14ac:dyDescent="0.25">
      <c r="A185" t="s">
        <v>579</v>
      </c>
      <c r="B185" t="s">
        <v>77</v>
      </c>
      <c r="C185">
        <v>42251780</v>
      </c>
      <c r="D185" t="s">
        <v>7</v>
      </c>
      <c r="E185" t="s">
        <v>501</v>
      </c>
      <c r="F185" t="s">
        <v>575</v>
      </c>
      <c r="G185" s="56">
        <v>44838</v>
      </c>
      <c r="H185">
        <v>43</v>
      </c>
      <c r="I185" t="s">
        <v>175</v>
      </c>
      <c r="J185" s="56"/>
    </row>
    <row r="186" spans="1:10" x14ac:dyDescent="0.25">
      <c r="A186" t="s">
        <v>579</v>
      </c>
      <c r="B186" t="s">
        <v>12</v>
      </c>
      <c r="C186">
        <v>45262585</v>
      </c>
      <c r="D186" t="s">
        <v>7</v>
      </c>
      <c r="E186" t="s">
        <v>501</v>
      </c>
      <c r="F186" t="s">
        <v>575</v>
      </c>
      <c r="G186" s="56">
        <v>44868</v>
      </c>
      <c r="H186">
        <v>42</v>
      </c>
      <c r="I186" t="s">
        <v>175</v>
      </c>
      <c r="J186" s="56"/>
    </row>
    <row r="187" spans="1:10" x14ac:dyDescent="0.25">
      <c r="A187" t="s">
        <v>579</v>
      </c>
      <c r="B187" t="s">
        <v>73</v>
      </c>
      <c r="C187">
        <v>40318129</v>
      </c>
      <c r="D187" t="s">
        <v>7</v>
      </c>
      <c r="E187" t="s">
        <v>501</v>
      </c>
      <c r="F187" t="s">
        <v>575</v>
      </c>
      <c r="G187" s="56">
        <v>45141</v>
      </c>
      <c r="H187">
        <v>33</v>
      </c>
      <c r="I187" t="s">
        <v>175</v>
      </c>
      <c r="J187" s="56"/>
    </row>
    <row r="188" spans="1:10" x14ac:dyDescent="0.25">
      <c r="A188" t="s">
        <v>579</v>
      </c>
      <c r="B188" t="s">
        <v>41</v>
      </c>
      <c r="C188">
        <v>46461021</v>
      </c>
      <c r="D188" t="s">
        <v>7</v>
      </c>
      <c r="E188" t="s">
        <v>501</v>
      </c>
      <c r="F188" t="s">
        <v>575</v>
      </c>
      <c r="G188" s="56">
        <v>45302</v>
      </c>
      <c r="H188">
        <v>27</v>
      </c>
      <c r="I188" t="s">
        <v>175</v>
      </c>
      <c r="J188" s="56"/>
    </row>
    <row r="189" spans="1:10" x14ac:dyDescent="0.25">
      <c r="A189" t="s">
        <v>579</v>
      </c>
      <c r="B189" t="s">
        <v>40</v>
      </c>
      <c r="C189">
        <v>60976055</v>
      </c>
      <c r="D189" t="s">
        <v>7</v>
      </c>
      <c r="E189" t="s">
        <v>501</v>
      </c>
      <c r="F189" t="s">
        <v>575</v>
      </c>
      <c r="G189" s="56">
        <v>45433</v>
      </c>
      <c r="H189">
        <v>23</v>
      </c>
      <c r="I189" t="s">
        <v>175</v>
      </c>
      <c r="J189" s="56"/>
    </row>
    <row r="190" spans="1:10" x14ac:dyDescent="0.25">
      <c r="A190" t="s">
        <v>579</v>
      </c>
      <c r="B190" t="s">
        <v>51</v>
      </c>
      <c r="C190">
        <v>76089925</v>
      </c>
      <c r="D190" t="s">
        <v>7</v>
      </c>
      <c r="E190" t="s">
        <v>501</v>
      </c>
      <c r="F190" t="s">
        <v>575</v>
      </c>
      <c r="G190" s="56">
        <v>45678</v>
      </c>
      <c r="H190">
        <v>15</v>
      </c>
      <c r="I190" t="s">
        <v>175</v>
      </c>
      <c r="J190" s="56"/>
    </row>
    <row r="191" spans="1:10" x14ac:dyDescent="0.25">
      <c r="A191" t="s">
        <v>579</v>
      </c>
      <c r="B191" t="s">
        <v>97</v>
      </c>
      <c r="C191">
        <v>74602206</v>
      </c>
      <c r="D191" t="s">
        <v>7</v>
      </c>
      <c r="E191" t="s">
        <v>501</v>
      </c>
      <c r="F191" t="s">
        <v>575</v>
      </c>
      <c r="G191" s="56">
        <v>45884</v>
      </c>
      <c r="H191">
        <v>8</v>
      </c>
      <c r="I191" t="s">
        <v>175</v>
      </c>
      <c r="J191" s="56"/>
    </row>
    <row r="192" spans="1:10" x14ac:dyDescent="0.25">
      <c r="A192" t="s">
        <v>579</v>
      </c>
      <c r="B192" t="s">
        <v>114</v>
      </c>
      <c r="C192">
        <v>47005973</v>
      </c>
      <c r="D192" t="s">
        <v>7</v>
      </c>
      <c r="E192" t="s">
        <v>577</v>
      </c>
      <c r="F192" t="s">
        <v>575</v>
      </c>
      <c r="G192" s="56">
        <v>45912</v>
      </c>
      <c r="H192">
        <v>2</v>
      </c>
      <c r="I192" t="s">
        <v>175</v>
      </c>
      <c r="J192" s="56">
        <v>46001</v>
      </c>
    </row>
    <row r="193" spans="1:10" x14ac:dyDescent="0.25">
      <c r="A193" t="s">
        <v>579</v>
      </c>
      <c r="B193" t="s">
        <v>10</v>
      </c>
      <c r="C193">
        <v>40980108</v>
      </c>
      <c r="D193" t="s">
        <v>4</v>
      </c>
      <c r="E193" t="s">
        <v>501</v>
      </c>
      <c r="F193" t="s">
        <v>575</v>
      </c>
      <c r="G193" s="56">
        <v>44704</v>
      </c>
      <c r="H193">
        <v>47</v>
      </c>
      <c r="I193" t="s">
        <v>159</v>
      </c>
      <c r="J193" s="56"/>
    </row>
    <row r="194" spans="1:10" x14ac:dyDescent="0.25">
      <c r="A194" t="s">
        <v>579</v>
      </c>
      <c r="B194" t="s">
        <v>75</v>
      </c>
      <c r="C194">
        <v>71264767</v>
      </c>
      <c r="D194" t="s">
        <v>4</v>
      </c>
      <c r="E194" t="s">
        <v>501</v>
      </c>
      <c r="F194" t="s">
        <v>575</v>
      </c>
      <c r="G194" s="56">
        <v>44714</v>
      </c>
      <c r="H194">
        <v>47</v>
      </c>
      <c r="I194" t="s">
        <v>159</v>
      </c>
      <c r="J194" s="56"/>
    </row>
    <row r="195" spans="1:10" x14ac:dyDescent="0.25">
      <c r="A195" t="s">
        <v>579</v>
      </c>
      <c r="B195" t="s">
        <v>61</v>
      </c>
      <c r="C195">
        <v>44001162</v>
      </c>
      <c r="D195" t="s">
        <v>4</v>
      </c>
      <c r="E195" t="s">
        <v>501</v>
      </c>
      <c r="F195" t="s">
        <v>575</v>
      </c>
      <c r="G195" s="56">
        <v>44907</v>
      </c>
      <c r="H195">
        <v>40</v>
      </c>
      <c r="I195" t="s">
        <v>159</v>
      </c>
      <c r="J195" s="56"/>
    </row>
    <row r="196" spans="1:10" x14ac:dyDescent="0.25">
      <c r="A196" t="s">
        <v>579</v>
      </c>
      <c r="B196" t="s">
        <v>18</v>
      </c>
      <c r="C196">
        <v>76214436</v>
      </c>
      <c r="D196" t="s">
        <v>4</v>
      </c>
      <c r="E196" t="s">
        <v>501</v>
      </c>
      <c r="F196" t="s">
        <v>575</v>
      </c>
      <c r="G196" s="56">
        <v>45132</v>
      </c>
      <c r="H196">
        <v>33</v>
      </c>
      <c r="I196" t="s">
        <v>159</v>
      </c>
      <c r="J196" s="56"/>
    </row>
    <row r="197" spans="1:10" x14ac:dyDescent="0.25">
      <c r="A197" t="s">
        <v>579</v>
      </c>
      <c r="B197" t="s">
        <v>59</v>
      </c>
      <c r="C197">
        <v>60870839</v>
      </c>
      <c r="D197" t="s">
        <v>4</v>
      </c>
      <c r="E197" t="s">
        <v>501</v>
      </c>
      <c r="F197" t="s">
        <v>575</v>
      </c>
      <c r="G197" s="56">
        <v>45344</v>
      </c>
      <c r="H197">
        <v>26</v>
      </c>
      <c r="I197" t="s">
        <v>159</v>
      </c>
      <c r="J197" s="56"/>
    </row>
    <row r="198" spans="1:10" x14ac:dyDescent="0.25">
      <c r="A198" t="s">
        <v>579</v>
      </c>
      <c r="B198" t="s">
        <v>57</v>
      </c>
      <c r="C198">
        <v>74996029</v>
      </c>
      <c r="D198" t="s">
        <v>4</v>
      </c>
      <c r="E198" t="s">
        <v>577</v>
      </c>
      <c r="F198" t="s">
        <v>575</v>
      </c>
      <c r="G198" s="56">
        <v>45589</v>
      </c>
      <c r="H198">
        <v>13</v>
      </c>
      <c r="I198" t="s">
        <v>159</v>
      </c>
      <c r="J198" s="56">
        <v>46007</v>
      </c>
    </row>
    <row r="199" spans="1:10" x14ac:dyDescent="0.25">
      <c r="A199" t="s">
        <v>579</v>
      </c>
      <c r="B199" t="s">
        <v>72</v>
      </c>
      <c r="C199">
        <v>47690367</v>
      </c>
      <c r="D199" t="s">
        <v>4</v>
      </c>
      <c r="E199" t="s">
        <v>501</v>
      </c>
      <c r="F199" t="s">
        <v>575</v>
      </c>
      <c r="G199" s="56">
        <v>45691</v>
      </c>
      <c r="H199">
        <v>15</v>
      </c>
      <c r="I199" t="s">
        <v>159</v>
      </c>
      <c r="J199" s="56"/>
    </row>
    <row r="200" spans="1:10" x14ac:dyDescent="0.25">
      <c r="A200" t="s">
        <v>579</v>
      </c>
      <c r="B200" t="s">
        <v>55</v>
      </c>
      <c r="C200">
        <v>45119892</v>
      </c>
      <c r="D200" t="s">
        <v>4</v>
      </c>
      <c r="E200" t="s">
        <v>501</v>
      </c>
      <c r="F200" t="s">
        <v>575</v>
      </c>
      <c r="G200" s="56">
        <v>45813</v>
      </c>
      <c r="H200">
        <v>11</v>
      </c>
      <c r="I200" t="s">
        <v>159</v>
      </c>
      <c r="J200" s="56"/>
    </row>
    <row r="201" spans="1:10" x14ac:dyDescent="0.25">
      <c r="A201" t="s">
        <v>579</v>
      </c>
      <c r="B201" t="s">
        <v>60</v>
      </c>
      <c r="C201">
        <v>72839865</v>
      </c>
      <c r="D201" t="s">
        <v>4</v>
      </c>
      <c r="E201" t="s">
        <v>501</v>
      </c>
      <c r="F201" t="s">
        <v>575</v>
      </c>
      <c r="G201" s="56">
        <v>45854</v>
      </c>
      <c r="H201">
        <v>9</v>
      </c>
      <c r="I201" t="s">
        <v>159</v>
      </c>
      <c r="J201" s="56"/>
    </row>
    <row r="202" spans="1:10" x14ac:dyDescent="0.25">
      <c r="A202" t="s">
        <v>579</v>
      </c>
      <c r="B202" t="s">
        <v>122</v>
      </c>
      <c r="C202">
        <v>76586998</v>
      </c>
      <c r="D202" t="s">
        <v>4</v>
      </c>
      <c r="E202" t="s">
        <v>501</v>
      </c>
      <c r="F202" t="s">
        <v>575</v>
      </c>
      <c r="G202" s="56">
        <v>45971</v>
      </c>
      <c r="H202">
        <v>5</v>
      </c>
      <c r="I202" t="s">
        <v>159</v>
      </c>
      <c r="J202" s="56"/>
    </row>
    <row r="203" spans="1:10" x14ac:dyDescent="0.25">
      <c r="A203" t="s">
        <v>579</v>
      </c>
      <c r="B203" t="s">
        <v>23</v>
      </c>
      <c r="C203">
        <v>72413556</v>
      </c>
      <c r="D203" t="s">
        <v>3</v>
      </c>
      <c r="E203" t="s">
        <v>501</v>
      </c>
      <c r="F203" t="s">
        <v>575</v>
      </c>
      <c r="G203" s="56">
        <v>44109</v>
      </c>
      <c r="H203">
        <v>67</v>
      </c>
      <c r="I203" t="s">
        <v>159</v>
      </c>
      <c r="J203" s="56"/>
    </row>
    <row r="204" spans="1:10" x14ac:dyDescent="0.25">
      <c r="A204" t="s">
        <v>579</v>
      </c>
      <c r="B204" t="s">
        <v>13</v>
      </c>
      <c r="C204">
        <v>72512391</v>
      </c>
      <c r="D204" t="s">
        <v>3</v>
      </c>
      <c r="E204" t="s">
        <v>501</v>
      </c>
      <c r="F204" t="s">
        <v>575</v>
      </c>
      <c r="G204" s="56">
        <v>44809</v>
      </c>
      <c r="H204">
        <v>44</v>
      </c>
      <c r="I204" t="s">
        <v>159</v>
      </c>
      <c r="J204" s="56"/>
    </row>
    <row r="205" spans="1:10" x14ac:dyDescent="0.25">
      <c r="A205" t="s">
        <v>579</v>
      </c>
      <c r="B205" t="s">
        <v>33</v>
      </c>
      <c r="C205">
        <v>80689573</v>
      </c>
      <c r="D205" t="s">
        <v>3</v>
      </c>
      <c r="E205" t="s">
        <v>501</v>
      </c>
      <c r="F205" t="s">
        <v>575</v>
      </c>
      <c r="G205" s="56">
        <v>44867</v>
      </c>
      <c r="H205">
        <v>42</v>
      </c>
      <c r="I205" t="s">
        <v>159</v>
      </c>
      <c r="J205" s="56"/>
    </row>
    <row r="206" spans="1:10" x14ac:dyDescent="0.25">
      <c r="A206" t="s">
        <v>579</v>
      </c>
      <c r="B206" t="s">
        <v>17</v>
      </c>
      <c r="C206">
        <v>70876605</v>
      </c>
      <c r="D206" t="s">
        <v>3</v>
      </c>
      <c r="E206" t="s">
        <v>501</v>
      </c>
      <c r="F206" t="s">
        <v>575</v>
      </c>
      <c r="G206" s="56">
        <v>44886</v>
      </c>
      <c r="H206">
        <v>41</v>
      </c>
      <c r="I206" t="s">
        <v>159</v>
      </c>
      <c r="J206" s="56"/>
    </row>
    <row r="207" spans="1:10" x14ac:dyDescent="0.25">
      <c r="A207" t="s">
        <v>579</v>
      </c>
      <c r="B207" t="s">
        <v>65</v>
      </c>
      <c r="C207">
        <v>47659267</v>
      </c>
      <c r="D207" t="s">
        <v>3</v>
      </c>
      <c r="E207" t="s">
        <v>501</v>
      </c>
      <c r="F207" t="s">
        <v>575</v>
      </c>
      <c r="G207" s="56">
        <v>45019</v>
      </c>
      <c r="H207">
        <v>37</v>
      </c>
      <c r="I207" t="s">
        <v>159</v>
      </c>
      <c r="J207" s="56"/>
    </row>
    <row r="208" spans="1:10" x14ac:dyDescent="0.25">
      <c r="A208" t="s">
        <v>579</v>
      </c>
      <c r="B208" t="s">
        <v>22</v>
      </c>
      <c r="C208">
        <v>70551168</v>
      </c>
      <c r="D208" t="s">
        <v>3</v>
      </c>
      <c r="E208" t="s">
        <v>501</v>
      </c>
      <c r="F208" t="s">
        <v>575</v>
      </c>
      <c r="G208" s="56">
        <v>45295</v>
      </c>
      <c r="H208">
        <v>28</v>
      </c>
      <c r="I208" t="s">
        <v>159</v>
      </c>
      <c r="J208" s="56"/>
    </row>
    <row r="209" spans="1:10" x14ac:dyDescent="0.25">
      <c r="A209" t="s">
        <v>579</v>
      </c>
      <c r="B209" t="s">
        <v>24</v>
      </c>
      <c r="C209">
        <v>43614775</v>
      </c>
      <c r="D209" t="s">
        <v>3</v>
      </c>
      <c r="E209" t="s">
        <v>501</v>
      </c>
      <c r="F209" t="s">
        <v>575</v>
      </c>
      <c r="G209" s="56">
        <v>45334</v>
      </c>
      <c r="H209">
        <v>26</v>
      </c>
      <c r="I209" t="s">
        <v>159</v>
      </c>
      <c r="J209" s="56"/>
    </row>
    <row r="210" spans="1:10" x14ac:dyDescent="0.25">
      <c r="A210" t="s">
        <v>579</v>
      </c>
      <c r="B210" t="s">
        <v>31</v>
      </c>
      <c r="C210">
        <v>75882265</v>
      </c>
      <c r="D210" t="s">
        <v>3</v>
      </c>
      <c r="E210" t="s">
        <v>501</v>
      </c>
      <c r="F210" t="s">
        <v>575</v>
      </c>
      <c r="G210" s="56">
        <v>45334</v>
      </c>
      <c r="H210">
        <v>26</v>
      </c>
      <c r="I210" t="s">
        <v>159</v>
      </c>
      <c r="J210" s="56"/>
    </row>
    <row r="211" spans="1:10" x14ac:dyDescent="0.25">
      <c r="A211" t="s">
        <v>579</v>
      </c>
      <c r="B211" t="s">
        <v>32</v>
      </c>
      <c r="C211">
        <v>48584670</v>
      </c>
      <c r="D211" t="s">
        <v>3</v>
      </c>
      <c r="E211" t="s">
        <v>501</v>
      </c>
      <c r="F211" t="s">
        <v>575</v>
      </c>
      <c r="G211" s="56">
        <v>45526</v>
      </c>
      <c r="H211">
        <v>20</v>
      </c>
      <c r="I211" t="s">
        <v>159</v>
      </c>
      <c r="J211" s="56"/>
    </row>
    <row r="212" spans="1:10" x14ac:dyDescent="0.25">
      <c r="A212" t="s">
        <v>579</v>
      </c>
      <c r="B212" t="s">
        <v>96</v>
      </c>
      <c r="C212">
        <v>46793103</v>
      </c>
      <c r="D212" t="s">
        <v>3</v>
      </c>
      <c r="E212" t="s">
        <v>501</v>
      </c>
      <c r="F212" t="s">
        <v>575</v>
      </c>
      <c r="G212" s="56">
        <v>45882</v>
      </c>
      <c r="H212">
        <v>8</v>
      </c>
      <c r="I212" t="s">
        <v>159</v>
      </c>
      <c r="J212" s="56"/>
    </row>
    <row r="213" spans="1:10" x14ac:dyDescent="0.25">
      <c r="A213" t="s">
        <v>579</v>
      </c>
      <c r="B213" t="s">
        <v>174</v>
      </c>
      <c r="C213">
        <v>46994661</v>
      </c>
      <c r="D213" t="s">
        <v>7</v>
      </c>
      <c r="E213" t="s">
        <v>501</v>
      </c>
      <c r="F213" t="s">
        <v>575</v>
      </c>
      <c r="G213" s="56">
        <v>45992</v>
      </c>
      <c r="H213">
        <v>5</v>
      </c>
      <c r="I213" t="s">
        <v>175</v>
      </c>
      <c r="J213" s="56"/>
    </row>
    <row r="214" spans="1:10" x14ac:dyDescent="0.25">
      <c r="A214" t="s">
        <v>580</v>
      </c>
      <c r="B214" t="s">
        <v>219</v>
      </c>
      <c r="C214">
        <v>74122258</v>
      </c>
      <c r="D214" t="s">
        <v>6</v>
      </c>
      <c r="E214" t="s">
        <v>133</v>
      </c>
      <c r="F214" t="s">
        <v>575</v>
      </c>
      <c r="G214" s="56">
        <v>44022</v>
      </c>
      <c r="H214">
        <v>69</v>
      </c>
      <c r="I214" t="s">
        <v>209</v>
      </c>
      <c r="J214" s="56"/>
    </row>
    <row r="215" spans="1:10" x14ac:dyDescent="0.25">
      <c r="A215" t="s">
        <v>580</v>
      </c>
      <c r="B215" t="s">
        <v>248</v>
      </c>
      <c r="C215">
        <v>44265602</v>
      </c>
      <c r="D215" t="s">
        <v>2</v>
      </c>
      <c r="E215" t="s">
        <v>133</v>
      </c>
      <c r="F215" t="s">
        <v>575</v>
      </c>
      <c r="G215" s="56">
        <v>44673</v>
      </c>
      <c r="H215">
        <v>48</v>
      </c>
      <c r="I215" t="s">
        <v>209</v>
      </c>
      <c r="J215" s="56"/>
    </row>
    <row r="216" spans="1:10" x14ac:dyDescent="0.25">
      <c r="A216" t="s">
        <v>580</v>
      </c>
      <c r="B216" t="s">
        <v>226</v>
      </c>
      <c r="C216">
        <v>73049631</v>
      </c>
      <c r="D216" t="s">
        <v>3</v>
      </c>
      <c r="E216" t="s">
        <v>133</v>
      </c>
      <c r="F216" t="s">
        <v>575</v>
      </c>
      <c r="G216" s="56">
        <v>43506</v>
      </c>
      <c r="H216">
        <v>86</v>
      </c>
      <c r="I216" t="s">
        <v>159</v>
      </c>
      <c r="J216" s="56"/>
    </row>
    <row r="217" spans="1:10" x14ac:dyDescent="0.25">
      <c r="A217" t="s">
        <v>580</v>
      </c>
      <c r="B217" t="s">
        <v>222</v>
      </c>
      <c r="C217">
        <v>75000131</v>
      </c>
      <c r="D217" t="s">
        <v>125</v>
      </c>
      <c r="E217" t="s">
        <v>133</v>
      </c>
      <c r="F217" t="s">
        <v>575</v>
      </c>
      <c r="G217" s="56">
        <v>44874</v>
      </c>
      <c r="H217">
        <v>41</v>
      </c>
      <c r="I217" t="s">
        <v>175</v>
      </c>
      <c r="J217" s="56"/>
    </row>
    <row r="218" spans="1:10" x14ac:dyDescent="0.25">
      <c r="A218" t="s">
        <v>580</v>
      </c>
      <c r="B218" t="s">
        <v>224</v>
      </c>
      <c r="C218">
        <v>70984733</v>
      </c>
      <c r="D218" t="s">
        <v>4</v>
      </c>
      <c r="E218" t="s">
        <v>133</v>
      </c>
      <c r="F218" t="s">
        <v>575</v>
      </c>
      <c r="G218" s="56">
        <v>43466</v>
      </c>
      <c r="H218">
        <v>88</v>
      </c>
      <c r="I218" t="s">
        <v>159</v>
      </c>
      <c r="J218" s="56"/>
    </row>
    <row r="219" spans="1:10" x14ac:dyDescent="0.25">
      <c r="A219" t="s">
        <v>580</v>
      </c>
      <c r="B219" t="s">
        <v>58</v>
      </c>
      <c r="C219">
        <v>72519113</v>
      </c>
      <c r="D219" t="s">
        <v>125</v>
      </c>
      <c r="E219" t="s">
        <v>501</v>
      </c>
      <c r="F219" t="s">
        <v>575</v>
      </c>
      <c r="G219" s="56">
        <v>43119</v>
      </c>
      <c r="H219">
        <v>99</v>
      </c>
      <c r="I219" t="s">
        <v>175</v>
      </c>
      <c r="J219" s="56"/>
    </row>
    <row r="220" spans="1:10" x14ac:dyDescent="0.25">
      <c r="A220" t="s">
        <v>580</v>
      </c>
      <c r="B220" t="s">
        <v>49</v>
      </c>
      <c r="C220">
        <v>40702064</v>
      </c>
      <c r="D220" t="s">
        <v>125</v>
      </c>
      <c r="E220" t="s">
        <v>500</v>
      </c>
      <c r="F220" t="s">
        <v>575</v>
      </c>
      <c r="G220" s="56">
        <v>43313</v>
      </c>
      <c r="H220">
        <v>93</v>
      </c>
      <c r="I220" t="s">
        <v>175</v>
      </c>
      <c r="J220" s="56"/>
    </row>
    <row r="221" spans="1:10" x14ac:dyDescent="0.25">
      <c r="A221" t="s">
        <v>580</v>
      </c>
      <c r="B221" t="s">
        <v>23</v>
      </c>
      <c r="C221">
        <v>72413556</v>
      </c>
      <c r="D221" t="s">
        <v>3</v>
      </c>
      <c r="E221" t="s">
        <v>501</v>
      </c>
      <c r="F221" t="s">
        <v>575</v>
      </c>
      <c r="G221" s="56">
        <v>44109</v>
      </c>
      <c r="H221">
        <v>67</v>
      </c>
      <c r="I221" t="s">
        <v>159</v>
      </c>
      <c r="J221" s="56"/>
    </row>
    <row r="222" spans="1:10" x14ac:dyDescent="0.25">
      <c r="A222" t="s">
        <v>580</v>
      </c>
      <c r="B222" t="s">
        <v>26</v>
      </c>
      <c r="C222">
        <v>41005089</v>
      </c>
      <c r="D222" t="s">
        <v>6</v>
      </c>
      <c r="E222" t="s">
        <v>501</v>
      </c>
      <c r="F222" t="s">
        <v>575</v>
      </c>
      <c r="G222" s="56">
        <v>44257</v>
      </c>
      <c r="H222">
        <v>62</v>
      </c>
      <c r="I222" t="s">
        <v>159</v>
      </c>
      <c r="J222" s="56"/>
    </row>
    <row r="223" spans="1:10" x14ac:dyDescent="0.25">
      <c r="A223" t="s">
        <v>580</v>
      </c>
      <c r="B223" t="s">
        <v>19</v>
      </c>
      <c r="C223">
        <v>76656128</v>
      </c>
      <c r="D223" t="s">
        <v>6</v>
      </c>
      <c r="E223" t="s">
        <v>501</v>
      </c>
      <c r="F223" t="s">
        <v>575</v>
      </c>
      <c r="G223" s="56">
        <v>44671</v>
      </c>
      <c r="H223">
        <v>48</v>
      </c>
      <c r="I223" t="s">
        <v>159</v>
      </c>
      <c r="J223" s="56"/>
    </row>
    <row r="224" spans="1:10" x14ac:dyDescent="0.25">
      <c r="A224" t="s">
        <v>580</v>
      </c>
      <c r="B224" t="s">
        <v>29</v>
      </c>
      <c r="C224">
        <v>72758956</v>
      </c>
      <c r="D224" t="s">
        <v>2</v>
      </c>
      <c r="E224" t="s">
        <v>501</v>
      </c>
      <c r="F224" t="s">
        <v>575</v>
      </c>
      <c r="G224" s="56">
        <v>44685</v>
      </c>
      <c r="H224">
        <v>48</v>
      </c>
      <c r="I224" t="s">
        <v>209</v>
      </c>
      <c r="J224" s="56"/>
    </row>
    <row r="225" spans="1:10" x14ac:dyDescent="0.25">
      <c r="A225" t="s">
        <v>580</v>
      </c>
      <c r="B225" t="s">
        <v>10</v>
      </c>
      <c r="C225">
        <v>40980108</v>
      </c>
      <c r="D225" t="s">
        <v>4</v>
      </c>
      <c r="E225" t="s">
        <v>501</v>
      </c>
      <c r="F225" t="s">
        <v>575</v>
      </c>
      <c r="G225" s="56">
        <v>44704</v>
      </c>
      <c r="H225">
        <v>47</v>
      </c>
      <c r="I225" t="s">
        <v>159</v>
      </c>
      <c r="J225" s="56"/>
    </row>
    <row r="226" spans="1:10" x14ac:dyDescent="0.25">
      <c r="A226" t="s">
        <v>580</v>
      </c>
      <c r="B226" t="s">
        <v>75</v>
      </c>
      <c r="C226">
        <v>71264767</v>
      </c>
      <c r="D226" t="s">
        <v>4</v>
      </c>
      <c r="E226" t="s">
        <v>501</v>
      </c>
      <c r="F226" t="s">
        <v>575</v>
      </c>
      <c r="G226" s="56">
        <v>44714</v>
      </c>
      <c r="H226">
        <v>47</v>
      </c>
      <c r="I226" t="s">
        <v>159</v>
      </c>
      <c r="J226" s="56"/>
    </row>
    <row r="227" spans="1:10" x14ac:dyDescent="0.25">
      <c r="A227" t="s">
        <v>580</v>
      </c>
      <c r="B227" t="s">
        <v>15</v>
      </c>
      <c r="C227">
        <v>47587400</v>
      </c>
      <c r="D227" t="s">
        <v>2</v>
      </c>
      <c r="E227" t="s">
        <v>501</v>
      </c>
      <c r="F227" t="s">
        <v>575</v>
      </c>
      <c r="G227" s="56">
        <v>44733</v>
      </c>
      <c r="H227">
        <v>46</v>
      </c>
      <c r="I227" t="s">
        <v>209</v>
      </c>
      <c r="J227" s="56"/>
    </row>
    <row r="228" spans="1:10" x14ac:dyDescent="0.25">
      <c r="A228" t="s">
        <v>580</v>
      </c>
      <c r="B228" t="s">
        <v>35</v>
      </c>
      <c r="C228">
        <v>10491198</v>
      </c>
      <c r="D228" t="s">
        <v>6</v>
      </c>
      <c r="E228" t="s">
        <v>501</v>
      </c>
      <c r="F228" t="s">
        <v>575</v>
      </c>
      <c r="G228" s="56">
        <v>44746</v>
      </c>
      <c r="H228">
        <v>46</v>
      </c>
      <c r="I228" t="s">
        <v>159</v>
      </c>
      <c r="J228" s="56"/>
    </row>
    <row r="229" spans="1:10" x14ac:dyDescent="0.25">
      <c r="A229" t="s">
        <v>580</v>
      </c>
      <c r="B229" t="s">
        <v>48</v>
      </c>
      <c r="C229">
        <v>43307898</v>
      </c>
      <c r="D229" t="s">
        <v>125</v>
      </c>
      <c r="E229" t="s">
        <v>501</v>
      </c>
      <c r="F229" t="s">
        <v>575</v>
      </c>
      <c r="G229" s="56">
        <v>44746</v>
      </c>
      <c r="H229">
        <v>46</v>
      </c>
      <c r="I229" t="s">
        <v>175</v>
      </c>
      <c r="J229" s="56"/>
    </row>
    <row r="230" spans="1:10" x14ac:dyDescent="0.25">
      <c r="A230" t="s">
        <v>580</v>
      </c>
      <c r="B230" t="s">
        <v>13</v>
      </c>
      <c r="C230">
        <v>72512391</v>
      </c>
      <c r="D230" t="s">
        <v>3</v>
      </c>
      <c r="E230" t="s">
        <v>501</v>
      </c>
      <c r="F230" t="s">
        <v>575</v>
      </c>
      <c r="G230" s="56">
        <v>44809</v>
      </c>
      <c r="H230">
        <v>44</v>
      </c>
      <c r="I230" t="s">
        <v>159</v>
      </c>
      <c r="J230" s="56"/>
    </row>
    <row r="231" spans="1:10" x14ac:dyDescent="0.25">
      <c r="A231" t="s">
        <v>580</v>
      </c>
      <c r="B231" t="s">
        <v>76</v>
      </c>
      <c r="C231">
        <v>60914051</v>
      </c>
      <c r="D231" t="s">
        <v>2</v>
      </c>
      <c r="E231" t="s">
        <v>501</v>
      </c>
      <c r="F231" t="s">
        <v>575</v>
      </c>
      <c r="G231" s="56">
        <v>44817</v>
      </c>
      <c r="H231">
        <v>43</v>
      </c>
      <c r="I231" t="s">
        <v>209</v>
      </c>
      <c r="J231" s="56"/>
    </row>
    <row r="232" spans="1:10" x14ac:dyDescent="0.25">
      <c r="A232" t="s">
        <v>580</v>
      </c>
      <c r="B232" t="s">
        <v>25</v>
      </c>
      <c r="C232">
        <v>72373931</v>
      </c>
      <c r="D232" t="s">
        <v>2</v>
      </c>
      <c r="E232" t="s">
        <v>501</v>
      </c>
      <c r="F232" t="s">
        <v>575</v>
      </c>
      <c r="G232" s="56">
        <v>44818</v>
      </c>
      <c r="H232">
        <v>43</v>
      </c>
      <c r="I232" t="s">
        <v>209</v>
      </c>
      <c r="J232" s="56"/>
    </row>
    <row r="233" spans="1:10" x14ac:dyDescent="0.25">
      <c r="A233" t="s">
        <v>580</v>
      </c>
      <c r="B233" t="s">
        <v>77</v>
      </c>
      <c r="C233">
        <v>42251780</v>
      </c>
      <c r="D233" t="s">
        <v>125</v>
      </c>
      <c r="E233" t="s">
        <v>501</v>
      </c>
      <c r="F233" t="s">
        <v>575</v>
      </c>
      <c r="G233" s="56">
        <v>44838</v>
      </c>
      <c r="H233">
        <v>43</v>
      </c>
      <c r="I233" t="s">
        <v>175</v>
      </c>
      <c r="J233" s="56"/>
    </row>
    <row r="234" spans="1:10" x14ac:dyDescent="0.25">
      <c r="A234" t="s">
        <v>580</v>
      </c>
      <c r="B234" t="s">
        <v>33</v>
      </c>
      <c r="C234">
        <v>80689573</v>
      </c>
      <c r="D234" t="s">
        <v>3</v>
      </c>
      <c r="E234" t="s">
        <v>501</v>
      </c>
      <c r="F234" t="s">
        <v>575</v>
      </c>
      <c r="G234" s="56">
        <v>44867</v>
      </c>
      <c r="H234">
        <v>42</v>
      </c>
      <c r="I234" t="s">
        <v>159</v>
      </c>
      <c r="J234" s="56"/>
    </row>
    <row r="235" spans="1:10" x14ac:dyDescent="0.25">
      <c r="A235" t="s">
        <v>580</v>
      </c>
      <c r="B235" t="s">
        <v>12</v>
      </c>
      <c r="C235">
        <v>45262585</v>
      </c>
      <c r="D235" t="s">
        <v>4</v>
      </c>
      <c r="E235" t="s">
        <v>501</v>
      </c>
      <c r="F235" t="s">
        <v>575</v>
      </c>
      <c r="G235" s="56">
        <v>44868</v>
      </c>
      <c r="H235">
        <v>42</v>
      </c>
      <c r="I235" t="s">
        <v>159</v>
      </c>
      <c r="J235" s="56"/>
    </row>
    <row r="236" spans="1:10" x14ac:dyDescent="0.25">
      <c r="A236" t="s">
        <v>580</v>
      </c>
      <c r="B236" t="s">
        <v>17</v>
      </c>
      <c r="C236">
        <v>70876605</v>
      </c>
      <c r="D236" t="s">
        <v>3</v>
      </c>
      <c r="E236" t="s">
        <v>501</v>
      </c>
      <c r="F236" t="s">
        <v>575</v>
      </c>
      <c r="G236" s="56">
        <v>44886</v>
      </c>
      <c r="H236">
        <v>41</v>
      </c>
      <c r="I236" t="s">
        <v>159</v>
      </c>
      <c r="J236" s="56"/>
    </row>
    <row r="237" spans="1:10" x14ac:dyDescent="0.25">
      <c r="A237" t="s">
        <v>580</v>
      </c>
      <c r="B237" t="s">
        <v>61</v>
      </c>
      <c r="C237">
        <v>44001162</v>
      </c>
      <c r="D237" t="s">
        <v>4</v>
      </c>
      <c r="E237" t="s">
        <v>500</v>
      </c>
      <c r="F237" t="s">
        <v>575</v>
      </c>
      <c r="G237" s="56">
        <v>44907</v>
      </c>
      <c r="H237">
        <v>40</v>
      </c>
      <c r="I237" t="s">
        <v>159</v>
      </c>
      <c r="J237" s="56"/>
    </row>
    <row r="238" spans="1:10" x14ac:dyDescent="0.25">
      <c r="A238" t="s">
        <v>580</v>
      </c>
      <c r="B238" t="s">
        <v>78</v>
      </c>
      <c r="C238">
        <v>10706451</v>
      </c>
      <c r="D238" t="s">
        <v>2</v>
      </c>
      <c r="E238" t="s">
        <v>501</v>
      </c>
      <c r="F238" t="s">
        <v>575</v>
      </c>
      <c r="G238" s="56">
        <v>44943</v>
      </c>
      <c r="H238">
        <v>39</v>
      </c>
      <c r="I238" t="s">
        <v>209</v>
      </c>
      <c r="J238" s="56"/>
    </row>
    <row r="239" spans="1:10" x14ac:dyDescent="0.25">
      <c r="A239" t="s">
        <v>580</v>
      </c>
      <c r="B239" t="s">
        <v>65</v>
      </c>
      <c r="C239">
        <v>47659267</v>
      </c>
      <c r="D239" t="s">
        <v>3</v>
      </c>
      <c r="E239" t="s">
        <v>501</v>
      </c>
      <c r="F239" t="s">
        <v>575</v>
      </c>
      <c r="G239" s="56">
        <v>45019</v>
      </c>
      <c r="H239">
        <v>37</v>
      </c>
      <c r="I239" t="s">
        <v>159</v>
      </c>
      <c r="J239" s="56"/>
    </row>
    <row r="240" spans="1:10" x14ac:dyDescent="0.25">
      <c r="A240" t="s">
        <v>580</v>
      </c>
      <c r="B240" t="s">
        <v>37</v>
      </c>
      <c r="C240">
        <v>70988976</v>
      </c>
      <c r="D240" t="s">
        <v>6</v>
      </c>
      <c r="E240" t="s">
        <v>501</v>
      </c>
      <c r="F240" t="s">
        <v>575</v>
      </c>
      <c r="G240" s="56">
        <v>45112</v>
      </c>
      <c r="H240">
        <v>34</v>
      </c>
      <c r="I240" t="s">
        <v>159</v>
      </c>
      <c r="J240" s="56"/>
    </row>
    <row r="241" spans="1:10" x14ac:dyDescent="0.25">
      <c r="A241" t="s">
        <v>580</v>
      </c>
      <c r="B241" t="s">
        <v>18</v>
      </c>
      <c r="C241">
        <v>76214436</v>
      </c>
      <c r="D241" t="s">
        <v>4</v>
      </c>
      <c r="E241" t="s">
        <v>501</v>
      </c>
      <c r="F241" t="s">
        <v>575</v>
      </c>
      <c r="G241" s="56">
        <v>45132</v>
      </c>
      <c r="H241">
        <v>33</v>
      </c>
      <c r="I241" t="s">
        <v>159</v>
      </c>
      <c r="J241" s="56"/>
    </row>
    <row r="242" spans="1:10" x14ac:dyDescent="0.25">
      <c r="A242" t="s">
        <v>580</v>
      </c>
      <c r="B242" t="s">
        <v>73</v>
      </c>
      <c r="C242">
        <v>40318129</v>
      </c>
      <c r="D242" t="s">
        <v>125</v>
      </c>
      <c r="E242" t="s">
        <v>501</v>
      </c>
      <c r="F242" t="s">
        <v>575</v>
      </c>
      <c r="G242" s="56">
        <v>45141</v>
      </c>
      <c r="H242">
        <v>33</v>
      </c>
      <c r="I242" t="s">
        <v>175</v>
      </c>
      <c r="J242" s="56"/>
    </row>
    <row r="243" spans="1:10" x14ac:dyDescent="0.25">
      <c r="A243" t="s">
        <v>580</v>
      </c>
      <c r="B243" t="s">
        <v>79</v>
      </c>
      <c r="C243">
        <v>71262377</v>
      </c>
      <c r="D243" t="s">
        <v>2</v>
      </c>
      <c r="E243" t="s">
        <v>501</v>
      </c>
      <c r="F243" t="s">
        <v>575</v>
      </c>
      <c r="G243" s="56">
        <v>45145</v>
      </c>
      <c r="H243">
        <v>32</v>
      </c>
      <c r="I243" t="s">
        <v>209</v>
      </c>
      <c r="J243" s="56"/>
    </row>
    <row r="244" spans="1:10" x14ac:dyDescent="0.25">
      <c r="A244" t="s">
        <v>580</v>
      </c>
      <c r="B244" t="s">
        <v>34</v>
      </c>
      <c r="C244">
        <v>76824571</v>
      </c>
      <c r="D244" t="s">
        <v>6</v>
      </c>
      <c r="E244" t="s">
        <v>501</v>
      </c>
      <c r="F244" t="s">
        <v>575</v>
      </c>
      <c r="G244" s="56">
        <v>45173</v>
      </c>
      <c r="H244">
        <v>32</v>
      </c>
      <c r="I244" t="s">
        <v>159</v>
      </c>
      <c r="J244" s="56"/>
    </row>
    <row r="245" spans="1:10" x14ac:dyDescent="0.25">
      <c r="A245" t="s">
        <v>580</v>
      </c>
      <c r="B245" t="s">
        <v>80</v>
      </c>
      <c r="C245">
        <v>45084594</v>
      </c>
      <c r="D245" t="s">
        <v>6</v>
      </c>
      <c r="E245" t="s">
        <v>501</v>
      </c>
      <c r="F245" t="s">
        <v>575</v>
      </c>
      <c r="G245" s="56">
        <v>45281</v>
      </c>
      <c r="H245">
        <v>28</v>
      </c>
      <c r="I245" t="s">
        <v>159</v>
      </c>
      <c r="J245" s="56"/>
    </row>
    <row r="246" spans="1:10" x14ac:dyDescent="0.25">
      <c r="A246" t="s">
        <v>580</v>
      </c>
      <c r="B246" t="s">
        <v>22</v>
      </c>
      <c r="C246">
        <v>70551168</v>
      </c>
      <c r="D246" t="s">
        <v>3</v>
      </c>
      <c r="E246" t="s">
        <v>500</v>
      </c>
      <c r="F246" t="s">
        <v>575</v>
      </c>
      <c r="G246" s="56">
        <v>45295</v>
      </c>
      <c r="H246">
        <v>28</v>
      </c>
      <c r="I246" t="s">
        <v>159</v>
      </c>
      <c r="J246" s="56"/>
    </row>
    <row r="247" spans="1:10" x14ac:dyDescent="0.25">
      <c r="A247" t="s">
        <v>580</v>
      </c>
      <c r="B247" t="s">
        <v>41</v>
      </c>
      <c r="C247">
        <v>46461021</v>
      </c>
      <c r="D247" t="s">
        <v>125</v>
      </c>
      <c r="E247" t="s">
        <v>501</v>
      </c>
      <c r="F247" t="s">
        <v>575</v>
      </c>
      <c r="G247" s="56">
        <v>45302</v>
      </c>
      <c r="H247">
        <v>27</v>
      </c>
      <c r="I247" t="s">
        <v>175</v>
      </c>
      <c r="J247" s="56"/>
    </row>
    <row r="248" spans="1:10" x14ac:dyDescent="0.25">
      <c r="A248" t="s">
        <v>580</v>
      </c>
      <c r="B248" t="s">
        <v>24</v>
      </c>
      <c r="C248">
        <v>43614775</v>
      </c>
      <c r="D248" t="s">
        <v>3</v>
      </c>
      <c r="E248" t="s">
        <v>501</v>
      </c>
      <c r="F248" t="s">
        <v>575</v>
      </c>
      <c r="G248" s="56">
        <v>45334</v>
      </c>
      <c r="H248">
        <v>26</v>
      </c>
      <c r="I248" t="s">
        <v>159</v>
      </c>
      <c r="J248" s="56"/>
    </row>
    <row r="249" spans="1:10" x14ac:dyDescent="0.25">
      <c r="A249" t="s">
        <v>580</v>
      </c>
      <c r="B249" t="s">
        <v>31</v>
      </c>
      <c r="C249">
        <v>75882265</v>
      </c>
      <c r="D249" t="s">
        <v>3</v>
      </c>
      <c r="E249" t="s">
        <v>501</v>
      </c>
      <c r="F249" t="s">
        <v>575</v>
      </c>
      <c r="G249" s="56">
        <v>45334</v>
      </c>
      <c r="H249">
        <v>26</v>
      </c>
      <c r="I249" t="s">
        <v>159</v>
      </c>
      <c r="J249" s="56"/>
    </row>
    <row r="250" spans="1:10" x14ac:dyDescent="0.25">
      <c r="A250" t="s">
        <v>580</v>
      </c>
      <c r="B250" t="s">
        <v>59</v>
      </c>
      <c r="C250">
        <v>60870839</v>
      </c>
      <c r="D250" t="s">
        <v>4</v>
      </c>
      <c r="E250" t="s">
        <v>501</v>
      </c>
      <c r="F250" t="s">
        <v>575</v>
      </c>
      <c r="G250" s="56">
        <v>45344</v>
      </c>
      <c r="H250">
        <v>26</v>
      </c>
      <c r="I250" t="s">
        <v>159</v>
      </c>
      <c r="J250" s="56"/>
    </row>
    <row r="251" spans="1:10" x14ac:dyDescent="0.25">
      <c r="A251" t="s">
        <v>580</v>
      </c>
      <c r="B251" t="s">
        <v>68</v>
      </c>
      <c r="C251">
        <v>73257316</v>
      </c>
      <c r="D251" t="s">
        <v>2</v>
      </c>
      <c r="E251" t="s">
        <v>501</v>
      </c>
      <c r="F251" t="s">
        <v>575</v>
      </c>
      <c r="G251" s="56">
        <v>45363</v>
      </c>
      <c r="H251">
        <v>25</v>
      </c>
      <c r="I251" t="s">
        <v>209</v>
      </c>
      <c r="J251" s="56"/>
    </row>
    <row r="252" spans="1:10" x14ac:dyDescent="0.25">
      <c r="A252" t="s">
        <v>580</v>
      </c>
      <c r="B252" t="s">
        <v>11</v>
      </c>
      <c r="C252">
        <v>45139159</v>
      </c>
      <c r="D252" t="s">
        <v>6</v>
      </c>
      <c r="E252" t="s">
        <v>501</v>
      </c>
      <c r="F252" t="s">
        <v>575</v>
      </c>
      <c r="G252" s="56">
        <v>45369</v>
      </c>
      <c r="H252">
        <v>25</v>
      </c>
      <c r="I252" t="s">
        <v>159</v>
      </c>
      <c r="J252" s="56"/>
    </row>
    <row r="253" spans="1:10" x14ac:dyDescent="0.25">
      <c r="A253" t="s">
        <v>580</v>
      </c>
      <c r="B253" t="s">
        <v>42</v>
      </c>
      <c r="C253">
        <v>73725129</v>
      </c>
      <c r="D253" t="s">
        <v>2</v>
      </c>
      <c r="E253" t="s">
        <v>501</v>
      </c>
      <c r="F253" t="s">
        <v>575</v>
      </c>
      <c r="G253" s="56">
        <v>45398</v>
      </c>
      <c r="H253">
        <v>24</v>
      </c>
      <c r="I253" t="s">
        <v>209</v>
      </c>
      <c r="J253" s="56"/>
    </row>
    <row r="254" spans="1:10" x14ac:dyDescent="0.25">
      <c r="A254" t="s">
        <v>580</v>
      </c>
      <c r="B254" t="s">
        <v>40</v>
      </c>
      <c r="C254">
        <v>60976055</v>
      </c>
      <c r="D254" t="s">
        <v>125</v>
      </c>
      <c r="E254" t="s">
        <v>501</v>
      </c>
      <c r="F254" t="s">
        <v>575</v>
      </c>
      <c r="G254" s="56">
        <v>45433</v>
      </c>
      <c r="H254">
        <v>23</v>
      </c>
      <c r="I254" t="s">
        <v>175</v>
      </c>
      <c r="J254" s="56"/>
    </row>
    <row r="255" spans="1:10" x14ac:dyDescent="0.25">
      <c r="A255" t="s">
        <v>580</v>
      </c>
      <c r="B255" t="s">
        <v>81</v>
      </c>
      <c r="C255">
        <v>72716299</v>
      </c>
      <c r="D255" t="s">
        <v>6</v>
      </c>
      <c r="E255" t="s">
        <v>501</v>
      </c>
      <c r="F255" t="s">
        <v>575</v>
      </c>
      <c r="G255" s="56">
        <v>45511</v>
      </c>
      <c r="H255">
        <v>20</v>
      </c>
      <c r="I255" t="s">
        <v>159</v>
      </c>
      <c r="J255" s="56"/>
    </row>
    <row r="256" spans="1:10" x14ac:dyDescent="0.25">
      <c r="A256" t="s">
        <v>580</v>
      </c>
      <c r="B256" t="s">
        <v>32</v>
      </c>
      <c r="C256">
        <v>48584670</v>
      </c>
      <c r="D256" t="s">
        <v>3</v>
      </c>
      <c r="E256" t="s">
        <v>501</v>
      </c>
      <c r="F256" t="s">
        <v>575</v>
      </c>
      <c r="G256" s="56">
        <v>45526</v>
      </c>
      <c r="H256">
        <v>20</v>
      </c>
      <c r="I256" t="s">
        <v>159</v>
      </c>
      <c r="J256" s="56"/>
    </row>
    <row r="257" spans="1:10" x14ac:dyDescent="0.25">
      <c r="A257" t="s">
        <v>580</v>
      </c>
      <c r="B257" t="s">
        <v>51</v>
      </c>
      <c r="C257">
        <v>76089925</v>
      </c>
      <c r="D257" t="s">
        <v>125</v>
      </c>
      <c r="E257" t="s">
        <v>501</v>
      </c>
      <c r="F257" t="s">
        <v>575</v>
      </c>
      <c r="G257" s="56">
        <v>45678</v>
      </c>
      <c r="H257">
        <v>15</v>
      </c>
      <c r="I257" t="s">
        <v>175</v>
      </c>
      <c r="J257" s="56"/>
    </row>
    <row r="258" spans="1:10" x14ac:dyDescent="0.25">
      <c r="A258" t="s">
        <v>580</v>
      </c>
      <c r="B258" t="s">
        <v>72</v>
      </c>
      <c r="C258">
        <v>47690367</v>
      </c>
      <c r="D258" t="s">
        <v>4</v>
      </c>
      <c r="E258" t="s">
        <v>501</v>
      </c>
      <c r="F258" t="s">
        <v>575</v>
      </c>
      <c r="G258" s="56">
        <v>45691</v>
      </c>
      <c r="H258">
        <v>15</v>
      </c>
      <c r="I258" t="s">
        <v>159</v>
      </c>
      <c r="J258" s="56"/>
    </row>
    <row r="259" spans="1:10" x14ac:dyDescent="0.25">
      <c r="A259" t="s">
        <v>580</v>
      </c>
      <c r="B259" t="s">
        <v>50</v>
      </c>
      <c r="C259">
        <v>72733809</v>
      </c>
      <c r="D259" t="s">
        <v>6</v>
      </c>
      <c r="E259" t="s">
        <v>501</v>
      </c>
      <c r="F259" t="s">
        <v>575</v>
      </c>
      <c r="G259" s="56">
        <v>45789</v>
      </c>
      <c r="H259">
        <v>11</v>
      </c>
      <c r="I259" t="s">
        <v>159</v>
      </c>
      <c r="J259" s="56"/>
    </row>
    <row r="260" spans="1:10" x14ac:dyDescent="0.25">
      <c r="A260" t="s">
        <v>580</v>
      </c>
      <c r="B260" t="s">
        <v>38</v>
      </c>
      <c r="C260">
        <v>47411966</v>
      </c>
      <c r="D260" t="s">
        <v>2</v>
      </c>
      <c r="E260" t="s">
        <v>501</v>
      </c>
      <c r="F260" t="s">
        <v>575</v>
      </c>
      <c r="G260" s="56">
        <v>45800</v>
      </c>
      <c r="H260">
        <v>11</v>
      </c>
      <c r="I260" t="s">
        <v>209</v>
      </c>
      <c r="J260" s="56"/>
    </row>
    <row r="261" spans="1:10" x14ac:dyDescent="0.25">
      <c r="A261" t="s">
        <v>580</v>
      </c>
      <c r="B261" t="s">
        <v>55</v>
      </c>
      <c r="C261">
        <v>45119892</v>
      </c>
      <c r="D261" t="s">
        <v>125</v>
      </c>
      <c r="E261" t="s">
        <v>501</v>
      </c>
      <c r="F261" t="s">
        <v>575</v>
      </c>
      <c r="G261" s="56">
        <v>45813</v>
      </c>
      <c r="H261">
        <v>11</v>
      </c>
      <c r="I261" t="s">
        <v>175</v>
      </c>
      <c r="J261" s="56"/>
    </row>
    <row r="262" spans="1:10" x14ac:dyDescent="0.25">
      <c r="A262" t="s">
        <v>580</v>
      </c>
      <c r="B262" t="s">
        <v>60</v>
      </c>
      <c r="C262">
        <v>72839865</v>
      </c>
      <c r="D262" t="s">
        <v>4</v>
      </c>
      <c r="E262" t="s">
        <v>501</v>
      </c>
      <c r="F262" t="s">
        <v>575</v>
      </c>
      <c r="G262" s="56">
        <v>45854</v>
      </c>
      <c r="H262">
        <v>9</v>
      </c>
      <c r="I262" t="s">
        <v>159</v>
      </c>
      <c r="J262" s="56"/>
    </row>
    <row r="263" spans="1:10" x14ac:dyDescent="0.25">
      <c r="A263" t="s">
        <v>580</v>
      </c>
      <c r="B263" t="s">
        <v>96</v>
      </c>
      <c r="C263">
        <v>46793103</v>
      </c>
      <c r="D263" t="s">
        <v>3</v>
      </c>
      <c r="E263" t="s">
        <v>501</v>
      </c>
      <c r="F263" t="s">
        <v>575</v>
      </c>
      <c r="G263" s="56">
        <v>45882</v>
      </c>
      <c r="H263">
        <v>8</v>
      </c>
      <c r="I263" t="s">
        <v>159</v>
      </c>
      <c r="J263" s="56"/>
    </row>
    <row r="264" spans="1:10" x14ac:dyDescent="0.25">
      <c r="A264" t="s">
        <v>580</v>
      </c>
      <c r="B264" t="s">
        <v>97</v>
      </c>
      <c r="C264">
        <v>74602206</v>
      </c>
      <c r="D264" t="s">
        <v>125</v>
      </c>
      <c r="E264" t="s">
        <v>501</v>
      </c>
      <c r="F264" t="s">
        <v>575</v>
      </c>
      <c r="G264" s="56">
        <v>45884</v>
      </c>
      <c r="H264">
        <v>8</v>
      </c>
      <c r="I264" t="s">
        <v>175</v>
      </c>
      <c r="J264" s="56"/>
    </row>
    <row r="265" spans="1:10" x14ac:dyDescent="0.25">
      <c r="A265" t="s">
        <v>580</v>
      </c>
      <c r="B265" t="s">
        <v>122</v>
      </c>
      <c r="C265">
        <v>76586998</v>
      </c>
      <c r="D265" t="s">
        <v>4</v>
      </c>
      <c r="E265" t="s">
        <v>501</v>
      </c>
      <c r="F265" t="s">
        <v>575</v>
      </c>
      <c r="G265" s="56">
        <v>45971</v>
      </c>
      <c r="H265">
        <v>5</v>
      </c>
      <c r="I265" t="s">
        <v>159</v>
      </c>
      <c r="J265" s="56"/>
    </row>
    <row r="266" spans="1:10" x14ac:dyDescent="0.25">
      <c r="A266" t="s">
        <v>580</v>
      </c>
      <c r="B266" t="s">
        <v>174</v>
      </c>
      <c r="C266">
        <v>46994661</v>
      </c>
      <c r="D266" t="s">
        <v>125</v>
      </c>
      <c r="E266" t="s">
        <v>501</v>
      </c>
      <c r="F266" t="s">
        <v>575</v>
      </c>
      <c r="G266" s="56">
        <v>45992</v>
      </c>
      <c r="H266">
        <v>5</v>
      </c>
      <c r="I266" t="s">
        <v>175</v>
      </c>
      <c r="J266" s="56"/>
    </row>
    <row r="267" spans="1:10" x14ac:dyDescent="0.25">
      <c r="A267" t="s">
        <v>580</v>
      </c>
      <c r="B267" t="s">
        <v>206</v>
      </c>
      <c r="C267">
        <v>47497410</v>
      </c>
      <c r="D267" t="s">
        <v>4</v>
      </c>
      <c r="E267" t="s">
        <v>501</v>
      </c>
      <c r="F267" t="s">
        <v>575</v>
      </c>
      <c r="G267" s="56">
        <v>46024</v>
      </c>
      <c r="H267">
        <v>4</v>
      </c>
      <c r="I267" t="s">
        <v>159</v>
      </c>
      <c r="J267" s="56"/>
    </row>
    <row r="268" spans="1:10" x14ac:dyDescent="0.25">
      <c r="A268" t="s">
        <v>580</v>
      </c>
      <c r="B268" t="s">
        <v>109</v>
      </c>
      <c r="C268">
        <v>74626735</v>
      </c>
      <c r="D268" t="s">
        <v>125</v>
      </c>
      <c r="E268" t="s">
        <v>501</v>
      </c>
      <c r="F268" t="s">
        <v>575</v>
      </c>
      <c r="G268" s="56">
        <v>46024</v>
      </c>
      <c r="H268">
        <v>4</v>
      </c>
      <c r="I268" t="s">
        <v>175</v>
      </c>
      <c r="J268" s="56"/>
    </row>
    <row r="269" spans="1:10" x14ac:dyDescent="0.25">
      <c r="A269" t="s">
        <v>580</v>
      </c>
      <c r="B269" t="s">
        <v>105</v>
      </c>
      <c r="C269">
        <v>48344037</v>
      </c>
      <c r="D269" t="s">
        <v>6</v>
      </c>
      <c r="E269" t="s">
        <v>501</v>
      </c>
      <c r="F269" t="s">
        <v>575</v>
      </c>
      <c r="G269" s="56">
        <v>46027</v>
      </c>
      <c r="H269">
        <v>4</v>
      </c>
      <c r="I269" t="s">
        <v>159</v>
      </c>
      <c r="J269" s="56"/>
    </row>
    <row r="270" spans="1:10" x14ac:dyDescent="0.25">
      <c r="A270" t="s">
        <v>580</v>
      </c>
      <c r="B270" t="s">
        <v>207</v>
      </c>
      <c r="C270">
        <v>75069320</v>
      </c>
      <c r="D270" t="s">
        <v>125</v>
      </c>
      <c r="E270" t="s">
        <v>501</v>
      </c>
      <c r="F270" t="s">
        <v>575</v>
      </c>
      <c r="G270" s="56">
        <v>46029</v>
      </c>
      <c r="H270">
        <v>3</v>
      </c>
      <c r="I270" t="s">
        <v>175</v>
      </c>
      <c r="J270" s="56"/>
    </row>
    <row r="271" spans="1:10" x14ac:dyDescent="0.25">
      <c r="A271" t="s">
        <v>580</v>
      </c>
      <c r="B271" t="s">
        <v>377</v>
      </c>
      <c r="C271">
        <v>44883074</v>
      </c>
      <c r="D271" t="s">
        <v>125</v>
      </c>
      <c r="E271" t="s">
        <v>501</v>
      </c>
      <c r="F271" t="s">
        <v>575</v>
      </c>
      <c r="G271" s="56">
        <v>46038</v>
      </c>
      <c r="H271">
        <v>3</v>
      </c>
      <c r="I271" t="s">
        <v>175</v>
      </c>
      <c r="J271" s="56"/>
    </row>
    <row r="272" spans="1:10" x14ac:dyDescent="0.25">
      <c r="A272" t="s">
        <v>580</v>
      </c>
      <c r="B272" t="s">
        <v>497</v>
      </c>
      <c r="C272">
        <v>9668687</v>
      </c>
      <c r="D272" t="s">
        <v>125</v>
      </c>
      <c r="E272" t="s">
        <v>501</v>
      </c>
      <c r="F272" t="s">
        <v>575</v>
      </c>
      <c r="G272" s="56">
        <v>46041</v>
      </c>
      <c r="H272">
        <v>3</v>
      </c>
      <c r="I272" t="s">
        <v>175</v>
      </c>
      <c r="J272" s="56"/>
    </row>
    <row r="273" spans="1:10" x14ac:dyDescent="0.25">
      <c r="A273" t="s">
        <v>580</v>
      </c>
      <c r="B273" t="s">
        <v>493</v>
      </c>
      <c r="C273">
        <v>75026229</v>
      </c>
      <c r="D273" t="s">
        <v>125</v>
      </c>
      <c r="E273" t="s">
        <v>501</v>
      </c>
      <c r="F273" t="s">
        <v>575</v>
      </c>
      <c r="G273" s="56">
        <v>46052</v>
      </c>
      <c r="H273">
        <v>3</v>
      </c>
      <c r="I273" t="s">
        <v>175</v>
      </c>
      <c r="J273" s="56"/>
    </row>
    <row r="274" spans="1:10" x14ac:dyDescent="0.25">
      <c r="A274" t="s">
        <v>580</v>
      </c>
      <c r="B274" t="s">
        <v>495</v>
      </c>
      <c r="C274">
        <v>62792399</v>
      </c>
      <c r="D274" t="s">
        <v>125</v>
      </c>
      <c r="E274" t="s">
        <v>501</v>
      </c>
      <c r="F274" t="s">
        <v>575</v>
      </c>
      <c r="G274" s="56">
        <v>46052</v>
      </c>
      <c r="H274">
        <v>3</v>
      </c>
      <c r="I274" t="s">
        <v>175</v>
      </c>
      <c r="J274" s="56"/>
    </row>
    <row r="275" spans="1:10" x14ac:dyDescent="0.25">
      <c r="A275" t="s">
        <v>581</v>
      </c>
      <c r="B275" t="s">
        <v>219</v>
      </c>
      <c r="C275">
        <v>74122258</v>
      </c>
      <c r="D275" t="s">
        <v>6</v>
      </c>
      <c r="E275" t="s">
        <v>133</v>
      </c>
      <c r="F275" t="s">
        <v>575</v>
      </c>
      <c r="G275" s="56">
        <v>44022</v>
      </c>
      <c r="H275">
        <v>69</v>
      </c>
      <c r="I275" t="s">
        <v>209</v>
      </c>
      <c r="J275" s="56"/>
    </row>
    <row r="276" spans="1:10" x14ac:dyDescent="0.25">
      <c r="A276" t="s">
        <v>581</v>
      </c>
      <c r="B276" t="s">
        <v>248</v>
      </c>
      <c r="C276">
        <v>44265602</v>
      </c>
      <c r="D276" t="s">
        <v>2</v>
      </c>
      <c r="E276" t="s">
        <v>133</v>
      </c>
      <c r="F276" t="s">
        <v>575</v>
      </c>
      <c r="G276" s="56">
        <v>44673</v>
      </c>
      <c r="H276">
        <v>48</v>
      </c>
      <c r="I276" t="s">
        <v>209</v>
      </c>
      <c r="J276" s="56"/>
    </row>
    <row r="277" spans="1:10" x14ac:dyDescent="0.25">
      <c r="A277" t="s">
        <v>581</v>
      </c>
      <c r="B277" t="s">
        <v>226</v>
      </c>
      <c r="C277">
        <v>73049631</v>
      </c>
      <c r="D277" t="s">
        <v>3</v>
      </c>
      <c r="E277" t="s">
        <v>133</v>
      </c>
      <c r="F277" t="s">
        <v>575</v>
      </c>
      <c r="G277" s="56">
        <v>43506</v>
      </c>
      <c r="H277">
        <v>86</v>
      </c>
      <c r="I277" t="s">
        <v>159</v>
      </c>
      <c r="J277" s="56"/>
    </row>
    <row r="278" spans="1:10" x14ac:dyDescent="0.25">
      <c r="A278" t="s">
        <v>581</v>
      </c>
      <c r="B278" t="s">
        <v>222</v>
      </c>
      <c r="C278">
        <v>75000131</v>
      </c>
      <c r="D278" t="s">
        <v>125</v>
      </c>
      <c r="E278" t="s">
        <v>133</v>
      </c>
      <c r="F278" t="s">
        <v>575</v>
      </c>
      <c r="G278" s="56">
        <v>44874</v>
      </c>
      <c r="H278">
        <v>41</v>
      </c>
      <c r="I278" t="s">
        <v>159</v>
      </c>
      <c r="J278" s="56"/>
    </row>
    <row r="279" spans="1:10" x14ac:dyDescent="0.25">
      <c r="A279" t="s">
        <v>581</v>
      </c>
      <c r="B279" t="s">
        <v>582</v>
      </c>
      <c r="C279">
        <v>73930771</v>
      </c>
      <c r="D279" t="s">
        <v>124</v>
      </c>
      <c r="E279" t="s">
        <v>133</v>
      </c>
      <c r="F279" t="s">
        <v>575</v>
      </c>
      <c r="G279" s="56">
        <v>44459</v>
      </c>
      <c r="H279">
        <v>55</v>
      </c>
      <c r="I279" t="s">
        <v>175</v>
      </c>
      <c r="J279" s="56"/>
    </row>
    <row r="280" spans="1:10" x14ac:dyDescent="0.25">
      <c r="A280" t="s">
        <v>581</v>
      </c>
      <c r="B280" t="s">
        <v>58</v>
      </c>
      <c r="C280">
        <v>72519113</v>
      </c>
      <c r="D280" t="s">
        <v>124</v>
      </c>
      <c r="E280" t="s">
        <v>501</v>
      </c>
      <c r="F280" t="s">
        <v>575</v>
      </c>
      <c r="G280" s="56">
        <v>43119</v>
      </c>
      <c r="H280">
        <v>99</v>
      </c>
      <c r="I280" t="s">
        <v>175</v>
      </c>
      <c r="J280" s="56"/>
    </row>
    <row r="281" spans="1:10" x14ac:dyDescent="0.25">
      <c r="A281" t="s">
        <v>581</v>
      </c>
      <c r="B281" t="s">
        <v>49</v>
      </c>
      <c r="C281">
        <v>40702064</v>
      </c>
      <c r="D281" t="s">
        <v>124</v>
      </c>
      <c r="E281" t="s">
        <v>501</v>
      </c>
      <c r="F281" t="s">
        <v>575</v>
      </c>
      <c r="G281" s="56">
        <v>43313</v>
      </c>
      <c r="H281">
        <v>93</v>
      </c>
      <c r="I281" t="s">
        <v>175</v>
      </c>
      <c r="J281" s="56"/>
    </row>
    <row r="282" spans="1:10" x14ac:dyDescent="0.25">
      <c r="A282" t="s">
        <v>581</v>
      </c>
      <c r="B282" t="s">
        <v>48</v>
      </c>
      <c r="C282">
        <v>43307898</v>
      </c>
      <c r="D282" t="s">
        <v>124</v>
      </c>
      <c r="E282" t="s">
        <v>501</v>
      </c>
      <c r="F282" t="s">
        <v>575</v>
      </c>
      <c r="G282" s="56">
        <v>44746</v>
      </c>
      <c r="H282">
        <v>46</v>
      </c>
      <c r="I282" t="s">
        <v>175</v>
      </c>
      <c r="J282" s="56"/>
    </row>
    <row r="283" spans="1:10" x14ac:dyDescent="0.25">
      <c r="A283" t="s">
        <v>581</v>
      </c>
      <c r="B283" t="s">
        <v>77</v>
      </c>
      <c r="C283">
        <v>42251780</v>
      </c>
      <c r="D283" t="s">
        <v>124</v>
      </c>
      <c r="E283" t="s">
        <v>501</v>
      </c>
      <c r="F283" t="s">
        <v>575</v>
      </c>
      <c r="G283" s="56">
        <v>44838</v>
      </c>
      <c r="H283">
        <v>43</v>
      </c>
      <c r="I283" t="s">
        <v>175</v>
      </c>
      <c r="J283" s="56"/>
    </row>
    <row r="284" spans="1:10" x14ac:dyDescent="0.25">
      <c r="A284" t="s">
        <v>581</v>
      </c>
      <c r="B284" t="s">
        <v>73</v>
      </c>
      <c r="C284">
        <v>40318129</v>
      </c>
      <c r="D284" t="s">
        <v>124</v>
      </c>
      <c r="E284" t="s">
        <v>501</v>
      </c>
      <c r="F284" t="s">
        <v>575</v>
      </c>
      <c r="G284" s="56">
        <v>45141</v>
      </c>
      <c r="H284">
        <v>33</v>
      </c>
      <c r="I284" t="s">
        <v>175</v>
      </c>
      <c r="J284" s="56"/>
    </row>
    <row r="285" spans="1:10" x14ac:dyDescent="0.25">
      <c r="A285" t="s">
        <v>581</v>
      </c>
      <c r="B285" t="s">
        <v>41</v>
      </c>
      <c r="C285">
        <v>46461021</v>
      </c>
      <c r="D285" t="s">
        <v>124</v>
      </c>
      <c r="E285" t="s">
        <v>500</v>
      </c>
      <c r="F285" t="s">
        <v>575</v>
      </c>
      <c r="G285" s="56">
        <v>45302</v>
      </c>
      <c r="H285">
        <v>27</v>
      </c>
      <c r="I285" t="s">
        <v>175</v>
      </c>
      <c r="J285" s="56"/>
    </row>
    <row r="286" spans="1:10" x14ac:dyDescent="0.25">
      <c r="A286" t="s">
        <v>581</v>
      </c>
      <c r="B286" t="s">
        <v>51</v>
      </c>
      <c r="C286">
        <v>76089925</v>
      </c>
      <c r="D286" t="s">
        <v>124</v>
      </c>
      <c r="E286" t="s">
        <v>501</v>
      </c>
      <c r="F286" t="s">
        <v>575</v>
      </c>
      <c r="G286" s="56">
        <v>45678</v>
      </c>
      <c r="H286">
        <v>15</v>
      </c>
      <c r="I286" t="s">
        <v>175</v>
      </c>
      <c r="J286" s="56"/>
    </row>
    <row r="287" spans="1:10" x14ac:dyDescent="0.25">
      <c r="A287" t="s">
        <v>581</v>
      </c>
      <c r="B287" t="s">
        <v>55</v>
      </c>
      <c r="C287">
        <v>45119892</v>
      </c>
      <c r="D287" t="s">
        <v>124</v>
      </c>
      <c r="E287" t="s">
        <v>501</v>
      </c>
      <c r="F287" t="s">
        <v>575</v>
      </c>
      <c r="G287" s="56">
        <v>45813</v>
      </c>
      <c r="H287">
        <v>11</v>
      </c>
      <c r="I287" t="s">
        <v>175</v>
      </c>
      <c r="J287" s="56"/>
    </row>
    <row r="288" spans="1:10" x14ac:dyDescent="0.25">
      <c r="A288" t="s">
        <v>581</v>
      </c>
      <c r="B288" t="s">
        <v>40</v>
      </c>
      <c r="C288">
        <v>60976055</v>
      </c>
      <c r="D288" t="s">
        <v>124</v>
      </c>
      <c r="E288" t="s">
        <v>577</v>
      </c>
      <c r="F288" t="s">
        <v>575</v>
      </c>
      <c r="G288" s="56">
        <v>45433</v>
      </c>
      <c r="H288">
        <v>20</v>
      </c>
      <c r="I288" t="s">
        <v>175</v>
      </c>
      <c r="J288" s="56">
        <v>46057</v>
      </c>
    </row>
    <row r="289" spans="1:10" x14ac:dyDescent="0.25">
      <c r="A289" t="s">
        <v>581</v>
      </c>
      <c r="B289" t="s">
        <v>174</v>
      </c>
      <c r="C289">
        <v>46994661</v>
      </c>
      <c r="D289" t="s">
        <v>124</v>
      </c>
      <c r="E289" t="s">
        <v>501</v>
      </c>
      <c r="F289" t="s">
        <v>575</v>
      </c>
      <c r="G289" s="56">
        <v>45992</v>
      </c>
      <c r="H289">
        <v>5</v>
      </c>
      <c r="I289" t="s">
        <v>175</v>
      </c>
      <c r="J289" s="56"/>
    </row>
    <row r="290" spans="1:10" x14ac:dyDescent="0.25">
      <c r="A290" t="s">
        <v>581</v>
      </c>
      <c r="B290" t="s">
        <v>493</v>
      </c>
      <c r="C290">
        <v>75026229</v>
      </c>
      <c r="D290" t="s">
        <v>124</v>
      </c>
      <c r="E290" t="s">
        <v>501</v>
      </c>
      <c r="F290" t="s">
        <v>575</v>
      </c>
      <c r="G290" s="56">
        <v>46052</v>
      </c>
      <c r="H290">
        <v>3</v>
      </c>
      <c r="I290" t="s">
        <v>175</v>
      </c>
      <c r="J290" s="56"/>
    </row>
    <row r="291" spans="1:10" x14ac:dyDescent="0.25">
      <c r="A291" t="s">
        <v>581</v>
      </c>
      <c r="B291" t="s">
        <v>495</v>
      </c>
      <c r="C291">
        <v>62792399</v>
      </c>
      <c r="D291" t="s">
        <v>124</v>
      </c>
      <c r="E291" t="s">
        <v>501</v>
      </c>
      <c r="F291" t="s">
        <v>575</v>
      </c>
      <c r="G291" s="56">
        <v>46052</v>
      </c>
      <c r="H291">
        <v>3</v>
      </c>
      <c r="I291" t="s">
        <v>175</v>
      </c>
      <c r="J291" s="56"/>
    </row>
    <row r="292" spans="1:10" x14ac:dyDescent="0.25">
      <c r="A292" t="s">
        <v>581</v>
      </c>
      <c r="B292" t="s">
        <v>544</v>
      </c>
      <c r="C292">
        <v>75197920</v>
      </c>
      <c r="D292" t="s">
        <v>124</v>
      </c>
      <c r="E292" t="s">
        <v>577</v>
      </c>
      <c r="F292" t="s">
        <v>575</v>
      </c>
      <c r="G292" s="56">
        <v>46055</v>
      </c>
      <c r="H292">
        <v>0</v>
      </c>
      <c r="I292" t="s">
        <v>175</v>
      </c>
      <c r="J292" s="56">
        <v>46072</v>
      </c>
    </row>
    <row r="293" spans="1:10" x14ac:dyDescent="0.25">
      <c r="A293" t="s">
        <v>581</v>
      </c>
      <c r="B293" t="s">
        <v>10</v>
      </c>
      <c r="C293">
        <v>40980108</v>
      </c>
      <c r="D293" t="s">
        <v>125</v>
      </c>
      <c r="E293" t="s">
        <v>501</v>
      </c>
      <c r="F293" t="s">
        <v>575</v>
      </c>
      <c r="G293" s="56">
        <v>44704</v>
      </c>
      <c r="H293">
        <v>47</v>
      </c>
      <c r="I293" t="s">
        <v>159</v>
      </c>
      <c r="J293" s="56"/>
    </row>
    <row r="294" spans="1:10" x14ac:dyDescent="0.25">
      <c r="A294" t="s">
        <v>581</v>
      </c>
      <c r="B294" t="s">
        <v>75</v>
      </c>
      <c r="C294">
        <v>71264767</v>
      </c>
      <c r="D294" t="s">
        <v>125</v>
      </c>
      <c r="E294" t="s">
        <v>501</v>
      </c>
      <c r="F294" t="s">
        <v>575</v>
      </c>
      <c r="G294" s="56">
        <v>44714</v>
      </c>
      <c r="H294">
        <v>47</v>
      </c>
      <c r="I294" t="s">
        <v>159</v>
      </c>
      <c r="J294" s="56"/>
    </row>
    <row r="295" spans="1:10" x14ac:dyDescent="0.25">
      <c r="A295" t="s">
        <v>581</v>
      </c>
      <c r="B295" t="s">
        <v>12</v>
      </c>
      <c r="C295">
        <v>45262585</v>
      </c>
      <c r="D295" t="s">
        <v>125</v>
      </c>
      <c r="E295" t="s">
        <v>501</v>
      </c>
      <c r="F295" t="s">
        <v>575</v>
      </c>
      <c r="G295" s="56">
        <v>44868</v>
      </c>
      <c r="H295">
        <v>42</v>
      </c>
      <c r="I295" t="s">
        <v>159</v>
      </c>
      <c r="J295" s="56"/>
    </row>
    <row r="296" spans="1:10" x14ac:dyDescent="0.25">
      <c r="A296" t="s">
        <v>581</v>
      </c>
      <c r="B296" t="s">
        <v>61</v>
      </c>
      <c r="C296">
        <v>44001162</v>
      </c>
      <c r="D296" t="s">
        <v>125</v>
      </c>
      <c r="E296" t="s">
        <v>501</v>
      </c>
      <c r="F296" t="s">
        <v>575</v>
      </c>
      <c r="G296" s="56">
        <v>44907</v>
      </c>
      <c r="H296">
        <v>40</v>
      </c>
      <c r="I296" t="s">
        <v>159</v>
      </c>
      <c r="J296" s="56"/>
    </row>
    <row r="297" spans="1:10" x14ac:dyDescent="0.25">
      <c r="A297" t="s">
        <v>581</v>
      </c>
      <c r="B297" t="s">
        <v>18</v>
      </c>
      <c r="C297">
        <v>76214436</v>
      </c>
      <c r="D297" t="s">
        <v>125</v>
      </c>
      <c r="E297" t="s">
        <v>501</v>
      </c>
      <c r="F297" t="s">
        <v>575</v>
      </c>
      <c r="G297" s="56">
        <v>45132</v>
      </c>
      <c r="H297">
        <v>33</v>
      </c>
      <c r="I297" t="s">
        <v>159</v>
      </c>
      <c r="J297" s="56"/>
    </row>
    <row r="298" spans="1:10" x14ac:dyDescent="0.25">
      <c r="A298" t="s">
        <v>581</v>
      </c>
      <c r="B298" t="s">
        <v>59</v>
      </c>
      <c r="C298">
        <v>60870839</v>
      </c>
      <c r="D298" t="s">
        <v>125</v>
      </c>
      <c r="E298" t="s">
        <v>501</v>
      </c>
      <c r="F298" t="s">
        <v>575</v>
      </c>
      <c r="G298" s="56">
        <v>45344</v>
      </c>
      <c r="H298">
        <v>26</v>
      </c>
      <c r="I298" t="s">
        <v>159</v>
      </c>
      <c r="J298" s="56"/>
    </row>
    <row r="299" spans="1:10" x14ac:dyDescent="0.25">
      <c r="A299" t="s">
        <v>581</v>
      </c>
      <c r="B299" t="s">
        <v>72</v>
      </c>
      <c r="C299">
        <v>47690367</v>
      </c>
      <c r="D299" t="s">
        <v>125</v>
      </c>
      <c r="E299" t="s">
        <v>500</v>
      </c>
      <c r="F299" t="s">
        <v>575</v>
      </c>
      <c r="G299" s="56">
        <v>45691</v>
      </c>
      <c r="H299">
        <v>15</v>
      </c>
      <c r="I299" t="s">
        <v>159</v>
      </c>
      <c r="J299" s="56"/>
    </row>
    <row r="300" spans="1:10" x14ac:dyDescent="0.25">
      <c r="A300" t="s">
        <v>581</v>
      </c>
      <c r="B300" t="s">
        <v>60</v>
      </c>
      <c r="C300">
        <v>72839865</v>
      </c>
      <c r="D300" t="s">
        <v>125</v>
      </c>
      <c r="E300" t="s">
        <v>501</v>
      </c>
      <c r="F300" t="s">
        <v>575</v>
      </c>
      <c r="G300" s="56">
        <v>45854</v>
      </c>
      <c r="H300">
        <v>9</v>
      </c>
      <c r="I300" t="s">
        <v>159</v>
      </c>
      <c r="J300" s="56"/>
    </row>
    <row r="301" spans="1:10" x14ac:dyDescent="0.25">
      <c r="A301" t="s">
        <v>581</v>
      </c>
      <c r="B301" t="s">
        <v>122</v>
      </c>
      <c r="C301">
        <v>76586998</v>
      </c>
      <c r="D301" t="s">
        <v>125</v>
      </c>
      <c r="E301" t="s">
        <v>501</v>
      </c>
      <c r="F301" t="s">
        <v>575</v>
      </c>
      <c r="G301" s="56">
        <v>45971</v>
      </c>
      <c r="H301">
        <v>5</v>
      </c>
      <c r="I301" t="s">
        <v>159</v>
      </c>
      <c r="J301" s="56"/>
    </row>
    <row r="302" spans="1:10" x14ac:dyDescent="0.25">
      <c r="A302" t="s">
        <v>581</v>
      </c>
      <c r="B302" t="s">
        <v>109</v>
      </c>
      <c r="C302">
        <v>74626735</v>
      </c>
      <c r="D302" t="s">
        <v>125</v>
      </c>
      <c r="E302" t="s">
        <v>501</v>
      </c>
      <c r="F302" t="s">
        <v>575</v>
      </c>
      <c r="G302" s="56">
        <v>46024</v>
      </c>
      <c r="H302">
        <v>4</v>
      </c>
      <c r="I302" t="s">
        <v>159</v>
      </c>
      <c r="J302" s="56"/>
    </row>
    <row r="303" spans="1:10" x14ac:dyDescent="0.25">
      <c r="A303" t="s">
        <v>581</v>
      </c>
      <c r="B303" t="s">
        <v>206</v>
      </c>
      <c r="C303">
        <v>47497410</v>
      </c>
      <c r="D303" t="s">
        <v>125</v>
      </c>
      <c r="E303" t="s">
        <v>501</v>
      </c>
      <c r="F303" t="s">
        <v>575</v>
      </c>
      <c r="G303" s="56">
        <v>46024</v>
      </c>
      <c r="H303">
        <v>4</v>
      </c>
      <c r="I303" t="s">
        <v>159</v>
      </c>
      <c r="J303" s="56"/>
    </row>
    <row r="304" spans="1:10" x14ac:dyDescent="0.25">
      <c r="A304" t="s">
        <v>581</v>
      </c>
      <c r="B304" t="s">
        <v>85</v>
      </c>
      <c r="C304">
        <v>70477743</v>
      </c>
      <c r="D304" t="s">
        <v>125</v>
      </c>
      <c r="E304" t="s">
        <v>501</v>
      </c>
      <c r="F304" t="s">
        <v>575</v>
      </c>
      <c r="G304" s="56">
        <v>46055</v>
      </c>
      <c r="H304">
        <v>3</v>
      </c>
      <c r="I304" t="s">
        <v>159</v>
      </c>
      <c r="J304" s="56"/>
    </row>
    <row r="305" spans="1:10" x14ac:dyDescent="0.25">
      <c r="A305" t="s">
        <v>581</v>
      </c>
      <c r="B305" t="s">
        <v>29</v>
      </c>
      <c r="C305">
        <v>72758956</v>
      </c>
      <c r="D305" t="s">
        <v>2</v>
      </c>
      <c r="E305" t="s">
        <v>501</v>
      </c>
      <c r="F305" t="s">
        <v>575</v>
      </c>
      <c r="G305" s="56">
        <v>44685</v>
      </c>
      <c r="H305">
        <v>48</v>
      </c>
      <c r="I305" t="s">
        <v>209</v>
      </c>
      <c r="J305" s="56"/>
    </row>
    <row r="306" spans="1:10" x14ac:dyDescent="0.25">
      <c r="A306" t="s">
        <v>581</v>
      </c>
      <c r="B306" t="s">
        <v>15</v>
      </c>
      <c r="C306">
        <v>47587400</v>
      </c>
      <c r="D306" t="s">
        <v>2</v>
      </c>
      <c r="E306" t="s">
        <v>501</v>
      </c>
      <c r="F306" t="s">
        <v>575</v>
      </c>
      <c r="G306" s="56">
        <v>44733</v>
      </c>
      <c r="H306">
        <v>46</v>
      </c>
      <c r="I306" t="s">
        <v>209</v>
      </c>
      <c r="J306" s="56"/>
    </row>
    <row r="307" spans="1:10" x14ac:dyDescent="0.25">
      <c r="A307" t="s">
        <v>581</v>
      </c>
      <c r="B307" t="s">
        <v>76</v>
      </c>
      <c r="C307">
        <v>60914051</v>
      </c>
      <c r="D307" t="s">
        <v>2</v>
      </c>
      <c r="E307" t="s">
        <v>501</v>
      </c>
      <c r="F307" t="s">
        <v>575</v>
      </c>
      <c r="G307" s="56">
        <v>44817</v>
      </c>
      <c r="H307">
        <v>43</v>
      </c>
      <c r="I307" t="s">
        <v>209</v>
      </c>
      <c r="J307" s="56"/>
    </row>
    <row r="308" spans="1:10" x14ac:dyDescent="0.25">
      <c r="A308" t="s">
        <v>581</v>
      </c>
      <c r="B308" t="s">
        <v>25</v>
      </c>
      <c r="C308">
        <v>72373931</v>
      </c>
      <c r="D308" t="s">
        <v>2</v>
      </c>
      <c r="E308" t="s">
        <v>501</v>
      </c>
      <c r="F308" t="s">
        <v>575</v>
      </c>
      <c r="G308" s="56">
        <v>44818</v>
      </c>
      <c r="H308">
        <v>43</v>
      </c>
      <c r="I308" t="s">
        <v>209</v>
      </c>
      <c r="J308" s="56"/>
    </row>
    <row r="309" spans="1:10" x14ac:dyDescent="0.25">
      <c r="A309" t="s">
        <v>581</v>
      </c>
      <c r="B309" t="s">
        <v>79</v>
      </c>
      <c r="C309">
        <v>71262377</v>
      </c>
      <c r="D309" t="s">
        <v>2</v>
      </c>
      <c r="E309" t="s">
        <v>501</v>
      </c>
      <c r="F309" t="s">
        <v>575</v>
      </c>
      <c r="G309" s="56">
        <v>45145</v>
      </c>
      <c r="H309">
        <v>32</v>
      </c>
      <c r="I309" t="s">
        <v>209</v>
      </c>
      <c r="J309" s="56"/>
    </row>
    <row r="310" spans="1:10" x14ac:dyDescent="0.25">
      <c r="A310" t="s">
        <v>581</v>
      </c>
      <c r="B310" t="s">
        <v>68</v>
      </c>
      <c r="C310">
        <v>73257316</v>
      </c>
      <c r="D310" t="s">
        <v>2</v>
      </c>
      <c r="E310" t="s">
        <v>500</v>
      </c>
      <c r="F310" t="s">
        <v>575</v>
      </c>
      <c r="G310" s="56">
        <v>45363</v>
      </c>
      <c r="H310">
        <v>25</v>
      </c>
      <c r="I310" t="s">
        <v>209</v>
      </c>
      <c r="J310" s="56"/>
    </row>
    <row r="311" spans="1:10" x14ac:dyDescent="0.25">
      <c r="A311" t="s">
        <v>581</v>
      </c>
      <c r="B311" t="s">
        <v>42</v>
      </c>
      <c r="C311">
        <v>73725129</v>
      </c>
      <c r="D311" t="s">
        <v>2</v>
      </c>
      <c r="E311" t="s">
        <v>501</v>
      </c>
      <c r="F311" t="s">
        <v>575</v>
      </c>
      <c r="G311" s="56">
        <v>45398</v>
      </c>
      <c r="H311">
        <v>24</v>
      </c>
      <c r="I311" t="s">
        <v>209</v>
      </c>
      <c r="J311" s="56"/>
    </row>
    <row r="312" spans="1:10" x14ac:dyDescent="0.25">
      <c r="A312" t="s">
        <v>581</v>
      </c>
      <c r="B312" t="s">
        <v>38</v>
      </c>
      <c r="C312">
        <v>47411966</v>
      </c>
      <c r="D312" t="s">
        <v>2</v>
      </c>
      <c r="E312" t="s">
        <v>501</v>
      </c>
      <c r="F312" t="s">
        <v>575</v>
      </c>
      <c r="G312" s="56">
        <v>45800</v>
      </c>
      <c r="H312">
        <v>11</v>
      </c>
      <c r="I312" t="s">
        <v>209</v>
      </c>
      <c r="J312" s="56"/>
    </row>
    <row r="313" spans="1:10" x14ac:dyDescent="0.25">
      <c r="A313" t="s">
        <v>581</v>
      </c>
      <c r="B313" t="s">
        <v>26</v>
      </c>
      <c r="C313">
        <v>41005089</v>
      </c>
      <c r="D313" t="s">
        <v>6</v>
      </c>
      <c r="E313" t="s">
        <v>501</v>
      </c>
      <c r="F313" t="s">
        <v>575</v>
      </c>
      <c r="G313" s="56">
        <v>44257</v>
      </c>
      <c r="H313">
        <v>62</v>
      </c>
      <c r="I313" t="s">
        <v>583</v>
      </c>
      <c r="J313" s="56"/>
    </row>
    <row r="314" spans="1:10" x14ac:dyDescent="0.25">
      <c r="A314" t="s">
        <v>581</v>
      </c>
      <c r="B314" t="s">
        <v>19</v>
      </c>
      <c r="C314">
        <v>76656128</v>
      </c>
      <c r="D314" t="s">
        <v>6</v>
      </c>
      <c r="E314" t="s">
        <v>501</v>
      </c>
      <c r="F314" t="s">
        <v>575</v>
      </c>
      <c r="G314" s="56">
        <v>44671</v>
      </c>
      <c r="H314">
        <v>48</v>
      </c>
      <c r="I314" t="s">
        <v>583</v>
      </c>
      <c r="J314" s="56"/>
    </row>
    <row r="315" spans="1:10" x14ac:dyDescent="0.25">
      <c r="A315" t="s">
        <v>581</v>
      </c>
      <c r="B315" t="s">
        <v>35</v>
      </c>
      <c r="C315">
        <v>10491198</v>
      </c>
      <c r="D315" t="s">
        <v>6</v>
      </c>
      <c r="E315" t="s">
        <v>501</v>
      </c>
      <c r="F315" t="s">
        <v>575</v>
      </c>
      <c r="G315" s="56">
        <v>44746</v>
      </c>
      <c r="H315">
        <v>46</v>
      </c>
      <c r="I315" t="s">
        <v>584</v>
      </c>
      <c r="J315" s="56"/>
    </row>
    <row r="316" spans="1:10" x14ac:dyDescent="0.25">
      <c r="A316" t="s">
        <v>581</v>
      </c>
      <c r="B316" t="s">
        <v>78</v>
      </c>
      <c r="C316">
        <v>10706451</v>
      </c>
      <c r="D316" t="s">
        <v>6</v>
      </c>
      <c r="E316" t="s">
        <v>501</v>
      </c>
      <c r="F316" t="s">
        <v>575</v>
      </c>
      <c r="G316" s="56">
        <v>44943</v>
      </c>
      <c r="H316">
        <v>39</v>
      </c>
      <c r="I316" t="s">
        <v>584</v>
      </c>
      <c r="J316" s="56"/>
    </row>
    <row r="317" spans="1:10" x14ac:dyDescent="0.25">
      <c r="A317" t="s">
        <v>581</v>
      </c>
      <c r="B317" t="s">
        <v>37</v>
      </c>
      <c r="C317">
        <v>70988976</v>
      </c>
      <c r="D317" t="s">
        <v>6</v>
      </c>
      <c r="E317" t="s">
        <v>501</v>
      </c>
      <c r="F317" t="s">
        <v>575</v>
      </c>
      <c r="G317" s="56">
        <v>45112</v>
      </c>
      <c r="H317">
        <v>34</v>
      </c>
      <c r="I317" t="s">
        <v>584</v>
      </c>
      <c r="J317" s="56"/>
    </row>
    <row r="318" spans="1:10" x14ac:dyDescent="0.25">
      <c r="A318" t="s">
        <v>581</v>
      </c>
      <c r="B318" t="s">
        <v>34</v>
      </c>
      <c r="C318">
        <v>76824571</v>
      </c>
      <c r="D318" t="s">
        <v>6</v>
      </c>
      <c r="E318" t="s">
        <v>501</v>
      </c>
      <c r="F318" t="s">
        <v>575</v>
      </c>
      <c r="G318" s="56">
        <v>45173</v>
      </c>
      <c r="H318">
        <v>32</v>
      </c>
      <c r="I318" t="s">
        <v>583</v>
      </c>
      <c r="J318" s="56"/>
    </row>
    <row r="319" spans="1:10" x14ac:dyDescent="0.25">
      <c r="A319" t="s">
        <v>581</v>
      </c>
      <c r="B319" t="s">
        <v>80</v>
      </c>
      <c r="C319">
        <v>45084594</v>
      </c>
      <c r="D319" t="s">
        <v>6</v>
      </c>
      <c r="E319" t="s">
        <v>501</v>
      </c>
      <c r="F319" t="s">
        <v>575</v>
      </c>
      <c r="G319" s="56">
        <v>45281</v>
      </c>
      <c r="H319">
        <v>28</v>
      </c>
      <c r="I319" t="s">
        <v>583</v>
      </c>
      <c r="J319" s="56"/>
    </row>
    <row r="320" spans="1:10" x14ac:dyDescent="0.25">
      <c r="A320" t="s">
        <v>581</v>
      </c>
      <c r="B320" t="s">
        <v>11</v>
      </c>
      <c r="C320">
        <v>45139159</v>
      </c>
      <c r="D320" t="s">
        <v>6</v>
      </c>
      <c r="E320" t="s">
        <v>500</v>
      </c>
      <c r="F320" t="s">
        <v>575</v>
      </c>
      <c r="G320" s="56">
        <v>45369</v>
      </c>
      <c r="H320">
        <v>25</v>
      </c>
      <c r="I320" t="s">
        <v>583</v>
      </c>
      <c r="J320" s="56"/>
    </row>
    <row r="321" spans="1:10" x14ac:dyDescent="0.25">
      <c r="A321" t="s">
        <v>581</v>
      </c>
      <c r="B321" t="s">
        <v>81</v>
      </c>
      <c r="C321">
        <v>72716299</v>
      </c>
      <c r="D321" t="s">
        <v>6</v>
      </c>
      <c r="E321" t="s">
        <v>501</v>
      </c>
      <c r="F321" t="s">
        <v>575</v>
      </c>
      <c r="G321" s="56">
        <v>45511</v>
      </c>
      <c r="H321">
        <v>20</v>
      </c>
      <c r="I321" t="s">
        <v>583</v>
      </c>
      <c r="J321" s="56"/>
    </row>
    <row r="322" spans="1:10" x14ac:dyDescent="0.25">
      <c r="A322" t="s">
        <v>581</v>
      </c>
      <c r="B322" t="s">
        <v>50</v>
      </c>
      <c r="C322">
        <v>72733809</v>
      </c>
      <c r="D322" t="s">
        <v>6</v>
      </c>
      <c r="E322" t="s">
        <v>501</v>
      </c>
      <c r="F322" t="s">
        <v>575</v>
      </c>
      <c r="G322" s="56">
        <v>45789</v>
      </c>
      <c r="H322">
        <v>11</v>
      </c>
      <c r="I322" t="s">
        <v>583</v>
      </c>
      <c r="J322" s="56"/>
    </row>
    <row r="323" spans="1:10" x14ac:dyDescent="0.25">
      <c r="A323" t="s">
        <v>581</v>
      </c>
      <c r="B323" t="s">
        <v>97</v>
      </c>
      <c r="C323">
        <v>74602206</v>
      </c>
      <c r="D323" t="s">
        <v>6</v>
      </c>
      <c r="E323" t="s">
        <v>501</v>
      </c>
      <c r="F323" t="s">
        <v>575</v>
      </c>
      <c r="G323" s="56">
        <v>45884</v>
      </c>
      <c r="H323">
        <v>8</v>
      </c>
      <c r="I323" t="s">
        <v>584</v>
      </c>
      <c r="J323" s="56"/>
    </row>
    <row r="324" spans="1:10" x14ac:dyDescent="0.25">
      <c r="A324" t="s">
        <v>581</v>
      </c>
      <c r="B324" t="s">
        <v>105</v>
      </c>
      <c r="C324">
        <v>48344037</v>
      </c>
      <c r="D324" t="s">
        <v>6</v>
      </c>
      <c r="E324" t="s">
        <v>501</v>
      </c>
      <c r="F324" t="s">
        <v>575</v>
      </c>
      <c r="G324" s="56">
        <v>46027</v>
      </c>
      <c r="H324">
        <v>4</v>
      </c>
      <c r="I324" t="s">
        <v>583</v>
      </c>
      <c r="J324" s="56"/>
    </row>
    <row r="325" spans="1:10" x14ac:dyDescent="0.25">
      <c r="A325" t="s">
        <v>581</v>
      </c>
      <c r="B325" t="s">
        <v>23</v>
      </c>
      <c r="C325">
        <v>72413556</v>
      </c>
      <c r="D325" t="s">
        <v>3</v>
      </c>
      <c r="E325" t="s">
        <v>501</v>
      </c>
      <c r="F325" t="s">
        <v>575</v>
      </c>
      <c r="G325" s="56">
        <v>44109</v>
      </c>
      <c r="H325">
        <v>67</v>
      </c>
      <c r="I325" t="s">
        <v>159</v>
      </c>
      <c r="J325" s="56"/>
    </row>
    <row r="326" spans="1:10" x14ac:dyDescent="0.25">
      <c r="A326" t="s">
        <v>581</v>
      </c>
      <c r="B326" t="s">
        <v>13</v>
      </c>
      <c r="C326">
        <v>72512391</v>
      </c>
      <c r="D326" t="s">
        <v>3</v>
      </c>
      <c r="E326" t="s">
        <v>501</v>
      </c>
      <c r="F326" t="s">
        <v>575</v>
      </c>
      <c r="G326" s="56">
        <v>44809</v>
      </c>
      <c r="H326">
        <v>44</v>
      </c>
      <c r="I326" t="s">
        <v>159</v>
      </c>
      <c r="J326" s="56"/>
    </row>
    <row r="327" spans="1:10" x14ac:dyDescent="0.25">
      <c r="A327" t="s">
        <v>581</v>
      </c>
      <c r="B327" t="s">
        <v>33</v>
      </c>
      <c r="C327">
        <v>80689573</v>
      </c>
      <c r="D327" t="s">
        <v>3</v>
      </c>
      <c r="E327" t="s">
        <v>577</v>
      </c>
      <c r="F327" t="s">
        <v>575</v>
      </c>
      <c r="G327" s="56">
        <v>44867</v>
      </c>
      <c r="H327">
        <v>39</v>
      </c>
      <c r="I327" t="s">
        <v>159</v>
      </c>
      <c r="J327" s="56">
        <v>46063</v>
      </c>
    </row>
    <row r="328" spans="1:10" x14ac:dyDescent="0.25">
      <c r="A328" t="s">
        <v>581</v>
      </c>
      <c r="B328" t="s">
        <v>17</v>
      </c>
      <c r="C328">
        <v>70876605</v>
      </c>
      <c r="D328" t="s">
        <v>3</v>
      </c>
      <c r="E328" t="s">
        <v>501</v>
      </c>
      <c r="F328" t="s">
        <v>575</v>
      </c>
      <c r="G328" s="56">
        <v>44886</v>
      </c>
      <c r="H328">
        <v>41</v>
      </c>
      <c r="I328" t="s">
        <v>159</v>
      </c>
      <c r="J328" s="56"/>
    </row>
    <row r="329" spans="1:10" x14ac:dyDescent="0.25">
      <c r="A329" t="s">
        <v>581</v>
      </c>
      <c r="B329" t="s">
        <v>65</v>
      </c>
      <c r="C329">
        <v>47659267</v>
      </c>
      <c r="D329" t="s">
        <v>3</v>
      </c>
      <c r="E329" t="s">
        <v>501</v>
      </c>
      <c r="F329" t="s">
        <v>575</v>
      </c>
      <c r="G329" s="56">
        <v>45019</v>
      </c>
      <c r="H329">
        <v>37</v>
      </c>
      <c r="I329" t="s">
        <v>159</v>
      </c>
      <c r="J329" s="56"/>
    </row>
    <row r="330" spans="1:10" x14ac:dyDescent="0.25">
      <c r="A330" t="s">
        <v>581</v>
      </c>
      <c r="B330" t="s">
        <v>22</v>
      </c>
      <c r="C330">
        <v>70551168</v>
      </c>
      <c r="D330" t="s">
        <v>3</v>
      </c>
      <c r="E330" t="s">
        <v>501</v>
      </c>
      <c r="F330" t="s">
        <v>575</v>
      </c>
      <c r="G330" s="56">
        <v>45295</v>
      </c>
      <c r="H330">
        <v>28</v>
      </c>
      <c r="I330" t="s">
        <v>159</v>
      </c>
      <c r="J330" s="56"/>
    </row>
    <row r="331" spans="1:10" x14ac:dyDescent="0.25">
      <c r="A331" t="s">
        <v>581</v>
      </c>
      <c r="B331" t="s">
        <v>24</v>
      </c>
      <c r="C331">
        <v>43614775</v>
      </c>
      <c r="D331" t="s">
        <v>3</v>
      </c>
      <c r="E331" t="s">
        <v>500</v>
      </c>
      <c r="F331" t="s">
        <v>575</v>
      </c>
      <c r="G331" s="56">
        <v>45334</v>
      </c>
      <c r="H331">
        <v>26</v>
      </c>
      <c r="I331" t="s">
        <v>159</v>
      </c>
      <c r="J331" s="56"/>
    </row>
    <row r="332" spans="1:10" x14ac:dyDescent="0.25">
      <c r="A332" t="s">
        <v>581</v>
      </c>
      <c r="B332" t="s">
        <v>31</v>
      </c>
      <c r="C332">
        <v>75882265</v>
      </c>
      <c r="D332" t="s">
        <v>3</v>
      </c>
      <c r="E332" t="s">
        <v>577</v>
      </c>
      <c r="F332" t="s">
        <v>575</v>
      </c>
      <c r="G332" s="56">
        <v>45334</v>
      </c>
      <c r="H332">
        <v>24</v>
      </c>
      <c r="I332" t="s">
        <v>159</v>
      </c>
      <c r="J332" s="56">
        <v>46081</v>
      </c>
    </row>
    <row r="333" spans="1:10" x14ac:dyDescent="0.25">
      <c r="A333" t="s">
        <v>581</v>
      </c>
      <c r="B333" t="s">
        <v>32</v>
      </c>
      <c r="C333">
        <v>48584670</v>
      </c>
      <c r="D333" t="s">
        <v>3</v>
      </c>
      <c r="E333" t="s">
        <v>501</v>
      </c>
      <c r="F333" t="s">
        <v>575</v>
      </c>
      <c r="G333" s="56">
        <v>45526</v>
      </c>
      <c r="H333">
        <v>20</v>
      </c>
      <c r="I333" t="s">
        <v>159</v>
      </c>
      <c r="J333" s="56"/>
    </row>
    <row r="334" spans="1:10" x14ac:dyDescent="0.25">
      <c r="A334" t="s">
        <v>581</v>
      </c>
      <c r="B334" t="s">
        <v>96</v>
      </c>
      <c r="C334">
        <v>46793103</v>
      </c>
      <c r="D334" t="s">
        <v>3</v>
      </c>
      <c r="E334" t="s">
        <v>501</v>
      </c>
      <c r="F334" t="s">
        <v>575</v>
      </c>
      <c r="G334" s="56">
        <v>45882</v>
      </c>
      <c r="H334">
        <v>8</v>
      </c>
      <c r="I334" t="s">
        <v>159</v>
      </c>
      <c r="J334" s="56"/>
    </row>
    <row r="335" spans="1:10" x14ac:dyDescent="0.25">
      <c r="A335" t="s">
        <v>581</v>
      </c>
      <c r="B335" t="s">
        <v>207</v>
      </c>
      <c r="C335">
        <v>75069320</v>
      </c>
      <c r="D335" t="s">
        <v>3</v>
      </c>
      <c r="E335" t="s">
        <v>501</v>
      </c>
      <c r="F335" t="s">
        <v>575</v>
      </c>
      <c r="G335" s="56">
        <v>46029</v>
      </c>
      <c r="H335">
        <v>3</v>
      </c>
      <c r="I335" t="s">
        <v>159</v>
      </c>
      <c r="J335" s="56"/>
    </row>
    <row r="336" spans="1:10" x14ac:dyDescent="0.25">
      <c r="A336" t="s">
        <v>581</v>
      </c>
      <c r="B336" t="s">
        <v>377</v>
      </c>
      <c r="C336">
        <v>44883074</v>
      </c>
      <c r="D336" t="s">
        <v>3</v>
      </c>
      <c r="E336" t="s">
        <v>501</v>
      </c>
      <c r="F336" t="s">
        <v>575</v>
      </c>
      <c r="G336" s="56">
        <v>46038</v>
      </c>
      <c r="H336">
        <v>3</v>
      </c>
      <c r="I336" t="s">
        <v>159</v>
      </c>
      <c r="J336" s="56"/>
    </row>
    <row r="337" spans="1:10" x14ac:dyDescent="0.25">
      <c r="A337" t="s">
        <v>581</v>
      </c>
      <c r="B337" t="s">
        <v>497</v>
      </c>
      <c r="C337">
        <v>9668687</v>
      </c>
      <c r="D337" t="s">
        <v>124</v>
      </c>
      <c r="E337" t="s">
        <v>577</v>
      </c>
      <c r="F337" t="s">
        <v>575</v>
      </c>
      <c r="G337" s="56">
        <v>46041</v>
      </c>
      <c r="H337">
        <v>0</v>
      </c>
      <c r="I337" t="s">
        <v>175</v>
      </c>
      <c r="J337" s="56">
        <v>46058</v>
      </c>
    </row>
    <row r="338" spans="1:10" x14ac:dyDescent="0.25">
      <c r="A338" t="s">
        <v>581</v>
      </c>
      <c r="B338" t="s">
        <v>549</v>
      </c>
      <c r="C338">
        <v>73233992</v>
      </c>
      <c r="D338" t="s">
        <v>124</v>
      </c>
      <c r="E338" t="s">
        <v>501</v>
      </c>
      <c r="F338" t="s">
        <v>575</v>
      </c>
      <c r="G338" s="56">
        <v>46064</v>
      </c>
      <c r="H338">
        <v>2</v>
      </c>
      <c r="I338" t="s">
        <v>175</v>
      </c>
      <c r="J338" s="56"/>
    </row>
    <row r="339" spans="1:10" x14ac:dyDescent="0.25">
      <c r="A339" t="s">
        <v>581</v>
      </c>
      <c r="B339" t="s">
        <v>557</v>
      </c>
      <c r="C339">
        <v>10330959</v>
      </c>
      <c r="D339" t="s">
        <v>124</v>
      </c>
      <c r="E339" t="s">
        <v>501</v>
      </c>
      <c r="F339" t="s">
        <v>575</v>
      </c>
      <c r="G339" s="56">
        <v>46078</v>
      </c>
      <c r="H339">
        <v>2</v>
      </c>
      <c r="I339" t="s">
        <v>175</v>
      </c>
      <c r="J339" s="56"/>
    </row>
    <row r="340" spans="1:10" x14ac:dyDescent="0.25">
      <c r="A340" t="s">
        <v>581</v>
      </c>
      <c r="B340" t="s">
        <v>563</v>
      </c>
      <c r="C340">
        <v>78564842</v>
      </c>
      <c r="D340" t="s">
        <v>124</v>
      </c>
      <c r="E340" t="s">
        <v>501</v>
      </c>
      <c r="F340" t="s">
        <v>575</v>
      </c>
      <c r="G340" s="56">
        <v>46078</v>
      </c>
      <c r="H340">
        <v>2</v>
      </c>
      <c r="I340" t="s">
        <v>175</v>
      </c>
      <c r="J340" s="56"/>
    </row>
    <row r="341" spans="1:10" x14ac:dyDescent="0.25">
      <c r="A341" t="s">
        <v>585</v>
      </c>
      <c r="B341" t="s">
        <v>219</v>
      </c>
      <c r="C341">
        <v>74122258</v>
      </c>
      <c r="D341" t="s">
        <v>6</v>
      </c>
      <c r="E341" t="s">
        <v>133</v>
      </c>
      <c r="F341" t="s">
        <v>575</v>
      </c>
      <c r="G341" s="56">
        <v>44022</v>
      </c>
      <c r="H341">
        <v>69</v>
      </c>
      <c r="I341" t="s">
        <v>209</v>
      </c>
      <c r="J341" s="56"/>
    </row>
    <row r="342" spans="1:10" x14ac:dyDescent="0.25">
      <c r="A342" t="s">
        <v>585</v>
      </c>
      <c r="B342" t="s">
        <v>248</v>
      </c>
      <c r="C342">
        <v>44265602</v>
      </c>
      <c r="D342" t="s">
        <v>2</v>
      </c>
      <c r="E342" t="s">
        <v>133</v>
      </c>
      <c r="F342" t="s">
        <v>575</v>
      </c>
      <c r="G342" s="56">
        <v>44673</v>
      </c>
      <c r="H342">
        <v>48</v>
      </c>
      <c r="I342" t="s">
        <v>159</v>
      </c>
      <c r="J342" s="56"/>
    </row>
    <row r="343" spans="1:10" x14ac:dyDescent="0.25">
      <c r="A343" t="s">
        <v>585</v>
      </c>
      <c r="B343" t="s">
        <v>226</v>
      </c>
      <c r="C343">
        <v>73049631</v>
      </c>
      <c r="D343" t="s">
        <v>3</v>
      </c>
      <c r="E343" t="s">
        <v>133</v>
      </c>
      <c r="F343" t="s">
        <v>575</v>
      </c>
      <c r="G343" s="56">
        <v>43506</v>
      </c>
      <c r="H343">
        <v>86</v>
      </c>
      <c r="I343" t="s">
        <v>209</v>
      </c>
      <c r="J343" s="56"/>
    </row>
    <row r="344" spans="1:10" x14ac:dyDescent="0.25">
      <c r="A344" t="s">
        <v>585</v>
      </c>
      <c r="B344" t="s">
        <v>222</v>
      </c>
      <c r="C344">
        <v>75000131</v>
      </c>
      <c r="D344" t="s">
        <v>125</v>
      </c>
      <c r="E344" t="s">
        <v>133</v>
      </c>
      <c r="F344" t="s">
        <v>575</v>
      </c>
      <c r="G344" s="56">
        <v>44874</v>
      </c>
      <c r="H344">
        <v>41</v>
      </c>
      <c r="I344" t="s">
        <v>159</v>
      </c>
      <c r="J344" s="56"/>
    </row>
    <row r="345" spans="1:10" x14ac:dyDescent="0.25">
      <c r="A345" t="s">
        <v>585</v>
      </c>
      <c r="B345" t="s">
        <v>214</v>
      </c>
      <c r="C345">
        <v>46872195</v>
      </c>
      <c r="D345" t="s">
        <v>7</v>
      </c>
      <c r="E345" t="s">
        <v>133</v>
      </c>
      <c r="F345" t="s">
        <v>575</v>
      </c>
      <c r="G345" s="56">
        <v>43805</v>
      </c>
      <c r="H345">
        <v>77</v>
      </c>
      <c r="I345" t="s">
        <v>175</v>
      </c>
      <c r="J345" s="56"/>
    </row>
    <row r="346" spans="1:10" x14ac:dyDescent="0.25">
      <c r="A346" t="s">
        <v>585</v>
      </c>
      <c r="B346" t="s">
        <v>58</v>
      </c>
      <c r="C346">
        <v>72519113</v>
      </c>
      <c r="D346" t="s">
        <v>7</v>
      </c>
      <c r="E346" t="s">
        <v>500</v>
      </c>
      <c r="F346" t="s">
        <v>575</v>
      </c>
      <c r="G346" s="56">
        <v>43119</v>
      </c>
      <c r="H346">
        <v>99</v>
      </c>
      <c r="I346" t="s">
        <v>586</v>
      </c>
      <c r="J346" s="56"/>
    </row>
    <row r="347" spans="1:10" x14ac:dyDescent="0.25">
      <c r="A347" t="s">
        <v>585</v>
      </c>
      <c r="B347" t="s">
        <v>49</v>
      </c>
      <c r="C347">
        <v>40702064</v>
      </c>
      <c r="D347" t="s">
        <v>7</v>
      </c>
      <c r="E347" t="s">
        <v>501</v>
      </c>
      <c r="F347" t="s">
        <v>575</v>
      </c>
      <c r="G347" s="56">
        <v>43313</v>
      </c>
      <c r="H347">
        <v>93</v>
      </c>
      <c r="I347" t="s">
        <v>586</v>
      </c>
      <c r="J347" s="56"/>
    </row>
    <row r="348" spans="1:10" x14ac:dyDescent="0.25">
      <c r="A348" t="s">
        <v>585</v>
      </c>
      <c r="B348" t="s">
        <v>23</v>
      </c>
      <c r="C348">
        <v>72413556</v>
      </c>
      <c r="D348" t="s">
        <v>2</v>
      </c>
      <c r="E348" t="s">
        <v>501</v>
      </c>
      <c r="F348" t="s">
        <v>575</v>
      </c>
      <c r="G348" s="56">
        <v>44109</v>
      </c>
      <c r="H348">
        <v>67</v>
      </c>
      <c r="I348" t="s">
        <v>159</v>
      </c>
      <c r="J348" s="56"/>
    </row>
    <row r="349" spans="1:10" x14ac:dyDescent="0.25">
      <c r="A349" t="s">
        <v>585</v>
      </c>
      <c r="B349" t="s">
        <v>26</v>
      </c>
      <c r="C349">
        <v>41005089</v>
      </c>
      <c r="D349" t="s">
        <v>6</v>
      </c>
      <c r="E349" t="s">
        <v>500</v>
      </c>
      <c r="F349" t="s">
        <v>575</v>
      </c>
      <c r="G349" s="56">
        <v>44257</v>
      </c>
      <c r="H349">
        <v>62</v>
      </c>
      <c r="I349" t="s">
        <v>583</v>
      </c>
      <c r="J349" s="56"/>
    </row>
    <row r="350" spans="1:10" x14ac:dyDescent="0.25">
      <c r="A350" t="s">
        <v>585</v>
      </c>
      <c r="B350" t="s">
        <v>19</v>
      </c>
      <c r="C350">
        <v>76656128</v>
      </c>
      <c r="D350" t="s">
        <v>6</v>
      </c>
      <c r="E350" t="s">
        <v>501</v>
      </c>
      <c r="F350" t="s">
        <v>575</v>
      </c>
      <c r="G350" s="56">
        <v>44671</v>
      </c>
      <c r="H350">
        <v>48</v>
      </c>
      <c r="I350" t="s">
        <v>583</v>
      </c>
      <c r="J350" s="56"/>
    </row>
    <row r="351" spans="1:10" x14ac:dyDescent="0.25">
      <c r="A351" t="s">
        <v>585</v>
      </c>
      <c r="B351" t="s">
        <v>29</v>
      </c>
      <c r="C351">
        <v>72758956</v>
      </c>
      <c r="D351" t="s">
        <v>3</v>
      </c>
      <c r="E351" t="s">
        <v>501</v>
      </c>
      <c r="F351" t="s">
        <v>575</v>
      </c>
      <c r="G351" s="56">
        <v>44685</v>
      </c>
      <c r="H351">
        <v>48</v>
      </c>
      <c r="I351" t="s">
        <v>583</v>
      </c>
      <c r="J351" s="56"/>
    </row>
    <row r="352" spans="1:10" x14ac:dyDescent="0.25">
      <c r="A352" t="s">
        <v>585</v>
      </c>
      <c r="B352" t="s">
        <v>10</v>
      </c>
      <c r="C352">
        <v>40980108</v>
      </c>
      <c r="D352" t="s">
        <v>125</v>
      </c>
      <c r="E352" t="s">
        <v>500</v>
      </c>
      <c r="F352" t="s">
        <v>575</v>
      </c>
      <c r="G352" s="56">
        <v>44704</v>
      </c>
      <c r="H352">
        <v>47</v>
      </c>
      <c r="I352" t="s">
        <v>159</v>
      </c>
      <c r="J352" s="56"/>
    </row>
    <row r="353" spans="1:10" x14ac:dyDescent="0.25">
      <c r="A353" t="s">
        <v>585</v>
      </c>
      <c r="B353" t="s">
        <v>75</v>
      </c>
      <c r="C353">
        <v>71264767</v>
      </c>
      <c r="D353" t="s">
        <v>125</v>
      </c>
      <c r="E353" t="s">
        <v>501</v>
      </c>
      <c r="F353" t="s">
        <v>575</v>
      </c>
      <c r="G353" s="56">
        <v>44714</v>
      </c>
      <c r="H353">
        <v>47</v>
      </c>
      <c r="I353" t="s">
        <v>159</v>
      </c>
      <c r="J353" s="56"/>
    </row>
    <row r="354" spans="1:10" x14ac:dyDescent="0.25">
      <c r="A354" t="s">
        <v>585</v>
      </c>
      <c r="B354" t="s">
        <v>15</v>
      </c>
      <c r="C354">
        <v>47587400</v>
      </c>
      <c r="D354" t="s">
        <v>2</v>
      </c>
      <c r="E354" t="s">
        <v>501</v>
      </c>
      <c r="F354" t="s">
        <v>575</v>
      </c>
      <c r="G354" s="56">
        <v>44733</v>
      </c>
      <c r="H354">
        <v>46</v>
      </c>
      <c r="I354" t="s">
        <v>159</v>
      </c>
      <c r="J354" s="56"/>
    </row>
    <row r="355" spans="1:10" x14ac:dyDescent="0.25">
      <c r="A355" t="s">
        <v>585</v>
      </c>
      <c r="B355" t="s">
        <v>48</v>
      </c>
      <c r="C355">
        <v>43307898</v>
      </c>
      <c r="D355" t="s">
        <v>7</v>
      </c>
      <c r="E355" t="s">
        <v>501</v>
      </c>
      <c r="F355" t="s">
        <v>575</v>
      </c>
      <c r="G355" s="56">
        <v>44746</v>
      </c>
      <c r="H355">
        <v>46</v>
      </c>
      <c r="I355" t="s">
        <v>586</v>
      </c>
      <c r="J355" s="56"/>
    </row>
    <row r="356" spans="1:10" x14ac:dyDescent="0.25">
      <c r="A356" t="s">
        <v>585</v>
      </c>
      <c r="B356" t="s">
        <v>35</v>
      </c>
      <c r="C356">
        <v>10491198</v>
      </c>
      <c r="D356" t="s">
        <v>6</v>
      </c>
      <c r="E356" t="s">
        <v>501</v>
      </c>
      <c r="F356" t="s">
        <v>575</v>
      </c>
      <c r="G356" s="56">
        <v>44746</v>
      </c>
      <c r="H356">
        <v>46</v>
      </c>
      <c r="I356" t="s">
        <v>584</v>
      </c>
      <c r="J356" s="56"/>
    </row>
    <row r="357" spans="1:10" x14ac:dyDescent="0.25">
      <c r="A357" t="s">
        <v>585</v>
      </c>
      <c r="B357" t="s">
        <v>13</v>
      </c>
      <c r="C357">
        <v>72512391</v>
      </c>
      <c r="D357" t="s">
        <v>2</v>
      </c>
      <c r="E357" t="s">
        <v>501</v>
      </c>
      <c r="F357" t="s">
        <v>575</v>
      </c>
      <c r="G357" s="56">
        <v>44809</v>
      </c>
      <c r="H357">
        <v>44</v>
      </c>
      <c r="I357" t="s">
        <v>159</v>
      </c>
      <c r="J357" s="56"/>
    </row>
    <row r="358" spans="1:10" x14ac:dyDescent="0.25">
      <c r="A358" t="s">
        <v>585</v>
      </c>
      <c r="B358" t="s">
        <v>76</v>
      </c>
      <c r="C358">
        <v>60914051</v>
      </c>
      <c r="D358" t="s">
        <v>3</v>
      </c>
      <c r="E358" t="s">
        <v>501</v>
      </c>
      <c r="F358" t="s">
        <v>575</v>
      </c>
      <c r="G358" s="56">
        <v>44817</v>
      </c>
      <c r="H358">
        <v>43</v>
      </c>
      <c r="I358" t="s">
        <v>584</v>
      </c>
      <c r="J358" s="56"/>
    </row>
    <row r="359" spans="1:10" x14ac:dyDescent="0.25">
      <c r="A359" t="s">
        <v>585</v>
      </c>
      <c r="B359" t="s">
        <v>25</v>
      </c>
      <c r="C359">
        <v>72373931</v>
      </c>
      <c r="D359" t="s">
        <v>2</v>
      </c>
      <c r="E359" t="s">
        <v>501</v>
      </c>
      <c r="F359" t="s">
        <v>575</v>
      </c>
      <c r="G359" s="56">
        <v>44818</v>
      </c>
      <c r="H359">
        <v>43</v>
      </c>
      <c r="I359" t="s">
        <v>159</v>
      </c>
      <c r="J359" s="56"/>
    </row>
    <row r="360" spans="1:10" x14ac:dyDescent="0.25">
      <c r="A360" t="s">
        <v>585</v>
      </c>
      <c r="B360" t="s">
        <v>77</v>
      </c>
      <c r="C360">
        <v>42251780</v>
      </c>
      <c r="D360" t="s">
        <v>7</v>
      </c>
      <c r="E360" t="s">
        <v>501</v>
      </c>
      <c r="F360" t="s">
        <v>575</v>
      </c>
      <c r="G360" s="56">
        <v>44838</v>
      </c>
      <c r="H360">
        <v>43</v>
      </c>
      <c r="I360" t="s">
        <v>586</v>
      </c>
      <c r="J360" s="56"/>
    </row>
    <row r="361" spans="1:10" x14ac:dyDescent="0.25">
      <c r="A361" t="s">
        <v>585</v>
      </c>
      <c r="B361" t="s">
        <v>12</v>
      </c>
      <c r="C361">
        <v>45262585</v>
      </c>
      <c r="D361" t="s">
        <v>125</v>
      </c>
      <c r="E361" t="s">
        <v>501</v>
      </c>
      <c r="F361" t="s">
        <v>575</v>
      </c>
      <c r="G361" s="56">
        <v>44868</v>
      </c>
      <c r="H361">
        <v>42</v>
      </c>
      <c r="I361" t="s">
        <v>159</v>
      </c>
      <c r="J361" s="56"/>
    </row>
    <row r="362" spans="1:10" x14ac:dyDescent="0.25">
      <c r="A362" t="s">
        <v>585</v>
      </c>
      <c r="B362" t="s">
        <v>17</v>
      </c>
      <c r="C362">
        <v>70876605</v>
      </c>
      <c r="D362" t="s">
        <v>2</v>
      </c>
      <c r="E362" t="s">
        <v>501</v>
      </c>
      <c r="F362" t="s">
        <v>575</v>
      </c>
      <c r="G362" s="56">
        <v>44886</v>
      </c>
      <c r="H362">
        <v>41</v>
      </c>
      <c r="I362" t="s">
        <v>159</v>
      </c>
      <c r="J362" s="56"/>
    </row>
    <row r="363" spans="1:10" x14ac:dyDescent="0.25">
      <c r="A363" t="s">
        <v>585</v>
      </c>
      <c r="B363" t="s">
        <v>61</v>
      </c>
      <c r="C363">
        <v>44001162</v>
      </c>
      <c r="D363" t="s">
        <v>125</v>
      </c>
      <c r="E363" t="s">
        <v>501</v>
      </c>
      <c r="F363" t="s">
        <v>575</v>
      </c>
      <c r="G363" s="56">
        <v>44907</v>
      </c>
      <c r="H363">
        <v>40</v>
      </c>
      <c r="I363" t="s">
        <v>159</v>
      </c>
      <c r="J363" s="56"/>
    </row>
    <row r="364" spans="1:10" x14ac:dyDescent="0.25">
      <c r="A364" t="s">
        <v>585</v>
      </c>
      <c r="B364" t="s">
        <v>78</v>
      </c>
      <c r="C364">
        <v>10706451</v>
      </c>
      <c r="D364" t="s">
        <v>3</v>
      </c>
      <c r="E364" t="s">
        <v>501</v>
      </c>
      <c r="F364" t="s">
        <v>575</v>
      </c>
      <c r="G364" s="56">
        <v>44943</v>
      </c>
      <c r="H364">
        <v>39</v>
      </c>
      <c r="I364" t="s">
        <v>584</v>
      </c>
      <c r="J364" s="56"/>
    </row>
    <row r="365" spans="1:10" x14ac:dyDescent="0.25">
      <c r="A365" t="s">
        <v>585</v>
      </c>
      <c r="B365" t="s">
        <v>65</v>
      </c>
      <c r="C365">
        <v>47659267</v>
      </c>
      <c r="D365" t="s">
        <v>2</v>
      </c>
      <c r="E365" t="s">
        <v>501</v>
      </c>
      <c r="F365" t="s">
        <v>575</v>
      </c>
      <c r="G365" s="56">
        <v>45019</v>
      </c>
      <c r="H365">
        <v>37</v>
      </c>
      <c r="I365" t="s">
        <v>159</v>
      </c>
      <c r="J365" s="56"/>
    </row>
    <row r="366" spans="1:10" x14ac:dyDescent="0.25">
      <c r="A366" t="s">
        <v>585</v>
      </c>
      <c r="B366" t="s">
        <v>37</v>
      </c>
      <c r="C366">
        <v>70988976</v>
      </c>
      <c r="D366" t="s">
        <v>6</v>
      </c>
      <c r="E366" t="s">
        <v>501</v>
      </c>
      <c r="F366" t="s">
        <v>575</v>
      </c>
      <c r="G366" s="56">
        <v>45112</v>
      </c>
      <c r="H366">
        <v>34</v>
      </c>
      <c r="I366" t="s">
        <v>584</v>
      </c>
      <c r="J366" s="56"/>
    </row>
    <row r="367" spans="1:10" x14ac:dyDescent="0.25">
      <c r="A367" t="s">
        <v>585</v>
      </c>
      <c r="B367" t="s">
        <v>18</v>
      </c>
      <c r="C367">
        <v>76214436</v>
      </c>
      <c r="D367" t="s">
        <v>125</v>
      </c>
      <c r="E367" t="s">
        <v>501</v>
      </c>
      <c r="F367" t="s">
        <v>575</v>
      </c>
      <c r="G367" s="56">
        <v>45132</v>
      </c>
      <c r="H367">
        <v>33</v>
      </c>
      <c r="I367" t="s">
        <v>159</v>
      </c>
      <c r="J367" s="56"/>
    </row>
    <row r="368" spans="1:10" x14ac:dyDescent="0.25">
      <c r="A368" t="s">
        <v>585</v>
      </c>
      <c r="B368" t="s">
        <v>73</v>
      </c>
      <c r="C368">
        <v>40318129</v>
      </c>
      <c r="D368" t="s">
        <v>7</v>
      </c>
      <c r="E368" t="s">
        <v>501</v>
      </c>
      <c r="F368" t="s">
        <v>575</v>
      </c>
      <c r="G368" s="56">
        <v>45141</v>
      </c>
      <c r="H368">
        <v>33</v>
      </c>
      <c r="I368" t="s">
        <v>586</v>
      </c>
      <c r="J368" s="56"/>
    </row>
    <row r="369" spans="1:10" x14ac:dyDescent="0.25">
      <c r="A369" t="s">
        <v>585</v>
      </c>
      <c r="B369" t="s">
        <v>79</v>
      </c>
      <c r="C369">
        <v>71262377</v>
      </c>
      <c r="D369" t="s">
        <v>3</v>
      </c>
      <c r="E369" t="s">
        <v>501</v>
      </c>
      <c r="F369" t="s">
        <v>575</v>
      </c>
      <c r="G369" s="56">
        <v>45145</v>
      </c>
      <c r="H369">
        <v>32</v>
      </c>
      <c r="I369" t="s">
        <v>583</v>
      </c>
      <c r="J369" s="56"/>
    </row>
    <row r="370" spans="1:10" x14ac:dyDescent="0.25">
      <c r="A370" t="s">
        <v>585</v>
      </c>
      <c r="B370" t="s">
        <v>34</v>
      </c>
      <c r="C370">
        <v>76824571</v>
      </c>
      <c r="D370" t="s">
        <v>6</v>
      </c>
      <c r="E370" t="s">
        <v>501</v>
      </c>
      <c r="F370" t="s">
        <v>575</v>
      </c>
      <c r="G370" s="56">
        <v>45173</v>
      </c>
      <c r="H370">
        <v>32</v>
      </c>
      <c r="I370" t="s">
        <v>583</v>
      </c>
      <c r="J370" s="56"/>
    </row>
    <row r="371" spans="1:10" x14ac:dyDescent="0.25">
      <c r="A371" t="s">
        <v>585</v>
      </c>
      <c r="B371" t="s">
        <v>80</v>
      </c>
      <c r="C371">
        <v>45084594</v>
      </c>
      <c r="D371" t="s">
        <v>6</v>
      </c>
      <c r="E371" t="s">
        <v>501</v>
      </c>
      <c r="F371" t="s">
        <v>575</v>
      </c>
      <c r="G371" s="56">
        <v>45281</v>
      </c>
      <c r="H371">
        <v>28</v>
      </c>
      <c r="I371" t="s">
        <v>583</v>
      </c>
      <c r="J371" s="56"/>
    </row>
    <row r="372" spans="1:10" x14ac:dyDescent="0.25">
      <c r="A372" t="s">
        <v>585</v>
      </c>
      <c r="B372" t="s">
        <v>22</v>
      </c>
      <c r="C372">
        <v>70551168</v>
      </c>
      <c r="D372" t="s">
        <v>2</v>
      </c>
      <c r="E372" t="s">
        <v>501</v>
      </c>
      <c r="F372" t="s">
        <v>575</v>
      </c>
      <c r="G372" s="56">
        <v>45295</v>
      </c>
      <c r="H372">
        <v>28</v>
      </c>
      <c r="I372" t="s">
        <v>159</v>
      </c>
      <c r="J372" s="56"/>
    </row>
    <row r="373" spans="1:10" x14ac:dyDescent="0.25">
      <c r="A373" t="s">
        <v>585</v>
      </c>
      <c r="B373" t="s">
        <v>41</v>
      </c>
      <c r="C373">
        <v>46461021</v>
      </c>
      <c r="D373" t="s">
        <v>7</v>
      </c>
      <c r="E373" t="s">
        <v>501</v>
      </c>
      <c r="F373" t="s">
        <v>575</v>
      </c>
      <c r="G373" s="56">
        <v>45302</v>
      </c>
      <c r="H373">
        <v>27</v>
      </c>
      <c r="I373" t="s">
        <v>587</v>
      </c>
      <c r="J373" s="56"/>
    </row>
    <row r="374" spans="1:10" x14ac:dyDescent="0.25">
      <c r="A374" t="s">
        <v>585</v>
      </c>
      <c r="B374" t="s">
        <v>24</v>
      </c>
      <c r="C374">
        <v>43614775</v>
      </c>
      <c r="D374" t="s">
        <v>2</v>
      </c>
      <c r="E374" t="s">
        <v>501</v>
      </c>
      <c r="F374" t="s">
        <v>575</v>
      </c>
      <c r="G374" s="56">
        <v>45334</v>
      </c>
      <c r="H374">
        <v>26</v>
      </c>
      <c r="I374" t="s">
        <v>159</v>
      </c>
      <c r="J374" s="56"/>
    </row>
    <row r="375" spans="1:10" x14ac:dyDescent="0.25">
      <c r="A375" t="s">
        <v>585</v>
      </c>
      <c r="B375" t="s">
        <v>59</v>
      </c>
      <c r="C375">
        <v>60870839</v>
      </c>
      <c r="D375" t="s">
        <v>125</v>
      </c>
      <c r="E375" t="s">
        <v>501</v>
      </c>
      <c r="F375" t="s">
        <v>575</v>
      </c>
      <c r="G375" s="56">
        <v>45344</v>
      </c>
      <c r="H375">
        <v>26</v>
      </c>
      <c r="I375" t="s">
        <v>159</v>
      </c>
      <c r="J375" s="56"/>
    </row>
    <row r="376" spans="1:10" x14ac:dyDescent="0.25">
      <c r="A376" t="s">
        <v>585</v>
      </c>
      <c r="B376" t="s">
        <v>68</v>
      </c>
      <c r="C376">
        <v>73257316</v>
      </c>
      <c r="D376" t="s">
        <v>3</v>
      </c>
      <c r="E376" t="s">
        <v>501</v>
      </c>
      <c r="F376" t="s">
        <v>575</v>
      </c>
      <c r="G376" s="56">
        <v>45363</v>
      </c>
      <c r="H376">
        <v>25</v>
      </c>
      <c r="I376" t="s">
        <v>583</v>
      </c>
      <c r="J376" s="56"/>
    </row>
    <row r="377" spans="1:10" x14ac:dyDescent="0.25">
      <c r="A377" t="s">
        <v>585</v>
      </c>
      <c r="B377" t="s">
        <v>11</v>
      </c>
      <c r="C377">
        <v>45139159</v>
      </c>
      <c r="D377" t="s">
        <v>6</v>
      </c>
      <c r="E377" t="s">
        <v>501</v>
      </c>
      <c r="F377" t="s">
        <v>575</v>
      </c>
      <c r="G377" s="56">
        <v>45369</v>
      </c>
      <c r="H377">
        <v>25</v>
      </c>
      <c r="I377" t="s">
        <v>583</v>
      </c>
      <c r="J377" s="56"/>
    </row>
    <row r="378" spans="1:10" x14ac:dyDescent="0.25">
      <c r="A378" t="s">
        <v>585</v>
      </c>
      <c r="B378" t="s">
        <v>42</v>
      </c>
      <c r="C378">
        <v>73725129</v>
      </c>
      <c r="D378" t="s">
        <v>2</v>
      </c>
      <c r="E378" t="s">
        <v>500</v>
      </c>
      <c r="F378" t="s">
        <v>575</v>
      </c>
      <c r="G378" s="56">
        <v>45398</v>
      </c>
      <c r="H378">
        <v>24</v>
      </c>
      <c r="I378" t="s">
        <v>159</v>
      </c>
      <c r="J378" s="56"/>
    </row>
    <row r="379" spans="1:10" x14ac:dyDescent="0.25">
      <c r="A379" t="s">
        <v>585</v>
      </c>
      <c r="B379" t="s">
        <v>81</v>
      </c>
      <c r="C379">
        <v>72716299</v>
      </c>
      <c r="D379" t="s">
        <v>6</v>
      </c>
      <c r="E379" t="s">
        <v>501</v>
      </c>
      <c r="F379" t="s">
        <v>575</v>
      </c>
      <c r="G379" s="56">
        <v>45511</v>
      </c>
      <c r="H379">
        <v>20</v>
      </c>
      <c r="I379" t="s">
        <v>583</v>
      </c>
      <c r="J379" s="56"/>
    </row>
    <row r="380" spans="1:10" x14ac:dyDescent="0.25">
      <c r="A380" t="s">
        <v>585</v>
      </c>
      <c r="B380" t="s">
        <v>32</v>
      </c>
      <c r="C380">
        <v>48584670</v>
      </c>
      <c r="D380" t="s">
        <v>3</v>
      </c>
      <c r="E380" t="s">
        <v>501</v>
      </c>
      <c r="F380" t="s">
        <v>575</v>
      </c>
      <c r="G380" s="56">
        <v>45526</v>
      </c>
      <c r="H380">
        <v>20</v>
      </c>
      <c r="I380" t="s">
        <v>583</v>
      </c>
      <c r="J380" s="56"/>
    </row>
    <row r="381" spans="1:10" x14ac:dyDescent="0.25">
      <c r="A381" t="s">
        <v>585</v>
      </c>
      <c r="B381" t="s">
        <v>51</v>
      </c>
      <c r="C381">
        <v>76089925</v>
      </c>
      <c r="D381" t="s">
        <v>7</v>
      </c>
      <c r="E381" t="s">
        <v>501</v>
      </c>
      <c r="F381" t="s">
        <v>575</v>
      </c>
      <c r="G381" s="56">
        <v>45678</v>
      </c>
      <c r="H381">
        <v>15</v>
      </c>
      <c r="I381" t="s">
        <v>586</v>
      </c>
      <c r="J381" s="56"/>
    </row>
    <row r="382" spans="1:10" x14ac:dyDescent="0.25">
      <c r="A382" t="s">
        <v>585</v>
      </c>
      <c r="B382" t="s">
        <v>72</v>
      </c>
      <c r="C382">
        <v>47690367</v>
      </c>
      <c r="D382" t="s">
        <v>125</v>
      </c>
      <c r="E382" t="s">
        <v>501</v>
      </c>
      <c r="F382" t="s">
        <v>575</v>
      </c>
      <c r="G382" s="56">
        <v>45691</v>
      </c>
      <c r="H382">
        <v>15</v>
      </c>
      <c r="I382" t="s">
        <v>159</v>
      </c>
      <c r="J382" s="56"/>
    </row>
    <row r="383" spans="1:10" x14ac:dyDescent="0.25">
      <c r="A383" t="s">
        <v>585</v>
      </c>
      <c r="B383" t="s">
        <v>50</v>
      </c>
      <c r="C383">
        <v>72733809</v>
      </c>
      <c r="D383" t="s">
        <v>6</v>
      </c>
      <c r="E383" t="s">
        <v>501</v>
      </c>
      <c r="F383" t="s">
        <v>575</v>
      </c>
      <c r="G383" s="56">
        <v>45789</v>
      </c>
      <c r="H383">
        <v>11</v>
      </c>
      <c r="I383" t="s">
        <v>583</v>
      </c>
      <c r="J383" s="56"/>
    </row>
    <row r="384" spans="1:10" x14ac:dyDescent="0.25">
      <c r="A384" t="s">
        <v>585</v>
      </c>
      <c r="B384" t="s">
        <v>38</v>
      </c>
      <c r="C384">
        <v>47411966</v>
      </c>
      <c r="D384" t="s">
        <v>3</v>
      </c>
      <c r="E384" t="s">
        <v>501</v>
      </c>
      <c r="F384" t="s">
        <v>575</v>
      </c>
      <c r="G384" s="56">
        <v>45800</v>
      </c>
      <c r="H384">
        <v>11</v>
      </c>
      <c r="I384" t="s">
        <v>584</v>
      </c>
      <c r="J384" s="56"/>
    </row>
    <row r="385" spans="1:10" x14ac:dyDescent="0.25">
      <c r="A385" t="s">
        <v>585</v>
      </c>
      <c r="B385" t="s">
        <v>55</v>
      </c>
      <c r="C385">
        <v>45119892</v>
      </c>
      <c r="D385" t="s">
        <v>588</v>
      </c>
      <c r="E385" t="s">
        <v>501</v>
      </c>
      <c r="F385" t="s">
        <v>575</v>
      </c>
      <c r="G385" s="56">
        <v>45813</v>
      </c>
      <c r="H385">
        <v>11</v>
      </c>
      <c r="I385" t="s">
        <v>588</v>
      </c>
      <c r="J385" s="56"/>
    </row>
    <row r="386" spans="1:10" x14ac:dyDescent="0.25">
      <c r="A386" t="s">
        <v>585</v>
      </c>
      <c r="B386" t="s">
        <v>60</v>
      </c>
      <c r="C386">
        <v>72839865</v>
      </c>
      <c r="D386" t="s">
        <v>125</v>
      </c>
      <c r="E386" t="s">
        <v>501</v>
      </c>
      <c r="F386" t="s">
        <v>575</v>
      </c>
      <c r="G386" s="56">
        <v>45854</v>
      </c>
      <c r="H386">
        <v>9</v>
      </c>
      <c r="I386" t="s">
        <v>159</v>
      </c>
      <c r="J386" s="56"/>
    </row>
    <row r="387" spans="1:10" x14ac:dyDescent="0.25">
      <c r="A387" t="s">
        <v>585</v>
      </c>
      <c r="B387" t="s">
        <v>96</v>
      </c>
      <c r="C387">
        <v>46793103</v>
      </c>
      <c r="D387" t="s">
        <v>3</v>
      </c>
      <c r="E387" t="s">
        <v>501</v>
      </c>
      <c r="F387" t="s">
        <v>575</v>
      </c>
      <c r="G387" s="56">
        <v>45882</v>
      </c>
      <c r="H387">
        <v>8</v>
      </c>
      <c r="I387" t="s">
        <v>583</v>
      </c>
      <c r="J387" s="56"/>
    </row>
    <row r="388" spans="1:10" x14ac:dyDescent="0.25">
      <c r="A388" t="s">
        <v>585</v>
      </c>
      <c r="B388" t="s">
        <v>97</v>
      </c>
      <c r="C388">
        <v>74602206</v>
      </c>
      <c r="D388" t="s">
        <v>6</v>
      </c>
      <c r="E388" t="s">
        <v>501</v>
      </c>
      <c r="F388" t="s">
        <v>575</v>
      </c>
      <c r="G388" s="56">
        <v>45884</v>
      </c>
      <c r="H388">
        <v>8</v>
      </c>
      <c r="I388" t="s">
        <v>584</v>
      </c>
      <c r="J388" s="56"/>
    </row>
    <row r="389" spans="1:10" x14ac:dyDescent="0.25">
      <c r="A389" t="s">
        <v>585</v>
      </c>
      <c r="B389" t="s">
        <v>122</v>
      </c>
      <c r="C389">
        <v>76586998</v>
      </c>
      <c r="D389" t="s">
        <v>125</v>
      </c>
      <c r="E389" t="s">
        <v>501</v>
      </c>
      <c r="F389" t="s">
        <v>575</v>
      </c>
      <c r="G389" s="56">
        <v>45971</v>
      </c>
      <c r="H389">
        <v>5</v>
      </c>
      <c r="I389" t="s">
        <v>159</v>
      </c>
      <c r="J389" s="56"/>
    </row>
    <row r="390" spans="1:10" x14ac:dyDescent="0.25">
      <c r="A390" t="s">
        <v>585</v>
      </c>
      <c r="B390" t="s">
        <v>174</v>
      </c>
      <c r="C390">
        <v>46994661</v>
      </c>
      <c r="D390" t="s">
        <v>3</v>
      </c>
      <c r="E390" t="s">
        <v>501</v>
      </c>
      <c r="F390" t="s">
        <v>575</v>
      </c>
      <c r="G390" s="56">
        <v>45992</v>
      </c>
      <c r="H390">
        <v>5</v>
      </c>
      <c r="I390" t="s">
        <v>583</v>
      </c>
      <c r="J390" s="56"/>
    </row>
    <row r="391" spans="1:10" x14ac:dyDescent="0.25">
      <c r="A391" t="s">
        <v>585</v>
      </c>
      <c r="B391" t="s">
        <v>109</v>
      </c>
      <c r="C391">
        <v>74626735</v>
      </c>
      <c r="D391" t="s">
        <v>125</v>
      </c>
      <c r="E391" t="s">
        <v>501</v>
      </c>
      <c r="F391" t="s">
        <v>575</v>
      </c>
      <c r="G391" s="56">
        <v>46024</v>
      </c>
      <c r="H391">
        <v>4</v>
      </c>
      <c r="I391" t="s">
        <v>159</v>
      </c>
      <c r="J391" s="56"/>
    </row>
    <row r="392" spans="1:10" x14ac:dyDescent="0.25">
      <c r="A392" t="s">
        <v>585</v>
      </c>
      <c r="B392" t="s">
        <v>206</v>
      </c>
      <c r="C392">
        <v>47497410</v>
      </c>
      <c r="D392" t="s">
        <v>125</v>
      </c>
      <c r="E392" t="s">
        <v>501</v>
      </c>
      <c r="F392" t="s">
        <v>575</v>
      </c>
      <c r="G392" s="56">
        <v>46024</v>
      </c>
      <c r="H392">
        <v>4</v>
      </c>
      <c r="I392" t="s">
        <v>159</v>
      </c>
      <c r="J392" s="56"/>
    </row>
    <row r="393" spans="1:10" x14ac:dyDescent="0.25">
      <c r="A393" t="s">
        <v>585</v>
      </c>
      <c r="B393" t="s">
        <v>105</v>
      </c>
      <c r="C393">
        <v>48344037</v>
      </c>
      <c r="D393" t="s">
        <v>6</v>
      </c>
      <c r="E393" t="s">
        <v>501</v>
      </c>
      <c r="F393" t="s">
        <v>575</v>
      </c>
      <c r="G393" s="56">
        <v>46027</v>
      </c>
      <c r="H393">
        <v>4</v>
      </c>
      <c r="I393" t="s">
        <v>583</v>
      </c>
      <c r="J393" s="56"/>
    </row>
    <row r="394" spans="1:10" x14ac:dyDescent="0.25">
      <c r="A394" t="s">
        <v>585</v>
      </c>
      <c r="B394" t="s">
        <v>207</v>
      </c>
      <c r="C394">
        <v>75069320</v>
      </c>
      <c r="D394" t="s">
        <v>2</v>
      </c>
      <c r="E394" t="s">
        <v>577</v>
      </c>
      <c r="F394" t="s">
        <v>575</v>
      </c>
      <c r="G394" s="56">
        <v>46029</v>
      </c>
      <c r="H394">
        <v>2</v>
      </c>
      <c r="I394" t="s">
        <v>159</v>
      </c>
      <c r="J394" s="56">
        <v>46097</v>
      </c>
    </row>
    <row r="395" spans="1:10" x14ac:dyDescent="0.25">
      <c r="A395" t="s">
        <v>585</v>
      </c>
      <c r="B395" t="s">
        <v>377</v>
      </c>
      <c r="C395">
        <v>44883074</v>
      </c>
      <c r="D395" t="s">
        <v>2</v>
      </c>
      <c r="E395" t="s">
        <v>501</v>
      </c>
      <c r="F395" t="s">
        <v>575</v>
      </c>
      <c r="G395" s="56">
        <v>46038</v>
      </c>
      <c r="H395">
        <v>3</v>
      </c>
      <c r="I395" t="s">
        <v>159</v>
      </c>
      <c r="J395" s="56"/>
    </row>
    <row r="396" spans="1:10" x14ac:dyDescent="0.25">
      <c r="A396" t="s">
        <v>585</v>
      </c>
      <c r="B396" t="s">
        <v>493</v>
      </c>
      <c r="C396">
        <v>75026229</v>
      </c>
      <c r="D396" t="s">
        <v>3</v>
      </c>
      <c r="E396" t="s">
        <v>501</v>
      </c>
      <c r="F396" t="s">
        <v>575</v>
      </c>
      <c r="G396" s="56">
        <v>46052</v>
      </c>
      <c r="H396">
        <v>3</v>
      </c>
      <c r="I396" t="s">
        <v>583</v>
      </c>
      <c r="J396" s="56"/>
    </row>
    <row r="397" spans="1:10" x14ac:dyDescent="0.25">
      <c r="A397" t="s">
        <v>585</v>
      </c>
      <c r="B397" t="s">
        <v>495</v>
      </c>
      <c r="C397">
        <v>62792399</v>
      </c>
      <c r="D397" t="s">
        <v>7</v>
      </c>
      <c r="E397" t="s">
        <v>501</v>
      </c>
      <c r="F397" t="s">
        <v>575</v>
      </c>
      <c r="G397" s="56">
        <v>46052</v>
      </c>
      <c r="H397">
        <v>3</v>
      </c>
      <c r="I397" t="s">
        <v>587</v>
      </c>
      <c r="J397" s="56"/>
    </row>
    <row r="398" spans="1:10" x14ac:dyDescent="0.25">
      <c r="A398" t="s">
        <v>585</v>
      </c>
      <c r="B398" t="s">
        <v>85</v>
      </c>
      <c r="C398">
        <v>70477743</v>
      </c>
      <c r="D398" t="s">
        <v>125</v>
      </c>
      <c r="E398" t="s">
        <v>501</v>
      </c>
      <c r="F398" t="s">
        <v>575</v>
      </c>
      <c r="G398" s="56">
        <v>46055</v>
      </c>
      <c r="H398">
        <v>3</v>
      </c>
      <c r="I398" t="s">
        <v>159</v>
      </c>
      <c r="J398" s="56"/>
    </row>
    <row r="399" spans="1:10" x14ac:dyDescent="0.25">
      <c r="A399" t="s">
        <v>585</v>
      </c>
      <c r="B399" t="s">
        <v>549</v>
      </c>
      <c r="C399">
        <v>73233992</v>
      </c>
      <c r="D399" t="s">
        <v>7</v>
      </c>
      <c r="E399" t="s">
        <v>501</v>
      </c>
      <c r="F399" t="s">
        <v>575</v>
      </c>
      <c r="G399" s="56">
        <v>46065</v>
      </c>
      <c r="H399">
        <v>2</v>
      </c>
      <c r="I399" t="s">
        <v>587</v>
      </c>
      <c r="J399" s="56"/>
    </row>
    <row r="400" spans="1:10" x14ac:dyDescent="0.25">
      <c r="A400" t="s">
        <v>585</v>
      </c>
      <c r="B400" t="s">
        <v>557</v>
      </c>
      <c r="C400">
        <v>10330959</v>
      </c>
      <c r="D400" t="s">
        <v>7</v>
      </c>
      <c r="E400" t="s">
        <v>501</v>
      </c>
      <c r="F400" t="s">
        <v>575</v>
      </c>
      <c r="G400" s="56">
        <v>46073</v>
      </c>
      <c r="H400">
        <v>2</v>
      </c>
      <c r="I400" t="s">
        <v>587</v>
      </c>
      <c r="J400" s="56"/>
    </row>
    <row r="401" spans="1:10" x14ac:dyDescent="0.25">
      <c r="A401" t="s">
        <v>585</v>
      </c>
      <c r="B401" t="s">
        <v>563</v>
      </c>
      <c r="C401">
        <v>78564842</v>
      </c>
      <c r="D401" t="s">
        <v>7</v>
      </c>
      <c r="E401" t="s">
        <v>577</v>
      </c>
      <c r="F401" t="s">
        <v>575</v>
      </c>
      <c r="G401" s="56">
        <v>46078</v>
      </c>
      <c r="H401">
        <v>0</v>
      </c>
      <c r="I401" t="s">
        <v>587</v>
      </c>
      <c r="J401" s="56">
        <v>46086</v>
      </c>
    </row>
    <row r="402" spans="1:10" x14ac:dyDescent="0.25">
      <c r="A402" t="s">
        <v>585</v>
      </c>
      <c r="B402" t="s">
        <v>564</v>
      </c>
      <c r="C402">
        <v>43184866</v>
      </c>
      <c r="D402" t="s">
        <v>2</v>
      </c>
      <c r="E402" t="s">
        <v>501</v>
      </c>
      <c r="F402" t="s">
        <v>575</v>
      </c>
      <c r="G402" s="56">
        <v>46083</v>
      </c>
      <c r="H402">
        <v>2</v>
      </c>
      <c r="I402" t="s">
        <v>159</v>
      </c>
      <c r="J402" s="56"/>
    </row>
    <row r="403" spans="1:10" x14ac:dyDescent="0.25">
      <c r="A403" t="s">
        <v>585</v>
      </c>
      <c r="B403" t="s">
        <v>565</v>
      </c>
      <c r="C403">
        <v>10762187</v>
      </c>
      <c r="D403" t="s">
        <v>7</v>
      </c>
      <c r="E403" t="s">
        <v>501</v>
      </c>
      <c r="F403" t="s">
        <v>575</v>
      </c>
      <c r="G403" s="56">
        <v>46083</v>
      </c>
      <c r="H403">
        <v>2</v>
      </c>
      <c r="I403" t="s">
        <v>587</v>
      </c>
      <c r="J403" s="56"/>
    </row>
    <row r="404" spans="1:10" x14ac:dyDescent="0.25">
      <c r="A404" t="s">
        <v>585</v>
      </c>
      <c r="B404" t="s">
        <v>566</v>
      </c>
      <c r="C404">
        <v>75693756</v>
      </c>
      <c r="D404" t="s">
        <v>7</v>
      </c>
      <c r="E404" t="s">
        <v>501</v>
      </c>
      <c r="F404" t="s">
        <v>575</v>
      </c>
      <c r="G404" s="56">
        <v>46084</v>
      </c>
      <c r="H404">
        <v>2</v>
      </c>
      <c r="I404" t="s">
        <v>587</v>
      </c>
      <c r="J404" s="56"/>
    </row>
    <row r="405" spans="1:10" x14ac:dyDescent="0.25">
      <c r="A405" t="s">
        <v>598</v>
      </c>
      <c r="B405" t="s">
        <v>219</v>
      </c>
      <c r="C405">
        <v>74122258</v>
      </c>
      <c r="D405" t="s">
        <v>6</v>
      </c>
      <c r="E405" t="s">
        <v>133</v>
      </c>
      <c r="F405" t="s">
        <v>575</v>
      </c>
      <c r="G405" s="56">
        <v>44022</v>
      </c>
      <c r="H405">
        <v>69</v>
      </c>
      <c r="I405" t="s">
        <v>209</v>
      </c>
      <c r="J405" s="56"/>
    </row>
    <row r="406" spans="1:10" x14ac:dyDescent="0.25">
      <c r="A406" t="s">
        <v>598</v>
      </c>
      <c r="B406" t="s">
        <v>248</v>
      </c>
      <c r="C406">
        <v>44265602</v>
      </c>
      <c r="D406" t="s">
        <v>2</v>
      </c>
      <c r="E406" t="s">
        <v>133</v>
      </c>
      <c r="F406" t="s">
        <v>575</v>
      </c>
      <c r="G406" s="56">
        <v>44673</v>
      </c>
      <c r="H406">
        <v>48</v>
      </c>
      <c r="I406" t="s">
        <v>159</v>
      </c>
      <c r="J406" s="56"/>
    </row>
    <row r="407" spans="1:10" x14ac:dyDescent="0.25">
      <c r="A407" t="s">
        <v>598</v>
      </c>
      <c r="B407" t="s">
        <v>226</v>
      </c>
      <c r="C407">
        <v>73049631</v>
      </c>
      <c r="D407" t="s">
        <v>3</v>
      </c>
      <c r="E407" t="s">
        <v>133</v>
      </c>
      <c r="F407" t="s">
        <v>575</v>
      </c>
      <c r="G407" s="56">
        <v>43506</v>
      </c>
      <c r="H407">
        <v>86</v>
      </c>
      <c r="I407" t="s">
        <v>209</v>
      </c>
      <c r="J407" s="56"/>
    </row>
    <row r="408" spans="1:10" x14ac:dyDescent="0.25">
      <c r="A408" t="s">
        <v>598</v>
      </c>
      <c r="B408" t="s">
        <v>222</v>
      </c>
      <c r="C408">
        <v>75000131</v>
      </c>
      <c r="D408" t="s">
        <v>125</v>
      </c>
      <c r="E408" t="s">
        <v>133</v>
      </c>
      <c r="F408" t="s">
        <v>575</v>
      </c>
      <c r="G408" s="56">
        <v>44874</v>
      </c>
      <c r="H408">
        <v>41</v>
      </c>
      <c r="I408" t="s">
        <v>159</v>
      </c>
      <c r="J408" s="56"/>
    </row>
    <row r="409" spans="1:10" x14ac:dyDescent="0.25">
      <c r="A409" t="s">
        <v>598</v>
      </c>
      <c r="B409" t="s">
        <v>214</v>
      </c>
      <c r="C409">
        <v>46872195</v>
      </c>
      <c r="D409" t="s">
        <v>7</v>
      </c>
      <c r="E409" t="s">
        <v>133</v>
      </c>
      <c r="F409" t="s">
        <v>575</v>
      </c>
      <c r="G409" s="56">
        <v>43805</v>
      </c>
      <c r="H409">
        <v>77</v>
      </c>
      <c r="I409" t="s">
        <v>175</v>
      </c>
      <c r="J409" s="56"/>
    </row>
    <row r="410" spans="1:10" x14ac:dyDescent="0.25">
      <c r="A410" t="s">
        <v>598</v>
      </c>
      <c r="B410" t="s">
        <v>493</v>
      </c>
      <c r="C410">
        <v>75026229</v>
      </c>
      <c r="D410" t="s">
        <v>3</v>
      </c>
      <c r="E410" t="s">
        <v>501</v>
      </c>
      <c r="F410" t="s">
        <v>575</v>
      </c>
      <c r="G410" s="56">
        <v>46052</v>
      </c>
      <c r="H410">
        <v>3</v>
      </c>
      <c r="I410" t="s">
        <v>209</v>
      </c>
      <c r="J410" s="56"/>
    </row>
    <row r="411" spans="1:10" x14ac:dyDescent="0.25">
      <c r="A411" t="s">
        <v>598</v>
      </c>
      <c r="B411" t="s">
        <v>174</v>
      </c>
      <c r="C411">
        <v>46994661</v>
      </c>
      <c r="D411" t="s">
        <v>3</v>
      </c>
      <c r="E411" t="s">
        <v>501</v>
      </c>
      <c r="F411" t="s">
        <v>575</v>
      </c>
      <c r="G411" s="56">
        <v>45992</v>
      </c>
      <c r="H411">
        <v>5</v>
      </c>
      <c r="I411" t="s">
        <v>209</v>
      </c>
      <c r="J411" s="56"/>
    </row>
    <row r="412" spans="1:10" x14ac:dyDescent="0.25">
      <c r="A412" t="s">
        <v>598</v>
      </c>
      <c r="B412" t="s">
        <v>79</v>
      </c>
      <c r="C412">
        <v>71262377</v>
      </c>
      <c r="D412" t="s">
        <v>3</v>
      </c>
      <c r="E412" t="s">
        <v>501</v>
      </c>
      <c r="F412" t="s">
        <v>575</v>
      </c>
      <c r="G412" s="56">
        <v>45145</v>
      </c>
      <c r="H412">
        <v>32</v>
      </c>
      <c r="I412" t="s">
        <v>209</v>
      </c>
      <c r="J412" s="56"/>
    </row>
    <row r="413" spans="1:10" x14ac:dyDescent="0.25">
      <c r="A413" t="s">
        <v>598</v>
      </c>
      <c r="B413" t="s">
        <v>29</v>
      </c>
      <c r="C413">
        <v>72758956</v>
      </c>
      <c r="D413" t="s">
        <v>3</v>
      </c>
      <c r="E413" t="s">
        <v>501</v>
      </c>
      <c r="F413" t="s">
        <v>575</v>
      </c>
      <c r="G413" s="56">
        <v>44685</v>
      </c>
      <c r="H413">
        <v>48</v>
      </c>
      <c r="I413" t="s">
        <v>209</v>
      </c>
      <c r="J413" s="56"/>
    </row>
    <row r="414" spans="1:10" x14ac:dyDescent="0.25">
      <c r="A414" t="s">
        <v>598</v>
      </c>
      <c r="B414" t="s">
        <v>68</v>
      </c>
      <c r="C414">
        <v>73257316</v>
      </c>
      <c r="D414" t="s">
        <v>3</v>
      </c>
      <c r="E414" t="s">
        <v>501</v>
      </c>
      <c r="F414" t="s">
        <v>575</v>
      </c>
      <c r="G414" s="56">
        <v>45363</v>
      </c>
      <c r="H414">
        <v>25</v>
      </c>
      <c r="I414" t="s">
        <v>209</v>
      </c>
      <c r="J414" s="56"/>
    </row>
    <row r="415" spans="1:10" x14ac:dyDescent="0.25">
      <c r="A415" t="s">
        <v>598</v>
      </c>
      <c r="B415" t="s">
        <v>32</v>
      </c>
      <c r="C415">
        <v>48584670</v>
      </c>
      <c r="D415" t="s">
        <v>3</v>
      </c>
      <c r="E415" t="s">
        <v>501</v>
      </c>
      <c r="F415" t="s">
        <v>575</v>
      </c>
      <c r="G415" s="56">
        <v>45526</v>
      </c>
      <c r="H415">
        <v>20</v>
      </c>
      <c r="I415" t="s">
        <v>209</v>
      </c>
      <c r="J415" s="56"/>
    </row>
    <row r="416" spans="1:10" x14ac:dyDescent="0.25">
      <c r="A416" t="s">
        <v>598</v>
      </c>
      <c r="B416" t="s">
        <v>96</v>
      </c>
      <c r="C416">
        <v>46793103</v>
      </c>
      <c r="D416" t="s">
        <v>3</v>
      </c>
      <c r="E416" t="s">
        <v>501</v>
      </c>
      <c r="F416" t="s">
        <v>575</v>
      </c>
      <c r="G416" s="56">
        <v>45882</v>
      </c>
      <c r="H416">
        <v>8</v>
      </c>
      <c r="I416" t="s">
        <v>209</v>
      </c>
      <c r="J416" s="56"/>
    </row>
    <row r="417" spans="1:10" x14ac:dyDescent="0.25">
      <c r="A417" t="s">
        <v>598</v>
      </c>
      <c r="B417" t="s">
        <v>564</v>
      </c>
      <c r="C417">
        <v>43184866</v>
      </c>
      <c r="D417" t="s">
        <v>3</v>
      </c>
      <c r="E417" t="s">
        <v>501</v>
      </c>
      <c r="F417" t="s">
        <v>575</v>
      </c>
      <c r="G417" s="56">
        <v>46083</v>
      </c>
      <c r="H417">
        <v>2</v>
      </c>
      <c r="I417" t="s">
        <v>209</v>
      </c>
      <c r="J417" s="56"/>
    </row>
    <row r="418" spans="1:10" x14ac:dyDescent="0.25">
      <c r="A418" t="s">
        <v>598</v>
      </c>
      <c r="B418" t="s">
        <v>58</v>
      </c>
      <c r="C418">
        <v>72519113</v>
      </c>
      <c r="D418" t="s">
        <v>3</v>
      </c>
      <c r="E418" t="s">
        <v>501</v>
      </c>
      <c r="F418" t="s">
        <v>575</v>
      </c>
      <c r="G418" s="56">
        <v>43119</v>
      </c>
      <c r="H418">
        <v>99</v>
      </c>
      <c r="I418" t="s">
        <v>209</v>
      </c>
      <c r="J418" s="56"/>
    </row>
    <row r="419" spans="1:10" x14ac:dyDescent="0.25">
      <c r="A419" t="s">
        <v>598</v>
      </c>
      <c r="B419" t="s">
        <v>85</v>
      </c>
      <c r="C419">
        <v>70477743</v>
      </c>
      <c r="D419" t="s">
        <v>3</v>
      </c>
      <c r="E419" t="s">
        <v>501</v>
      </c>
      <c r="F419" t="s">
        <v>575</v>
      </c>
      <c r="G419" s="56">
        <v>46055</v>
      </c>
      <c r="H419">
        <v>3</v>
      </c>
      <c r="I419" t="s">
        <v>209</v>
      </c>
      <c r="J419" s="56"/>
    </row>
    <row r="420" spans="1:10" x14ac:dyDescent="0.25">
      <c r="A420" t="s">
        <v>598</v>
      </c>
      <c r="B420" t="s">
        <v>34</v>
      </c>
      <c r="C420">
        <v>76824571</v>
      </c>
      <c r="D420" t="s">
        <v>6</v>
      </c>
      <c r="E420" t="s">
        <v>501</v>
      </c>
      <c r="F420" t="s">
        <v>575</v>
      </c>
      <c r="G420" s="56">
        <v>45173</v>
      </c>
      <c r="H420">
        <v>32</v>
      </c>
      <c r="I420" t="s">
        <v>209</v>
      </c>
      <c r="J420" s="56"/>
    </row>
    <row r="421" spans="1:10" x14ac:dyDescent="0.25">
      <c r="A421" t="s">
        <v>598</v>
      </c>
      <c r="B421" t="s">
        <v>76</v>
      </c>
      <c r="C421">
        <v>60914051</v>
      </c>
      <c r="D421" t="s">
        <v>6</v>
      </c>
      <c r="E421" t="s">
        <v>501</v>
      </c>
      <c r="F421" t="s">
        <v>575</v>
      </c>
      <c r="G421" s="56">
        <v>44817</v>
      </c>
      <c r="H421">
        <v>43</v>
      </c>
      <c r="I421" t="s">
        <v>209</v>
      </c>
      <c r="J421" s="56"/>
    </row>
    <row r="422" spans="1:10" x14ac:dyDescent="0.25">
      <c r="A422" t="s">
        <v>598</v>
      </c>
      <c r="B422" t="s">
        <v>38</v>
      </c>
      <c r="C422">
        <v>47411966</v>
      </c>
      <c r="D422" t="s">
        <v>6</v>
      </c>
      <c r="E422" t="s">
        <v>501</v>
      </c>
      <c r="F422" t="s">
        <v>575</v>
      </c>
      <c r="G422" s="56">
        <v>45800</v>
      </c>
      <c r="H422">
        <v>11</v>
      </c>
      <c r="I422" t="s">
        <v>209</v>
      </c>
      <c r="J422" s="56"/>
    </row>
    <row r="423" spans="1:10" x14ac:dyDescent="0.25">
      <c r="A423" t="s">
        <v>598</v>
      </c>
      <c r="B423" t="s">
        <v>35</v>
      </c>
      <c r="C423">
        <v>10491198</v>
      </c>
      <c r="D423" t="s">
        <v>6</v>
      </c>
      <c r="E423" t="s">
        <v>501</v>
      </c>
      <c r="F423" t="s">
        <v>575</v>
      </c>
      <c r="G423" s="56">
        <v>44746</v>
      </c>
      <c r="H423">
        <v>46</v>
      </c>
      <c r="I423" t="s">
        <v>209</v>
      </c>
      <c r="J423" s="56"/>
    </row>
    <row r="424" spans="1:10" x14ac:dyDescent="0.25">
      <c r="A424" t="s">
        <v>598</v>
      </c>
      <c r="B424" t="s">
        <v>97</v>
      </c>
      <c r="C424">
        <v>74602206</v>
      </c>
      <c r="D424" t="s">
        <v>6</v>
      </c>
      <c r="E424" t="s">
        <v>501</v>
      </c>
      <c r="F424" t="s">
        <v>575</v>
      </c>
      <c r="G424" s="56">
        <v>45884</v>
      </c>
      <c r="H424">
        <v>8</v>
      </c>
      <c r="I424" t="s">
        <v>209</v>
      </c>
      <c r="J424" s="56"/>
    </row>
    <row r="425" spans="1:10" x14ac:dyDescent="0.25">
      <c r="A425" t="s">
        <v>598</v>
      </c>
      <c r="B425" t="s">
        <v>105</v>
      </c>
      <c r="C425">
        <v>48344037</v>
      </c>
      <c r="D425" t="s">
        <v>6</v>
      </c>
      <c r="E425" t="s">
        <v>501</v>
      </c>
      <c r="F425" t="s">
        <v>575</v>
      </c>
      <c r="G425" s="56">
        <v>46027</v>
      </c>
      <c r="H425">
        <v>4</v>
      </c>
      <c r="I425" t="s">
        <v>209</v>
      </c>
      <c r="J425" s="56"/>
    </row>
    <row r="426" spans="1:10" x14ac:dyDescent="0.25">
      <c r="A426" t="s">
        <v>598</v>
      </c>
      <c r="B426" t="s">
        <v>11</v>
      </c>
      <c r="C426">
        <v>45139159</v>
      </c>
      <c r="D426" t="s">
        <v>6</v>
      </c>
      <c r="E426" t="s">
        <v>501</v>
      </c>
      <c r="F426" t="s">
        <v>575</v>
      </c>
      <c r="G426" s="56">
        <v>45369</v>
      </c>
      <c r="H426">
        <v>25</v>
      </c>
      <c r="I426" t="s">
        <v>209</v>
      </c>
      <c r="J426" s="56"/>
    </row>
    <row r="427" spans="1:10" x14ac:dyDescent="0.25">
      <c r="A427" t="s">
        <v>598</v>
      </c>
      <c r="B427" t="s">
        <v>15</v>
      </c>
      <c r="C427">
        <v>47587400</v>
      </c>
      <c r="D427" t="s">
        <v>2</v>
      </c>
      <c r="E427" t="s">
        <v>501</v>
      </c>
      <c r="F427" t="s">
        <v>575</v>
      </c>
      <c r="G427" s="56">
        <v>44733</v>
      </c>
      <c r="H427">
        <v>46</v>
      </c>
      <c r="I427" t="s">
        <v>159</v>
      </c>
      <c r="J427" s="56"/>
    </row>
    <row r="428" spans="1:10" x14ac:dyDescent="0.25">
      <c r="A428" t="s">
        <v>598</v>
      </c>
      <c r="B428" t="s">
        <v>23</v>
      </c>
      <c r="C428">
        <v>72413556</v>
      </c>
      <c r="D428" t="s">
        <v>2</v>
      </c>
      <c r="E428" t="s">
        <v>501</v>
      </c>
      <c r="F428" t="s">
        <v>575</v>
      </c>
      <c r="G428" s="56">
        <v>44109</v>
      </c>
      <c r="H428">
        <v>67</v>
      </c>
      <c r="I428" t="s">
        <v>159</v>
      </c>
      <c r="J428" s="56"/>
    </row>
    <row r="429" spans="1:10" x14ac:dyDescent="0.25">
      <c r="A429" t="s">
        <v>598</v>
      </c>
      <c r="B429" t="s">
        <v>65</v>
      </c>
      <c r="C429">
        <v>47659267</v>
      </c>
      <c r="D429" t="s">
        <v>2</v>
      </c>
      <c r="E429" t="s">
        <v>501</v>
      </c>
      <c r="F429" t="s">
        <v>575</v>
      </c>
      <c r="G429" s="56">
        <v>45019</v>
      </c>
      <c r="H429">
        <v>37</v>
      </c>
      <c r="I429" t="s">
        <v>159</v>
      </c>
      <c r="J429" s="56"/>
    </row>
    <row r="430" spans="1:10" x14ac:dyDescent="0.25">
      <c r="A430" t="s">
        <v>598</v>
      </c>
      <c r="B430" t="s">
        <v>13</v>
      </c>
      <c r="C430">
        <v>72512391</v>
      </c>
      <c r="D430" t="s">
        <v>2</v>
      </c>
      <c r="E430" t="s">
        <v>501</v>
      </c>
      <c r="F430" t="s">
        <v>575</v>
      </c>
      <c r="G430" s="56">
        <v>44809</v>
      </c>
      <c r="H430">
        <v>44</v>
      </c>
      <c r="I430" t="s">
        <v>159</v>
      </c>
      <c r="J430" s="56"/>
    </row>
    <row r="431" spans="1:10" x14ac:dyDescent="0.25">
      <c r="A431" t="s">
        <v>598</v>
      </c>
      <c r="B431" t="s">
        <v>22</v>
      </c>
      <c r="C431">
        <v>70551168</v>
      </c>
      <c r="D431" t="s">
        <v>2</v>
      </c>
      <c r="E431" t="s">
        <v>501</v>
      </c>
      <c r="F431" t="s">
        <v>575</v>
      </c>
      <c r="G431" s="56">
        <v>45295</v>
      </c>
      <c r="H431">
        <v>28</v>
      </c>
      <c r="I431" t="s">
        <v>159</v>
      </c>
      <c r="J431" s="56"/>
    </row>
    <row r="432" spans="1:10" x14ac:dyDescent="0.25">
      <c r="A432" t="s">
        <v>598</v>
      </c>
      <c r="B432" t="s">
        <v>24</v>
      </c>
      <c r="C432">
        <v>43614775</v>
      </c>
      <c r="D432" t="s">
        <v>2</v>
      </c>
      <c r="E432" t="s">
        <v>501</v>
      </c>
      <c r="F432" t="s">
        <v>575</v>
      </c>
      <c r="G432" s="56">
        <v>45334</v>
      </c>
      <c r="H432">
        <v>26</v>
      </c>
      <c r="I432" t="s">
        <v>159</v>
      </c>
      <c r="J432" s="56"/>
    </row>
    <row r="433" spans="1:10" x14ac:dyDescent="0.25">
      <c r="A433" t="s">
        <v>598</v>
      </c>
      <c r="B433" t="s">
        <v>25</v>
      </c>
      <c r="C433">
        <v>72373931</v>
      </c>
      <c r="D433" t="s">
        <v>2</v>
      </c>
      <c r="E433" t="s">
        <v>501</v>
      </c>
      <c r="F433" t="s">
        <v>575</v>
      </c>
      <c r="G433" s="56">
        <v>44818</v>
      </c>
      <c r="H433">
        <v>43</v>
      </c>
      <c r="I433" t="s">
        <v>159</v>
      </c>
      <c r="J433" s="56"/>
    </row>
    <row r="434" spans="1:10" x14ac:dyDescent="0.25">
      <c r="A434" t="s">
        <v>598</v>
      </c>
      <c r="B434" t="s">
        <v>42</v>
      </c>
      <c r="C434">
        <v>73725129</v>
      </c>
      <c r="D434" t="s">
        <v>2</v>
      </c>
      <c r="E434" t="s">
        <v>501</v>
      </c>
      <c r="F434" t="s">
        <v>575</v>
      </c>
      <c r="G434" s="56">
        <v>45398</v>
      </c>
      <c r="H434">
        <v>24</v>
      </c>
      <c r="I434" t="s">
        <v>159</v>
      </c>
      <c r="J434" s="56"/>
    </row>
    <row r="435" spans="1:10" x14ac:dyDescent="0.25">
      <c r="A435" t="s">
        <v>598</v>
      </c>
      <c r="B435" t="s">
        <v>37</v>
      </c>
      <c r="C435">
        <v>70988976</v>
      </c>
      <c r="D435" t="s">
        <v>2</v>
      </c>
      <c r="E435" t="s">
        <v>501</v>
      </c>
      <c r="F435" t="s">
        <v>575</v>
      </c>
      <c r="G435" s="56">
        <v>45112</v>
      </c>
      <c r="H435">
        <v>34</v>
      </c>
      <c r="I435" t="s">
        <v>159</v>
      </c>
      <c r="J435" s="56"/>
    </row>
    <row r="436" spans="1:10" x14ac:dyDescent="0.25">
      <c r="A436" t="s">
        <v>598</v>
      </c>
      <c r="B436" t="s">
        <v>81</v>
      </c>
      <c r="C436">
        <v>72716299</v>
      </c>
      <c r="D436" t="s">
        <v>2</v>
      </c>
      <c r="E436" t="s">
        <v>501</v>
      </c>
      <c r="F436" t="s">
        <v>575</v>
      </c>
      <c r="G436" s="56">
        <v>45511</v>
      </c>
      <c r="H436">
        <v>20</v>
      </c>
      <c r="I436" t="s">
        <v>159</v>
      </c>
      <c r="J436" s="56"/>
    </row>
    <row r="437" spans="1:10" x14ac:dyDescent="0.25">
      <c r="A437" t="s">
        <v>598</v>
      </c>
      <c r="B437" t="s">
        <v>50</v>
      </c>
      <c r="C437">
        <v>72733809</v>
      </c>
      <c r="D437" t="s">
        <v>2</v>
      </c>
      <c r="E437" t="s">
        <v>501</v>
      </c>
      <c r="F437" t="s">
        <v>575</v>
      </c>
      <c r="G437" s="56">
        <v>45789</v>
      </c>
      <c r="H437">
        <v>11</v>
      </c>
      <c r="I437" t="s">
        <v>159</v>
      </c>
      <c r="J437" s="56"/>
    </row>
    <row r="438" spans="1:10" x14ac:dyDescent="0.25">
      <c r="A438" t="s">
        <v>598</v>
      </c>
      <c r="B438" t="s">
        <v>12</v>
      </c>
      <c r="C438">
        <v>45262585</v>
      </c>
      <c r="D438" t="s">
        <v>125</v>
      </c>
      <c r="E438" t="s">
        <v>501</v>
      </c>
      <c r="F438" t="s">
        <v>575</v>
      </c>
      <c r="G438" s="56">
        <v>44868</v>
      </c>
      <c r="H438">
        <v>42</v>
      </c>
      <c r="I438" t="s">
        <v>159</v>
      </c>
      <c r="J438" s="56"/>
    </row>
    <row r="439" spans="1:10" x14ac:dyDescent="0.25">
      <c r="A439" t="s">
        <v>598</v>
      </c>
      <c r="B439" t="s">
        <v>59</v>
      </c>
      <c r="C439">
        <v>60870839</v>
      </c>
      <c r="D439" t="s">
        <v>125</v>
      </c>
      <c r="E439" t="s">
        <v>501</v>
      </c>
      <c r="F439" t="s">
        <v>575</v>
      </c>
      <c r="G439" s="56">
        <v>45344</v>
      </c>
      <c r="H439">
        <v>26</v>
      </c>
      <c r="I439" t="s">
        <v>159</v>
      </c>
      <c r="J439" s="56"/>
    </row>
    <row r="440" spans="1:10" x14ac:dyDescent="0.25">
      <c r="A440" t="s">
        <v>598</v>
      </c>
      <c r="B440" t="s">
        <v>18</v>
      </c>
      <c r="C440">
        <v>76214436</v>
      </c>
      <c r="D440" t="s">
        <v>125</v>
      </c>
      <c r="E440" t="s">
        <v>501</v>
      </c>
      <c r="F440" t="s">
        <v>575</v>
      </c>
      <c r="G440" s="56">
        <v>45132</v>
      </c>
      <c r="H440">
        <v>33</v>
      </c>
      <c r="I440" t="s">
        <v>159</v>
      </c>
      <c r="J440" s="56"/>
    </row>
    <row r="441" spans="1:10" x14ac:dyDescent="0.25">
      <c r="A441" t="s">
        <v>598</v>
      </c>
      <c r="B441" t="s">
        <v>75</v>
      </c>
      <c r="C441">
        <v>71264767</v>
      </c>
      <c r="D441" t="s">
        <v>125</v>
      </c>
      <c r="E441" t="s">
        <v>501</v>
      </c>
      <c r="F441" t="s">
        <v>575</v>
      </c>
      <c r="G441" s="56">
        <v>44714</v>
      </c>
      <c r="H441">
        <v>47</v>
      </c>
      <c r="I441" t="s">
        <v>159</v>
      </c>
      <c r="J441" s="56"/>
    </row>
    <row r="442" spans="1:10" x14ac:dyDescent="0.25">
      <c r="A442" t="s">
        <v>598</v>
      </c>
      <c r="B442" t="s">
        <v>122</v>
      </c>
      <c r="C442">
        <v>76586998</v>
      </c>
      <c r="D442" t="s">
        <v>125</v>
      </c>
      <c r="E442" t="s">
        <v>577</v>
      </c>
      <c r="F442" t="s">
        <v>575</v>
      </c>
      <c r="G442" s="56">
        <v>45971</v>
      </c>
      <c r="H442">
        <v>5</v>
      </c>
      <c r="I442" t="s">
        <v>159</v>
      </c>
      <c r="J442" s="56">
        <v>46142</v>
      </c>
    </row>
    <row r="443" spans="1:10" x14ac:dyDescent="0.25">
      <c r="A443" t="s">
        <v>598</v>
      </c>
      <c r="B443" t="s">
        <v>60</v>
      </c>
      <c r="C443">
        <v>72839865</v>
      </c>
      <c r="D443" t="s">
        <v>125</v>
      </c>
      <c r="E443" t="s">
        <v>501</v>
      </c>
      <c r="F443" t="s">
        <v>575</v>
      </c>
      <c r="G443" s="56">
        <v>45854</v>
      </c>
      <c r="H443">
        <v>9</v>
      </c>
      <c r="I443" t="s">
        <v>159</v>
      </c>
      <c r="J443" s="56"/>
    </row>
    <row r="444" spans="1:10" x14ac:dyDescent="0.25">
      <c r="A444" t="s">
        <v>598</v>
      </c>
      <c r="B444" t="s">
        <v>61</v>
      </c>
      <c r="C444">
        <v>44001162</v>
      </c>
      <c r="D444" t="s">
        <v>125</v>
      </c>
      <c r="E444" t="s">
        <v>501</v>
      </c>
      <c r="F444" t="s">
        <v>575</v>
      </c>
      <c r="G444" s="56">
        <v>44907</v>
      </c>
      <c r="H444">
        <v>40</v>
      </c>
      <c r="I444" t="s">
        <v>159</v>
      </c>
      <c r="J444" s="56"/>
    </row>
    <row r="445" spans="1:10" x14ac:dyDescent="0.25">
      <c r="A445" t="s">
        <v>598</v>
      </c>
      <c r="B445" t="s">
        <v>72</v>
      </c>
      <c r="C445">
        <v>47690367</v>
      </c>
      <c r="D445" t="s">
        <v>125</v>
      </c>
      <c r="E445" t="s">
        <v>501</v>
      </c>
      <c r="F445" t="s">
        <v>575</v>
      </c>
      <c r="G445" s="56">
        <v>45691</v>
      </c>
      <c r="H445">
        <v>15</v>
      </c>
      <c r="I445" t="s">
        <v>159</v>
      </c>
      <c r="J445" s="56"/>
    </row>
    <row r="446" spans="1:10" x14ac:dyDescent="0.25">
      <c r="A446" t="s">
        <v>598</v>
      </c>
      <c r="B446" t="s">
        <v>10</v>
      </c>
      <c r="C446">
        <v>40980108</v>
      </c>
      <c r="D446" t="s">
        <v>125</v>
      </c>
      <c r="E446" t="s">
        <v>501</v>
      </c>
      <c r="F446" t="s">
        <v>575</v>
      </c>
      <c r="G446" s="56">
        <v>44704</v>
      </c>
      <c r="H446">
        <v>47</v>
      </c>
      <c r="I446" t="s">
        <v>159</v>
      </c>
      <c r="J446" s="56"/>
    </row>
    <row r="447" spans="1:10" x14ac:dyDescent="0.25">
      <c r="A447" t="s">
        <v>598</v>
      </c>
      <c r="B447" t="s">
        <v>80</v>
      </c>
      <c r="C447">
        <v>45084594</v>
      </c>
      <c r="D447" t="s">
        <v>125</v>
      </c>
      <c r="E447" t="s">
        <v>501</v>
      </c>
      <c r="F447" t="s">
        <v>575</v>
      </c>
      <c r="G447" s="56">
        <v>45281</v>
      </c>
      <c r="H447">
        <v>28</v>
      </c>
      <c r="I447" t="s">
        <v>159</v>
      </c>
      <c r="J447" s="56"/>
    </row>
    <row r="448" spans="1:10" x14ac:dyDescent="0.25">
      <c r="A448" t="s">
        <v>598</v>
      </c>
      <c r="B448" t="s">
        <v>26</v>
      </c>
      <c r="C448">
        <v>41005089</v>
      </c>
      <c r="D448" t="s">
        <v>125</v>
      </c>
      <c r="E448" t="s">
        <v>501</v>
      </c>
      <c r="F448" t="s">
        <v>575</v>
      </c>
      <c r="G448" s="56">
        <v>44257</v>
      </c>
      <c r="H448">
        <v>62</v>
      </c>
      <c r="I448" t="s">
        <v>159</v>
      </c>
      <c r="J448" s="56"/>
    </row>
    <row r="449" spans="1:10" x14ac:dyDescent="0.25">
      <c r="A449" t="s">
        <v>598</v>
      </c>
      <c r="B449" t="s">
        <v>495</v>
      </c>
      <c r="C449">
        <v>62792399</v>
      </c>
      <c r="D449" t="s">
        <v>7</v>
      </c>
      <c r="E449" t="s">
        <v>501</v>
      </c>
      <c r="F449" t="s">
        <v>575</v>
      </c>
      <c r="G449" s="56">
        <v>46052</v>
      </c>
      <c r="H449">
        <v>3</v>
      </c>
      <c r="I449" t="s">
        <v>586</v>
      </c>
      <c r="J449" s="56"/>
    </row>
    <row r="450" spans="1:10" x14ac:dyDescent="0.25">
      <c r="A450" t="s">
        <v>598</v>
      </c>
      <c r="B450" t="s">
        <v>109</v>
      </c>
      <c r="C450">
        <v>74626735</v>
      </c>
      <c r="D450" t="s">
        <v>7</v>
      </c>
      <c r="E450" t="s">
        <v>501</v>
      </c>
      <c r="F450" t="s">
        <v>575</v>
      </c>
      <c r="G450" s="56">
        <v>46024</v>
      </c>
      <c r="H450">
        <v>4</v>
      </c>
      <c r="I450" t="s">
        <v>586</v>
      </c>
      <c r="J450" s="56"/>
    </row>
    <row r="451" spans="1:10" x14ac:dyDescent="0.25">
      <c r="A451" t="s">
        <v>598</v>
      </c>
      <c r="B451" t="s">
        <v>77</v>
      </c>
      <c r="C451">
        <v>42251780</v>
      </c>
      <c r="D451" t="s">
        <v>7</v>
      </c>
      <c r="E451" t="s">
        <v>501</v>
      </c>
      <c r="F451" t="s">
        <v>575</v>
      </c>
      <c r="G451" s="56">
        <v>44838</v>
      </c>
      <c r="H451">
        <v>43</v>
      </c>
      <c r="I451" t="s">
        <v>586</v>
      </c>
      <c r="J451" s="56"/>
    </row>
    <row r="452" spans="1:10" x14ac:dyDescent="0.25">
      <c r="A452" t="s">
        <v>598</v>
      </c>
      <c r="B452" t="s">
        <v>73</v>
      </c>
      <c r="C452">
        <v>40318129</v>
      </c>
      <c r="D452" t="s">
        <v>7</v>
      </c>
      <c r="E452" t="s">
        <v>501</v>
      </c>
      <c r="F452" t="s">
        <v>575</v>
      </c>
      <c r="G452" s="56">
        <v>45141</v>
      </c>
      <c r="H452">
        <v>33</v>
      </c>
      <c r="I452" t="s">
        <v>586</v>
      </c>
      <c r="J452" s="56"/>
    </row>
    <row r="453" spans="1:10" x14ac:dyDescent="0.25">
      <c r="A453" t="s">
        <v>598</v>
      </c>
      <c r="B453" t="s">
        <v>48</v>
      </c>
      <c r="C453">
        <v>43307898</v>
      </c>
      <c r="D453" t="s">
        <v>7</v>
      </c>
      <c r="E453" t="s">
        <v>501</v>
      </c>
      <c r="F453" t="s">
        <v>575</v>
      </c>
      <c r="G453" s="56">
        <v>44746</v>
      </c>
      <c r="H453">
        <v>46</v>
      </c>
      <c r="I453" t="s">
        <v>586</v>
      </c>
      <c r="J453" s="56"/>
    </row>
    <row r="454" spans="1:10" x14ac:dyDescent="0.25">
      <c r="A454" t="s">
        <v>598</v>
      </c>
      <c r="B454" t="s">
        <v>49</v>
      </c>
      <c r="C454">
        <v>40702064</v>
      </c>
      <c r="D454" t="s">
        <v>7</v>
      </c>
      <c r="E454" t="s">
        <v>501</v>
      </c>
      <c r="F454" t="s">
        <v>575</v>
      </c>
      <c r="G454" s="56">
        <v>43313</v>
      </c>
      <c r="H454">
        <v>93</v>
      </c>
      <c r="I454" t="s">
        <v>586</v>
      </c>
      <c r="J454" s="56"/>
    </row>
    <row r="455" spans="1:10" x14ac:dyDescent="0.25">
      <c r="A455" t="s">
        <v>598</v>
      </c>
      <c r="B455" t="s">
        <v>41</v>
      </c>
      <c r="C455">
        <v>46461021</v>
      </c>
      <c r="D455" t="s">
        <v>7</v>
      </c>
      <c r="E455" t="s">
        <v>501</v>
      </c>
      <c r="F455" t="s">
        <v>575</v>
      </c>
      <c r="G455" s="56">
        <v>45302</v>
      </c>
      <c r="H455">
        <v>27</v>
      </c>
      <c r="I455" t="s">
        <v>587</v>
      </c>
      <c r="J455" s="56"/>
    </row>
    <row r="456" spans="1:10" x14ac:dyDescent="0.25">
      <c r="A456" t="s">
        <v>598</v>
      </c>
      <c r="B456" t="s">
        <v>549</v>
      </c>
      <c r="C456">
        <v>73233992</v>
      </c>
      <c r="D456" t="s">
        <v>7</v>
      </c>
      <c r="E456" t="s">
        <v>501</v>
      </c>
      <c r="F456" t="s">
        <v>575</v>
      </c>
      <c r="G456" s="56">
        <v>46065</v>
      </c>
      <c r="H456">
        <v>2</v>
      </c>
      <c r="I456" t="s">
        <v>587</v>
      </c>
      <c r="J456" s="56"/>
    </row>
    <row r="457" spans="1:10" x14ac:dyDescent="0.25">
      <c r="A457" t="s">
        <v>598</v>
      </c>
      <c r="B457" t="s">
        <v>557</v>
      </c>
      <c r="C457">
        <v>10330959</v>
      </c>
      <c r="D457" t="s">
        <v>7</v>
      </c>
      <c r="E457" t="s">
        <v>577</v>
      </c>
      <c r="F457" t="s">
        <v>575</v>
      </c>
      <c r="G457" s="56">
        <v>46073</v>
      </c>
      <c r="H457">
        <v>2</v>
      </c>
      <c r="I457" t="s">
        <v>587</v>
      </c>
      <c r="J457" s="56">
        <v>46142</v>
      </c>
    </row>
    <row r="458" spans="1:10" x14ac:dyDescent="0.25">
      <c r="A458" t="s">
        <v>598</v>
      </c>
      <c r="B458" t="s">
        <v>565</v>
      </c>
      <c r="C458">
        <v>10762187</v>
      </c>
      <c r="D458" t="s">
        <v>7</v>
      </c>
      <c r="E458" t="s">
        <v>577</v>
      </c>
      <c r="F458" t="s">
        <v>575</v>
      </c>
      <c r="G458" s="56">
        <v>46083</v>
      </c>
      <c r="H458">
        <v>1</v>
      </c>
      <c r="I458" t="s">
        <v>587</v>
      </c>
      <c r="J458" s="56">
        <v>46128</v>
      </c>
    </row>
    <row r="459" spans="1:10" x14ac:dyDescent="0.25">
      <c r="A459" t="s">
        <v>598</v>
      </c>
      <c r="B459" t="s">
        <v>566</v>
      </c>
      <c r="C459">
        <v>75693756</v>
      </c>
      <c r="D459" t="s">
        <v>7</v>
      </c>
      <c r="E459" t="s">
        <v>501</v>
      </c>
      <c r="F459" t="s">
        <v>575</v>
      </c>
      <c r="G459" s="56">
        <v>46084</v>
      </c>
      <c r="H459">
        <v>2</v>
      </c>
      <c r="I459" t="s">
        <v>587</v>
      </c>
      <c r="J459" s="56"/>
    </row>
    <row r="460" spans="1:10" x14ac:dyDescent="0.25">
      <c r="A460" t="s">
        <v>598</v>
      </c>
      <c r="B460" t="s">
        <v>55</v>
      </c>
      <c r="C460">
        <v>45119892</v>
      </c>
      <c r="D460" t="s">
        <v>588</v>
      </c>
      <c r="E460" t="s">
        <v>501</v>
      </c>
      <c r="F460" t="s">
        <v>575</v>
      </c>
      <c r="G460" s="56">
        <v>45813</v>
      </c>
      <c r="H460">
        <v>11</v>
      </c>
      <c r="I460" t="s">
        <v>588</v>
      </c>
      <c r="J460" s="56"/>
    </row>
    <row r="461" spans="1:10" x14ac:dyDescent="0.25">
      <c r="A461" t="s">
        <v>598</v>
      </c>
      <c r="B461" t="s">
        <v>31</v>
      </c>
      <c r="C461">
        <v>75882265</v>
      </c>
      <c r="D461" t="s">
        <v>2</v>
      </c>
      <c r="E461" t="s">
        <v>501</v>
      </c>
      <c r="F461" t="s">
        <v>575</v>
      </c>
      <c r="G461" s="56">
        <v>46141</v>
      </c>
      <c r="H461">
        <v>0</v>
      </c>
      <c r="I461" t="s">
        <v>159</v>
      </c>
      <c r="J461" s="56"/>
    </row>
    <row r="462" spans="1:10" x14ac:dyDescent="0.25">
      <c r="A462" t="s">
        <v>598</v>
      </c>
      <c r="B462" t="s">
        <v>600</v>
      </c>
      <c r="C462">
        <v>73623874</v>
      </c>
      <c r="D462" t="s">
        <v>7</v>
      </c>
      <c r="E462" t="s">
        <v>501</v>
      </c>
      <c r="F462" t="s">
        <v>575</v>
      </c>
      <c r="G462" s="56">
        <v>46139</v>
      </c>
      <c r="H462">
        <v>0</v>
      </c>
      <c r="I462" t="s">
        <v>586</v>
      </c>
      <c r="J462" s="56"/>
    </row>
    <row r="463" spans="1:10" x14ac:dyDescent="0.25">
      <c r="A463" t="s">
        <v>598</v>
      </c>
      <c r="B463" t="s">
        <v>599</v>
      </c>
      <c r="C463">
        <v>42227234</v>
      </c>
      <c r="D463" t="s">
        <v>7</v>
      </c>
      <c r="E463" t="s">
        <v>501</v>
      </c>
      <c r="F463" t="s">
        <v>575</v>
      </c>
      <c r="G463" s="56">
        <v>46121</v>
      </c>
      <c r="H463">
        <v>0</v>
      </c>
      <c r="I463" t="s">
        <v>587</v>
      </c>
      <c r="J463" s="56"/>
    </row>
    <row r="464" spans="1:10" x14ac:dyDescent="0.25">
      <c r="A464" t="s">
        <v>598</v>
      </c>
      <c r="B464" t="s">
        <v>601</v>
      </c>
      <c r="C464">
        <v>77710185</v>
      </c>
      <c r="D464" t="s">
        <v>7</v>
      </c>
      <c r="E464" t="s">
        <v>501</v>
      </c>
      <c r="F464" t="s">
        <v>575</v>
      </c>
      <c r="G464" s="56">
        <v>46141</v>
      </c>
      <c r="H464">
        <v>0</v>
      </c>
      <c r="I464" t="s">
        <v>587</v>
      </c>
      <c r="J464" s="56"/>
    </row>
    <row r="465" spans="1:10" x14ac:dyDescent="0.25">
      <c r="A465" t="s">
        <v>598</v>
      </c>
      <c r="B465" t="s">
        <v>17</v>
      </c>
      <c r="C465">
        <v>70876605</v>
      </c>
      <c r="D465" t="s">
        <v>602</v>
      </c>
      <c r="E465" t="s">
        <v>602</v>
      </c>
      <c r="F465" t="s">
        <v>575</v>
      </c>
      <c r="G465" s="56">
        <v>44886</v>
      </c>
      <c r="H465">
        <v>41</v>
      </c>
      <c r="I465" t="s">
        <v>602</v>
      </c>
      <c r="J465" s="56"/>
    </row>
    <row r="466" spans="1:10" x14ac:dyDescent="0.25">
      <c r="A466" t="s">
        <v>598</v>
      </c>
      <c r="B466" t="s">
        <v>78</v>
      </c>
      <c r="C466">
        <v>10706451</v>
      </c>
      <c r="D466" t="s">
        <v>500</v>
      </c>
      <c r="E466" t="s">
        <v>500</v>
      </c>
      <c r="F466" t="s">
        <v>575</v>
      </c>
      <c r="G466" s="56">
        <v>44943</v>
      </c>
      <c r="H466">
        <v>39</v>
      </c>
      <c r="I466" t="s">
        <v>500</v>
      </c>
      <c r="J466" s="56"/>
    </row>
    <row r="467" spans="1:10" x14ac:dyDescent="0.25">
      <c r="A467" t="s">
        <v>598</v>
      </c>
      <c r="B467" t="s">
        <v>19</v>
      </c>
      <c r="C467">
        <v>76656128</v>
      </c>
      <c r="D467" t="s">
        <v>500</v>
      </c>
      <c r="E467" t="s">
        <v>500</v>
      </c>
      <c r="F467" t="s">
        <v>575</v>
      </c>
      <c r="G467" s="56">
        <v>44671</v>
      </c>
      <c r="H467">
        <v>48</v>
      </c>
      <c r="I467" t="s">
        <v>500</v>
      </c>
      <c r="J467" s="56"/>
    </row>
    <row r="468" spans="1:10" x14ac:dyDescent="0.25">
      <c r="A468" t="s">
        <v>598</v>
      </c>
      <c r="B468" t="s">
        <v>51</v>
      </c>
      <c r="C468">
        <v>76089925</v>
      </c>
      <c r="D468" t="s">
        <v>500</v>
      </c>
      <c r="E468" t="s">
        <v>500</v>
      </c>
      <c r="F468" t="s">
        <v>575</v>
      </c>
      <c r="G468" s="56">
        <v>45678</v>
      </c>
      <c r="H468">
        <v>15</v>
      </c>
      <c r="I468" t="s">
        <v>500</v>
      </c>
      <c r="J468" s="56"/>
    </row>
    <row r="469" spans="1:10" x14ac:dyDescent="0.25">
      <c r="A469" t="s">
        <v>605</v>
      </c>
      <c r="B469" t="s">
        <v>219</v>
      </c>
      <c r="C469">
        <v>74122258</v>
      </c>
      <c r="D469" t="s">
        <v>6</v>
      </c>
      <c r="E469" t="s">
        <v>133</v>
      </c>
      <c r="F469" t="s">
        <v>575</v>
      </c>
      <c r="G469" s="56">
        <v>44022</v>
      </c>
      <c r="H469">
        <v>69</v>
      </c>
      <c r="I469" t="s">
        <v>209</v>
      </c>
      <c r="J469" s="56"/>
    </row>
    <row r="470" spans="1:10" x14ac:dyDescent="0.25">
      <c r="A470" t="s">
        <v>605</v>
      </c>
      <c r="B470" t="s">
        <v>248</v>
      </c>
      <c r="C470">
        <v>44265602</v>
      </c>
      <c r="D470" t="s">
        <v>2</v>
      </c>
      <c r="E470" t="s">
        <v>133</v>
      </c>
      <c r="F470" t="s">
        <v>575</v>
      </c>
      <c r="G470" s="56">
        <v>44673</v>
      </c>
      <c r="H470">
        <v>48</v>
      </c>
      <c r="I470" t="s">
        <v>159</v>
      </c>
      <c r="J470" s="56"/>
    </row>
    <row r="471" spans="1:10" x14ac:dyDescent="0.25">
      <c r="A471" t="s">
        <v>605</v>
      </c>
      <c r="B471" t="s">
        <v>226</v>
      </c>
      <c r="C471">
        <v>73049631</v>
      </c>
      <c r="D471" t="s">
        <v>3</v>
      </c>
      <c r="E471" t="s">
        <v>133</v>
      </c>
      <c r="F471" t="s">
        <v>575</v>
      </c>
      <c r="G471" s="56">
        <v>43506</v>
      </c>
      <c r="H471">
        <v>86</v>
      </c>
      <c r="I471" t="s">
        <v>209</v>
      </c>
      <c r="J471" s="56"/>
    </row>
    <row r="472" spans="1:10" x14ac:dyDescent="0.25">
      <c r="A472" t="s">
        <v>605</v>
      </c>
      <c r="B472" t="s">
        <v>23</v>
      </c>
      <c r="C472">
        <v>72413556</v>
      </c>
      <c r="D472" t="s">
        <v>604</v>
      </c>
      <c r="E472" t="s">
        <v>133</v>
      </c>
      <c r="F472" t="s">
        <v>575</v>
      </c>
      <c r="G472" s="56">
        <v>44109</v>
      </c>
      <c r="H472">
        <v>67</v>
      </c>
      <c r="I472" t="s">
        <v>175</v>
      </c>
      <c r="J472" s="56"/>
    </row>
    <row r="473" spans="1:10" x14ac:dyDescent="0.25">
      <c r="A473" t="s">
        <v>605</v>
      </c>
      <c r="B473" t="s">
        <v>214</v>
      </c>
      <c r="C473">
        <v>46872195</v>
      </c>
      <c r="D473" t="s">
        <v>7</v>
      </c>
      <c r="E473" t="s">
        <v>133</v>
      </c>
      <c r="F473" t="s">
        <v>575</v>
      </c>
      <c r="G473" s="56">
        <v>43805</v>
      </c>
      <c r="H473">
        <v>77</v>
      </c>
      <c r="I473" t="s">
        <v>159</v>
      </c>
      <c r="J473" s="56"/>
    </row>
    <row r="474" spans="1:10" x14ac:dyDescent="0.25">
      <c r="A474" t="s">
        <v>605</v>
      </c>
      <c r="B474" t="s">
        <v>34</v>
      </c>
      <c r="C474">
        <v>76824571</v>
      </c>
      <c r="D474" t="s">
        <v>6</v>
      </c>
      <c r="E474" t="s">
        <v>501</v>
      </c>
      <c r="F474" t="s">
        <v>575</v>
      </c>
      <c r="G474" s="56">
        <v>45173</v>
      </c>
      <c r="H474">
        <v>32</v>
      </c>
      <c r="I474" t="s">
        <v>209</v>
      </c>
      <c r="J474" s="56"/>
    </row>
    <row r="475" spans="1:10" x14ac:dyDescent="0.25">
      <c r="A475" t="s">
        <v>605</v>
      </c>
      <c r="B475" t="s">
        <v>76</v>
      </c>
      <c r="C475">
        <v>60914051</v>
      </c>
      <c r="D475" t="s">
        <v>6</v>
      </c>
      <c r="E475" t="s">
        <v>501</v>
      </c>
      <c r="F475" t="s">
        <v>575</v>
      </c>
      <c r="G475" s="56">
        <v>44817</v>
      </c>
      <c r="H475">
        <v>43</v>
      </c>
      <c r="I475" t="s">
        <v>209</v>
      </c>
      <c r="J475" s="56"/>
    </row>
    <row r="476" spans="1:10" x14ac:dyDescent="0.25">
      <c r="A476" t="s">
        <v>605</v>
      </c>
      <c r="B476" t="s">
        <v>35</v>
      </c>
      <c r="C476">
        <v>10491198</v>
      </c>
      <c r="D476" t="s">
        <v>6</v>
      </c>
      <c r="E476" t="s">
        <v>501</v>
      </c>
      <c r="F476" t="s">
        <v>575</v>
      </c>
      <c r="G476" s="56">
        <v>44746</v>
      </c>
      <c r="H476">
        <v>46</v>
      </c>
      <c r="I476" t="s">
        <v>209</v>
      </c>
      <c r="J476" s="56"/>
    </row>
    <row r="477" spans="1:10" x14ac:dyDescent="0.25">
      <c r="A477" t="s">
        <v>605</v>
      </c>
      <c r="B477" t="s">
        <v>97</v>
      </c>
      <c r="C477">
        <v>74602206</v>
      </c>
      <c r="D477" t="s">
        <v>6</v>
      </c>
      <c r="E477" t="s">
        <v>501</v>
      </c>
      <c r="F477" t="s">
        <v>575</v>
      </c>
      <c r="G477" s="56">
        <v>45884</v>
      </c>
      <c r="H477">
        <v>8</v>
      </c>
      <c r="I477" t="s">
        <v>209</v>
      </c>
      <c r="J477" s="56"/>
    </row>
    <row r="478" spans="1:10" x14ac:dyDescent="0.25">
      <c r="A478" t="s">
        <v>605</v>
      </c>
      <c r="B478" t="s">
        <v>105</v>
      </c>
      <c r="C478">
        <v>48344037</v>
      </c>
      <c r="D478" t="s">
        <v>6</v>
      </c>
      <c r="E478" t="s">
        <v>501</v>
      </c>
      <c r="F478" t="s">
        <v>575</v>
      </c>
      <c r="G478" s="56">
        <v>46027</v>
      </c>
      <c r="H478">
        <v>4</v>
      </c>
      <c r="I478" t="s">
        <v>209</v>
      </c>
      <c r="J478" s="56"/>
    </row>
    <row r="479" spans="1:10" x14ac:dyDescent="0.25">
      <c r="A479" t="s">
        <v>605</v>
      </c>
      <c r="B479" t="s">
        <v>11</v>
      </c>
      <c r="C479">
        <v>45139159</v>
      </c>
      <c r="D479" t="s">
        <v>6</v>
      </c>
      <c r="E479" t="s">
        <v>501</v>
      </c>
      <c r="F479" t="s">
        <v>575</v>
      </c>
      <c r="G479" s="56">
        <v>45369</v>
      </c>
      <c r="H479">
        <v>25</v>
      </c>
      <c r="I479" t="s">
        <v>209</v>
      </c>
      <c r="J479" s="56"/>
    </row>
    <row r="480" spans="1:10" x14ac:dyDescent="0.25">
      <c r="A480" t="s">
        <v>605</v>
      </c>
      <c r="B480" t="s">
        <v>19</v>
      </c>
      <c r="C480">
        <v>76656128</v>
      </c>
      <c r="D480" t="s">
        <v>6</v>
      </c>
      <c r="E480" t="s">
        <v>501</v>
      </c>
      <c r="F480" t="s">
        <v>575</v>
      </c>
      <c r="G480" s="56">
        <v>44671</v>
      </c>
      <c r="H480">
        <v>48</v>
      </c>
      <c r="I480" t="s">
        <v>209</v>
      </c>
      <c r="J480" s="56"/>
    </row>
    <row r="481" spans="1:10" x14ac:dyDescent="0.25">
      <c r="A481" t="s">
        <v>605</v>
      </c>
      <c r="B481" t="s">
        <v>493</v>
      </c>
      <c r="C481">
        <v>75026229</v>
      </c>
      <c r="D481" t="s">
        <v>3</v>
      </c>
      <c r="E481" t="s">
        <v>501</v>
      </c>
      <c r="F481" t="s">
        <v>575</v>
      </c>
      <c r="G481" s="56">
        <v>46052</v>
      </c>
      <c r="H481">
        <v>3</v>
      </c>
      <c r="I481" t="s">
        <v>209</v>
      </c>
      <c r="J481" s="56"/>
    </row>
    <row r="482" spans="1:10" x14ac:dyDescent="0.25">
      <c r="A482" t="s">
        <v>605</v>
      </c>
      <c r="B482" t="s">
        <v>174</v>
      </c>
      <c r="C482">
        <v>46994661</v>
      </c>
      <c r="D482" t="s">
        <v>3</v>
      </c>
      <c r="E482" t="s">
        <v>501</v>
      </c>
      <c r="F482" t="s">
        <v>575</v>
      </c>
      <c r="G482" s="56">
        <v>45992</v>
      </c>
      <c r="H482">
        <v>5</v>
      </c>
      <c r="I482" t="s">
        <v>209</v>
      </c>
      <c r="J482" s="56"/>
    </row>
    <row r="483" spans="1:10" x14ac:dyDescent="0.25">
      <c r="A483" t="s">
        <v>605</v>
      </c>
      <c r="B483" t="s">
        <v>79</v>
      </c>
      <c r="C483">
        <v>71262377</v>
      </c>
      <c r="D483" t="s">
        <v>3</v>
      </c>
      <c r="E483" t="s">
        <v>501</v>
      </c>
      <c r="F483" t="s">
        <v>575</v>
      </c>
      <c r="G483" s="56">
        <v>45145</v>
      </c>
      <c r="H483">
        <v>32</v>
      </c>
      <c r="I483" t="s">
        <v>209</v>
      </c>
      <c r="J483" s="56"/>
    </row>
    <row r="484" spans="1:10" x14ac:dyDescent="0.25">
      <c r="A484" t="s">
        <v>605</v>
      </c>
      <c r="B484" t="s">
        <v>29</v>
      </c>
      <c r="C484">
        <v>72758956</v>
      </c>
      <c r="D484" t="s">
        <v>3</v>
      </c>
      <c r="E484" t="s">
        <v>501</v>
      </c>
      <c r="F484" t="s">
        <v>575</v>
      </c>
      <c r="G484" s="56">
        <v>44685</v>
      </c>
      <c r="H484">
        <v>48</v>
      </c>
      <c r="I484" t="s">
        <v>209</v>
      </c>
      <c r="J484" s="56"/>
    </row>
    <row r="485" spans="1:10" x14ac:dyDescent="0.25">
      <c r="A485" t="s">
        <v>605</v>
      </c>
      <c r="B485" t="s">
        <v>68</v>
      </c>
      <c r="C485">
        <v>73257316</v>
      </c>
      <c r="D485" t="s">
        <v>3</v>
      </c>
      <c r="E485" t="s">
        <v>501</v>
      </c>
      <c r="F485" t="s">
        <v>575</v>
      </c>
      <c r="G485" s="56">
        <v>45363</v>
      </c>
      <c r="H485">
        <v>25</v>
      </c>
      <c r="I485" t="s">
        <v>209</v>
      </c>
      <c r="J485" s="56"/>
    </row>
    <row r="486" spans="1:10" x14ac:dyDescent="0.25">
      <c r="A486" t="s">
        <v>605</v>
      </c>
      <c r="B486" t="s">
        <v>32</v>
      </c>
      <c r="C486">
        <v>48584670</v>
      </c>
      <c r="D486" t="s">
        <v>3</v>
      </c>
      <c r="E486" t="s">
        <v>501</v>
      </c>
      <c r="F486" t="s">
        <v>575</v>
      </c>
      <c r="G486" s="56">
        <v>45526</v>
      </c>
      <c r="H486">
        <v>20</v>
      </c>
      <c r="I486" t="s">
        <v>209</v>
      </c>
      <c r="J486" s="56"/>
    </row>
    <row r="487" spans="1:10" x14ac:dyDescent="0.25">
      <c r="A487" t="s">
        <v>605</v>
      </c>
      <c r="B487" t="s">
        <v>96</v>
      </c>
      <c r="C487">
        <v>46793103</v>
      </c>
      <c r="D487" t="s">
        <v>3</v>
      </c>
      <c r="E487" t="s">
        <v>501</v>
      </c>
      <c r="F487" t="s">
        <v>575</v>
      </c>
      <c r="G487" s="56">
        <v>45882</v>
      </c>
      <c r="H487">
        <v>8</v>
      </c>
      <c r="I487" t="s">
        <v>209</v>
      </c>
      <c r="J487" s="56"/>
    </row>
    <row r="488" spans="1:10" x14ac:dyDescent="0.25">
      <c r="A488" t="s">
        <v>605</v>
      </c>
      <c r="B488" t="s">
        <v>564</v>
      </c>
      <c r="C488">
        <v>43184866</v>
      </c>
      <c r="D488" t="s">
        <v>3</v>
      </c>
      <c r="E488" t="s">
        <v>501</v>
      </c>
      <c r="F488" t="s">
        <v>575</v>
      </c>
      <c r="G488" s="56">
        <v>46083</v>
      </c>
      <c r="H488">
        <v>2</v>
      </c>
      <c r="I488" t="s">
        <v>209</v>
      </c>
      <c r="J488" s="56"/>
    </row>
    <row r="489" spans="1:10" x14ac:dyDescent="0.25">
      <c r="A489" t="s">
        <v>605</v>
      </c>
      <c r="B489" t="s">
        <v>58</v>
      </c>
      <c r="C489">
        <v>72519113</v>
      </c>
      <c r="D489" t="s">
        <v>3</v>
      </c>
      <c r="E489" t="s">
        <v>501</v>
      </c>
      <c r="F489" t="s">
        <v>575</v>
      </c>
      <c r="G489" s="56">
        <v>43119</v>
      </c>
      <c r="H489">
        <v>99</v>
      </c>
      <c r="I489" t="s">
        <v>209</v>
      </c>
      <c r="J489" s="56"/>
    </row>
    <row r="490" spans="1:10" x14ac:dyDescent="0.25">
      <c r="A490" t="s">
        <v>605</v>
      </c>
      <c r="B490" t="s">
        <v>85</v>
      </c>
      <c r="C490">
        <v>70477743</v>
      </c>
      <c r="D490" t="s">
        <v>3</v>
      </c>
      <c r="E490" t="s">
        <v>501</v>
      </c>
      <c r="F490" t="s">
        <v>575</v>
      </c>
      <c r="G490" s="56">
        <v>46055</v>
      </c>
      <c r="H490">
        <v>3</v>
      </c>
      <c r="I490" t="s">
        <v>209</v>
      </c>
      <c r="J490" s="56"/>
    </row>
    <row r="491" spans="1:10" x14ac:dyDescent="0.25">
      <c r="A491" t="s">
        <v>605</v>
      </c>
      <c r="B491" t="s">
        <v>65</v>
      </c>
      <c r="C491">
        <v>47659267</v>
      </c>
      <c r="D491" t="s">
        <v>2</v>
      </c>
      <c r="E491" t="s">
        <v>501</v>
      </c>
      <c r="F491" t="s">
        <v>575</v>
      </c>
      <c r="G491" s="56">
        <v>45019</v>
      </c>
      <c r="H491">
        <v>37</v>
      </c>
      <c r="I491" t="s">
        <v>159</v>
      </c>
      <c r="J491" s="56"/>
    </row>
    <row r="492" spans="1:10" x14ac:dyDescent="0.25">
      <c r="A492" t="s">
        <v>605</v>
      </c>
      <c r="B492" t="s">
        <v>13</v>
      </c>
      <c r="C492">
        <v>72512391</v>
      </c>
      <c r="D492" t="s">
        <v>2</v>
      </c>
      <c r="E492" t="s">
        <v>501</v>
      </c>
      <c r="F492" t="s">
        <v>575</v>
      </c>
      <c r="G492" s="56">
        <v>44809</v>
      </c>
      <c r="H492">
        <v>44</v>
      </c>
      <c r="I492" t="s">
        <v>159</v>
      </c>
      <c r="J492" s="56"/>
    </row>
    <row r="493" spans="1:10" x14ac:dyDescent="0.25">
      <c r="A493" t="s">
        <v>605</v>
      </c>
      <c r="B493" t="s">
        <v>22</v>
      </c>
      <c r="C493">
        <v>70551168</v>
      </c>
      <c r="D493" t="s">
        <v>2</v>
      </c>
      <c r="E493" t="s">
        <v>501</v>
      </c>
      <c r="F493" t="s">
        <v>575</v>
      </c>
      <c r="G493" s="56">
        <v>45295</v>
      </c>
      <c r="H493">
        <v>28</v>
      </c>
      <c r="I493" t="s">
        <v>159</v>
      </c>
      <c r="J493" s="56"/>
    </row>
    <row r="494" spans="1:10" x14ac:dyDescent="0.25">
      <c r="A494" t="s">
        <v>605</v>
      </c>
      <c r="B494" t="s">
        <v>24</v>
      </c>
      <c r="C494">
        <v>43614775</v>
      </c>
      <c r="D494" t="s">
        <v>2</v>
      </c>
      <c r="E494" t="s">
        <v>501</v>
      </c>
      <c r="F494" t="s">
        <v>575</v>
      </c>
      <c r="G494" s="56">
        <v>45334</v>
      </c>
      <c r="H494">
        <v>26</v>
      </c>
      <c r="I494" t="s">
        <v>159</v>
      </c>
      <c r="J494" s="56"/>
    </row>
    <row r="495" spans="1:10" x14ac:dyDescent="0.25">
      <c r="A495" t="s">
        <v>605</v>
      </c>
      <c r="B495" t="s">
        <v>25</v>
      </c>
      <c r="C495">
        <v>72373931</v>
      </c>
      <c r="D495" t="s">
        <v>2</v>
      </c>
      <c r="E495" t="s">
        <v>501</v>
      </c>
      <c r="F495" t="s">
        <v>575</v>
      </c>
      <c r="G495" s="56">
        <v>44818</v>
      </c>
      <c r="H495">
        <v>43</v>
      </c>
      <c r="I495" t="s">
        <v>159</v>
      </c>
      <c r="J495" s="56"/>
    </row>
    <row r="496" spans="1:10" x14ac:dyDescent="0.25">
      <c r="A496" t="s">
        <v>605</v>
      </c>
      <c r="B496" t="s">
        <v>42</v>
      </c>
      <c r="C496">
        <v>73725129</v>
      </c>
      <c r="D496" t="s">
        <v>2</v>
      </c>
      <c r="E496" t="s">
        <v>501</v>
      </c>
      <c r="F496" t="s">
        <v>575</v>
      </c>
      <c r="G496" s="56">
        <v>45398</v>
      </c>
      <c r="H496">
        <v>24</v>
      </c>
      <c r="I496" t="s">
        <v>159</v>
      </c>
      <c r="J496" s="56"/>
    </row>
    <row r="497" spans="1:10" x14ac:dyDescent="0.25">
      <c r="A497" t="s">
        <v>605</v>
      </c>
      <c r="B497" t="s">
        <v>37</v>
      </c>
      <c r="C497">
        <v>70988976</v>
      </c>
      <c r="D497" t="s">
        <v>2</v>
      </c>
      <c r="E497" t="s">
        <v>501</v>
      </c>
      <c r="F497" t="s">
        <v>575</v>
      </c>
      <c r="G497" s="56">
        <v>45112</v>
      </c>
      <c r="H497">
        <v>34</v>
      </c>
      <c r="I497" t="s">
        <v>159</v>
      </c>
      <c r="J497" s="56"/>
    </row>
    <row r="498" spans="1:10" x14ac:dyDescent="0.25">
      <c r="A498" t="s">
        <v>605</v>
      </c>
      <c r="B498" t="s">
        <v>81</v>
      </c>
      <c r="C498">
        <v>72716299</v>
      </c>
      <c r="D498" t="s">
        <v>2</v>
      </c>
      <c r="E498" t="s">
        <v>501</v>
      </c>
      <c r="F498" t="s">
        <v>575</v>
      </c>
      <c r="G498" s="56">
        <v>45511</v>
      </c>
      <c r="H498">
        <v>20</v>
      </c>
      <c r="I498" t="s">
        <v>159</v>
      </c>
      <c r="J498" s="56"/>
    </row>
    <row r="499" spans="1:10" x14ac:dyDescent="0.25">
      <c r="A499" t="s">
        <v>605</v>
      </c>
      <c r="B499" t="s">
        <v>31</v>
      </c>
      <c r="C499">
        <v>75882265</v>
      </c>
      <c r="D499" t="s">
        <v>2</v>
      </c>
      <c r="E499" t="s">
        <v>501</v>
      </c>
      <c r="F499" t="s">
        <v>575</v>
      </c>
      <c r="G499" s="56">
        <v>46141</v>
      </c>
      <c r="H499">
        <v>0</v>
      </c>
      <c r="I499" t="s">
        <v>159</v>
      </c>
      <c r="J499" s="56"/>
    </row>
    <row r="500" spans="1:10" x14ac:dyDescent="0.25">
      <c r="A500" t="s">
        <v>605</v>
      </c>
      <c r="B500" t="s">
        <v>10</v>
      </c>
      <c r="C500">
        <v>40980108</v>
      </c>
      <c r="D500" t="s">
        <v>2</v>
      </c>
      <c r="E500" t="s">
        <v>501</v>
      </c>
      <c r="F500" t="s">
        <v>575</v>
      </c>
      <c r="G500" s="56">
        <v>44704</v>
      </c>
      <c r="H500">
        <v>47</v>
      </c>
      <c r="I500" t="s">
        <v>159</v>
      </c>
      <c r="J500" s="56"/>
    </row>
    <row r="501" spans="1:10" x14ac:dyDescent="0.25">
      <c r="A501" t="s">
        <v>605</v>
      </c>
      <c r="B501" t="s">
        <v>12</v>
      </c>
      <c r="C501">
        <v>45262585</v>
      </c>
      <c r="D501" t="s">
        <v>7</v>
      </c>
      <c r="E501" t="s">
        <v>501</v>
      </c>
      <c r="F501" t="s">
        <v>575</v>
      </c>
      <c r="G501" s="56">
        <v>44868</v>
      </c>
      <c r="H501">
        <v>42</v>
      </c>
      <c r="I501" t="s">
        <v>159</v>
      </c>
      <c r="J501" s="56"/>
    </row>
    <row r="502" spans="1:10" x14ac:dyDescent="0.25">
      <c r="A502" t="s">
        <v>605</v>
      </c>
      <c r="B502" t="s">
        <v>59</v>
      </c>
      <c r="C502">
        <v>60870839</v>
      </c>
      <c r="D502" t="s">
        <v>7</v>
      </c>
      <c r="E502" t="s">
        <v>501</v>
      </c>
      <c r="F502" t="s">
        <v>575</v>
      </c>
      <c r="G502" s="56">
        <v>45344</v>
      </c>
      <c r="H502">
        <v>26</v>
      </c>
      <c r="I502" t="s">
        <v>159</v>
      </c>
      <c r="J502" s="56"/>
    </row>
    <row r="503" spans="1:10" x14ac:dyDescent="0.25">
      <c r="A503" t="s">
        <v>605</v>
      </c>
      <c r="B503" t="s">
        <v>18</v>
      </c>
      <c r="C503">
        <v>76214436</v>
      </c>
      <c r="D503" t="s">
        <v>7</v>
      </c>
      <c r="E503" t="s">
        <v>501</v>
      </c>
      <c r="F503" t="s">
        <v>575</v>
      </c>
      <c r="G503" s="56">
        <v>45132</v>
      </c>
      <c r="H503">
        <v>33</v>
      </c>
      <c r="I503" t="s">
        <v>159</v>
      </c>
      <c r="J503" s="56"/>
    </row>
    <row r="504" spans="1:10" x14ac:dyDescent="0.25">
      <c r="A504" t="s">
        <v>605</v>
      </c>
      <c r="B504" t="s">
        <v>75</v>
      </c>
      <c r="C504">
        <v>71264767</v>
      </c>
      <c r="D504" t="s">
        <v>7</v>
      </c>
      <c r="E504" t="s">
        <v>501</v>
      </c>
      <c r="F504" t="s">
        <v>575</v>
      </c>
      <c r="G504" s="56">
        <v>44714</v>
      </c>
      <c r="H504">
        <v>47</v>
      </c>
      <c r="I504" t="s">
        <v>159</v>
      </c>
      <c r="J504" s="56"/>
    </row>
    <row r="505" spans="1:10" x14ac:dyDescent="0.25">
      <c r="A505" t="s">
        <v>605</v>
      </c>
      <c r="B505" t="s">
        <v>60</v>
      </c>
      <c r="C505">
        <v>72839865</v>
      </c>
      <c r="D505" t="s">
        <v>7</v>
      </c>
      <c r="E505" t="s">
        <v>501</v>
      </c>
      <c r="F505" t="s">
        <v>575</v>
      </c>
      <c r="G505" s="56">
        <v>45854</v>
      </c>
      <c r="H505">
        <v>9</v>
      </c>
      <c r="I505" t="s">
        <v>159</v>
      </c>
      <c r="J505" s="56"/>
    </row>
    <row r="506" spans="1:10" x14ac:dyDescent="0.25">
      <c r="A506" t="s">
        <v>605</v>
      </c>
      <c r="B506" t="s">
        <v>61</v>
      </c>
      <c r="C506">
        <v>44001162</v>
      </c>
      <c r="D506" t="s">
        <v>7</v>
      </c>
      <c r="E506" t="s">
        <v>501</v>
      </c>
      <c r="F506" t="s">
        <v>575</v>
      </c>
      <c r="G506" s="56">
        <v>44907</v>
      </c>
      <c r="H506">
        <v>40</v>
      </c>
      <c r="I506" t="s">
        <v>159</v>
      </c>
      <c r="J506" s="56"/>
    </row>
    <row r="507" spans="1:10" x14ac:dyDescent="0.25">
      <c r="A507" t="s">
        <v>605</v>
      </c>
      <c r="B507" t="s">
        <v>72</v>
      </c>
      <c r="C507">
        <v>47690367</v>
      </c>
      <c r="D507" t="s">
        <v>7</v>
      </c>
      <c r="E507" t="s">
        <v>501</v>
      </c>
      <c r="F507" t="s">
        <v>575</v>
      </c>
      <c r="G507" s="56">
        <v>45691</v>
      </c>
      <c r="H507">
        <v>15</v>
      </c>
      <c r="I507" t="s">
        <v>159</v>
      </c>
      <c r="J507" s="56"/>
    </row>
    <row r="508" spans="1:10" x14ac:dyDescent="0.25">
      <c r="A508" t="s">
        <v>605</v>
      </c>
      <c r="B508" t="s">
        <v>80</v>
      </c>
      <c r="C508">
        <v>45084594</v>
      </c>
      <c r="D508" t="s">
        <v>7</v>
      </c>
      <c r="E508" t="s">
        <v>501</v>
      </c>
      <c r="F508" t="s">
        <v>575</v>
      </c>
      <c r="G508" s="56">
        <v>45281</v>
      </c>
      <c r="H508">
        <v>28</v>
      </c>
      <c r="I508" t="s">
        <v>159</v>
      </c>
      <c r="J508" s="56"/>
    </row>
    <row r="509" spans="1:10" x14ac:dyDescent="0.25">
      <c r="A509" t="s">
        <v>605</v>
      </c>
      <c r="B509" t="s">
        <v>51</v>
      </c>
      <c r="C509">
        <v>76089925</v>
      </c>
      <c r="D509" t="s">
        <v>7</v>
      </c>
      <c r="E509" t="s">
        <v>501</v>
      </c>
      <c r="F509" t="s">
        <v>575</v>
      </c>
      <c r="G509" s="56">
        <v>45678</v>
      </c>
      <c r="H509">
        <v>15</v>
      </c>
      <c r="I509" t="s">
        <v>159</v>
      </c>
      <c r="J509" s="56"/>
    </row>
    <row r="510" spans="1:10" x14ac:dyDescent="0.25">
      <c r="A510" t="s">
        <v>605</v>
      </c>
      <c r="B510" t="s">
        <v>26</v>
      </c>
      <c r="C510">
        <v>41005089</v>
      </c>
      <c r="D510" t="s">
        <v>7</v>
      </c>
      <c r="E510" t="s">
        <v>501</v>
      </c>
      <c r="F510" t="s">
        <v>575</v>
      </c>
      <c r="G510" s="56">
        <v>44257</v>
      </c>
      <c r="H510">
        <v>62</v>
      </c>
      <c r="I510" t="s">
        <v>159</v>
      </c>
      <c r="J510" s="56"/>
    </row>
    <row r="511" spans="1:10" x14ac:dyDescent="0.25">
      <c r="A511" t="s">
        <v>605</v>
      </c>
      <c r="B511" t="s">
        <v>495</v>
      </c>
      <c r="C511">
        <v>62792399</v>
      </c>
      <c r="D511" t="s">
        <v>604</v>
      </c>
      <c r="E511" t="s">
        <v>501</v>
      </c>
      <c r="F511" t="s">
        <v>575</v>
      </c>
      <c r="G511" s="56">
        <v>46052</v>
      </c>
      <c r="H511">
        <v>3</v>
      </c>
      <c r="I511" t="s">
        <v>586</v>
      </c>
      <c r="J511" s="56"/>
    </row>
    <row r="512" spans="1:10" x14ac:dyDescent="0.25">
      <c r="A512" t="s">
        <v>605</v>
      </c>
      <c r="B512" t="s">
        <v>109</v>
      </c>
      <c r="C512">
        <v>74626735</v>
      </c>
      <c r="D512" t="s">
        <v>604</v>
      </c>
      <c r="E512" t="s">
        <v>501</v>
      </c>
      <c r="F512" t="s">
        <v>575</v>
      </c>
      <c r="G512" s="56">
        <v>46024</v>
      </c>
      <c r="H512">
        <v>4</v>
      </c>
      <c r="I512" t="s">
        <v>586</v>
      </c>
      <c r="J512" s="56"/>
    </row>
    <row r="513" spans="1:10" x14ac:dyDescent="0.25">
      <c r="A513" t="s">
        <v>605</v>
      </c>
      <c r="B513" t="s">
        <v>77</v>
      </c>
      <c r="C513">
        <v>42251780</v>
      </c>
      <c r="D513" t="s">
        <v>604</v>
      </c>
      <c r="E513" t="s">
        <v>501</v>
      </c>
      <c r="F513" t="s">
        <v>575</v>
      </c>
      <c r="G513" s="56">
        <v>44838</v>
      </c>
      <c r="H513">
        <v>43</v>
      </c>
      <c r="I513" t="s">
        <v>586</v>
      </c>
      <c r="J513" s="56"/>
    </row>
    <row r="514" spans="1:10" x14ac:dyDescent="0.25">
      <c r="A514" t="s">
        <v>605</v>
      </c>
      <c r="B514" t="s">
        <v>48</v>
      </c>
      <c r="C514">
        <v>43307898</v>
      </c>
      <c r="D514" t="s">
        <v>604</v>
      </c>
      <c r="E514" t="s">
        <v>501</v>
      </c>
      <c r="F514" t="s">
        <v>575</v>
      </c>
      <c r="G514" s="56">
        <v>44746</v>
      </c>
      <c r="H514">
        <v>46</v>
      </c>
      <c r="I514" t="s">
        <v>586</v>
      </c>
      <c r="J514" s="56"/>
    </row>
    <row r="515" spans="1:10" x14ac:dyDescent="0.25">
      <c r="A515" t="s">
        <v>605</v>
      </c>
      <c r="B515" t="s">
        <v>49</v>
      </c>
      <c r="C515">
        <v>40702064</v>
      </c>
      <c r="D515" t="s">
        <v>604</v>
      </c>
      <c r="E515" t="s">
        <v>501</v>
      </c>
      <c r="F515" t="s">
        <v>575</v>
      </c>
      <c r="G515" s="56">
        <v>43313</v>
      </c>
      <c r="H515">
        <v>93</v>
      </c>
      <c r="I515" t="s">
        <v>586</v>
      </c>
      <c r="J515" s="56"/>
    </row>
    <row r="516" spans="1:10" x14ac:dyDescent="0.25">
      <c r="A516" t="s">
        <v>605</v>
      </c>
      <c r="B516" t="s">
        <v>78</v>
      </c>
      <c r="C516">
        <v>10706451</v>
      </c>
      <c r="D516" t="s">
        <v>604</v>
      </c>
      <c r="E516" t="s">
        <v>501</v>
      </c>
      <c r="F516" t="s">
        <v>575</v>
      </c>
      <c r="G516" s="56">
        <v>44943</v>
      </c>
      <c r="H516">
        <v>39</v>
      </c>
      <c r="I516" t="s">
        <v>586</v>
      </c>
      <c r="J516" s="56"/>
    </row>
    <row r="517" spans="1:10" x14ac:dyDescent="0.25">
      <c r="A517" t="s">
        <v>605</v>
      </c>
      <c r="B517" t="s">
        <v>600</v>
      </c>
      <c r="C517">
        <v>73623874</v>
      </c>
      <c r="D517" t="s">
        <v>604</v>
      </c>
      <c r="E517" t="s">
        <v>501</v>
      </c>
      <c r="F517" t="s">
        <v>575</v>
      </c>
      <c r="G517" s="56">
        <v>46139</v>
      </c>
      <c r="H517">
        <v>0</v>
      </c>
      <c r="I517" t="s">
        <v>586</v>
      </c>
      <c r="J517" s="56"/>
    </row>
    <row r="518" spans="1:10" x14ac:dyDescent="0.25">
      <c r="A518" t="s">
        <v>605</v>
      </c>
      <c r="B518" t="s">
        <v>41</v>
      </c>
      <c r="C518">
        <v>46461021</v>
      </c>
      <c r="D518" t="s">
        <v>604</v>
      </c>
      <c r="E518" t="s">
        <v>501</v>
      </c>
      <c r="F518" t="s">
        <v>575</v>
      </c>
      <c r="G518" s="56">
        <v>45302</v>
      </c>
      <c r="H518">
        <v>27</v>
      </c>
      <c r="I518" t="s">
        <v>587</v>
      </c>
      <c r="J518" s="56"/>
    </row>
    <row r="519" spans="1:10" x14ac:dyDescent="0.25">
      <c r="A519" t="s">
        <v>605</v>
      </c>
      <c r="B519" t="s">
        <v>549</v>
      </c>
      <c r="C519">
        <v>73233992</v>
      </c>
      <c r="D519" t="s">
        <v>604</v>
      </c>
      <c r="E519" t="s">
        <v>501</v>
      </c>
      <c r="F519" t="s">
        <v>575</v>
      </c>
      <c r="G519" s="56">
        <v>46065</v>
      </c>
      <c r="H519">
        <v>2</v>
      </c>
      <c r="I519" t="s">
        <v>587</v>
      </c>
      <c r="J519" s="56"/>
    </row>
    <row r="520" spans="1:10" x14ac:dyDescent="0.25">
      <c r="A520" t="s">
        <v>605</v>
      </c>
      <c r="B520" t="s">
        <v>566</v>
      </c>
      <c r="C520">
        <v>75693756</v>
      </c>
      <c r="D520" t="s">
        <v>604</v>
      </c>
      <c r="E520" t="s">
        <v>501</v>
      </c>
      <c r="F520" t="s">
        <v>575</v>
      </c>
      <c r="G520" s="56">
        <v>46084</v>
      </c>
      <c r="H520">
        <v>2</v>
      </c>
      <c r="I520" t="s">
        <v>587</v>
      </c>
      <c r="J520" s="56"/>
    </row>
    <row r="521" spans="1:10" x14ac:dyDescent="0.25">
      <c r="A521" t="s">
        <v>605</v>
      </c>
      <c r="B521" t="s">
        <v>55</v>
      </c>
      <c r="C521">
        <v>45119892</v>
      </c>
      <c r="D521" t="s">
        <v>604</v>
      </c>
      <c r="E521" t="s">
        <v>501</v>
      </c>
      <c r="F521" t="s">
        <v>575</v>
      </c>
      <c r="G521" s="56">
        <v>45813</v>
      </c>
      <c r="H521">
        <v>11</v>
      </c>
      <c r="I521" t="s">
        <v>587</v>
      </c>
      <c r="J521" s="56"/>
    </row>
    <row r="522" spans="1:10" x14ac:dyDescent="0.25">
      <c r="A522" t="s">
        <v>605</v>
      </c>
      <c r="B522" t="s">
        <v>599</v>
      </c>
      <c r="C522">
        <v>42227234</v>
      </c>
      <c r="D522" t="s">
        <v>604</v>
      </c>
      <c r="E522" t="s">
        <v>501</v>
      </c>
      <c r="F522" t="s">
        <v>575</v>
      </c>
      <c r="G522" s="56">
        <v>46121</v>
      </c>
      <c r="H522">
        <v>0</v>
      </c>
      <c r="I522" t="s">
        <v>587</v>
      </c>
      <c r="J522" s="56"/>
    </row>
    <row r="523" spans="1:10" x14ac:dyDescent="0.25">
      <c r="A523" t="s">
        <v>605</v>
      </c>
      <c r="B523" t="s">
        <v>601</v>
      </c>
      <c r="C523">
        <v>77710185</v>
      </c>
      <c r="D523" t="s">
        <v>604</v>
      </c>
      <c r="E523" t="s">
        <v>501</v>
      </c>
      <c r="F523" t="s">
        <v>575</v>
      </c>
      <c r="G523" s="56">
        <v>46141</v>
      </c>
      <c r="H523">
        <v>0</v>
      </c>
      <c r="I523" t="s">
        <v>587</v>
      </c>
      <c r="J523" s="56"/>
    </row>
    <row r="524" spans="1:10" x14ac:dyDescent="0.25">
      <c r="A524" t="s">
        <v>605</v>
      </c>
      <c r="B524" t="s">
        <v>17</v>
      </c>
      <c r="C524">
        <v>70876605</v>
      </c>
      <c r="D524" t="s">
        <v>602</v>
      </c>
      <c r="E524" t="s">
        <v>501</v>
      </c>
      <c r="F524" t="s">
        <v>575</v>
      </c>
      <c r="G524" s="56">
        <v>44886</v>
      </c>
      <c r="H524">
        <v>41</v>
      </c>
      <c r="I524" t="s">
        <v>602</v>
      </c>
      <c r="J524" s="56"/>
    </row>
    <row r="525" spans="1:10" x14ac:dyDescent="0.25">
      <c r="A525" t="s">
        <v>605</v>
      </c>
      <c r="B525" t="s">
        <v>38</v>
      </c>
      <c r="C525">
        <v>47411966</v>
      </c>
      <c r="D525" t="s">
        <v>500</v>
      </c>
      <c r="E525" t="s">
        <v>501</v>
      </c>
      <c r="F525" t="s">
        <v>575</v>
      </c>
      <c r="G525" s="56">
        <v>45800</v>
      </c>
      <c r="H525">
        <v>11</v>
      </c>
      <c r="I525" t="s">
        <v>500</v>
      </c>
      <c r="J525" s="56"/>
    </row>
    <row r="526" spans="1:10" x14ac:dyDescent="0.25">
      <c r="A526" t="s">
        <v>605</v>
      </c>
      <c r="B526" t="s">
        <v>15</v>
      </c>
      <c r="C526">
        <v>47587400</v>
      </c>
      <c r="D526" t="s">
        <v>500</v>
      </c>
      <c r="E526" t="s">
        <v>501</v>
      </c>
      <c r="F526" t="s">
        <v>575</v>
      </c>
      <c r="G526" s="56">
        <v>44733</v>
      </c>
      <c r="H526">
        <v>46</v>
      </c>
      <c r="I526" t="s">
        <v>500</v>
      </c>
      <c r="J526" s="56"/>
    </row>
    <row r="527" spans="1:10" x14ac:dyDescent="0.25">
      <c r="A527" t="s">
        <v>605</v>
      </c>
      <c r="B527" t="s">
        <v>50</v>
      </c>
      <c r="C527">
        <v>72733809</v>
      </c>
      <c r="D527" t="s">
        <v>500</v>
      </c>
      <c r="E527" t="s">
        <v>501</v>
      </c>
      <c r="F527" t="s">
        <v>575</v>
      </c>
      <c r="G527" s="56">
        <v>45789</v>
      </c>
      <c r="H527">
        <v>11</v>
      </c>
      <c r="I527" t="s">
        <v>500</v>
      </c>
      <c r="J527" s="56"/>
    </row>
    <row r="528" spans="1:10" x14ac:dyDescent="0.25">
      <c r="A528" t="s">
        <v>605</v>
      </c>
      <c r="B528" t="s">
        <v>73</v>
      </c>
      <c r="C528">
        <v>40318129</v>
      </c>
      <c r="D528" t="s">
        <v>500</v>
      </c>
      <c r="E528" t="s">
        <v>501</v>
      </c>
      <c r="F528" t="s">
        <v>575</v>
      </c>
      <c r="G528" s="56">
        <v>45141</v>
      </c>
      <c r="H528">
        <v>33</v>
      </c>
      <c r="I528" t="s">
        <v>500</v>
      </c>
      <c r="J528" s="56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C713-BB23-4F97-9164-BE3D124D1DF1}">
  <sheetPr>
    <tabColor rgb="FFFFFF00"/>
  </sheetPr>
  <dimension ref="A1:M209"/>
  <sheetViews>
    <sheetView topLeftCell="A192" zoomScale="85" zoomScaleNormal="85" workbookViewId="0">
      <selection activeCell="F210" sqref="F210"/>
    </sheetView>
  </sheetViews>
  <sheetFormatPr baseColWidth="10" defaultRowHeight="15" x14ac:dyDescent="0.25"/>
  <cols>
    <col min="1" max="1" width="23.140625" bestFit="1" customWidth="1"/>
    <col min="4" max="4" width="14.28515625" bestFit="1" customWidth="1"/>
  </cols>
  <sheetData>
    <row r="1" spans="1:7" x14ac:dyDescent="0.25">
      <c r="A1" s="21" t="s">
        <v>177</v>
      </c>
      <c r="B1" s="20" t="s">
        <v>166</v>
      </c>
      <c r="C1" s="21" t="s">
        <v>167</v>
      </c>
      <c r="D1" s="22" t="s">
        <v>168</v>
      </c>
      <c r="E1" s="23" t="s">
        <v>169</v>
      </c>
      <c r="F1" s="24" t="s">
        <v>170</v>
      </c>
      <c r="G1" s="22" t="s">
        <v>179</v>
      </c>
    </row>
    <row r="2" spans="1:7" x14ac:dyDescent="0.25">
      <c r="A2" s="30" t="str">
        <f>_xlfn.CONCAT(TablaMeta[[#This Row],[AÑO]],TablaMeta[[#This Row],[mes]],TablaMeta[[#This Row],[Equipo]])</f>
        <v>2023DICIEMBRESANDY</v>
      </c>
      <c r="B2" s="48" t="s">
        <v>172</v>
      </c>
      <c r="C2" s="26" t="s">
        <v>176</v>
      </c>
      <c r="D2" s="12" t="s">
        <v>3</v>
      </c>
      <c r="E2" s="9">
        <v>276000</v>
      </c>
      <c r="F2" s="9">
        <v>25000</v>
      </c>
      <c r="G2" s="39"/>
    </row>
    <row r="3" spans="1:7" x14ac:dyDescent="0.25">
      <c r="A3" s="25" t="str">
        <f>_xlfn.CONCAT(TablaMeta[[#This Row],[AÑO]],TablaMeta[[#This Row],[mes]],TablaMeta[[#This Row],[Equipo]])</f>
        <v>2023DICIEMBREMELINA</v>
      </c>
      <c r="B3" s="48" t="s">
        <v>172</v>
      </c>
      <c r="C3" s="26" t="s">
        <v>176</v>
      </c>
      <c r="D3" s="12" t="s">
        <v>4</v>
      </c>
      <c r="E3" s="9">
        <v>448000</v>
      </c>
      <c r="F3" s="9">
        <v>59000</v>
      </c>
      <c r="G3" s="39"/>
    </row>
    <row r="4" spans="1:7" x14ac:dyDescent="0.25">
      <c r="A4" s="25" t="str">
        <f>_xlfn.CONCAT(TablaMeta[[#This Row],[AÑO]],TablaMeta[[#This Row],[mes]],TablaMeta[[#This Row],[Equipo]])</f>
        <v>2023DICIEMBREKENNETH</v>
      </c>
      <c r="B4" s="48" t="s">
        <v>172</v>
      </c>
      <c r="C4" s="26" t="s">
        <v>176</v>
      </c>
      <c r="D4" s="12" t="s">
        <v>6</v>
      </c>
      <c r="E4" s="9">
        <v>238000</v>
      </c>
      <c r="F4" s="9">
        <v>32500</v>
      </c>
      <c r="G4" s="39"/>
    </row>
    <row r="5" spans="1:7" x14ac:dyDescent="0.25">
      <c r="A5" s="25" t="str">
        <f>_xlfn.CONCAT(TablaMeta[[#This Row],[AÑO]],TablaMeta[[#This Row],[mes]],TablaMeta[[#This Row],[Equipo]])</f>
        <v>2023DICIEMBREJORDAN</v>
      </c>
      <c r="B5" s="48" t="s">
        <v>172</v>
      </c>
      <c r="C5" s="26" t="s">
        <v>176</v>
      </c>
      <c r="D5" s="12" t="s">
        <v>5</v>
      </c>
      <c r="E5" s="9">
        <v>237000</v>
      </c>
      <c r="F5" s="9">
        <v>30000</v>
      </c>
      <c r="G5" s="39"/>
    </row>
    <row r="6" spans="1:7" x14ac:dyDescent="0.25">
      <c r="A6" s="25" t="str">
        <f>_xlfn.CONCAT(TablaMeta[[#This Row],[AÑO]],TablaMeta[[#This Row],[mes]],TablaMeta[[#This Row],[Equipo]])</f>
        <v>2023DICIEMBREJORGE</v>
      </c>
      <c r="B6" s="48" t="s">
        <v>172</v>
      </c>
      <c r="C6" s="26" t="s">
        <v>176</v>
      </c>
      <c r="D6" s="12" t="s">
        <v>2</v>
      </c>
      <c r="E6" s="9">
        <v>159000</v>
      </c>
      <c r="F6" s="9">
        <v>23000</v>
      </c>
      <c r="G6" s="39"/>
    </row>
    <row r="7" spans="1:7" x14ac:dyDescent="0.25">
      <c r="A7" s="25" t="str">
        <f>_xlfn.CONCAT(TablaMeta[[#This Row],[AÑO]],TablaMeta[[#This Row],[mes]],TablaMeta[[#This Row],[Equipo]])</f>
        <v>2023DICIEMBREMELITA</v>
      </c>
      <c r="B7" s="48" t="s">
        <v>172</v>
      </c>
      <c r="C7" s="26" t="s">
        <v>176</v>
      </c>
      <c r="D7" s="12" t="s">
        <v>115</v>
      </c>
      <c r="E7" s="9">
        <v>300000</v>
      </c>
      <c r="F7" s="9">
        <v>26000</v>
      </c>
      <c r="G7" s="39"/>
    </row>
    <row r="8" spans="1:7" x14ac:dyDescent="0.25">
      <c r="A8" s="25" t="str">
        <f>_xlfn.CONCAT(TablaMeta[[#This Row],[AÑO]],TablaMeta[[#This Row],[mes]],TablaMeta[[#This Row],[Equipo]])</f>
        <v>2024ENEROSANDY</v>
      </c>
      <c r="B8" s="48" t="s">
        <v>173</v>
      </c>
      <c r="C8" s="26" t="s">
        <v>139</v>
      </c>
      <c r="D8" s="12" t="s">
        <v>3</v>
      </c>
      <c r="E8" s="9">
        <v>276000</v>
      </c>
      <c r="F8" s="9">
        <v>25000</v>
      </c>
      <c r="G8" s="39"/>
    </row>
    <row r="9" spans="1:7" x14ac:dyDescent="0.25">
      <c r="A9" s="25" t="str">
        <f>_xlfn.CONCAT(TablaMeta[[#This Row],[AÑO]],TablaMeta[[#This Row],[mes]],TablaMeta[[#This Row],[Equipo]])</f>
        <v>2024ENEROMELINA</v>
      </c>
      <c r="B9" s="48" t="s">
        <v>173</v>
      </c>
      <c r="C9" s="26" t="s">
        <v>139</v>
      </c>
      <c r="D9" s="12" t="s">
        <v>4</v>
      </c>
      <c r="E9" s="9">
        <v>448000</v>
      </c>
      <c r="F9" s="9">
        <v>59000</v>
      </c>
      <c r="G9" s="39"/>
    </row>
    <row r="10" spans="1:7" x14ac:dyDescent="0.25">
      <c r="A10" s="25" t="str">
        <f>_xlfn.CONCAT(TablaMeta[[#This Row],[AÑO]],TablaMeta[[#This Row],[mes]],TablaMeta[[#This Row],[Equipo]])</f>
        <v>2024ENEROKENNETH</v>
      </c>
      <c r="B10" s="48" t="s">
        <v>173</v>
      </c>
      <c r="C10" s="26" t="s">
        <v>139</v>
      </c>
      <c r="D10" s="12" t="s">
        <v>6</v>
      </c>
      <c r="E10" s="9">
        <v>238000</v>
      </c>
      <c r="F10" s="9">
        <v>32500</v>
      </c>
      <c r="G10" s="39"/>
    </row>
    <row r="11" spans="1:7" x14ac:dyDescent="0.25">
      <c r="A11" s="25" t="str">
        <f>_xlfn.CONCAT(TablaMeta[[#This Row],[AÑO]],TablaMeta[[#This Row],[mes]],TablaMeta[[#This Row],[Equipo]])</f>
        <v>2024ENEROJORDAN</v>
      </c>
      <c r="B11" s="48" t="s">
        <v>173</v>
      </c>
      <c r="C11" s="26" t="s">
        <v>139</v>
      </c>
      <c r="D11" s="12" t="s">
        <v>5</v>
      </c>
      <c r="E11" s="9">
        <v>237000</v>
      </c>
      <c r="F11" s="9">
        <v>30000</v>
      </c>
      <c r="G11" s="39"/>
    </row>
    <row r="12" spans="1:7" x14ac:dyDescent="0.25">
      <c r="A12" s="25" t="str">
        <f>_xlfn.CONCAT(TablaMeta[[#This Row],[AÑO]],TablaMeta[[#This Row],[mes]],TablaMeta[[#This Row],[Equipo]])</f>
        <v>2024ENEROJORGE</v>
      </c>
      <c r="B12" s="48" t="s">
        <v>173</v>
      </c>
      <c r="C12" s="26" t="s">
        <v>139</v>
      </c>
      <c r="D12" s="12" t="s">
        <v>2</v>
      </c>
      <c r="E12" s="9">
        <v>159000</v>
      </c>
      <c r="F12" s="9">
        <v>23000</v>
      </c>
      <c r="G12" s="39"/>
    </row>
    <row r="13" spans="1:7" x14ac:dyDescent="0.25">
      <c r="A13" s="25" t="str">
        <f>_xlfn.CONCAT(TablaMeta[[#This Row],[AÑO]],TablaMeta[[#This Row],[mes]],TablaMeta[[#This Row],[Equipo]])</f>
        <v>2024ENEROMELITA</v>
      </c>
      <c r="B13" s="48" t="s">
        <v>173</v>
      </c>
      <c r="C13" s="26" t="s">
        <v>139</v>
      </c>
      <c r="D13" s="12" t="s">
        <v>115</v>
      </c>
      <c r="E13" s="9">
        <v>300000</v>
      </c>
      <c r="F13" s="9">
        <v>26000</v>
      </c>
      <c r="G13" s="39"/>
    </row>
    <row r="14" spans="1:7" x14ac:dyDescent="0.25">
      <c r="A14" s="25" t="str">
        <f>_xlfn.CONCAT(TablaMeta[[#This Row],[AÑO]],TablaMeta[[#This Row],[mes]],TablaMeta[[#This Row],[Equipo]])</f>
        <v>2024FEBREROSANDY</v>
      </c>
      <c r="B14" s="48" t="s">
        <v>173</v>
      </c>
      <c r="C14" s="26" t="s">
        <v>140</v>
      </c>
      <c r="D14" s="12" t="s">
        <v>3</v>
      </c>
      <c r="E14" s="9">
        <v>185500</v>
      </c>
      <c r="F14" s="9">
        <v>20500</v>
      </c>
      <c r="G14" s="39"/>
    </row>
    <row r="15" spans="1:7" x14ac:dyDescent="0.25">
      <c r="A15" s="25" t="str">
        <f>_xlfn.CONCAT(TablaMeta[[#This Row],[AÑO]],TablaMeta[[#This Row],[mes]],TablaMeta[[#This Row],[Equipo]])</f>
        <v>2024FEBREROMELINA</v>
      </c>
      <c r="B15" s="48" t="s">
        <v>173</v>
      </c>
      <c r="C15" s="26" t="s">
        <v>140</v>
      </c>
      <c r="D15" s="12" t="s">
        <v>4</v>
      </c>
      <c r="E15" s="9">
        <v>588000</v>
      </c>
      <c r="F15" s="9">
        <v>69000</v>
      </c>
      <c r="G15" s="39"/>
    </row>
    <row r="16" spans="1:7" x14ac:dyDescent="0.25">
      <c r="A16" s="25" t="str">
        <f>_xlfn.CONCAT(TablaMeta[[#This Row],[AÑO]],TablaMeta[[#This Row],[mes]],TablaMeta[[#This Row],[Equipo]])</f>
        <v>2024FEBREROKENNETH</v>
      </c>
      <c r="B16" s="48" t="s">
        <v>173</v>
      </c>
      <c r="C16" s="26" t="s">
        <v>140</v>
      </c>
      <c r="D16" s="12" t="s">
        <v>6</v>
      </c>
      <c r="E16" s="9">
        <v>238000</v>
      </c>
      <c r="F16" s="9">
        <v>30000</v>
      </c>
      <c r="G16" s="39"/>
    </row>
    <row r="17" spans="1:7" x14ac:dyDescent="0.25">
      <c r="A17" s="25" t="str">
        <f>_xlfn.CONCAT(TablaMeta[[#This Row],[AÑO]],TablaMeta[[#This Row],[mes]],TablaMeta[[#This Row],[Equipo]])</f>
        <v>2024FEBREROJORDAN</v>
      </c>
      <c r="B17" s="48" t="s">
        <v>173</v>
      </c>
      <c r="C17" s="26" t="s">
        <v>140</v>
      </c>
      <c r="D17" s="12" t="s">
        <v>5</v>
      </c>
      <c r="E17" s="9">
        <v>217000</v>
      </c>
      <c r="F17" s="9">
        <v>30000</v>
      </c>
      <c r="G17" s="39"/>
    </row>
    <row r="18" spans="1:7" x14ac:dyDescent="0.25">
      <c r="A18" s="25" t="str">
        <f>_xlfn.CONCAT(TablaMeta[[#This Row],[AÑO]],TablaMeta[[#This Row],[mes]],TablaMeta[[#This Row],[Equipo]])</f>
        <v>2024FEBREROJORGE</v>
      </c>
      <c r="B18" s="48" t="s">
        <v>173</v>
      </c>
      <c r="C18" s="26" t="s">
        <v>140</v>
      </c>
      <c r="D18" s="12" t="s">
        <v>2</v>
      </c>
      <c r="E18" s="9">
        <v>217000</v>
      </c>
      <c r="F18" s="9">
        <v>25000</v>
      </c>
      <c r="G18" s="39"/>
    </row>
    <row r="19" spans="1:7" x14ac:dyDescent="0.25">
      <c r="A19" s="25" t="str">
        <f>_xlfn.CONCAT(TablaMeta[[#This Row],[AÑO]],TablaMeta[[#This Row],[mes]],TablaMeta[[#This Row],[Equipo]])</f>
        <v>2024FEBREROMELITA</v>
      </c>
      <c r="B19" s="48" t="s">
        <v>173</v>
      </c>
      <c r="C19" s="26" t="s">
        <v>140</v>
      </c>
      <c r="D19" s="12" t="s">
        <v>115</v>
      </c>
      <c r="E19" s="9">
        <v>145000</v>
      </c>
      <c r="F19" s="9">
        <v>21000</v>
      </c>
      <c r="G19" s="39"/>
    </row>
    <row r="20" spans="1:7" x14ac:dyDescent="0.25">
      <c r="A20" s="25" t="str">
        <f>_xlfn.CONCAT(TablaMeta[[#This Row],[AÑO]],TablaMeta[[#This Row],[mes]],TablaMeta[[#This Row],[Equipo]])</f>
        <v>2024FEBREROLUIS</v>
      </c>
      <c r="B20" s="48" t="s">
        <v>173</v>
      </c>
      <c r="C20" s="26" t="s">
        <v>140</v>
      </c>
      <c r="D20" s="12" t="s">
        <v>9</v>
      </c>
      <c r="E20" s="9">
        <v>145000</v>
      </c>
      <c r="F20" s="9">
        <v>21000</v>
      </c>
      <c r="G20" s="39"/>
    </row>
    <row r="21" spans="1:7" x14ac:dyDescent="0.25">
      <c r="A21" s="25" t="str">
        <f>_xlfn.CONCAT(TablaMeta[[#This Row],[AÑO]],TablaMeta[[#This Row],[mes]],TablaMeta[[#This Row],[Equipo]])</f>
        <v>2024MARZOSANDY</v>
      </c>
      <c r="B21" s="48" t="s">
        <v>173</v>
      </c>
      <c r="C21" s="26" t="s">
        <v>141</v>
      </c>
      <c r="D21" s="12" t="s">
        <v>3</v>
      </c>
      <c r="E21" s="9">
        <v>185500</v>
      </c>
      <c r="F21" s="9">
        <v>20000</v>
      </c>
      <c r="G21" s="39"/>
    </row>
    <row r="22" spans="1:7" x14ac:dyDescent="0.25">
      <c r="A22" s="25" t="str">
        <f>_xlfn.CONCAT(TablaMeta[[#This Row],[AÑO]],TablaMeta[[#This Row],[mes]],TablaMeta[[#This Row],[Equipo]])</f>
        <v>2024MARZOMELINA</v>
      </c>
      <c r="B22" s="48" t="s">
        <v>173</v>
      </c>
      <c r="C22" s="26" t="s">
        <v>141</v>
      </c>
      <c r="D22" s="12" t="s">
        <v>4</v>
      </c>
      <c r="E22" s="9">
        <v>629000</v>
      </c>
      <c r="F22" s="9">
        <v>60000</v>
      </c>
      <c r="G22" s="39"/>
    </row>
    <row r="23" spans="1:7" x14ac:dyDescent="0.25">
      <c r="A23" s="25" t="str">
        <f>_xlfn.CONCAT(TablaMeta[[#This Row],[AÑO]],TablaMeta[[#This Row],[mes]],TablaMeta[[#This Row],[Equipo]])</f>
        <v>2024MARZOKENNETH</v>
      </c>
      <c r="B23" s="48" t="s">
        <v>173</v>
      </c>
      <c r="C23" s="26" t="s">
        <v>141</v>
      </c>
      <c r="D23" s="12" t="s">
        <v>6</v>
      </c>
      <c r="E23" s="9">
        <v>238000</v>
      </c>
      <c r="F23" s="9">
        <v>30000</v>
      </c>
      <c r="G23" s="39"/>
    </row>
    <row r="24" spans="1:7" x14ac:dyDescent="0.25">
      <c r="A24" s="25" t="str">
        <f>_xlfn.CONCAT(TablaMeta[[#This Row],[AÑO]],TablaMeta[[#This Row],[mes]],TablaMeta[[#This Row],[Equipo]])</f>
        <v>2024MARZOJORDAN</v>
      </c>
      <c r="B24" s="48" t="s">
        <v>173</v>
      </c>
      <c r="C24" s="26" t="s">
        <v>141</v>
      </c>
      <c r="D24" s="12" t="s">
        <v>5</v>
      </c>
      <c r="E24" s="9">
        <v>217000</v>
      </c>
      <c r="F24" s="9">
        <v>27000</v>
      </c>
      <c r="G24" s="39"/>
    </row>
    <row r="25" spans="1:7" x14ac:dyDescent="0.25">
      <c r="A25" s="25" t="str">
        <f>_xlfn.CONCAT(TablaMeta[[#This Row],[AÑO]],TablaMeta[[#This Row],[mes]],TablaMeta[[#This Row],[Equipo]])</f>
        <v>2024MARZOJORGE</v>
      </c>
      <c r="B25" s="48" t="s">
        <v>173</v>
      </c>
      <c r="C25" s="26" t="s">
        <v>141</v>
      </c>
      <c r="D25" s="12" t="s">
        <v>2</v>
      </c>
      <c r="E25" s="9">
        <v>217000</v>
      </c>
      <c r="F25" s="9">
        <v>23500</v>
      </c>
      <c r="G25" s="39"/>
    </row>
    <row r="26" spans="1:7" x14ac:dyDescent="0.25">
      <c r="A26" s="25" t="str">
        <f>_xlfn.CONCAT(TablaMeta[[#This Row],[AÑO]],TablaMeta[[#This Row],[mes]],TablaMeta[[#This Row],[Equipo]])</f>
        <v>2024MARZOMELITA</v>
      </c>
      <c r="B26" s="48" t="s">
        <v>173</v>
      </c>
      <c r="C26" s="26" t="s">
        <v>141</v>
      </c>
      <c r="D26" s="12" t="s">
        <v>115</v>
      </c>
      <c r="E26" s="9">
        <v>168500</v>
      </c>
      <c r="F26" s="9">
        <v>21000</v>
      </c>
      <c r="G26" s="39"/>
    </row>
    <row r="27" spans="1:7" x14ac:dyDescent="0.25">
      <c r="A27" s="25" t="str">
        <f>_xlfn.CONCAT(TablaMeta[[#This Row],[AÑO]],TablaMeta[[#This Row],[mes]],TablaMeta[[#This Row],[Equipo]])</f>
        <v>2024MARZOLUIS</v>
      </c>
      <c r="B27" s="48" t="s">
        <v>173</v>
      </c>
      <c r="C27" s="26" t="s">
        <v>141</v>
      </c>
      <c r="D27" s="12" t="s">
        <v>9</v>
      </c>
      <c r="E27" s="9">
        <v>145000</v>
      </c>
      <c r="F27" s="9">
        <v>21000</v>
      </c>
      <c r="G27" s="39"/>
    </row>
    <row r="28" spans="1:7" x14ac:dyDescent="0.25">
      <c r="A28" s="25" t="str">
        <f>_xlfn.CONCAT(TablaMeta[[#This Row],[AÑO]],TablaMeta[[#This Row],[mes]],TablaMeta[[#This Row],[Equipo]])</f>
        <v>2024ABRILSANDY</v>
      </c>
      <c r="B28" s="48" t="s">
        <v>173</v>
      </c>
      <c r="C28" s="26" t="s">
        <v>142</v>
      </c>
      <c r="D28" s="12" t="s">
        <v>3</v>
      </c>
      <c r="E28" s="9">
        <v>169500</v>
      </c>
      <c r="F28" s="9">
        <v>19000</v>
      </c>
      <c r="G28" s="39"/>
    </row>
    <row r="29" spans="1:7" x14ac:dyDescent="0.25">
      <c r="A29" s="25" t="str">
        <f>_xlfn.CONCAT(TablaMeta[[#This Row],[AÑO]],TablaMeta[[#This Row],[mes]],TablaMeta[[#This Row],[Equipo]])</f>
        <v>2024ABRILMELINA</v>
      </c>
      <c r="B29" s="48" t="s">
        <v>173</v>
      </c>
      <c r="C29" s="26" t="s">
        <v>142</v>
      </c>
      <c r="D29" s="12" t="s">
        <v>4</v>
      </c>
      <c r="E29" s="9">
        <v>629000</v>
      </c>
      <c r="F29" s="9">
        <v>66000</v>
      </c>
      <c r="G29" s="39"/>
    </row>
    <row r="30" spans="1:7" x14ac:dyDescent="0.25">
      <c r="A30" s="25" t="str">
        <f>_xlfn.CONCAT(TablaMeta[[#This Row],[AÑO]],TablaMeta[[#This Row],[mes]],TablaMeta[[#This Row],[Equipo]])</f>
        <v>2024ABRILKENNETH</v>
      </c>
      <c r="B30" s="48" t="s">
        <v>173</v>
      </c>
      <c r="C30" s="26" t="s">
        <v>142</v>
      </c>
      <c r="D30" s="12" t="s">
        <v>6</v>
      </c>
      <c r="E30" s="9">
        <v>238000</v>
      </c>
      <c r="F30" s="9">
        <v>30000</v>
      </c>
      <c r="G30" s="39"/>
    </row>
    <row r="31" spans="1:7" x14ac:dyDescent="0.25">
      <c r="A31" s="25" t="str">
        <f>_xlfn.CONCAT(TablaMeta[[#This Row],[AÑO]],TablaMeta[[#This Row],[mes]],TablaMeta[[#This Row],[Equipo]])</f>
        <v>2024ABRILJORDAN</v>
      </c>
      <c r="B31" s="48" t="s">
        <v>173</v>
      </c>
      <c r="C31" s="26" t="s">
        <v>142</v>
      </c>
      <c r="D31" s="12" t="s">
        <v>5</v>
      </c>
      <c r="E31" s="9">
        <v>217000</v>
      </c>
      <c r="F31" s="9">
        <v>27000</v>
      </c>
      <c r="G31" s="39"/>
    </row>
    <row r="32" spans="1:7" x14ac:dyDescent="0.25">
      <c r="A32" s="25" t="str">
        <f>_xlfn.CONCAT(TablaMeta[[#This Row],[AÑO]],TablaMeta[[#This Row],[mes]],TablaMeta[[#This Row],[Equipo]])</f>
        <v>2024ABRILJORGE</v>
      </c>
      <c r="B32" s="48" t="s">
        <v>173</v>
      </c>
      <c r="C32" s="26" t="s">
        <v>142</v>
      </c>
      <c r="D32" s="12" t="s">
        <v>2</v>
      </c>
      <c r="E32" s="9">
        <v>192000</v>
      </c>
      <c r="F32" s="9">
        <v>22000</v>
      </c>
      <c r="G32" s="39"/>
    </row>
    <row r="33" spans="1:7" x14ac:dyDescent="0.25">
      <c r="A33" s="25" t="str">
        <f>_xlfn.CONCAT(TablaMeta[[#This Row],[AÑO]],TablaMeta[[#This Row],[mes]],TablaMeta[[#This Row],[Equipo]])</f>
        <v>2024ABRILMELITA</v>
      </c>
      <c r="B33" s="48" t="s">
        <v>173</v>
      </c>
      <c r="C33" s="26" t="s">
        <v>142</v>
      </c>
      <c r="D33" s="12" t="s">
        <v>115</v>
      </c>
      <c r="E33" s="9">
        <v>154500</v>
      </c>
      <c r="F33" s="9">
        <v>23000</v>
      </c>
      <c r="G33" s="39"/>
    </row>
    <row r="34" spans="1:7" x14ac:dyDescent="0.25">
      <c r="A34" s="25" t="str">
        <f>_xlfn.CONCAT(TablaMeta[[#This Row],[AÑO]],TablaMeta[[#This Row],[mes]],TablaMeta[[#This Row],[Equipo]])</f>
        <v>2024ABRILLUIS</v>
      </c>
      <c r="B34" s="48" t="s">
        <v>173</v>
      </c>
      <c r="C34" s="26" t="s">
        <v>142</v>
      </c>
      <c r="D34" s="12" t="s">
        <v>9</v>
      </c>
      <c r="E34" s="9">
        <v>136000</v>
      </c>
      <c r="F34" s="9">
        <v>20000</v>
      </c>
      <c r="G34" s="39"/>
    </row>
    <row r="35" spans="1:7" x14ac:dyDescent="0.25">
      <c r="A35" s="25" t="str">
        <f>_xlfn.CONCAT(TablaMeta[[#This Row],[AÑO]],TablaMeta[[#This Row],[mes]],TablaMeta[[#This Row],[Equipo]])</f>
        <v>2024MAYOMELITA</v>
      </c>
      <c r="B35" s="48" t="s">
        <v>173</v>
      </c>
      <c r="C35" s="26" t="s">
        <v>143</v>
      </c>
      <c r="D35" s="12" t="s">
        <v>115</v>
      </c>
      <c r="E35" s="9">
        <v>154500</v>
      </c>
      <c r="F35" s="9">
        <v>23000</v>
      </c>
      <c r="G35" s="39"/>
    </row>
    <row r="36" spans="1:7" x14ac:dyDescent="0.25">
      <c r="A36" s="25" t="str">
        <f>_xlfn.CONCAT(TablaMeta[[#This Row],[AÑO]],TablaMeta[[#This Row],[mes]],TablaMeta[[#This Row],[Equipo]])</f>
        <v>2024MAYOLUIS</v>
      </c>
      <c r="B36" s="48" t="s">
        <v>173</v>
      </c>
      <c r="C36" s="26" t="s">
        <v>143</v>
      </c>
      <c r="D36" s="12" t="s">
        <v>9</v>
      </c>
      <c r="E36" s="9">
        <v>136000</v>
      </c>
      <c r="F36" s="9">
        <v>20000</v>
      </c>
      <c r="G36" s="39"/>
    </row>
    <row r="37" spans="1:7" x14ac:dyDescent="0.25">
      <c r="A37" s="25" t="str">
        <f>_xlfn.CONCAT(TablaMeta[[#This Row],[AÑO]],TablaMeta[[#This Row],[mes]],TablaMeta[[#This Row],[Equipo]])</f>
        <v>2024MAYOSANDY</v>
      </c>
      <c r="B37" s="48" t="s">
        <v>173</v>
      </c>
      <c r="C37" s="26" t="s">
        <v>143</v>
      </c>
      <c r="D37" s="12" t="s">
        <v>3</v>
      </c>
      <c r="E37" s="9">
        <v>169500</v>
      </c>
      <c r="F37" s="9">
        <v>20500</v>
      </c>
      <c r="G37" s="39"/>
    </row>
    <row r="38" spans="1:7" x14ac:dyDescent="0.25">
      <c r="A38" s="25" t="str">
        <f>_xlfn.CONCAT(TablaMeta[[#This Row],[AÑO]],TablaMeta[[#This Row],[mes]],TablaMeta[[#This Row],[Equipo]])</f>
        <v>2024MAYOMELINA</v>
      </c>
      <c r="B38" s="48" t="s">
        <v>173</v>
      </c>
      <c r="C38" s="26" t="s">
        <v>143</v>
      </c>
      <c r="D38" s="12" t="s">
        <v>4</v>
      </c>
      <c r="E38" s="9">
        <v>679000</v>
      </c>
      <c r="F38" s="9">
        <v>71000</v>
      </c>
      <c r="G38" s="39"/>
    </row>
    <row r="39" spans="1:7" x14ac:dyDescent="0.25">
      <c r="A39" s="25" t="str">
        <f>_xlfn.CONCAT(TablaMeta[[#This Row],[AÑO]],TablaMeta[[#This Row],[mes]],TablaMeta[[#This Row],[Equipo]])</f>
        <v>2024MAYOJORDAN</v>
      </c>
      <c r="B39" s="48" t="s">
        <v>173</v>
      </c>
      <c r="C39" s="26" t="s">
        <v>143</v>
      </c>
      <c r="D39" s="12" t="s">
        <v>5</v>
      </c>
      <c r="E39" s="9">
        <v>217000</v>
      </c>
      <c r="F39" s="9">
        <v>30000</v>
      </c>
      <c r="G39" s="39"/>
    </row>
    <row r="40" spans="1:7" x14ac:dyDescent="0.25">
      <c r="A40" s="25" t="str">
        <f>_xlfn.CONCAT(TablaMeta[[#This Row],[AÑO]],TablaMeta[[#This Row],[mes]],TablaMeta[[#This Row],[Equipo]])</f>
        <v>2024MAYOJORGE</v>
      </c>
      <c r="B40" s="48" t="s">
        <v>173</v>
      </c>
      <c r="C40" s="26" t="s">
        <v>143</v>
      </c>
      <c r="D40" s="12" t="s">
        <v>2</v>
      </c>
      <c r="E40" s="9">
        <v>192000</v>
      </c>
      <c r="F40" s="9">
        <v>25000</v>
      </c>
      <c r="G40" s="39"/>
    </row>
    <row r="41" spans="1:7" x14ac:dyDescent="0.25">
      <c r="A41" s="25" t="str">
        <f>_xlfn.CONCAT(TablaMeta[[#This Row],[AÑO]],TablaMeta[[#This Row],[mes]],TablaMeta[[#This Row],[Equipo]])</f>
        <v>2024MAYOKENNETH</v>
      </c>
      <c r="B41" s="49" t="s">
        <v>173</v>
      </c>
      <c r="C41" s="27" t="s">
        <v>143</v>
      </c>
      <c r="D41" s="28" t="s">
        <v>6</v>
      </c>
      <c r="E41" s="29">
        <v>238000</v>
      </c>
      <c r="F41" s="9">
        <v>30000</v>
      </c>
      <c r="G41" s="39"/>
    </row>
    <row r="42" spans="1:7" x14ac:dyDescent="0.25">
      <c r="A42" s="25" t="str">
        <f>_xlfn.CONCAT(TablaMeta[[#This Row],[AÑO]],TablaMeta[[#This Row],[mes]],TablaMeta[[#This Row],[Equipo]])</f>
        <v>2024JUNIOMELITA</v>
      </c>
      <c r="B42" s="48" t="s">
        <v>173</v>
      </c>
      <c r="C42" s="26" t="s">
        <v>144</v>
      </c>
      <c r="D42" s="12" t="s">
        <v>115</v>
      </c>
      <c r="E42" s="9">
        <v>154500</v>
      </c>
      <c r="F42" s="9">
        <v>23000</v>
      </c>
      <c r="G42" s="39"/>
    </row>
    <row r="43" spans="1:7" x14ac:dyDescent="0.25">
      <c r="A43" s="25" t="str">
        <f>_xlfn.CONCAT(TablaMeta[[#This Row],[AÑO]],TablaMeta[[#This Row],[mes]],TablaMeta[[#This Row],[Equipo]])</f>
        <v>2024JUNIOLUIS</v>
      </c>
      <c r="B43" s="48" t="s">
        <v>173</v>
      </c>
      <c r="C43" s="26" t="s">
        <v>144</v>
      </c>
      <c r="D43" s="12" t="s">
        <v>9</v>
      </c>
      <c r="E43" s="9">
        <v>136000</v>
      </c>
      <c r="F43" s="9">
        <v>20000</v>
      </c>
      <c r="G43" s="39"/>
    </row>
    <row r="44" spans="1:7" x14ac:dyDescent="0.25">
      <c r="A44" s="25" t="str">
        <f>_xlfn.CONCAT(TablaMeta[[#This Row],[AÑO]],TablaMeta[[#This Row],[mes]],TablaMeta[[#This Row],[Equipo]])</f>
        <v>2024JUNIOSANDY</v>
      </c>
      <c r="B44" s="48" t="s">
        <v>173</v>
      </c>
      <c r="C44" s="26" t="s">
        <v>144</v>
      </c>
      <c r="D44" s="12" t="s">
        <v>3</v>
      </c>
      <c r="E44" s="9">
        <v>169500</v>
      </c>
      <c r="F44" s="9">
        <v>20500</v>
      </c>
      <c r="G44" s="39"/>
    </row>
    <row r="45" spans="1:7" x14ac:dyDescent="0.25">
      <c r="A45" s="25" t="str">
        <f>_xlfn.CONCAT(TablaMeta[[#This Row],[AÑO]],TablaMeta[[#This Row],[mes]],TablaMeta[[#This Row],[Equipo]])</f>
        <v>2024JUNIOMELINA</v>
      </c>
      <c r="B45" s="48" t="s">
        <v>173</v>
      </c>
      <c r="C45" s="26" t="s">
        <v>144</v>
      </c>
      <c r="D45" s="12" t="s">
        <v>4</v>
      </c>
      <c r="E45" s="9">
        <v>760000</v>
      </c>
      <c r="F45" s="9">
        <v>79800</v>
      </c>
      <c r="G45" s="39"/>
    </row>
    <row r="46" spans="1:7" x14ac:dyDescent="0.25">
      <c r="A46" s="25" t="str">
        <f>_xlfn.CONCAT(TablaMeta[[#This Row],[AÑO]],TablaMeta[[#This Row],[mes]],TablaMeta[[#This Row],[Equipo]])</f>
        <v>2024JUNIOJORDAN</v>
      </c>
      <c r="B46" s="48" t="s">
        <v>173</v>
      </c>
      <c r="C46" s="26" t="s">
        <v>144</v>
      </c>
      <c r="D46" s="12" t="s">
        <v>5</v>
      </c>
      <c r="E46" s="9">
        <v>217000</v>
      </c>
      <c r="F46" s="9">
        <v>30000</v>
      </c>
      <c r="G46" s="39"/>
    </row>
    <row r="47" spans="1:7" x14ac:dyDescent="0.25">
      <c r="A47" s="25" t="str">
        <f>_xlfn.CONCAT(TablaMeta[[#This Row],[AÑO]],TablaMeta[[#This Row],[mes]],TablaMeta[[#This Row],[Equipo]])</f>
        <v>2024JUNIOJORGE</v>
      </c>
      <c r="B47" s="48" t="s">
        <v>173</v>
      </c>
      <c r="C47" s="26" t="s">
        <v>144</v>
      </c>
      <c r="D47" s="12" t="s">
        <v>2</v>
      </c>
      <c r="E47" s="9">
        <v>192000</v>
      </c>
      <c r="F47" s="9">
        <v>23000</v>
      </c>
      <c r="G47" s="39"/>
    </row>
    <row r="48" spans="1:7" x14ac:dyDescent="0.25">
      <c r="A48" s="25" t="str">
        <f>_xlfn.CONCAT(TablaMeta[[#This Row],[AÑO]],TablaMeta[[#This Row],[mes]],TablaMeta[[#This Row],[Equipo]])</f>
        <v>2024JUNIOKENNETH</v>
      </c>
      <c r="B48" s="49" t="s">
        <v>173</v>
      </c>
      <c r="C48" s="27" t="s">
        <v>144</v>
      </c>
      <c r="D48" s="28" t="s">
        <v>6</v>
      </c>
      <c r="E48" s="9">
        <v>238000</v>
      </c>
      <c r="F48" s="9">
        <v>30000</v>
      </c>
      <c r="G48" s="39"/>
    </row>
    <row r="49" spans="1:7" x14ac:dyDescent="0.25">
      <c r="A49" s="25" t="str">
        <f>_xlfn.CONCAT(TablaMeta[[#This Row],[AÑO]],TablaMeta[[#This Row],[mes]],TablaMeta[[#This Row],[Equipo]])</f>
        <v>2024JULIOMELITA</v>
      </c>
      <c r="B49" s="48" t="s">
        <v>173</v>
      </c>
      <c r="C49" s="26" t="s">
        <v>145</v>
      </c>
      <c r="D49" s="12" t="s">
        <v>115</v>
      </c>
      <c r="E49" s="9">
        <v>152000</v>
      </c>
      <c r="F49" s="9">
        <v>18000</v>
      </c>
      <c r="G49" s="39"/>
    </row>
    <row r="50" spans="1:7" x14ac:dyDescent="0.25">
      <c r="A50" s="25" t="str">
        <f>_xlfn.CONCAT(TablaMeta[[#This Row],[AÑO]],TablaMeta[[#This Row],[mes]],TablaMeta[[#This Row],[Equipo]])</f>
        <v>2024JULIOLUIS</v>
      </c>
      <c r="B50" s="48" t="s">
        <v>173</v>
      </c>
      <c r="C50" s="26" t="s">
        <v>145</v>
      </c>
      <c r="D50" s="12" t="s">
        <v>9</v>
      </c>
      <c r="E50" s="9">
        <v>114500</v>
      </c>
      <c r="F50" s="9">
        <v>18000</v>
      </c>
      <c r="G50" s="39"/>
    </row>
    <row r="51" spans="1:7" x14ac:dyDescent="0.25">
      <c r="A51" s="25" t="str">
        <f>_xlfn.CONCAT(TablaMeta[[#This Row],[AÑO]],TablaMeta[[#This Row],[mes]],TablaMeta[[#This Row],[Equipo]])</f>
        <v>2024JULIOSANDY</v>
      </c>
      <c r="B51" s="48" t="s">
        <v>173</v>
      </c>
      <c r="C51" s="26" t="s">
        <v>145</v>
      </c>
      <c r="D51" s="12" t="s">
        <v>3</v>
      </c>
      <c r="E51" s="9">
        <v>425000</v>
      </c>
      <c r="F51" s="9">
        <v>50000</v>
      </c>
      <c r="G51" s="39"/>
    </row>
    <row r="52" spans="1:7" x14ac:dyDescent="0.25">
      <c r="A52" s="25" t="str">
        <f>_xlfn.CONCAT(TablaMeta[[#This Row],[AÑO]],TablaMeta[[#This Row],[mes]],TablaMeta[[#This Row],[Equipo]])</f>
        <v>2024JULIOMELINA</v>
      </c>
      <c r="B52" s="48" t="s">
        <v>173</v>
      </c>
      <c r="C52" s="26" t="s">
        <v>145</v>
      </c>
      <c r="D52" s="12" t="s">
        <v>4</v>
      </c>
      <c r="E52" s="9">
        <v>425000</v>
      </c>
      <c r="F52" s="9">
        <v>50000</v>
      </c>
      <c r="G52" s="39"/>
    </row>
    <row r="53" spans="1:7" x14ac:dyDescent="0.25">
      <c r="A53" s="25" t="str">
        <f>_xlfn.CONCAT(TablaMeta[[#This Row],[AÑO]],TablaMeta[[#This Row],[mes]],TablaMeta[[#This Row],[Equipo]])</f>
        <v>2024JULIOJORDAN</v>
      </c>
      <c r="B53" s="48" t="s">
        <v>173</v>
      </c>
      <c r="C53" s="26" t="s">
        <v>145</v>
      </c>
      <c r="D53" s="12" t="s">
        <v>5</v>
      </c>
      <c r="E53" s="9">
        <v>204000</v>
      </c>
      <c r="F53" s="9">
        <v>28000</v>
      </c>
      <c r="G53" s="39"/>
    </row>
    <row r="54" spans="1:7" x14ac:dyDescent="0.25">
      <c r="A54" s="25" t="str">
        <f>_xlfn.CONCAT(TablaMeta[[#This Row],[AÑO]],TablaMeta[[#This Row],[mes]],TablaMeta[[#This Row],[Equipo]])</f>
        <v>2024JULIOJORGE</v>
      </c>
      <c r="B54" s="48" t="s">
        <v>173</v>
      </c>
      <c r="C54" s="26" t="s">
        <v>145</v>
      </c>
      <c r="D54" s="12" t="s">
        <v>2</v>
      </c>
      <c r="E54" s="9">
        <v>150000</v>
      </c>
      <c r="F54" s="9">
        <v>18000</v>
      </c>
      <c r="G54" s="39"/>
    </row>
    <row r="55" spans="1:7" x14ac:dyDescent="0.25">
      <c r="A55" s="25" t="str">
        <f>_xlfn.CONCAT(TablaMeta[[#This Row],[AÑO]],TablaMeta[[#This Row],[mes]],TablaMeta[[#This Row],[Equipo]])</f>
        <v>2024JULIOKENNETH</v>
      </c>
      <c r="B55" s="49" t="s">
        <v>173</v>
      </c>
      <c r="C55" s="27" t="s">
        <v>145</v>
      </c>
      <c r="D55" s="28" t="s">
        <v>6</v>
      </c>
      <c r="E55" s="9">
        <v>224000</v>
      </c>
      <c r="F55" s="9">
        <v>27000</v>
      </c>
      <c r="G55" s="39"/>
    </row>
    <row r="56" spans="1:7" x14ac:dyDescent="0.25">
      <c r="A56" s="25" t="str">
        <f>_xlfn.CONCAT(TablaMeta[[#This Row],[AÑO]],TablaMeta[[#This Row],[mes]],TablaMeta[[#This Row],[Equipo]])</f>
        <v>2024AGOSTOSANDY</v>
      </c>
      <c r="B56" s="48" t="s">
        <v>173</v>
      </c>
      <c r="C56" s="26" t="s">
        <v>146</v>
      </c>
      <c r="D56" s="12" t="s">
        <v>3</v>
      </c>
      <c r="E56" s="9">
        <v>490000</v>
      </c>
      <c r="F56" s="9">
        <v>64000</v>
      </c>
      <c r="G56" s="39"/>
    </row>
    <row r="57" spans="1:7" x14ac:dyDescent="0.25">
      <c r="A57" s="25" t="str">
        <f>_xlfn.CONCAT(TablaMeta[[#This Row],[AÑO]],TablaMeta[[#This Row],[mes]],TablaMeta[[#This Row],[Equipo]])</f>
        <v>2024AGOSTOMELINA</v>
      </c>
      <c r="B57" s="48" t="s">
        <v>173</v>
      </c>
      <c r="C57" s="26" t="s">
        <v>146</v>
      </c>
      <c r="D57" s="12" t="s">
        <v>4</v>
      </c>
      <c r="E57" s="9">
        <v>490000</v>
      </c>
      <c r="F57" s="9">
        <v>64000</v>
      </c>
      <c r="G57" s="39"/>
    </row>
    <row r="58" spans="1:7" x14ac:dyDescent="0.25">
      <c r="A58" s="25" t="str">
        <f>_xlfn.CONCAT(TablaMeta[[#This Row],[AÑO]],TablaMeta[[#This Row],[mes]],TablaMeta[[#This Row],[Equipo]])</f>
        <v>2024AGOSTOJORDAN</v>
      </c>
      <c r="B58" s="48" t="s">
        <v>173</v>
      </c>
      <c r="C58" s="26" t="s">
        <v>146</v>
      </c>
      <c r="D58" s="12" t="s">
        <v>5</v>
      </c>
      <c r="E58" s="9">
        <v>204000</v>
      </c>
      <c r="F58" s="9">
        <v>26000</v>
      </c>
      <c r="G58" s="39"/>
    </row>
    <row r="59" spans="1:7" x14ac:dyDescent="0.25">
      <c r="A59" s="25" t="str">
        <f>_xlfn.CONCAT(TablaMeta[[#This Row],[AÑO]],TablaMeta[[#This Row],[mes]],TablaMeta[[#This Row],[Equipo]])</f>
        <v>2024AGOSTOJORGE</v>
      </c>
      <c r="B59" s="48" t="s">
        <v>173</v>
      </c>
      <c r="C59" s="26" t="s">
        <v>146</v>
      </c>
      <c r="D59" s="12" t="s">
        <v>2</v>
      </c>
      <c r="E59" s="9">
        <v>150000</v>
      </c>
      <c r="F59" s="9">
        <v>18000</v>
      </c>
      <c r="G59" s="39"/>
    </row>
    <row r="60" spans="1:7" x14ac:dyDescent="0.25">
      <c r="A60" s="25" t="str">
        <f>_xlfn.CONCAT(TablaMeta[[#This Row],[AÑO]],TablaMeta[[#This Row],[mes]],TablaMeta[[#This Row],[Equipo]])</f>
        <v>2024AGOSTOMELITA</v>
      </c>
      <c r="B60" s="48" t="s">
        <v>173</v>
      </c>
      <c r="C60" s="26" t="s">
        <v>146</v>
      </c>
      <c r="D60" s="12" t="s">
        <v>115</v>
      </c>
      <c r="E60" s="9">
        <v>152000</v>
      </c>
      <c r="F60" s="9">
        <v>18000</v>
      </c>
      <c r="G60" s="39"/>
    </row>
    <row r="61" spans="1:7" x14ac:dyDescent="0.25">
      <c r="A61" s="25" t="str">
        <f>_xlfn.CONCAT(TablaMeta[[#This Row],[AÑO]],TablaMeta[[#This Row],[mes]],TablaMeta[[#This Row],[Equipo]])</f>
        <v>2024AGOSTOKENNETH</v>
      </c>
      <c r="B61" s="48" t="s">
        <v>173</v>
      </c>
      <c r="C61" s="26" t="s">
        <v>146</v>
      </c>
      <c r="D61" s="12" t="s">
        <v>6</v>
      </c>
      <c r="E61" s="9">
        <v>224000</v>
      </c>
      <c r="F61" s="9">
        <v>27000</v>
      </c>
      <c r="G61" s="39"/>
    </row>
    <row r="62" spans="1:7" x14ac:dyDescent="0.25">
      <c r="A62" s="25" t="str">
        <f>_xlfn.CONCAT(TablaMeta[[#This Row],[AÑO]],TablaMeta[[#This Row],[mes]],TablaMeta[[#This Row],[Equipo]])</f>
        <v>2024AGOSTOLUIS</v>
      </c>
      <c r="B62" s="49" t="s">
        <v>173</v>
      </c>
      <c r="C62" s="27" t="s">
        <v>146</v>
      </c>
      <c r="D62" s="28" t="s">
        <v>9</v>
      </c>
      <c r="E62" s="29">
        <v>114500</v>
      </c>
      <c r="F62" s="9">
        <v>18000</v>
      </c>
      <c r="G62" s="39"/>
    </row>
    <row r="63" spans="1:7" x14ac:dyDescent="0.25">
      <c r="A63" s="25" t="str">
        <f>_xlfn.CONCAT(TablaMeta[[#This Row],[AÑO]],TablaMeta[[#This Row],[mes]],TablaMeta[[#This Row],[Equipo]])</f>
        <v>2024SETIEMBRESANDY</v>
      </c>
      <c r="B63" s="48" t="s">
        <v>173</v>
      </c>
      <c r="C63" s="26" t="s">
        <v>147</v>
      </c>
      <c r="D63" s="12" t="s">
        <v>3</v>
      </c>
      <c r="E63" s="9">
        <v>490000</v>
      </c>
      <c r="F63" s="9">
        <v>64000</v>
      </c>
      <c r="G63" s="39"/>
    </row>
    <row r="64" spans="1:7" x14ac:dyDescent="0.25">
      <c r="A64" s="25" t="str">
        <f>_xlfn.CONCAT(TablaMeta[[#This Row],[AÑO]],TablaMeta[[#This Row],[mes]],TablaMeta[[#This Row],[Equipo]])</f>
        <v>2024SETIEMBREMELINA</v>
      </c>
      <c r="B64" s="48" t="s">
        <v>173</v>
      </c>
      <c r="C64" s="26" t="s">
        <v>147</v>
      </c>
      <c r="D64" s="12" t="s">
        <v>4</v>
      </c>
      <c r="E64" s="9">
        <v>490000</v>
      </c>
      <c r="F64" s="9">
        <v>64000</v>
      </c>
      <c r="G64" s="39"/>
    </row>
    <row r="65" spans="1:7" x14ac:dyDescent="0.25">
      <c r="A65" s="25" t="str">
        <f>_xlfn.CONCAT(TablaMeta[[#This Row],[AÑO]],TablaMeta[[#This Row],[mes]],TablaMeta[[#This Row],[Equipo]])</f>
        <v>2024SETIEMBREJORDAN</v>
      </c>
      <c r="B65" s="48" t="s">
        <v>173</v>
      </c>
      <c r="C65" s="26" t="s">
        <v>147</v>
      </c>
      <c r="D65" s="12" t="s">
        <v>5</v>
      </c>
      <c r="E65" s="9">
        <v>194000</v>
      </c>
      <c r="F65" s="9">
        <v>23000</v>
      </c>
      <c r="G65" s="39"/>
    </row>
    <row r="66" spans="1:7" x14ac:dyDescent="0.25">
      <c r="A66" s="25" t="str">
        <f>_xlfn.CONCAT(TablaMeta[[#This Row],[AÑO]],TablaMeta[[#This Row],[mes]],TablaMeta[[#This Row],[Equipo]])</f>
        <v>2024SETIEMBREJORGE</v>
      </c>
      <c r="B66" s="48" t="s">
        <v>173</v>
      </c>
      <c r="C66" s="26" t="s">
        <v>147</v>
      </c>
      <c r="D66" s="12" t="s">
        <v>2</v>
      </c>
      <c r="E66" s="9">
        <v>150000</v>
      </c>
      <c r="F66" s="9">
        <v>16000</v>
      </c>
      <c r="G66" s="39"/>
    </row>
    <row r="67" spans="1:7" x14ac:dyDescent="0.25">
      <c r="A67" s="25" t="str">
        <f>_xlfn.CONCAT(TablaMeta[[#This Row],[AÑO]],TablaMeta[[#This Row],[mes]],TablaMeta[[#This Row],[Equipo]])</f>
        <v>2024SETIEMBREMELITA</v>
      </c>
      <c r="B67" s="48" t="s">
        <v>173</v>
      </c>
      <c r="C67" s="26" t="s">
        <v>147</v>
      </c>
      <c r="D67" s="12" t="s">
        <v>115</v>
      </c>
      <c r="E67" s="9">
        <v>111800</v>
      </c>
      <c r="F67" s="9">
        <v>14000</v>
      </c>
      <c r="G67" s="39"/>
    </row>
    <row r="68" spans="1:7" x14ac:dyDescent="0.25">
      <c r="A68" s="25" t="str">
        <f>_xlfn.CONCAT(TablaMeta[[#This Row],[AÑO]],TablaMeta[[#This Row],[mes]],TablaMeta[[#This Row],[Equipo]])</f>
        <v>2024SETIEMBREKENNETH</v>
      </c>
      <c r="B68" s="48" t="s">
        <v>173</v>
      </c>
      <c r="C68" s="26" t="s">
        <v>147</v>
      </c>
      <c r="D68" s="12" t="s">
        <v>6</v>
      </c>
      <c r="E68" s="9">
        <v>224000</v>
      </c>
      <c r="F68" s="9">
        <v>24000</v>
      </c>
      <c r="G68" s="39"/>
    </row>
    <row r="69" spans="1:7" x14ac:dyDescent="0.25">
      <c r="A69" s="25" t="str">
        <f>_xlfn.CONCAT(TablaMeta[[#This Row],[AÑO]],TablaMeta[[#This Row],[mes]],TablaMeta[[#This Row],[Equipo]])</f>
        <v>2024SETIEMBRELUIS</v>
      </c>
      <c r="B69" s="49" t="s">
        <v>173</v>
      </c>
      <c r="C69" s="27" t="s">
        <v>147</v>
      </c>
      <c r="D69" s="28" t="s">
        <v>9</v>
      </c>
      <c r="E69" s="29">
        <v>78500</v>
      </c>
      <c r="F69" s="9">
        <v>13000</v>
      </c>
      <c r="G69" s="39"/>
    </row>
    <row r="70" spans="1:7" x14ac:dyDescent="0.25">
      <c r="A70" s="25" t="str">
        <f>_xlfn.CONCAT(TablaMeta[[#This Row],[AÑO]],TablaMeta[[#This Row],[mes]],TablaMeta[[#This Row],[Equipo]])</f>
        <v>2024OCTUBRESANDY</v>
      </c>
      <c r="B70" s="48" t="s">
        <v>173</v>
      </c>
      <c r="C70" s="26" t="s">
        <v>148</v>
      </c>
      <c r="D70" s="12" t="s">
        <v>3</v>
      </c>
      <c r="E70" s="9">
        <v>584000</v>
      </c>
      <c r="F70" s="9">
        <v>68000</v>
      </c>
      <c r="G70" s="39"/>
    </row>
    <row r="71" spans="1:7" x14ac:dyDescent="0.25">
      <c r="A71" s="25" t="str">
        <f>_xlfn.CONCAT(TablaMeta[[#This Row],[AÑO]],TablaMeta[[#This Row],[mes]],TablaMeta[[#This Row],[Equipo]])</f>
        <v>2024OCTUBREMELINA</v>
      </c>
      <c r="B71" s="48" t="s">
        <v>173</v>
      </c>
      <c r="C71" s="26" t="s">
        <v>148</v>
      </c>
      <c r="D71" s="12" t="s">
        <v>4</v>
      </c>
      <c r="E71" s="9">
        <v>584000</v>
      </c>
      <c r="F71" s="9">
        <v>68000</v>
      </c>
      <c r="G71" s="39"/>
    </row>
    <row r="72" spans="1:7" x14ac:dyDescent="0.25">
      <c r="A72" s="25" t="str">
        <f>_xlfn.CONCAT(TablaMeta[[#This Row],[AÑO]],TablaMeta[[#This Row],[mes]],TablaMeta[[#This Row],[Equipo]])</f>
        <v>2024OCTUBREJORDAN</v>
      </c>
      <c r="B72" s="48" t="s">
        <v>173</v>
      </c>
      <c r="C72" s="26" t="s">
        <v>148</v>
      </c>
      <c r="D72" s="12" t="s">
        <v>5</v>
      </c>
      <c r="E72" s="9">
        <v>194000</v>
      </c>
      <c r="F72" s="9">
        <v>21000</v>
      </c>
      <c r="G72" s="39"/>
    </row>
    <row r="73" spans="1:7" x14ac:dyDescent="0.25">
      <c r="A73" s="25" t="str">
        <f>_xlfn.CONCAT(TablaMeta[[#This Row],[AÑO]],TablaMeta[[#This Row],[mes]],TablaMeta[[#This Row],[Equipo]])</f>
        <v>2024OCTUBREJORGE</v>
      </c>
      <c r="B73" s="48" t="s">
        <v>173</v>
      </c>
      <c r="C73" s="26" t="s">
        <v>148</v>
      </c>
      <c r="D73" s="12" t="s">
        <v>2</v>
      </c>
      <c r="E73" s="9">
        <v>150000</v>
      </c>
      <c r="F73" s="9">
        <v>17500</v>
      </c>
      <c r="G73" s="39"/>
    </row>
    <row r="74" spans="1:7" x14ac:dyDescent="0.25">
      <c r="A74" s="25" t="str">
        <f>_xlfn.CONCAT(TablaMeta[[#This Row],[AÑO]],TablaMeta[[#This Row],[mes]],TablaMeta[[#This Row],[Equipo]])</f>
        <v>2024OCTUBREMELITA</v>
      </c>
      <c r="B74" s="48" t="s">
        <v>173</v>
      </c>
      <c r="C74" s="26" t="s">
        <v>148</v>
      </c>
      <c r="D74" s="12" t="s">
        <v>115</v>
      </c>
      <c r="E74" s="9">
        <v>111800</v>
      </c>
      <c r="F74" s="9">
        <v>15000</v>
      </c>
      <c r="G74" s="39"/>
    </row>
    <row r="75" spans="1:7" x14ac:dyDescent="0.25">
      <c r="A75" s="25" t="str">
        <f>_xlfn.CONCAT(TablaMeta[[#This Row],[AÑO]],TablaMeta[[#This Row],[mes]],TablaMeta[[#This Row],[Equipo]])</f>
        <v>2024OCTUBREKENNETH</v>
      </c>
      <c r="B75" s="48" t="s">
        <v>173</v>
      </c>
      <c r="C75" s="26" t="s">
        <v>148</v>
      </c>
      <c r="D75" s="12" t="s">
        <v>6</v>
      </c>
      <c r="E75" s="9">
        <v>224000</v>
      </c>
      <c r="F75" s="9">
        <v>20500</v>
      </c>
      <c r="G75" s="39"/>
    </row>
    <row r="76" spans="1:7" x14ac:dyDescent="0.25">
      <c r="A76" s="25" t="str">
        <f>_xlfn.CONCAT(TablaMeta[[#This Row],[AÑO]],TablaMeta[[#This Row],[mes]],TablaMeta[[#This Row],[Equipo]])</f>
        <v>2024OCTUBRELUIS</v>
      </c>
      <c r="B76" s="49" t="s">
        <v>173</v>
      </c>
      <c r="C76" s="27" t="s">
        <v>148</v>
      </c>
      <c r="D76" s="28" t="s">
        <v>9</v>
      </c>
      <c r="E76" s="29">
        <v>78500</v>
      </c>
      <c r="F76" s="9">
        <v>13000</v>
      </c>
      <c r="G76" s="39"/>
    </row>
    <row r="77" spans="1:7" x14ac:dyDescent="0.25">
      <c r="A77" s="25" t="str">
        <f>_xlfn.CONCAT(TablaMeta[[#This Row],[AÑO]],TablaMeta[[#This Row],[mes]],TablaMeta[[#This Row],[Equipo]])</f>
        <v>2024NOVIEMBRESANDY</v>
      </c>
      <c r="B77" s="48" t="s">
        <v>173</v>
      </c>
      <c r="C77" s="26" t="s">
        <v>149</v>
      </c>
      <c r="D77" s="12" t="s">
        <v>3</v>
      </c>
      <c r="E77" s="9">
        <v>646000</v>
      </c>
      <c r="F77" s="9">
        <v>68000</v>
      </c>
      <c r="G77" s="39"/>
    </row>
    <row r="78" spans="1:7" x14ac:dyDescent="0.25">
      <c r="A78" s="25" t="str">
        <f>_xlfn.CONCAT(TablaMeta[[#This Row],[AÑO]],TablaMeta[[#This Row],[mes]],TablaMeta[[#This Row],[Equipo]])</f>
        <v>2024NOVIEMBREMELINA</v>
      </c>
      <c r="B78" s="48" t="s">
        <v>173</v>
      </c>
      <c r="C78" s="26" t="s">
        <v>149</v>
      </c>
      <c r="D78" s="12" t="s">
        <v>4</v>
      </c>
      <c r="E78" s="9">
        <v>646000</v>
      </c>
      <c r="F78" s="9">
        <v>68000</v>
      </c>
      <c r="G78" s="39"/>
    </row>
    <row r="79" spans="1:7" x14ac:dyDescent="0.25">
      <c r="A79" s="25" t="str">
        <f>_xlfn.CONCAT(TablaMeta[[#This Row],[AÑO]],TablaMeta[[#This Row],[mes]],TablaMeta[[#This Row],[Equipo]])</f>
        <v>2024NOVIEMBREJORDAN</v>
      </c>
      <c r="B79" s="48" t="s">
        <v>173</v>
      </c>
      <c r="C79" s="26" t="s">
        <v>149</v>
      </c>
      <c r="D79" s="12" t="s">
        <v>5</v>
      </c>
      <c r="E79" s="9">
        <v>194000</v>
      </c>
      <c r="F79" s="9">
        <v>23000</v>
      </c>
      <c r="G79" s="39"/>
    </row>
    <row r="80" spans="1:7" x14ac:dyDescent="0.25">
      <c r="A80" s="25" t="str">
        <f>_xlfn.CONCAT(TablaMeta[[#This Row],[AÑO]],TablaMeta[[#This Row],[mes]],TablaMeta[[#This Row],[Equipo]])</f>
        <v>2024NOVIEMBREJORGE</v>
      </c>
      <c r="B80" s="48" t="s">
        <v>173</v>
      </c>
      <c r="C80" s="26" t="s">
        <v>149</v>
      </c>
      <c r="D80" s="12" t="s">
        <v>2</v>
      </c>
      <c r="E80" s="9">
        <v>150000</v>
      </c>
      <c r="F80" s="9">
        <v>25000</v>
      </c>
      <c r="G80" s="39"/>
    </row>
    <row r="81" spans="1:7" x14ac:dyDescent="0.25">
      <c r="A81" s="25" t="str">
        <f>_xlfn.CONCAT(TablaMeta[[#This Row],[AÑO]],TablaMeta[[#This Row],[mes]],TablaMeta[[#This Row],[Equipo]])</f>
        <v>2024NOVIEMBREMELITA</v>
      </c>
      <c r="B81" s="48" t="s">
        <v>173</v>
      </c>
      <c r="C81" s="26" t="s">
        <v>149</v>
      </c>
      <c r="D81" s="12" t="s">
        <v>115</v>
      </c>
      <c r="E81" s="9">
        <v>111800</v>
      </c>
      <c r="F81" s="9">
        <v>17000</v>
      </c>
      <c r="G81" s="39"/>
    </row>
    <row r="82" spans="1:7" x14ac:dyDescent="0.25">
      <c r="A82" s="25" t="str">
        <f>_xlfn.CONCAT(TablaMeta[[#This Row],[AÑO]],TablaMeta[[#This Row],[mes]],TablaMeta[[#This Row],[Equipo]])</f>
        <v>2024NOVIEMBREKENNETH</v>
      </c>
      <c r="B82" s="48" t="s">
        <v>173</v>
      </c>
      <c r="C82" s="26" t="s">
        <v>149</v>
      </c>
      <c r="D82" s="12" t="s">
        <v>6</v>
      </c>
      <c r="E82" s="29">
        <v>224000</v>
      </c>
      <c r="F82" s="9">
        <v>22500</v>
      </c>
      <c r="G82" s="39"/>
    </row>
    <row r="83" spans="1:7" x14ac:dyDescent="0.25">
      <c r="A83" s="25" t="str">
        <f>_xlfn.CONCAT(TablaMeta[[#This Row],[AÑO]],TablaMeta[[#This Row],[mes]],TablaMeta[[#This Row],[Equipo]])</f>
        <v>2024NOVIEMBRELUIS</v>
      </c>
      <c r="B83" s="49" t="s">
        <v>173</v>
      </c>
      <c r="C83" s="27" t="s">
        <v>149</v>
      </c>
      <c r="D83" s="28" t="s">
        <v>9</v>
      </c>
      <c r="E83" s="29">
        <v>78500</v>
      </c>
      <c r="F83" s="9">
        <v>13000</v>
      </c>
      <c r="G83" s="39"/>
    </row>
    <row r="84" spans="1:7" x14ac:dyDescent="0.25">
      <c r="A84" s="25" t="str">
        <f>_xlfn.CONCAT(TablaMeta[[#This Row],[AÑO]],TablaMeta[[#This Row],[mes]],TablaMeta[[#This Row],[Equipo]])</f>
        <v>2024DICIEMBRESANDY</v>
      </c>
      <c r="B84" s="48" t="s">
        <v>173</v>
      </c>
      <c r="C84" s="26" t="s">
        <v>176</v>
      </c>
      <c r="D84" s="12" t="s">
        <v>3</v>
      </c>
      <c r="E84" s="9">
        <v>453000</v>
      </c>
      <c r="F84" s="9">
        <v>60000</v>
      </c>
      <c r="G84" s="39"/>
    </row>
    <row r="85" spans="1:7" x14ac:dyDescent="0.25">
      <c r="A85" s="25" t="str">
        <f>_xlfn.CONCAT(TablaMeta[[#This Row],[AÑO]],TablaMeta[[#This Row],[mes]],TablaMeta[[#This Row],[Equipo]])</f>
        <v>2024DICIEMBREMELINA</v>
      </c>
      <c r="B85" s="48" t="s">
        <v>173</v>
      </c>
      <c r="C85" s="26" t="s">
        <v>176</v>
      </c>
      <c r="D85" s="12" t="s">
        <v>4</v>
      </c>
      <c r="E85" s="9">
        <v>453000</v>
      </c>
      <c r="F85" s="9">
        <v>60000</v>
      </c>
      <c r="G85" s="39"/>
    </row>
    <row r="86" spans="1:7" x14ac:dyDescent="0.25">
      <c r="A86" s="25" t="str">
        <f>_xlfn.CONCAT(TablaMeta[[#This Row],[AÑO]],TablaMeta[[#This Row],[mes]],TablaMeta[[#This Row],[Equipo]])</f>
        <v>2024DICIEMBREJORDAN</v>
      </c>
      <c r="B86" s="48" t="s">
        <v>173</v>
      </c>
      <c r="C86" s="26" t="s">
        <v>176</v>
      </c>
      <c r="D86" s="12" t="s">
        <v>5</v>
      </c>
      <c r="E86" s="9">
        <v>453000</v>
      </c>
      <c r="F86" s="9">
        <v>60000</v>
      </c>
      <c r="G86" s="39"/>
    </row>
    <row r="87" spans="1:7" x14ac:dyDescent="0.25">
      <c r="A87" s="25" t="str">
        <f>_xlfn.CONCAT(TablaMeta[[#This Row],[AÑO]],TablaMeta[[#This Row],[mes]],TablaMeta[[#This Row],[Equipo]])</f>
        <v>2024DICIEMBREJORGE</v>
      </c>
      <c r="B87" s="48" t="s">
        <v>173</v>
      </c>
      <c r="C87" s="26" t="s">
        <v>176</v>
      </c>
      <c r="D87" s="12" t="s">
        <v>2</v>
      </c>
      <c r="E87" s="9">
        <v>194000</v>
      </c>
      <c r="F87" s="9">
        <v>22500</v>
      </c>
      <c r="G87" s="39"/>
    </row>
    <row r="88" spans="1:7" x14ac:dyDescent="0.25">
      <c r="A88" s="25" t="str">
        <f>_xlfn.CONCAT(TablaMeta[[#This Row],[AÑO]],TablaMeta[[#This Row],[mes]],TablaMeta[[#This Row],[Equipo]])</f>
        <v>2024DICIEMBREMELITA</v>
      </c>
      <c r="B88" s="48" t="s">
        <v>173</v>
      </c>
      <c r="C88" s="26" t="s">
        <v>176</v>
      </c>
      <c r="D88" s="12" t="s">
        <v>115</v>
      </c>
      <c r="E88" s="9">
        <v>111800</v>
      </c>
      <c r="F88" s="9">
        <v>17000</v>
      </c>
      <c r="G88" s="39"/>
    </row>
    <row r="89" spans="1:7" x14ac:dyDescent="0.25">
      <c r="A89" s="25" t="str">
        <f>_xlfn.CONCAT(TablaMeta[[#This Row],[AÑO]],TablaMeta[[#This Row],[mes]],TablaMeta[[#This Row],[Equipo]])</f>
        <v>2024DICIEMBREKENNETH</v>
      </c>
      <c r="B89" s="48" t="s">
        <v>173</v>
      </c>
      <c r="C89" s="26" t="s">
        <v>176</v>
      </c>
      <c r="D89" s="12" t="s">
        <v>6</v>
      </c>
      <c r="E89" s="9">
        <v>224000</v>
      </c>
      <c r="F89" s="9">
        <v>20500</v>
      </c>
      <c r="G89" s="39"/>
    </row>
    <row r="90" spans="1:7" x14ac:dyDescent="0.25">
      <c r="A90" s="25" t="str">
        <f>_xlfn.CONCAT(TablaMeta[[#This Row],[AÑO]],TablaMeta[[#This Row],[mes]],TablaMeta[[#This Row],[Equipo]])</f>
        <v>2024DICIEMBRELUIS</v>
      </c>
      <c r="B90" s="49" t="s">
        <v>173</v>
      </c>
      <c r="C90" s="27" t="s">
        <v>176</v>
      </c>
      <c r="D90" s="28" t="s">
        <v>9</v>
      </c>
      <c r="E90" s="29">
        <v>228500</v>
      </c>
      <c r="F90" s="9">
        <v>26500</v>
      </c>
      <c r="G90" s="39"/>
    </row>
    <row r="91" spans="1:7" x14ac:dyDescent="0.25">
      <c r="A91" s="25" t="str">
        <f>_xlfn.CONCAT(TablaMeta[[#This Row],[AÑO]],TablaMeta[[#This Row],[mes]],TablaMeta[[#This Row],[Equipo]])</f>
        <v>2025ENEROSANDY</v>
      </c>
      <c r="B91" s="48" t="s">
        <v>171</v>
      </c>
      <c r="C91" s="26" t="s">
        <v>139</v>
      </c>
      <c r="D91" s="12" t="s">
        <v>3</v>
      </c>
      <c r="E91" s="9">
        <v>439600</v>
      </c>
      <c r="F91" s="9">
        <v>58000</v>
      </c>
      <c r="G91" s="39" t="s">
        <v>150</v>
      </c>
    </row>
    <row r="92" spans="1:7" x14ac:dyDescent="0.25">
      <c r="A92" s="25" t="str">
        <f>_xlfn.CONCAT(TablaMeta[[#This Row],[AÑO]],TablaMeta[[#This Row],[mes]],TablaMeta[[#This Row],[Equipo]])</f>
        <v>2025ENEROMELINA</v>
      </c>
      <c r="B92" s="48" t="s">
        <v>171</v>
      </c>
      <c r="C92" s="26" t="s">
        <v>139</v>
      </c>
      <c r="D92" s="12" t="s">
        <v>4</v>
      </c>
      <c r="E92" s="9">
        <v>439600</v>
      </c>
      <c r="F92" s="9">
        <v>58000</v>
      </c>
      <c r="G92" s="39" t="s">
        <v>150</v>
      </c>
    </row>
    <row r="93" spans="1:7" x14ac:dyDescent="0.25">
      <c r="A93" s="25" t="str">
        <f>_xlfn.CONCAT(TablaMeta[[#This Row],[AÑO]],TablaMeta[[#This Row],[mes]],TablaMeta[[#This Row],[Equipo]])</f>
        <v>2025ENEROJORDAN</v>
      </c>
      <c r="B93" s="48" t="s">
        <v>171</v>
      </c>
      <c r="C93" s="26" t="s">
        <v>139</v>
      </c>
      <c r="D93" s="12" t="s">
        <v>5</v>
      </c>
      <c r="E93" s="9">
        <v>439600</v>
      </c>
      <c r="F93" s="9">
        <v>58000</v>
      </c>
      <c r="G93" s="39" t="s">
        <v>150</v>
      </c>
    </row>
    <row r="94" spans="1:7" x14ac:dyDescent="0.25">
      <c r="A94" s="25" t="str">
        <f>_xlfn.CONCAT(TablaMeta[[#This Row],[AÑO]],TablaMeta[[#This Row],[mes]],TablaMeta[[#This Row],[Equipo]])</f>
        <v>2025ENEROJORGE</v>
      </c>
      <c r="B94" s="48" t="s">
        <v>171</v>
      </c>
      <c r="C94" s="26" t="s">
        <v>139</v>
      </c>
      <c r="D94" s="12" t="s">
        <v>2</v>
      </c>
      <c r="E94" s="9">
        <v>174200</v>
      </c>
      <c r="F94" s="9">
        <v>22000</v>
      </c>
      <c r="G94" s="39" t="s">
        <v>151</v>
      </c>
    </row>
    <row r="95" spans="1:7" x14ac:dyDescent="0.25">
      <c r="A95" s="25" t="str">
        <f>_xlfn.CONCAT(TablaMeta[[#This Row],[AÑO]],TablaMeta[[#This Row],[mes]],TablaMeta[[#This Row],[Equipo]])</f>
        <v>2025ENEROMELITA</v>
      </c>
      <c r="B95" s="48" t="s">
        <v>171</v>
      </c>
      <c r="C95" s="26" t="s">
        <v>139</v>
      </c>
      <c r="D95" s="12" t="s">
        <v>115</v>
      </c>
      <c r="E95" s="9">
        <v>108600</v>
      </c>
      <c r="F95" s="9">
        <v>16500</v>
      </c>
      <c r="G95" s="39" t="s">
        <v>151</v>
      </c>
    </row>
    <row r="96" spans="1:7" x14ac:dyDescent="0.25">
      <c r="A96" s="25" t="str">
        <f>_xlfn.CONCAT(TablaMeta[[#This Row],[AÑO]],TablaMeta[[#This Row],[mes]],TablaMeta[[#This Row],[Equipo]])</f>
        <v>2025ENEROKENNETH</v>
      </c>
      <c r="B96" s="48" t="s">
        <v>171</v>
      </c>
      <c r="C96" s="26" t="s">
        <v>139</v>
      </c>
      <c r="D96" s="12" t="s">
        <v>6</v>
      </c>
      <c r="E96" s="9">
        <v>209900</v>
      </c>
      <c r="F96" s="9">
        <v>21000</v>
      </c>
      <c r="G96" s="39" t="s">
        <v>152</v>
      </c>
    </row>
    <row r="97" spans="1:7" x14ac:dyDescent="0.25">
      <c r="A97" s="25" t="str">
        <f>_xlfn.CONCAT(TablaMeta[[#This Row],[AÑO]],TablaMeta[[#This Row],[mes]],TablaMeta[[#This Row],[Equipo]])</f>
        <v>2025ENEROLUIS</v>
      </c>
      <c r="B97" s="49" t="s">
        <v>171</v>
      </c>
      <c r="C97" s="27" t="s">
        <v>139</v>
      </c>
      <c r="D97" s="28" t="s">
        <v>9</v>
      </c>
      <c r="E97" s="29">
        <v>200500</v>
      </c>
      <c r="F97" s="9">
        <v>21000</v>
      </c>
      <c r="G97" s="39" t="s">
        <v>153</v>
      </c>
    </row>
    <row r="98" spans="1:7" x14ac:dyDescent="0.25">
      <c r="A98" s="25" t="str">
        <f>_xlfn.CONCAT(TablaMeta[[#This Row],[AÑO]],TablaMeta[[#This Row],[mes]],TablaMeta[[#This Row],[Equipo]])</f>
        <v>2025FEBREROSANDY</v>
      </c>
      <c r="B98" s="48" t="s">
        <v>171</v>
      </c>
      <c r="C98" s="26" t="s">
        <v>140</v>
      </c>
      <c r="D98" s="12" t="s">
        <v>3</v>
      </c>
      <c r="E98" s="9">
        <v>499600</v>
      </c>
      <c r="F98" s="9">
        <v>58000</v>
      </c>
      <c r="G98" s="39" t="s">
        <v>150</v>
      </c>
    </row>
    <row r="99" spans="1:7" x14ac:dyDescent="0.25">
      <c r="A99" s="25" t="str">
        <f>_xlfn.CONCAT(TablaMeta[[#This Row],[AÑO]],TablaMeta[[#This Row],[mes]],TablaMeta[[#This Row],[Equipo]])</f>
        <v>2025FEBREROMELINA</v>
      </c>
      <c r="B99" s="48" t="s">
        <v>171</v>
      </c>
      <c r="C99" s="26" t="s">
        <v>140</v>
      </c>
      <c r="D99" s="12" t="s">
        <v>4</v>
      </c>
      <c r="E99" s="9">
        <v>499600</v>
      </c>
      <c r="F99" s="9">
        <v>58000</v>
      </c>
      <c r="G99" s="39" t="s">
        <v>150</v>
      </c>
    </row>
    <row r="100" spans="1:7" x14ac:dyDescent="0.25">
      <c r="A100" s="25" t="str">
        <f>_xlfn.CONCAT(TablaMeta[[#This Row],[AÑO]],TablaMeta[[#This Row],[mes]],TablaMeta[[#This Row],[Equipo]])</f>
        <v>2025FEBREROJORDAN</v>
      </c>
      <c r="B100" s="48" t="s">
        <v>171</v>
      </c>
      <c r="C100" s="26" t="s">
        <v>140</v>
      </c>
      <c r="D100" s="12" t="s">
        <v>5</v>
      </c>
      <c r="E100" s="9">
        <v>499600</v>
      </c>
      <c r="F100" s="9">
        <v>58000</v>
      </c>
      <c r="G100" s="39" t="s">
        <v>150</v>
      </c>
    </row>
    <row r="101" spans="1:7" x14ac:dyDescent="0.25">
      <c r="A101" s="25" t="str">
        <f>_xlfn.CONCAT(TablaMeta[[#This Row],[AÑO]],TablaMeta[[#This Row],[mes]],TablaMeta[[#This Row],[Equipo]])</f>
        <v>2025FEBREROJORGE</v>
      </c>
      <c r="B101" s="48" t="s">
        <v>171</v>
      </c>
      <c r="C101" s="26" t="s">
        <v>140</v>
      </c>
      <c r="D101" s="12" t="s">
        <v>2</v>
      </c>
      <c r="E101" s="9">
        <v>174200</v>
      </c>
      <c r="F101" s="9">
        <v>22000</v>
      </c>
      <c r="G101" s="39" t="s">
        <v>151</v>
      </c>
    </row>
    <row r="102" spans="1:7" x14ac:dyDescent="0.25">
      <c r="A102" s="25" t="str">
        <f>_xlfn.CONCAT(TablaMeta[[#This Row],[AÑO]],TablaMeta[[#This Row],[mes]],TablaMeta[[#This Row],[Equipo]])</f>
        <v>2025FEBREROMELITA</v>
      </c>
      <c r="B102" s="48" t="s">
        <v>171</v>
      </c>
      <c r="C102" s="26" t="s">
        <v>140</v>
      </c>
      <c r="D102" s="12" t="s">
        <v>115</v>
      </c>
      <c r="E102" s="9">
        <v>108600</v>
      </c>
      <c r="F102" s="9">
        <v>16500</v>
      </c>
      <c r="G102" s="39" t="s">
        <v>154</v>
      </c>
    </row>
    <row r="103" spans="1:7" x14ac:dyDescent="0.25">
      <c r="A103" s="25" t="str">
        <f>_xlfn.CONCAT(TablaMeta[[#This Row],[AÑO]],TablaMeta[[#This Row],[mes]],TablaMeta[[#This Row],[Equipo]])</f>
        <v>2025FEBREROKENNETH</v>
      </c>
      <c r="B103" s="48" t="s">
        <v>171</v>
      </c>
      <c r="C103" s="26" t="s">
        <v>140</v>
      </c>
      <c r="D103" s="12" t="s">
        <v>6</v>
      </c>
      <c r="E103" s="9">
        <v>209900</v>
      </c>
      <c r="F103" s="9">
        <v>21000</v>
      </c>
      <c r="G103" s="39" t="s">
        <v>152</v>
      </c>
    </row>
    <row r="104" spans="1:7" x14ac:dyDescent="0.25">
      <c r="A104" s="25" t="str">
        <f>_xlfn.CONCAT(TablaMeta[[#This Row],[AÑO]],TablaMeta[[#This Row],[mes]],TablaMeta[[#This Row],[Equipo]])</f>
        <v>2025FEBREROLUIS</v>
      </c>
      <c r="B104" s="49" t="s">
        <v>171</v>
      </c>
      <c r="C104" s="27" t="s">
        <v>140</v>
      </c>
      <c r="D104" s="28" t="s">
        <v>9</v>
      </c>
      <c r="E104" s="29">
        <v>200500</v>
      </c>
      <c r="F104" s="9">
        <v>21000</v>
      </c>
      <c r="G104" s="39" t="s">
        <v>153</v>
      </c>
    </row>
    <row r="105" spans="1:7" x14ac:dyDescent="0.25">
      <c r="A105" s="25" t="str">
        <f>_xlfn.CONCAT(TablaMeta[[#This Row],[AÑO]],TablaMeta[[#This Row],[mes]],TablaMeta[[#This Row],[Equipo]])</f>
        <v>2025MARZOSANDY</v>
      </c>
      <c r="B105" s="48" t="s">
        <v>171</v>
      </c>
      <c r="C105" s="26" t="s">
        <v>141</v>
      </c>
      <c r="D105" s="12" t="s">
        <v>3</v>
      </c>
      <c r="E105" s="9">
        <v>531100</v>
      </c>
      <c r="F105" s="9">
        <v>62000</v>
      </c>
      <c r="G105" s="39" t="s">
        <v>150</v>
      </c>
    </row>
    <row r="106" spans="1:7" x14ac:dyDescent="0.25">
      <c r="A106" s="25" t="str">
        <f>_xlfn.CONCAT(TablaMeta[[#This Row],[AÑO]],TablaMeta[[#This Row],[mes]],TablaMeta[[#This Row],[Equipo]])</f>
        <v>2025MARZOMELINA</v>
      </c>
      <c r="B106" s="48" t="s">
        <v>171</v>
      </c>
      <c r="C106" s="26" t="s">
        <v>141</v>
      </c>
      <c r="D106" s="12" t="s">
        <v>4</v>
      </c>
      <c r="E106" s="9">
        <v>531100</v>
      </c>
      <c r="F106" s="9">
        <v>62000</v>
      </c>
      <c r="G106" s="39" t="s">
        <v>150</v>
      </c>
    </row>
    <row r="107" spans="1:7" x14ac:dyDescent="0.25">
      <c r="A107" s="25" t="str">
        <f>_xlfn.CONCAT(TablaMeta[[#This Row],[AÑO]],TablaMeta[[#This Row],[mes]],TablaMeta[[#This Row],[Equipo]])</f>
        <v>2025MARZOJORDAN</v>
      </c>
      <c r="B107" s="48" t="s">
        <v>171</v>
      </c>
      <c r="C107" s="26" t="s">
        <v>141</v>
      </c>
      <c r="D107" s="12" t="s">
        <v>5</v>
      </c>
      <c r="E107" s="9">
        <v>531100</v>
      </c>
      <c r="F107" s="9">
        <v>62000</v>
      </c>
      <c r="G107" s="39" t="s">
        <v>150</v>
      </c>
    </row>
    <row r="108" spans="1:7" x14ac:dyDescent="0.25">
      <c r="A108" s="25" t="str">
        <f>_xlfn.CONCAT(TablaMeta[[#This Row],[AÑO]],TablaMeta[[#This Row],[mes]],TablaMeta[[#This Row],[Equipo]])</f>
        <v>2025MARZOJORGE</v>
      </c>
      <c r="B108" s="48" t="s">
        <v>171</v>
      </c>
      <c r="C108" s="26" t="s">
        <v>141</v>
      </c>
      <c r="D108" s="12" t="s">
        <v>2</v>
      </c>
      <c r="E108" s="9">
        <v>174200</v>
      </c>
      <c r="F108" s="9">
        <v>24000</v>
      </c>
      <c r="G108" s="39" t="s">
        <v>151</v>
      </c>
    </row>
    <row r="109" spans="1:7" x14ac:dyDescent="0.25">
      <c r="A109" s="25" t="str">
        <f>_xlfn.CONCAT(TablaMeta[[#This Row],[AÑO]],TablaMeta[[#This Row],[mes]],TablaMeta[[#This Row],[Equipo]])</f>
        <v>2025MARZOMELITA</v>
      </c>
      <c r="B109" s="48" t="s">
        <v>171</v>
      </c>
      <c r="C109" s="26" t="s">
        <v>141</v>
      </c>
      <c r="D109" s="12" t="s">
        <v>115</v>
      </c>
      <c r="E109" s="9">
        <v>108600</v>
      </c>
      <c r="F109" s="9">
        <v>16500</v>
      </c>
      <c r="G109" s="39" t="s">
        <v>154</v>
      </c>
    </row>
    <row r="110" spans="1:7" x14ac:dyDescent="0.25">
      <c r="A110" s="25" t="str">
        <f>_xlfn.CONCAT(TablaMeta[[#This Row],[AÑO]],TablaMeta[[#This Row],[mes]],TablaMeta[[#This Row],[Equipo]])</f>
        <v>2025MARZOKENNETH</v>
      </c>
      <c r="B110" s="48" t="s">
        <v>171</v>
      </c>
      <c r="C110" s="26" t="s">
        <v>141</v>
      </c>
      <c r="D110" s="12" t="s">
        <v>6</v>
      </c>
      <c r="E110" s="9">
        <v>209900</v>
      </c>
      <c r="F110" s="9">
        <v>21000</v>
      </c>
      <c r="G110" s="39" t="s">
        <v>152</v>
      </c>
    </row>
    <row r="111" spans="1:7" x14ac:dyDescent="0.25">
      <c r="A111" s="25" t="str">
        <f>_xlfn.CONCAT(TablaMeta[[#This Row],[AÑO]],TablaMeta[[#This Row],[mes]],TablaMeta[[#This Row],[Equipo]])</f>
        <v>2025MARZOLUIS</v>
      </c>
      <c r="B111" s="49" t="s">
        <v>171</v>
      </c>
      <c r="C111" s="27" t="s">
        <v>141</v>
      </c>
      <c r="D111" s="28" t="s">
        <v>9</v>
      </c>
      <c r="E111" s="29">
        <v>200500</v>
      </c>
      <c r="F111" s="9">
        <v>21000</v>
      </c>
      <c r="G111" s="39" t="s">
        <v>153</v>
      </c>
    </row>
    <row r="112" spans="1:7" x14ac:dyDescent="0.25">
      <c r="A112" s="25" t="str">
        <f>_xlfn.CONCAT(TablaMeta[[#This Row],[AÑO]],TablaMeta[[#This Row],[mes]],TablaMeta[[#This Row],[Equipo]])</f>
        <v>2025ABRILSANDY</v>
      </c>
      <c r="B112" s="48" t="s">
        <v>171</v>
      </c>
      <c r="C112" s="26" t="s">
        <v>142</v>
      </c>
      <c r="D112" s="12" t="s">
        <v>3</v>
      </c>
      <c r="E112" s="9">
        <v>437325</v>
      </c>
      <c r="F112" s="9">
        <v>57000</v>
      </c>
      <c r="G112" s="39" t="s">
        <v>150</v>
      </c>
    </row>
    <row r="113" spans="1:7" x14ac:dyDescent="0.25">
      <c r="A113" s="25" t="str">
        <f>_xlfn.CONCAT(TablaMeta[[#This Row],[AÑO]],TablaMeta[[#This Row],[mes]],TablaMeta[[#This Row],[Equipo]])</f>
        <v>2025ABRILLUIS</v>
      </c>
      <c r="B113" s="48" t="s">
        <v>171</v>
      </c>
      <c r="C113" s="26" t="s">
        <v>142</v>
      </c>
      <c r="D113" s="12" t="s">
        <v>9</v>
      </c>
      <c r="E113" s="9">
        <v>437325</v>
      </c>
      <c r="F113" s="9">
        <v>57000</v>
      </c>
      <c r="G113" s="39" t="s">
        <v>150</v>
      </c>
    </row>
    <row r="114" spans="1:7" x14ac:dyDescent="0.25">
      <c r="A114" s="25" t="str">
        <f>_xlfn.CONCAT(TablaMeta[[#This Row],[AÑO]],TablaMeta[[#This Row],[mes]],TablaMeta[[#This Row],[Equipo]])</f>
        <v>2025ABRILJORDAN</v>
      </c>
      <c r="B114" s="48" t="s">
        <v>171</v>
      </c>
      <c r="C114" s="26" t="s">
        <v>142</v>
      </c>
      <c r="D114" s="12" t="s">
        <v>5</v>
      </c>
      <c r="E114" s="9">
        <v>437325</v>
      </c>
      <c r="F114" s="9">
        <v>57000</v>
      </c>
      <c r="G114" s="39" t="s">
        <v>150</v>
      </c>
    </row>
    <row r="115" spans="1:7" x14ac:dyDescent="0.25">
      <c r="A115" s="25" t="str">
        <f>_xlfn.CONCAT(TablaMeta[[#This Row],[AÑO]],TablaMeta[[#This Row],[mes]],TablaMeta[[#This Row],[Equipo]])</f>
        <v>2025ABRILJORGE</v>
      </c>
      <c r="B115" s="48" t="s">
        <v>171</v>
      </c>
      <c r="C115" s="26" t="s">
        <v>142</v>
      </c>
      <c r="D115" s="12" t="s">
        <v>2</v>
      </c>
      <c r="E115" s="9">
        <v>437325</v>
      </c>
      <c r="F115" s="9">
        <v>57000</v>
      </c>
      <c r="G115" s="39" t="s">
        <v>150</v>
      </c>
    </row>
    <row r="116" spans="1:7" x14ac:dyDescent="0.25">
      <c r="A116" s="25" t="str">
        <f>_xlfn.CONCAT(TablaMeta[[#This Row],[AÑO]],TablaMeta[[#This Row],[mes]],TablaMeta[[#This Row],[Equipo]])</f>
        <v>2025ABRILGUSTAVO</v>
      </c>
      <c r="B116" s="48" t="s">
        <v>171</v>
      </c>
      <c r="C116" s="26" t="s">
        <v>142</v>
      </c>
      <c r="D116" s="12" t="s">
        <v>124</v>
      </c>
      <c r="E116" s="9">
        <v>171900</v>
      </c>
      <c r="F116" s="9">
        <v>20500</v>
      </c>
      <c r="G116" s="39" t="s">
        <v>153</v>
      </c>
    </row>
    <row r="117" spans="1:7" x14ac:dyDescent="0.25">
      <c r="A117" s="25" t="str">
        <f>_xlfn.CONCAT(TablaMeta[[#This Row],[AÑO]],TablaMeta[[#This Row],[mes]],TablaMeta[[#This Row],[Equipo]])</f>
        <v>2025ABRILKENNETH</v>
      </c>
      <c r="B117" s="48" t="s">
        <v>171</v>
      </c>
      <c r="C117" s="26" t="s">
        <v>142</v>
      </c>
      <c r="D117" s="12" t="s">
        <v>6</v>
      </c>
      <c r="E117" s="9">
        <v>257600</v>
      </c>
      <c r="F117" s="9">
        <v>26000</v>
      </c>
      <c r="G117" s="39" t="s">
        <v>152</v>
      </c>
    </row>
    <row r="118" spans="1:7" x14ac:dyDescent="0.25">
      <c r="A118" s="25" t="str">
        <f>_xlfn.CONCAT(TablaMeta[[#This Row],[AÑO]],TablaMeta[[#This Row],[mes]],TablaMeta[[#This Row],[Equipo]])</f>
        <v>2025ABRILJOHAN</v>
      </c>
      <c r="B118" s="49" t="s">
        <v>171</v>
      </c>
      <c r="C118" s="27" t="s">
        <v>142</v>
      </c>
      <c r="D118" s="28" t="s">
        <v>125</v>
      </c>
      <c r="E118" s="29">
        <v>171900</v>
      </c>
      <c r="F118" s="9">
        <v>20500</v>
      </c>
      <c r="G118" s="39" t="s">
        <v>153</v>
      </c>
    </row>
    <row r="119" spans="1:7" x14ac:dyDescent="0.25">
      <c r="A119" s="25" t="str">
        <f>_xlfn.CONCAT(TablaMeta[[#This Row],[AÑO]],TablaMeta[[#This Row],[mes]],TablaMeta[[#This Row],[Equipo]])</f>
        <v>2025ABRILBRYAN</v>
      </c>
      <c r="B119" s="49" t="s">
        <v>171</v>
      </c>
      <c r="C119" s="27" t="s">
        <v>142</v>
      </c>
      <c r="D119" s="28" t="s">
        <v>8</v>
      </c>
      <c r="E119" s="29">
        <v>171900</v>
      </c>
      <c r="F119" s="9">
        <v>20500</v>
      </c>
      <c r="G119" s="39" t="s">
        <v>153</v>
      </c>
    </row>
    <row r="120" spans="1:7" x14ac:dyDescent="0.25">
      <c r="A120" s="25" t="str">
        <f>_xlfn.CONCAT(TablaMeta[[#This Row],[AÑO]],TablaMeta[[#This Row],[mes]],TablaMeta[[#This Row],[Equipo]])</f>
        <v>2025MAYOSANDY</v>
      </c>
      <c r="B120" s="48" t="s">
        <v>171</v>
      </c>
      <c r="C120" s="26" t="s">
        <v>143</v>
      </c>
      <c r="D120" s="12" t="s">
        <v>3</v>
      </c>
      <c r="E120" s="9">
        <v>495375</v>
      </c>
      <c r="F120" s="9">
        <v>65000</v>
      </c>
      <c r="G120" s="39" t="s">
        <v>150</v>
      </c>
    </row>
    <row r="121" spans="1:7" x14ac:dyDescent="0.25">
      <c r="A121" s="25" t="str">
        <f>_xlfn.CONCAT(TablaMeta[[#This Row],[AÑO]],TablaMeta[[#This Row],[mes]],TablaMeta[[#This Row],[Equipo]])</f>
        <v>2025MAYOMELINA</v>
      </c>
      <c r="B121" s="48" t="s">
        <v>171</v>
      </c>
      <c r="C121" s="26" t="s">
        <v>143</v>
      </c>
      <c r="D121" s="12" t="s">
        <v>4</v>
      </c>
      <c r="E121" s="9">
        <v>495375</v>
      </c>
      <c r="F121" s="9">
        <v>65000</v>
      </c>
      <c r="G121" s="39" t="s">
        <v>150</v>
      </c>
    </row>
    <row r="122" spans="1:7" x14ac:dyDescent="0.25">
      <c r="A122" s="25" t="str">
        <f>_xlfn.CONCAT(TablaMeta[[#This Row],[AÑO]],TablaMeta[[#This Row],[mes]],TablaMeta[[#This Row],[Equipo]])</f>
        <v>2025MAYOJORDAN</v>
      </c>
      <c r="B122" s="48" t="s">
        <v>171</v>
      </c>
      <c r="C122" s="26" t="s">
        <v>143</v>
      </c>
      <c r="D122" s="12" t="s">
        <v>5</v>
      </c>
      <c r="E122" s="9">
        <v>495375</v>
      </c>
      <c r="F122" s="9">
        <v>65000</v>
      </c>
      <c r="G122" s="39" t="s">
        <v>150</v>
      </c>
    </row>
    <row r="123" spans="1:7" x14ac:dyDescent="0.25">
      <c r="A123" s="25" t="str">
        <f>_xlfn.CONCAT(TablaMeta[[#This Row],[AÑO]],TablaMeta[[#This Row],[mes]],TablaMeta[[#This Row],[Equipo]])</f>
        <v>2025MAYOJORGE</v>
      </c>
      <c r="B123" s="48" t="s">
        <v>171</v>
      </c>
      <c r="C123" s="26" t="s">
        <v>143</v>
      </c>
      <c r="D123" s="12" t="s">
        <v>2</v>
      </c>
      <c r="E123" s="9">
        <v>495375</v>
      </c>
      <c r="F123" s="9">
        <v>65000</v>
      </c>
      <c r="G123" s="39" t="s">
        <v>150</v>
      </c>
    </row>
    <row r="124" spans="1:7" x14ac:dyDescent="0.25">
      <c r="A124" s="25" t="str">
        <f>_xlfn.CONCAT(TablaMeta[[#This Row],[AÑO]],TablaMeta[[#This Row],[mes]],TablaMeta[[#This Row],[Equipo]])</f>
        <v>2025MAYOKENNETH</v>
      </c>
      <c r="B124" s="48" t="s">
        <v>171</v>
      </c>
      <c r="C124" s="26" t="s">
        <v>143</v>
      </c>
      <c r="D124" s="12" t="s">
        <v>6</v>
      </c>
      <c r="E124" s="9">
        <v>258000</v>
      </c>
      <c r="F124" s="9">
        <v>26000</v>
      </c>
      <c r="G124" s="39" t="s">
        <v>152</v>
      </c>
    </row>
    <row r="125" spans="1:7" x14ac:dyDescent="0.25">
      <c r="A125" s="25" t="str">
        <f>_xlfn.CONCAT(TablaMeta[[#This Row],[AÑO]],TablaMeta[[#This Row],[mes]],TablaMeta[[#This Row],[Equipo]])</f>
        <v>2025MAYOLUIS</v>
      </c>
      <c r="B125" s="48" t="s">
        <v>171</v>
      </c>
      <c r="C125" s="26" t="s">
        <v>143</v>
      </c>
      <c r="D125" s="12" t="s">
        <v>9</v>
      </c>
      <c r="E125" s="9">
        <v>166833</v>
      </c>
      <c r="F125" s="9">
        <v>20000</v>
      </c>
      <c r="G125" s="39" t="s">
        <v>153</v>
      </c>
    </row>
    <row r="126" spans="1:7" x14ac:dyDescent="0.25">
      <c r="A126" s="25" t="str">
        <f>_xlfn.CONCAT(TablaMeta[[#This Row],[AÑO]],TablaMeta[[#This Row],[mes]],TablaMeta[[#This Row],[Equipo]])</f>
        <v>2025MAYOJOHAN</v>
      </c>
      <c r="B126" s="48" t="s">
        <v>171</v>
      </c>
      <c r="C126" s="26" t="s">
        <v>143</v>
      </c>
      <c r="D126" s="12" t="s">
        <v>125</v>
      </c>
      <c r="E126" s="9">
        <v>166833</v>
      </c>
      <c r="F126" s="9">
        <v>20000</v>
      </c>
      <c r="G126" s="39" t="s">
        <v>153</v>
      </c>
    </row>
    <row r="127" spans="1:7" x14ac:dyDescent="0.25">
      <c r="A127" s="25" t="str">
        <f>_xlfn.CONCAT(TablaMeta[[#This Row],[AÑO]],TablaMeta[[#This Row],[mes]],TablaMeta[[#This Row],[Equipo]])</f>
        <v>2025MAYOBRYAN</v>
      </c>
      <c r="B127" s="49" t="s">
        <v>171</v>
      </c>
      <c r="C127" s="27" t="s">
        <v>143</v>
      </c>
      <c r="D127" s="28" t="s">
        <v>8</v>
      </c>
      <c r="E127" s="29">
        <v>166833</v>
      </c>
      <c r="F127" s="9">
        <v>20000</v>
      </c>
      <c r="G127" s="39" t="s">
        <v>153</v>
      </c>
    </row>
    <row r="128" spans="1:7" x14ac:dyDescent="0.25">
      <c r="A128" s="25" t="str">
        <f>_xlfn.CONCAT(TablaMeta[[#This Row],[AÑO]],TablaMeta[[#This Row],[mes]],TablaMeta[[#This Row],[Equipo]])</f>
        <v>2025JUNIOSANDY</v>
      </c>
      <c r="B128" s="48" t="s">
        <v>171</v>
      </c>
      <c r="C128" s="26" t="s">
        <v>144</v>
      </c>
      <c r="D128" s="12" t="s">
        <v>3</v>
      </c>
      <c r="E128" s="9">
        <v>495375</v>
      </c>
      <c r="F128" s="9">
        <v>65000</v>
      </c>
      <c r="G128" s="39" t="s">
        <v>150</v>
      </c>
    </row>
    <row r="129" spans="1:7" x14ac:dyDescent="0.25">
      <c r="A129" s="25" t="str">
        <f>_xlfn.CONCAT(TablaMeta[[#This Row],[AÑO]],TablaMeta[[#This Row],[mes]],TablaMeta[[#This Row],[Equipo]])</f>
        <v>2025JUNIOMELINA</v>
      </c>
      <c r="B129" s="48" t="s">
        <v>171</v>
      </c>
      <c r="C129" s="26" t="s">
        <v>144</v>
      </c>
      <c r="D129" s="12" t="s">
        <v>4</v>
      </c>
      <c r="E129" s="9">
        <v>495375</v>
      </c>
      <c r="F129" s="9">
        <v>65000</v>
      </c>
      <c r="G129" s="39" t="s">
        <v>150</v>
      </c>
    </row>
    <row r="130" spans="1:7" x14ac:dyDescent="0.25">
      <c r="A130" s="25" t="str">
        <f>_xlfn.CONCAT(TablaMeta[[#This Row],[AÑO]],TablaMeta[[#This Row],[mes]],TablaMeta[[#This Row],[Equipo]])</f>
        <v>2025JUNIOJORDAN</v>
      </c>
      <c r="B130" s="48" t="s">
        <v>171</v>
      </c>
      <c r="C130" s="26" t="s">
        <v>144</v>
      </c>
      <c r="D130" s="12" t="s">
        <v>5</v>
      </c>
      <c r="E130" s="9">
        <v>495375</v>
      </c>
      <c r="F130" s="9">
        <v>65000</v>
      </c>
      <c r="G130" s="39" t="s">
        <v>150</v>
      </c>
    </row>
    <row r="131" spans="1:7" x14ac:dyDescent="0.25">
      <c r="A131" s="25" t="str">
        <f>_xlfn.CONCAT(TablaMeta[[#This Row],[AÑO]],TablaMeta[[#This Row],[mes]],TablaMeta[[#This Row],[Equipo]])</f>
        <v>2025JUNIOJORGE</v>
      </c>
      <c r="B131" s="48" t="s">
        <v>171</v>
      </c>
      <c r="C131" s="26" t="s">
        <v>144</v>
      </c>
      <c r="D131" s="12" t="s">
        <v>2</v>
      </c>
      <c r="E131" s="9">
        <v>495375</v>
      </c>
      <c r="F131" s="9">
        <v>65000</v>
      </c>
      <c r="G131" s="39" t="s">
        <v>150</v>
      </c>
    </row>
    <row r="132" spans="1:7" x14ac:dyDescent="0.25">
      <c r="A132" s="25" t="str">
        <f>_xlfn.CONCAT(TablaMeta[[#This Row],[AÑO]],TablaMeta[[#This Row],[mes]],TablaMeta[[#This Row],[Equipo]])</f>
        <v>2025JUNIOKENNETH</v>
      </c>
      <c r="B132" s="48" t="s">
        <v>171</v>
      </c>
      <c r="C132" s="26" t="s">
        <v>144</v>
      </c>
      <c r="D132" s="12" t="s">
        <v>6</v>
      </c>
      <c r="E132" s="9">
        <v>302800</v>
      </c>
      <c r="F132" s="9">
        <v>30500</v>
      </c>
      <c r="G132" s="39" t="s">
        <v>152</v>
      </c>
    </row>
    <row r="133" spans="1:7" x14ac:dyDescent="0.25">
      <c r="A133" s="25" t="str">
        <f>_xlfn.CONCAT(TablaMeta[[#This Row],[AÑO]],TablaMeta[[#This Row],[mes]],TablaMeta[[#This Row],[Equipo]])</f>
        <v>2025JUNIOLUIS</v>
      </c>
      <c r="B133" s="48" t="s">
        <v>171</v>
      </c>
      <c r="C133" s="26" t="s">
        <v>144</v>
      </c>
      <c r="D133" s="12" t="s">
        <v>9</v>
      </c>
      <c r="E133" s="9">
        <v>123200</v>
      </c>
      <c r="F133" s="9">
        <v>15000</v>
      </c>
      <c r="G133" s="39" t="s">
        <v>153</v>
      </c>
    </row>
    <row r="134" spans="1:7" x14ac:dyDescent="0.25">
      <c r="A134" s="25" t="str">
        <f>_xlfn.CONCAT(TablaMeta[[#This Row],[AÑO]],TablaMeta[[#This Row],[mes]],TablaMeta[[#This Row],[Equipo]])</f>
        <v>2025JUNIOJOHAN</v>
      </c>
      <c r="B134" s="48" t="s">
        <v>171</v>
      </c>
      <c r="C134" s="26" t="s">
        <v>144</v>
      </c>
      <c r="D134" s="12" t="s">
        <v>125</v>
      </c>
      <c r="E134" s="9">
        <v>123200</v>
      </c>
      <c r="F134" s="9">
        <v>15000</v>
      </c>
      <c r="G134" s="39" t="s">
        <v>153</v>
      </c>
    </row>
    <row r="135" spans="1:7" x14ac:dyDescent="0.25">
      <c r="A135" s="25" t="str">
        <f>_xlfn.CONCAT(TablaMeta[[#This Row],[AÑO]],TablaMeta[[#This Row],[mes]],TablaMeta[[#This Row],[Equipo]])</f>
        <v>2025JUNIOBRYAN</v>
      </c>
      <c r="B135" s="49" t="s">
        <v>171</v>
      </c>
      <c r="C135" s="27" t="s">
        <v>144</v>
      </c>
      <c r="D135" s="28" t="s">
        <v>8</v>
      </c>
      <c r="E135" s="29">
        <v>123200</v>
      </c>
      <c r="F135" s="9">
        <v>15000</v>
      </c>
      <c r="G135" s="39" t="s">
        <v>153</v>
      </c>
    </row>
    <row r="136" spans="1:7" x14ac:dyDescent="0.25">
      <c r="A136" s="25" t="str">
        <f>_xlfn.CONCAT(TablaMeta[[#This Row],[AÑO]],TablaMeta[[#This Row],[mes]],TablaMeta[[#This Row],[Equipo]])</f>
        <v>2025JULIOSANDY</v>
      </c>
      <c r="B136" s="48" t="s">
        <v>171</v>
      </c>
      <c r="C136" s="26" t="s">
        <v>145</v>
      </c>
      <c r="D136" s="12" t="s">
        <v>3</v>
      </c>
      <c r="E136" s="9">
        <v>615100</v>
      </c>
      <c r="F136" s="9">
        <v>65000</v>
      </c>
      <c r="G136" s="39" t="s">
        <v>155</v>
      </c>
    </row>
    <row r="137" spans="1:7" x14ac:dyDescent="0.25">
      <c r="A137" s="25" t="str">
        <f>_xlfn.CONCAT(TablaMeta[[#This Row],[AÑO]],TablaMeta[[#This Row],[mes]],TablaMeta[[#This Row],[Equipo]])</f>
        <v>2025JULIOMELINA</v>
      </c>
      <c r="B137" s="48" t="s">
        <v>171</v>
      </c>
      <c r="C137" s="26" t="s">
        <v>145</v>
      </c>
      <c r="D137" s="12" t="s">
        <v>4</v>
      </c>
      <c r="E137" s="9">
        <v>615100</v>
      </c>
      <c r="F137" s="9">
        <v>65000</v>
      </c>
      <c r="G137" s="39" t="s">
        <v>155</v>
      </c>
    </row>
    <row r="138" spans="1:7" x14ac:dyDescent="0.25">
      <c r="A138" s="25" t="str">
        <f>_xlfn.CONCAT(TablaMeta[[#This Row],[AÑO]],TablaMeta[[#This Row],[mes]],TablaMeta[[#This Row],[Equipo]])</f>
        <v>2025JULIOJORDAN</v>
      </c>
      <c r="B138" s="48" t="s">
        <v>171</v>
      </c>
      <c r="C138" s="26" t="s">
        <v>145</v>
      </c>
      <c r="D138" s="12" t="s">
        <v>5</v>
      </c>
      <c r="E138" s="9">
        <v>458800</v>
      </c>
      <c r="F138" s="9">
        <v>54000</v>
      </c>
      <c r="G138" s="39" t="s">
        <v>150</v>
      </c>
    </row>
    <row r="139" spans="1:7" x14ac:dyDescent="0.25">
      <c r="A139" s="25" t="str">
        <f>_xlfn.CONCAT(TablaMeta[[#This Row],[AÑO]],TablaMeta[[#This Row],[mes]],TablaMeta[[#This Row],[Equipo]])</f>
        <v>2025JULIOJORGE</v>
      </c>
      <c r="B139" s="48" t="s">
        <v>171</v>
      </c>
      <c r="C139" s="26" t="s">
        <v>145</v>
      </c>
      <c r="D139" s="12" t="s">
        <v>2</v>
      </c>
      <c r="E139" s="9">
        <v>458800</v>
      </c>
      <c r="F139" s="9">
        <v>54000</v>
      </c>
      <c r="G139" s="39" t="s">
        <v>150</v>
      </c>
    </row>
    <row r="140" spans="1:7" x14ac:dyDescent="0.25">
      <c r="A140" s="25" t="str">
        <f>_xlfn.CONCAT(TablaMeta[[#This Row],[AÑO]],TablaMeta[[#This Row],[mes]],TablaMeta[[#This Row],[Equipo]])</f>
        <v>2025JULIOKENNETH</v>
      </c>
      <c r="B140" s="48" t="s">
        <v>171</v>
      </c>
      <c r="C140" s="26" t="s">
        <v>145</v>
      </c>
      <c r="D140" s="12" t="s">
        <v>6</v>
      </c>
      <c r="E140" s="9">
        <v>260350</v>
      </c>
      <c r="F140" s="9">
        <v>26000</v>
      </c>
      <c r="G140" s="39" t="s">
        <v>156</v>
      </c>
    </row>
    <row r="141" spans="1:7" x14ac:dyDescent="0.25">
      <c r="A141" s="25" t="str">
        <f>_xlfn.CONCAT(TablaMeta[[#This Row],[AÑO]],TablaMeta[[#This Row],[mes]],TablaMeta[[#This Row],[Equipo]])</f>
        <v>2025JULIOLEONOR</v>
      </c>
      <c r="B141" s="48" t="s">
        <v>171</v>
      </c>
      <c r="C141" s="26" t="s">
        <v>145</v>
      </c>
      <c r="D141" s="12" t="s">
        <v>7</v>
      </c>
      <c r="E141" s="9">
        <v>154800</v>
      </c>
      <c r="F141" s="9">
        <v>15500</v>
      </c>
      <c r="G141" s="39" t="s">
        <v>152</v>
      </c>
    </row>
    <row r="142" spans="1:7" x14ac:dyDescent="0.25">
      <c r="A142" s="25" t="str">
        <f>_xlfn.CONCAT(TablaMeta[[#This Row],[AÑO]],TablaMeta[[#This Row],[mes]],TablaMeta[[#This Row],[Equipo]])</f>
        <v>2025JULIOLUIS</v>
      </c>
      <c r="B142" s="48" t="s">
        <v>171</v>
      </c>
      <c r="C142" s="26" t="s">
        <v>145</v>
      </c>
      <c r="D142" s="12" t="s">
        <v>9</v>
      </c>
      <c r="E142" s="9">
        <v>130825</v>
      </c>
      <c r="F142" s="9">
        <v>15500</v>
      </c>
      <c r="G142" s="39" t="s">
        <v>153</v>
      </c>
    </row>
    <row r="143" spans="1:7" x14ac:dyDescent="0.25">
      <c r="A143" s="25" t="str">
        <f>_xlfn.CONCAT(TablaMeta[[#This Row],[AÑO]],TablaMeta[[#This Row],[mes]],TablaMeta[[#This Row],[Equipo]])</f>
        <v>2025JULIOBRYAN</v>
      </c>
      <c r="B143" s="49" t="s">
        <v>171</v>
      </c>
      <c r="C143" s="27" t="s">
        <v>145</v>
      </c>
      <c r="D143" s="28" t="s">
        <v>8</v>
      </c>
      <c r="E143" s="29">
        <v>130825</v>
      </c>
      <c r="F143" s="9">
        <v>15500</v>
      </c>
      <c r="G143" s="39" t="s">
        <v>153</v>
      </c>
    </row>
    <row r="144" spans="1:7" x14ac:dyDescent="0.25">
      <c r="A144" s="25" t="str">
        <f>_xlfn.CONCAT(TablaMeta[[#This Row],[AÑO]],TablaMeta[[#This Row],[mes]],TablaMeta[[#This Row],[Equipo]])</f>
        <v>2025AGOSTOJOHAN</v>
      </c>
      <c r="B144" s="48" t="s">
        <v>171</v>
      </c>
      <c r="C144" s="26" t="s">
        <v>146</v>
      </c>
      <c r="D144" s="12" t="s">
        <v>125</v>
      </c>
      <c r="E144" s="9">
        <v>683530</v>
      </c>
      <c r="F144" s="9">
        <v>72000</v>
      </c>
      <c r="G144" s="39" t="s">
        <v>155</v>
      </c>
    </row>
    <row r="145" spans="1:7" x14ac:dyDescent="0.25">
      <c r="A145" s="25" t="str">
        <f>_xlfn.CONCAT(TablaMeta[[#This Row],[AÑO]],TablaMeta[[#This Row],[mes]],TablaMeta[[#This Row],[Equipo]])</f>
        <v>2025AGOSTOMELINA</v>
      </c>
      <c r="B145" s="48" t="s">
        <v>171</v>
      </c>
      <c r="C145" s="26" t="s">
        <v>146</v>
      </c>
      <c r="D145" s="12" t="s">
        <v>4</v>
      </c>
      <c r="E145" s="9">
        <v>683530</v>
      </c>
      <c r="F145" s="9">
        <v>72000</v>
      </c>
      <c r="G145" s="39" t="s">
        <v>155</v>
      </c>
    </row>
    <row r="146" spans="1:7" x14ac:dyDescent="0.25">
      <c r="A146" s="25" t="str">
        <f>_xlfn.CONCAT(TablaMeta[[#This Row],[AÑO]],TablaMeta[[#This Row],[mes]],TablaMeta[[#This Row],[Equipo]])</f>
        <v>2025AGOSTOJORDAN</v>
      </c>
      <c r="B146" s="48" t="s">
        <v>171</v>
      </c>
      <c r="C146" s="26" t="s">
        <v>146</v>
      </c>
      <c r="D146" s="12" t="s">
        <v>5</v>
      </c>
      <c r="E146" s="9">
        <v>458800</v>
      </c>
      <c r="F146" s="9">
        <v>54000</v>
      </c>
      <c r="G146" s="39" t="s">
        <v>150</v>
      </c>
    </row>
    <row r="147" spans="1:7" x14ac:dyDescent="0.25">
      <c r="A147" s="25" t="str">
        <f>_xlfn.CONCAT(TablaMeta[[#This Row],[AÑO]],TablaMeta[[#This Row],[mes]],TablaMeta[[#This Row],[Equipo]])</f>
        <v>2025AGOSTOJORGE</v>
      </c>
      <c r="B147" s="48" t="s">
        <v>171</v>
      </c>
      <c r="C147" s="26" t="s">
        <v>146</v>
      </c>
      <c r="D147" s="12" t="s">
        <v>2</v>
      </c>
      <c r="E147" s="9">
        <v>458800</v>
      </c>
      <c r="F147" s="9">
        <v>54000</v>
      </c>
      <c r="G147" s="39" t="s">
        <v>150</v>
      </c>
    </row>
    <row r="148" spans="1:7" x14ac:dyDescent="0.25">
      <c r="A148" s="25" t="str">
        <f>_xlfn.CONCAT(TablaMeta[[#This Row],[AÑO]],TablaMeta[[#This Row],[mes]],TablaMeta[[#This Row],[Equipo]])</f>
        <v>2025AGOSTOKENNETH</v>
      </c>
      <c r="B148" s="48" t="s">
        <v>171</v>
      </c>
      <c r="C148" s="26" t="s">
        <v>146</v>
      </c>
      <c r="D148" s="12" t="s">
        <v>6</v>
      </c>
      <c r="E148" s="9">
        <v>260350</v>
      </c>
      <c r="F148" s="9">
        <v>26000</v>
      </c>
      <c r="G148" s="39" t="s">
        <v>156</v>
      </c>
    </row>
    <row r="149" spans="1:7" x14ac:dyDescent="0.25">
      <c r="A149" s="25" t="str">
        <f>_xlfn.CONCAT(TablaMeta[[#This Row],[AÑO]],TablaMeta[[#This Row],[mes]],TablaMeta[[#This Row],[Equipo]])</f>
        <v>2025AGOSTOLEONOR</v>
      </c>
      <c r="B149" s="48" t="s">
        <v>171</v>
      </c>
      <c r="C149" s="26" t="s">
        <v>146</v>
      </c>
      <c r="D149" s="12" t="s">
        <v>7</v>
      </c>
      <c r="E149" s="9">
        <v>154800</v>
      </c>
      <c r="F149" s="9">
        <v>15500</v>
      </c>
      <c r="G149" s="39" t="s">
        <v>152</v>
      </c>
    </row>
    <row r="150" spans="1:7" x14ac:dyDescent="0.25">
      <c r="A150" s="25" t="str">
        <f>_xlfn.CONCAT(TablaMeta[[#This Row],[AÑO]],TablaMeta[[#This Row],[mes]],TablaMeta[[#This Row],[Equipo]])</f>
        <v>2025AGOSTOLUIS</v>
      </c>
      <c r="B150" s="48" t="s">
        <v>171</v>
      </c>
      <c r="C150" s="26" t="s">
        <v>146</v>
      </c>
      <c r="D150" s="12" t="s">
        <v>9</v>
      </c>
      <c r="E150" s="9">
        <v>132595</v>
      </c>
      <c r="F150" s="9">
        <v>16000</v>
      </c>
      <c r="G150" s="39" t="s">
        <v>153</v>
      </c>
    </row>
    <row r="151" spans="1:7" x14ac:dyDescent="0.25">
      <c r="A151" s="25" t="str">
        <f>_xlfn.CONCAT(TablaMeta[[#This Row],[AÑO]],TablaMeta[[#This Row],[mes]],TablaMeta[[#This Row],[Equipo]])</f>
        <v>2025AGOSTOBRYAN</v>
      </c>
      <c r="B151" s="49" t="s">
        <v>171</v>
      </c>
      <c r="C151" s="27" t="s">
        <v>146</v>
      </c>
      <c r="D151" s="28" t="s">
        <v>8</v>
      </c>
      <c r="E151" s="29">
        <v>132595</v>
      </c>
      <c r="F151" s="9">
        <v>16000</v>
      </c>
      <c r="G151" s="39" t="s">
        <v>153</v>
      </c>
    </row>
    <row r="152" spans="1:7" x14ac:dyDescent="0.25">
      <c r="A152" s="25" t="str">
        <f>_xlfn.CONCAT(TablaMeta[[#This Row],[AÑO]],TablaMeta[[#This Row],[mes]],TablaMeta[[#This Row],[Equipo]])</f>
        <v>2025SETIEMBRESANDY</v>
      </c>
      <c r="B152" s="48" t="s">
        <v>171</v>
      </c>
      <c r="C152" s="26" t="s">
        <v>147</v>
      </c>
      <c r="D152" s="12" t="s">
        <v>3</v>
      </c>
      <c r="E152" s="9">
        <v>200950</v>
      </c>
      <c r="F152" s="9">
        <v>14000</v>
      </c>
      <c r="G152" s="39" t="s">
        <v>157</v>
      </c>
    </row>
    <row r="153" spans="1:7" x14ac:dyDescent="0.25">
      <c r="A153" s="25" t="str">
        <f>_xlfn.CONCAT(TablaMeta[[#This Row],[AÑO]],TablaMeta[[#This Row],[mes]],TablaMeta[[#This Row],[Equipo]])</f>
        <v>2025SETIEMBREMELINA</v>
      </c>
      <c r="B153" s="48" t="s">
        <v>171</v>
      </c>
      <c r="C153" s="26" t="s">
        <v>147</v>
      </c>
      <c r="D153" s="12" t="s">
        <v>4</v>
      </c>
      <c r="E153" s="9">
        <v>200950</v>
      </c>
      <c r="F153" s="9">
        <v>14000</v>
      </c>
      <c r="G153" s="39" t="s">
        <v>157</v>
      </c>
    </row>
    <row r="154" spans="1:7" x14ac:dyDescent="0.25">
      <c r="A154" s="25" t="str">
        <f>_xlfn.CONCAT(TablaMeta[[#This Row],[AÑO]],TablaMeta[[#This Row],[mes]],TablaMeta[[#This Row],[Equipo]])</f>
        <v>2025SETIEMBREJORDAN</v>
      </c>
      <c r="B154" s="48" t="s">
        <v>171</v>
      </c>
      <c r="C154" s="26" t="s">
        <v>147</v>
      </c>
      <c r="D154" s="12" t="s">
        <v>5</v>
      </c>
      <c r="E154" s="9">
        <v>301000</v>
      </c>
      <c r="F154" s="9">
        <v>38000</v>
      </c>
      <c r="G154" s="39" t="s">
        <v>158</v>
      </c>
    </row>
    <row r="155" spans="1:7" x14ac:dyDescent="0.25">
      <c r="A155" s="25" t="str">
        <f>_xlfn.CONCAT(TablaMeta[[#This Row],[AÑO]],TablaMeta[[#This Row],[mes]],TablaMeta[[#This Row],[Equipo]])</f>
        <v>2025SETIEMBREJORGE</v>
      </c>
      <c r="B155" s="48" t="s">
        <v>171</v>
      </c>
      <c r="C155" s="26" t="s">
        <v>147</v>
      </c>
      <c r="D155" s="12" t="s">
        <v>2</v>
      </c>
      <c r="E155" s="9">
        <v>301000</v>
      </c>
      <c r="F155" s="9">
        <v>38000</v>
      </c>
      <c r="G155" s="39" t="s">
        <v>158</v>
      </c>
    </row>
    <row r="156" spans="1:7" x14ac:dyDescent="0.25">
      <c r="A156" s="25" t="str">
        <f>_xlfn.CONCAT(TablaMeta[[#This Row],[AÑO]],TablaMeta[[#This Row],[mes]],TablaMeta[[#This Row],[Equipo]])</f>
        <v>2025SETIEMBREJOHAN</v>
      </c>
      <c r="B156" s="48" t="s">
        <v>171</v>
      </c>
      <c r="C156" s="26" t="s">
        <v>147</v>
      </c>
      <c r="D156" s="12" t="s">
        <v>125</v>
      </c>
      <c r="E156" s="9">
        <v>643200</v>
      </c>
      <c r="F156" s="9">
        <v>92000</v>
      </c>
      <c r="G156" s="39" t="s">
        <v>159</v>
      </c>
    </row>
    <row r="157" spans="1:7" x14ac:dyDescent="0.25">
      <c r="A157" s="25" t="str">
        <f>_xlfn.CONCAT(TablaMeta[[#This Row],[AÑO]],TablaMeta[[#This Row],[mes]],TablaMeta[[#This Row],[Equipo]])</f>
        <v>2025SETIEMBRELEONOR</v>
      </c>
      <c r="B157" s="48" t="s">
        <v>171</v>
      </c>
      <c r="C157" s="26" t="s">
        <v>147</v>
      </c>
      <c r="D157" s="12" t="s">
        <v>7</v>
      </c>
      <c r="E157" s="9">
        <v>643200</v>
      </c>
      <c r="F157" s="9">
        <v>92000</v>
      </c>
      <c r="G157" s="39" t="s">
        <v>159</v>
      </c>
    </row>
    <row r="158" spans="1:7" x14ac:dyDescent="0.25">
      <c r="A158" s="25" t="str">
        <f>_xlfn.CONCAT(TablaMeta[[#This Row],[AÑO]],TablaMeta[[#This Row],[mes]],TablaMeta[[#This Row],[Equipo]])</f>
        <v>2025SETIEMBRELUIS</v>
      </c>
      <c r="B158" s="48" t="s">
        <v>171</v>
      </c>
      <c r="C158" s="26" t="s">
        <v>147</v>
      </c>
      <c r="D158" s="12" t="s">
        <v>9</v>
      </c>
      <c r="E158" s="9">
        <v>209800</v>
      </c>
      <c r="F158" s="9">
        <v>21000</v>
      </c>
      <c r="G158" s="39" t="s">
        <v>156</v>
      </c>
    </row>
    <row r="159" spans="1:7" x14ac:dyDescent="0.25">
      <c r="A159" s="25" t="str">
        <f>_xlfn.CONCAT(TablaMeta[[#This Row],[AÑO]],TablaMeta[[#This Row],[mes]],TablaMeta[[#This Row],[Equipo]])</f>
        <v>2025SETIEMBREBRYAN</v>
      </c>
      <c r="B159" s="49" t="s">
        <v>171</v>
      </c>
      <c r="C159" s="27" t="s">
        <v>147</v>
      </c>
      <c r="D159" s="28" t="s">
        <v>8</v>
      </c>
      <c r="E159" s="29">
        <v>749600</v>
      </c>
      <c r="F159" s="9">
        <v>75000</v>
      </c>
      <c r="G159" s="39" t="s">
        <v>155</v>
      </c>
    </row>
    <row r="160" spans="1:7" x14ac:dyDescent="0.25">
      <c r="A160" s="25" t="str">
        <f>_xlfn.CONCAT(TablaMeta[[#This Row],[AÑO]],TablaMeta[[#This Row],[mes]],TablaMeta[[#This Row],[Equipo]])</f>
        <v>2025OCTUBRESANDY</v>
      </c>
      <c r="B160" s="48" t="s">
        <v>171</v>
      </c>
      <c r="C160" s="26" t="s">
        <v>148</v>
      </c>
      <c r="D160" s="12" t="s">
        <v>3</v>
      </c>
      <c r="E160" s="9">
        <v>239472</v>
      </c>
      <c r="F160" s="9">
        <v>22000</v>
      </c>
      <c r="G160" s="39" t="s">
        <v>157</v>
      </c>
    </row>
    <row r="161" spans="1:11" x14ac:dyDescent="0.25">
      <c r="A161" s="25" t="str">
        <f>_xlfn.CONCAT(TablaMeta[[#This Row],[AÑO]],TablaMeta[[#This Row],[mes]],TablaMeta[[#This Row],[Equipo]])</f>
        <v>2025OCTUBREMELINA</v>
      </c>
      <c r="B161" s="48" t="s">
        <v>171</v>
      </c>
      <c r="C161" s="26" t="s">
        <v>148</v>
      </c>
      <c r="D161" s="12" t="s">
        <v>4</v>
      </c>
      <c r="E161" s="9">
        <v>239472</v>
      </c>
      <c r="F161" s="9">
        <v>22000</v>
      </c>
      <c r="G161" s="39" t="s">
        <v>157</v>
      </c>
    </row>
    <row r="162" spans="1:11" x14ac:dyDescent="0.25">
      <c r="A162" s="25" t="str">
        <f>_xlfn.CONCAT(TablaMeta[[#This Row],[AÑO]],TablaMeta[[#This Row],[mes]],TablaMeta[[#This Row],[Equipo]])</f>
        <v>2025OCTUBREJORDAN</v>
      </c>
      <c r="B162" s="48" t="s">
        <v>171</v>
      </c>
      <c r="C162" s="26" t="s">
        <v>148</v>
      </c>
      <c r="D162" s="12" t="s">
        <v>5</v>
      </c>
      <c r="E162" s="9">
        <v>253237</v>
      </c>
      <c r="F162" s="9">
        <v>32000</v>
      </c>
      <c r="G162" s="39" t="s">
        <v>158</v>
      </c>
    </row>
    <row r="163" spans="1:11" x14ac:dyDescent="0.25">
      <c r="A163" s="25" t="str">
        <f>_xlfn.CONCAT(TablaMeta[[#This Row],[AÑO]],TablaMeta[[#This Row],[mes]],TablaMeta[[#This Row],[Equipo]])</f>
        <v>2025OCTUBREJOHAN</v>
      </c>
      <c r="B163" s="48" t="s">
        <v>171</v>
      </c>
      <c r="C163" s="26" t="s">
        <v>148</v>
      </c>
      <c r="D163" s="12" t="s">
        <v>125</v>
      </c>
      <c r="E163" s="9">
        <v>253237</v>
      </c>
      <c r="F163" s="9">
        <v>32000</v>
      </c>
      <c r="G163" s="39" t="s">
        <v>158</v>
      </c>
    </row>
    <row r="164" spans="1:11" x14ac:dyDescent="0.25">
      <c r="A164" s="25" t="str">
        <f>_xlfn.CONCAT(TablaMeta[[#This Row],[AÑO]],TablaMeta[[#This Row],[mes]],TablaMeta[[#This Row],[Equipo]])</f>
        <v>2025OCTUBREKENNETH</v>
      </c>
      <c r="B164" s="48" t="s">
        <v>171</v>
      </c>
      <c r="C164" s="26" t="s">
        <v>148</v>
      </c>
      <c r="D164" s="12" t="s">
        <v>6</v>
      </c>
      <c r="E164" s="9">
        <v>420827</v>
      </c>
      <c r="F164" s="9">
        <v>53000</v>
      </c>
      <c r="G164" s="39" t="s">
        <v>159</v>
      </c>
    </row>
    <row r="165" spans="1:11" x14ac:dyDescent="0.25">
      <c r="A165" s="25" t="str">
        <f>_xlfn.CONCAT(TablaMeta[[#This Row],[AÑO]],TablaMeta[[#This Row],[mes]],TablaMeta[[#This Row],[Equipo]])</f>
        <v>2025OCTUBRELEONOR</v>
      </c>
      <c r="B165" s="48" t="s">
        <v>171</v>
      </c>
      <c r="C165" s="26" t="s">
        <v>148</v>
      </c>
      <c r="D165" s="12" t="s">
        <v>7</v>
      </c>
      <c r="E165" s="9">
        <v>420827</v>
      </c>
      <c r="F165" s="9">
        <v>53000</v>
      </c>
      <c r="G165" s="39" t="s">
        <v>159</v>
      </c>
    </row>
    <row r="166" spans="1:11" x14ac:dyDescent="0.25">
      <c r="A166" s="25" t="str">
        <f>_xlfn.CONCAT(TablaMeta[[#This Row],[AÑO]],TablaMeta[[#This Row],[mes]],TablaMeta[[#This Row],[Equipo]])</f>
        <v>2025OCTUBRELUIS</v>
      </c>
      <c r="B166" s="48" t="s">
        <v>171</v>
      </c>
      <c r="C166" s="26" t="s">
        <v>148</v>
      </c>
      <c r="D166" s="12" t="s">
        <v>9</v>
      </c>
      <c r="E166" s="9">
        <v>230608</v>
      </c>
      <c r="F166" s="9">
        <v>23000</v>
      </c>
      <c r="G166" s="39" t="s">
        <v>156</v>
      </c>
    </row>
    <row r="167" spans="1:11" x14ac:dyDescent="0.25">
      <c r="A167" s="25" t="str">
        <f>_xlfn.CONCAT(TablaMeta[[#This Row],[AÑO]],TablaMeta[[#This Row],[mes]],TablaMeta[[#This Row],[Equipo]])</f>
        <v>2025OCTUBREBRYAN</v>
      </c>
      <c r="B167" s="49" t="s">
        <v>171</v>
      </c>
      <c r="C167" s="27" t="s">
        <v>148</v>
      </c>
      <c r="D167" s="28" t="s">
        <v>8</v>
      </c>
      <c r="E167" s="9">
        <v>698156</v>
      </c>
      <c r="F167" s="9">
        <v>70000</v>
      </c>
      <c r="G167" s="39" t="s">
        <v>155</v>
      </c>
    </row>
    <row r="168" spans="1:11" x14ac:dyDescent="0.25">
      <c r="A168" s="25" t="str">
        <f>_xlfn.CONCAT(TablaMeta[[#This Row],[AÑO]],TablaMeta[[#This Row],[mes]],TablaMeta[[#This Row],[Equipo]])</f>
        <v>2025NOVIEMBRESANDY</v>
      </c>
      <c r="B168" s="48" t="s">
        <v>171</v>
      </c>
      <c r="C168" s="26" t="s">
        <v>149</v>
      </c>
      <c r="D168" s="12" t="s">
        <v>3</v>
      </c>
      <c r="E168" s="9">
        <v>599640</v>
      </c>
      <c r="F168" s="9">
        <v>55000</v>
      </c>
      <c r="G168" s="39" t="s">
        <v>159</v>
      </c>
    </row>
    <row r="169" spans="1:11" x14ac:dyDescent="0.25">
      <c r="A169" s="25" t="str">
        <f>_xlfn.CONCAT(TablaMeta[[#This Row],[AÑO]],TablaMeta[[#This Row],[mes]],TablaMeta[[#This Row],[Equipo]])</f>
        <v>2025NOVIEMBREMELINA</v>
      </c>
      <c r="B169" s="48" t="s">
        <v>171</v>
      </c>
      <c r="C169" s="26" t="s">
        <v>149</v>
      </c>
      <c r="D169" s="12" t="s">
        <v>4</v>
      </c>
      <c r="E169" s="9">
        <v>599640</v>
      </c>
      <c r="F169" s="9">
        <v>55000</v>
      </c>
      <c r="G169" s="39" t="s">
        <v>159</v>
      </c>
    </row>
    <row r="170" spans="1:11" x14ac:dyDescent="0.25">
      <c r="A170" s="25" t="str">
        <f>_xlfn.CONCAT(TablaMeta[[#This Row],[AÑO]],TablaMeta[[#This Row],[mes]],TablaMeta[[#This Row],[Equipo]])</f>
        <v>2025NOVIEMBREJORDAN</v>
      </c>
      <c r="B170" s="48" t="s">
        <v>171</v>
      </c>
      <c r="C170" s="26" t="s">
        <v>149</v>
      </c>
      <c r="D170" s="12" t="s">
        <v>5</v>
      </c>
      <c r="E170" s="9">
        <v>100323</v>
      </c>
      <c r="F170" s="9">
        <v>14000</v>
      </c>
      <c r="G170" s="39" t="s">
        <v>160</v>
      </c>
    </row>
    <row r="171" spans="1:11" x14ac:dyDescent="0.25">
      <c r="A171" s="25" t="str">
        <f>_xlfn.CONCAT(TablaMeta[[#This Row],[AÑO]],TablaMeta[[#This Row],[mes]],TablaMeta[[#This Row],[Equipo]])</f>
        <v>2025NOVIEMBREJORGE</v>
      </c>
      <c r="B171" s="48" t="s">
        <v>171</v>
      </c>
      <c r="C171" s="26" t="s">
        <v>149</v>
      </c>
      <c r="D171" s="12" t="s">
        <v>2</v>
      </c>
      <c r="E171" s="9">
        <v>144490</v>
      </c>
      <c r="F171" s="9">
        <v>15000</v>
      </c>
      <c r="G171" s="39" t="s">
        <v>158</v>
      </c>
    </row>
    <row r="172" spans="1:11" x14ac:dyDescent="0.25">
      <c r="A172" s="25" t="str">
        <f>_xlfn.CONCAT(TablaMeta[[#This Row],[AÑO]],TablaMeta[[#This Row],[mes]],TablaMeta[[#This Row],[Equipo]])</f>
        <v>2025NOVIEMBREKENNETH</v>
      </c>
      <c r="B172" s="48" t="s">
        <v>171</v>
      </c>
      <c r="C172" s="26" t="s">
        <v>149</v>
      </c>
      <c r="D172" s="12" t="s">
        <v>6</v>
      </c>
      <c r="E172" s="9">
        <v>346906</v>
      </c>
      <c r="F172" s="9">
        <v>63000</v>
      </c>
      <c r="G172" s="39" t="s">
        <v>161</v>
      </c>
    </row>
    <row r="173" spans="1:11" x14ac:dyDescent="0.25">
      <c r="A173" s="25" t="str">
        <f>_xlfn.CONCAT(TablaMeta[[#This Row],[AÑO]],TablaMeta[[#This Row],[mes]],TablaMeta[[#This Row],[Equipo]])</f>
        <v>2025NOVIEMBRELEONOR</v>
      </c>
      <c r="B173" s="49" t="s">
        <v>171</v>
      </c>
      <c r="C173" s="27" t="s">
        <v>149</v>
      </c>
      <c r="D173" s="28" t="s">
        <v>7</v>
      </c>
      <c r="E173" s="9">
        <v>100323</v>
      </c>
      <c r="F173" s="9">
        <v>14000</v>
      </c>
      <c r="G173" s="39" t="s">
        <v>160</v>
      </c>
    </row>
    <row r="174" spans="1:11" x14ac:dyDescent="0.25">
      <c r="A174" s="25" t="str">
        <f>_xlfn.CONCAT(TablaMeta[[#This Row],[AÑO]],TablaMeta[[#This Row],[mes]],TablaMeta[[#This Row],[Equipo]])</f>
        <v>2025DICIEMBRESANDY</v>
      </c>
      <c r="B174" s="48" t="s">
        <v>171</v>
      </c>
      <c r="C174" s="26" t="s">
        <v>176</v>
      </c>
      <c r="D174" s="12" t="s">
        <v>3</v>
      </c>
      <c r="E174" s="9">
        <v>555813</v>
      </c>
      <c r="F174" s="9">
        <v>55500</v>
      </c>
      <c r="G174" s="39" t="s">
        <v>159</v>
      </c>
    </row>
    <row r="175" spans="1:11" x14ac:dyDescent="0.25">
      <c r="A175" s="25" t="str">
        <f>_xlfn.CONCAT(TablaMeta[[#This Row],[AÑO]],TablaMeta[[#This Row],[mes]],TablaMeta[[#This Row],[Equipo]])</f>
        <v>2025DICIEMBREMELINA</v>
      </c>
      <c r="B175" s="48" t="s">
        <v>171</v>
      </c>
      <c r="C175" s="26" t="s">
        <v>176</v>
      </c>
      <c r="D175" s="12" t="s">
        <v>4</v>
      </c>
      <c r="E175" s="9">
        <v>555813</v>
      </c>
      <c r="F175" s="9">
        <v>55500</v>
      </c>
      <c r="G175" s="39" t="s">
        <v>159</v>
      </c>
      <c r="K175" s="45"/>
    </row>
    <row r="176" spans="1:11" x14ac:dyDescent="0.25">
      <c r="A176" s="25" t="str">
        <f>_xlfn.CONCAT(TablaMeta[[#This Row],[AÑO]],TablaMeta[[#This Row],[mes]],TablaMeta[[#This Row],[Equipo]])</f>
        <v>2025DICIEMBREJORGE</v>
      </c>
      <c r="B176" s="48" t="s">
        <v>171</v>
      </c>
      <c r="C176" s="26" t="s">
        <v>176</v>
      </c>
      <c r="D176" s="12" t="s">
        <v>2</v>
      </c>
      <c r="E176" s="9">
        <v>319493</v>
      </c>
      <c r="F176" s="9">
        <v>35500</v>
      </c>
      <c r="G176" s="39" t="s">
        <v>204</v>
      </c>
      <c r="K176" s="45"/>
    </row>
    <row r="177" spans="1:11" x14ac:dyDescent="0.25">
      <c r="A177" s="25" t="str">
        <f>_xlfn.CONCAT(TablaMeta[[#This Row],[AÑO]],TablaMeta[[#This Row],[mes]],TablaMeta[[#This Row],[Equipo]])</f>
        <v>2025DICIEMBREKENNETH</v>
      </c>
      <c r="B177" s="48" t="s">
        <v>171</v>
      </c>
      <c r="C177" s="26" t="s">
        <v>176</v>
      </c>
      <c r="D177" s="12" t="s">
        <v>6</v>
      </c>
      <c r="E177" s="9">
        <v>262676</v>
      </c>
      <c r="F177" s="9">
        <v>29000</v>
      </c>
      <c r="G177" s="39" t="s">
        <v>203</v>
      </c>
      <c r="K177" s="45"/>
    </row>
    <row r="178" spans="1:11" x14ac:dyDescent="0.25">
      <c r="A178" s="50" t="str">
        <f>_xlfn.CONCAT(TablaMeta[[#This Row],[AÑO]],TablaMeta[[#This Row],[mes]],TablaMeta[[#This Row],[Equipo]])</f>
        <v>2025DICIEMBRELEONOR</v>
      </c>
      <c r="B178" s="49" t="s">
        <v>171</v>
      </c>
      <c r="C178" s="27" t="s">
        <v>176</v>
      </c>
      <c r="D178" s="28" t="s">
        <v>7</v>
      </c>
      <c r="E178" s="29">
        <v>269196</v>
      </c>
      <c r="F178" s="9">
        <v>21000</v>
      </c>
      <c r="G178" s="39" t="s">
        <v>175</v>
      </c>
      <c r="K178" s="45"/>
    </row>
    <row r="179" spans="1:11" x14ac:dyDescent="0.25">
      <c r="A179" s="51" t="str">
        <f>_xlfn.CONCAT(TablaMeta[[#This Row],[AÑO]],TablaMeta[[#This Row],[mes]],TablaMeta[[#This Row],[Equipo]])</f>
        <v>2026ENEROSANDY</v>
      </c>
      <c r="B179" s="49" t="s">
        <v>208</v>
      </c>
      <c r="C179" s="26" t="s">
        <v>139</v>
      </c>
      <c r="D179" s="12" t="s">
        <v>3</v>
      </c>
      <c r="E179" s="9">
        <v>431682</v>
      </c>
      <c r="F179" s="9">
        <v>48000</v>
      </c>
      <c r="G179" s="39" t="s">
        <v>159</v>
      </c>
    </row>
    <row r="180" spans="1:11" x14ac:dyDescent="0.25">
      <c r="A180" s="51" t="str">
        <f>_xlfn.CONCAT(TablaMeta[[#This Row],[AÑO]],TablaMeta[[#This Row],[mes]],TablaMeta[[#This Row],[Equipo]])</f>
        <v>2026ENEROMELINA</v>
      </c>
      <c r="B180" s="48" t="s">
        <v>208</v>
      </c>
      <c r="C180" s="26" t="s">
        <v>139</v>
      </c>
      <c r="D180" s="12" t="s">
        <v>4</v>
      </c>
      <c r="E180" s="9">
        <v>431682</v>
      </c>
      <c r="F180" s="9">
        <v>48000</v>
      </c>
      <c r="G180" s="39" t="s">
        <v>159</v>
      </c>
    </row>
    <row r="181" spans="1:11" x14ac:dyDescent="0.25">
      <c r="A181" s="51" t="str">
        <f>_xlfn.CONCAT(TablaMeta[[#This Row],[AÑO]],TablaMeta[[#This Row],[mes]],TablaMeta[[#This Row],[Equipo]])</f>
        <v>2026ENEROJORGE</v>
      </c>
      <c r="B181" s="48" t="s">
        <v>208</v>
      </c>
      <c r="C181" s="26" t="s">
        <v>139</v>
      </c>
      <c r="D181" s="12" t="s">
        <v>2</v>
      </c>
      <c r="E181" s="9">
        <v>294010</v>
      </c>
      <c r="F181" s="9">
        <v>32600</v>
      </c>
      <c r="G181" s="39" t="s">
        <v>209</v>
      </c>
    </row>
    <row r="182" spans="1:11" x14ac:dyDescent="0.25">
      <c r="A182" s="51" t="str">
        <f>_xlfn.CONCAT(TablaMeta[[#This Row],[AÑO]],TablaMeta[[#This Row],[mes]],TablaMeta[[#This Row],[Equipo]])</f>
        <v>2026ENEROKENNETH</v>
      </c>
      <c r="B182" s="48" t="s">
        <v>208</v>
      </c>
      <c r="C182" s="26" t="s">
        <v>139</v>
      </c>
      <c r="D182" s="12" t="s">
        <v>6</v>
      </c>
      <c r="E182" s="9">
        <v>251174</v>
      </c>
      <c r="F182" s="9">
        <v>27900</v>
      </c>
      <c r="G182" s="39" t="s">
        <v>209</v>
      </c>
    </row>
    <row r="183" spans="1:11" x14ac:dyDescent="0.25">
      <c r="A183" s="52" t="str">
        <f>_xlfn.CONCAT(TablaMeta[[#This Row],[AÑO]],TablaMeta[[#This Row],[mes]],TablaMeta[[#This Row],[Equipo]])</f>
        <v>2026ENEROJOHAN</v>
      </c>
      <c r="B183" s="49" t="s">
        <v>208</v>
      </c>
      <c r="C183" s="27" t="s">
        <v>139</v>
      </c>
      <c r="D183" s="28" t="s">
        <v>125</v>
      </c>
      <c r="E183" s="29">
        <v>297083</v>
      </c>
      <c r="F183" s="29">
        <v>24500</v>
      </c>
      <c r="G183" s="53" t="s">
        <v>175</v>
      </c>
    </row>
    <row r="184" spans="1:11" x14ac:dyDescent="0.25">
      <c r="A184" s="51" t="str">
        <f>_xlfn.CONCAT(TablaMeta[[#This Row],[AÑO]],TablaMeta[[#This Row],[mes]],TablaMeta[[#This Row],[Equipo]])</f>
        <v>2026FEBREROSANDY</v>
      </c>
      <c r="B184" s="49" t="s">
        <v>208</v>
      </c>
      <c r="C184" s="27" t="s">
        <v>140</v>
      </c>
      <c r="D184" s="12" t="s">
        <v>3</v>
      </c>
      <c r="E184" s="9">
        <v>543573</v>
      </c>
      <c r="F184" s="9">
        <v>50000</v>
      </c>
      <c r="G184" s="39" t="s">
        <v>159</v>
      </c>
    </row>
    <row r="185" spans="1:11" x14ac:dyDescent="0.25">
      <c r="A185" s="51" t="str">
        <f>_xlfn.CONCAT(TablaMeta[[#This Row],[AÑO]],TablaMeta[[#This Row],[mes]],TablaMeta[[#This Row],[Equipo]])</f>
        <v>2026FEBREROJOHAN</v>
      </c>
      <c r="B185" s="49" t="s">
        <v>208</v>
      </c>
      <c r="C185" s="26" t="s">
        <v>140</v>
      </c>
      <c r="D185" s="12" t="s">
        <v>125</v>
      </c>
      <c r="E185" s="9">
        <v>543573</v>
      </c>
      <c r="F185" s="9">
        <v>50000</v>
      </c>
      <c r="G185" s="39" t="s">
        <v>159</v>
      </c>
    </row>
    <row r="186" spans="1:11" x14ac:dyDescent="0.25">
      <c r="A186" s="51" t="str">
        <f>_xlfn.CONCAT(TablaMeta[[#This Row],[AÑO]],TablaMeta[[#This Row],[mes]],TablaMeta[[#This Row],[Equipo]])</f>
        <v>2026FEBREROJORGE</v>
      </c>
      <c r="B186" s="49" t="s">
        <v>208</v>
      </c>
      <c r="C186" s="26" t="s">
        <v>140</v>
      </c>
      <c r="D186" s="12" t="s">
        <v>2</v>
      </c>
      <c r="E186" s="9">
        <v>194963</v>
      </c>
      <c r="F186" s="9">
        <v>28000</v>
      </c>
      <c r="G186" s="39" t="s">
        <v>209</v>
      </c>
    </row>
    <row r="187" spans="1:11" x14ac:dyDescent="0.25">
      <c r="A187" s="51" t="str">
        <f>_xlfn.CONCAT(TablaMeta[[#This Row],[AÑO]],TablaMeta[[#This Row],[mes]],TablaMeta[[#This Row],[Equipo]])</f>
        <v>2026FEBREROKENNETH</v>
      </c>
      <c r="B187" s="49" t="s">
        <v>208</v>
      </c>
      <c r="C187" s="26" t="s">
        <v>140</v>
      </c>
      <c r="D187" s="12" t="s">
        <v>6</v>
      </c>
      <c r="E187" s="9">
        <v>540042</v>
      </c>
      <c r="F187" s="9">
        <v>26500</v>
      </c>
      <c r="G187" s="39" t="s">
        <v>209</v>
      </c>
    </row>
    <row r="188" spans="1:11" x14ac:dyDescent="0.25">
      <c r="A188" s="52" t="str">
        <f>_xlfn.CONCAT(TablaMeta[[#This Row],[AÑO]],TablaMeta[[#This Row],[mes]],TablaMeta[[#This Row],[Equipo]])</f>
        <v>2026FEBREROGUSTAVO</v>
      </c>
      <c r="B188" s="49" t="s">
        <v>208</v>
      </c>
      <c r="C188" s="27" t="s">
        <v>140</v>
      </c>
      <c r="D188" s="28" t="s">
        <v>124</v>
      </c>
      <c r="E188" s="29">
        <v>294869</v>
      </c>
      <c r="F188" s="29">
        <v>23500</v>
      </c>
      <c r="G188" s="53" t="s">
        <v>175</v>
      </c>
    </row>
    <row r="189" spans="1:11" x14ac:dyDescent="0.25">
      <c r="A189" s="51" t="str">
        <f>_xlfn.CONCAT(TablaMeta[[#This Row],[AÑO]],TablaMeta[[#This Row],[mes]],TablaMeta[[#This Row],[Equipo]])</f>
        <v>2026MARZOKENNETH</v>
      </c>
      <c r="B189" s="48" t="s">
        <v>208</v>
      </c>
      <c r="C189" s="26" t="s">
        <v>141</v>
      </c>
      <c r="D189" s="12" t="s">
        <v>6</v>
      </c>
      <c r="E189" s="9">
        <v>211363</v>
      </c>
      <c r="F189" s="9">
        <v>30500</v>
      </c>
      <c r="G189" s="39" t="s">
        <v>583</v>
      </c>
    </row>
    <row r="190" spans="1:11" x14ac:dyDescent="0.25">
      <c r="A190" s="51" t="str">
        <f>_xlfn.CONCAT(TablaMeta[[#This Row],[AÑO]],TablaMeta[[#This Row],[mes]],TablaMeta[[#This Row],[Equipo]])</f>
        <v>2026MARZOKENNETH</v>
      </c>
      <c r="B190" s="48" t="s">
        <v>208</v>
      </c>
      <c r="C190" s="26" t="s">
        <v>141</v>
      </c>
      <c r="D190" s="12" t="s">
        <v>6</v>
      </c>
      <c r="E190" s="9">
        <v>255418</v>
      </c>
      <c r="F190" s="9">
        <v>86000</v>
      </c>
      <c r="G190" s="39" t="s">
        <v>584</v>
      </c>
    </row>
    <row r="191" spans="1:11" x14ac:dyDescent="0.25">
      <c r="A191" s="51" t="str">
        <f>_xlfn.CONCAT(TablaMeta[[#This Row],[AÑO]],TablaMeta[[#This Row],[mes]],TablaMeta[[#This Row],[Equipo]])</f>
        <v>2026MARZOSANDY</v>
      </c>
      <c r="B191" s="48" t="s">
        <v>208</v>
      </c>
      <c r="C191" s="26" t="s">
        <v>141</v>
      </c>
      <c r="D191" s="12" t="s">
        <v>3</v>
      </c>
      <c r="E191" s="9">
        <v>225223</v>
      </c>
      <c r="F191" s="9">
        <v>32500</v>
      </c>
      <c r="G191" s="39" t="s">
        <v>583</v>
      </c>
    </row>
    <row r="192" spans="1:11" x14ac:dyDescent="0.25">
      <c r="A192" s="51" t="str">
        <f>_xlfn.CONCAT(TablaMeta[[#This Row],[AÑO]],TablaMeta[[#This Row],[mes]],TablaMeta[[#This Row],[Equipo]])</f>
        <v>2026MARZOSANDY</v>
      </c>
      <c r="B192" s="48" t="s">
        <v>208</v>
      </c>
      <c r="C192" s="26" t="s">
        <v>141</v>
      </c>
      <c r="D192" s="12" t="s">
        <v>3</v>
      </c>
      <c r="E192" s="9">
        <v>279178</v>
      </c>
      <c r="F192" s="9">
        <v>94000</v>
      </c>
      <c r="G192" s="39" t="s">
        <v>584</v>
      </c>
    </row>
    <row r="193" spans="1:13" x14ac:dyDescent="0.25">
      <c r="A193" s="52" t="str">
        <f>_xlfn.CONCAT(TablaMeta[[#This Row],[AÑO]],TablaMeta[[#This Row],[mes]],TablaMeta[[#This Row],[Equipo]])</f>
        <v>2026MARZOJORGE</v>
      </c>
      <c r="B193" s="49" t="s">
        <v>208</v>
      </c>
      <c r="C193" s="26" t="s">
        <v>141</v>
      </c>
      <c r="D193" s="28" t="s">
        <v>2</v>
      </c>
      <c r="E193" s="29">
        <v>609835</v>
      </c>
      <c r="F193" s="29">
        <v>56000</v>
      </c>
      <c r="G193" s="53" t="s">
        <v>159</v>
      </c>
    </row>
    <row r="194" spans="1:13" x14ac:dyDescent="0.25">
      <c r="A194" s="51" t="str">
        <f>_xlfn.CONCAT(TablaMeta[[#This Row],[AÑO]],TablaMeta[[#This Row],[mes]],TablaMeta[[#This Row],[Equipo]])</f>
        <v>2026MARZOJOHAN</v>
      </c>
      <c r="B194" s="48" t="s">
        <v>208</v>
      </c>
      <c r="C194" s="26" t="s">
        <v>141</v>
      </c>
      <c r="D194" s="12" t="s">
        <v>125</v>
      </c>
      <c r="E194" s="9">
        <v>609835</v>
      </c>
      <c r="F194" s="9">
        <v>56000</v>
      </c>
      <c r="G194" s="39" t="s">
        <v>159</v>
      </c>
    </row>
    <row r="195" spans="1:13" x14ac:dyDescent="0.25">
      <c r="A195" s="51" t="str">
        <f>_xlfn.CONCAT(TablaMeta[[#This Row],[AÑO]],TablaMeta[[#This Row],[mes]],TablaMeta[[#This Row],[Equipo]])</f>
        <v>2026MARZOLEONOR</v>
      </c>
      <c r="B195" s="48" t="s">
        <v>208</v>
      </c>
      <c r="C195" s="26" t="s">
        <v>141</v>
      </c>
      <c r="D195" s="12" t="s">
        <v>7</v>
      </c>
      <c r="E195" s="9">
        <v>173249</v>
      </c>
      <c r="F195" s="9">
        <v>35000</v>
      </c>
      <c r="G195" s="39" t="s">
        <v>586</v>
      </c>
    </row>
    <row r="196" spans="1:13" x14ac:dyDescent="0.25">
      <c r="A196" s="51" t="str">
        <f>_xlfn.CONCAT(TablaMeta[[#This Row],[AÑO]],TablaMeta[[#This Row],[mes]],TablaMeta[[#This Row],[Equipo]])</f>
        <v>2026MARZOLEONOR</v>
      </c>
      <c r="B196" s="48" t="s">
        <v>208</v>
      </c>
      <c r="C196" s="26" t="s">
        <v>141</v>
      </c>
      <c r="D196" s="12" t="s">
        <v>7</v>
      </c>
      <c r="E196" s="9">
        <v>95039</v>
      </c>
      <c r="F196" s="9">
        <v>16000</v>
      </c>
      <c r="G196" s="39" t="s">
        <v>587</v>
      </c>
    </row>
    <row r="197" spans="1:13" x14ac:dyDescent="0.25">
      <c r="A197" s="51" t="str">
        <f>_xlfn.CONCAT(TablaMeta[[#This Row],[AÑO]],TablaMeta[[#This Row],[mes]],TablaMeta[[#This Row],[Equipo]])</f>
        <v>2026ABRILSANDY</v>
      </c>
      <c r="B197" s="48" t="s">
        <v>208</v>
      </c>
      <c r="C197" s="26" t="s">
        <v>142</v>
      </c>
      <c r="D197" s="12" t="s">
        <v>3</v>
      </c>
      <c r="E197" s="9">
        <v>279317</v>
      </c>
      <c r="F197" s="29">
        <v>28000</v>
      </c>
      <c r="G197" s="39" t="s">
        <v>209</v>
      </c>
      <c r="I197" s="45"/>
    </row>
    <row r="198" spans="1:13" x14ac:dyDescent="0.25">
      <c r="A198" s="51" t="str">
        <f>_xlfn.CONCAT(TablaMeta[[#This Row],[AÑO]],TablaMeta[[#This Row],[mes]],TablaMeta[[#This Row],[Equipo]])</f>
        <v>2026ABRILKENNETH</v>
      </c>
      <c r="B198" s="48" t="s">
        <v>208</v>
      </c>
      <c r="C198" s="26" t="s">
        <v>142</v>
      </c>
      <c r="D198" s="12" t="s">
        <v>6</v>
      </c>
      <c r="E198" s="9">
        <v>362638</v>
      </c>
      <c r="F198" s="29">
        <v>52000</v>
      </c>
      <c r="G198" s="39" t="s">
        <v>209</v>
      </c>
      <c r="I198" s="45"/>
    </row>
    <row r="199" spans="1:13" x14ac:dyDescent="0.25">
      <c r="A199" s="51" t="str">
        <f>_xlfn.CONCAT(TablaMeta[[#This Row],[AÑO]],TablaMeta[[#This Row],[mes]],TablaMeta[[#This Row],[Equipo]])</f>
        <v>2026ABRILJOHAN</v>
      </c>
      <c r="B199" s="48" t="s">
        <v>208</v>
      </c>
      <c r="C199" s="26" t="s">
        <v>142</v>
      </c>
      <c r="D199" s="12" t="s">
        <v>125</v>
      </c>
      <c r="E199" s="9">
        <v>529535</v>
      </c>
      <c r="F199" s="9">
        <v>48500</v>
      </c>
      <c r="G199" s="39" t="s">
        <v>159</v>
      </c>
    </row>
    <row r="200" spans="1:13" x14ac:dyDescent="0.25">
      <c r="A200" s="51" t="str">
        <f>_xlfn.CONCAT(TablaMeta[[#This Row],[AÑO]],TablaMeta[[#This Row],[mes]],TablaMeta[[#This Row],[Equipo]])</f>
        <v>2026ABRILJORGE</v>
      </c>
      <c r="B200" s="48" t="s">
        <v>208</v>
      </c>
      <c r="C200" s="26" t="s">
        <v>142</v>
      </c>
      <c r="D200" s="12" t="s">
        <v>2</v>
      </c>
      <c r="E200" s="9">
        <v>529535</v>
      </c>
      <c r="F200" s="9">
        <v>48500</v>
      </c>
      <c r="G200" s="39" t="s">
        <v>159</v>
      </c>
    </row>
    <row r="201" spans="1:13" x14ac:dyDescent="0.25">
      <c r="A201" s="51" t="str">
        <f>_xlfn.CONCAT(TablaMeta[[#This Row],[AÑO]],TablaMeta[[#This Row],[mes]],TablaMeta[[#This Row],[Equipo]])</f>
        <v>2026ABRILLEONOR</v>
      </c>
      <c r="B201" s="48" t="s">
        <v>208</v>
      </c>
      <c r="C201" s="26" t="s">
        <v>142</v>
      </c>
      <c r="D201" s="12" t="s">
        <v>7</v>
      </c>
      <c r="E201" s="9">
        <v>148634</v>
      </c>
      <c r="F201" s="9">
        <v>25000</v>
      </c>
      <c r="G201" s="39" t="s">
        <v>586</v>
      </c>
    </row>
    <row r="202" spans="1:13" x14ac:dyDescent="0.25">
      <c r="A202" s="52" t="str">
        <f>_xlfn.CONCAT(TablaMeta[[#This Row],[AÑO]],TablaMeta[[#This Row],[mes]],TablaMeta[[#This Row],[Equipo]])</f>
        <v>2026ABRILLEONOR</v>
      </c>
      <c r="B202" s="49" t="s">
        <v>208</v>
      </c>
      <c r="C202" s="27" t="s">
        <v>142</v>
      </c>
      <c r="D202" s="28" t="s">
        <v>7</v>
      </c>
      <c r="E202" s="29">
        <v>96486</v>
      </c>
      <c r="F202" s="29">
        <v>16500</v>
      </c>
      <c r="G202" s="53" t="s">
        <v>587</v>
      </c>
    </row>
    <row r="203" spans="1:13" x14ac:dyDescent="0.25">
      <c r="A203" s="51" t="str">
        <f>_xlfn.CONCAT(TablaMeta[[#This Row],[AÑO]],TablaMeta[[#This Row],[mes]],TablaMeta[[#This Row],[Equipo]])</f>
        <v>2026MAYOSANDY</v>
      </c>
      <c r="B203" s="48" t="s">
        <v>208</v>
      </c>
      <c r="C203" s="26" t="s">
        <v>143</v>
      </c>
      <c r="D203" s="75" t="s">
        <v>3</v>
      </c>
      <c r="E203" s="9">
        <v>384414</v>
      </c>
      <c r="F203" s="9">
        <v>38500</v>
      </c>
      <c r="G203" s="39" t="s">
        <v>209</v>
      </c>
      <c r="L203" s="45"/>
      <c r="M203" s="45"/>
    </row>
    <row r="204" spans="1:13" x14ac:dyDescent="0.25">
      <c r="A204" s="51" t="str">
        <f>_xlfn.CONCAT(TablaMeta[[#This Row],[AÑO]],TablaMeta[[#This Row],[mes]],TablaMeta[[#This Row],[Equipo]])</f>
        <v>2026MAYOKENNETH</v>
      </c>
      <c r="B204" s="48" t="s">
        <v>208</v>
      </c>
      <c r="C204" s="26" t="s">
        <v>143</v>
      </c>
      <c r="D204" s="75" t="s">
        <v>6</v>
      </c>
      <c r="E204" s="9">
        <v>429088</v>
      </c>
      <c r="F204" s="9">
        <v>61300</v>
      </c>
      <c r="G204" s="39" t="s">
        <v>209</v>
      </c>
      <c r="L204" s="45"/>
      <c r="M204" s="45"/>
    </row>
    <row r="205" spans="1:13" x14ac:dyDescent="0.25">
      <c r="A205" s="51" t="str">
        <f>_xlfn.CONCAT(TablaMeta[[#This Row],[AÑO]],TablaMeta[[#This Row],[mes]],TablaMeta[[#This Row],[Equipo]])</f>
        <v>2026MAYOLISELY</v>
      </c>
      <c r="B205" s="48" t="s">
        <v>208</v>
      </c>
      <c r="C205" s="26" t="s">
        <v>143</v>
      </c>
      <c r="D205" s="75" t="s">
        <v>604</v>
      </c>
      <c r="E205" s="9">
        <v>181876</v>
      </c>
      <c r="F205" s="9">
        <v>22800</v>
      </c>
      <c r="G205" s="39" t="s">
        <v>586</v>
      </c>
      <c r="L205" s="45"/>
      <c r="M205" s="45"/>
    </row>
    <row r="206" spans="1:13" x14ac:dyDescent="0.25">
      <c r="A206" s="51" t="str">
        <f>_xlfn.CONCAT(TablaMeta[[#This Row],[AÑO]],TablaMeta[[#This Row],[mes]],TablaMeta[[#This Row],[Equipo]])</f>
        <v>2026MAYOLISELY</v>
      </c>
      <c r="B206" s="48" t="s">
        <v>208</v>
      </c>
      <c r="C206" s="26" t="s">
        <v>143</v>
      </c>
      <c r="D206" s="75" t="s">
        <v>604</v>
      </c>
      <c r="E206" s="9">
        <v>108291</v>
      </c>
      <c r="F206" s="9">
        <v>18100</v>
      </c>
      <c r="G206" s="53" t="s">
        <v>587</v>
      </c>
      <c r="L206" s="45"/>
      <c r="M206" s="45"/>
    </row>
    <row r="207" spans="1:13" x14ac:dyDescent="0.25">
      <c r="A207" s="51" t="str">
        <f>_xlfn.CONCAT(TablaMeta[[#This Row],[AÑO]],TablaMeta[[#This Row],[mes]],TablaMeta[[#This Row],[Equipo]])</f>
        <v>2026MAYOJORGE</v>
      </c>
      <c r="B207" s="48" t="s">
        <v>208</v>
      </c>
      <c r="C207" s="26" t="s">
        <v>143</v>
      </c>
      <c r="D207" s="75" t="s">
        <v>2</v>
      </c>
      <c r="E207" s="9">
        <v>446424</v>
      </c>
      <c r="F207" s="9">
        <v>44700</v>
      </c>
      <c r="G207" s="39" t="s">
        <v>159</v>
      </c>
      <c r="L207" s="45"/>
      <c r="M207" s="45"/>
    </row>
    <row r="208" spans="1:13" x14ac:dyDescent="0.25">
      <c r="A208" s="52" t="str">
        <f>_xlfn.CONCAT(TablaMeta[[#This Row],[AÑO]],TablaMeta[[#This Row],[mes]],TablaMeta[[#This Row],[Equipo]])</f>
        <v>2026MAYOLEONOR</v>
      </c>
      <c r="B208" s="49" t="s">
        <v>208</v>
      </c>
      <c r="C208" s="26" t="s">
        <v>143</v>
      </c>
      <c r="D208" s="76" t="s">
        <v>7</v>
      </c>
      <c r="E208" s="29">
        <v>446424</v>
      </c>
      <c r="F208" s="29">
        <v>44700</v>
      </c>
      <c r="G208" s="39" t="s">
        <v>159</v>
      </c>
      <c r="L208" s="45"/>
      <c r="M208" s="45"/>
    </row>
    <row r="209" spans="5:5" x14ac:dyDescent="0.25">
      <c r="E209" s="45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751C70-F8A0-4BD3-A424-ADA8C60076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NOVIEMBRE_2024</vt:lpstr>
      <vt:lpstr>DICIEMBRE_2024</vt:lpstr>
      <vt:lpstr>ENERO_2025</vt:lpstr>
      <vt:lpstr>FEBRERO_2025</vt:lpstr>
      <vt:lpstr>MARZO_2025</vt:lpstr>
      <vt:lpstr>ABRIL_2025</vt:lpstr>
      <vt:lpstr>MAYO_2025</vt:lpstr>
      <vt:lpstr>JUNIO_2025</vt:lpstr>
      <vt:lpstr>JULIO_2025</vt:lpstr>
      <vt:lpstr>AGOSTO_2025</vt:lpstr>
      <vt:lpstr>ING</vt:lpstr>
      <vt:lpstr>OCTUBRE_2025</vt:lpstr>
      <vt:lpstr>NOVIEMBRE_2025</vt:lpstr>
      <vt:lpstr>DICIEMBRE_2025</vt:lpstr>
      <vt:lpstr>ENERO_2026</vt:lpstr>
      <vt:lpstr>FEBRERO_2026</vt:lpstr>
      <vt:lpstr>MARZO_2026</vt:lpstr>
      <vt:lpstr>ABRIL_2026</vt:lpstr>
      <vt:lpstr>MAYO_2026</vt:lpstr>
      <vt:lpstr>INF</vt:lpstr>
      <vt:lpstr>DIM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Vasquez</dc:creator>
  <cp:lastModifiedBy>Jorge Vasquez</cp:lastModifiedBy>
  <dcterms:created xsi:type="dcterms:W3CDTF">2025-08-08T17:28:32Z</dcterms:created>
  <dcterms:modified xsi:type="dcterms:W3CDTF">2026-05-08T13:05:34Z</dcterms:modified>
</cp:coreProperties>
</file>