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queryTables/queryTable1.xml" ContentType="application/vnd.openxmlformats-officedocument.spreadsheetml.query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queryTables/queryTable2.xml" ContentType="application/vnd.openxmlformats-officedocument.spreadsheetml.queryTable+xml"/>
  <Override PartName="/xl/tables/table43.xml" ContentType="application/vnd.openxmlformats-officedocument.spreadsheetml.table+xml"/>
  <Override PartName="/xl/queryTables/queryTable3.xml" ContentType="application/vnd.openxmlformats-officedocument.spreadsheetml.queryTable+xml"/>
  <Override PartName="/xl/tables/table4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E146496B-6688-4C5D-BE2C-00CA4ADCB387}" xr6:coauthVersionLast="47" xr6:coauthVersionMax="47" xr10:uidLastSave="{00000000-0000-0000-0000-000000000000}"/>
  <bookViews>
    <workbookView xWindow="-120" yWindow="-120" windowWidth="20730" windowHeight="11040" firstSheet="7" activeTab="10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17" r:id="rId11"/>
  </sheets>
  <definedNames>
    <definedName name="_xlnm._FilterDatabase" localSheetId="6" hidden="1">JULIO_2025!#REF!</definedName>
    <definedName name="_xlnm._FilterDatabase" localSheetId="8" hidden="1">SETIEMBRE_2025!$AY$6:$BC$15</definedName>
    <definedName name="DatosExternos_10" localSheetId="10" hidden="1">NOVIEMBRE_2025!$H$11:$H$13</definedName>
    <definedName name="DatosExternos_11" localSheetId="10" hidden="1">NOVIEMBRE_2025!$A$2:$E$92</definedName>
    <definedName name="DatosExternos_9" localSheetId="10" hidden="1">NOVIEMBRE_2025!$H$2:$I$8</definedName>
    <definedName name="DatosExternos_9" localSheetId="9" hidden="1">OCTUBRE_2025!$H$2:$I$8</definedName>
  </definedNames>
  <calcPr calcId="191029"/>
  <pivotCaches>
    <pivotCache cacheId="0" r:id="rId12"/>
    <pivotCache cacheId="1" r:id="rId13"/>
    <pivotCache cacheId="2" r:id="rId14"/>
    <pivotCache cacheId="3" r:id="rId15"/>
    <pivotCache cacheId="4" r:id="rId16"/>
    <pivotCache cacheId="5" r:id="rId17"/>
    <pivotCache cacheId="6" r:id="rId18"/>
    <pivotCache cacheId="7" r:id="rId19"/>
    <pivotCache cacheId="8" r:id="rId20"/>
    <pivotCache cacheId="9" r:id="rId21"/>
    <pivotCache cacheId="1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7" l="1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AZ8" i="17"/>
  <c r="AZ12" i="17"/>
  <c r="BB8" i="17"/>
  <c r="AZ9" i="17"/>
  <c r="BA10" i="17"/>
  <c r="BB11" i="17"/>
  <c r="BA8" i="17"/>
  <c r="BA12" i="17"/>
  <c r="BB12" i="17"/>
  <c r="AZ13" i="17"/>
  <c r="BA14" i="17"/>
  <c r="BA11" i="17"/>
  <c r="BA9" i="17"/>
  <c r="BA13" i="17"/>
  <c r="BB9" i="17"/>
  <c r="BB13" i="17"/>
  <c r="AZ10" i="17"/>
  <c r="AZ14" i="17"/>
  <c r="BB10" i="17"/>
  <c r="BB14" i="17"/>
  <c r="AZ11" i="17"/>
  <c r="BB7" i="17"/>
  <c r="BA7" i="17"/>
  <c r="AZ7" i="17"/>
  <c r="AV7" i="17"/>
  <c r="AU7" i="17"/>
  <c r="AT7" i="17"/>
  <c r="AS7" i="17"/>
  <c r="AR7" i="17"/>
  <c r="AQ7" i="17"/>
  <c r="AM7" i="17"/>
  <c r="AL7" i="17"/>
  <c r="AH7" i="17"/>
  <c r="AG7" i="17"/>
  <c r="AF7" i="17"/>
  <c r="AB3" i="18" l="1"/>
  <c r="AB2" i="18"/>
  <c r="O128" i="18"/>
  <c r="M128" i="18"/>
  <c r="N128" i="18" s="1" a="1"/>
  <c r="N128" i="18" s="1"/>
  <c r="O127" i="18"/>
  <c r="M127" i="18"/>
  <c r="N127" i="18" s="1" a="1"/>
  <c r="N127" i="18" s="1"/>
  <c r="O126" i="18"/>
  <c r="M126" i="18"/>
  <c r="N126" i="18" s="1" a="1"/>
  <c r="N126" i="18" s="1"/>
  <c r="O125" i="18"/>
  <c r="M125" i="18"/>
  <c r="N125" i="18" s="1" a="1"/>
  <c r="N125" i="18" s="1"/>
  <c r="O124" i="18"/>
  <c r="M124" i="18"/>
  <c r="N124" i="18" s="1" a="1"/>
  <c r="N124" i="18" s="1"/>
  <c r="O123" i="18"/>
  <c r="M123" i="18"/>
  <c r="N123" i="18" s="1" a="1"/>
  <c r="N123" i="18" s="1"/>
  <c r="O122" i="18"/>
  <c r="M122" i="18"/>
  <c r="N122" i="18" s="1" a="1"/>
  <c r="N122" i="18" s="1"/>
  <c r="O121" i="18"/>
  <c r="M121" i="18"/>
  <c r="N121" i="18" s="1" a="1"/>
  <c r="N121" i="18" s="1"/>
  <c r="O120" i="18"/>
  <c r="M120" i="18"/>
  <c r="N120" i="18" s="1" a="1"/>
  <c r="N120" i="18" s="1"/>
  <c r="O119" i="18"/>
  <c r="M119" i="18"/>
  <c r="N119" i="18" s="1" a="1"/>
  <c r="N119" i="18" s="1"/>
  <c r="O118" i="18"/>
  <c r="M118" i="18"/>
  <c r="N118" i="18" s="1" a="1"/>
  <c r="N118" i="18" s="1"/>
  <c r="O117" i="18"/>
  <c r="M117" i="18"/>
  <c r="N117" i="18" s="1" a="1"/>
  <c r="N117" i="18" s="1"/>
  <c r="O116" i="18"/>
  <c r="M116" i="18"/>
  <c r="N116" i="18" s="1" a="1"/>
  <c r="N116" i="18" s="1"/>
  <c r="O115" i="18"/>
  <c r="M115" i="18"/>
  <c r="N115" i="18" s="1" a="1"/>
  <c r="N115" i="18" s="1"/>
  <c r="O114" i="18"/>
  <c r="M114" i="18"/>
  <c r="N114" i="18" s="1" a="1"/>
  <c r="N114" i="18" s="1"/>
  <c r="O113" i="18"/>
  <c r="M113" i="18"/>
  <c r="N113" i="18" s="1" a="1"/>
  <c r="N113" i="18" s="1"/>
  <c r="O112" i="18"/>
  <c r="M112" i="18"/>
  <c r="N112" i="18" s="1" a="1"/>
  <c r="N112" i="18" s="1"/>
  <c r="O111" i="18"/>
  <c r="M111" i="18"/>
  <c r="N111" i="18" s="1" a="1"/>
  <c r="N111" i="18" s="1"/>
  <c r="O110" i="18"/>
  <c r="M110" i="18"/>
  <c r="N110" i="18" s="1" a="1"/>
  <c r="N110" i="18" s="1"/>
  <c r="O109" i="18"/>
  <c r="N109" i="18" a="1"/>
  <c r="N109" i="18" s="1"/>
  <c r="M109" i="18"/>
  <c r="O108" i="18"/>
  <c r="M108" i="18"/>
  <c r="N108" i="18" s="1" a="1"/>
  <c r="N108" i="18" s="1"/>
  <c r="O107" i="18"/>
  <c r="M107" i="18"/>
  <c r="N107" i="18" s="1" a="1"/>
  <c r="N107" i="18" s="1"/>
  <c r="O106" i="18"/>
  <c r="M106" i="18"/>
  <c r="N106" i="18" s="1" a="1"/>
  <c r="N106" i="18" s="1"/>
  <c r="O105" i="18"/>
  <c r="M105" i="18"/>
  <c r="N105" i="18" s="1" a="1"/>
  <c r="N105" i="18" s="1"/>
  <c r="O104" i="18"/>
  <c r="M104" i="18"/>
  <c r="N104" i="18" s="1" a="1"/>
  <c r="N104" i="18" s="1"/>
  <c r="O103" i="18"/>
  <c r="M103" i="18"/>
  <c r="N103" i="18" s="1" a="1"/>
  <c r="N103" i="18" s="1"/>
  <c r="O102" i="18"/>
  <c r="M102" i="18"/>
  <c r="N102" i="18" s="1" a="1"/>
  <c r="N102" i="18" s="1"/>
  <c r="O101" i="18"/>
  <c r="M101" i="18"/>
  <c r="N101" i="18" s="1" a="1"/>
  <c r="N101" i="18" s="1"/>
  <c r="O100" i="18"/>
  <c r="M100" i="18"/>
  <c r="N100" i="18" s="1" a="1"/>
  <c r="N100" i="18" s="1"/>
  <c r="O99" i="18"/>
  <c r="M99" i="18"/>
  <c r="N99" i="18" s="1" a="1"/>
  <c r="N99" i="18" s="1"/>
  <c r="O98" i="18"/>
  <c r="M98" i="18"/>
  <c r="N98" i="18" s="1" a="1"/>
  <c r="N98" i="18" s="1"/>
  <c r="O97" i="18"/>
  <c r="M97" i="18"/>
  <c r="N97" i="18" s="1" a="1"/>
  <c r="N97" i="18" s="1"/>
  <c r="O96" i="18"/>
  <c r="M96" i="18"/>
  <c r="N96" i="18" s="1" a="1"/>
  <c r="N96" i="18" s="1"/>
  <c r="O95" i="18"/>
  <c r="M95" i="18"/>
  <c r="N95" i="18" s="1" a="1"/>
  <c r="N95" i="18" s="1"/>
  <c r="O94" i="18"/>
  <c r="M94" i="18"/>
  <c r="N94" i="18" s="1" a="1"/>
  <c r="N94" i="18" s="1"/>
  <c r="O93" i="18"/>
  <c r="M93" i="18"/>
  <c r="N93" i="18" s="1" a="1"/>
  <c r="N93" i="18" s="1"/>
  <c r="O92" i="18"/>
  <c r="M92" i="18"/>
  <c r="N92" i="18" s="1" a="1"/>
  <c r="N92" i="18" s="1"/>
  <c r="O91" i="18"/>
  <c r="M91" i="18"/>
  <c r="N91" i="18" s="1" a="1"/>
  <c r="N91" i="18" s="1"/>
  <c r="O90" i="18"/>
  <c r="M90" i="18"/>
  <c r="N90" i="18" s="1" a="1"/>
  <c r="N90" i="18" s="1"/>
  <c r="O89" i="18"/>
  <c r="M89" i="18"/>
  <c r="N89" i="18" s="1" a="1"/>
  <c r="N89" i="18" s="1"/>
  <c r="O88" i="18"/>
  <c r="M88" i="18"/>
  <c r="N88" i="18" s="1" a="1"/>
  <c r="N88" i="18" s="1"/>
  <c r="O87" i="18"/>
  <c r="M87" i="18"/>
  <c r="N87" i="18" s="1" a="1"/>
  <c r="N87" i="18" s="1"/>
  <c r="O86" i="18"/>
  <c r="M86" i="18"/>
  <c r="N86" i="18" s="1" a="1"/>
  <c r="N86" i="18" s="1"/>
  <c r="O85" i="18"/>
  <c r="M85" i="18"/>
  <c r="N85" i="18" s="1" a="1"/>
  <c r="N85" i="18" s="1"/>
  <c r="O84" i="18"/>
  <c r="M84" i="18"/>
  <c r="N84" i="18" s="1" a="1"/>
  <c r="N84" i="18" s="1"/>
  <c r="O83" i="18"/>
  <c r="M83" i="18"/>
  <c r="N83" i="18" s="1" a="1"/>
  <c r="N83" i="18" s="1"/>
  <c r="O82" i="18"/>
  <c r="M82" i="18"/>
  <c r="N82" i="18" s="1" a="1"/>
  <c r="N82" i="18" s="1"/>
  <c r="O81" i="18"/>
  <c r="M81" i="18"/>
  <c r="N81" i="18" s="1" a="1"/>
  <c r="N81" i="18" s="1"/>
  <c r="O80" i="18"/>
  <c r="M80" i="18"/>
  <c r="N80" i="18" s="1" a="1"/>
  <c r="N80" i="18" s="1"/>
  <c r="O79" i="18"/>
  <c r="M79" i="18"/>
  <c r="N79" i="18" s="1" a="1"/>
  <c r="N79" i="18" s="1"/>
  <c r="O78" i="18"/>
  <c r="M78" i="18"/>
  <c r="N78" i="18" s="1" a="1"/>
  <c r="N78" i="18" s="1"/>
  <c r="O77" i="18"/>
  <c r="M77" i="18"/>
  <c r="N77" i="18" s="1" a="1"/>
  <c r="N77" i="18" s="1"/>
  <c r="O76" i="18"/>
  <c r="M76" i="18"/>
  <c r="N76" i="18" s="1" a="1"/>
  <c r="N76" i="18" s="1"/>
  <c r="O75" i="18"/>
  <c r="M75" i="18"/>
  <c r="N75" i="18" s="1" a="1"/>
  <c r="N75" i="18" s="1"/>
  <c r="O74" i="18"/>
  <c r="M74" i="18"/>
  <c r="N74" i="18" s="1" a="1"/>
  <c r="N74" i="18" s="1"/>
  <c r="O73" i="18"/>
  <c r="N73" i="18" a="1"/>
  <c r="N73" i="18" s="1"/>
  <c r="M73" i="18"/>
  <c r="O72" i="18"/>
  <c r="M72" i="18"/>
  <c r="N72" i="18" s="1" a="1"/>
  <c r="N72" i="18" s="1"/>
  <c r="O71" i="18"/>
  <c r="M71" i="18"/>
  <c r="N71" i="18" s="1" a="1"/>
  <c r="N71" i="18" s="1"/>
  <c r="O70" i="18"/>
  <c r="M70" i="18"/>
  <c r="N70" i="18" s="1" a="1"/>
  <c r="N70" i="18" s="1"/>
  <c r="O69" i="18"/>
  <c r="M69" i="18"/>
  <c r="N69" i="18" s="1" a="1"/>
  <c r="N69" i="18" s="1"/>
  <c r="O68" i="18"/>
  <c r="M68" i="18"/>
  <c r="N68" i="18" s="1" a="1"/>
  <c r="N68" i="18" s="1"/>
  <c r="O67" i="18"/>
  <c r="M67" i="18"/>
  <c r="N67" i="18" s="1" a="1"/>
  <c r="N67" i="18" s="1"/>
  <c r="O66" i="18"/>
  <c r="M66" i="18"/>
  <c r="N66" i="18" s="1" a="1"/>
  <c r="N66" i="18" s="1"/>
  <c r="O65" i="18"/>
  <c r="M65" i="18"/>
  <c r="N65" i="18" s="1" a="1"/>
  <c r="N65" i="18" s="1"/>
  <c r="O64" i="18"/>
  <c r="M64" i="18"/>
  <c r="N64" i="18" s="1" a="1"/>
  <c r="N64" i="18" s="1"/>
  <c r="O63" i="18"/>
  <c r="M63" i="18"/>
  <c r="N63" i="18" s="1" a="1"/>
  <c r="N63" i="18" s="1"/>
  <c r="O62" i="18"/>
  <c r="M62" i="18"/>
  <c r="N62" i="18" s="1" a="1"/>
  <c r="N62" i="18" s="1"/>
  <c r="O61" i="18"/>
  <c r="M61" i="18"/>
  <c r="N61" i="18" s="1" a="1"/>
  <c r="N61" i="18" s="1"/>
  <c r="O60" i="18"/>
  <c r="M60" i="18"/>
  <c r="N60" i="18" s="1" a="1"/>
  <c r="N60" i="18" s="1"/>
  <c r="O59" i="18"/>
  <c r="M59" i="18"/>
  <c r="N59" i="18" s="1" a="1"/>
  <c r="N59" i="18" s="1"/>
  <c r="O58" i="18"/>
  <c r="M58" i="18"/>
  <c r="N58" i="18" s="1" a="1"/>
  <c r="N58" i="18" s="1"/>
  <c r="O57" i="18"/>
  <c r="M57" i="18"/>
  <c r="N57" i="18" s="1" a="1"/>
  <c r="N57" i="18" s="1"/>
  <c r="O56" i="18"/>
  <c r="M56" i="18"/>
  <c r="N56" i="18" s="1" a="1"/>
  <c r="N56" i="18" s="1"/>
  <c r="O55" i="18"/>
  <c r="M55" i="18"/>
  <c r="N55" i="18" s="1" a="1"/>
  <c r="N55" i="18" s="1"/>
  <c r="O54" i="18"/>
  <c r="M54" i="18"/>
  <c r="N54" i="18" s="1" a="1"/>
  <c r="N54" i="18" s="1"/>
  <c r="O53" i="18"/>
  <c r="M53" i="18"/>
  <c r="N53" i="18" s="1" a="1"/>
  <c r="N53" i="18" s="1"/>
  <c r="O52" i="18"/>
  <c r="M52" i="18"/>
  <c r="N52" i="18" s="1" a="1"/>
  <c r="N52" i="18" s="1"/>
  <c r="O51" i="18"/>
  <c r="M51" i="18"/>
  <c r="N51" i="18" s="1" a="1"/>
  <c r="N51" i="18" s="1"/>
  <c r="O50" i="18"/>
  <c r="M50" i="18"/>
  <c r="N50" i="18" s="1" a="1"/>
  <c r="N50" i="18" s="1"/>
  <c r="O49" i="18"/>
  <c r="M49" i="18"/>
  <c r="N49" i="18" s="1" a="1"/>
  <c r="N49" i="18" s="1"/>
  <c r="O48" i="18"/>
  <c r="M48" i="18"/>
  <c r="N48" i="18" s="1" a="1"/>
  <c r="N48" i="18" s="1"/>
  <c r="O47" i="18"/>
  <c r="M47" i="18"/>
  <c r="N47" i="18" s="1" a="1"/>
  <c r="N47" i="18" s="1"/>
  <c r="O46" i="18"/>
  <c r="M46" i="18"/>
  <c r="N46" i="18" s="1" a="1"/>
  <c r="N46" i="18" s="1"/>
  <c r="O45" i="18"/>
  <c r="M45" i="18"/>
  <c r="N45" i="18" s="1" a="1"/>
  <c r="N45" i="18" s="1"/>
  <c r="O44" i="18"/>
  <c r="M44" i="18"/>
  <c r="N44" i="18" s="1" a="1"/>
  <c r="N44" i="18" s="1"/>
  <c r="O43" i="18"/>
  <c r="M43" i="18"/>
  <c r="N43" i="18" s="1" a="1"/>
  <c r="N43" i="18" s="1"/>
  <c r="O42" i="18"/>
  <c r="M42" i="18"/>
  <c r="N42" i="18" s="1" a="1"/>
  <c r="N42" i="18" s="1"/>
  <c r="O41" i="18"/>
  <c r="M41" i="18"/>
  <c r="N41" i="18" s="1" a="1"/>
  <c r="N41" i="18" s="1"/>
  <c r="O40" i="18"/>
  <c r="M40" i="18"/>
  <c r="N40" i="18" s="1" a="1"/>
  <c r="N40" i="18" s="1"/>
  <c r="O39" i="18"/>
  <c r="M39" i="18"/>
  <c r="N39" i="18" s="1" a="1"/>
  <c r="N39" i="18" s="1"/>
  <c r="O38" i="18"/>
  <c r="M38" i="18"/>
  <c r="N38" i="18" s="1" a="1"/>
  <c r="N38" i="18" s="1"/>
  <c r="O37" i="18"/>
  <c r="N37" i="18" a="1"/>
  <c r="N37" i="18" s="1"/>
  <c r="M37" i="18"/>
  <c r="O36" i="18"/>
  <c r="M36" i="18"/>
  <c r="N36" i="18" s="1" a="1"/>
  <c r="N36" i="18" s="1"/>
  <c r="O35" i="18"/>
  <c r="M35" i="18"/>
  <c r="N35" i="18" s="1" a="1"/>
  <c r="N35" i="18" s="1"/>
  <c r="O34" i="18"/>
  <c r="M34" i="18"/>
  <c r="N34" i="18" s="1" a="1"/>
  <c r="N34" i="18" s="1"/>
  <c r="O33" i="18"/>
  <c r="M33" i="18"/>
  <c r="N33" i="18" s="1" a="1"/>
  <c r="N33" i="18" s="1"/>
  <c r="O32" i="18"/>
  <c r="M32" i="18"/>
  <c r="N32" i="18" s="1" a="1"/>
  <c r="N32" i="18" s="1"/>
  <c r="O31" i="18"/>
  <c r="M31" i="18"/>
  <c r="N31" i="18" s="1" a="1"/>
  <c r="N31" i="18" s="1"/>
  <c r="O30" i="18"/>
  <c r="M30" i="18"/>
  <c r="N30" i="18" s="1" a="1"/>
  <c r="N30" i="18" s="1"/>
  <c r="O29" i="18"/>
  <c r="M29" i="18"/>
  <c r="N29" i="18" s="1" a="1"/>
  <c r="N29" i="18" s="1"/>
  <c r="O28" i="18"/>
  <c r="M28" i="18"/>
  <c r="N28" i="18" s="1" a="1"/>
  <c r="N28" i="18" s="1"/>
  <c r="O27" i="18"/>
  <c r="M27" i="18"/>
  <c r="N27" i="18" s="1" a="1"/>
  <c r="N27" i="18" s="1"/>
  <c r="O26" i="18"/>
  <c r="M26" i="18"/>
  <c r="N26" i="18" s="1" a="1"/>
  <c r="N26" i="18" s="1"/>
  <c r="O25" i="18"/>
  <c r="M25" i="18"/>
  <c r="N25" i="18" s="1" a="1"/>
  <c r="N25" i="18" s="1"/>
  <c r="O24" i="18"/>
  <c r="M24" i="18"/>
  <c r="N24" i="18" s="1" a="1"/>
  <c r="N24" i="18" s="1"/>
  <c r="O23" i="18"/>
  <c r="M23" i="18"/>
  <c r="N23" i="18" s="1" a="1"/>
  <c r="N23" i="18" s="1"/>
  <c r="O22" i="18"/>
  <c r="M22" i="18"/>
  <c r="N22" i="18" s="1" a="1"/>
  <c r="N22" i="18" s="1"/>
  <c r="O21" i="18"/>
  <c r="M21" i="18"/>
  <c r="N21" i="18" s="1" a="1"/>
  <c r="N21" i="18" s="1"/>
  <c r="O20" i="18"/>
  <c r="M20" i="18"/>
  <c r="N20" i="18" s="1" a="1"/>
  <c r="N20" i="18" s="1"/>
  <c r="O19" i="18"/>
  <c r="M19" i="18"/>
  <c r="N19" i="18" s="1" a="1"/>
  <c r="N19" i="18" s="1"/>
  <c r="O18" i="18"/>
  <c r="M18" i="18"/>
  <c r="N18" i="18" s="1" a="1"/>
  <c r="N18" i="18" s="1"/>
  <c r="O17" i="18"/>
  <c r="M17" i="18"/>
  <c r="N17" i="18" s="1" a="1"/>
  <c r="N17" i="18" s="1"/>
  <c r="O16" i="18"/>
  <c r="M16" i="18"/>
  <c r="N16" i="18" s="1" a="1"/>
  <c r="N16" i="18" s="1"/>
  <c r="O15" i="18"/>
  <c r="M15" i="18"/>
  <c r="N15" i="18" s="1" a="1"/>
  <c r="N15" i="18" s="1"/>
  <c r="O14" i="18"/>
  <c r="M14" i="18"/>
  <c r="N14" i="18" s="1" a="1"/>
  <c r="N14" i="18" s="1"/>
  <c r="O13" i="18"/>
  <c r="M13" i="18"/>
  <c r="N13" i="18" s="1" a="1"/>
  <c r="N13" i="18" s="1"/>
  <c r="O12" i="18"/>
  <c r="M12" i="18"/>
  <c r="N12" i="18" s="1" a="1"/>
  <c r="N12" i="18" s="1"/>
  <c r="O11" i="18"/>
  <c r="M11" i="18"/>
  <c r="N11" i="18" s="1" a="1"/>
  <c r="N11" i="18" s="1"/>
  <c r="O10" i="18"/>
  <c r="M10" i="18"/>
  <c r="N10" i="18" s="1" a="1"/>
  <c r="N10" i="18" s="1"/>
  <c r="O9" i="18"/>
  <c r="M9" i="18"/>
  <c r="N9" i="18" s="1" a="1"/>
  <c r="N9" i="18" s="1"/>
  <c r="J13" i="18"/>
  <c r="J15" i="18" s="1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66" i="18"/>
  <c r="F67" i="18"/>
  <c r="F68" i="18"/>
  <c r="F69" i="18"/>
  <c r="F70" i="18"/>
  <c r="F71" i="18"/>
  <c r="F72" i="18"/>
  <c r="F73" i="18"/>
  <c r="F74" i="18"/>
  <c r="F75" i="18"/>
  <c r="F76" i="18"/>
  <c r="F77" i="18"/>
  <c r="F78" i="18"/>
  <c r="F79" i="18"/>
  <c r="F80" i="18"/>
  <c r="F81" i="18"/>
  <c r="F82" i="18"/>
  <c r="F83" i="18"/>
  <c r="F84" i="18"/>
  <c r="F85" i="18"/>
  <c r="F86" i="18"/>
  <c r="F87" i="18"/>
  <c r="F88" i="18"/>
  <c r="F89" i="18"/>
  <c r="F90" i="18"/>
  <c r="F91" i="18"/>
  <c r="F92" i="18"/>
  <c r="F93" i="18"/>
  <c r="F94" i="18"/>
  <c r="F95" i="18"/>
  <c r="F96" i="18"/>
  <c r="F97" i="18"/>
  <c r="F98" i="18"/>
  <c r="F99" i="18"/>
  <c r="F100" i="18"/>
  <c r="F101" i="18"/>
  <c r="F102" i="18"/>
  <c r="F103" i="18"/>
  <c r="F104" i="18"/>
  <c r="F105" i="18"/>
  <c r="F106" i="18"/>
  <c r="F107" i="18"/>
  <c r="F108" i="18"/>
  <c r="F109" i="18"/>
  <c r="F110" i="18"/>
  <c r="F111" i="18"/>
  <c r="F112" i="18"/>
  <c r="F113" i="18"/>
  <c r="F114" i="18"/>
  <c r="F115" i="18"/>
  <c r="F116" i="18"/>
  <c r="F117" i="18"/>
  <c r="F118" i="18"/>
  <c r="F119" i="18"/>
  <c r="F120" i="18"/>
  <c r="F121" i="18"/>
  <c r="F122" i="18"/>
  <c r="F3" i="18"/>
  <c r="AB3" i="17"/>
  <c r="AB2" i="17"/>
  <c r="AB3" i="8"/>
  <c r="AB2" i="8"/>
  <c r="BA7" i="8"/>
  <c r="AZ15" i="8"/>
  <c r="BB10" i="8"/>
  <c r="BA10" i="8"/>
  <c r="BB8" i="8"/>
  <c r="BA14" i="8"/>
  <c r="BA11" i="8"/>
  <c r="BB15" i="8"/>
  <c r="AH7" i="8"/>
  <c r="BA15" i="8"/>
  <c r="BA9" i="8"/>
  <c r="BB11" i="8"/>
  <c r="AZ8" i="8"/>
  <c r="AZ11" i="8"/>
  <c r="AZ14" i="8"/>
  <c r="BB7" i="8"/>
  <c r="BA8" i="8"/>
  <c r="AZ10" i="8"/>
  <c r="BB9" i="8"/>
  <c r="BA12" i="8"/>
  <c r="BA13" i="8"/>
  <c r="AZ7" i="8"/>
  <c r="BB12" i="8"/>
  <c r="AZ9" i="8"/>
  <c r="BB14" i="8"/>
  <c r="AZ12" i="8"/>
  <c r="AZ13" i="8"/>
  <c r="BB13" i="8"/>
  <c r="M131" i="18" l="1"/>
  <c r="N131" i="18" s="1" a="1"/>
  <c r="N131" i="18" s="1"/>
  <c r="O131" i="18" s="1"/>
  <c r="M130" i="18"/>
  <c r="N130" i="18" s="1" a="1"/>
  <c r="N130" i="18" s="1"/>
  <c r="O130" i="18" s="1"/>
  <c r="M129" i="18"/>
  <c r="N129" i="18" s="1" a="1"/>
  <c r="N129" i="18" s="1"/>
  <c r="O129" i="18" s="1"/>
  <c r="J14" i="18"/>
  <c r="BC10" i="17"/>
  <c r="BC9" i="17"/>
  <c r="BC12" i="17"/>
  <c r="BC13" i="17"/>
  <c r="BC14" i="17"/>
  <c r="BC11" i="17"/>
  <c r="BC8" i="17"/>
  <c r="BC7" i="17"/>
  <c r="AW7" i="17"/>
  <c r="BC9" i="8"/>
  <c r="BC12" i="8"/>
  <c r="BC14" i="8"/>
  <c r="BC15" i="8"/>
  <c r="BC8" i="8"/>
  <c r="BC10" i="8"/>
  <c r="BC13" i="8"/>
  <c r="BC7" i="8"/>
  <c r="AV13" i="8"/>
  <c r="AR15" i="8"/>
  <c r="AV8" i="8"/>
  <c r="AT12" i="8"/>
  <c r="AQ11" i="8"/>
  <c r="AR13" i="8"/>
  <c r="AQ9" i="8"/>
  <c r="AR8" i="8"/>
  <c r="AQ14" i="8"/>
  <c r="AQ8" i="8"/>
  <c r="AU7" i="8"/>
  <c r="AT9" i="8"/>
  <c r="AV9" i="8"/>
  <c r="AT11" i="8"/>
  <c r="AQ13" i="8"/>
  <c r="AV7" i="8"/>
  <c r="AS15" i="8"/>
  <c r="AS8" i="8"/>
  <c r="AS7" i="8"/>
  <c r="AR12" i="8"/>
  <c r="AV12" i="8"/>
  <c r="AQ15" i="8"/>
  <c r="AS11" i="8"/>
  <c r="AU8" i="8"/>
  <c r="AR11" i="8"/>
  <c r="AR14" i="8"/>
  <c r="AS12" i="8"/>
  <c r="AU15" i="8"/>
  <c r="AS14" i="8"/>
  <c r="AV11" i="8"/>
  <c r="AT7" i="8"/>
  <c r="AU14" i="8"/>
  <c r="AT14" i="8"/>
  <c r="AU13" i="8"/>
  <c r="AR7" i="8"/>
  <c r="AV15" i="8"/>
  <c r="AU12" i="8"/>
  <c r="AU9" i="8"/>
  <c r="AS13" i="8"/>
  <c r="AQ7" i="8"/>
  <c r="AS9" i="8"/>
  <c r="AT13" i="8"/>
  <c r="AT15" i="8"/>
  <c r="AV14" i="8"/>
  <c r="AQ12" i="8"/>
  <c r="AU11" i="8"/>
  <c r="AR9" i="8"/>
  <c r="AT8" i="8"/>
  <c r="J17" i="18" l="1"/>
  <c r="J16" i="18"/>
  <c r="AW12" i="8"/>
  <c r="AW15" i="8"/>
  <c r="AW8" i="8"/>
  <c r="AW9" i="8"/>
  <c r="AW13" i="8"/>
  <c r="AW14" i="8"/>
  <c r="AW7" i="8"/>
  <c r="AW11" i="8"/>
  <c r="F98" i="8" l="1"/>
  <c r="M104" i="8"/>
  <c r="N104" i="8" s="1" a="1"/>
  <c r="N104" i="8" s="1"/>
  <c r="B98" i="8"/>
  <c r="O104" i="8" s="1"/>
  <c r="F97" i="8"/>
  <c r="M103" i="8"/>
  <c r="N103" i="8" s="1" a="1"/>
  <c r="N103" i="8" s="1"/>
  <c r="B97" i="8"/>
  <c r="O103" i="8" s="1"/>
  <c r="F96" i="8"/>
  <c r="M102" i="8"/>
  <c r="N102" i="8" s="1" a="1"/>
  <c r="N102" i="8" s="1"/>
  <c r="B96" i="8"/>
  <c r="O102" i="8" s="1"/>
  <c r="F95" i="8"/>
  <c r="M101" i="8"/>
  <c r="N101" i="8" s="1" a="1"/>
  <c r="N101" i="8" s="1"/>
  <c r="B95" i="8"/>
  <c r="O101" i="8" s="1"/>
  <c r="F94" i="8"/>
  <c r="M100" i="8"/>
  <c r="N100" i="8" s="1" a="1"/>
  <c r="N100" i="8" s="1"/>
  <c r="B94" i="8"/>
  <c r="O100" i="8" s="1"/>
  <c r="F93" i="8"/>
  <c r="M99" i="8"/>
  <c r="N99" i="8" s="1" a="1"/>
  <c r="N99" i="8" s="1"/>
  <c r="B93" i="8"/>
  <c r="O99" i="8" s="1"/>
  <c r="O92" i="8"/>
  <c r="F92" i="8"/>
  <c r="M98" i="8"/>
  <c r="N98" i="8" s="1" a="1"/>
  <c r="N98" i="8" s="1"/>
  <c r="B92" i="8"/>
  <c r="O98" i="8" s="1"/>
  <c r="F91" i="8"/>
  <c r="M97" i="8"/>
  <c r="N97" i="8" s="1" a="1"/>
  <c r="N97" i="8" s="1"/>
  <c r="B91" i="8"/>
  <c r="O97" i="8" s="1"/>
  <c r="F90" i="8"/>
  <c r="M96" i="8"/>
  <c r="N96" i="8" s="1" a="1"/>
  <c r="N96" i="8" s="1"/>
  <c r="B90" i="8"/>
  <c r="O96" i="8" s="1"/>
  <c r="F89" i="8"/>
  <c r="M95" i="8"/>
  <c r="N95" i="8" s="1" a="1"/>
  <c r="N95" i="8" s="1"/>
  <c r="B89" i="8"/>
  <c r="O95" i="8" s="1"/>
  <c r="F88" i="8"/>
  <c r="M94" i="8"/>
  <c r="N94" i="8" s="1" a="1"/>
  <c r="N94" i="8" s="1"/>
  <c r="B88" i="8"/>
  <c r="O94" i="8" s="1"/>
  <c r="F87" i="8"/>
  <c r="M93" i="8"/>
  <c r="N93" i="8" s="1" a="1"/>
  <c r="N93" i="8" s="1"/>
  <c r="B87" i="8"/>
  <c r="O93" i="8" s="1"/>
  <c r="F86" i="8"/>
  <c r="M92" i="8"/>
  <c r="N92" i="8" s="1" a="1"/>
  <c r="N92" i="8" s="1"/>
  <c r="B86" i="8"/>
  <c r="F85" i="8"/>
  <c r="M91" i="8"/>
  <c r="N91" i="8" s="1" a="1"/>
  <c r="N91" i="8" s="1"/>
  <c r="B85" i="8"/>
  <c r="O91" i="8" s="1"/>
  <c r="F84" i="8"/>
  <c r="M90" i="8"/>
  <c r="N90" i="8" s="1" a="1"/>
  <c r="N90" i="8" s="1"/>
  <c r="B84" i="8"/>
  <c r="O90" i="8" s="1"/>
  <c r="F83" i="8"/>
  <c r="M89" i="8"/>
  <c r="N89" i="8" s="1" a="1"/>
  <c r="N89" i="8" s="1"/>
  <c r="B83" i="8"/>
  <c r="O89" i="8" s="1"/>
  <c r="F82" i="8"/>
  <c r="M88" i="8"/>
  <c r="N88" i="8" s="1" a="1"/>
  <c r="N88" i="8" s="1"/>
  <c r="B82" i="8"/>
  <c r="O88" i="8" s="1"/>
  <c r="F81" i="8"/>
  <c r="M87" i="8"/>
  <c r="N87" i="8" s="1" a="1"/>
  <c r="N87" i="8" s="1"/>
  <c r="B81" i="8"/>
  <c r="O87" i="8" s="1"/>
  <c r="F80" i="8"/>
  <c r="M86" i="8"/>
  <c r="N86" i="8" s="1" a="1"/>
  <c r="N86" i="8" s="1"/>
  <c r="B80" i="8"/>
  <c r="O86" i="8" s="1"/>
  <c r="F79" i="8"/>
  <c r="M85" i="8"/>
  <c r="N85" i="8" s="1" a="1"/>
  <c r="N85" i="8" s="1"/>
  <c r="B79" i="8"/>
  <c r="O85" i="8" s="1"/>
  <c r="F78" i="8"/>
  <c r="M84" i="8"/>
  <c r="N84" i="8" s="1" a="1"/>
  <c r="N84" i="8" s="1"/>
  <c r="B78" i="8"/>
  <c r="O84" i="8" s="1"/>
  <c r="F77" i="8"/>
  <c r="M83" i="8"/>
  <c r="N83" i="8" s="1" a="1"/>
  <c r="N83" i="8" s="1"/>
  <c r="B77" i="8"/>
  <c r="O83" i="8" s="1"/>
  <c r="F76" i="8"/>
  <c r="M82" i="8"/>
  <c r="N82" i="8" s="1" a="1"/>
  <c r="N82" i="8" s="1"/>
  <c r="B76" i="8"/>
  <c r="O82" i="8" s="1"/>
  <c r="F75" i="8"/>
  <c r="M81" i="8"/>
  <c r="N81" i="8" s="1" a="1"/>
  <c r="N81" i="8" s="1"/>
  <c r="B75" i="8"/>
  <c r="O81" i="8" s="1"/>
  <c r="F74" i="8"/>
  <c r="M80" i="8"/>
  <c r="N80" i="8" s="1" a="1"/>
  <c r="N80" i="8" s="1"/>
  <c r="B74" i="8"/>
  <c r="O80" i="8" s="1"/>
  <c r="F73" i="8"/>
  <c r="M79" i="8"/>
  <c r="N79" i="8" s="1" a="1"/>
  <c r="N79" i="8" s="1"/>
  <c r="B73" i="8"/>
  <c r="O79" i="8" s="1"/>
  <c r="F72" i="8"/>
  <c r="M78" i="8"/>
  <c r="N78" i="8" s="1" a="1"/>
  <c r="N78" i="8" s="1"/>
  <c r="B72" i="8"/>
  <c r="O78" i="8" s="1"/>
  <c r="F71" i="8"/>
  <c r="M77" i="8"/>
  <c r="N77" i="8" s="1" a="1"/>
  <c r="N77" i="8" s="1"/>
  <c r="B71" i="8"/>
  <c r="O77" i="8" s="1"/>
  <c r="F70" i="8"/>
  <c r="M76" i="8"/>
  <c r="N76" i="8" s="1" a="1"/>
  <c r="N76" i="8" s="1"/>
  <c r="B70" i="8"/>
  <c r="O76" i="8" s="1"/>
  <c r="O69" i="8"/>
  <c r="F69" i="8"/>
  <c r="M75" i="8"/>
  <c r="N75" i="8" s="1" a="1"/>
  <c r="N75" i="8" s="1"/>
  <c r="B69" i="8"/>
  <c r="O75" i="8" s="1"/>
  <c r="O68" i="8"/>
  <c r="F68" i="8"/>
  <c r="M74" i="8"/>
  <c r="N74" i="8" s="1" a="1"/>
  <c r="N74" i="8" s="1"/>
  <c r="B68" i="8"/>
  <c r="O74" i="8" s="1"/>
  <c r="F67" i="8"/>
  <c r="M73" i="8"/>
  <c r="N73" i="8" s="1" a="1"/>
  <c r="N73" i="8" s="1"/>
  <c r="B67" i="8"/>
  <c r="O73" i="8" s="1"/>
  <c r="F66" i="8"/>
  <c r="M72" i="8"/>
  <c r="N72" i="8" s="1" a="1"/>
  <c r="N72" i="8" s="1"/>
  <c r="B66" i="8"/>
  <c r="O72" i="8" s="1"/>
  <c r="F65" i="8"/>
  <c r="M71" i="8"/>
  <c r="N71" i="8" s="1" a="1"/>
  <c r="N71" i="8" s="1"/>
  <c r="B65" i="8"/>
  <c r="O71" i="8" s="1"/>
  <c r="F64" i="8"/>
  <c r="M70" i="8"/>
  <c r="N70" i="8" s="1" a="1"/>
  <c r="N70" i="8" s="1"/>
  <c r="B64" i="8"/>
  <c r="O70" i="8" s="1"/>
  <c r="F63" i="8"/>
  <c r="M69" i="8"/>
  <c r="N69" i="8" s="1" a="1"/>
  <c r="N69" i="8" s="1"/>
  <c r="B63" i="8"/>
  <c r="F62" i="8"/>
  <c r="M68" i="8"/>
  <c r="N68" i="8" s="1" a="1"/>
  <c r="N68" i="8" s="1"/>
  <c r="B62" i="8"/>
  <c r="F61" i="8"/>
  <c r="M67" i="8"/>
  <c r="N67" i="8" s="1" a="1"/>
  <c r="N67" i="8" s="1"/>
  <c r="B61" i="8"/>
  <c r="O67" i="8" s="1"/>
  <c r="F60" i="8"/>
  <c r="M66" i="8"/>
  <c r="N66" i="8" s="1" a="1"/>
  <c r="N66" i="8" s="1"/>
  <c r="B60" i="8"/>
  <c r="O66" i="8" s="1"/>
  <c r="F59" i="8"/>
  <c r="M65" i="8"/>
  <c r="N65" i="8" s="1" a="1"/>
  <c r="N65" i="8" s="1"/>
  <c r="B59" i="8"/>
  <c r="O65" i="8" s="1"/>
  <c r="F58" i="8"/>
  <c r="M64" i="8"/>
  <c r="N64" i="8" s="1" a="1"/>
  <c r="N64" i="8" s="1"/>
  <c r="B58" i="8"/>
  <c r="O64" i="8" s="1"/>
  <c r="F57" i="8"/>
  <c r="M63" i="8"/>
  <c r="N63" i="8" s="1" a="1"/>
  <c r="N63" i="8" s="1"/>
  <c r="B57" i="8"/>
  <c r="O63" i="8" s="1"/>
  <c r="F56" i="8"/>
  <c r="M62" i="8"/>
  <c r="N62" i="8" s="1" a="1"/>
  <c r="N62" i="8" s="1"/>
  <c r="B56" i="8"/>
  <c r="O62" i="8" s="1"/>
  <c r="F55" i="8"/>
  <c r="M61" i="8"/>
  <c r="N61" i="8" s="1" a="1"/>
  <c r="N61" i="8" s="1"/>
  <c r="B55" i="8"/>
  <c r="O61" i="8" s="1"/>
  <c r="F54" i="8"/>
  <c r="M60" i="8"/>
  <c r="N60" i="8" s="1" a="1"/>
  <c r="N60" i="8" s="1"/>
  <c r="B54" i="8"/>
  <c r="O60" i="8" s="1"/>
  <c r="F53" i="8"/>
  <c r="M59" i="8"/>
  <c r="N59" i="8" s="1" a="1"/>
  <c r="N59" i="8" s="1"/>
  <c r="B53" i="8"/>
  <c r="O59" i="8" s="1"/>
  <c r="F52" i="8"/>
  <c r="M58" i="8"/>
  <c r="N58" i="8" s="1" a="1"/>
  <c r="N58" i="8" s="1"/>
  <c r="B52" i="8"/>
  <c r="O58" i="8" s="1"/>
  <c r="F51" i="8"/>
  <c r="M57" i="8"/>
  <c r="N57" i="8" s="1" a="1"/>
  <c r="N57" i="8" s="1"/>
  <c r="B51" i="8"/>
  <c r="O57" i="8" s="1"/>
  <c r="F50" i="8"/>
  <c r="M56" i="8"/>
  <c r="N56" i="8" s="1" a="1"/>
  <c r="N56" i="8" s="1"/>
  <c r="B50" i="8"/>
  <c r="O56" i="8" s="1"/>
  <c r="F49" i="8"/>
  <c r="M55" i="8"/>
  <c r="N55" i="8" s="1" a="1"/>
  <c r="N55" i="8" s="1"/>
  <c r="B49" i="8"/>
  <c r="O55" i="8" s="1"/>
  <c r="F48" i="8"/>
  <c r="M54" i="8"/>
  <c r="N54" i="8" s="1" a="1"/>
  <c r="N54" i="8" s="1"/>
  <c r="B48" i="8"/>
  <c r="O54" i="8" s="1"/>
  <c r="F47" i="8"/>
  <c r="M53" i="8"/>
  <c r="N53" i="8" s="1" a="1"/>
  <c r="N53" i="8" s="1"/>
  <c r="B47" i="8"/>
  <c r="O53" i="8" s="1"/>
  <c r="F46" i="8"/>
  <c r="M52" i="8"/>
  <c r="N52" i="8" s="1" a="1"/>
  <c r="N52" i="8" s="1"/>
  <c r="B46" i="8"/>
  <c r="O52" i="8" s="1"/>
  <c r="F45" i="8"/>
  <c r="M51" i="8"/>
  <c r="N51" i="8" s="1" a="1"/>
  <c r="N51" i="8" s="1"/>
  <c r="B45" i="8"/>
  <c r="O51" i="8" s="1"/>
  <c r="F44" i="8"/>
  <c r="M50" i="8"/>
  <c r="N50" i="8" s="1" a="1"/>
  <c r="N50" i="8" s="1"/>
  <c r="B44" i="8"/>
  <c r="O50" i="8" s="1"/>
  <c r="F43" i="8"/>
  <c r="M49" i="8"/>
  <c r="N49" i="8" s="1" a="1"/>
  <c r="N49" i="8" s="1"/>
  <c r="B43" i="8"/>
  <c r="O49" i="8" s="1"/>
  <c r="F42" i="8"/>
  <c r="M48" i="8"/>
  <c r="N48" i="8" s="1" a="1"/>
  <c r="N48" i="8" s="1"/>
  <c r="B42" i="8"/>
  <c r="O48" i="8" s="1"/>
  <c r="F41" i="8"/>
  <c r="M47" i="8"/>
  <c r="N47" i="8" s="1" a="1"/>
  <c r="N47" i="8" s="1"/>
  <c r="B41" i="8"/>
  <c r="O47" i="8" s="1"/>
  <c r="F40" i="8"/>
  <c r="M46" i="8"/>
  <c r="N46" i="8" s="1" a="1"/>
  <c r="N46" i="8" s="1"/>
  <c r="B40" i="8"/>
  <c r="O46" i="8" s="1"/>
  <c r="F39" i="8"/>
  <c r="M45" i="8"/>
  <c r="N45" i="8" s="1" a="1"/>
  <c r="N45" i="8" s="1"/>
  <c r="B39" i="8"/>
  <c r="O45" i="8" s="1"/>
  <c r="F38" i="8"/>
  <c r="M44" i="8"/>
  <c r="N44" i="8" s="1" a="1"/>
  <c r="N44" i="8" s="1"/>
  <c r="B38" i="8"/>
  <c r="O44" i="8" s="1"/>
  <c r="F37" i="8"/>
  <c r="M43" i="8"/>
  <c r="N43" i="8" s="1" a="1"/>
  <c r="N43" i="8" s="1"/>
  <c r="B37" i="8"/>
  <c r="O43" i="8" s="1"/>
  <c r="M36" i="8"/>
  <c r="N36" i="8" s="1" a="1"/>
  <c r="N36" i="8" s="1"/>
  <c r="F36" i="8"/>
  <c r="M42" i="8"/>
  <c r="N42" i="8" s="1" a="1"/>
  <c r="N42" i="8" s="1"/>
  <c r="B36" i="8"/>
  <c r="O42" i="8" s="1"/>
  <c r="F35" i="8"/>
  <c r="M41" i="8"/>
  <c r="N41" i="8" s="1" a="1"/>
  <c r="N41" i="8" s="1"/>
  <c r="B35" i="8"/>
  <c r="O41" i="8" s="1"/>
  <c r="F34" i="8"/>
  <c r="M40" i="8"/>
  <c r="N40" i="8" s="1" a="1"/>
  <c r="N40" i="8" s="1"/>
  <c r="B34" i="8"/>
  <c r="O40" i="8" s="1"/>
  <c r="O33" i="8"/>
  <c r="F33" i="8"/>
  <c r="M39" i="8"/>
  <c r="N39" i="8" s="1" a="1"/>
  <c r="N39" i="8" s="1"/>
  <c r="B33" i="8"/>
  <c r="O39" i="8" s="1"/>
  <c r="F32" i="8"/>
  <c r="M38" i="8"/>
  <c r="N38" i="8" s="1" a="1"/>
  <c r="N38" i="8" s="1"/>
  <c r="B32" i="8"/>
  <c r="O38" i="8" s="1"/>
  <c r="F31" i="8"/>
  <c r="M37" i="8"/>
  <c r="N37" i="8" s="1" a="1"/>
  <c r="N37" i="8" s="1"/>
  <c r="B31" i="8"/>
  <c r="O37" i="8" s="1"/>
  <c r="M30" i="8"/>
  <c r="N30" i="8" s="1" a="1"/>
  <c r="N30" i="8" s="1"/>
  <c r="F30" i="8"/>
  <c r="B30" i="8"/>
  <c r="O36" i="8" s="1"/>
  <c r="F29" i="8"/>
  <c r="M35" i="8"/>
  <c r="N35" i="8" s="1" a="1"/>
  <c r="N35" i="8" s="1"/>
  <c r="B29" i="8"/>
  <c r="O35" i="8" s="1"/>
  <c r="F28" i="8"/>
  <c r="M34" i="8"/>
  <c r="N34" i="8" s="1" a="1"/>
  <c r="N34" i="8" s="1"/>
  <c r="B28" i="8"/>
  <c r="O34" i="8" s="1"/>
  <c r="F27" i="8"/>
  <c r="M33" i="8"/>
  <c r="N33" i="8" s="1" a="1"/>
  <c r="N33" i="8" s="1"/>
  <c r="B27" i="8"/>
  <c r="F26" i="8"/>
  <c r="M32" i="8"/>
  <c r="N32" i="8" s="1" a="1"/>
  <c r="N32" i="8" s="1"/>
  <c r="B26" i="8"/>
  <c r="O32" i="8" s="1"/>
  <c r="O25" i="8"/>
  <c r="F25" i="8"/>
  <c r="M31" i="8"/>
  <c r="N31" i="8" s="1" a="1"/>
  <c r="N31" i="8" s="1"/>
  <c r="B25" i="8"/>
  <c r="O31" i="8" s="1"/>
  <c r="F24" i="8"/>
  <c r="B24" i="8"/>
  <c r="O30" i="8" s="1"/>
  <c r="F23" i="8"/>
  <c r="M29" i="8"/>
  <c r="N29" i="8" s="1" a="1"/>
  <c r="N29" i="8" s="1"/>
  <c r="B23" i="8"/>
  <c r="O29" i="8" s="1"/>
  <c r="F22" i="8"/>
  <c r="M28" i="8"/>
  <c r="N28" i="8" s="1" a="1"/>
  <c r="N28" i="8" s="1"/>
  <c r="B22" i="8"/>
  <c r="O28" i="8" s="1"/>
  <c r="F21" i="8"/>
  <c r="M27" i="8"/>
  <c r="N27" i="8" s="1" a="1"/>
  <c r="N27" i="8" s="1"/>
  <c r="B21" i="8"/>
  <c r="O27" i="8" s="1"/>
  <c r="F20" i="8"/>
  <c r="M26" i="8"/>
  <c r="N26" i="8" s="1" a="1"/>
  <c r="N26" i="8" s="1"/>
  <c r="B20" i="8"/>
  <c r="O26" i="8" s="1"/>
  <c r="F19" i="8"/>
  <c r="M25" i="8"/>
  <c r="N25" i="8" s="1" a="1"/>
  <c r="N25" i="8" s="1"/>
  <c r="B19" i="8"/>
  <c r="F18" i="8"/>
  <c r="M24" i="8"/>
  <c r="N24" i="8" s="1" a="1"/>
  <c r="N24" i="8" s="1"/>
  <c r="B18" i="8"/>
  <c r="O24" i="8" s="1"/>
  <c r="O17" i="8"/>
  <c r="F17" i="8"/>
  <c r="M23" i="8"/>
  <c r="N23" i="8" s="1" a="1"/>
  <c r="N23" i="8" s="1"/>
  <c r="B17" i="8"/>
  <c r="O23" i="8" s="1"/>
  <c r="F16" i="8"/>
  <c r="M22" i="8"/>
  <c r="N22" i="8" s="1" a="1"/>
  <c r="N22" i="8" s="1"/>
  <c r="B16" i="8"/>
  <c r="O22" i="8" s="1"/>
  <c r="F15" i="8"/>
  <c r="M21" i="8"/>
  <c r="N21" i="8" s="1" a="1"/>
  <c r="N21" i="8" s="1"/>
  <c r="B15" i="8"/>
  <c r="O21" i="8" s="1"/>
  <c r="M14" i="8"/>
  <c r="N14" i="8" s="1" a="1"/>
  <c r="N14" i="8" s="1"/>
  <c r="F14" i="8"/>
  <c r="M20" i="8"/>
  <c r="N20" i="8" s="1" a="1"/>
  <c r="N20" i="8" s="1"/>
  <c r="B14" i="8"/>
  <c r="O20" i="8" s="1"/>
  <c r="F13" i="8"/>
  <c r="M19" i="8"/>
  <c r="N19" i="8" s="1" a="1"/>
  <c r="N19" i="8" s="1"/>
  <c r="B13" i="8"/>
  <c r="O19" i="8" s="1"/>
  <c r="F12" i="8"/>
  <c r="M18" i="8"/>
  <c r="N18" i="8" s="1" a="1"/>
  <c r="N18" i="8" s="1"/>
  <c r="B12" i="8"/>
  <c r="O18" i="8" s="1"/>
  <c r="F11" i="8"/>
  <c r="M17" i="8"/>
  <c r="N17" i="8" s="1" a="1"/>
  <c r="N17" i="8" s="1"/>
  <c r="B11" i="8"/>
  <c r="F10" i="8"/>
  <c r="M16" i="8"/>
  <c r="N16" i="8" s="1" a="1"/>
  <c r="N16" i="8" s="1"/>
  <c r="B10" i="8"/>
  <c r="O16" i="8" s="1"/>
  <c r="F9" i="8"/>
  <c r="M15" i="8"/>
  <c r="N15" i="8" s="1" a="1"/>
  <c r="N15" i="8" s="1"/>
  <c r="B9" i="8"/>
  <c r="O15" i="8" s="1"/>
  <c r="F8" i="8"/>
  <c r="B8" i="8"/>
  <c r="O14" i="8" s="1"/>
  <c r="F7" i="8"/>
  <c r="M13" i="8"/>
  <c r="N13" i="8" s="1" a="1"/>
  <c r="N13" i="8" s="1"/>
  <c r="B7" i="8"/>
  <c r="O13" i="8" s="1"/>
  <c r="F6" i="8"/>
  <c r="M12" i="8"/>
  <c r="N12" i="8" s="1" a="1"/>
  <c r="N12" i="8" s="1"/>
  <c r="B6" i="8"/>
  <c r="O12" i="8" s="1"/>
  <c r="F5" i="8"/>
  <c r="M11" i="8"/>
  <c r="N11" i="8" s="1" a="1"/>
  <c r="N11" i="8" s="1"/>
  <c r="B5" i="8"/>
  <c r="O11" i="8" s="1"/>
  <c r="F4" i="8"/>
  <c r="M10" i="8"/>
  <c r="N10" i="8" s="1" a="1"/>
  <c r="N10" i="8" s="1"/>
  <c r="B4" i="8"/>
  <c r="O10" i="8" s="1"/>
  <c r="F3" i="8"/>
  <c r="M9" i="8"/>
  <c r="N9" i="8" s="1" a="1"/>
  <c r="N9" i="8" s="1"/>
  <c r="B3" i="8"/>
  <c r="O128" i="17"/>
  <c r="M128" i="17"/>
  <c r="N128" i="17" s="1" a="1"/>
  <c r="N128" i="17" s="1"/>
  <c r="O127" i="17"/>
  <c r="M127" i="17"/>
  <c r="N127" i="17" s="1" a="1"/>
  <c r="N127" i="17" s="1"/>
  <c r="O126" i="17"/>
  <c r="M126" i="17"/>
  <c r="N126" i="17" s="1" a="1"/>
  <c r="N126" i="17" s="1"/>
  <c r="O125" i="17"/>
  <c r="M125" i="17"/>
  <c r="N125" i="17" s="1" a="1"/>
  <c r="N125" i="17" s="1"/>
  <c r="O124" i="17"/>
  <c r="M124" i="17"/>
  <c r="N124" i="17" s="1" a="1"/>
  <c r="N124" i="17" s="1"/>
  <c r="O123" i="17"/>
  <c r="M123" i="17"/>
  <c r="N123" i="17" s="1" a="1"/>
  <c r="N123" i="17" s="1"/>
  <c r="O122" i="17"/>
  <c r="M122" i="17"/>
  <c r="N122" i="17" s="1" a="1"/>
  <c r="N122" i="17" s="1"/>
  <c r="O121" i="17"/>
  <c r="M121" i="17"/>
  <c r="N121" i="17" s="1" a="1"/>
  <c r="N121" i="17" s="1"/>
  <c r="O120" i="17"/>
  <c r="M120" i="17"/>
  <c r="N120" i="17" s="1" a="1"/>
  <c r="N120" i="17" s="1"/>
  <c r="O119" i="17"/>
  <c r="M119" i="17"/>
  <c r="N119" i="17" s="1" a="1"/>
  <c r="N119" i="17" s="1"/>
  <c r="O118" i="17"/>
  <c r="M118" i="17"/>
  <c r="N118" i="17" s="1" a="1"/>
  <c r="N118" i="17" s="1"/>
  <c r="O117" i="17"/>
  <c r="M117" i="17"/>
  <c r="N117" i="17" s="1" a="1"/>
  <c r="N117" i="17" s="1"/>
  <c r="O116" i="17"/>
  <c r="M116" i="17"/>
  <c r="N116" i="17" s="1" a="1"/>
  <c r="N116" i="17" s="1"/>
  <c r="O115" i="17"/>
  <c r="M115" i="17"/>
  <c r="N115" i="17" s="1" a="1"/>
  <c r="N115" i="17" s="1"/>
  <c r="O114" i="17"/>
  <c r="M114" i="17"/>
  <c r="N114" i="17" s="1" a="1"/>
  <c r="N114" i="17" s="1"/>
  <c r="O113" i="17"/>
  <c r="M113" i="17"/>
  <c r="N113" i="17" s="1" a="1"/>
  <c r="N113" i="17" s="1"/>
  <c r="O112" i="17"/>
  <c r="M112" i="17"/>
  <c r="N112" i="17" s="1" a="1"/>
  <c r="N112" i="17" s="1"/>
  <c r="O111" i="17"/>
  <c r="M111" i="17"/>
  <c r="N111" i="17" s="1" a="1"/>
  <c r="N111" i="17" s="1"/>
  <c r="O110" i="17"/>
  <c r="M110" i="17"/>
  <c r="N110" i="17" s="1" a="1"/>
  <c r="N110" i="17" s="1"/>
  <c r="O109" i="17"/>
  <c r="M109" i="17"/>
  <c r="N109" i="17" s="1" a="1"/>
  <c r="N109" i="17" s="1"/>
  <c r="O108" i="17"/>
  <c r="M108" i="17"/>
  <c r="N108" i="17" s="1" a="1"/>
  <c r="N108" i="17" s="1"/>
  <c r="O107" i="17"/>
  <c r="M107" i="17"/>
  <c r="N107" i="17" s="1" a="1"/>
  <c r="N107" i="17" s="1"/>
  <c r="O106" i="17"/>
  <c r="M106" i="17"/>
  <c r="N106" i="17" s="1" a="1"/>
  <c r="N106" i="17" s="1"/>
  <c r="O105" i="17"/>
  <c r="M105" i="17"/>
  <c r="N105" i="17" s="1" a="1"/>
  <c r="N105" i="17" s="1"/>
  <c r="O104" i="17"/>
  <c r="M104" i="17"/>
  <c r="N104" i="17" s="1" a="1"/>
  <c r="N104" i="17" s="1"/>
  <c r="O103" i="17"/>
  <c r="M103" i="17"/>
  <c r="N103" i="17" s="1" a="1"/>
  <c r="N103" i="17" s="1"/>
  <c r="O102" i="17"/>
  <c r="M102" i="17"/>
  <c r="N102" i="17" s="1" a="1"/>
  <c r="N102" i="17" s="1"/>
  <c r="O101" i="17"/>
  <c r="M101" i="17"/>
  <c r="N101" i="17" s="1" a="1"/>
  <c r="N101" i="17" s="1"/>
  <c r="O100" i="17"/>
  <c r="M100" i="17"/>
  <c r="N100" i="17" s="1" a="1"/>
  <c r="N100" i="17" s="1"/>
  <c r="O99" i="17"/>
  <c r="M99" i="17"/>
  <c r="N99" i="17" s="1" a="1"/>
  <c r="N99" i="17" s="1"/>
  <c r="O98" i="17"/>
  <c r="M98" i="17"/>
  <c r="N98" i="17" s="1" a="1"/>
  <c r="N98" i="17" s="1"/>
  <c r="O97" i="17"/>
  <c r="M97" i="17"/>
  <c r="N97" i="17" s="1" a="1"/>
  <c r="N97" i="17" s="1"/>
  <c r="O96" i="17"/>
  <c r="M96" i="17"/>
  <c r="N96" i="17" s="1" a="1"/>
  <c r="N96" i="17" s="1"/>
  <c r="O95" i="17"/>
  <c r="M95" i="17"/>
  <c r="N95" i="17" s="1" a="1"/>
  <c r="N95" i="17" s="1"/>
  <c r="O94" i="17"/>
  <c r="M94" i="17"/>
  <c r="N94" i="17" s="1" a="1"/>
  <c r="N94" i="17" s="1"/>
  <c r="O93" i="17"/>
  <c r="M93" i="17"/>
  <c r="N93" i="17" s="1" a="1"/>
  <c r="N93" i="17" s="1"/>
  <c r="O92" i="17"/>
  <c r="M92" i="17"/>
  <c r="N92" i="17" s="1" a="1"/>
  <c r="N92" i="17" s="1"/>
  <c r="O91" i="17"/>
  <c r="M91" i="17"/>
  <c r="N91" i="17" s="1" a="1"/>
  <c r="N91" i="17" s="1"/>
  <c r="O90" i="17"/>
  <c r="M90" i="17"/>
  <c r="N90" i="17" s="1" a="1"/>
  <c r="N90" i="17" s="1"/>
  <c r="O89" i="17"/>
  <c r="M89" i="17"/>
  <c r="N89" i="17" s="1" a="1"/>
  <c r="N89" i="17" s="1"/>
  <c r="O88" i="17"/>
  <c r="M88" i="17"/>
  <c r="N88" i="17" s="1" a="1"/>
  <c r="N88" i="17" s="1"/>
  <c r="O87" i="17"/>
  <c r="M87" i="17"/>
  <c r="N87" i="17" s="1" a="1"/>
  <c r="N87" i="17" s="1"/>
  <c r="O86" i="17"/>
  <c r="M86" i="17"/>
  <c r="N86" i="17" s="1" a="1"/>
  <c r="N86" i="17" s="1"/>
  <c r="O85" i="17"/>
  <c r="M85" i="17"/>
  <c r="N85" i="17" s="1" a="1"/>
  <c r="N85" i="17" s="1"/>
  <c r="O84" i="17"/>
  <c r="M84" i="17"/>
  <c r="N84" i="17" s="1" a="1"/>
  <c r="N84" i="17" s="1"/>
  <c r="O83" i="17"/>
  <c r="M83" i="17"/>
  <c r="N83" i="17" s="1" a="1"/>
  <c r="N83" i="17" s="1"/>
  <c r="O82" i="17"/>
  <c r="M82" i="17"/>
  <c r="N82" i="17" s="1" a="1"/>
  <c r="N82" i="17" s="1"/>
  <c r="O81" i="17"/>
  <c r="M81" i="17"/>
  <c r="N81" i="17" s="1" a="1"/>
  <c r="N81" i="17" s="1"/>
  <c r="O80" i="17"/>
  <c r="M80" i="17"/>
  <c r="N80" i="17" s="1" a="1"/>
  <c r="N80" i="17" s="1"/>
  <c r="O79" i="17"/>
  <c r="M79" i="17"/>
  <c r="N79" i="17" s="1" a="1"/>
  <c r="N79" i="17" s="1"/>
  <c r="O78" i="17"/>
  <c r="M78" i="17"/>
  <c r="N78" i="17" s="1" a="1"/>
  <c r="N78" i="17" s="1"/>
  <c r="O77" i="17"/>
  <c r="M77" i="17"/>
  <c r="N77" i="17" s="1" a="1"/>
  <c r="N77" i="17" s="1"/>
  <c r="O76" i="17"/>
  <c r="M76" i="17"/>
  <c r="N76" i="17" s="1" a="1"/>
  <c r="N76" i="17" s="1"/>
  <c r="O75" i="17"/>
  <c r="M75" i="17"/>
  <c r="N75" i="17" s="1" a="1"/>
  <c r="N75" i="17" s="1"/>
  <c r="O74" i="17"/>
  <c r="M74" i="17"/>
  <c r="N74" i="17" s="1" a="1"/>
  <c r="N74" i="17" s="1"/>
  <c r="O73" i="17"/>
  <c r="M73" i="17"/>
  <c r="N73" i="17" s="1" a="1"/>
  <c r="N73" i="17" s="1"/>
  <c r="O72" i="17"/>
  <c r="M72" i="17"/>
  <c r="N72" i="17" s="1" a="1"/>
  <c r="N72" i="17" s="1"/>
  <c r="O71" i="17"/>
  <c r="M71" i="17"/>
  <c r="N71" i="17" s="1" a="1"/>
  <c r="N71" i="17" s="1"/>
  <c r="O70" i="17"/>
  <c r="M70" i="17"/>
  <c r="N70" i="17" s="1" a="1"/>
  <c r="N70" i="17" s="1"/>
  <c r="O69" i="17"/>
  <c r="M69" i="17"/>
  <c r="N69" i="17" s="1" a="1"/>
  <c r="N69" i="17" s="1"/>
  <c r="O68" i="17"/>
  <c r="M68" i="17"/>
  <c r="N68" i="17" s="1" a="1"/>
  <c r="N68" i="17" s="1"/>
  <c r="O67" i="17"/>
  <c r="M67" i="17"/>
  <c r="N67" i="17" s="1" a="1"/>
  <c r="N67" i="17" s="1"/>
  <c r="O66" i="17"/>
  <c r="M66" i="17"/>
  <c r="N66" i="17" s="1" a="1"/>
  <c r="N66" i="17" s="1"/>
  <c r="O65" i="17"/>
  <c r="M65" i="17"/>
  <c r="N65" i="17" s="1" a="1"/>
  <c r="N65" i="17" s="1"/>
  <c r="O64" i="17"/>
  <c r="M64" i="17"/>
  <c r="N64" i="17" s="1" a="1"/>
  <c r="N64" i="17" s="1"/>
  <c r="O63" i="17"/>
  <c r="M63" i="17"/>
  <c r="N63" i="17" s="1" a="1"/>
  <c r="N63" i="17" s="1"/>
  <c r="O62" i="17"/>
  <c r="M62" i="17"/>
  <c r="N62" i="17" s="1" a="1"/>
  <c r="N62" i="17" s="1"/>
  <c r="O61" i="17"/>
  <c r="M61" i="17"/>
  <c r="N61" i="17" s="1" a="1"/>
  <c r="N61" i="17" s="1"/>
  <c r="O60" i="17"/>
  <c r="M60" i="17"/>
  <c r="N60" i="17" s="1" a="1"/>
  <c r="N60" i="17" s="1"/>
  <c r="O59" i="17"/>
  <c r="M59" i="17"/>
  <c r="N59" i="17" s="1" a="1"/>
  <c r="N59" i="17" s="1"/>
  <c r="O58" i="17"/>
  <c r="M58" i="17"/>
  <c r="N58" i="17" s="1" a="1"/>
  <c r="N58" i="17" s="1"/>
  <c r="O57" i="17"/>
  <c r="M57" i="17"/>
  <c r="N57" i="17" s="1" a="1"/>
  <c r="N57" i="17" s="1"/>
  <c r="O56" i="17"/>
  <c r="M56" i="17"/>
  <c r="N56" i="17" s="1" a="1"/>
  <c r="N56" i="17" s="1"/>
  <c r="O55" i="17"/>
  <c r="M55" i="17"/>
  <c r="N55" i="17" s="1" a="1"/>
  <c r="N55" i="17" s="1"/>
  <c r="O54" i="17"/>
  <c r="M54" i="17"/>
  <c r="N54" i="17" s="1" a="1"/>
  <c r="N54" i="17" s="1"/>
  <c r="O53" i="17"/>
  <c r="M53" i="17"/>
  <c r="N53" i="17" s="1" a="1"/>
  <c r="N53" i="17" s="1"/>
  <c r="O52" i="17"/>
  <c r="M52" i="17"/>
  <c r="N52" i="17" s="1" a="1"/>
  <c r="N52" i="17" s="1"/>
  <c r="O51" i="17"/>
  <c r="M51" i="17"/>
  <c r="N51" i="17" s="1" a="1"/>
  <c r="N51" i="17" s="1"/>
  <c r="O50" i="17"/>
  <c r="M50" i="17"/>
  <c r="N50" i="17" s="1" a="1"/>
  <c r="N50" i="17" s="1"/>
  <c r="O49" i="17"/>
  <c r="M49" i="17"/>
  <c r="N49" i="17" s="1" a="1"/>
  <c r="N49" i="17" s="1"/>
  <c r="O48" i="17"/>
  <c r="M48" i="17"/>
  <c r="N48" i="17" s="1" a="1"/>
  <c r="N48" i="17" s="1"/>
  <c r="O47" i="17"/>
  <c r="M47" i="17"/>
  <c r="N47" i="17" s="1" a="1"/>
  <c r="N47" i="17" s="1"/>
  <c r="O46" i="17"/>
  <c r="M46" i="17"/>
  <c r="N46" i="17" s="1" a="1"/>
  <c r="N46" i="17" s="1"/>
  <c r="O45" i="17"/>
  <c r="M45" i="17"/>
  <c r="N45" i="17" s="1" a="1"/>
  <c r="N45" i="17" s="1"/>
  <c r="O44" i="17"/>
  <c r="M44" i="17"/>
  <c r="N44" i="17" s="1" a="1"/>
  <c r="N44" i="17" s="1"/>
  <c r="O43" i="17"/>
  <c r="M43" i="17"/>
  <c r="N43" i="17" s="1" a="1"/>
  <c r="N43" i="17" s="1"/>
  <c r="O42" i="17"/>
  <c r="M42" i="17"/>
  <c r="N42" i="17" s="1" a="1"/>
  <c r="N42" i="17" s="1"/>
  <c r="O41" i="17"/>
  <c r="M41" i="17"/>
  <c r="N41" i="17" s="1" a="1"/>
  <c r="N41" i="17" s="1"/>
  <c r="O40" i="17"/>
  <c r="M40" i="17"/>
  <c r="N40" i="17" s="1" a="1"/>
  <c r="N40" i="17" s="1"/>
  <c r="O39" i="17"/>
  <c r="M39" i="17"/>
  <c r="N39" i="17" s="1" a="1"/>
  <c r="N39" i="17" s="1"/>
  <c r="O38" i="17"/>
  <c r="M38" i="17"/>
  <c r="N38" i="17" s="1" a="1"/>
  <c r="N38" i="17" s="1"/>
  <c r="O37" i="17"/>
  <c r="M37" i="17"/>
  <c r="N37" i="17" s="1" a="1"/>
  <c r="N37" i="17" s="1"/>
  <c r="O36" i="17"/>
  <c r="M36" i="17"/>
  <c r="N36" i="17" s="1" a="1"/>
  <c r="N36" i="17" s="1"/>
  <c r="O35" i="17"/>
  <c r="M35" i="17"/>
  <c r="N35" i="17" s="1" a="1"/>
  <c r="N35" i="17" s="1"/>
  <c r="O34" i="17"/>
  <c r="M34" i="17"/>
  <c r="N34" i="17" s="1" a="1"/>
  <c r="N34" i="17" s="1"/>
  <c r="O33" i="17"/>
  <c r="M33" i="17"/>
  <c r="N33" i="17" s="1" a="1"/>
  <c r="N33" i="17" s="1"/>
  <c r="O32" i="17"/>
  <c r="M32" i="17"/>
  <c r="N32" i="17" s="1" a="1"/>
  <c r="N32" i="17" s="1"/>
  <c r="O31" i="17"/>
  <c r="M31" i="17"/>
  <c r="N31" i="17" s="1" a="1"/>
  <c r="N31" i="17" s="1"/>
  <c r="O30" i="17"/>
  <c r="M30" i="17"/>
  <c r="N30" i="17" s="1" a="1"/>
  <c r="N30" i="17" s="1"/>
  <c r="O29" i="17"/>
  <c r="M29" i="17"/>
  <c r="N29" i="17" s="1" a="1"/>
  <c r="N29" i="17" s="1"/>
  <c r="O28" i="17"/>
  <c r="M28" i="17"/>
  <c r="N28" i="17" s="1" a="1"/>
  <c r="N28" i="17" s="1"/>
  <c r="O27" i="17"/>
  <c r="M27" i="17"/>
  <c r="N27" i="17" s="1" a="1"/>
  <c r="N27" i="17" s="1"/>
  <c r="O26" i="17"/>
  <c r="M26" i="17"/>
  <c r="N26" i="17" s="1" a="1"/>
  <c r="N26" i="17" s="1"/>
  <c r="O25" i="17"/>
  <c r="M25" i="17"/>
  <c r="N25" i="17" s="1" a="1"/>
  <c r="N25" i="17" s="1"/>
  <c r="O24" i="17"/>
  <c r="M24" i="17"/>
  <c r="N24" i="17" s="1" a="1"/>
  <c r="N24" i="17" s="1"/>
  <c r="O23" i="17"/>
  <c r="M23" i="17"/>
  <c r="N23" i="17" s="1" a="1"/>
  <c r="N23" i="17" s="1"/>
  <c r="O22" i="17"/>
  <c r="M22" i="17"/>
  <c r="N22" i="17" s="1" a="1"/>
  <c r="N22" i="17" s="1"/>
  <c r="O21" i="17"/>
  <c r="M21" i="17"/>
  <c r="N21" i="17" s="1" a="1"/>
  <c r="N21" i="17" s="1"/>
  <c r="O20" i="17"/>
  <c r="M20" i="17"/>
  <c r="N20" i="17" s="1" a="1"/>
  <c r="N20" i="17" s="1"/>
  <c r="O19" i="17"/>
  <c r="M19" i="17"/>
  <c r="N19" i="17" s="1" a="1"/>
  <c r="N19" i="17" s="1"/>
  <c r="O18" i="17"/>
  <c r="M18" i="17"/>
  <c r="N18" i="17" s="1" a="1"/>
  <c r="N18" i="17" s="1"/>
  <c r="O17" i="17"/>
  <c r="M17" i="17"/>
  <c r="N17" i="17" s="1" a="1"/>
  <c r="N17" i="17" s="1"/>
  <c r="O16" i="17"/>
  <c r="M16" i="17"/>
  <c r="N16" i="17" s="1" a="1"/>
  <c r="N16" i="17" s="1"/>
  <c r="O15" i="17"/>
  <c r="M15" i="17"/>
  <c r="N15" i="17" s="1" a="1"/>
  <c r="N15" i="17" s="1"/>
  <c r="O14" i="17"/>
  <c r="M14" i="17"/>
  <c r="N14" i="17" s="1" a="1"/>
  <c r="N14" i="17" s="1"/>
  <c r="O13" i="17"/>
  <c r="M13" i="17"/>
  <c r="N13" i="17" s="1" a="1"/>
  <c r="N13" i="17" s="1"/>
  <c r="J13" i="17"/>
  <c r="J15" i="17" s="1"/>
  <c r="O12" i="17"/>
  <c r="M12" i="17"/>
  <c r="N12" i="17" s="1" a="1"/>
  <c r="N12" i="17" s="1"/>
  <c r="O11" i="17"/>
  <c r="M11" i="17"/>
  <c r="N11" i="17" s="1" a="1"/>
  <c r="N11" i="17" s="1"/>
  <c r="O10" i="17"/>
  <c r="M10" i="17"/>
  <c r="N10" i="17" s="1" a="1"/>
  <c r="N10" i="17" s="1"/>
  <c r="O9" i="17"/>
  <c r="M9" i="17"/>
  <c r="N9" i="17" s="1" a="1"/>
  <c r="N9" i="17" s="1"/>
  <c r="AB3" i="14"/>
  <c r="AB2" i="14"/>
  <c r="AB3" i="15"/>
  <c r="AB2" i="15"/>
  <c r="AB3" i="13"/>
  <c r="AB2" i="13"/>
  <c r="AB3" i="12"/>
  <c r="AB2" i="12"/>
  <c r="AB3" i="16"/>
  <c r="AB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AU10" i="8"/>
  <c r="AR10" i="8"/>
  <c r="AQ10" i="8"/>
  <c r="BC11" i="8" l="1"/>
  <c r="O9" i="8"/>
  <c r="M107" i="8"/>
  <c r="N107" i="8" s="1" a="1"/>
  <c r="N107" i="8" s="1"/>
  <c r="O107" i="8" s="1"/>
  <c r="M106" i="8"/>
  <c r="N106" i="8" s="1" a="1"/>
  <c r="N106" i="8" s="1"/>
  <c r="O106" i="8" s="1"/>
  <c r="M105" i="8"/>
  <c r="N105" i="8" s="1" a="1"/>
  <c r="N105" i="8" s="1"/>
  <c r="O105" i="8" s="1"/>
  <c r="J14" i="17"/>
  <c r="J17" i="17" s="1"/>
  <c r="M131" i="17"/>
  <c r="N131" i="17" s="1" a="1"/>
  <c r="N131" i="17" s="1"/>
  <c r="O131" i="17" s="1"/>
  <c r="M130" i="17"/>
  <c r="N130" i="17" s="1" a="1"/>
  <c r="N130" i="17" s="1"/>
  <c r="O130" i="17" s="1"/>
  <c r="M129" i="17"/>
  <c r="N129" i="17" s="1" a="1"/>
  <c r="N129" i="17" s="1"/>
  <c r="O129" i="17" s="1"/>
  <c r="F122" i="14"/>
  <c r="E122" i="14"/>
  <c r="M128" i="14" s="1"/>
  <c r="N128" i="14" s="1" a="1"/>
  <c r="N128" i="14" s="1"/>
  <c r="B122" i="14"/>
  <c r="O128" i="14" s="1"/>
  <c r="F121" i="14"/>
  <c r="E121" i="14"/>
  <c r="M127" i="14" s="1"/>
  <c r="N127" i="14" s="1" a="1"/>
  <c r="N127" i="14" s="1"/>
  <c r="B121" i="14"/>
  <c r="O127" i="14" s="1"/>
  <c r="F120" i="14"/>
  <c r="E120" i="14"/>
  <c r="M126" i="14" s="1"/>
  <c r="N126" i="14" s="1" a="1"/>
  <c r="N126" i="14" s="1"/>
  <c r="B120" i="14"/>
  <c r="O126" i="14" s="1"/>
  <c r="O119" i="14"/>
  <c r="F119" i="14"/>
  <c r="E119" i="14"/>
  <c r="M125" i="14" s="1"/>
  <c r="N125" i="14" s="1" a="1"/>
  <c r="N125" i="14" s="1"/>
  <c r="B119" i="14"/>
  <c r="O125" i="14" s="1"/>
  <c r="O118" i="14"/>
  <c r="F118" i="14"/>
  <c r="E118" i="14"/>
  <c r="M124" i="14" s="1"/>
  <c r="N124" i="14" s="1" a="1"/>
  <c r="N124" i="14" s="1"/>
  <c r="B118" i="14"/>
  <c r="O124" i="14" s="1"/>
  <c r="F117" i="14"/>
  <c r="E117" i="14"/>
  <c r="M123" i="14" s="1"/>
  <c r="N123" i="14" s="1" a="1"/>
  <c r="N123" i="14" s="1"/>
  <c r="B117" i="14"/>
  <c r="O123" i="14" s="1"/>
  <c r="O116" i="14"/>
  <c r="F116" i="14"/>
  <c r="E116" i="14"/>
  <c r="M122" i="14" s="1"/>
  <c r="N122" i="14" s="1" a="1"/>
  <c r="N122" i="14" s="1"/>
  <c r="B116" i="14"/>
  <c r="O122" i="14" s="1"/>
  <c r="F115" i="14"/>
  <c r="E115" i="14"/>
  <c r="M121" i="14" s="1"/>
  <c r="N121" i="14" s="1" a="1"/>
  <c r="N121" i="14" s="1"/>
  <c r="B115" i="14"/>
  <c r="O121" i="14" s="1"/>
  <c r="F114" i="14"/>
  <c r="E114" i="14"/>
  <c r="M120" i="14" s="1"/>
  <c r="N120" i="14" s="1" a="1"/>
  <c r="N120" i="14" s="1"/>
  <c r="B114" i="14"/>
  <c r="O120" i="14" s="1"/>
  <c r="F113" i="14"/>
  <c r="E113" i="14"/>
  <c r="M119" i="14" s="1"/>
  <c r="N119" i="14" s="1" a="1"/>
  <c r="N119" i="14" s="1"/>
  <c r="B113" i="14"/>
  <c r="M112" i="14"/>
  <c r="N112" i="14" s="1" a="1"/>
  <c r="N112" i="14" s="1"/>
  <c r="F112" i="14"/>
  <c r="E112" i="14"/>
  <c r="M118" i="14" s="1"/>
  <c r="N118" i="14" s="1" a="1"/>
  <c r="N118" i="14" s="1"/>
  <c r="B112" i="14"/>
  <c r="F111" i="14"/>
  <c r="E111" i="14"/>
  <c r="M117" i="14" s="1"/>
  <c r="N117" i="14" s="1" a="1"/>
  <c r="N117" i="14" s="1"/>
  <c r="B111" i="14"/>
  <c r="O117" i="14" s="1"/>
  <c r="N110" i="14"/>
  <c r="F110" i="14"/>
  <c r="E110" i="14"/>
  <c r="M116" i="14" s="1"/>
  <c r="N116" i="14" s="1" a="1"/>
  <c r="N116" i="14" s="1"/>
  <c r="B110" i="14"/>
  <c r="F109" i="14"/>
  <c r="E109" i="14"/>
  <c r="M115" i="14" s="1"/>
  <c r="N115" i="14" s="1" a="1"/>
  <c r="N115" i="14" s="1"/>
  <c r="B109" i="14"/>
  <c r="O115" i="14" s="1"/>
  <c r="F108" i="14"/>
  <c r="E108" i="14"/>
  <c r="M114" i="14" s="1"/>
  <c r="N114" i="14" s="1" a="1"/>
  <c r="N114" i="14" s="1"/>
  <c r="B108" i="14"/>
  <c r="O114" i="14" s="1"/>
  <c r="F107" i="14"/>
  <c r="E107" i="14"/>
  <c r="M113" i="14" s="1"/>
  <c r="N113" i="14" s="1" a="1"/>
  <c r="N113" i="14" s="1"/>
  <c r="B107" i="14"/>
  <c r="O113" i="14" s="1"/>
  <c r="F106" i="14"/>
  <c r="E106" i="14"/>
  <c r="B106" i="14"/>
  <c r="O112" i="14" s="1"/>
  <c r="F105" i="14"/>
  <c r="E105" i="14"/>
  <c r="M111" i="14" s="1"/>
  <c r="N111" i="14" s="1" a="1"/>
  <c r="N111" i="14" s="1"/>
  <c r="B105" i="14"/>
  <c r="O111" i="14" s="1"/>
  <c r="F104" i="14"/>
  <c r="E104" i="14"/>
  <c r="M110" i="14" s="1"/>
  <c r="N110" i="14" s="1" a="1"/>
  <c r="B104" i="14"/>
  <c r="O110" i="14" s="1"/>
  <c r="F103" i="14"/>
  <c r="E103" i="14"/>
  <c r="M109" i="14" s="1"/>
  <c r="N109" i="14" s="1" a="1"/>
  <c r="N109" i="14" s="1"/>
  <c r="B103" i="14"/>
  <c r="O109" i="14" s="1"/>
  <c r="F102" i="14"/>
  <c r="E102" i="14"/>
  <c r="M108" i="14" s="1"/>
  <c r="N108" i="14" s="1" a="1"/>
  <c r="N108" i="14" s="1"/>
  <c r="B102" i="14"/>
  <c r="O108" i="14" s="1"/>
  <c r="F101" i="14"/>
  <c r="E101" i="14"/>
  <c r="M107" i="14" s="1"/>
  <c r="N107" i="14" s="1" a="1"/>
  <c r="N107" i="14" s="1"/>
  <c r="B101" i="14"/>
  <c r="O107" i="14" s="1"/>
  <c r="F100" i="14"/>
  <c r="E100" i="14"/>
  <c r="M106" i="14" s="1"/>
  <c r="N106" i="14" s="1" a="1"/>
  <c r="N106" i="14" s="1"/>
  <c r="B100" i="14"/>
  <c r="O106" i="14" s="1"/>
  <c r="F99" i="14"/>
  <c r="E99" i="14"/>
  <c r="M105" i="14" s="1"/>
  <c r="N105" i="14" s="1" a="1"/>
  <c r="N105" i="14" s="1"/>
  <c r="B99" i="14"/>
  <c r="O105" i="14" s="1"/>
  <c r="F98" i="14"/>
  <c r="E98" i="14"/>
  <c r="M104" i="14" s="1"/>
  <c r="N104" i="14" s="1" a="1"/>
  <c r="N104" i="14" s="1"/>
  <c r="B98" i="14"/>
  <c r="O104" i="14" s="1"/>
  <c r="F97" i="14"/>
  <c r="E97" i="14"/>
  <c r="M103" i="14" s="1"/>
  <c r="N103" i="14" s="1" a="1"/>
  <c r="N103" i="14" s="1"/>
  <c r="B97" i="14"/>
  <c r="O103" i="14" s="1"/>
  <c r="F96" i="14"/>
  <c r="E96" i="14"/>
  <c r="M102" i="14" s="1"/>
  <c r="N102" i="14" s="1" a="1"/>
  <c r="N102" i="14" s="1"/>
  <c r="B96" i="14"/>
  <c r="O102" i="14" s="1"/>
  <c r="O95" i="14"/>
  <c r="F95" i="14"/>
  <c r="E95" i="14"/>
  <c r="M101" i="14" s="1"/>
  <c r="N101" i="14" s="1" a="1"/>
  <c r="N101" i="14" s="1"/>
  <c r="B95" i="14"/>
  <c r="O101" i="14" s="1"/>
  <c r="F94" i="14"/>
  <c r="E94" i="14"/>
  <c r="M100" i="14" s="1"/>
  <c r="N100" i="14" s="1" a="1"/>
  <c r="N100" i="14" s="1"/>
  <c r="B94" i="14"/>
  <c r="O100" i="14" s="1"/>
  <c r="O93" i="14"/>
  <c r="F93" i="14"/>
  <c r="E93" i="14"/>
  <c r="M99" i="14" s="1"/>
  <c r="N99" i="14" s="1" a="1"/>
  <c r="N99" i="14" s="1"/>
  <c r="B93" i="14"/>
  <c r="O99" i="14" s="1"/>
  <c r="F92" i="14"/>
  <c r="E92" i="14"/>
  <c r="M98" i="14" s="1"/>
  <c r="N98" i="14" s="1" a="1"/>
  <c r="N98" i="14" s="1"/>
  <c r="B92" i="14"/>
  <c r="O98" i="14" s="1"/>
  <c r="F91" i="14"/>
  <c r="E91" i="14"/>
  <c r="M97" i="14" s="1"/>
  <c r="N97" i="14" s="1" a="1"/>
  <c r="N97" i="14" s="1"/>
  <c r="B91" i="14"/>
  <c r="O97" i="14" s="1"/>
  <c r="F90" i="14"/>
  <c r="E90" i="14"/>
  <c r="M96" i="14" s="1"/>
  <c r="N96" i="14" s="1" a="1"/>
  <c r="N96" i="14" s="1"/>
  <c r="B90" i="14"/>
  <c r="O96" i="14" s="1"/>
  <c r="F89" i="14"/>
  <c r="E89" i="14"/>
  <c r="M95" i="14" s="1"/>
  <c r="N95" i="14" s="1" a="1"/>
  <c r="N95" i="14" s="1"/>
  <c r="B89" i="14"/>
  <c r="F88" i="14"/>
  <c r="E88" i="14"/>
  <c r="M94" i="14" s="1"/>
  <c r="N94" i="14" s="1" a="1"/>
  <c r="N94" i="14" s="1"/>
  <c r="B88" i="14"/>
  <c r="O94" i="14" s="1"/>
  <c r="F87" i="14"/>
  <c r="E87" i="14"/>
  <c r="M93" i="14" s="1"/>
  <c r="N93" i="14" s="1" a="1"/>
  <c r="N93" i="14" s="1"/>
  <c r="B87" i="14"/>
  <c r="F86" i="14"/>
  <c r="E86" i="14"/>
  <c r="M92" i="14" s="1"/>
  <c r="N92" i="14" s="1" a="1"/>
  <c r="N92" i="14" s="1"/>
  <c r="B86" i="14"/>
  <c r="O92" i="14" s="1"/>
  <c r="F85" i="14"/>
  <c r="E85" i="14"/>
  <c r="M91" i="14" s="1"/>
  <c r="N91" i="14" s="1" a="1"/>
  <c r="N91" i="14" s="1"/>
  <c r="B85" i="14"/>
  <c r="O91" i="14" s="1"/>
  <c r="F84" i="14"/>
  <c r="E84" i="14"/>
  <c r="M90" i="14" s="1"/>
  <c r="N90" i="14" s="1" a="1"/>
  <c r="N90" i="14" s="1"/>
  <c r="B84" i="14"/>
  <c r="O90" i="14" s="1"/>
  <c r="F83" i="14"/>
  <c r="E83" i="14"/>
  <c r="M89" i="14" s="1"/>
  <c r="N89" i="14" s="1" a="1"/>
  <c r="N89" i="14" s="1"/>
  <c r="B83" i="14"/>
  <c r="O89" i="14" s="1"/>
  <c r="O82" i="14"/>
  <c r="F82" i="14"/>
  <c r="E82" i="14"/>
  <c r="M88" i="14" s="1"/>
  <c r="N88" i="14" s="1" a="1"/>
  <c r="N88" i="14" s="1"/>
  <c r="B82" i="14"/>
  <c r="O88" i="14" s="1"/>
  <c r="F81" i="14"/>
  <c r="E81" i="14"/>
  <c r="M87" i="14" s="1"/>
  <c r="N87" i="14" s="1" a="1"/>
  <c r="N87" i="14" s="1"/>
  <c r="B81" i="14"/>
  <c r="O87" i="14" s="1"/>
  <c r="F80" i="14"/>
  <c r="E80" i="14"/>
  <c r="M86" i="14" s="1"/>
  <c r="N86" i="14" s="1" a="1"/>
  <c r="N86" i="14" s="1"/>
  <c r="B80" i="14"/>
  <c r="O86" i="14" s="1"/>
  <c r="F79" i="14"/>
  <c r="E79" i="14"/>
  <c r="M85" i="14" s="1"/>
  <c r="N85" i="14" s="1" a="1"/>
  <c r="N85" i="14" s="1"/>
  <c r="B79" i="14"/>
  <c r="O85" i="14" s="1"/>
  <c r="O78" i="14"/>
  <c r="F78" i="14"/>
  <c r="E78" i="14"/>
  <c r="M84" i="14" s="1"/>
  <c r="N84" i="14" s="1" a="1"/>
  <c r="N84" i="14" s="1"/>
  <c r="B78" i="14"/>
  <c r="O84" i="14" s="1"/>
  <c r="F77" i="14"/>
  <c r="E77" i="14"/>
  <c r="M83" i="14" s="1"/>
  <c r="N83" i="14" s="1" a="1"/>
  <c r="N83" i="14" s="1"/>
  <c r="B77" i="14"/>
  <c r="O83" i="14" s="1"/>
  <c r="O76" i="14"/>
  <c r="F76" i="14"/>
  <c r="E76" i="14"/>
  <c r="M82" i="14" s="1"/>
  <c r="N82" i="14" s="1" a="1"/>
  <c r="N82" i="14" s="1"/>
  <c r="B76" i="14"/>
  <c r="F75" i="14"/>
  <c r="E75" i="14"/>
  <c r="M81" i="14" s="1"/>
  <c r="N81" i="14" s="1" a="1"/>
  <c r="N81" i="14" s="1"/>
  <c r="B75" i="14"/>
  <c r="O81" i="14" s="1"/>
  <c r="F74" i="14"/>
  <c r="E74" i="14"/>
  <c r="M80" i="14" s="1"/>
  <c r="N80" i="14" s="1" a="1"/>
  <c r="N80" i="14" s="1"/>
  <c r="B74" i="14"/>
  <c r="O80" i="14" s="1"/>
  <c r="F73" i="14"/>
  <c r="E73" i="14"/>
  <c r="M79" i="14" s="1"/>
  <c r="N79" i="14" s="1" a="1"/>
  <c r="N79" i="14" s="1"/>
  <c r="B73" i="14"/>
  <c r="O79" i="14" s="1"/>
  <c r="F72" i="14"/>
  <c r="E72" i="14"/>
  <c r="M78" i="14" s="1"/>
  <c r="N78" i="14" s="1" a="1"/>
  <c r="N78" i="14" s="1"/>
  <c r="B72" i="14"/>
  <c r="F71" i="14"/>
  <c r="E71" i="14"/>
  <c r="M77" i="14" s="1"/>
  <c r="N77" i="14" s="1" a="1"/>
  <c r="N77" i="14" s="1"/>
  <c r="B71" i="14"/>
  <c r="O77" i="14" s="1"/>
  <c r="F70" i="14"/>
  <c r="E70" i="14"/>
  <c r="M76" i="14" s="1"/>
  <c r="N76" i="14" s="1" a="1"/>
  <c r="N76" i="14" s="1"/>
  <c r="B70" i="14"/>
  <c r="F69" i="14"/>
  <c r="E69" i="14"/>
  <c r="M75" i="14" s="1"/>
  <c r="N75" i="14" s="1" a="1"/>
  <c r="N75" i="14" s="1"/>
  <c r="B69" i="14"/>
  <c r="O75" i="14" s="1"/>
  <c r="F68" i="14"/>
  <c r="E68" i="14"/>
  <c r="M74" i="14" s="1"/>
  <c r="N74" i="14" s="1" a="1"/>
  <c r="N74" i="14" s="1"/>
  <c r="B68" i="14"/>
  <c r="O74" i="14" s="1"/>
  <c r="F67" i="14"/>
  <c r="E67" i="14"/>
  <c r="M73" i="14" s="1"/>
  <c r="N73" i="14" s="1" a="1"/>
  <c r="N73" i="14" s="1"/>
  <c r="B67" i="14"/>
  <c r="O73" i="14" s="1"/>
  <c r="F66" i="14"/>
  <c r="E66" i="14"/>
  <c r="M72" i="14" s="1"/>
  <c r="N72" i="14" s="1" a="1"/>
  <c r="N72" i="14" s="1"/>
  <c r="B66" i="14"/>
  <c r="O72" i="14" s="1"/>
  <c r="F65" i="14"/>
  <c r="E65" i="14"/>
  <c r="M71" i="14" s="1"/>
  <c r="N71" i="14" s="1" a="1"/>
  <c r="N71" i="14" s="1"/>
  <c r="B65" i="14"/>
  <c r="O71" i="14" s="1"/>
  <c r="F64" i="14"/>
  <c r="E64" i="14"/>
  <c r="M70" i="14" s="1"/>
  <c r="N70" i="14" s="1" a="1"/>
  <c r="N70" i="14" s="1"/>
  <c r="B64" i="14"/>
  <c r="O70" i="14" s="1"/>
  <c r="F63" i="14"/>
  <c r="E63" i="14"/>
  <c r="M69" i="14" s="1"/>
  <c r="N69" i="14" s="1" a="1"/>
  <c r="N69" i="14" s="1"/>
  <c r="B63" i="14"/>
  <c r="O69" i="14" s="1"/>
  <c r="F62" i="14"/>
  <c r="E62" i="14"/>
  <c r="M68" i="14" s="1"/>
  <c r="N68" i="14" s="1" a="1"/>
  <c r="N68" i="14" s="1"/>
  <c r="B62" i="14"/>
  <c r="O68" i="14" s="1"/>
  <c r="F61" i="14"/>
  <c r="E61" i="14"/>
  <c r="M67" i="14" s="1"/>
  <c r="N67" i="14" s="1" a="1"/>
  <c r="N67" i="14" s="1"/>
  <c r="B61" i="14"/>
  <c r="O67" i="14" s="1"/>
  <c r="F60" i="14"/>
  <c r="E60" i="14"/>
  <c r="M66" i="14" s="1"/>
  <c r="N66" i="14" s="1" a="1"/>
  <c r="N66" i="14" s="1"/>
  <c r="B60" i="14"/>
  <c r="O66" i="14" s="1"/>
  <c r="M59" i="14"/>
  <c r="N59" i="14" s="1" a="1"/>
  <c r="N59" i="14" s="1"/>
  <c r="F59" i="14"/>
  <c r="E59" i="14"/>
  <c r="M65" i="14" s="1"/>
  <c r="N65" i="14" s="1" a="1"/>
  <c r="N65" i="14" s="1"/>
  <c r="B59" i="14"/>
  <c r="O65" i="14" s="1"/>
  <c r="F58" i="14"/>
  <c r="E58" i="14"/>
  <c r="M64" i="14" s="1"/>
  <c r="N64" i="14" s="1" a="1"/>
  <c r="N64" i="14" s="1"/>
  <c r="B58" i="14"/>
  <c r="O64" i="14" s="1"/>
  <c r="F57" i="14"/>
  <c r="E57" i="14"/>
  <c r="M63" i="14" s="1"/>
  <c r="N63" i="14" s="1" a="1"/>
  <c r="N63" i="14" s="1"/>
  <c r="B57" i="14"/>
  <c r="O63" i="14" s="1"/>
  <c r="F56" i="14"/>
  <c r="E56" i="14"/>
  <c r="M62" i="14" s="1"/>
  <c r="N62" i="14" s="1" a="1"/>
  <c r="N62" i="14" s="1"/>
  <c r="B56" i="14"/>
  <c r="O62" i="14" s="1"/>
  <c r="O55" i="14"/>
  <c r="F55" i="14"/>
  <c r="E55" i="14"/>
  <c r="M61" i="14" s="1"/>
  <c r="N61" i="14" s="1" a="1"/>
  <c r="N61" i="14" s="1"/>
  <c r="B55" i="14"/>
  <c r="O61" i="14" s="1"/>
  <c r="F54" i="14"/>
  <c r="E54" i="14"/>
  <c r="M60" i="14" s="1"/>
  <c r="N60" i="14" s="1" a="1"/>
  <c r="N60" i="14" s="1"/>
  <c r="B54" i="14"/>
  <c r="O60" i="14" s="1"/>
  <c r="F53" i="14"/>
  <c r="E53" i="14"/>
  <c r="B53" i="14"/>
  <c r="O59" i="14" s="1"/>
  <c r="F52" i="14"/>
  <c r="E52" i="14"/>
  <c r="M58" i="14" s="1"/>
  <c r="N58" i="14" s="1" a="1"/>
  <c r="N58" i="14" s="1"/>
  <c r="B52" i="14"/>
  <c r="O58" i="14" s="1"/>
  <c r="F51" i="14"/>
  <c r="E51" i="14"/>
  <c r="M57" i="14" s="1"/>
  <c r="N57" i="14" s="1" a="1"/>
  <c r="N57" i="14" s="1"/>
  <c r="B51" i="14"/>
  <c r="O57" i="14" s="1"/>
  <c r="F50" i="14"/>
  <c r="E50" i="14"/>
  <c r="M56" i="14" s="1"/>
  <c r="N56" i="14" s="1" a="1"/>
  <c r="N56" i="14" s="1"/>
  <c r="B50" i="14"/>
  <c r="O56" i="14" s="1"/>
  <c r="F49" i="14"/>
  <c r="E49" i="14"/>
  <c r="M55" i="14" s="1"/>
  <c r="N55" i="14" s="1" a="1"/>
  <c r="N55" i="14" s="1"/>
  <c r="B49" i="14"/>
  <c r="F48" i="14"/>
  <c r="E48" i="14"/>
  <c r="M54" i="14" s="1"/>
  <c r="N54" i="14" s="1" a="1"/>
  <c r="N54" i="14" s="1"/>
  <c r="B48" i="14"/>
  <c r="O54" i="14" s="1"/>
  <c r="F47" i="14"/>
  <c r="E47" i="14"/>
  <c r="M53" i="14" s="1"/>
  <c r="N53" i="14" s="1" a="1"/>
  <c r="N53" i="14" s="1"/>
  <c r="B47" i="14"/>
  <c r="O53" i="14" s="1"/>
  <c r="F46" i="14"/>
  <c r="E46" i="14"/>
  <c r="M52" i="14" s="1"/>
  <c r="N52" i="14" s="1" a="1"/>
  <c r="N52" i="14" s="1"/>
  <c r="B46" i="14"/>
  <c r="O52" i="14" s="1"/>
  <c r="F45" i="14"/>
  <c r="E45" i="14"/>
  <c r="M51" i="14" s="1"/>
  <c r="N51" i="14" s="1" a="1"/>
  <c r="N51" i="14" s="1"/>
  <c r="B45" i="14"/>
  <c r="O51" i="14" s="1"/>
  <c r="F44" i="14"/>
  <c r="E44" i="14"/>
  <c r="M50" i="14" s="1"/>
  <c r="N50" i="14" s="1" a="1"/>
  <c r="N50" i="14" s="1"/>
  <c r="B44" i="14"/>
  <c r="O50" i="14" s="1"/>
  <c r="F43" i="14"/>
  <c r="E43" i="14"/>
  <c r="M49" i="14" s="1"/>
  <c r="N49" i="14" s="1" a="1"/>
  <c r="N49" i="14" s="1"/>
  <c r="B43" i="14"/>
  <c r="O49" i="14" s="1"/>
  <c r="F42" i="14"/>
  <c r="E42" i="14"/>
  <c r="M48" i="14" s="1"/>
  <c r="N48" i="14" s="1" a="1"/>
  <c r="N48" i="14" s="1"/>
  <c r="B42" i="14"/>
  <c r="O48" i="14" s="1"/>
  <c r="F41" i="14"/>
  <c r="E41" i="14"/>
  <c r="M47" i="14" s="1"/>
  <c r="N47" i="14" s="1" a="1"/>
  <c r="N47" i="14" s="1"/>
  <c r="B41" i="14"/>
  <c r="O47" i="14" s="1"/>
  <c r="O40" i="14"/>
  <c r="F40" i="14"/>
  <c r="E40" i="14"/>
  <c r="M46" i="14" s="1"/>
  <c r="N46" i="14" s="1" a="1"/>
  <c r="N46" i="14" s="1"/>
  <c r="B40" i="14"/>
  <c r="O46" i="14" s="1"/>
  <c r="F39" i="14"/>
  <c r="E39" i="14"/>
  <c r="M45" i="14" s="1"/>
  <c r="N45" i="14" s="1" a="1"/>
  <c r="N45" i="14" s="1"/>
  <c r="B39" i="14"/>
  <c r="O45" i="14" s="1"/>
  <c r="F38" i="14"/>
  <c r="E38" i="14"/>
  <c r="M44" i="14" s="1"/>
  <c r="N44" i="14" s="1" a="1"/>
  <c r="N44" i="14" s="1"/>
  <c r="B38" i="14"/>
  <c r="O44" i="14" s="1"/>
  <c r="F37" i="14"/>
  <c r="E37" i="14"/>
  <c r="M43" i="14" s="1"/>
  <c r="N43" i="14" s="1" a="1"/>
  <c r="N43" i="14" s="1"/>
  <c r="B37" i="14"/>
  <c r="O43" i="14" s="1"/>
  <c r="F36" i="14"/>
  <c r="E36" i="14"/>
  <c r="M42" i="14" s="1"/>
  <c r="N42" i="14" s="1" a="1"/>
  <c r="N42" i="14" s="1"/>
  <c r="B36" i="14"/>
  <c r="O42" i="14" s="1"/>
  <c r="F35" i="14"/>
  <c r="E35" i="14"/>
  <c r="M41" i="14" s="1"/>
  <c r="N41" i="14" s="1" a="1"/>
  <c r="N41" i="14" s="1"/>
  <c r="B35" i="14"/>
  <c r="O41" i="14" s="1"/>
  <c r="F34" i="14"/>
  <c r="E34" i="14"/>
  <c r="M40" i="14" s="1"/>
  <c r="N40" i="14" s="1" a="1"/>
  <c r="N40" i="14" s="1"/>
  <c r="B34" i="14"/>
  <c r="F33" i="14"/>
  <c r="E33" i="14"/>
  <c r="M39" i="14" s="1"/>
  <c r="N39" i="14" s="1" a="1"/>
  <c r="N39" i="14" s="1"/>
  <c r="B33" i="14"/>
  <c r="O39" i="14" s="1"/>
  <c r="F32" i="14"/>
  <c r="E32" i="14"/>
  <c r="M38" i="14" s="1"/>
  <c r="N38" i="14" s="1" a="1"/>
  <c r="N38" i="14" s="1"/>
  <c r="B32" i="14"/>
  <c r="O38" i="14" s="1"/>
  <c r="F31" i="14"/>
  <c r="E31" i="14"/>
  <c r="M37" i="14" s="1"/>
  <c r="N37" i="14" s="1" a="1"/>
  <c r="N37" i="14" s="1"/>
  <c r="B31" i="14"/>
  <c r="O37" i="14" s="1"/>
  <c r="F30" i="14"/>
  <c r="E30" i="14"/>
  <c r="M36" i="14" s="1"/>
  <c r="N36" i="14" s="1" a="1"/>
  <c r="N36" i="14" s="1"/>
  <c r="B30" i="14"/>
  <c r="O36" i="14" s="1"/>
  <c r="F29" i="14"/>
  <c r="E29" i="14"/>
  <c r="M35" i="14" s="1"/>
  <c r="N35" i="14" s="1" a="1"/>
  <c r="N35" i="14" s="1"/>
  <c r="B29" i="14"/>
  <c r="O35" i="14" s="1"/>
  <c r="F28" i="14"/>
  <c r="E28" i="14"/>
  <c r="M34" i="14" s="1"/>
  <c r="N34" i="14" s="1" a="1"/>
  <c r="N34" i="14" s="1"/>
  <c r="B28" i="14"/>
  <c r="O34" i="14" s="1"/>
  <c r="F27" i="14"/>
  <c r="E27" i="14"/>
  <c r="M33" i="14" s="1"/>
  <c r="N33" i="14" s="1" a="1"/>
  <c r="N33" i="14" s="1"/>
  <c r="B27" i="14"/>
  <c r="O33" i="14" s="1"/>
  <c r="F26" i="14"/>
  <c r="E26" i="14"/>
  <c r="M32" i="14" s="1"/>
  <c r="N32" i="14" s="1" a="1"/>
  <c r="N32" i="14" s="1"/>
  <c r="B26" i="14"/>
  <c r="O32" i="14" s="1"/>
  <c r="F25" i="14"/>
  <c r="E25" i="14"/>
  <c r="M31" i="14" s="1"/>
  <c r="N31" i="14" s="1" a="1"/>
  <c r="N31" i="14" s="1"/>
  <c r="B25" i="14"/>
  <c r="O31" i="14" s="1"/>
  <c r="F24" i="14"/>
  <c r="E24" i="14"/>
  <c r="M30" i="14" s="1"/>
  <c r="N30" i="14" s="1" a="1"/>
  <c r="N30" i="14" s="1"/>
  <c r="B24" i="14"/>
  <c r="O30" i="14" s="1"/>
  <c r="F23" i="14"/>
  <c r="E23" i="14"/>
  <c r="M29" i="14" s="1"/>
  <c r="N29" i="14" s="1" a="1"/>
  <c r="N29" i="14" s="1"/>
  <c r="B23" i="14"/>
  <c r="O29" i="14" s="1"/>
  <c r="F22" i="14"/>
  <c r="E22" i="14"/>
  <c r="M28" i="14" s="1"/>
  <c r="N28" i="14" s="1" a="1"/>
  <c r="N28" i="14" s="1"/>
  <c r="B22" i="14"/>
  <c r="O28" i="14" s="1"/>
  <c r="F21" i="14"/>
  <c r="E21" i="14"/>
  <c r="M27" i="14" s="1"/>
  <c r="N27" i="14" s="1" a="1"/>
  <c r="N27" i="14" s="1"/>
  <c r="B21" i="14"/>
  <c r="O27" i="14" s="1"/>
  <c r="F20" i="14"/>
  <c r="E20" i="14"/>
  <c r="M26" i="14" s="1"/>
  <c r="N26" i="14" s="1" a="1"/>
  <c r="N26" i="14" s="1"/>
  <c r="B20" i="14"/>
  <c r="O26" i="14" s="1"/>
  <c r="F19" i="14"/>
  <c r="E19" i="14"/>
  <c r="M25" i="14" s="1"/>
  <c r="N25" i="14" s="1" a="1"/>
  <c r="N25" i="14" s="1"/>
  <c r="B19" i="14"/>
  <c r="O25" i="14" s="1"/>
  <c r="F18" i="14"/>
  <c r="E18" i="14"/>
  <c r="M24" i="14" s="1"/>
  <c r="N24" i="14" s="1" a="1"/>
  <c r="N24" i="14" s="1"/>
  <c r="B18" i="14"/>
  <c r="O24" i="14" s="1"/>
  <c r="F17" i="14"/>
  <c r="E17" i="14"/>
  <c r="M23" i="14" s="1"/>
  <c r="N23" i="14" s="1" a="1"/>
  <c r="N23" i="14" s="1"/>
  <c r="B17" i="14"/>
  <c r="O23" i="14" s="1"/>
  <c r="F16" i="14"/>
  <c r="E16" i="14"/>
  <c r="M22" i="14" s="1"/>
  <c r="N22" i="14" s="1" a="1"/>
  <c r="N22" i="14" s="1"/>
  <c r="B16" i="14"/>
  <c r="O22" i="14" s="1"/>
  <c r="F15" i="14"/>
  <c r="E15" i="14"/>
  <c r="M21" i="14" s="1"/>
  <c r="N21" i="14" s="1" a="1"/>
  <c r="N21" i="14" s="1"/>
  <c r="B15" i="14"/>
  <c r="O21" i="14" s="1"/>
  <c r="F14" i="14"/>
  <c r="E14" i="14"/>
  <c r="M20" i="14" s="1"/>
  <c r="N20" i="14" s="1" a="1"/>
  <c r="N20" i="14" s="1"/>
  <c r="B14" i="14"/>
  <c r="O20" i="14" s="1"/>
  <c r="O13" i="14"/>
  <c r="F13" i="14"/>
  <c r="E13" i="14"/>
  <c r="M19" i="14" s="1"/>
  <c r="N19" i="14" s="1" a="1"/>
  <c r="N19" i="14" s="1"/>
  <c r="B13" i="14"/>
  <c r="O19" i="14" s="1"/>
  <c r="M12" i="14"/>
  <c r="N12" i="14" s="1" a="1"/>
  <c r="N12" i="14" s="1"/>
  <c r="F12" i="14"/>
  <c r="E12" i="14"/>
  <c r="M18" i="14" s="1"/>
  <c r="N18" i="14" s="1" a="1"/>
  <c r="N18" i="14" s="1"/>
  <c r="B12" i="14"/>
  <c r="O18" i="14" s="1"/>
  <c r="F11" i="14"/>
  <c r="E11" i="14"/>
  <c r="M17" i="14" s="1"/>
  <c r="N17" i="14" s="1" a="1"/>
  <c r="N17" i="14" s="1"/>
  <c r="B11" i="14"/>
  <c r="O17" i="14" s="1"/>
  <c r="F10" i="14"/>
  <c r="E10" i="14"/>
  <c r="M16" i="14" s="1"/>
  <c r="N16" i="14" s="1" a="1"/>
  <c r="N16" i="14" s="1"/>
  <c r="B10" i="14"/>
  <c r="O16" i="14" s="1"/>
  <c r="O9" i="14"/>
  <c r="F9" i="14"/>
  <c r="E9" i="14"/>
  <c r="M15" i="14" s="1"/>
  <c r="N15" i="14" s="1" a="1"/>
  <c r="N15" i="14" s="1"/>
  <c r="B9" i="14"/>
  <c r="O15" i="14" s="1"/>
  <c r="F8" i="14"/>
  <c r="E8" i="14"/>
  <c r="M14" i="14" s="1"/>
  <c r="N14" i="14" s="1" a="1"/>
  <c r="N14" i="14" s="1"/>
  <c r="B8" i="14"/>
  <c r="O14" i="14" s="1"/>
  <c r="F7" i="14"/>
  <c r="E7" i="14"/>
  <c r="M13" i="14" s="1"/>
  <c r="N13" i="14" s="1" a="1"/>
  <c r="N13" i="14" s="1"/>
  <c r="B7" i="14"/>
  <c r="F6" i="14"/>
  <c r="E6" i="14"/>
  <c r="B6" i="14"/>
  <c r="O12" i="14" s="1"/>
  <c r="F5" i="14"/>
  <c r="E5" i="14"/>
  <c r="M11" i="14" s="1"/>
  <c r="N11" i="14" s="1" a="1"/>
  <c r="N11" i="14" s="1"/>
  <c r="B5" i="14"/>
  <c r="O11" i="14" s="1"/>
  <c r="F4" i="14"/>
  <c r="E4" i="14"/>
  <c r="M10" i="14" s="1"/>
  <c r="N10" i="14" s="1" a="1"/>
  <c r="N10" i="14" s="1"/>
  <c r="B4" i="14"/>
  <c r="O10" i="14" s="1"/>
  <c r="F3" i="14"/>
  <c r="E3" i="14"/>
  <c r="M9" i="14" s="1"/>
  <c r="N9" i="14" s="1" a="1"/>
  <c r="N9" i="14" s="1"/>
  <c r="B3" i="14"/>
  <c r="O127" i="15"/>
  <c r="O123" i="15"/>
  <c r="F122" i="15"/>
  <c r="E122" i="15"/>
  <c r="M128" i="15" s="1"/>
  <c r="N128" i="15" s="1" a="1"/>
  <c r="N128" i="15" s="1"/>
  <c r="B122" i="15"/>
  <c r="O128" i="15" s="1"/>
  <c r="F121" i="15"/>
  <c r="E121" i="15"/>
  <c r="M127" i="15" s="1"/>
  <c r="N127" i="15" s="1" a="1"/>
  <c r="N127" i="15" s="1"/>
  <c r="B121" i="15"/>
  <c r="F120" i="15"/>
  <c r="E120" i="15"/>
  <c r="M126" i="15" s="1"/>
  <c r="N126" i="15" s="1" a="1"/>
  <c r="N126" i="15" s="1"/>
  <c r="B120" i="15"/>
  <c r="O126" i="15" s="1"/>
  <c r="F119" i="15"/>
  <c r="E119" i="15"/>
  <c r="M125" i="15" s="1"/>
  <c r="N125" i="15" s="1" a="1"/>
  <c r="N125" i="15" s="1"/>
  <c r="B119" i="15"/>
  <c r="O125" i="15" s="1"/>
  <c r="F118" i="15"/>
  <c r="E118" i="15"/>
  <c r="M124" i="15" s="1"/>
  <c r="N124" i="15" s="1" a="1"/>
  <c r="N124" i="15" s="1"/>
  <c r="B118" i="15"/>
  <c r="O124" i="15" s="1"/>
  <c r="F117" i="15"/>
  <c r="E117" i="15"/>
  <c r="M123" i="15" s="1"/>
  <c r="N123" i="15" s="1" a="1"/>
  <c r="N123" i="15" s="1"/>
  <c r="B117" i="15"/>
  <c r="F116" i="15"/>
  <c r="E116" i="15"/>
  <c r="M122" i="15" s="1"/>
  <c r="N122" i="15" s="1" a="1"/>
  <c r="N122" i="15" s="1"/>
  <c r="B116" i="15"/>
  <c r="O122" i="15" s="1"/>
  <c r="F115" i="15"/>
  <c r="E115" i="15"/>
  <c r="M121" i="15" s="1"/>
  <c r="N121" i="15" s="1" a="1"/>
  <c r="N121" i="15" s="1"/>
  <c r="B115" i="15"/>
  <c r="O121" i="15" s="1"/>
  <c r="F114" i="15"/>
  <c r="E114" i="15"/>
  <c r="M120" i="15" s="1"/>
  <c r="N120" i="15" s="1" a="1"/>
  <c r="N120" i="15" s="1"/>
  <c r="B114" i="15"/>
  <c r="O120" i="15" s="1"/>
  <c r="F113" i="15"/>
  <c r="E113" i="15"/>
  <c r="M119" i="15" s="1"/>
  <c r="N119" i="15" s="1" a="1"/>
  <c r="N119" i="15" s="1"/>
  <c r="B113" i="15"/>
  <c r="O119" i="15" s="1"/>
  <c r="O112" i="15"/>
  <c r="F112" i="15"/>
  <c r="E112" i="15"/>
  <c r="M118" i="15" s="1"/>
  <c r="N118" i="15" s="1" a="1"/>
  <c r="N118" i="15" s="1"/>
  <c r="B112" i="15"/>
  <c r="O118" i="15" s="1"/>
  <c r="F111" i="15"/>
  <c r="E111" i="15"/>
  <c r="M117" i="15" s="1"/>
  <c r="N117" i="15" s="1" a="1"/>
  <c r="N117" i="15" s="1"/>
  <c r="B111" i="15"/>
  <c r="O117" i="15" s="1"/>
  <c r="F110" i="15"/>
  <c r="E110" i="15"/>
  <c r="M116" i="15" s="1"/>
  <c r="N116" i="15" s="1" a="1"/>
  <c r="N116" i="15" s="1"/>
  <c r="B110" i="15"/>
  <c r="O116" i="15" s="1"/>
  <c r="F109" i="15"/>
  <c r="E109" i="15"/>
  <c r="M115" i="15" s="1"/>
  <c r="N115" i="15" s="1" a="1"/>
  <c r="N115" i="15" s="1"/>
  <c r="B109" i="15"/>
  <c r="O115" i="15" s="1"/>
  <c r="F108" i="15"/>
  <c r="E108" i="15"/>
  <c r="M114" i="15" s="1"/>
  <c r="N114" i="15" s="1" a="1"/>
  <c r="N114" i="15" s="1"/>
  <c r="B108" i="15"/>
  <c r="O114" i="15" s="1"/>
  <c r="F107" i="15"/>
  <c r="E107" i="15"/>
  <c r="M113" i="15" s="1"/>
  <c r="N113" i="15" s="1" a="1"/>
  <c r="N113" i="15" s="1"/>
  <c r="B107" i="15"/>
  <c r="O113" i="15" s="1"/>
  <c r="M106" i="15"/>
  <c r="N106" i="15" s="1" a="1"/>
  <c r="N106" i="15" s="1"/>
  <c r="F106" i="15"/>
  <c r="E106" i="15"/>
  <c r="M112" i="15" s="1"/>
  <c r="N112" i="15" s="1" a="1"/>
  <c r="N112" i="15" s="1"/>
  <c r="B106" i="15"/>
  <c r="F105" i="15"/>
  <c r="E105" i="15"/>
  <c r="M111" i="15" s="1"/>
  <c r="N111" i="15" s="1" a="1"/>
  <c r="N111" i="15" s="1"/>
  <c r="B105" i="15"/>
  <c r="O111" i="15" s="1"/>
  <c r="F104" i="15"/>
  <c r="E104" i="15"/>
  <c r="M110" i="15" s="1"/>
  <c r="N110" i="15" s="1" a="1"/>
  <c r="N110" i="15" s="1"/>
  <c r="B104" i="15"/>
  <c r="O110" i="15" s="1"/>
  <c r="F103" i="15"/>
  <c r="E103" i="15"/>
  <c r="M109" i="15" s="1"/>
  <c r="N109" i="15" s="1" a="1"/>
  <c r="N109" i="15" s="1"/>
  <c r="B103" i="15"/>
  <c r="O109" i="15" s="1"/>
  <c r="F102" i="15"/>
  <c r="E102" i="15"/>
  <c r="M108" i="15" s="1"/>
  <c r="N108" i="15" s="1" a="1"/>
  <c r="N108" i="15" s="1"/>
  <c r="B102" i="15"/>
  <c r="O108" i="15" s="1"/>
  <c r="F101" i="15"/>
  <c r="E101" i="15"/>
  <c r="M107" i="15" s="1"/>
  <c r="N107" i="15" s="1" a="1"/>
  <c r="N107" i="15" s="1"/>
  <c r="B101" i="15"/>
  <c r="O107" i="15" s="1"/>
  <c r="F100" i="15"/>
  <c r="E100" i="15"/>
  <c r="B100" i="15"/>
  <c r="O106" i="15" s="1"/>
  <c r="F99" i="15"/>
  <c r="E99" i="15"/>
  <c r="M105" i="15" s="1"/>
  <c r="N105" i="15" s="1" a="1"/>
  <c r="N105" i="15" s="1"/>
  <c r="B99" i="15"/>
  <c r="O105" i="15" s="1"/>
  <c r="F98" i="15"/>
  <c r="E98" i="15"/>
  <c r="M104" i="15" s="1"/>
  <c r="N104" i="15" s="1" a="1"/>
  <c r="N104" i="15" s="1"/>
  <c r="B98" i="15"/>
  <c r="O104" i="15" s="1"/>
  <c r="F97" i="15"/>
  <c r="E97" i="15"/>
  <c r="M103" i="15" s="1"/>
  <c r="N103" i="15" s="1" a="1"/>
  <c r="N103" i="15" s="1"/>
  <c r="B97" i="15"/>
  <c r="O103" i="15" s="1"/>
  <c r="F96" i="15"/>
  <c r="E96" i="15"/>
  <c r="M102" i="15" s="1"/>
  <c r="N102" i="15" s="1" a="1"/>
  <c r="N102" i="15" s="1"/>
  <c r="B96" i="15"/>
  <c r="O102" i="15" s="1"/>
  <c r="F95" i="15"/>
  <c r="E95" i="15"/>
  <c r="M101" i="15" s="1"/>
  <c r="N101" i="15" s="1" a="1"/>
  <c r="N101" i="15" s="1"/>
  <c r="B95" i="15"/>
  <c r="O101" i="15" s="1"/>
  <c r="F94" i="15"/>
  <c r="E94" i="15"/>
  <c r="M100" i="15" s="1"/>
  <c r="N100" i="15" s="1" a="1"/>
  <c r="N100" i="15" s="1"/>
  <c r="B94" i="15"/>
  <c r="O100" i="15" s="1"/>
  <c r="F93" i="15"/>
  <c r="E93" i="15"/>
  <c r="M99" i="15" s="1"/>
  <c r="N99" i="15" s="1" a="1"/>
  <c r="N99" i="15" s="1"/>
  <c r="B93" i="15"/>
  <c r="O99" i="15" s="1"/>
  <c r="F92" i="15"/>
  <c r="E92" i="15"/>
  <c r="M98" i="15" s="1"/>
  <c r="N98" i="15" s="1" a="1"/>
  <c r="N98" i="15" s="1"/>
  <c r="B92" i="15"/>
  <c r="O98" i="15" s="1"/>
  <c r="F91" i="15"/>
  <c r="E91" i="15"/>
  <c r="M97" i="15" s="1"/>
  <c r="N97" i="15" s="1" a="1"/>
  <c r="N97" i="15" s="1"/>
  <c r="B91" i="15"/>
  <c r="O97" i="15" s="1"/>
  <c r="O90" i="15"/>
  <c r="F90" i="15"/>
  <c r="E90" i="15"/>
  <c r="M96" i="15" s="1"/>
  <c r="N96" i="15" s="1" a="1"/>
  <c r="N96" i="15" s="1"/>
  <c r="B90" i="15"/>
  <c r="O96" i="15" s="1"/>
  <c r="F89" i="15"/>
  <c r="E89" i="15"/>
  <c r="M95" i="15" s="1"/>
  <c r="N95" i="15" s="1" a="1"/>
  <c r="N95" i="15" s="1"/>
  <c r="B89" i="15"/>
  <c r="O95" i="15" s="1"/>
  <c r="O88" i="15"/>
  <c r="F88" i="15"/>
  <c r="E88" i="15"/>
  <c r="M94" i="15" s="1"/>
  <c r="N94" i="15" s="1" a="1"/>
  <c r="N94" i="15" s="1"/>
  <c r="B88" i="15"/>
  <c r="O94" i="15" s="1"/>
  <c r="F87" i="15"/>
  <c r="E87" i="15"/>
  <c r="M93" i="15" s="1"/>
  <c r="N93" i="15" s="1" a="1"/>
  <c r="N93" i="15" s="1"/>
  <c r="B87" i="15"/>
  <c r="O93" i="15" s="1"/>
  <c r="F86" i="15"/>
  <c r="E86" i="15"/>
  <c r="M92" i="15" s="1"/>
  <c r="N92" i="15" s="1" a="1"/>
  <c r="N92" i="15" s="1"/>
  <c r="B86" i="15"/>
  <c r="O92" i="15" s="1"/>
  <c r="M85" i="15"/>
  <c r="N85" i="15" s="1" a="1"/>
  <c r="N85" i="15" s="1"/>
  <c r="F85" i="15"/>
  <c r="E85" i="15"/>
  <c r="M91" i="15" s="1"/>
  <c r="N91" i="15" s="1" a="1"/>
  <c r="N91" i="15" s="1"/>
  <c r="B85" i="15"/>
  <c r="O91" i="15" s="1"/>
  <c r="F84" i="15"/>
  <c r="E84" i="15"/>
  <c r="M90" i="15" s="1"/>
  <c r="N90" i="15" s="1" a="1"/>
  <c r="N90" i="15" s="1"/>
  <c r="B84" i="15"/>
  <c r="N83" i="15" a="1"/>
  <c r="N83" i="15" s="1"/>
  <c r="F83" i="15"/>
  <c r="E83" i="15"/>
  <c r="M89" i="15" s="1"/>
  <c r="N89" i="15" s="1" a="1"/>
  <c r="N89" i="15" s="1"/>
  <c r="B83" i="15"/>
  <c r="O89" i="15" s="1"/>
  <c r="F82" i="15"/>
  <c r="E82" i="15"/>
  <c r="M88" i="15" s="1"/>
  <c r="N88" i="15" s="1" a="1"/>
  <c r="N88" i="15" s="1"/>
  <c r="B82" i="15"/>
  <c r="F81" i="15"/>
  <c r="E81" i="15"/>
  <c r="M87" i="15" s="1"/>
  <c r="N87" i="15" s="1" a="1"/>
  <c r="N87" i="15" s="1"/>
  <c r="B81" i="15"/>
  <c r="O87" i="15" s="1"/>
  <c r="F80" i="15"/>
  <c r="E80" i="15"/>
  <c r="M86" i="15" s="1"/>
  <c r="N86" i="15" s="1" a="1"/>
  <c r="N86" i="15" s="1"/>
  <c r="B80" i="15"/>
  <c r="O86" i="15" s="1"/>
  <c r="F79" i="15"/>
  <c r="E79" i="15"/>
  <c r="B79" i="15"/>
  <c r="O85" i="15" s="1"/>
  <c r="O78" i="15"/>
  <c r="F78" i="15"/>
  <c r="E78" i="15"/>
  <c r="M84" i="15" s="1"/>
  <c r="N84" i="15" s="1" a="1"/>
  <c r="N84" i="15" s="1"/>
  <c r="B78" i="15"/>
  <c r="O84" i="15" s="1"/>
  <c r="F77" i="15"/>
  <c r="E77" i="15"/>
  <c r="M83" i="15" s="1"/>
  <c r="B77" i="15"/>
  <c r="O83" i="15" s="1"/>
  <c r="O76" i="15"/>
  <c r="F76" i="15"/>
  <c r="E76" i="15"/>
  <c r="M82" i="15" s="1"/>
  <c r="N82" i="15" s="1" a="1"/>
  <c r="N82" i="15" s="1"/>
  <c r="B76" i="15"/>
  <c r="O82" i="15" s="1"/>
  <c r="F75" i="15"/>
  <c r="E75" i="15"/>
  <c r="M81" i="15" s="1"/>
  <c r="N81" i="15" s="1" a="1"/>
  <c r="N81" i="15" s="1"/>
  <c r="B75" i="15"/>
  <c r="O81" i="15" s="1"/>
  <c r="F74" i="15"/>
  <c r="E74" i="15"/>
  <c r="M80" i="15" s="1"/>
  <c r="N80" i="15" s="1" a="1"/>
  <c r="N80" i="15" s="1"/>
  <c r="B74" i="15"/>
  <c r="O80" i="15" s="1"/>
  <c r="F73" i="15"/>
  <c r="E73" i="15"/>
  <c r="M79" i="15" s="1"/>
  <c r="N79" i="15" s="1" a="1"/>
  <c r="N79" i="15" s="1"/>
  <c r="B73" i="15"/>
  <c r="O79" i="15" s="1"/>
  <c r="F72" i="15"/>
  <c r="E72" i="15"/>
  <c r="M78" i="15" s="1"/>
  <c r="N78" i="15" s="1" a="1"/>
  <c r="N78" i="15" s="1"/>
  <c r="B72" i="15"/>
  <c r="F71" i="15"/>
  <c r="E71" i="15"/>
  <c r="M77" i="15" s="1"/>
  <c r="N77" i="15" s="1" a="1"/>
  <c r="N77" i="15" s="1"/>
  <c r="B71" i="15"/>
  <c r="O77" i="15" s="1"/>
  <c r="F70" i="15"/>
  <c r="E70" i="15"/>
  <c r="M76" i="15" s="1"/>
  <c r="N76" i="15" s="1" a="1"/>
  <c r="N76" i="15" s="1"/>
  <c r="B70" i="15"/>
  <c r="F69" i="15"/>
  <c r="E69" i="15"/>
  <c r="M75" i="15" s="1"/>
  <c r="N75" i="15" s="1" a="1"/>
  <c r="N75" i="15" s="1"/>
  <c r="B69" i="15"/>
  <c r="O75" i="15" s="1"/>
  <c r="F68" i="15"/>
  <c r="E68" i="15"/>
  <c r="M74" i="15" s="1"/>
  <c r="N74" i="15" s="1" a="1"/>
  <c r="N74" i="15" s="1"/>
  <c r="B68" i="15"/>
  <c r="O74" i="15" s="1"/>
  <c r="M67" i="15"/>
  <c r="N67" i="15" s="1" a="1"/>
  <c r="N67" i="15" s="1"/>
  <c r="F67" i="15"/>
  <c r="E67" i="15"/>
  <c r="M73" i="15" s="1"/>
  <c r="N73" i="15" s="1" a="1"/>
  <c r="N73" i="15" s="1"/>
  <c r="B67" i="15"/>
  <c r="O73" i="15" s="1"/>
  <c r="F66" i="15"/>
  <c r="E66" i="15"/>
  <c r="M72" i="15" s="1"/>
  <c r="N72" i="15" s="1" a="1"/>
  <c r="N72" i="15" s="1"/>
  <c r="B66" i="15"/>
  <c r="O72" i="15" s="1"/>
  <c r="F65" i="15"/>
  <c r="E65" i="15"/>
  <c r="M71" i="15" s="1"/>
  <c r="N71" i="15" s="1" a="1"/>
  <c r="N71" i="15" s="1"/>
  <c r="B65" i="15"/>
  <c r="O71" i="15" s="1"/>
  <c r="O64" i="15"/>
  <c r="F64" i="15"/>
  <c r="E64" i="15"/>
  <c r="M70" i="15" s="1"/>
  <c r="N70" i="15" s="1" a="1"/>
  <c r="N70" i="15" s="1"/>
  <c r="B64" i="15"/>
  <c r="O70" i="15" s="1"/>
  <c r="F63" i="15"/>
  <c r="E63" i="15"/>
  <c r="M69" i="15" s="1"/>
  <c r="N69" i="15" s="1" a="1"/>
  <c r="N69" i="15" s="1"/>
  <c r="B63" i="15"/>
  <c r="O69" i="15" s="1"/>
  <c r="F62" i="15"/>
  <c r="E62" i="15"/>
  <c r="M68" i="15" s="1"/>
  <c r="N68" i="15" s="1" a="1"/>
  <c r="N68" i="15" s="1"/>
  <c r="B62" i="15"/>
  <c r="O68" i="15" s="1"/>
  <c r="F61" i="15"/>
  <c r="E61" i="15"/>
  <c r="B61" i="15"/>
  <c r="O67" i="15" s="1"/>
  <c r="F60" i="15"/>
  <c r="E60" i="15"/>
  <c r="M66" i="15" s="1"/>
  <c r="N66" i="15" s="1" a="1"/>
  <c r="N66" i="15" s="1"/>
  <c r="B60" i="15"/>
  <c r="O66" i="15" s="1"/>
  <c r="F59" i="15"/>
  <c r="E59" i="15"/>
  <c r="M65" i="15" s="1"/>
  <c r="N65" i="15" s="1" a="1"/>
  <c r="N65" i="15" s="1"/>
  <c r="B59" i="15"/>
  <c r="O65" i="15" s="1"/>
  <c r="F58" i="15"/>
  <c r="E58" i="15"/>
  <c r="M64" i="15" s="1"/>
  <c r="N64" i="15" s="1" a="1"/>
  <c r="N64" i="15" s="1"/>
  <c r="B58" i="15"/>
  <c r="F57" i="15"/>
  <c r="E57" i="15"/>
  <c r="M63" i="15" s="1"/>
  <c r="N63" i="15" s="1" a="1"/>
  <c r="N63" i="15" s="1"/>
  <c r="B57" i="15"/>
  <c r="O63" i="15" s="1"/>
  <c r="F56" i="15"/>
  <c r="E56" i="15"/>
  <c r="M62" i="15" s="1"/>
  <c r="N62" i="15" s="1" a="1"/>
  <c r="N62" i="15" s="1"/>
  <c r="B56" i="15"/>
  <c r="O62" i="15" s="1"/>
  <c r="F55" i="15"/>
  <c r="E55" i="15"/>
  <c r="M61" i="15" s="1"/>
  <c r="N61" i="15" s="1" a="1"/>
  <c r="N61" i="15" s="1"/>
  <c r="B55" i="15"/>
  <c r="O61" i="15" s="1"/>
  <c r="F54" i="15"/>
  <c r="E54" i="15"/>
  <c r="M60" i="15" s="1"/>
  <c r="N60" i="15" s="1" a="1"/>
  <c r="N60" i="15" s="1"/>
  <c r="B54" i="15"/>
  <c r="O60" i="15" s="1"/>
  <c r="F53" i="15"/>
  <c r="E53" i="15"/>
  <c r="M59" i="15" s="1"/>
  <c r="N59" i="15" s="1" a="1"/>
  <c r="N59" i="15" s="1"/>
  <c r="B53" i="15"/>
  <c r="O59" i="15" s="1"/>
  <c r="F52" i="15"/>
  <c r="E52" i="15"/>
  <c r="M58" i="15" s="1"/>
  <c r="N58" i="15" s="1" a="1"/>
  <c r="N58" i="15" s="1"/>
  <c r="B52" i="15"/>
  <c r="O58" i="15" s="1"/>
  <c r="M51" i="15"/>
  <c r="N51" i="15" s="1" a="1"/>
  <c r="N51" i="15" s="1"/>
  <c r="F51" i="15"/>
  <c r="E51" i="15"/>
  <c r="M57" i="15" s="1"/>
  <c r="N57" i="15" s="1" a="1"/>
  <c r="N57" i="15" s="1"/>
  <c r="B51" i="15"/>
  <c r="O57" i="15" s="1"/>
  <c r="F50" i="15"/>
  <c r="E50" i="15"/>
  <c r="M56" i="15" s="1"/>
  <c r="N56" i="15" s="1" a="1"/>
  <c r="N56" i="15" s="1"/>
  <c r="B50" i="15"/>
  <c r="O56" i="15" s="1"/>
  <c r="F49" i="15"/>
  <c r="E49" i="15"/>
  <c r="M55" i="15" s="1"/>
  <c r="N55" i="15" s="1" a="1"/>
  <c r="N55" i="15" s="1"/>
  <c r="B49" i="15"/>
  <c r="O55" i="15" s="1"/>
  <c r="F48" i="15"/>
  <c r="E48" i="15"/>
  <c r="M54" i="15" s="1"/>
  <c r="N54" i="15" s="1" a="1"/>
  <c r="N54" i="15" s="1"/>
  <c r="B48" i="15"/>
  <c r="O54" i="15" s="1"/>
  <c r="F47" i="15"/>
  <c r="E47" i="15"/>
  <c r="M53" i="15" s="1"/>
  <c r="N53" i="15" s="1" a="1"/>
  <c r="N53" i="15" s="1"/>
  <c r="B47" i="15"/>
  <c r="O53" i="15" s="1"/>
  <c r="F46" i="15"/>
  <c r="E46" i="15"/>
  <c r="M52" i="15" s="1"/>
  <c r="N52" i="15" s="1" a="1"/>
  <c r="N52" i="15" s="1"/>
  <c r="B46" i="15"/>
  <c r="O52" i="15" s="1"/>
  <c r="F45" i="15"/>
  <c r="E45" i="15"/>
  <c r="B45" i="15"/>
  <c r="O51" i="15" s="1"/>
  <c r="F44" i="15"/>
  <c r="E44" i="15"/>
  <c r="M50" i="15" s="1"/>
  <c r="N50" i="15" s="1" a="1"/>
  <c r="N50" i="15" s="1"/>
  <c r="B44" i="15"/>
  <c r="O50" i="15" s="1"/>
  <c r="F43" i="15"/>
  <c r="E43" i="15"/>
  <c r="M49" i="15" s="1"/>
  <c r="N49" i="15" s="1" a="1"/>
  <c r="N49" i="15" s="1"/>
  <c r="B43" i="15"/>
  <c r="O49" i="15" s="1"/>
  <c r="F42" i="15"/>
  <c r="E42" i="15"/>
  <c r="M48" i="15" s="1"/>
  <c r="N48" i="15" s="1" a="1"/>
  <c r="N48" i="15" s="1"/>
  <c r="B42" i="15"/>
  <c r="O48" i="15" s="1"/>
  <c r="F41" i="15"/>
  <c r="E41" i="15"/>
  <c r="M47" i="15" s="1"/>
  <c r="N47" i="15" s="1" a="1"/>
  <c r="N47" i="15" s="1"/>
  <c r="B41" i="15"/>
  <c r="O47" i="15" s="1"/>
  <c r="F40" i="15"/>
  <c r="E40" i="15"/>
  <c r="M46" i="15" s="1"/>
  <c r="N46" i="15" s="1" a="1"/>
  <c r="N46" i="15" s="1"/>
  <c r="B40" i="15"/>
  <c r="O46" i="15" s="1"/>
  <c r="F39" i="15"/>
  <c r="E39" i="15"/>
  <c r="M45" i="15" s="1"/>
  <c r="N45" i="15" s="1" a="1"/>
  <c r="N45" i="15" s="1"/>
  <c r="B39" i="15"/>
  <c r="O45" i="15" s="1"/>
  <c r="F38" i="15"/>
  <c r="E38" i="15"/>
  <c r="M44" i="15" s="1"/>
  <c r="N44" i="15" s="1" a="1"/>
  <c r="N44" i="15" s="1"/>
  <c r="B38" i="15"/>
  <c r="O44" i="15" s="1"/>
  <c r="F37" i="15"/>
  <c r="E37" i="15"/>
  <c r="M43" i="15" s="1"/>
  <c r="N43" i="15" s="1" a="1"/>
  <c r="N43" i="15" s="1"/>
  <c r="B37" i="15"/>
  <c r="O43" i="15" s="1"/>
  <c r="F36" i="15"/>
  <c r="E36" i="15"/>
  <c r="M42" i="15" s="1"/>
  <c r="N42" i="15" s="1" a="1"/>
  <c r="N42" i="15" s="1"/>
  <c r="B36" i="15"/>
  <c r="O42" i="15" s="1"/>
  <c r="O35" i="15"/>
  <c r="F35" i="15"/>
  <c r="E35" i="15"/>
  <c r="M41" i="15" s="1"/>
  <c r="N41" i="15" s="1" a="1"/>
  <c r="N41" i="15" s="1"/>
  <c r="B35" i="15"/>
  <c r="O41" i="15" s="1"/>
  <c r="M34" i="15"/>
  <c r="N34" i="15" s="1" a="1"/>
  <c r="N34" i="15" s="1"/>
  <c r="F34" i="15"/>
  <c r="E34" i="15"/>
  <c r="M40" i="15" s="1"/>
  <c r="N40" i="15" s="1" a="1"/>
  <c r="N40" i="15" s="1"/>
  <c r="B34" i="15"/>
  <c r="O40" i="15" s="1"/>
  <c r="O33" i="15"/>
  <c r="F33" i="15"/>
  <c r="E33" i="15"/>
  <c r="M39" i="15" s="1"/>
  <c r="N39" i="15" s="1" a="1"/>
  <c r="N39" i="15" s="1"/>
  <c r="B33" i="15"/>
  <c r="O39" i="15" s="1"/>
  <c r="F32" i="15"/>
  <c r="E32" i="15"/>
  <c r="M38" i="15" s="1"/>
  <c r="N38" i="15" s="1" a="1"/>
  <c r="N38" i="15" s="1"/>
  <c r="B32" i="15"/>
  <c r="O38" i="15" s="1"/>
  <c r="F31" i="15"/>
  <c r="E31" i="15"/>
  <c r="M37" i="15" s="1"/>
  <c r="N37" i="15" s="1" a="1"/>
  <c r="N37" i="15" s="1"/>
  <c r="B31" i="15"/>
  <c r="O37" i="15" s="1"/>
  <c r="F30" i="15"/>
  <c r="E30" i="15"/>
  <c r="M36" i="15" s="1"/>
  <c r="N36" i="15" s="1" a="1"/>
  <c r="N36" i="15" s="1"/>
  <c r="B30" i="15"/>
  <c r="O36" i="15" s="1"/>
  <c r="F29" i="15"/>
  <c r="E29" i="15"/>
  <c r="M35" i="15" s="1"/>
  <c r="N35" i="15" s="1" a="1"/>
  <c r="N35" i="15" s="1"/>
  <c r="B29" i="15"/>
  <c r="N28" i="15"/>
  <c r="F28" i="15"/>
  <c r="E28" i="15"/>
  <c r="B28" i="15"/>
  <c r="O34" i="15" s="1"/>
  <c r="F27" i="15"/>
  <c r="E27" i="15"/>
  <c r="M33" i="15" s="1"/>
  <c r="N33" i="15" s="1" a="1"/>
  <c r="N33" i="15" s="1"/>
  <c r="B27" i="15"/>
  <c r="F26" i="15"/>
  <c r="E26" i="15"/>
  <c r="M32" i="15" s="1"/>
  <c r="N32" i="15" s="1" a="1"/>
  <c r="N32" i="15" s="1"/>
  <c r="B26" i="15"/>
  <c r="O32" i="15" s="1"/>
  <c r="F25" i="15"/>
  <c r="E25" i="15"/>
  <c r="M31" i="15" s="1"/>
  <c r="N31" i="15" s="1" a="1"/>
  <c r="N31" i="15" s="1"/>
  <c r="B25" i="15"/>
  <c r="O31" i="15" s="1"/>
  <c r="F24" i="15"/>
  <c r="E24" i="15"/>
  <c r="M30" i="15" s="1"/>
  <c r="N30" i="15" s="1" a="1"/>
  <c r="N30" i="15" s="1"/>
  <c r="B24" i="15"/>
  <c r="O30" i="15" s="1"/>
  <c r="F23" i="15"/>
  <c r="E23" i="15"/>
  <c r="M29" i="15" s="1"/>
  <c r="N29" i="15" s="1" a="1"/>
  <c r="N29" i="15" s="1"/>
  <c r="B23" i="15"/>
  <c r="O29" i="15" s="1"/>
  <c r="F22" i="15"/>
  <c r="E22" i="15"/>
  <c r="M28" i="15" s="1"/>
  <c r="N28" i="15" s="1" a="1"/>
  <c r="B22" i="15"/>
  <c r="O28" i="15" s="1"/>
  <c r="F21" i="15"/>
  <c r="E21" i="15"/>
  <c r="M27" i="15" s="1"/>
  <c r="N27" i="15" s="1" a="1"/>
  <c r="N27" i="15" s="1"/>
  <c r="B21" i="15"/>
  <c r="O27" i="15" s="1"/>
  <c r="F20" i="15"/>
  <c r="E20" i="15"/>
  <c r="M26" i="15" s="1"/>
  <c r="N26" i="15" s="1" a="1"/>
  <c r="N26" i="15" s="1"/>
  <c r="B20" i="15"/>
  <c r="O26" i="15" s="1"/>
  <c r="F19" i="15"/>
  <c r="E19" i="15"/>
  <c r="M25" i="15" s="1"/>
  <c r="N25" i="15" s="1" a="1"/>
  <c r="N25" i="15" s="1"/>
  <c r="B19" i="15"/>
  <c r="O25" i="15" s="1"/>
  <c r="F18" i="15"/>
  <c r="E18" i="15"/>
  <c r="M24" i="15" s="1"/>
  <c r="N24" i="15" s="1" a="1"/>
  <c r="N24" i="15" s="1"/>
  <c r="B18" i="15"/>
  <c r="O24" i="15" s="1"/>
  <c r="F17" i="15"/>
  <c r="E17" i="15"/>
  <c r="M23" i="15" s="1"/>
  <c r="N23" i="15" s="1" a="1"/>
  <c r="N23" i="15" s="1"/>
  <c r="B17" i="15"/>
  <c r="O23" i="15" s="1"/>
  <c r="F16" i="15"/>
  <c r="E16" i="15"/>
  <c r="M22" i="15" s="1"/>
  <c r="N22" i="15" s="1" a="1"/>
  <c r="N22" i="15" s="1"/>
  <c r="B16" i="15"/>
  <c r="O22" i="15" s="1"/>
  <c r="F15" i="15"/>
  <c r="E15" i="15"/>
  <c r="M21" i="15" s="1"/>
  <c r="N21" i="15" s="1" a="1"/>
  <c r="N21" i="15" s="1"/>
  <c r="B15" i="15"/>
  <c r="O21" i="15" s="1"/>
  <c r="F14" i="15"/>
  <c r="E14" i="15"/>
  <c r="M20" i="15" s="1"/>
  <c r="N20" i="15" s="1" a="1"/>
  <c r="N20" i="15" s="1"/>
  <c r="B14" i="15"/>
  <c r="O20" i="15" s="1"/>
  <c r="F13" i="15"/>
  <c r="E13" i="15"/>
  <c r="M19" i="15" s="1"/>
  <c r="N19" i="15" s="1" a="1"/>
  <c r="N19" i="15" s="1"/>
  <c r="B13" i="15"/>
  <c r="O19" i="15" s="1"/>
  <c r="F12" i="15"/>
  <c r="E12" i="15"/>
  <c r="M18" i="15" s="1"/>
  <c r="N18" i="15" s="1" a="1"/>
  <c r="N18" i="15" s="1"/>
  <c r="B12" i="15"/>
  <c r="O18" i="15" s="1"/>
  <c r="F11" i="15"/>
  <c r="E11" i="15"/>
  <c r="M17" i="15" s="1"/>
  <c r="N17" i="15" s="1" a="1"/>
  <c r="N17" i="15" s="1"/>
  <c r="B11" i="15"/>
  <c r="O17" i="15" s="1"/>
  <c r="F10" i="15"/>
  <c r="E10" i="15"/>
  <c r="M16" i="15" s="1"/>
  <c r="N16" i="15" s="1" a="1"/>
  <c r="N16" i="15" s="1"/>
  <c r="B10" i="15"/>
  <c r="O16" i="15" s="1"/>
  <c r="O9" i="15"/>
  <c r="F9" i="15"/>
  <c r="E9" i="15"/>
  <c r="M15" i="15" s="1"/>
  <c r="N15" i="15" s="1" a="1"/>
  <c r="N15" i="15" s="1"/>
  <c r="B9" i="15"/>
  <c r="O15" i="15" s="1"/>
  <c r="F8" i="15"/>
  <c r="E8" i="15"/>
  <c r="M14" i="15" s="1"/>
  <c r="N14" i="15" s="1" a="1"/>
  <c r="N14" i="15" s="1"/>
  <c r="B8" i="15"/>
  <c r="O14" i="15" s="1"/>
  <c r="F7" i="15"/>
  <c r="E7" i="15"/>
  <c r="M13" i="15" s="1"/>
  <c r="N13" i="15" s="1" a="1"/>
  <c r="N13" i="15" s="1"/>
  <c r="B7" i="15"/>
  <c r="O13" i="15" s="1"/>
  <c r="F6" i="15"/>
  <c r="E6" i="15"/>
  <c r="M12" i="15" s="1"/>
  <c r="N12" i="15" s="1" a="1"/>
  <c r="N12" i="15" s="1"/>
  <c r="B6" i="15"/>
  <c r="O12" i="15" s="1"/>
  <c r="F5" i="15"/>
  <c r="E5" i="15"/>
  <c r="M11" i="15" s="1"/>
  <c r="N11" i="15" s="1" a="1"/>
  <c r="N11" i="15" s="1"/>
  <c r="B5" i="15"/>
  <c r="O11" i="15" s="1"/>
  <c r="F4" i="15"/>
  <c r="E4" i="15"/>
  <c r="M10" i="15" s="1"/>
  <c r="N10" i="15" s="1" a="1"/>
  <c r="N10" i="15" s="1"/>
  <c r="B4" i="15"/>
  <c r="O10" i="15" s="1"/>
  <c r="F3" i="15"/>
  <c r="E3" i="15"/>
  <c r="M9" i="15" s="1"/>
  <c r="N9" i="15" s="1" a="1"/>
  <c r="N9" i="15" s="1"/>
  <c r="B3" i="15"/>
  <c r="O127" i="13"/>
  <c r="O124" i="13"/>
  <c r="F122" i="13"/>
  <c r="E122" i="13"/>
  <c r="M128" i="13" s="1"/>
  <c r="N128" i="13" s="1" a="1"/>
  <c r="N128" i="13" s="1"/>
  <c r="B122" i="13"/>
  <c r="O128" i="13" s="1"/>
  <c r="F121" i="13"/>
  <c r="E121" i="13"/>
  <c r="M127" i="13" s="1"/>
  <c r="N127" i="13" s="1" a="1"/>
  <c r="N127" i="13" s="1"/>
  <c r="B121" i="13"/>
  <c r="F120" i="13"/>
  <c r="E120" i="13"/>
  <c r="M126" i="13" s="1"/>
  <c r="N126" i="13" s="1" a="1"/>
  <c r="N126" i="13" s="1"/>
  <c r="B120" i="13"/>
  <c r="O126" i="13" s="1"/>
  <c r="F119" i="13"/>
  <c r="E119" i="13"/>
  <c r="M125" i="13" s="1"/>
  <c r="N125" i="13" s="1" a="1"/>
  <c r="N125" i="13" s="1"/>
  <c r="B119" i="13"/>
  <c r="O125" i="13" s="1"/>
  <c r="O118" i="13"/>
  <c r="F118" i="13"/>
  <c r="E118" i="13"/>
  <c r="M124" i="13" s="1"/>
  <c r="N124" i="13" s="1" a="1"/>
  <c r="N124" i="13" s="1"/>
  <c r="B118" i="13"/>
  <c r="F117" i="13"/>
  <c r="E117" i="13"/>
  <c r="M123" i="13" s="1"/>
  <c r="N123" i="13" s="1" a="1"/>
  <c r="N123" i="13" s="1"/>
  <c r="B117" i="13"/>
  <c r="O123" i="13" s="1"/>
  <c r="O116" i="13"/>
  <c r="F116" i="13"/>
  <c r="E116" i="13"/>
  <c r="M122" i="13" s="1"/>
  <c r="N122" i="13" s="1" a="1"/>
  <c r="N122" i="13" s="1"/>
  <c r="B116" i="13"/>
  <c r="O122" i="13" s="1"/>
  <c r="F115" i="13"/>
  <c r="E115" i="13"/>
  <c r="M121" i="13" s="1"/>
  <c r="N121" i="13" s="1" a="1"/>
  <c r="N121" i="13" s="1"/>
  <c r="B115" i="13"/>
  <c r="O121" i="13" s="1"/>
  <c r="M114" i="13"/>
  <c r="N114" i="13" s="1" a="1"/>
  <c r="N114" i="13" s="1"/>
  <c r="F114" i="13"/>
  <c r="E114" i="13"/>
  <c r="M120" i="13" s="1"/>
  <c r="N120" i="13" s="1" a="1"/>
  <c r="N120" i="13" s="1"/>
  <c r="B114" i="13"/>
  <c r="O120" i="13" s="1"/>
  <c r="F113" i="13"/>
  <c r="E113" i="13"/>
  <c r="M119" i="13" s="1"/>
  <c r="N119" i="13" s="1" a="1"/>
  <c r="N119" i="13" s="1"/>
  <c r="B113" i="13"/>
  <c r="O119" i="13" s="1"/>
  <c r="O112" i="13"/>
  <c r="F112" i="13"/>
  <c r="E112" i="13"/>
  <c r="M118" i="13" s="1"/>
  <c r="N118" i="13" s="1" a="1"/>
  <c r="N118" i="13" s="1"/>
  <c r="B112" i="13"/>
  <c r="F111" i="13"/>
  <c r="E111" i="13"/>
  <c r="M117" i="13" s="1"/>
  <c r="N117" i="13" s="1" a="1"/>
  <c r="N117" i="13" s="1"/>
  <c r="B111" i="13"/>
  <c r="O117" i="13" s="1"/>
  <c r="F110" i="13"/>
  <c r="E110" i="13"/>
  <c r="M116" i="13" s="1"/>
  <c r="N116" i="13" s="1" a="1"/>
  <c r="N116" i="13" s="1"/>
  <c r="B110" i="13"/>
  <c r="F109" i="13"/>
  <c r="E109" i="13"/>
  <c r="M115" i="13" s="1"/>
  <c r="N115" i="13" s="1" a="1"/>
  <c r="N115" i="13" s="1"/>
  <c r="B109" i="13"/>
  <c r="O115" i="13" s="1"/>
  <c r="F108" i="13"/>
  <c r="E108" i="13"/>
  <c r="B108" i="13"/>
  <c r="O114" i="13" s="1"/>
  <c r="F107" i="13"/>
  <c r="E107" i="13"/>
  <c r="M113" i="13" s="1"/>
  <c r="N113" i="13" s="1" a="1"/>
  <c r="N113" i="13" s="1"/>
  <c r="B107" i="13"/>
  <c r="O113" i="13" s="1"/>
  <c r="F106" i="13"/>
  <c r="E106" i="13"/>
  <c r="M112" i="13" s="1"/>
  <c r="N112" i="13" s="1" a="1"/>
  <c r="N112" i="13" s="1"/>
  <c r="B106" i="13"/>
  <c r="F105" i="13"/>
  <c r="E105" i="13"/>
  <c r="M111" i="13" s="1"/>
  <c r="N111" i="13" s="1" a="1"/>
  <c r="N111" i="13" s="1"/>
  <c r="B105" i="13"/>
  <c r="O111" i="13" s="1"/>
  <c r="F104" i="13"/>
  <c r="E104" i="13"/>
  <c r="M110" i="13" s="1"/>
  <c r="N110" i="13" s="1" a="1"/>
  <c r="N110" i="13" s="1"/>
  <c r="B104" i="13"/>
  <c r="O110" i="13" s="1"/>
  <c r="F103" i="13"/>
  <c r="E103" i="13"/>
  <c r="M109" i="13" s="1"/>
  <c r="N109" i="13" s="1" a="1"/>
  <c r="N109" i="13" s="1"/>
  <c r="B103" i="13"/>
  <c r="O109" i="13" s="1"/>
  <c r="F102" i="13"/>
  <c r="E102" i="13"/>
  <c r="M108" i="13" s="1"/>
  <c r="N108" i="13" s="1" a="1"/>
  <c r="N108" i="13" s="1"/>
  <c r="B102" i="13"/>
  <c r="O108" i="13" s="1"/>
  <c r="F101" i="13"/>
  <c r="E101" i="13"/>
  <c r="M107" i="13" s="1"/>
  <c r="N107" i="13" s="1" a="1"/>
  <c r="N107" i="13" s="1"/>
  <c r="B101" i="13"/>
  <c r="O107" i="13" s="1"/>
  <c r="F100" i="13"/>
  <c r="E100" i="13"/>
  <c r="M106" i="13" s="1"/>
  <c r="N106" i="13" s="1" a="1"/>
  <c r="N106" i="13" s="1"/>
  <c r="B100" i="13"/>
  <c r="O106" i="13" s="1"/>
  <c r="F99" i="13"/>
  <c r="E99" i="13"/>
  <c r="M105" i="13" s="1"/>
  <c r="N105" i="13" s="1" a="1"/>
  <c r="N105" i="13" s="1"/>
  <c r="B99" i="13"/>
  <c r="O105" i="13" s="1"/>
  <c r="F98" i="13"/>
  <c r="E98" i="13"/>
  <c r="M104" i="13" s="1"/>
  <c r="N104" i="13" s="1" a="1"/>
  <c r="N104" i="13" s="1"/>
  <c r="B98" i="13"/>
  <c r="O104" i="13" s="1"/>
  <c r="O97" i="13"/>
  <c r="F97" i="13"/>
  <c r="E97" i="13"/>
  <c r="M103" i="13" s="1"/>
  <c r="N103" i="13" s="1" a="1"/>
  <c r="N103" i="13" s="1"/>
  <c r="B97" i="13"/>
  <c r="O103" i="13" s="1"/>
  <c r="F96" i="13"/>
  <c r="E96" i="13"/>
  <c r="M102" i="13" s="1"/>
  <c r="N102" i="13" s="1" a="1"/>
  <c r="N102" i="13" s="1"/>
  <c r="B96" i="13"/>
  <c r="O102" i="13" s="1"/>
  <c r="O95" i="13"/>
  <c r="F95" i="13"/>
  <c r="E95" i="13"/>
  <c r="M101" i="13" s="1"/>
  <c r="N101" i="13" s="1" a="1"/>
  <c r="N101" i="13" s="1"/>
  <c r="B95" i="13"/>
  <c r="O101" i="13" s="1"/>
  <c r="F94" i="13"/>
  <c r="E94" i="13"/>
  <c r="M100" i="13" s="1"/>
  <c r="N100" i="13" s="1" a="1"/>
  <c r="N100" i="13" s="1"/>
  <c r="B94" i="13"/>
  <c r="O100" i="13" s="1"/>
  <c r="O93" i="13"/>
  <c r="F93" i="13"/>
  <c r="E93" i="13"/>
  <c r="M99" i="13" s="1"/>
  <c r="N99" i="13" s="1" a="1"/>
  <c r="N99" i="13" s="1"/>
  <c r="B93" i="13"/>
  <c r="O99" i="13" s="1"/>
  <c r="F92" i="13"/>
  <c r="E92" i="13"/>
  <c r="M98" i="13" s="1"/>
  <c r="N98" i="13" s="1" a="1"/>
  <c r="N98" i="13" s="1"/>
  <c r="B92" i="13"/>
  <c r="O98" i="13" s="1"/>
  <c r="F91" i="13"/>
  <c r="E91" i="13"/>
  <c r="M97" i="13" s="1"/>
  <c r="N97" i="13" s="1" a="1"/>
  <c r="N97" i="13" s="1"/>
  <c r="B91" i="13"/>
  <c r="F90" i="13"/>
  <c r="E90" i="13"/>
  <c r="M96" i="13" s="1"/>
  <c r="N96" i="13" s="1" a="1"/>
  <c r="N96" i="13" s="1"/>
  <c r="B90" i="13"/>
  <c r="O96" i="13" s="1"/>
  <c r="F89" i="13"/>
  <c r="E89" i="13"/>
  <c r="M95" i="13" s="1"/>
  <c r="N95" i="13" s="1" a="1"/>
  <c r="N95" i="13" s="1"/>
  <c r="B89" i="13"/>
  <c r="F88" i="13"/>
  <c r="E88" i="13"/>
  <c r="M94" i="13" s="1"/>
  <c r="N94" i="13" s="1" a="1"/>
  <c r="N94" i="13" s="1"/>
  <c r="B88" i="13"/>
  <c r="O94" i="13" s="1"/>
  <c r="F87" i="13"/>
  <c r="E87" i="13"/>
  <c r="M93" i="13" s="1"/>
  <c r="N93" i="13" s="1" a="1"/>
  <c r="N93" i="13" s="1"/>
  <c r="B87" i="13"/>
  <c r="F86" i="13"/>
  <c r="E86" i="13"/>
  <c r="M92" i="13" s="1"/>
  <c r="N92" i="13" s="1" a="1"/>
  <c r="N92" i="13" s="1"/>
  <c r="B86" i="13"/>
  <c r="O92" i="13" s="1"/>
  <c r="F85" i="13"/>
  <c r="E85" i="13"/>
  <c r="M91" i="13" s="1"/>
  <c r="N91" i="13" s="1" a="1"/>
  <c r="N91" i="13" s="1"/>
  <c r="B85" i="13"/>
  <c r="O91" i="13" s="1"/>
  <c r="F84" i="13"/>
  <c r="E84" i="13"/>
  <c r="M90" i="13" s="1"/>
  <c r="N90" i="13" s="1" a="1"/>
  <c r="N90" i="13" s="1"/>
  <c r="B84" i="13"/>
  <c r="O90" i="13" s="1"/>
  <c r="F83" i="13"/>
  <c r="E83" i="13"/>
  <c r="M89" i="13" s="1"/>
  <c r="N89" i="13" s="1" a="1"/>
  <c r="N89" i="13" s="1"/>
  <c r="B83" i="13"/>
  <c r="O89" i="13" s="1"/>
  <c r="F82" i="13"/>
  <c r="E82" i="13"/>
  <c r="M88" i="13" s="1"/>
  <c r="N88" i="13" s="1" a="1"/>
  <c r="N88" i="13" s="1"/>
  <c r="B82" i="13"/>
  <c r="O88" i="13" s="1"/>
  <c r="F81" i="13"/>
  <c r="E81" i="13"/>
  <c r="M87" i="13" s="1"/>
  <c r="N87" i="13" s="1" a="1"/>
  <c r="N87" i="13" s="1"/>
  <c r="B81" i="13"/>
  <c r="O87" i="13" s="1"/>
  <c r="F80" i="13"/>
  <c r="E80" i="13"/>
  <c r="M86" i="13" s="1"/>
  <c r="N86" i="13" s="1" a="1"/>
  <c r="N86" i="13" s="1"/>
  <c r="B80" i="13"/>
  <c r="O86" i="13" s="1"/>
  <c r="F79" i="13"/>
  <c r="E79" i="13"/>
  <c r="M85" i="13" s="1"/>
  <c r="N85" i="13" s="1" a="1"/>
  <c r="N85" i="13" s="1"/>
  <c r="B79" i="13"/>
  <c r="O85" i="13" s="1"/>
  <c r="F78" i="13"/>
  <c r="E78" i="13"/>
  <c r="M84" i="13" s="1"/>
  <c r="N84" i="13" s="1" a="1"/>
  <c r="N84" i="13" s="1"/>
  <c r="B78" i="13"/>
  <c r="O84" i="13" s="1"/>
  <c r="F77" i="13"/>
  <c r="E77" i="13"/>
  <c r="M83" i="13" s="1"/>
  <c r="N83" i="13" s="1" a="1"/>
  <c r="N83" i="13" s="1"/>
  <c r="B77" i="13"/>
  <c r="O83" i="13" s="1"/>
  <c r="F76" i="13"/>
  <c r="E76" i="13"/>
  <c r="M82" i="13" s="1"/>
  <c r="N82" i="13" s="1" a="1"/>
  <c r="N82" i="13" s="1"/>
  <c r="B76" i="13"/>
  <c r="O82" i="13" s="1"/>
  <c r="M75" i="13"/>
  <c r="N75" i="13" s="1" a="1"/>
  <c r="N75" i="13" s="1"/>
  <c r="F75" i="13"/>
  <c r="E75" i="13"/>
  <c r="M81" i="13" s="1"/>
  <c r="N81" i="13" s="1" a="1"/>
  <c r="N81" i="13" s="1"/>
  <c r="B75" i="13"/>
  <c r="O81" i="13" s="1"/>
  <c r="F74" i="13"/>
  <c r="E74" i="13"/>
  <c r="M80" i="13" s="1"/>
  <c r="N80" i="13" s="1" a="1"/>
  <c r="N80" i="13" s="1"/>
  <c r="B74" i="13"/>
  <c r="O80" i="13" s="1"/>
  <c r="F73" i="13"/>
  <c r="E73" i="13"/>
  <c r="M79" i="13" s="1"/>
  <c r="N79" i="13" s="1" a="1"/>
  <c r="N79" i="13" s="1"/>
  <c r="B73" i="13"/>
  <c r="O79" i="13" s="1"/>
  <c r="F72" i="13"/>
  <c r="E72" i="13"/>
  <c r="M78" i="13" s="1"/>
  <c r="N78" i="13" s="1" a="1"/>
  <c r="N78" i="13" s="1"/>
  <c r="B72" i="13"/>
  <c r="O78" i="13" s="1"/>
  <c r="F71" i="13"/>
  <c r="E71" i="13"/>
  <c r="M77" i="13" s="1"/>
  <c r="N77" i="13" s="1" a="1"/>
  <c r="N77" i="13" s="1"/>
  <c r="B71" i="13"/>
  <c r="O77" i="13" s="1"/>
  <c r="F70" i="13"/>
  <c r="E70" i="13"/>
  <c r="M76" i="13" s="1"/>
  <c r="N76" i="13" s="1" a="1"/>
  <c r="N76" i="13" s="1"/>
  <c r="B70" i="13"/>
  <c r="O76" i="13" s="1"/>
  <c r="F69" i="13"/>
  <c r="E69" i="13"/>
  <c r="B69" i="13"/>
  <c r="O75" i="13" s="1"/>
  <c r="F68" i="13"/>
  <c r="E68" i="13"/>
  <c r="M74" i="13" s="1"/>
  <c r="N74" i="13" s="1" a="1"/>
  <c r="N74" i="13" s="1"/>
  <c r="B68" i="13"/>
  <c r="O74" i="13" s="1"/>
  <c r="F67" i="13"/>
  <c r="E67" i="13"/>
  <c r="M73" i="13" s="1"/>
  <c r="N73" i="13" s="1" a="1"/>
  <c r="N73" i="13" s="1"/>
  <c r="B67" i="13"/>
  <c r="O73" i="13" s="1"/>
  <c r="O66" i="13"/>
  <c r="F66" i="13"/>
  <c r="E66" i="13"/>
  <c r="M72" i="13" s="1"/>
  <c r="N72" i="13" s="1" a="1"/>
  <c r="N72" i="13" s="1"/>
  <c r="B66" i="13"/>
  <c r="O72" i="13" s="1"/>
  <c r="F65" i="13"/>
  <c r="E65" i="13"/>
  <c r="M71" i="13" s="1"/>
  <c r="N71" i="13" s="1" a="1"/>
  <c r="N71" i="13" s="1"/>
  <c r="B65" i="13"/>
  <c r="O71" i="13" s="1"/>
  <c r="F64" i="13"/>
  <c r="E64" i="13"/>
  <c r="M70" i="13" s="1"/>
  <c r="N70" i="13" s="1" a="1"/>
  <c r="N70" i="13" s="1"/>
  <c r="B64" i="13"/>
  <c r="O70" i="13" s="1"/>
  <c r="O63" i="13"/>
  <c r="F63" i="13"/>
  <c r="E63" i="13"/>
  <c r="M69" i="13" s="1"/>
  <c r="N69" i="13" s="1" a="1"/>
  <c r="N69" i="13" s="1"/>
  <c r="B63" i="13"/>
  <c r="O69" i="13" s="1"/>
  <c r="F62" i="13"/>
  <c r="E62" i="13"/>
  <c r="M68" i="13" s="1"/>
  <c r="N68" i="13" s="1" a="1"/>
  <c r="N68" i="13" s="1"/>
  <c r="B62" i="13"/>
  <c r="O68" i="13" s="1"/>
  <c r="F61" i="13"/>
  <c r="E61" i="13"/>
  <c r="M67" i="13" s="1"/>
  <c r="N67" i="13" s="1" a="1"/>
  <c r="N67" i="13" s="1"/>
  <c r="B61" i="13"/>
  <c r="O67" i="13" s="1"/>
  <c r="F60" i="13"/>
  <c r="E60" i="13"/>
  <c r="M66" i="13" s="1"/>
  <c r="N66" i="13" s="1" a="1"/>
  <c r="N66" i="13" s="1"/>
  <c r="B60" i="13"/>
  <c r="O59" i="13"/>
  <c r="F59" i="13"/>
  <c r="E59" i="13"/>
  <c r="M65" i="13" s="1"/>
  <c r="N65" i="13" s="1" a="1"/>
  <c r="N65" i="13" s="1"/>
  <c r="B59" i="13"/>
  <c r="O65" i="13" s="1"/>
  <c r="F58" i="13"/>
  <c r="E58" i="13"/>
  <c r="M64" i="13" s="1"/>
  <c r="N64" i="13" s="1" a="1"/>
  <c r="N64" i="13" s="1"/>
  <c r="B58" i="13"/>
  <c r="O64" i="13" s="1"/>
  <c r="O57" i="13"/>
  <c r="F57" i="13"/>
  <c r="E57" i="13"/>
  <c r="M63" i="13" s="1"/>
  <c r="N63" i="13" s="1" a="1"/>
  <c r="N63" i="13" s="1"/>
  <c r="B57" i="13"/>
  <c r="F56" i="13"/>
  <c r="E56" i="13"/>
  <c r="M62" i="13" s="1"/>
  <c r="N62" i="13" s="1" a="1"/>
  <c r="N62" i="13" s="1"/>
  <c r="B56" i="13"/>
  <c r="O62" i="13" s="1"/>
  <c r="F55" i="13"/>
  <c r="E55" i="13"/>
  <c r="M61" i="13" s="1"/>
  <c r="N61" i="13" s="1" a="1"/>
  <c r="N61" i="13" s="1"/>
  <c r="B55" i="13"/>
  <c r="O61" i="13" s="1"/>
  <c r="F54" i="13"/>
  <c r="E54" i="13"/>
  <c r="M60" i="13" s="1"/>
  <c r="N60" i="13" s="1" a="1"/>
  <c r="N60" i="13" s="1"/>
  <c r="B54" i="13"/>
  <c r="O60" i="13" s="1"/>
  <c r="F53" i="13"/>
  <c r="E53" i="13"/>
  <c r="M59" i="13" s="1"/>
  <c r="N59" i="13" s="1" a="1"/>
  <c r="N59" i="13" s="1"/>
  <c r="B53" i="13"/>
  <c r="F52" i="13"/>
  <c r="E52" i="13"/>
  <c r="M58" i="13" s="1"/>
  <c r="N58" i="13" s="1" a="1"/>
  <c r="N58" i="13" s="1"/>
  <c r="B52" i="13"/>
  <c r="O58" i="13" s="1"/>
  <c r="F51" i="13"/>
  <c r="E51" i="13"/>
  <c r="M57" i="13" s="1"/>
  <c r="N57" i="13" s="1" a="1"/>
  <c r="N57" i="13" s="1"/>
  <c r="B51" i="13"/>
  <c r="F50" i="13"/>
  <c r="E50" i="13"/>
  <c r="M56" i="13" s="1"/>
  <c r="N56" i="13" s="1" a="1"/>
  <c r="N56" i="13" s="1"/>
  <c r="B50" i="13"/>
  <c r="O56" i="13" s="1"/>
  <c r="F49" i="13"/>
  <c r="E49" i="13"/>
  <c r="M55" i="13" s="1"/>
  <c r="N55" i="13" s="1" a="1"/>
  <c r="N55" i="13" s="1"/>
  <c r="B49" i="13"/>
  <c r="O55" i="13" s="1"/>
  <c r="F48" i="13"/>
  <c r="E48" i="13"/>
  <c r="M54" i="13" s="1"/>
  <c r="N54" i="13" s="1" a="1"/>
  <c r="N54" i="13" s="1"/>
  <c r="B48" i="13"/>
  <c r="O54" i="13" s="1"/>
  <c r="O47" i="13"/>
  <c r="F47" i="13"/>
  <c r="E47" i="13"/>
  <c r="M53" i="13" s="1"/>
  <c r="N53" i="13" s="1" a="1"/>
  <c r="N53" i="13" s="1"/>
  <c r="B47" i="13"/>
  <c r="O53" i="13" s="1"/>
  <c r="F46" i="13"/>
  <c r="E46" i="13"/>
  <c r="M52" i="13" s="1"/>
  <c r="N52" i="13" s="1" a="1"/>
  <c r="N52" i="13" s="1"/>
  <c r="B46" i="13"/>
  <c r="O52" i="13" s="1"/>
  <c r="F45" i="13"/>
  <c r="E45" i="13"/>
  <c r="M51" i="13" s="1"/>
  <c r="N51" i="13" s="1" a="1"/>
  <c r="N51" i="13" s="1"/>
  <c r="B45" i="13"/>
  <c r="O51" i="13" s="1"/>
  <c r="O44" i="13"/>
  <c r="F44" i="13"/>
  <c r="E44" i="13"/>
  <c r="M50" i="13" s="1"/>
  <c r="N50" i="13" s="1" a="1"/>
  <c r="N50" i="13" s="1"/>
  <c r="B44" i="13"/>
  <c r="O50" i="13" s="1"/>
  <c r="F43" i="13"/>
  <c r="E43" i="13"/>
  <c r="M49" i="13" s="1"/>
  <c r="N49" i="13" s="1" a="1"/>
  <c r="N49" i="13" s="1"/>
  <c r="B43" i="13"/>
  <c r="O49" i="13" s="1"/>
  <c r="O42" i="13"/>
  <c r="F42" i="13"/>
  <c r="E42" i="13"/>
  <c r="M48" i="13" s="1"/>
  <c r="N48" i="13" s="1" a="1"/>
  <c r="N48" i="13" s="1"/>
  <c r="B42" i="13"/>
  <c r="O48" i="13" s="1"/>
  <c r="F41" i="13"/>
  <c r="E41" i="13"/>
  <c r="M47" i="13" s="1"/>
  <c r="N47" i="13" s="1" a="1"/>
  <c r="N47" i="13" s="1"/>
  <c r="B41" i="13"/>
  <c r="F40" i="13"/>
  <c r="E40" i="13"/>
  <c r="M46" i="13" s="1"/>
  <c r="N46" i="13" s="1" a="1"/>
  <c r="N46" i="13" s="1"/>
  <c r="B40" i="13"/>
  <c r="O46" i="13" s="1"/>
  <c r="F39" i="13"/>
  <c r="E39" i="13"/>
  <c r="M45" i="13" s="1"/>
  <c r="N45" i="13" s="1" a="1"/>
  <c r="N45" i="13" s="1"/>
  <c r="B39" i="13"/>
  <c r="O45" i="13" s="1"/>
  <c r="F38" i="13"/>
  <c r="E38" i="13"/>
  <c r="M44" i="13" s="1"/>
  <c r="N44" i="13" s="1" a="1"/>
  <c r="N44" i="13" s="1"/>
  <c r="B38" i="13"/>
  <c r="F37" i="13"/>
  <c r="E37" i="13"/>
  <c r="M43" i="13" s="1"/>
  <c r="N43" i="13" s="1" a="1"/>
  <c r="N43" i="13" s="1"/>
  <c r="B37" i="13"/>
  <c r="O43" i="13" s="1"/>
  <c r="F36" i="13"/>
  <c r="E36" i="13"/>
  <c r="M42" i="13" s="1"/>
  <c r="N42" i="13" s="1" a="1"/>
  <c r="N42" i="13" s="1"/>
  <c r="B36" i="13"/>
  <c r="F35" i="13"/>
  <c r="E35" i="13"/>
  <c r="M41" i="13" s="1"/>
  <c r="N41" i="13" s="1" a="1"/>
  <c r="N41" i="13" s="1"/>
  <c r="B35" i="13"/>
  <c r="O41" i="13" s="1"/>
  <c r="O34" i="13"/>
  <c r="F34" i="13"/>
  <c r="E34" i="13"/>
  <c r="M40" i="13" s="1"/>
  <c r="N40" i="13" s="1" a="1"/>
  <c r="N40" i="13" s="1"/>
  <c r="B34" i="13"/>
  <c r="O40" i="13" s="1"/>
  <c r="F33" i="13"/>
  <c r="E33" i="13"/>
  <c r="M39" i="13" s="1"/>
  <c r="N39" i="13" s="1" a="1"/>
  <c r="N39" i="13" s="1"/>
  <c r="B33" i="13"/>
  <c r="O39" i="13" s="1"/>
  <c r="O32" i="13"/>
  <c r="F32" i="13"/>
  <c r="E32" i="13"/>
  <c r="M38" i="13" s="1"/>
  <c r="N38" i="13" s="1" a="1"/>
  <c r="N38" i="13" s="1"/>
  <c r="B32" i="13"/>
  <c r="O38" i="13" s="1"/>
  <c r="F31" i="13"/>
  <c r="E31" i="13"/>
  <c r="M37" i="13" s="1"/>
  <c r="N37" i="13" s="1" a="1"/>
  <c r="N37" i="13" s="1"/>
  <c r="B31" i="13"/>
  <c r="O37" i="13" s="1"/>
  <c r="F30" i="13"/>
  <c r="E30" i="13"/>
  <c r="M36" i="13" s="1"/>
  <c r="N36" i="13" s="1" a="1"/>
  <c r="N36" i="13" s="1"/>
  <c r="B30" i="13"/>
  <c r="O36" i="13" s="1"/>
  <c r="F29" i="13"/>
  <c r="E29" i="13"/>
  <c r="M35" i="13" s="1"/>
  <c r="N35" i="13" s="1" a="1"/>
  <c r="N35" i="13" s="1"/>
  <c r="B29" i="13"/>
  <c r="O35" i="13" s="1"/>
  <c r="F28" i="13"/>
  <c r="E28" i="13"/>
  <c r="M34" i="13" s="1"/>
  <c r="N34" i="13" s="1" a="1"/>
  <c r="N34" i="13" s="1"/>
  <c r="B28" i="13"/>
  <c r="F27" i="13"/>
  <c r="E27" i="13"/>
  <c r="M33" i="13" s="1"/>
  <c r="N33" i="13" s="1" a="1"/>
  <c r="N33" i="13" s="1"/>
  <c r="B27" i="13"/>
  <c r="O33" i="13" s="1"/>
  <c r="F26" i="13"/>
  <c r="E26" i="13"/>
  <c r="M32" i="13" s="1"/>
  <c r="N32" i="13" s="1" a="1"/>
  <c r="N32" i="13" s="1"/>
  <c r="B26" i="13"/>
  <c r="F25" i="13"/>
  <c r="E25" i="13"/>
  <c r="M31" i="13" s="1"/>
  <c r="N31" i="13" s="1" a="1"/>
  <c r="N31" i="13" s="1"/>
  <c r="B25" i="13"/>
  <c r="O31" i="13" s="1"/>
  <c r="F24" i="13"/>
  <c r="E24" i="13"/>
  <c r="M30" i="13" s="1"/>
  <c r="N30" i="13" s="1" a="1"/>
  <c r="N30" i="13" s="1"/>
  <c r="B24" i="13"/>
  <c r="O30" i="13" s="1"/>
  <c r="F23" i="13"/>
  <c r="E23" i="13"/>
  <c r="M29" i="13" s="1"/>
  <c r="N29" i="13" s="1" a="1"/>
  <c r="N29" i="13" s="1"/>
  <c r="B23" i="13"/>
  <c r="O29" i="13" s="1"/>
  <c r="F22" i="13"/>
  <c r="E22" i="13"/>
  <c r="M28" i="13" s="1"/>
  <c r="N28" i="13" s="1" a="1"/>
  <c r="N28" i="13" s="1"/>
  <c r="B22" i="13"/>
  <c r="O28" i="13" s="1"/>
  <c r="F21" i="13"/>
  <c r="E21" i="13"/>
  <c r="M27" i="13" s="1"/>
  <c r="N27" i="13" s="1" a="1"/>
  <c r="N27" i="13" s="1"/>
  <c r="B21" i="13"/>
  <c r="O27" i="13" s="1"/>
  <c r="O20" i="13"/>
  <c r="F20" i="13"/>
  <c r="E20" i="13"/>
  <c r="M26" i="13" s="1"/>
  <c r="N26" i="13" s="1" a="1"/>
  <c r="N26" i="13" s="1"/>
  <c r="B20" i="13"/>
  <c r="O26" i="13" s="1"/>
  <c r="F19" i="13"/>
  <c r="E19" i="13"/>
  <c r="M25" i="13" s="1"/>
  <c r="N25" i="13" s="1" a="1"/>
  <c r="N25" i="13" s="1"/>
  <c r="B19" i="13"/>
  <c r="O25" i="13" s="1"/>
  <c r="O18" i="13"/>
  <c r="F18" i="13"/>
  <c r="E18" i="13"/>
  <c r="M24" i="13" s="1"/>
  <c r="N24" i="13" s="1" a="1"/>
  <c r="N24" i="13" s="1"/>
  <c r="B18" i="13"/>
  <c r="O24" i="13" s="1"/>
  <c r="F17" i="13"/>
  <c r="E17" i="13"/>
  <c r="M23" i="13" s="1"/>
  <c r="N23" i="13" s="1" a="1"/>
  <c r="N23" i="13" s="1"/>
  <c r="B17" i="13"/>
  <c r="O23" i="13" s="1"/>
  <c r="F16" i="13"/>
  <c r="E16" i="13"/>
  <c r="M22" i="13" s="1"/>
  <c r="N22" i="13" s="1" a="1"/>
  <c r="N22" i="13" s="1"/>
  <c r="B16" i="13"/>
  <c r="O22" i="13" s="1"/>
  <c r="F15" i="13"/>
  <c r="E15" i="13"/>
  <c r="M21" i="13" s="1"/>
  <c r="N21" i="13" s="1" a="1"/>
  <c r="N21" i="13" s="1"/>
  <c r="B15" i="13"/>
  <c r="O21" i="13" s="1"/>
  <c r="F14" i="13"/>
  <c r="E14" i="13"/>
  <c r="M20" i="13" s="1"/>
  <c r="N20" i="13" s="1" a="1"/>
  <c r="N20" i="13" s="1"/>
  <c r="B14" i="13"/>
  <c r="O13" i="13"/>
  <c r="F13" i="13"/>
  <c r="E13" i="13"/>
  <c r="M19" i="13" s="1"/>
  <c r="N19" i="13" s="1" a="1"/>
  <c r="N19" i="13" s="1"/>
  <c r="B13" i="13"/>
  <c r="O19" i="13" s="1"/>
  <c r="F12" i="13"/>
  <c r="E12" i="13"/>
  <c r="M18" i="13" s="1"/>
  <c r="N18" i="13" s="1" a="1"/>
  <c r="N18" i="13" s="1"/>
  <c r="B12" i="13"/>
  <c r="F11" i="13"/>
  <c r="E11" i="13"/>
  <c r="M17" i="13" s="1"/>
  <c r="N17" i="13" s="1" a="1"/>
  <c r="N17" i="13" s="1"/>
  <c r="B11" i="13"/>
  <c r="O17" i="13" s="1"/>
  <c r="F10" i="13"/>
  <c r="E10" i="13"/>
  <c r="M16" i="13" s="1"/>
  <c r="N16" i="13" s="1" a="1"/>
  <c r="N16" i="13" s="1"/>
  <c r="B10" i="13"/>
  <c r="O16" i="13" s="1"/>
  <c r="O9" i="13"/>
  <c r="F9" i="13"/>
  <c r="E9" i="13"/>
  <c r="M15" i="13" s="1"/>
  <c r="N15" i="13" s="1" a="1"/>
  <c r="N15" i="13" s="1"/>
  <c r="B9" i="13"/>
  <c r="O15" i="13" s="1"/>
  <c r="F8" i="13"/>
  <c r="E8" i="13"/>
  <c r="M14" i="13" s="1"/>
  <c r="N14" i="13" s="1" a="1"/>
  <c r="N14" i="13" s="1"/>
  <c r="B8" i="13"/>
  <c r="O14" i="13" s="1"/>
  <c r="F7" i="13"/>
  <c r="E7" i="13"/>
  <c r="M13" i="13" s="1"/>
  <c r="N13" i="13" s="1" a="1"/>
  <c r="N13" i="13" s="1"/>
  <c r="B7" i="13"/>
  <c r="F6" i="13"/>
  <c r="E6" i="13"/>
  <c r="M12" i="13" s="1"/>
  <c r="N12" i="13" s="1" a="1"/>
  <c r="N12" i="13" s="1"/>
  <c r="B6" i="13"/>
  <c r="O12" i="13" s="1"/>
  <c r="F5" i="13"/>
  <c r="E5" i="13"/>
  <c r="M11" i="13" s="1"/>
  <c r="N11" i="13" s="1" a="1"/>
  <c r="N11" i="13" s="1"/>
  <c r="B5" i="13"/>
  <c r="O11" i="13" s="1"/>
  <c r="F4" i="13"/>
  <c r="E4" i="13"/>
  <c r="M10" i="13" s="1"/>
  <c r="N10" i="13" s="1" a="1"/>
  <c r="N10" i="13" s="1"/>
  <c r="B4" i="13"/>
  <c r="O10" i="13" s="1"/>
  <c r="F3" i="13"/>
  <c r="E3" i="13"/>
  <c r="M9" i="13" s="1"/>
  <c r="N9" i="13" s="1" a="1"/>
  <c r="N9" i="13" s="1"/>
  <c r="B3" i="13"/>
  <c r="O128" i="12"/>
  <c r="F122" i="12"/>
  <c r="E122" i="12"/>
  <c r="M128" i="12" s="1"/>
  <c r="N128" i="12" s="1" a="1"/>
  <c r="N128" i="12" s="1"/>
  <c r="B122" i="12"/>
  <c r="F121" i="12"/>
  <c r="E121" i="12"/>
  <c r="M127" i="12" s="1"/>
  <c r="N127" i="12" s="1" a="1"/>
  <c r="N127" i="12" s="1"/>
  <c r="B121" i="12"/>
  <c r="O127" i="12" s="1"/>
  <c r="M120" i="12"/>
  <c r="N120" i="12" s="1" a="1"/>
  <c r="N120" i="12" s="1"/>
  <c r="F120" i="12"/>
  <c r="E120" i="12"/>
  <c r="M126" i="12" s="1"/>
  <c r="N126" i="12" s="1" a="1"/>
  <c r="N126" i="12" s="1"/>
  <c r="B120" i="12"/>
  <c r="O126" i="12" s="1"/>
  <c r="F119" i="12"/>
  <c r="E119" i="12"/>
  <c r="M125" i="12" s="1"/>
  <c r="N125" i="12" s="1" a="1"/>
  <c r="N125" i="12" s="1"/>
  <c r="B119" i="12"/>
  <c r="O125" i="12" s="1"/>
  <c r="F118" i="12"/>
  <c r="E118" i="12"/>
  <c r="M124" i="12" s="1"/>
  <c r="N124" i="12" s="1" a="1"/>
  <c r="N124" i="12" s="1"/>
  <c r="B118" i="12"/>
  <c r="O124" i="12" s="1"/>
  <c r="F117" i="12"/>
  <c r="E117" i="12"/>
  <c r="M123" i="12" s="1"/>
  <c r="N123" i="12" s="1" a="1"/>
  <c r="N123" i="12" s="1"/>
  <c r="B117" i="12"/>
  <c r="O123" i="12" s="1"/>
  <c r="F116" i="12"/>
  <c r="E116" i="12"/>
  <c r="M122" i="12" s="1"/>
  <c r="N122" i="12" s="1" a="1"/>
  <c r="N122" i="12" s="1"/>
  <c r="B116" i="12"/>
  <c r="O122" i="12" s="1"/>
  <c r="F115" i="12"/>
  <c r="E115" i="12"/>
  <c r="M121" i="12" s="1"/>
  <c r="N121" i="12" s="1" a="1"/>
  <c r="N121" i="12" s="1"/>
  <c r="B115" i="12"/>
  <c r="O121" i="12" s="1"/>
  <c r="M114" i="12"/>
  <c r="N114" i="12" s="1" a="1"/>
  <c r="N114" i="12" s="1"/>
  <c r="F114" i="12"/>
  <c r="E114" i="12"/>
  <c r="B114" i="12"/>
  <c r="O120" i="12" s="1"/>
  <c r="F113" i="12"/>
  <c r="E113" i="12"/>
  <c r="M119" i="12" s="1"/>
  <c r="N119" i="12" s="1" a="1"/>
  <c r="N119" i="12" s="1"/>
  <c r="B113" i="12"/>
  <c r="O119" i="12" s="1"/>
  <c r="F112" i="12"/>
  <c r="E112" i="12"/>
  <c r="M118" i="12" s="1"/>
  <c r="N118" i="12" s="1" a="1"/>
  <c r="N118" i="12" s="1"/>
  <c r="B112" i="12"/>
  <c r="O118" i="12" s="1"/>
  <c r="F111" i="12"/>
  <c r="E111" i="12"/>
  <c r="M117" i="12" s="1"/>
  <c r="N117" i="12" s="1" a="1"/>
  <c r="N117" i="12" s="1"/>
  <c r="B111" i="12"/>
  <c r="O117" i="12" s="1"/>
  <c r="M110" i="12"/>
  <c r="N110" i="12" s="1" a="1"/>
  <c r="N110" i="12" s="1"/>
  <c r="F110" i="12"/>
  <c r="E110" i="12"/>
  <c r="M116" i="12" s="1"/>
  <c r="N116" i="12" s="1" a="1"/>
  <c r="N116" i="12" s="1"/>
  <c r="B110" i="12"/>
  <c r="O116" i="12" s="1"/>
  <c r="F109" i="12"/>
  <c r="E109" i="12"/>
  <c r="M115" i="12" s="1"/>
  <c r="N115" i="12" s="1" a="1"/>
  <c r="N115" i="12" s="1"/>
  <c r="B109" i="12"/>
  <c r="O115" i="12" s="1"/>
  <c r="M108" i="12"/>
  <c r="N108" i="12" s="1" a="1"/>
  <c r="N108" i="12" s="1"/>
  <c r="F108" i="12"/>
  <c r="E108" i="12"/>
  <c r="B108" i="12"/>
  <c r="O114" i="12" s="1"/>
  <c r="F107" i="12"/>
  <c r="E107" i="12"/>
  <c r="M113" i="12" s="1"/>
  <c r="N113" i="12" s="1" a="1"/>
  <c r="N113" i="12" s="1"/>
  <c r="B107" i="12"/>
  <c r="O113" i="12" s="1"/>
  <c r="F106" i="12"/>
  <c r="E106" i="12"/>
  <c r="M112" i="12" s="1"/>
  <c r="N112" i="12" s="1" a="1"/>
  <c r="N112" i="12" s="1"/>
  <c r="B106" i="12"/>
  <c r="O112" i="12" s="1"/>
  <c r="F105" i="12"/>
  <c r="E105" i="12"/>
  <c r="M111" i="12" s="1"/>
  <c r="N111" i="12" s="1" a="1"/>
  <c r="N111" i="12" s="1"/>
  <c r="B105" i="12"/>
  <c r="O111" i="12" s="1"/>
  <c r="F104" i="12"/>
  <c r="E104" i="12"/>
  <c r="B104" i="12"/>
  <c r="O110" i="12" s="1"/>
  <c r="F103" i="12"/>
  <c r="E103" i="12"/>
  <c r="M109" i="12" s="1"/>
  <c r="N109" i="12" s="1" a="1"/>
  <c r="N109" i="12" s="1"/>
  <c r="B103" i="12"/>
  <c r="O109" i="12" s="1"/>
  <c r="F102" i="12"/>
  <c r="E102" i="12"/>
  <c r="B102" i="12"/>
  <c r="O108" i="12" s="1"/>
  <c r="O101" i="12"/>
  <c r="F101" i="12"/>
  <c r="E101" i="12"/>
  <c r="M107" i="12" s="1"/>
  <c r="N107" i="12" s="1" a="1"/>
  <c r="N107" i="12" s="1"/>
  <c r="B101" i="12"/>
  <c r="O107" i="12" s="1"/>
  <c r="F100" i="12"/>
  <c r="E100" i="12"/>
  <c r="M106" i="12" s="1"/>
  <c r="N106" i="12" s="1" a="1"/>
  <c r="N106" i="12" s="1"/>
  <c r="B100" i="12"/>
  <c r="O106" i="12" s="1"/>
  <c r="F99" i="12"/>
  <c r="E99" i="12"/>
  <c r="M105" i="12" s="1"/>
  <c r="N105" i="12" s="1" a="1"/>
  <c r="N105" i="12" s="1"/>
  <c r="B99" i="12"/>
  <c r="O105" i="12" s="1"/>
  <c r="F98" i="12"/>
  <c r="E98" i="12"/>
  <c r="M104" i="12" s="1"/>
  <c r="N104" i="12" s="1" a="1"/>
  <c r="N104" i="12" s="1"/>
  <c r="B98" i="12"/>
  <c r="O104" i="12" s="1"/>
  <c r="F97" i="12"/>
  <c r="E97" i="12"/>
  <c r="M103" i="12" s="1"/>
  <c r="N103" i="12" s="1" a="1"/>
  <c r="N103" i="12" s="1"/>
  <c r="B97" i="12"/>
  <c r="O103" i="12" s="1"/>
  <c r="F96" i="12"/>
  <c r="E96" i="12"/>
  <c r="M102" i="12" s="1"/>
  <c r="N102" i="12" s="1" a="1"/>
  <c r="N102" i="12" s="1"/>
  <c r="B96" i="12"/>
  <c r="O102" i="12" s="1"/>
  <c r="O95" i="12"/>
  <c r="F95" i="12"/>
  <c r="E95" i="12"/>
  <c r="M101" i="12" s="1"/>
  <c r="N101" i="12" s="1" a="1"/>
  <c r="N101" i="12" s="1"/>
  <c r="B95" i="12"/>
  <c r="F94" i="12"/>
  <c r="E94" i="12"/>
  <c r="M100" i="12" s="1"/>
  <c r="N100" i="12" s="1" a="1"/>
  <c r="N100" i="12" s="1"/>
  <c r="B94" i="12"/>
  <c r="O100" i="12" s="1"/>
  <c r="F93" i="12"/>
  <c r="E93" i="12"/>
  <c r="M99" i="12" s="1"/>
  <c r="N99" i="12" s="1" a="1"/>
  <c r="N99" i="12" s="1"/>
  <c r="B93" i="12"/>
  <c r="O99" i="12" s="1"/>
  <c r="F92" i="12"/>
  <c r="E92" i="12"/>
  <c r="M98" i="12" s="1"/>
  <c r="N98" i="12" s="1" a="1"/>
  <c r="N98" i="12" s="1"/>
  <c r="B92" i="12"/>
  <c r="O98" i="12" s="1"/>
  <c r="F91" i="12"/>
  <c r="E91" i="12"/>
  <c r="M97" i="12" s="1"/>
  <c r="N97" i="12" s="1" a="1"/>
  <c r="N97" i="12" s="1"/>
  <c r="B91" i="12"/>
  <c r="O97" i="12" s="1"/>
  <c r="F90" i="12"/>
  <c r="E90" i="12"/>
  <c r="M96" i="12" s="1"/>
  <c r="N96" i="12" s="1" a="1"/>
  <c r="N96" i="12" s="1"/>
  <c r="B90" i="12"/>
  <c r="O96" i="12" s="1"/>
  <c r="O89" i="12"/>
  <c r="F89" i="12"/>
  <c r="E89" i="12"/>
  <c r="M95" i="12" s="1"/>
  <c r="N95" i="12" s="1" a="1"/>
  <c r="N95" i="12" s="1"/>
  <c r="B89" i="12"/>
  <c r="F88" i="12"/>
  <c r="E88" i="12"/>
  <c r="M94" i="12" s="1"/>
  <c r="N94" i="12" s="1" a="1"/>
  <c r="N94" i="12" s="1"/>
  <c r="B88" i="12"/>
  <c r="O94" i="12" s="1"/>
  <c r="F87" i="12"/>
  <c r="E87" i="12"/>
  <c r="M93" i="12" s="1"/>
  <c r="N93" i="12" s="1" a="1"/>
  <c r="N93" i="12" s="1"/>
  <c r="B87" i="12"/>
  <c r="O93" i="12" s="1"/>
  <c r="F86" i="12"/>
  <c r="E86" i="12"/>
  <c r="M92" i="12" s="1"/>
  <c r="N92" i="12" s="1" a="1"/>
  <c r="N92" i="12" s="1"/>
  <c r="B86" i="12"/>
  <c r="O92" i="12" s="1"/>
  <c r="F85" i="12"/>
  <c r="E85" i="12"/>
  <c r="M91" i="12" s="1"/>
  <c r="N91" i="12" s="1" a="1"/>
  <c r="N91" i="12" s="1"/>
  <c r="B85" i="12"/>
  <c r="O91" i="12" s="1"/>
  <c r="F84" i="12"/>
  <c r="E84" i="12"/>
  <c r="M90" i="12" s="1"/>
  <c r="N90" i="12" s="1" a="1"/>
  <c r="N90" i="12" s="1"/>
  <c r="B84" i="12"/>
  <c r="O90" i="12" s="1"/>
  <c r="F83" i="12"/>
  <c r="E83" i="12"/>
  <c r="M89" i="12" s="1"/>
  <c r="N89" i="12" s="1" a="1"/>
  <c r="N89" i="12" s="1"/>
  <c r="B83" i="12"/>
  <c r="F82" i="12"/>
  <c r="E82" i="12"/>
  <c r="M88" i="12" s="1"/>
  <c r="N88" i="12" s="1" a="1"/>
  <c r="N88" i="12" s="1"/>
  <c r="B82" i="12"/>
  <c r="O88" i="12" s="1"/>
  <c r="F81" i="12"/>
  <c r="E81" i="12"/>
  <c r="M87" i="12" s="1"/>
  <c r="N87" i="12" s="1" a="1"/>
  <c r="N87" i="12" s="1"/>
  <c r="B81" i="12"/>
  <c r="O87" i="12" s="1"/>
  <c r="O80" i="12"/>
  <c r="F80" i="12"/>
  <c r="E80" i="12"/>
  <c r="M86" i="12" s="1"/>
  <c r="N86" i="12" s="1" a="1"/>
  <c r="N86" i="12" s="1"/>
  <c r="B80" i="12"/>
  <c r="O86" i="12" s="1"/>
  <c r="F79" i="12"/>
  <c r="E79" i="12"/>
  <c r="M85" i="12" s="1"/>
  <c r="N85" i="12" s="1" a="1"/>
  <c r="N85" i="12" s="1"/>
  <c r="B79" i="12"/>
  <c r="O85" i="12" s="1"/>
  <c r="F78" i="12"/>
  <c r="E78" i="12"/>
  <c r="M84" i="12" s="1"/>
  <c r="N84" i="12" s="1" a="1"/>
  <c r="N84" i="12" s="1"/>
  <c r="B78" i="12"/>
  <c r="O84" i="12" s="1"/>
  <c r="F77" i="12"/>
  <c r="E77" i="12"/>
  <c r="M83" i="12" s="1"/>
  <c r="N83" i="12" s="1" a="1"/>
  <c r="N83" i="12" s="1"/>
  <c r="B77" i="12"/>
  <c r="O83" i="12" s="1"/>
  <c r="F76" i="12"/>
  <c r="E76" i="12"/>
  <c r="M82" i="12" s="1"/>
  <c r="N82" i="12" s="1" a="1"/>
  <c r="N82" i="12" s="1"/>
  <c r="B76" i="12"/>
  <c r="O82" i="12" s="1"/>
  <c r="F75" i="12"/>
  <c r="E75" i="12"/>
  <c r="M81" i="12" s="1"/>
  <c r="N81" i="12" s="1" a="1"/>
  <c r="N81" i="12" s="1"/>
  <c r="B75" i="12"/>
  <c r="O81" i="12" s="1"/>
  <c r="F74" i="12"/>
  <c r="E74" i="12"/>
  <c r="M80" i="12" s="1"/>
  <c r="N80" i="12" s="1" a="1"/>
  <c r="N80" i="12" s="1"/>
  <c r="B74" i="12"/>
  <c r="F73" i="12"/>
  <c r="E73" i="12"/>
  <c r="M79" i="12" s="1"/>
  <c r="N79" i="12" s="1" a="1"/>
  <c r="N79" i="12" s="1"/>
  <c r="B73" i="12"/>
  <c r="O79" i="12" s="1"/>
  <c r="F72" i="12"/>
  <c r="E72" i="12"/>
  <c r="M78" i="12" s="1"/>
  <c r="N78" i="12" s="1" a="1"/>
  <c r="N78" i="12" s="1"/>
  <c r="B72" i="12"/>
  <c r="O78" i="12" s="1"/>
  <c r="F71" i="12"/>
  <c r="E71" i="12"/>
  <c r="M77" i="12" s="1"/>
  <c r="N77" i="12" s="1" a="1"/>
  <c r="N77" i="12" s="1"/>
  <c r="B71" i="12"/>
  <c r="O77" i="12" s="1"/>
  <c r="O70" i="12"/>
  <c r="F70" i="12"/>
  <c r="E70" i="12"/>
  <c r="M76" i="12" s="1"/>
  <c r="N76" i="12" s="1" a="1"/>
  <c r="N76" i="12" s="1"/>
  <c r="B70" i="12"/>
  <c r="O76" i="12" s="1"/>
  <c r="F69" i="12"/>
  <c r="E69" i="12"/>
  <c r="M75" i="12" s="1"/>
  <c r="N75" i="12" s="1" a="1"/>
  <c r="N75" i="12" s="1"/>
  <c r="B69" i="12"/>
  <c r="O75" i="12" s="1"/>
  <c r="F68" i="12"/>
  <c r="E68" i="12"/>
  <c r="M74" i="12" s="1"/>
  <c r="N74" i="12" s="1" a="1"/>
  <c r="N74" i="12" s="1"/>
  <c r="B68" i="12"/>
  <c r="O74" i="12" s="1"/>
  <c r="F67" i="12"/>
  <c r="E67" i="12"/>
  <c r="M73" i="12" s="1"/>
  <c r="N73" i="12" s="1" a="1"/>
  <c r="N73" i="12" s="1"/>
  <c r="B67" i="12"/>
  <c r="O73" i="12" s="1"/>
  <c r="F66" i="12"/>
  <c r="E66" i="12"/>
  <c r="M72" i="12" s="1"/>
  <c r="N72" i="12" s="1" a="1"/>
  <c r="N72" i="12" s="1"/>
  <c r="B66" i="12"/>
  <c r="O72" i="12" s="1"/>
  <c r="F65" i="12"/>
  <c r="E65" i="12"/>
  <c r="M71" i="12" s="1"/>
  <c r="N71" i="12" s="1" a="1"/>
  <c r="N71" i="12" s="1"/>
  <c r="B65" i="12"/>
  <c r="O71" i="12" s="1"/>
  <c r="O64" i="12"/>
  <c r="F64" i="12"/>
  <c r="E64" i="12"/>
  <c r="M70" i="12" s="1"/>
  <c r="N70" i="12" s="1" a="1"/>
  <c r="N70" i="12" s="1"/>
  <c r="B64" i="12"/>
  <c r="F63" i="12"/>
  <c r="E63" i="12"/>
  <c r="M69" i="12" s="1"/>
  <c r="N69" i="12" s="1" a="1"/>
  <c r="N69" i="12" s="1"/>
  <c r="B63" i="12"/>
  <c r="O69" i="12" s="1"/>
  <c r="F62" i="12"/>
  <c r="E62" i="12"/>
  <c r="M68" i="12" s="1"/>
  <c r="N68" i="12" s="1" a="1"/>
  <c r="N68" i="12" s="1"/>
  <c r="B62" i="12"/>
  <c r="O68" i="12" s="1"/>
  <c r="O61" i="12"/>
  <c r="F61" i="12"/>
  <c r="E61" i="12"/>
  <c r="M67" i="12" s="1"/>
  <c r="N67" i="12" s="1" a="1"/>
  <c r="N67" i="12" s="1"/>
  <c r="B61" i="12"/>
  <c r="O67" i="12" s="1"/>
  <c r="F60" i="12"/>
  <c r="E60" i="12"/>
  <c r="M66" i="12" s="1"/>
  <c r="N66" i="12" s="1" a="1"/>
  <c r="N66" i="12" s="1"/>
  <c r="B60" i="12"/>
  <c r="O66" i="12" s="1"/>
  <c r="F59" i="12"/>
  <c r="E59" i="12"/>
  <c r="M65" i="12" s="1"/>
  <c r="N65" i="12" s="1" a="1"/>
  <c r="N65" i="12" s="1"/>
  <c r="B59" i="12"/>
  <c r="O65" i="12" s="1"/>
  <c r="F58" i="12"/>
  <c r="E58" i="12"/>
  <c r="M64" i="12" s="1"/>
  <c r="N64" i="12" s="1" a="1"/>
  <c r="N64" i="12" s="1"/>
  <c r="B58" i="12"/>
  <c r="F57" i="12"/>
  <c r="E57" i="12"/>
  <c r="M63" i="12" s="1"/>
  <c r="N63" i="12" s="1" a="1"/>
  <c r="N63" i="12" s="1"/>
  <c r="B57" i="12"/>
  <c r="O63" i="12" s="1"/>
  <c r="F56" i="12"/>
  <c r="E56" i="12"/>
  <c r="M62" i="12" s="1"/>
  <c r="N62" i="12" s="1" a="1"/>
  <c r="N62" i="12" s="1"/>
  <c r="B56" i="12"/>
  <c r="O62" i="12" s="1"/>
  <c r="M55" i="12"/>
  <c r="N55" i="12" s="1" a="1"/>
  <c r="N55" i="12" s="1"/>
  <c r="F55" i="12"/>
  <c r="E55" i="12"/>
  <c r="M61" i="12" s="1"/>
  <c r="N61" i="12" s="1" a="1"/>
  <c r="N61" i="12" s="1"/>
  <c r="B55" i="12"/>
  <c r="F54" i="12"/>
  <c r="E54" i="12"/>
  <c r="M60" i="12" s="1"/>
  <c r="N60" i="12" s="1" a="1"/>
  <c r="N60" i="12" s="1"/>
  <c r="B54" i="12"/>
  <c r="O60" i="12" s="1"/>
  <c r="F53" i="12"/>
  <c r="E53" i="12"/>
  <c r="M59" i="12" s="1"/>
  <c r="N59" i="12" s="1" a="1"/>
  <c r="N59" i="12" s="1"/>
  <c r="B53" i="12"/>
  <c r="O59" i="12" s="1"/>
  <c r="F52" i="12"/>
  <c r="E52" i="12"/>
  <c r="M58" i="12" s="1"/>
  <c r="N58" i="12" s="1" a="1"/>
  <c r="N58" i="12" s="1"/>
  <c r="B52" i="12"/>
  <c r="O58" i="12" s="1"/>
  <c r="F51" i="12"/>
  <c r="E51" i="12"/>
  <c r="M57" i="12" s="1"/>
  <c r="N57" i="12" s="1" a="1"/>
  <c r="N57" i="12" s="1"/>
  <c r="B51" i="12"/>
  <c r="O57" i="12" s="1"/>
  <c r="F50" i="12"/>
  <c r="E50" i="12"/>
  <c r="M56" i="12" s="1"/>
  <c r="N56" i="12" s="1" a="1"/>
  <c r="N56" i="12" s="1"/>
  <c r="B50" i="12"/>
  <c r="O56" i="12" s="1"/>
  <c r="F49" i="12"/>
  <c r="E49" i="12"/>
  <c r="B49" i="12"/>
  <c r="O55" i="12" s="1"/>
  <c r="F48" i="12"/>
  <c r="E48" i="12"/>
  <c r="M54" i="12" s="1"/>
  <c r="N54" i="12" s="1" a="1"/>
  <c r="N54" i="12" s="1"/>
  <c r="B48" i="12"/>
  <c r="O54" i="12" s="1"/>
  <c r="F47" i="12"/>
  <c r="E47" i="12"/>
  <c r="M53" i="12" s="1"/>
  <c r="N53" i="12" s="1" a="1"/>
  <c r="N53" i="12" s="1"/>
  <c r="B47" i="12"/>
  <c r="O53" i="12" s="1"/>
  <c r="O46" i="12"/>
  <c r="F46" i="12"/>
  <c r="E46" i="12"/>
  <c r="M52" i="12" s="1"/>
  <c r="N52" i="12" s="1" a="1"/>
  <c r="N52" i="12" s="1"/>
  <c r="B46" i="12"/>
  <c r="O52" i="12" s="1"/>
  <c r="F45" i="12"/>
  <c r="E45" i="12"/>
  <c r="M51" i="12" s="1"/>
  <c r="N51" i="12" s="1" a="1"/>
  <c r="N51" i="12" s="1"/>
  <c r="B45" i="12"/>
  <c r="O51" i="12" s="1"/>
  <c r="F44" i="12"/>
  <c r="E44" i="12"/>
  <c r="M50" i="12" s="1"/>
  <c r="N50" i="12" s="1" a="1"/>
  <c r="N50" i="12" s="1"/>
  <c r="B44" i="12"/>
  <c r="O50" i="12" s="1"/>
  <c r="F43" i="12"/>
  <c r="E43" i="12"/>
  <c r="M49" i="12" s="1"/>
  <c r="N49" i="12" s="1" a="1"/>
  <c r="N49" i="12" s="1"/>
  <c r="B43" i="12"/>
  <c r="O49" i="12" s="1"/>
  <c r="F42" i="12"/>
  <c r="E42" i="12"/>
  <c r="M48" i="12" s="1"/>
  <c r="N48" i="12" s="1" a="1"/>
  <c r="N48" i="12" s="1"/>
  <c r="B42" i="12"/>
  <c r="O48" i="12" s="1"/>
  <c r="F41" i="12"/>
  <c r="E41" i="12"/>
  <c r="M47" i="12" s="1"/>
  <c r="N47" i="12" s="1" a="1"/>
  <c r="N47" i="12" s="1"/>
  <c r="B41" i="12"/>
  <c r="O47" i="12" s="1"/>
  <c r="O40" i="12"/>
  <c r="F40" i="12"/>
  <c r="E40" i="12"/>
  <c r="M46" i="12" s="1"/>
  <c r="N46" i="12" s="1" a="1"/>
  <c r="N46" i="12" s="1"/>
  <c r="B40" i="12"/>
  <c r="F39" i="12"/>
  <c r="E39" i="12"/>
  <c r="M45" i="12" s="1"/>
  <c r="N45" i="12" s="1" a="1"/>
  <c r="N45" i="12" s="1"/>
  <c r="B39" i="12"/>
  <c r="O45" i="12" s="1"/>
  <c r="M38" i="12"/>
  <c r="N38" i="12" s="1" a="1"/>
  <c r="N38" i="12" s="1"/>
  <c r="F38" i="12"/>
  <c r="E38" i="12"/>
  <c r="M44" i="12" s="1"/>
  <c r="N44" i="12" s="1" a="1"/>
  <c r="N44" i="12" s="1"/>
  <c r="B38" i="12"/>
  <c r="O44" i="12" s="1"/>
  <c r="F37" i="12"/>
  <c r="E37" i="12"/>
  <c r="M43" i="12" s="1"/>
  <c r="N43" i="12" s="1" a="1"/>
  <c r="N43" i="12" s="1"/>
  <c r="B37" i="12"/>
  <c r="O43" i="12" s="1"/>
  <c r="F36" i="12"/>
  <c r="E36" i="12"/>
  <c r="M42" i="12" s="1"/>
  <c r="N42" i="12" s="1" a="1"/>
  <c r="N42" i="12" s="1"/>
  <c r="B36" i="12"/>
  <c r="O42" i="12" s="1"/>
  <c r="F35" i="12"/>
  <c r="E35" i="12"/>
  <c r="M41" i="12" s="1"/>
  <c r="N41" i="12" s="1" a="1"/>
  <c r="N41" i="12" s="1"/>
  <c r="B35" i="12"/>
  <c r="O41" i="12" s="1"/>
  <c r="O34" i="12"/>
  <c r="F34" i="12"/>
  <c r="E34" i="12"/>
  <c r="M40" i="12" s="1"/>
  <c r="N40" i="12" s="1" a="1"/>
  <c r="N40" i="12" s="1"/>
  <c r="B34" i="12"/>
  <c r="F33" i="12"/>
  <c r="E33" i="12"/>
  <c r="M39" i="12" s="1"/>
  <c r="N39" i="12" s="1" a="1"/>
  <c r="N39" i="12" s="1"/>
  <c r="B33" i="12"/>
  <c r="O39" i="12" s="1"/>
  <c r="F32" i="12"/>
  <c r="E32" i="12"/>
  <c r="B32" i="12"/>
  <c r="O38" i="12" s="1"/>
  <c r="F31" i="12"/>
  <c r="E31" i="12"/>
  <c r="M37" i="12" s="1"/>
  <c r="N37" i="12" s="1" a="1"/>
  <c r="N37" i="12" s="1"/>
  <c r="B31" i="12"/>
  <c r="O37" i="12" s="1"/>
  <c r="O30" i="12"/>
  <c r="F30" i="12"/>
  <c r="E30" i="12"/>
  <c r="M36" i="12" s="1"/>
  <c r="N36" i="12" s="1" a="1"/>
  <c r="N36" i="12" s="1"/>
  <c r="B30" i="12"/>
  <c r="O36" i="12" s="1"/>
  <c r="F29" i="12"/>
  <c r="E29" i="12"/>
  <c r="M35" i="12" s="1"/>
  <c r="N35" i="12" s="1" a="1"/>
  <c r="N35" i="12" s="1"/>
  <c r="B29" i="12"/>
  <c r="O35" i="12" s="1"/>
  <c r="O28" i="12"/>
  <c r="F28" i="12"/>
  <c r="E28" i="12"/>
  <c r="M34" i="12" s="1"/>
  <c r="N34" i="12" s="1" a="1"/>
  <c r="N34" i="12" s="1"/>
  <c r="B28" i="12"/>
  <c r="F27" i="12"/>
  <c r="E27" i="12"/>
  <c r="M33" i="12" s="1"/>
  <c r="N33" i="12" s="1" a="1"/>
  <c r="N33" i="12" s="1"/>
  <c r="B27" i="12"/>
  <c r="O33" i="12" s="1"/>
  <c r="F26" i="12"/>
  <c r="E26" i="12"/>
  <c r="M32" i="12" s="1"/>
  <c r="N32" i="12" s="1" a="1"/>
  <c r="N32" i="12" s="1"/>
  <c r="B26" i="12"/>
  <c r="O32" i="12" s="1"/>
  <c r="O25" i="12"/>
  <c r="F25" i="12"/>
  <c r="E25" i="12"/>
  <c r="M31" i="12" s="1"/>
  <c r="N31" i="12" s="1" a="1"/>
  <c r="N31" i="12" s="1"/>
  <c r="B25" i="12"/>
  <c r="O31" i="12" s="1"/>
  <c r="F24" i="12"/>
  <c r="E24" i="12"/>
  <c r="M30" i="12" s="1"/>
  <c r="N30" i="12" s="1" a="1"/>
  <c r="N30" i="12" s="1"/>
  <c r="B24" i="12"/>
  <c r="F23" i="12"/>
  <c r="E23" i="12"/>
  <c r="M29" i="12" s="1"/>
  <c r="N29" i="12" s="1" a="1"/>
  <c r="N29" i="12" s="1"/>
  <c r="B23" i="12"/>
  <c r="O29" i="12" s="1"/>
  <c r="F22" i="12"/>
  <c r="E22" i="12"/>
  <c r="M28" i="12" s="1"/>
  <c r="N28" i="12" s="1" a="1"/>
  <c r="N28" i="12" s="1"/>
  <c r="B22" i="12"/>
  <c r="F21" i="12"/>
  <c r="E21" i="12"/>
  <c r="M27" i="12" s="1"/>
  <c r="N27" i="12" s="1" a="1"/>
  <c r="N27" i="12" s="1"/>
  <c r="B21" i="12"/>
  <c r="O27" i="12" s="1"/>
  <c r="F20" i="12"/>
  <c r="E20" i="12"/>
  <c r="M26" i="12" s="1"/>
  <c r="N26" i="12" s="1" a="1"/>
  <c r="N26" i="12" s="1"/>
  <c r="B20" i="12"/>
  <c r="O26" i="12" s="1"/>
  <c r="M19" i="12"/>
  <c r="N19" i="12" s="1" a="1"/>
  <c r="N19" i="12" s="1"/>
  <c r="F19" i="12"/>
  <c r="E19" i="12"/>
  <c r="M25" i="12" s="1"/>
  <c r="N25" i="12" s="1" a="1"/>
  <c r="N25" i="12" s="1"/>
  <c r="B19" i="12"/>
  <c r="F18" i="12"/>
  <c r="E18" i="12"/>
  <c r="M24" i="12" s="1"/>
  <c r="N24" i="12" s="1" a="1"/>
  <c r="N24" i="12" s="1"/>
  <c r="B18" i="12"/>
  <c r="O24" i="12" s="1"/>
  <c r="F17" i="12"/>
  <c r="E17" i="12"/>
  <c r="M23" i="12" s="1"/>
  <c r="N23" i="12" s="1" a="1"/>
  <c r="N23" i="12" s="1"/>
  <c r="B17" i="12"/>
  <c r="O23" i="12" s="1"/>
  <c r="F16" i="12"/>
  <c r="E16" i="12"/>
  <c r="M22" i="12" s="1"/>
  <c r="N22" i="12" s="1" a="1"/>
  <c r="N22" i="12" s="1"/>
  <c r="B16" i="12"/>
  <c r="O22" i="12" s="1"/>
  <c r="F15" i="12"/>
  <c r="E15" i="12"/>
  <c r="M21" i="12" s="1"/>
  <c r="N21" i="12" s="1" a="1"/>
  <c r="N21" i="12" s="1"/>
  <c r="B15" i="12"/>
  <c r="O21" i="12" s="1"/>
  <c r="F14" i="12"/>
  <c r="E14" i="12"/>
  <c r="M20" i="12" s="1"/>
  <c r="N20" i="12" s="1" a="1"/>
  <c r="N20" i="12" s="1"/>
  <c r="B14" i="12"/>
  <c r="O20" i="12" s="1"/>
  <c r="F13" i="12"/>
  <c r="E13" i="12"/>
  <c r="B13" i="12"/>
  <c r="O19" i="12" s="1"/>
  <c r="F12" i="12"/>
  <c r="E12" i="12"/>
  <c r="M18" i="12" s="1"/>
  <c r="N18" i="12" s="1" a="1"/>
  <c r="N18" i="12" s="1"/>
  <c r="B12" i="12"/>
  <c r="O18" i="12" s="1"/>
  <c r="N11" i="12"/>
  <c r="F11" i="12"/>
  <c r="E11" i="12"/>
  <c r="M17" i="12" s="1"/>
  <c r="N17" i="12" s="1" a="1"/>
  <c r="N17" i="12" s="1"/>
  <c r="B11" i="12"/>
  <c r="O17" i="12" s="1"/>
  <c r="F10" i="12"/>
  <c r="E10" i="12"/>
  <c r="M16" i="12" s="1"/>
  <c r="N16" i="12" s="1" a="1"/>
  <c r="N16" i="12" s="1"/>
  <c r="B10" i="12"/>
  <c r="O16" i="12" s="1"/>
  <c r="F9" i="12"/>
  <c r="E9" i="12"/>
  <c r="M15" i="12" s="1"/>
  <c r="N15" i="12" s="1" a="1"/>
  <c r="N15" i="12" s="1"/>
  <c r="B9" i="12"/>
  <c r="O15" i="12" s="1"/>
  <c r="F8" i="12"/>
  <c r="E8" i="12"/>
  <c r="M14" i="12" s="1"/>
  <c r="N14" i="12" s="1" a="1"/>
  <c r="N14" i="12" s="1"/>
  <c r="B8" i="12"/>
  <c r="O14" i="12" s="1"/>
  <c r="F7" i="12"/>
  <c r="E7" i="12"/>
  <c r="M13" i="12" s="1"/>
  <c r="N13" i="12" s="1" a="1"/>
  <c r="N13" i="12" s="1"/>
  <c r="B7" i="12"/>
  <c r="O13" i="12" s="1"/>
  <c r="F6" i="12"/>
  <c r="E6" i="12"/>
  <c r="M12" i="12" s="1"/>
  <c r="N12" i="12" s="1" a="1"/>
  <c r="N12" i="12" s="1"/>
  <c r="B6" i="12"/>
  <c r="O12" i="12" s="1"/>
  <c r="F5" i="12"/>
  <c r="E5" i="12"/>
  <c r="M11" i="12" s="1"/>
  <c r="N11" i="12" s="1" a="1"/>
  <c r="B5" i="12"/>
  <c r="O11" i="12" s="1"/>
  <c r="F4" i="12"/>
  <c r="E4" i="12"/>
  <c r="M10" i="12" s="1"/>
  <c r="N10" i="12" s="1" a="1"/>
  <c r="N10" i="12" s="1"/>
  <c r="B4" i="12"/>
  <c r="O10" i="12" s="1"/>
  <c r="F3" i="12"/>
  <c r="E3" i="12"/>
  <c r="M9" i="12" s="1"/>
  <c r="N9" i="12" s="1" a="1"/>
  <c r="N9" i="12" s="1"/>
  <c r="B3" i="12"/>
  <c r="O9" i="12" s="1"/>
  <c r="F122" i="16"/>
  <c r="E122" i="16"/>
  <c r="M128" i="16" s="1"/>
  <c r="N128" i="16" s="1" a="1"/>
  <c r="N128" i="16" s="1"/>
  <c r="B122" i="16"/>
  <c r="O128" i="16" s="1"/>
  <c r="F121" i="16"/>
  <c r="E121" i="16"/>
  <c r="M127" i="16" s="1"/>
  <c r="N127" i="16" s="1" a="1"/>
  <c r="N127" i="16" s="1"/>
  <c r="B121" i="16"/>
  <c r="O127" i="16" s="1"/>
  <c r="F120" i="16"/>
  <c r="E120" i="16"/>
  <c r="M126" i="16" s="1"/>
  <c r="N126" i="16" s="1" a="1"/>
  <c r="N126" i="16" s="1"/>
  <c r="B120" i="16"/>
  <c r="O126" i="16" s="1"/>
  <c r="F119" i="16"/>
  <c r="E119" i="16"/>
  <c r="M125" i="16" s="1"/>
  <c r="N125" i="16" s="1" a="1"/>
  <c r="N125" i="16" s="1"/>
  <c r="B119" i="16"/>
  <c r="O125" i="16" s="1"/>
  <c r="F118" i="16"/>
  <c r="E118" i="16"/>
  <c r="M124" i="16" s="1"/>
  <c r="N124" i="16" s="1" a="1"/>
  <c r="N124" i="16" s="1"/>
  <c r="B118" i="16"/>
  <c r="O124" i="16" s="1"/>
  <c r="F117" i="16"/>
  <c r="E117" i="16"/>
  <c r="M123" i="16" s="1"/>
  <c r="N123" i="16" s="1" a="1"/>
  <c r="N123" i="16" s="1"/>
  <c r="B117" i="16"/>
  <c r="O123" i="16" s="1"/>
  <c r="F116" i="16"/>
  <c r="E116" i="16"/>
  <c r="M122" i="16" s="1"/>
  <c r="N122" i="16" s="1" a="1"/>
  <c r="N122" i="16" s="1"/>
  <c r="B116" i="16"/>
  <c r="O122" i="16" s="1"/>
  <c r="F115" i="16"/>
  <c r="E115" i="16"/>
  <c r="M121" i="16" s="1"/>
  <c r="N121" i="16" s="1" a="1"/>
  <c r="N121" i="16" s="1"/>
  <c r="B115" i="16"/>
  <c r="O121" i="16" s="1"/>
  <c r="N114" i="16" a="1"/>
  <c r="N114" i="16" s="1"/>
  <c r="F114" i="16"/>
  <c r="E114" i="16"/>
  <c r="M120" i="16" s="1"/>
  <c r="N120" i="16" s="1" a="1"/>
  <c r="N120" i="16" s="1"/>
  <c r="B114" i="16"/>
  <c r="O120" i="16" s="1"/>
  <c r="F113" i="16"/>
  <c r="E113" i="16"/>
  <c r="M119" i="16" s="1"/>
  <c r="N119" i="16" s="1" a="1"/>
  <c r="N119" i="16" s="1"/>
  <c r="B113" i="16"/>
  <c r="O119" i="16" s="1"/>
  <c r="F112" i="16"/>
  <c r="E112" i="16"/>
  <c r="M118" i="16" s="1"/>
  <c r="N118" i="16" s="1" a="1"/>
  <c r="N118" i="16" s="1"/>
  <c r="B112" i="16"/>
  <c r="O118" i="16" s="1"/>
  <c r="O111" i="16"/>
  <c r="F111" i="16"/>
  <c r="E111" i="16"/>
  <c r="M117" i="16" s="1"/>
  <c r="N117" i="16" s="1" a="1"/>
  <c r="N117" i="16" s="1"/>
  <c r="B111" i="16"/>
  <c r="O117" i="16" s="1"/>
  <c r="F110" i="16"/>
  <c r="E110" i="16"/>
  <c r="M116" i="16" s="1"/>
  <c r="N116" i="16" s="1" a="1"/>
  <c r="N116" i="16" s="1"/>
  <c r="B110" i="16"/>
  <c r="O116" i="16" s="1"/>
  <c r="O109" i="16"/>
  <c r="F109" i="16"/>
  <c r="E109" i="16"/>
  <c r="M115" i="16" s="1"/>
  <c r="N115" i="16" s="1" a="1"/>
  <c r="N115" i="16" s="1"/>
  <c r="B109" i="16"/>
  <c r="O115" i="16" s="1"/>
  <c r="F108" i="16"/>
  <c r="E108" i="16"/>
  <c r="M114" i="16" s="1"/>
  <c r="B108" i="16"/>
  <c r="O114" i="16" s="1"/>
  <c r="F107" i="16"/>
  <c r="E107" i="16"/>
  <c r="M113" i="16" s="1"/>
  <c r="N113" i="16" s="1" a="1"/>
  <c r="N113" i="16" s="1"/>
  <c r="O113" i="16"/>
  <c r="F106" i="16"/>
  <c r="E106" i="16"/>
  <c r="M112" i="16" s="1"/>
  <c r="N112" i="16" s="1" a="1"/>
  <c r="N112" i="16" s="1"/>
  <c r="O112" i="16"/>
  <c r="F105" i="16"/>
  <c r="E105" i="16"/>
  <c r="M111" i="16" s="1"/>
  <c r="N111" i="16" s="1" a="1"/>
  <c r="N111" i="16" s="1"/>
  <c r="O104" i="16"/>
  <c r="F104" i="16"/>
  <c r="E104" i="16"/>
  <c r="M110" i="16" s="1"/>
  <c r="N110" i="16" s="1" a="1"/>
  <c r="N110" i="16" s="1"/>
  <c r="O110" i="16"/>
  <c r="F103" i="16"/>
  <c r="E103" i="16"/>
  <c r="M109" i="16" s="1"/>
  <c r="N109" i="16" s="1" a="1"/>
  <c r="N109" i="16" s="1"/>
  <c r="F102" i="16"/>
  <c r="E102" i="16"/>
  <c r="M108" i="16" s="1"/>
  <c r="N108" i="16" s="1" a="1"/>
  <c r="N108" i="16" s="1"/>
  <c r="O108" i="16"/>
  <c r="F101" i="16"/>
  <c r="E101" i="16"/>
  <c r="M107" i="16" s="1"/>
  <c r="N107" i="16" s="1" a="1"/>
  <c r="N107" i="16" s="1"/>
  <c r="O107" i="16"/>
  <c r="F100" i="16"/>
  <c r="E100" i="16"/>
  <c r="M106" i="16" s="1"/>
  <c r="N106" i="16" s="1" a="1"/>
  <c r="N106" i="16" s="1"/>
  <c r="O106" i="16"/>
  <c r="O99" i="16"/>
  <c r="F99" i="16"/>
  <c r="E99" i="16"/>
  <c r="M105" i="16" s="1"/>
  <c r="N105" i="16" s="1" a="1"/>
  <c r="N105" i="16" s="1"/>
  <c r="O105" i="16"/>
  <c r="F98" i="16"/>
  <c r="E98" i="16"/>
  <c r="M104" i="16" s="1"/>
  <c r="N104" i="16" s="1" a="1"/>
  <c r="N104" i="16" s="1"/>
  <c r="O97" i="16"/>
  <c r="F97" i="16"/>
  <c r="E97" i="16"/>
  <c r="M103" i="16" s="1"/>
  <c r="N103" i="16" s="1" a="1"/>
  <c r="N103" i="16" s="1"/>
  <c r="O103" i="16"/>
  <c r="F96" i="16"/>
  <c r="E96" i="16"/>
  <c r="M102" i="16" s="1"/>
  <c r="N102" i="16" s="1" a="1"/>
  <c r="N102" i="16" s="1"/>
  <c r="O102" i="16"/>
  <c r="F95" i="16"/>
  <c r="E95" i="16"/>
  <c r="M101" i="16" s="1"/>
  <c r="N101" i="16" s="1" a="1"/>
  <c r="N101" i="16" s="1"/>
  <c r="O101" i="16"/>
  <c r="F94" i="16"/>
  <c r="E94" i="16"/>
  <c r="M100" i="16" s="1"/>
  <c r="N100" i="16" s="1" a="1"/>
  <c r="N100" i="16" s="1"/>
  <c r="O100" i="16"/>
  <c r="F93" i="16"/>
  <c r="E93" i="16"/>
  <c r="M99" i="16" s="1"/>
  <c r="N99" i="16" s="1" a="1"/>
  <c r="N99" i="16" s="1"/>
  <c r="O92" i="16"/>
  <c r="F92" i="16"/>
  <c r="E92" i="16"/>
  <c r="M98" i="16" s="1"/>
  <c r="N98" i="16" s="1" a="1"/>
  <c r="N98" i="16" s="1"/>
  <c r="B92" i="16"/>
  <c r="O98" i="16" s="1"/>
  <c r="F91" i="16"/>
  <c r="E91" i="16"/>
  <c r="M97" i="16" s="1"/>
  <c r="N97" i="16" s="1" a="1"/>
  <c r="N97" i="16" s="1"/>
  <c r="B91" i="16"/>
  <c r="F90" i="16"/>
  <c r="E90" i="16"/>
  <c r="M96" i="16" s="1"/>
  <c r="N96" i="16" s="1" a="1"/>
  <c r="N96" i="16" s="1"/>
  <c r="B90" i="16"/>
  <c r="O96" i="16" s="1"/>
  <c r="F89" i="16"/>
  <c r="E89" i="16"/>
  <c r="M95" i="16" s="1"/>
  <c r="N95" i="16" s="1" a="1"/>
  <c r="N95" i="16" s="1"/>
  <c r="B89" i="16"/>
  <c r="O95" i="16" s="1"/>
  <c r="F88" i="16"/>
  <c r="E88" i="16"/>
  <c r="M94" i="16" s="1"/>
  <c r="N94" i="16" s="1" a="1"/>
  <c r="N94" i="16" s="1"/>
  <c r="B88" i="16"/>
  <c r="O94" i="16" s="1"/>
  <c r="F87" i="16"/>
  <c r="E87" i="16"/>
  <c r="M93" i="16" s="1"/>
  <c r="N93" i="16" s="1" a="1"/>
  <c r="N93" i="16" s="1"/>
  <c r="B87" i="16"/>
  <c r="O93" i="16" s="1"/>
  <c r="F86" i="16"/>
  <c r="E86" i="16"/>
  <c r="M92" i="16" s="1"/>
  <c r="N92" i="16" s="1" a="1"/>
  <c r="N92" i="16" s="1"/>
  <c r="B86" i="16"/>
  <c r="O85" i="16"/>
  <c r="F85" i="16"/>
  <c r="E85" i="16"/>
  <c r="M91" i="16" s="1"/>
  <c r="N91" i="16" s="1" a="1"/>
  <c r="N91" i="16" s="1"/>
  <c r="B85" i="16"/>
  <c r="O91" i="16" s="1"/>
  <c r="F84" i="16"/>
  <c r="E84" i="16"/>
  <c r="M90" i="16" s="1"/>
  <c r="N90" i="16" s="1" a="1"/>
  <c r="N90" i="16" s="1"/>
  <c r="B84" i="16"/>
  <c r="O90" i="16" s="1"/>
  <c r="F83" i="16"/>
  <c r="E83" i="16"/>
  <c r="M89" i="16" s="1"/>
  <c r="N89" i="16" s="1" a="1"/>
  <c r="N89" i="16" s="1"/>
  <c r="B83" i="16"/>
  <c r="O89" i="16" s="1"/>
  <c r="F82" i="16"/>
  <c r="E82" i="16"/>
  <c r="M88" i="16" s="1"/>
  <c r="N88" i="16" s="1" a="1"/>
  <c r="N88" i="16" s="1"/>
  <c r="B82" i="16"/>
  <c r="O88" i="16" s="1"/>
  <c r="F81" i="16"/>
  <c r="E81" i="16"/>
  <c r="M87" i="16" s="1"/>
  <c r="N87" i="16" s="1" a="1"/>
  <c r="N87" i="16" s="1"/>
  <c r="B81" i="16"/>
  <c r="O87" i="16" s="1"/>
  <c r="F80" i="16"/>
  <c r="E80" i="16"/>
  <c r="M86" i="16" s="1"/>
  <c r="N86" i="16" s="1" a="1"/>
  <c r="N86" i="16" s="1"/>
  <c r="B80" i="16"/>
  <c r="O86" i="16" s="1"/>
  <c r="F79" i="16"/>
  <c r="E79" i="16"/>
  <c r="M85" i="16" s="1"/>
  <c r="N85" i="16" s="1" a="1"/>
  <c r="N85" i="16" s="1"/>
  <c r="B79" i="16"/>
  <c r="O78" i="16"/>
  <c r="F78" i="16"/>
  <c r="E78" i="16"/>
  <c r="M84" i="16" s="1"/>
  <c r="N84" i="16" s="1" a="1"/>
  <c r="N84" i="16" s="1"/>
  <c r="B78" i="16"/>
  <c r="O84" i="16" s="1"/>
  <c r="F77" i="16"/>
  <c r="E77" i="16"/>
  <c r="M83" i="16" s="1"/>
  <c r="N83" i="16" s="1" a="1"/>
  <c r="N83" i="16" s="1"/>
  <c r="B77" i="16"/>
  <c r="O83" i="16" s="1"/>
  <c r="F76" i="16"/>
  <c r="E76" i="16"/>
  <c r="M82" i="16" s="1"/>
  <c r="N82" i="16" s="1" a="1"/>
  <c r="N82" i="16" s="1"/>
  <c r="B76" i="16"/>
  <c r="O82" i="16" s="1"/>
  <c r="F75" i="16"/>
  <c r="E75" i="16"/>
  <c r="M81" i="16" s="1"/>
  <c r="N81" i="16" s="1" a="1"/>
  <c r="N81" i="16" s="1"/>
  <c r="B75" i="16"/>
  <c r="O81" i="16" s="1"/>
  <c r="F74" i="16"/>
  <c r="E74" i="16"/>
  <c r="M80" i="16" s="1"/>
  <c r="N80" i="16" s="1" a="1"/>
  <c r="N80" i="16" s="1"/>
  <c r="B74" i="16"/>
  <c r="O80" i="16" s="1"/>
  <c r="F73" i="16"/>
  <c r="E73" i="16"/>
  <c r="M79" i="16" s="1"/>
  <c r="N79" i="16" s="1" a="1"/>
  <c r="N79" i="16" s="1"/>
  <c r="B73" i="16"/>
  <c r="O79" i="16" s="1"/>
  <c r="F72" i="16"/>
  <c r="E72" i="16"/>
  <c r="M78" i="16" s="1"/>
  <c r="N78" i="16" s="1" a="1"/>
  <c r="N78" i="16" s="1"/>
  <c r="B72" i="16"/>
  <c r="F71" i="16"/>
  <c r="E71" i="16"/>
  <c r="M77" i="16" s="1"/>
  <c r="N77" i="16" s="1" a="1"/>
  <c r="N77" i="16" s="1"/>
  <c r="B71" i="16"/>
  <c r="O77" i="16" s="1"/>
  <c r="F70" i="16"/>
  <c r="E70" i="16"/>
  <c r="M76" i="16" s="1"/>
  <c r="N76" i="16" s="1" a="1"/>
  <c r="N76" i="16" s="1"/>
  <c r="B70" i="16"/>
  <c r="O76" i="16" s="1"/>
  <c r="F69" i="16"/>
  <c r="E69" i="16"/>
  <c r="M75" i="16" s="1"/>
  <c r="N75" i="16" s="1" a="1"/>
  <c r="N75" i="16" s="1"/>
  <c r="B69" i="16"/>
  <c r="O75" i="16" s="1"/>
  <c r="F68" i="16"/>
  <c r="E68" i="16"/>
  <c r="M74" i="16" s="1"/>
  <c r="N74" i="16" s="1" a="1"/>
  <c r="N74" i="16" s="1"/>
  <c r="B68" i="16"/>
  <c r="O74" i="16" s="1"/>
  <c r="F67" i="16"/>
  <c r="E67" i="16"/>
  <c r="M73" i="16" s="1"/>
  <c r="N73" i="16" s="1" a="1"/>
  <c r="N73" i="16" s="1"/>
  <c r="B67" i="16"/>
  <c r="O73" i="16" s="1"/>
  <c r="F66" i="16"/>
  <c r="E66" i="16"/>
  <c r="M72" i="16" s="1"/>
  <c r="N72" i="16" s="1" a="1"/>
  <c r="N72" i="16" s="1"/>
  <c r="B66" i="16"/>
  <c r="O72" i="16" s="1"/>
  <c r="F65" i="16"/>
  <c r="E65" i="16"/>
  <c r="M71" i="16" s="1"/>
  <c r="N71" i="16" s="1" a="1"/>
  <c r="N71" i="16" s="1"/>
  <c r="B65" i="16"/>
  <c r="O71" i="16" s="1"/>
  <c r="F64" i="16"/>
  <c r="E64" i="16"/>
  <c r="M70" i="16" s="1"/>
  <c r="N70" i="16" s="1" a="1"/>
  <c r="N70" i="16" s="1"/>
  <c r="B64" i="16"/>
  <c r="O70" i="16" s="1"/>
  <c r="F63" i="16"/>
  <c r="E63" i="16"/>
  <c r="M69" i="16" s="1"/>
  <c r="N69" i="16" s="1" a="1"/>
  <c r="N69" i="16" s="1"/>
  <c r="B63" i="16"/>
  <c r="O69" i="16" s="1"/>
  <c r="F62" i="16"/>
  <c r="E62" i="16"/>
  <c r="M68" i="16" s="1"/>
  <c r="N68" i="16" s="1" a="1"/>
  <c r="N68" i="16" s="1"/>
  <c r="B62" i="16"/>
  <c r="O68" i="16" s="1"/>
  <c r="F61" i="16"/>
  <c r="E61" i="16"/>
  <c r="M67" i="16" s="1"/>
  <c r="N67" i="16" s="1" a="1"/>
  <c r="N67" i="16" s="1"/>
  <c r="B61" i="16"/>
  <c r="O67" i="16" s="1"/>
  <c r="F60" i="16"/>
  <c r="E60" i="16"/>
  <c r="M66" i="16" s="1"/>
  <c r="N66" i="16" s="1" a="1"/>
  <c r="N66" i="16" s="1"/>
  <c r="B60" i="16"/>
  <c r="O66" i="16" s="1"/>
  <c r="F59" i="16"/>
  <c r="E59" i="16"/>
  <c r="M65" i="16" s="1"/>
  <c r="N65" i="16" s="1" a="1"/>
  <c r="N65" i="16" s="1"/>
  <c r="B59" i="16"/>
  <c r="O65" i="16" s="1"/>
  <c r="F58" i="16"/>
  <c r="E58" i="16"/>
  <c r="M64" i="16" s="1"/>
  <c r="N64" i="16" s="1" a="1"/>
  <c r="N64" i="16" s="1"/>
  <c r="B58" i="16"/>
  <c r="O64" i="16" s="1"/>
  <c r="F57" i="16"/>
  <c r="E57" i="16"/>
  <c r="M63" i="16" s="1"/>
  <c r="N63" i="16" s="1" a="1"/>
  <c r="N63" i="16" s="1"/>
  <c r="B57" i="16"/>
  <c r="O63" i="16" s="1"/>
  <c r="F56" i="16"/>
  <c r="E56" i="16"/>
  <c r="M62" i="16" s="1"/>
  <c r="N62" i="16" s="1" a="1"/>
  <c r="N62" i="16" s="1"/>
  <c r="B56" i="16"/>
  <c r="O62" i="16" s="1"/>
  <c r="F55" i="16"/>
  <c r="E55" i="16"/>
  <c r="M61" i="16" s="1"/>
  <c r="N61" i="16" s="1" a="1"/>
  <c r="N61" i="16" s="1"/>
  <c r="B55" i="16"/>
  <c r="O61" i="16" s="1"/>
  <c r="F54" i="16"/>
  <c r="E54" i="16"/>
  <c r="M60" i="16" s="1"/>
  <c r="N60" i="16" s="1" a="1"/>
  <c r="N60" i="16" s="1"/>
  <c r="B54" i="16"/>
  <c r="O60" i="16" s="1"/>
  <c r="F53" i="16"/>
  <c r="E53" i="16"/>
  <c r="M59" i="16" s="1"/>
  <c r="N59" i="16" s="1" a="1"/>
  <c r="N59" i="16" s="1"/>
  <c r="B53" i="16"/>
  <c r="O59" i="16" s="1"/>
  <c r="F52" i="16"/>
  <c r="E52" i="16"/>
  <c r="M58" i="16" s="1"/>
  <c r="N58" i="16" s="1" a="1"/>
  <c r="N58" i="16" s="1"/>
  <c r="B52" i="16"/>
  <c r="O58" i="16" s="1"/>
  <c r="F51" i="16"/>
  <c r="E51" i="16"/>
  <c r="M57" i="16" s="1"/>
  <c r="N57" i="16" s="1" a="1"/>
  <c r="N57" i="16" s="1"/>
  <c r="B51" i="16"/>
  <c r="O57" i="16" s="1"/>
  <c r="F50" i="16"/>
  <c r="E50" i="16"/>
  <c r="M56" i="16" s="1"/>
  <c r="N56" i="16" s="1" a="1"/>
  <c r="N56" i="16" s="1"/>
  <c r="B50" i="16"/>
  <c r="O56" i="16" s="1"/>
  <c r="F49" i="16"/>
  <c r="E49" i="16"/>
  <c r="M55" i="16" s="1"/>
  <c r="N55" i="16" s="1" a="1"/>
  <c r="N55" i="16" s="1"/>
  <c r="B49" i="16"/>
  <c r="O55" i="16" s="1"/>
  <c r="F48" i="16"/>
  <c r="E48" i="16"/>
  <c r="M54" i="16" s="1"/>
  <c r="N54" i="16" s="1" a="1"/>
  <c r="N54" i="16" s="1"/>
  <c r="B48" i="16"/>
  <c r="O54" i="16" s="1"/>
  <c r="F47" i="16"/>
  <c r="E47" i="16"/>
  <c r="M53" i="16" s="1"/>
  <c r="N53" i="16" s="1" a="1"/>
  <c r="N53" i="16" s="1"/>
  <c r="B47" i="16"/>
  <c r="O53" i="16" s="1"/>
  <c r="F46" i="16"/>
  <c r="E46" i="16"/>
  <c r="M52" i="16" s="1"/>
  <c r="N52" i="16" s="1" a="1"/>
  <c r="N52" i="16" s="1"/>
  <c r="B46" i="16"/>
  <c r="O52" i="16" s="1"/>
  <c r="F45" i="16"/>
  <c r="E45" i="16"/>
  <c r="M51" i="16" s="1"/>
  <c r="N51" i="16" s="1" a="1"/>
  <c r="N51" i="16" s="1"/>
  <c r="B45" i="16"/>
  <c r="O51" i="16" s="1"/>
  <c r="F44" i="16"/>
  <c r="E44" i="16"/>
  <c r="M50" i="16" s="1"/>
  <c r="N50" i="16" s="1" a="1"/>
  <c r="N50" i="16" s="1"/>
  <c r="B44" i="16"/>
  <c r="O50" i="16" s="1"/>
  <c r="F43" i="16"/>
  <c r="E43" i="16"/>
  <c r="M49" i="16" s="1"/>
  <c r="N49" i="16" s="1" a="1"/>
  <c r="N49" i="16" s="1"/>
  <c r="B43" i="16"/>
  <c r="O49" i="16" s="1"/>
  <c r="F42" i="16"/>
  <c r="E42" i="16"/>
  <c r="M48" i="16" s="1"/>
  <c r="N48" i="16" s="1" a="1"/>
  <c r="N48" i="16" s="1"/>
  <c r="B42" i="16"/>
  <c r="O48" i="16" s="1"/>
  <c r="F41" i="16"/>
  <c r="E41" i="16"/>
  <c r="M47" i="16" s="1"/>
  <c r="N47" i="16" s="1" a="1"/>
  <c r="N47" i="16" s="1"/>
  <c r="B41" i="16"/>
  <c r="O47" i="16" s="1"/>
  <c r="O40" i="16"/>
  <c r="F40" i="16"/>
  <c r="E40" i="16"/>
  <c r="M46" i="16" s="1"/>
  <c r="N46" i="16" s="1" a="1"/>
  <c r="N46" i="16" s="1"/>
  <c r="B40" i="16"/>
  <c r="O46" i="16" s="1"/>
  <c r="F39" i="16"/>
  <c r="E39" i="16"/>
  <c r="M45" i="16" s="1"/>
  <c r="N45" i="16" s="1" a="1"/>
  <c r="N45" i="16" s="1"/>
  <c r="B39" i="16"/>
  <c r="O45" i="16" s="1"/>
  <c r="F38" i="16"/>
  <c r="E38" i="16"/>
  <c r="M44" i="16" s="1"/>
  <c r="N44" i="16" s="1" a="1"/>
  <c r="N44" i="16" s="1"/>
  <c r="B38" i="16"/>
  <c r="O44" i="16" s="1"/>
  <c r="F37" i="16"/>
  <c r="E37" i="16"/>
  <c r="M43" i="16" s="1"/>
  <c r="N43" i="16" s="1" a="1"/>
  <c r="N43" i="16" s="1"/>
  <c r="B37" i="16"/>
  <c r="O43" i="16" s="1"/>
  <c r="F36" i="16"/>
  <c r="E36" i="16"/>
  <c r="M42" i="16" s="1"/>
  <c r="N42" i="16" s="1" a="1"/>
  <c r="N42" i="16" s="1"/>
  <c r="B36" i="16"/>
  <c r="O42" i="16" s="1"/>
  <c r="F35" i="16"/>
  <c r="E35" i="16"/>
  <c r="M41" i="16" s="1"/>
  <c r="N41" i="16" s="1" a="1"/>
  <c r="N41" i="16" s="1"/>
  <c r="B35" i="16"/>
  <c r="O41" i="16" s="1"/>
  <c r="F34" i="16"/>
  <c r="E34" i="16"/>
  <c r="M40" i="16" s="1"/>
  <c r="N40" i="16" s="1" a="1"/>
  <c r="N40" i="16" s="1"/>
  <c r="B34" i="16"/>
  <c r="F33" i="16"/>
  <c r="E33" i="16"/>
  <c r="M39" i="16" s="1"/>
  <c r="N39" i="16" s="1" a="1"/>
  <c r="N39" i="16" s="1"/>
  <c r="B33" i="16"/>
  <c r="O39" i="16" s="1"/>
  <c r="F32" i="16"/>
  <c r="E32" i="16"/>
  <c r="M38" i="16" s="1"/>
  <c r="N38" i="16" s="1" a="1"/>
  <c r="N38" i="16" s="1"/>
  <c r="B32" i="16"/>
  <c r="O38" i="16" s="1"/>
  <c r="F31" i="16"/>
  <c r="E31" i="16"/>
  <c r="M37" i="16" s="1"/>
  <c r="N37" i="16" s="1" a="1"/>
  <c r="N37" i="16" s="1"/>
  <c r="B31" i="16"/>
  <c r="O37" i="16" s="1"/>
  <c r="F30" i="16"/>
  <c r="E30" i="16"/>
  <c r="M36" i="16" s="1"/>
  <c r="N36" i="16" s="1" a="1"/>
  <c r="N36" i="16" s="1"/>
  <c r="B30" i="16"/>
  <c r="O36" i="16" s="1"/>
  <c r="F29" i="16"/>
  <c r="E29" i="16"/>
  <c r="M35" i="16" s="1"/>
  <c r="N35" i="16" s="1" a="1"/>
  <c r="N35" i="16" s="1"/>
  <c r="B29" i="16"/>
  <c r="O35" i="16" s="1"/>
  <c r="F28" i="16"/>
  <c r="E28" i="16"/>
  <c r="M34" i="16" s="1"/>
  <c r="N34" i="16" s="1" a="1"/>
  <c r="N34" i="16" s="1"/>
  <c r="B28" i="16"/>
  <c r="O34" i="16" s="1"/>
  <c r="O27" i="16"/>
  <c r="F27" i="16"/>
  <c r="E27" i="16"/>
  <c r="M33" i="16" s="1"/>
  <c r="N33" i="16" s="1" a="1"/>
  <c r="N33" i="16" s="1"/>
  <c r="B27" i="16"/>
  <c r="O33" i="16" s="1"/>
  <c r="F26" i="16"/>
  <c r="E26" i="16"/>
  <c r="M32" i="16" s="1"/>
  <c r="N32" i="16" s="1" a="1"/>
  <c r="N32" i="16" s="1"/>
  <c r="B26" i="16"/>
  <c r="O32" i="16" s="1"/>
  <c r="O25" i="16"/>
  <c r="F25" i="16"/>
  <c r="E25" i="16"/>
  <c r="M31" i="16" s="1"/>
  <c r="N31" i="16" s="1" a="1"/>
  <c r="N31" i="16" s="1"/>
  <c r="B25" i="16"/>
  <c r="O31" i="16" s="1"/>
  <c r="F24" i="16"/>
  <c r="E24" i="16"/>
  <c r="M30" i="16" s="1"/>
  <c r="N30" i="16" s="1" a="1"/>
  <c r="N30" i="16" s="1"/>
  <c r="B24" i="16"/>
  <c r="O30" i="16" s="1"/>
  <c r="F23" i="16"/>
  <c r="E23" i="16"/>
  <c r="M29" i="16" s="1"/>
  <c r="N29" i="16" s="1" a="1"/>
  <c r="N29" i="16" s="1"/>
  <c r="B23" i="16"/>
  <c r="O29" i="16" s="1"/>
  <c r="F22" i="16"/>
  <c r="E22" i="16"/>
  <c r="M28" i="16" s="1"/>
  <c r="N28" i="16" s="1" a="1"/>
  <c r="N28" i="16" s="1"/>
  <c r="B22" i="16"/>
  <c r="O28" i="16" s="1"/>
  <c r="F21" i="16"/>
  <c r="E21" i="16"/>
  <c r="M27" i="16" s="1"/>
  <c r="N27" i="16" s="1" a="1"/>
  <c r="N27" i="16" s="1"/>
  <c r="B21" i="16"/>
  <c r="F20" i="16"/>
  <c r="E20" i="16"/>
  <c r="M26" i="16" s="1"/>
  <c r="N26" i="16" s="1" a="1"/>
  <c r="N26" i="16" s="1"/>
  <c r="B20" i="16"/>
  <c r="O26" i="16" s="1"/>
  <c r="F19" i="16"/>
  <c r="E19" i="16"/>
  <c r="M25" i="16" s="1"/>
  <c r="N25" i="16" s="1" a="1"/>
  <c r="N25" i="16" s="1"/>
  <c r="B19" i="16"/>
  <c r="F18" i="16"/>
  <c r="E18" i="16"/>
  <c r="M24" i="16" s="1"/>
  <c r="N24" i="16" s="1" a="1"/>
  <c r="N24" i="16" s="1"/>
  <c r="B18" i="16"/>
  <c r="O24" i="16" s="1"/>
  <c r="F17" i="16"/>
  <c r="E17" i="16"/>
  <c r="M23" i="16" s="1"/>
  <c r="N23" i="16" s="1" a="1"/>
  <c r="N23" i="16" s="1"/>
  <c r="B17" i="16"/>
  <c r="O23" i="16" s="1"/>
  <c r="F16" i="16"/>
  <c r="E16" i="16"/>
  <c r="M22" i="16" s="1"/>
  <c r="N22" i="16" s="1" a="1"/>
  <c r="N22" i="16" s="1"/>
  <c r="B16" i="16"/>
  <c r="O22" i="16" s="1"/>
  <c r="F15" i="16"/>
  <c r="E15" i="16"/>
  <c r="M21" i="16" s="1"/>
  <c r="N21" i="16" s="1" a="1"/>
  <c r="N21" i="16" s="1"/>
  <c r="B15" i="16"/>
  <c r="O21" i="16" s="1"/>
  <c r="F14" i="16"/>
  <c r="E14" i="16"/>
  <c r="M20" i="16" s="1"/>
  <c r="N20" i="16" s="1" a="1"/>
  <c r="N20" i="16" s="1"/>
  <c r="B14" i="16"/>
  <c r="O20" i="16" s="1"/>
  <c r="F13" i="16"/>
  <c r="E13" i="16"/>
  <c r="M19" i="16" s="1"/>
  <c r="N19" i="16" s="1" a="1"/>
  <c r="N19" i="16" s="1"/>
  <c r="B13" i="16"/>
  <c r="O19" i="16" s="1"/>
  <c r="F12" i="16"/>
  <c r="E12" i="16"/>
  <c r="M18" i="16" s="1"/>
  <c r="N18" i="16" s="1" a="1"/>
  <c r="N18" i="16" s="1"/>
  <c r="B12" i="16"/>
  <c r="O18" i="16" s="1"/>
  <c r="F11" i="16"/>
  <c r="E11" i="16"/>
  <c r="M17" i="16" s="1"/>
  <c r="N17" i="16" s="1" a="1"/>
  <c r="N17" i="16" s="1"/>
  <c r="B11" i="16"/>
  <c r="O17" i="16" s="1"/>
  <c r="O10" i="16"/>
  <c r="F10" i="16"/>
  <c r="E10" i="16"/>
  <c r="M16" i="16" s="1"/>
  <c r="N16" i="16" s="1" a="1"/>
  <c r="N16" i="16" s="1"/>
  <c r="B10" i="16"/>
  <c r="O16" i="16" s="1"/>
  <c r="F9" i="16"/>
  <c r="E9" i="16"/>
  <c r="M15" i="16" s="1"/>
  <c r="N15" i="16" s="1" a="1"/>
  <c r="N15" i="16" s="1"/>
  <c r="B9" i="16"/>
  <c r="O15" i="16" s="1"/>
  <c r="F8" i="16"/>
  <c r="E8" i="16"/>
  <c r="M14" i="16" s="1"/>
  <c r="N14" i="16" s="1" a="1"/>
  <c r="N14" i="16" s="1"/>
  <c r="B8" i="16"/>
  <c r="O14" i="16" s="1"/>
  <c r="F7" i="16"/>
  <c r="E7" i="16"/>
  <c r="M13" i="16" s="1"/>
  <c r="N13" i="16" s="1" a="1"/>
  <c r="N13" i="16" s="1"/>
  <c r="B7" i="16"/>
  <c r="O13" i="16" s="1"/>
  <c r="F6" i="16"/>
  <c r="E6" i="16"/>
  <c r="M12" i="16" s="1"/>
  <c r="N12" i="16" s="1" a="1"/>
  <c r="N12" i="16" s="1"/>
  <c r="B6" i="16"/>
  <c r="O12" i="16" s="1"/>
  <c r="F5" i="16"/>
  <c r="E5" i="16"/>
  <c r="M11" i="16" s="1"/>
  <c r="N11" i="16" s="1" a="1"/>
  <c r="N11" i="16" s="1"/>
  <c r="B5" i="16"/>
  <c r="O11" i="16" s="1"/>
  <c r="F4" i="16"/>
  <c r="E4" i="16"/>
  <c r="M10" i="16" s="1"/>
  <c r="N10" i="16" s="1" a="1"/>
  <c r="N10" i="16" s="1"/>
  <c r="B4" i="16"/>
  <c r="F3" i="16"/>
  <c r="E3" i="16"/>
  <c r="M9" i="16" s="1"/>
  <c r="N9" i="16" s="1" a="1"/>
  <c r="N9" i="16" s="1"/>
  <c r="B3" i="16"/>
  <c r="O9" i="16" s="1"/>
  <c r="AT10" i="8"/>
  <c r="AM7" i="8"/>
  <c r="AS10" i="8"/>
  <c r="AF7" i="8"/>
  <c r="J16" i="17" l="1"/>
  <c r="M129" i="13"/>
  <c r="N129" i="13" s="1" a="1"/>
  <c r="N129" i="13" s="1"/>
  <c r="O129" i="13" s="1"/>
  <c r="M131" i="14"/>
  <c r="N131" i="14" s="1" a="1"/>
  <c r="N131" i="14" s="1"/>
  <c r="O131" i="14" s="1"/>
  <c r="M130" i="14"/>
  <c r="N130" i="14" s="1" a="1"/>
  <c r="N130" i="14" s="1"/>
  <c r="O130" i="14" s="1"/>
  <c r="M129" i="14"/>
  <c r="N129" i="14" s="1" a="1"/>
  <c r="N129" i="14" s="1"/>
  <c r="O129" i="14" s="1"/>
  <c r="M131" i="15"/>
  <c r="N131" i="15" s="1" a="1"/>
  <c r="N131" i="15" s="1"/>
  <c r="O131" i="15" s="1"/>
  <c r="M129" i="15"/>
  <c r="N129" i="15" s="1" a="1"/>
  <c r="N129" i="15" s="1"/>
  <c r="O129" i="15" s="1"/>
  <c r="M130" i="15"/>
  <c r="N130" i="15" s="1" a="1"/>
  <c r="N130" i="15" s="1"/>
  <c r="O130" i="15" s="1"/>
  <c r="M130" i="13"/>
  <c r="N130" i="13" s="1" a="1"/>
  <c r="N130" i="13" s="1"/>
  <c r="O130" i="13" s="1"/>
  <c r="M131" i="13"/>
  <c r="N131" i="13" s="1" a="1"/>
  <c r="N131" i="13" s="1"/>
  <c r="O131" i="13" s="1"/>
  <c r="M131" i="12"/>
  <c r="N131" i="12" s="1" a="1"/>
  <c r="N131" i="12" s="1"/>
  <c r="O131" i="12" s="1"/>
  <c r="M130" i="12"/>
  <c r="N130" i="12" s="1" a="1"/>
  <c r="N130" i="12" s="1"/>
  <c r="O130" i="12" s="1"/>
  <c r="M129" i="12"/>
  <c r="N129" i="12" s="1" a="1"/>
  <c r="N129" i="12" s="1"/>
  <c r="O129" i="12" s="1"/>
  <c r="M131" i="16"/>
  <c r="N131" i="16" s="1" a="1"/>
  <c r="N131" i="16" s="1"/>
  <c r="O131" i="16" s="1"/>
  <c r="M130" i="16"/>
  <c r="N130" i="16" s="1" a="1"/>
  <c r="N130" i="16" s="1"/>
  <c r="O130" i="16" s="1"/>
  <c r="M129" i="16"/>
  <c r="N129" i="16" s="1" a="1"/>
  <c r="N129" i="16" s="1"/>
  <c r="O129" i="16" s="1"/>
  <c r="O13" i="3"/>
  <c r="AB3" i="11"/>
  <c r="AB2" i="11"/>
  <c r="O128" i="11"/>
  <c r="N128" i="11" a="1"/>
  <c r="N128" i="11" s="1"/>
  <c r="M128" i="11"/>
  <c r="O127" i="11"/>
  <c r="N127" i="11" a="1"/>
  <c r="N127" i="11" s="1"/>
  <c r="M127" i="11"/>
  <c r="O126" i="11"/>
  <c r="N126" i="11" a="1"/>
  <c r="N126" i="11" s="1"/>
  <c r="M126" i="11"/>
  <c r="O125" i="11"/>
  <c r="N125" i="11" a="1"/>
  <c r="N125" i="11" s="1"/>
  <c r="M125" i="11"/>
  <c r="O124" i="11"/>
  <c r="N124" i="11" a="1"/>
  <c r="N124" i="11" s="1"/>
  <c r="M124" i="11"/>
  <c r="O123" i="11"/>
  <c r="N123" i="11" a="1"/>
  <c r="N123" i="11" s="1"/>
  <c r="M123" i="11"/>
  <c r="O122" i="11"/>
  <c r="N122" i="11" a="1"/>
  <c r="N122" i="11" s="1"/>
  <c r="M122" i="11"/>
  <c r="O121" i="11"/>
  <c r="N121" i="11" a="1"/>
  <c r="N121" i="11" s="1"/>
  <c r="M121" i="11"/>
  <c r="O120" i="11"/>
  <c r="N120" i="11" a="1"/>
  <c r="N120" i="11" s="1"/>
  <c r="M120" i="11"/>
  <c r="O119" i="11"/>
  <c r="N119" i="11" a="1"/>
  <c r="N119" i="11" s="1"/>
  <c r="M119" i="11"/>
  <c r="O118" i="11"/>
  <c r="N118" i="11" a="1"/>
  <c r="N118" i="11" s="1"/>
  <c r="M118" i="11"/>
  <c r="O117" i="11"/>
  <c r="N117" i="11" a="1"/>
  <c r="N117" i="11" s="1"/>
  <c r="M117" i="11"/>
  <c r="O116" i="11"/>
  <c r="N116" i="11" a="1"/>
  <c r="N116" i="11" s="1"/>
  <c r="M116" i="11"/>
  <c r="O115" i="11"/>
  <c r="N115" i="11" a="1"/>
  <c r="N115" i="11" s="1"/>
  <c r="M115" i="11"/>
  <c r="O114" i="11"/>
  <c r="N114" i="11" a="1"/>
  <c r="N114" i="11" s="1"/>
  <c r="M114" i="11"/>
  <c r="O113" i="11"/>
  <c r="N113" i="11" a="1"/>
  <c r="N113" i="11" s="1"/>
  <c r="M113" i="11"/>
  <c r="O112" i="11"/>
  <c r="N112" i="11" a="1"/>
  <c r="N112" i="11" s="1"/>
  <c r="M112" i="11"/>
  <c r="O111" i="11"/>
  <c r="N111" i="11" a="1"/>
  <c r="N111" i="11" s="1"/>
  <c r="M111" i="11"/>
  <c r="O110" i="11"/>
  <c r="N110" i="11" a="1"/>
  <c r="N110" i="11" s="1"/>
  <c r="M110" i="11"/>
  <c r="O109" i="11"/>
  <c r="N109" i="11" a="1"/>
  <c r="N109" i="11" s="1"/>
  <c r="M109" i="11"/>
  <c r="O108" i="11"/>
  <c r="N108" i="11" a="1"/>
  <c r="N108" i="11" s="1"/>
  <c r="M108" i="11"/>
  <c r="O107" i="11"/>
  <c r="N107" i="11" a="1"/>
  <c r="N107" i="11" s="1"/>
  <c r="M107" i="11"/>
  <c r="O106" i="11"/>
  <c r="N106" i="11" a="1"/>
  <c r="N106" i="11" s="1"/>
  <c r="M106" i="11"/>
  <c r="O105" i="11"/>
  <c r="N105" i="11" a="1"/>
  <c r="N105" i="11" s="1"/>
  <c r="M105" i="11"/>
  <c r="O104" i="11"/>
  <c r="N104" i="11" a="1"/>
  <c r="N104" i="11" s="1"/>
  <c r="M104" i="11"/>
  <c r="O103" i="11"/>
  <c r="N103" i="11" a="1"/>
  <c r="N103" i="11" s="1"/>
  <c r="M103" i="11"/>
  <c r="O102" i="11"/>
  <c r="N102" i="11" a="1"/>
  <c r="N102" i="11" s="1"/>
  <c r="M102" i="11"/>
  <c r="O101" i="11"/>
  <c r="N101" i="11" a="1"/>
  <c r="N101" i="11" s="1"/>
  <c r="M101" i="11"/>
  <c r="O100" i="11"/>
  <c r="N100" i="11" a="1"/>
  <c r="N100" i="11" s="1"/>
  <c r="M100" i="11"/>
  <c r="O99" i="11"/>
  <c r="N99" i="11" a="1"/>
  <c r="N99" i="11" s="1"/>
  <c r="M99" i="11"/>
  <c r="O98" i="11"/>
  <c r="N98" i="11" a="1"/>
  <c r="N98" i="11" s="1"/>
  <c r="M98" i="11"/>
  <c r="O97" i="11"/>
  <c r="N97" i="11" a="1"/>
  <c r="N97" i="11" s="1"/>
  <c r="M97" i="11"/>
  <c r="O96" i="11"/>
  <c r="N96" i="11" a="1"/>
  <c r="N96" i="11" s="1"/>
  <c r="M96" i="11"/>
  <c r="O95" i="11"/>
  <c r="N95" i="11" a="1"/>
  <c r="N95" i="11" s="1"/>
  <c r="M95" i="11"/>
  <c r="O94" i="11"/>
  <c r="N94" i="11" a="1"/>
  <c r="N94" i="11" s="1"/>
  <c r="M94" i="11"/>
  <c r="O93" i="11"/>
  <c r="N93" i="11" a="1"/>
  <c r="N93" i="11" s="1"/>
  <c r="M93" i="11"/>
  <c r="O92" i="11"/>
  <c r="N92" i="11" a="1"/>
  <c r="N92" i="11" s="1"/>
  <c r="M92" i="11"/>
  <c r="O91" i="11"/>
  <c r="N91" i="11" a="1"/>
  <c r="N91" i="11" s="1"/>
  <c r="M91" i="11"/>
  <c r="O90" i="11"/>
  <c r="N90" i="11" a="1"/>
  <c r="N90" i="11" s="1"/>
  <c r="M90" i="11"/>
  <c r="O89" i="11"/>
  <c r="N89" i="11" a="1"/>
  <c r="N89" i="11" s="1"/>
  <c r="M89" i="11"/>
  <c r="O88" i="11"/>
  <c r="N88" i="11" a="1"/>
  <c r="N88" i="11" s="1"/>
  <c r="M88" i="11"/>
  <c r="O87" i="11"/>
  <c r="N87" i="11" a="1"/>
  <c r="N87" i="11" s="1"/>
  <c r="M87" i="11"/>
  <c r="O86" i="11"/>
  <c r="N86" i="11" a="1"/>
  <c r="N86" i="11" s="1"/>
  <c r="M86" i="11"/>
  <c r="O85" i="11"/>
  <c r="N85" i="11" a="1"/>
  <c r="N85" i="11" s="1"/>
  <c r="M85" i="11"/>
  <c r="O84" i="11"/>
  <c r="N84" i="11" a="1"/>
  <c r="N84" i="11" s="1"/>
  <c r="M84" i="11"/>
  <c r="O83" i="11"/>
  <c r="N83" i="11" a="1"/>
  <c r="N83" i="11" s="1"/>
  <c r="M83" i="11"/>
  <c r="O82" i="11"/>
  <c r="N82" i="11" a="1"/>
  <c r="N82" i="11" s="1"/>
  <c r="M82" i="11"/>
  <c r="O81" i="11"/>
  <c r="N81" i="11" a="1"/>
  <c r="N81" i="11" s="1"/>
  <c r="M81" i="11"/>
  <c r="O80" i="11"/>
  <c r="N80" i="11" a="1"/>
  <c r="N80" i="11" s="1"/>
  <c r="M80" i="11"/>
  <c r="O79" i="11"/>
  <c r="N79" i="11" a="1"/>
  <c r="N79" i="11" s="1"/>
  <c r="M79" i="11"/>
  <c r="O78" i="11"/>
  <c r="N78" i="11" a="1"/>
  <c r="N78" i="11" s="1"/>
  <c r="M78" i="11"/>
  <c r="O77" i="11"/>
  <c r="N77" i="11" a="1"/>
  <c r="N77" i="11" s="1"/>
  <c r="M77" i="11"/>
  <c r="O76" i="11"/>
  <c r="N76" i="11" a="1"/>
  <c r="N76" i="11" s="1"/>
  <c r="M76" i="11"/>
  <c r="O75" i="11"/>
  <c r="N75" i="11" a="1"/>
  <c r="N75" i="11" s="1"/>
  <c r="M75" i="11"/>
  <c r="O74" i="11"/>
  <c r="N74" i="11" a="1"/>
  <c r="N74" i="11" s="1"/>
  <c r="M74" i="11"/>
  <c r="O73" i="11"/>
  <c r="N73" i="11" a="1"/>
  <c r="N73" i="11" s="1"/>
  <c r="M73" i="11"/>
  <c r="O72" i="11"/>
  <c r="N72" i="11" a="1"/>
  <c r="N72" i="11" s="1"/>
  <c r="M72" i="11"/>
  <c r="O71" i="11"/>
  <c r="N71" i="11" a="1"/>
  <c r="N71" i="11" s="1"/>
  <c r="M71" i="11"/>
  <c r="O70" i="11"/>
  <c r="N70" i="11" a="1"/>
  <c r="N70" i="11" s="1"/>
  <c r="M70" i="11"/>
  <c r="O69" i="11"/>
  <c r="N69" i="11" a="1"/>
  <c r="N69" i="11" s="1"/>
  <c r="M69" i="11"/>
  <c r="O68" i="11"/>
  <c r="N68" i="11" a="1"/>
  <c r="N68" i="11" s="1"/>
  <c r="M68" i="11"/>
  <c r="O67" i="11"/>
  <c r="N67" i="11" a="1"/>
  <c r="N67" i="11" s="1"/>
  <c r="M67" i="11"/>
  <c r="O66" i="11"/>
  <c r="N66" i="11" a="1"/>
  <c r="N66" i="11" s="1"/>
  <c r="M66" i="11"/>
  <c r="O65" i="11"/>
  <c r="N65" i="11" a="1"/>
  <c r="N65" i="11" s="1"/>
  <c r="M65" i="11"/>
  <c r="O64" i="11"/>
  <c r="N64" i="11" a="1"/>
  <c r="N64" i="11" s="1"/>
  <c r="M64" i="11"/>
  <c r="O63" i="11"/>
  <c r="N63" i="11" a="1"/>
  <c r="N63" i="11" s="1"/>
  <c r="M63" i="11"/>
  <c r="O62" i="11"/>
  <c r="N62" i="11" a="1"/>
  <c r="N62" i="11" s="1"/>
  <c r="M62" i="11"/>
  <c r="O61" i="11"/>
  <c r="N61" i="11" a="1"/>
  <c r="N61" i="11" s="1"/>
  <c r="M61" i="11"/>
  <c r="O60" i="11"/>
  <c r="N60" i="11" a="1"/>
  <c r="N60" i="11" s="1"/>
  <c r="M60" i="11"/>
  <c r="O59" i="11"/>
  <c r="N59" i="11" a="1"/>
  <c r="N59" i="11" s="1"/>
  <c r="M59" i="11"/>
  <c r="O58" i="11"/>
  <c r="N58" i="11" a="1"/>
  <c r="N58" i="11" s="1"/>
  <c r="M58" i="11"/>
  <c r="O57" i="11"/>
  <c r="N57" i="11" a="1"/>
  <c r="N57" i="11" s="1"/>
  <c r="M57" i="11"/>
  <c r="O56" i="11"/>
  <c r="N56" i="11" a="1"/>
  <c r="N56" i="11" s="1"/>
  <c r="M56" i="11"/>
  <c r="O55" i="11"/>
  <c r="N55" i="11" a="1"/>
  <c r="N55" i="11" s="1"/>
  <c r="M55" i="11"/>
  <c r="O54" i="11"/>
  <c r="N54" i="11" a="1"/>
  <c r="N54" i="11" s="1"/>
  <c r="M54" i="11"/>
  <c r="O53" i="11"/>
  <c r="N53" i="11" a="1"/>
  <c r="N53" i="11" s="1"/>
  <c r="M53" i="11"/>
  <c r="O52" i="11"/>
  <c r="N52" i="11" a="1"/>
  <c r="N52" i="11" s="1"/>
  <c r="M52" i="11"/>
  <c r="O51" i="11"/>
  <c r="N51" i="11" a="1"/>
  <c r="N51" i="11" s="1"/>
  <c r="M51" i="11"/>
  <c r="O50" i="11"/>
  <c r="N50" i="11" a="1"/>
  <c r="N50" i="11" s="1"/>
  <c r="M50" i="11"/>
  <c r="O49" i="11"/>
  <c r="N49" i="11" a="1"/>
  <c r="N49" i="11" s="1"/>
  <c r="M49" i="11"/>
  <c r="O48" i="11"/>
  <c r="N48" i="11" a="1"/>
  <c r="N48" i="11" s="1"/>
  <c r="M48" i="11"/>
  <c r="O47" i="11"/>
  <c r="N47" i="11" a="1"/>
  <c r="N47" i="11" s="1"/>
  <c r="M47" i="11"/>
  <c r="O46" i="11"/>
  <c r="N46" i="11" a="1"/>
  <c r="N46" i="11" s="1"/>
  <c r="M46" i="11"/>
  <c r="O45" i="11"/>
  <c r="N45" i="11" a="1"/>
  <c r="N45" i="11" s="1"/>
  <c r="M45" i="11"/>
  <c r="O44" i="11"/>
  <c r="N44" i="11" a="1"/>
  <c r="N44" i="11" s="1"/>
  <c r="M44" i="11"/>
  <c r="O43" i="11"/>
  <c r="N43" i="11" a="1"/>
  <c r="N43" i="11" s="1"/>
  <c r="M43" i="11"/>
  <c r="O42" i="11"/>
  <c r="N42" i="11" a="1"/>
  <c r="N42" i="11" s="1"/>
  <c r="M42" i="11"/>
  <c r="O41" i="11"/>
  <c r="N41" i="11" a="1"/>
  <c r="N41" i="11" s="1"/>
  <c r="M41" i="11"/>
  <c r="O40" i="11"/>
  <c r="N40" i="11" a="1"/>
  <c r="N40" i="11" s="1"/>
  <c r="M40" i="11"/>
  <c r="O39" i="11"/>
  <c r="N39" i="11" a="1"/>
  <c r="N39" i="11" s="1"/>
  <c r="M39" i="11"/>
  <c r="O38" i="11"/>
  <c r="N38" i="11" a="1"/>
  <c r="N38" i="11" s="1"/>
  <c r="M38" i="11"/>
  <c r="O37" i="11"/>
  <c r="N37" i="11" a="1"/>
  <c r="N37" i="11" s="1"/>
  <c r="M37" i="11"/>
  <c r="O36" i="11"/>
  <c r="N36" i="11" a="1"/>
  <c r="N36" i="11" s="1"/>
  <c r="M36" i="11"/>
  <c r="O35" i="11"/>
  <c r="N35" i="11" a="1"/>
  <c r="N35" i="11" s="1"/>
  <c r="M35" i="11"/>
  <c r="O34" i="11"/>
  <c r="N34" i="11" a="1"/>
  <c r="N34" i="11" s="1"/>
  <c r="M34" i="11"/>
  <c r="O33" i="11"/>
  <c r="N33" i="11" a="1"/>
  <c r="N33" i="11" s="1"/>
  <c r="M33" i="11"/>
  <c r="O32" i="11"/>
  <c r="N32" i="11" a="1"/>
  <c r="N32" i="11" s="1"/>
  <c r="M32" i="11"/>
  <c r="O31" i="11"/>
  <c r="N31" i="11" a="1"/>
  <c r="N31" i="11" s="1"/>
  <c r="M31" i="11"/>
  <c r="O30" i="11"/>
  <c r="N30" i="11" a="1"/>
  <c r="N30" i="11" s="1"/>
  <c r="M30" i="11"/>
  <c r="O29" i="11"/>
  <c r="N29" i="11" a="1"/>
  <c r="N29" i="11" s="1"/>
  <c r="M29" i="11"/>
  <c r="O28" i="11"/>
  <c r="N28" i="11" a="1"/>
  <c r="N28" i="11" s="1"/>
  <c r="M28" i="11"/>
  <c r="O27" i="11"/>
  <c r="N27" i="11" a="1"/>
  <c r="N27" i="11" s="1"/>
  <c r="M27" i="11"/>
  <c r="O26" i="11"/>
  <c r="N26" i="11" a="1"/>
  <c r="N26" i="11" s="1"/>
  <c r="M26" i="11"/>
  <c r="O25" i="11"/>
  <c r="N25" i="11" a="1"/>
  <c r="N25" i="11" s="1"/>
  <c r="M25" i="11"/>
  <c r="O24" i="11"/>
  <c r="N24" i="11" a="1"/>
  <c r="N24" i="11" s="1"/>
  <c r="M24" i="11"/>
  <c r="O23" i="11"/>
  <c r="N23" i="11" a="1"/>
  <c r="N23" i="11" s="1"/>
  <c r="M23" i="11"/>
  <c r="O22" i="11"/>
  <c r="N22" i="11" a="1"/>
  <c r="N22" i="11" s="1"/>
  <c r="M22" i="11"/>
  <c r="O21" i="11"/>
  <c r="N21" i="11" a="1"/>
  <c r="N21" i="11" s="1"/>
  <c r="M21" i="11"/>
  <c r="O20" i="11"/>
  <c r="N20" i="11" a="1"/>
  <c r="N20" i="11" s="1"/>
  <c r="M20" i="11"/>
  <c r="O19" i="11"/>
  <c r="N19" i="11" a="1"/>
  <c r="N19" i="11" s="1"/>
  <c r="M19" i="11"/>
  <c r="O18" i="11"/>
  <c r="N18" i="11" a="1"/>
  <c r="N18" i="11" s="1"/>
  <c r="M18" i="11"/>
  <c r="O17" i="11"/>
  <c r="N17" i="11" a="1"/>
  <c r="N17" i="11" s="1"/>
  <c r="M17" i="11"/>
  <c r="O16" i="11"/>
  <c r="N16" i="11" a="1"/>
  <c r="N16" i="11" s="1"/>
  <c r="M16" i="11"/>
  <c r="O15" i="11"/>
  <c r="N15" i="11" a="1"/>
  <c r="N15" i="11" s="1"/>
  <c r="M15" i="11"/>
  <c r="O14" i="11"/>
  <c r="N14" i="11" a="1"/>
  <c r="N14" i="11" s="1"/>
  <c r="M14" i="11"/>
  <c r="O13" i="11"/>
  <c r="N13" i="11" a="1"/>
  <c r="N13" i="11" s="1"/>
  <c r="M13" i="11"/>
  <c r="O12" i="11"/>
  <c r="N12" i="11" a="1"/>
  <c r="N12" i="11" s="1"/>
  <c r="M12" i="11"/>
  <c r="O11" i="11"/>
  <c r="N11" i="11" a="1"/>
  <c r="N11" i="11" s="1"/>
  <c r="M11" i="11"/>
  <c r="O10" i="11"/>
  <c r="N10" i="11" a="1"/>
  <c r="N10" i="11" s="1"/>
  <c r="M10" i="11"/>
  <c r="O9" i="11"/>
  <c r="N9" i="11" a="1"/>
  <c r="N9" i="11" s="1"/>
  <c r="M9" i="11"/>
  <c r="M131" i="11" l="1"/>
  <c r="N131" i="11" s="1" a="1"/>
  <c r="N131" i="11" s="1"/>
  <c r="O131" i="11" s="1"/>
  <c r="M130" i="11"/>
  <c r="N130" i="11" s="1" a="1"/>
  <c r="N130" i="11" s="1"/>
  <c r="O130" i="11" s="1"/>
  <c r="M129" i="11"/>
  <c r="N129" i="11" s="1" a="1"/>
  <c r="N129" i="11" s="1"/>
  <c r="O129" i="11" s="1"/>
  <c r="B99" i="11" l="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7" i="11" l="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4" i="11"/>
  <c r="F5" i="11"/>
  <c r="F6" i="11"/>
  <c r="F3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4" i="11"/>
  <c r="E5" i="11"/>
  <c r="E6" i="11"/>
  <c r="E3" i="11"/>
  <c r="B4" i="11"/>
  <c r="B5" i="11"/>
  <c r="B6" i="11"/>
  <c r="B3" i="11"/>
  <c r="O10" i="10" l="1"/>
  <c r="O11" i="10"/>
  <c r="O12" i="10"/>
  <c r="O13" i="10"/>
  <c r="O14" i="10"/>
  <c r="O15" i="10"/>
  <c r="O16" i="10"/>
  <c r="O17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9" i="10"/>
  <c r="O10" i="3"/>
  <c r="O11" i="3"/>
  <c r="O12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9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AL7" i="8"/>
  <c r="AG7" i="8"/>
  <c r="AV10" i="8"/>
  <c r="AW10" i="8" l="1"/>
  <c r="O18" i="10"/>
  <c r="F3" i="10" l="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AB3" i="3" l="1"/>
  <c r="AB2" i="3"/>
  <c r="AB3" i="10"/>
  <c r="AB2" i="10"/>
  <c r="E98" i="10"/>
  <c r="M104" i="10" s="1"/>
  <c r="N104" i="10" s="1" a="1"/>
  <c r="N104" i="10" s="1"/>
  <c r="E97" i="10"/>
  <c r="M103" i="10" s="1"/>
  <c r="N103" i="10" s="1" a="1"/>
  <c r="N103" i="10" s="1"/>
  <c r="E96" i="10"/>
  <c r="M102" i="10" s="1"/>
  <c r="N102" i="10" s="1" a="1"/>
  <c r="N102" i="10" s="1"/>
  <c r="E95" i="10"/>
  <c r="M101" i="10" s="1"/>
  <c r="N101" i="10" s="1" a="1"/>
  <c r="N101" i="10" s="1"/>
  <c r="E94" i="10"/>
  <c r="M100" i="10" s="1"/>
  <c r="N100" i="10" s="1" a="1"/>
  <c r="N100" i="10" s="1"/>
  <c r="E93" i="10"/>
  <c r="M99" i="10" s="1"/>
  <c r="N99" i="10" s="1" a="1"/>
  <c r="N99" i="10" s="1"/>
  <c r="E92" i="10"/>
  <c r="M98" i="10" s="1"/>
  <c r="N98" i="10" s="1" a="1"/>
  <c r="N98" i="10" s="1"/>
  <c r="E91" i="10"/>
  <c r="M97" i="10" s="1"/>
  <c r="N97" i="10" s="1" a="1"/>
  <c r="N97" i="10" s="1"/>
  <c r="E90" i="10"/>
  <c r="M96" i="10" s="1"/>
  <c r="N96" i="10" s="1" a="1"/>
  <c r="N96" i="10" s="1"/>
  <c r="E89" i="10"/>
  <c r="M95" i="10" s="1"/>
  <c r="N95" i="10" s="1" a="1"/>
  <c r="N95" i="10" s="1"/>
  <c r="E88" i="10"/>
  <c r="M94" i="10" s="1"/>
  <c r="N94" i="10" s="1" a="1"/>
  <c r="N94" i="10" s="1"/>
  <c r="E87" i="10"/>
  <c r="M93" i="10" s="1"/>
  <c r="N93" i="10" s="1" a="1"/>
  <c r="N93" i="10" s="1"/>
  <c r="E86" i="10"/>
  <c r="M92" i="10" s="1"/>
  <c r="N92" i="10" s="1" a="1"/>
  <c r="N92" i="10" s="1"/>
  <c r="E85" i="10"/>
  <c r="M91" i="10" s="1"/>
  <c r="N91" i="10" s="1" a="1"/>
  <c r="N91" i="10" s="1"/>
  <c r="E84" i="10"/>
  <c r="M90" i="10" s="1"/>
  <c r="N90" i="10" s="1" a="1"/>
  <c r="N90" i="10" s="1"/>
  <c r="E83" i="10"/>
  <c r="M89" i="10" s="1"/>
  <c r="N89" i="10" s="1" a="1"/>
  <c r="N89" i="10" s="1"/>
  <c r="E82" i="10"/>
  <c r="M88" i="10" s="1"/>
  <c r="N88" i="10" s="1" a="1"/>
  <c r="N88" i="10" s="1"/>
  <c r="E81" i="10"/>
  <c r="M87" i="10" s="1"/>
  <c r="N87" i="10" s="1" a="1"/>
  <c r="N87" i="10" s="1"/>
  <c r="E80" i="10"/>
  <c r="M86" i="10" s="1"/>
  <c r="N86" i="10" s="1" a="1"/>
  <c r="N86" i="10" s="1"/>
  <c r="E79" i="10"/>
  <c r="M85" i="10" s="1"/>
  <c r="N85" i="10" s="1" a="1"/>
  <c r="N85" i="10" s="1"/>
  <c r="E78" i="10"/>
  <c r="M84" i="10" s="1"/>
  <c r="N84" i="10" s="1" a="1"/>
  <c r="N84" i="10" s="1"/>
  <c r="E77" i="10"/>
  <c r="M83" i="10" s="1"/>
  <c r="N83" i="10" s="1" a="1"/>
  <c r="N83" i="10" s="1"/>
  <c r="E76" i="10"/>
  <c r="M82" i="10" s="1"/>
  <c r="N82" i="10" s="1" a="1"/>
  <c r="N82" i="10" s="1"/>
  <c r="E75" i="10"/>
  <c r="M81" i="10" s="1"/>
  <c r="N81" i="10" s="1" a="1"/>
  <c r="N81" i="10" s="1"/>
  <c r="E74" i="10"/>
  <c r="M80" i="10" s="1"/>
  <c r="N80" i="10" s="1" a="1"/>
  <c r="N80" i="10" s="1"/>
  <c r="E73" i="10"/>
  <c r="M79" i="10" s="1"/>
  <c r="N79" i="10" s="1" a="1"/>
  <c r="N79" i="10" s="1"/>
  <c r="E72" i="10"/>
  <c r="M78" i="10" s="1"/>
  <c r="N78" i="10" s="1" a="1"/>
  <c r="N78" i="10" s="1"/>
  <c r="E71" i="10"/>
  <c r="M77" i="10" s="1"/>
  <c r="N77" i="10" s="1" a="1"/>
  <c r="N77" i="10" s="1"/>
  <c r="E70" i="10"/>
  <c r="M76" i="10" s="1"/>
  <c r="N76" i="10" s="1" a="1"/>
  <c r="N76" i="10" s="1"/>
  <c r="E69" i="10"/>
  <c r="M75" i="10" s="1"/>
  <c r="N75" i="10" s="1" a="1"/>
  <c r="N75" i="10" s="1"/>
  <c r="E68" i="10"/>
  <c r="M74" i="10" s="1"/>
  <c r="N74" i="10" s="1" a="1"/>
  <c r="N74" i="10" s="1"/>
  <c r="E67" i="10"/>
  <c r="M73" i="10" s="1"/>
  <c r="N73" i="10" s="1" a="1"/>
  <c r="N73" i="10" s="1"/>
  <c r="E66" i="10"/>
  <c r="M72" i="10" s="1"/>
  <c r="N72" i="10" s="1" a="1"/>
  <c r="N72" i="10" s="1"/>
  <c r="E65" i="10"/>
  <c r="M71" i="10" s="1"/>
  <c r="N71" i="10" s="1" a="1"/>
  <c r="N71" i="10" s="1"/>
  <c r="E64" i="10"/>
  <c r="M70" i="10" s="1"/>
  <c r="N70" i="10" s="1" a="1"/>
  <c r="N70" i="10" s="1"/>
  <c r="E63" i="10"/>
  <c r="M69" i="10" s="1"/>
  <c r="N69" i="10" s="1" a="1"/>
  <c r="N69" i="10" s="1"/>
  <c r="E62" i="10"/>
  <c r="M68" i="10" s="1"/>
  <c r="N68" i="10" s="1" a="1"/>
  <c r="N68" i="10" s="1"/>
  <c r="E61" i="10"/>
  <c r="M67" i="10" s="1"/>
  <c r="N67" i="10" s="1" a="1"/>
  <c r="N67" i="10" s="1"/>
  <c r="E60" i="10"/>
  <c r="M66" i="10" s="1"/>
  <c r="N66" i="10" s="1" a="1"/>
  <c r="N66" i="10" s="1"/>
  <c r="E59" i="10"/>
  <c r="M65" i="10" s="1"/>
  <c r="N65" i="10" s="1" a="1"/>
  <c r="N65" i="10" s="1"/>
  <c r="E58" i="10"/>
  <c r="M64" i="10" s="1"/>
  <c r="N64" i="10" s="1" a="1"/>
  <c r="N64" i="10" s="1"/>
  <c r="E57" i="10"/>
  <c r="M63" i="10" s="1"/>
  <c r="N63" i="10" s="1" a="1"/>
  <c r="N63" i="10" s="1"/>
  <c r="E56" i="10"/>
  <c r="M62" i="10" s="1"/>
  <c r="N62" i="10" s="1" a="1"/>
  <c r="N62" i="10" s="1"/>
  <c r="E55" i="10"/>
  <c r="M61" i="10" s="1"/>
  <c r="N61" i="10" s="1" a="1"/>
  <c r="N61" i="10" s="1"/>
  <c r="E54" i="10"/>
  <c r="M60" i="10" s="1"/>
  <c r="N60" i="10" s="1" a="1"/>
  <c r="N60" i="10" s="1"/>
  <c r="E53" i="10"/>
  <c r="M59" i="10" s="1"/>
  <c r="N59" i="10" s="1" a="1"/>
  <c r="N59" i="10" s="1"/>
  <c r="E52" i="10"/>
  <c r="M58" i="10" s="1"/>
  <c r="N58" i="10" s="1" a="1"/>
  <c r="N58" i="10" s="1"/>
  <c r="E51" i="10"/>
  <c r="M57" i="10" s="1"/>
  <c r="N57" i="10" s="1" a="1"/>
  <c r="N57" i="10" s="1"/>
  <c r="E50" i="10"/>
  <c r="M56" i="10" s="1"/>
  <c r="N56" i="10" s="1" a="1"/>
  <c r="N56" i="10" s="1"/>
  <c r="E49" i="10"/>
  <c r="M55" i="10" s="1"/>
  <c r="N55" i="10" s="1" a="1"/>
  <c r="N55" i="10" s="1"/>
  <c r="E48" i="10"/>
  <c r="M54" i="10" s="1"/>
  <c r="N54" i="10" s="1" a="1"/>
  <c r="N54" i="10" s="1"/>
  <c r="E47" i="10"/>
  <c r="M53" i="10" s="1"/>
  <c r="N53" i="10" s="1" a="1"/>
  <c r="N53" i="10" s="1"/>
  <c r="E46" i="10"/>
  <c r="M52" i="10" s="1"/>
  <c r="N52" i="10" s="1" a="1"/>
  <c r="N52" i="10" s="1"/>
  <c r="E45" i="10"/>
  <c r="M51" i="10" s="1"/>
  <c r="N51" i="10" s="1" a="1"/>
  <c r="N51" i="10" s="1"/>
  <c r="E44" i="10"/>
  <c r="M50" i="10" s="1"/>
  <c r="N50" i="10" s="1" a="1"/>
  <c r="N50" i="10" s="1"/>
  <c r="E43" i="10"/>
  <c r="M49" i="10" s="1"/>
  <c r="N49" i="10" s="1" a="1"/>
  <c r="N49" i="10" s="1"/>
  <c r="E42" i="10"/>
  <c r="M48" i="10" s="1"/>
  <c r="N48" i="10" s="1" a="1"/>
  <c r="N48" i="10" s="1"/>
  <c r="E41" i="10"/>
  <c r="M47" i="10" s="1"/>
  <c r="N47" i="10" s="1" a="1"/>
  <c r="N47" i="10" s="1"/>
  <c r="E40" i="10"/>
  <c r="M46" i="10" s="1"/>
  <c r="N46" i="10" s="1" a="1"/>
  <c r="N46" i="10" s="1"/>
  <c r="E39" i="10"/>
  <c r="M45" i="10" s="1"/>
  <c r="N45" i="10" s="1" a="1"/>
  <c r="N45" i="10" s="1"/>
  <c r="E38" i="10"/>
  <c r="M44" i="10" s="1"/>
  <c r="N44" i="10" s="1" a="1"/>
  <c r="N44" i="10" s="1"/>
  <c r="E37" i="10"/>
  <c r="M43" i="10" s="1"/>
  <c r="N43" i="10" s="1" a="1"/>
  <c r="N43" i="10" s="1"/>
  <c r="E36" i="10"/>
  <c r="M42" i="10" s="1"/>
  <c r="N42" i="10" s="1" a="1"/>
  <c r="N42" i="10" s="1"/>
  <c r="E35" i="10"/>
  <c r="M41" i="10" s="1"/>
  <c r="N41" i="10" s="1" a="1"/>
  <c r="N41" i="10" s="1"/>
  <c r="E34" i="10"/>
  <c r="M40" i="10" s="1"/>
  <c r="N40" i="10" s="1" a="1"/>
  <c r="N40" i="10" s="1"/>
  <c r="E33" i="10"/>
  <c r="M39" i="10" s="1"/>
  <c r="N39" i="10" s="1" a="1"/>
  <c r="N39" i="10" s="1"/>
  <c r="E32" i="10"/>
  <c r="M38" i="10" s="1"/>
  <c r="N38" i="10" s="1" a="1"/>
  <c r="N38" i="10" s="1"/>
  <c r="E31" i="10"/>
  <c r="M37" i="10" s="1"/>
  <c r="N37" i="10" s="1" a="1"/>
  <c r="N37" i="10" s="1"/>
  <c r="E30" i="10"/>
  <c r="M36" i="10" s="1"/>
  <c r="N36" i="10" s="1" a="1"/>
  <c r="N36" i="10" s="1"/>
  <c r="E29" i="10"/>
  <c r="M35" i="10" s="1"/>
  <c r="N35" i="10" s="1" a="1"/>
  <c r="N35" i="10" s="1"/>
  <c r="E28" i="10"/>
  <c r="M34" i="10" s="1"/>
  <c r="N34" i="10" s="1" a="1"/>
  <c r="N34" i="10" s="1"/>
  <c r="E27" i="10"/>
  <c r="M33" i="10" s="1"/>
  <c r="N33" i="10" s="1" a="1"/>
  <c r="N33" i="10" s="1"/>
  <c r="E26" i="10"/>
  <c r="M32" i="10" s="1"/>
  <c r="N32" i="10" s="1" a="1"/>
  <c r="N32" i="10" s="1"/>
  <c r="E25" i="10"/>
  <c r="M31" i="10" s="1"/>
  <c r="N31" i="10" s="1" a="1"/>
  <c r="N31" i="10" s="1"/>
  <c r="E24" i="10"/>
  <c r="M30" i="10" s="1"/>
  <c r="N30" i="10" s="1" a="1"/>
  <c r="N30" i="10" s="1"/>
  <c r="E23" i="10"/>
  <c r="M29" i="10" s="1"/>
  <c r="N29" i="10" s="1" a="1"/>
  <c r="N29" i="10" s="1"/>
  <c r="E22" i="10"/>
  <c r="M28" i="10" s="1"/>
  <c r="N28" i="10" s="1" a="1"/>
  <c r="N28" i="10" s="1"/>
  <c r="E21" i="10"/>
  <c r="M27" i="10" s="1"/>
  <c r="N27" i="10" s="1" a="1"/>
  <c r="N27" i="10" s="1"/>
  <c r="E20" i="10"/>
  <c r="M26" i="10" s="1"/>
  <c r="N26" i="10" s="1" a="1"/>
  <c r="N26" i="10" s="1"/>
  <c r="E19" i="10"/>
  <c r="M25" i="10" s="1"/>
  <c r="N25" i="10" s="1" a="1"/>
  <c r="N25" i="10" s="1"/>
  <c r="E18" i="10"/>
  <c r="M24" i="10" s="1"/>
  <c r="N24" i="10" s="1" a="1"/>
  <c r="N24" i="10" s="1"/>
  <c r="E17" i="10"/>
  <c r="M23" i="10" s="1"/>
  <c r="N23" i="10" s="1" a="1"/>
  <c r="N23" i="10" s="1"/>
  <c r="E16" i="10"/>
  <c r="M22" i="10" s="1"/>
  <c r="N22" i="10" s="1" a="1"/>
  <c r="N22" i="10" s="1"/>
  <c r="E15" i="10"/>
  <c r="M21" i="10" s="1"/>
  <c r="N21" i="10" s="1" a="1"/>
  <c r="N21" i="10" s="1"/>
  <c r="E14" i="10"/>
  <c r="M20" i="10" s="1"/>
  <c r="N20" i="10" s="1" a="1"/>
  <c r="N20" i="10" s="1"/>
  <c r="E13" i="10"/>
  <c r="M19" i="10" s="1"/>
  <c r="N19" i="10" s="1" a="1"/>
  <c r="N19" i="10" s="1"/>
  <c r="E12" i="10"/>
  <c r="M18" i="10" s="1"/>
  <c r="N18" i="10" s="1" a="1"/>
  <c r="N18" i="10" s="1"/>
  <c r="E11" i="10"/>
  <c r="M17" i="10" s="1"/>
  <c r="N17" i="10" s="1" a="1"/>
  <c r="N17" i="10" s="1"/>
  <c r="E10" i="10"/>
  <c r="M16" i="10" s="1"/>
  <c r="N16" i="10" s="1" a="1"/>
  <c r="N16" i="10" s="1"/>
  <c r="E9" i="10"/>
  <c r="M15" i="10" s="1"/>
  <c r="N15" i="10" s="1" a="1"/>
  <c r="N15" i="10" s="1"/>
  <c r="E8" i="10"/>
  <c r="M14" i="10" s="1"/>
  <c r="N14" i="10" s="1" a="1"/>
  <c r="N14" i="10" s="1"/>
  <c r="E7" i="10"/>
  <c r="M13" i="10" s="1"/>
  <c r="N13" i="10" s="1" a="1"/>
  <c r="N13" i="10" s="1"/>
  <c r="E6" i="10"/>
  <c r="M12" i="10" s="1"/>
  <c r="N12" i="10" s="1" a="1"/>
  <c r="N12" i="10" s="1"/>
  <c r="E5" i="10"/>
  <c r="M11" i="10" s="1"/>
  <c r="N11" i="10" s="1" a="1"/>
  <c r="N11" i="10" s="1"/>
  <c r="E4" i="10"/>
  <c r="M10" i="10" s="1"/>
  <c r="N10" i="10" s="1" a="1"/>
  <c r="N10" i="10" s="1"/>
  <c r="E3" i="10"/>
  <c r="M9" i="10" s="1"/>
  <c r="N9" i="10" s="1" a="1"/>
  <c r="N9" i="10" s="1"/>
  <c r="E62" i="3"/>
  <c r="M68" i="3" s="1"/>
  <c r="M107" i="3"/>
  <c r="N107" i="3" s="1" a="1"/>
  <c r="N107" i="3" s="1"/>
  <c r="O107" i="3" s="1"/>
  <c r="M106" i="3"/>
  <c r="N106" i="3" s="1" a="1"/>
  <c r="N106" i="3" s="1"/>
  <c r="O106" i="3" s="1"/>
  <c r="M105" i="3"/>
  <c r="N105" i="3" s="1" a="1"/>
  <c r="N105" i="3" s="1"/>
  <c r="O105" i="3" s="1"/>
  <c r="E3" i="3"/>
  <c r="M9" i="3" s="1"/>
  <c r="N9" i="3" s="1" a="1"/>
  <c r="N9" i="3" s="1"/>
  <c r="E4" i="3"/>
  <c r="M10" i="3" s="1"/>
  <c r="E5" i="3"/>
  <c r="M11" i="3" s="1"/>
  <c r="E6" i="3"/>
  <c r="M12" i="3" s="1"/>
  <c r="E7" i="3"/>
  <c r="M13" i="3" s="1"/>
  <c r="E8" i="3"/>
  <c r="M14" i="3" s="1"/>
  <c r="E9" i="3"/>
  <c r="M15" i="3" s="1"/>
  <c r="E10" i="3"/>
  <c r="M16" i="3" s="1"/>
  <c r="E11" i="3"/>
  <c r="M17" i="3" s="1"/>
  <c r="E12" i="3"/>
  <c r="M18" i="3" s="1"/>
  <c r="E13" i="3"/>
  <c r="M19" i="3" s="1"/>
  <c r="E14" i="3"/>
  <c r="M20" i="3" s="1"/>
  <c r="E15" i="3"/>
  <c r="M21" i="3" s="1"/>
  <c r="E16" i="3"/>
  <c r="M22" i="3" s="1"/>
  <c r="E17" i="3"/>
  <c r="M23" i="3" s="1"/>
  <c r="E18" i="3"/>
  <c r="M24" i="3" s="1"/>
  <c r="E19" i="3"/>
  <c r="M25" i="3" s="1"/>
  <c r="E20" i="3"/>
  <c r="M26" i="3" s="1"/>
  <c r="E21" i="3"/>
  <c r="M27" i="3" s="1"/>
  <c r="E22" i="3"/>
  <c r="M28" i="3" s="1"/>
  <c r="E23" i="3"/>
  <c r="M29" i="3" s="1"/>
  <c r="E24" i="3"/>
  <c r="M30" i="3" s="1"/>
  <c r="E25" i="3"/>
  <c r="M31" i="3" s="1"/>
  <c r="E26" i="3"/>
  <c r="M32" i="3" s="1"/>
  <c r="E27" i="3"/>
  <c r="M33" i="3" s="1"/>
  <c r="E28" i="3"/>
  <c r="M34" i="3" s="1"/>
  <c r="E29" i="3"/>
  <c r="M35" i="3" s="1"/>
  <c r="E30" i="3"/>
  <c r="M36" i="3" s="1"/>
  <c r="E31" i="3"/>
  <c r="M37" i="3" s="1"/>
  <c r="E32" i="3"/>
  <c r="M38" i="3" s="1"/>
  <c r="E33" i="3"/>
  <c r="M39" i="3" s="1"/>
  <c r="E34" i="3"/>
  <c r="M40" i="3" s="1"/>
  <c r="E35" i="3"/>
  <c r="M41" i="3" s="1"/>
  <c r="E36" i="3"/>
  <c r="M42" i="3" s="1"/>
  <c r="E37" i="3"/>
  <c r="M43" i="3" s="1"/>
  <c r="E38" i="3"/>
  <c r="M44" i="3" s="1"/>
  <c r="E39" i="3"/>
  <c r="M45" i="3" s="1"/>
  <c r="E40" i="3"/>
  <c r="M46" i="3" s="1"/>
  <c r="E41" i="3"/>
  <c r="M47" i="3" s="1"/>
  <c r="E42" i="3"/>
  <c r="M48" i="3" s="1"/>
  <c r="E43" i="3"/>
  <c r="M49" i="3" s="1"/>
  <c r="E44" i="3"/>
  <c r="M50" i="3" s="1"/>
  <c r="E45" i="3"/>
  <c r="M51" i="3" s="1"/>
  <c r="E46" i="3"/>
  <c r="M52" i="3" s="1"/>
  <c r="E47" i="3"/>
  <c r="M53" i="3" s="1"/>
  <c r="E48" i="3"/>
  <c r="M54" i="3" s="1"/>
  <c r="E49" i="3"/>
  <c r="M55" i="3" s="1"/>
  <c r="E50" i="3"/>
  <c r="M56" i="3" s="1"/>
  <c r="E51" i="3"/>
  <c r="M57" i="3" s="1"/>
  <c r="E52" i="3"/>
  <c r="M58" i="3" s="1"/>
  <c r="E53" i="3"/>
  <c r="M59" i="3" s="1"/>
  <c r="E54" i="3"/>
  <c r="M60" i="3" s="1"/>
  <c r="E55" i="3"/>
  <c r="M61" i="3" s="1"/>
  <c r="E56" i="3"/>
  <c r="M62" i="3" s="1"/>
  <c r="E57" i="3"/>
  <c r="M63" i="3" s="1"/>
  <c r="E58" i="3"/>
  <c r="M64" i="3" s="1"/>
  <c r="E59" i="3"/>
  <c r="M65" i="3" s="1"/>
  <c r="E60" i="3"/>
  <c r="M66" i="3" s="1"/>
  <c r="E61" i="3"/>
  <c r="M67" i="3" s="1"/>
  <c r="E63" i="3"/>
  <c r="M69" i="3" s="1"/>
  <c r="E64" i="3"/>
  <c r="M70" i="3" s="1"/>
  <c r="E65" i="3"/>
  <c r="M71" i="3" s="1"/>
  <c r="E66" i="3"/>
  <c r="M72" i="3" s="1"/>
  <c r="E67" i="3"/>
  <c r="M73" i="3" s="1"/>
  <c r="E68" i="3"/>
  <c r="M74" i="3" s="1"/>
  <c r="E69" i="3"/>
  <c r="M75" i="3" s="1"/>
  <c r="E70" i="3"/>
  <c r="M76" i="3" s="1"/>
  <c r="E71" i="3"/>
  <c r="M77" i="3" s="1"/>
  <c r="E72" i="3"/>
  <c r="M78" i="3" s="1"/>
  <c r="E73" i="3"/>
  <c r="M79" i="3" s="1"/>
  <c r="E74" i="3"/>
  <c r="M80" i="3" s="1"/>
  <c r="E75" i="3"/>
  <c r="M81" i="3" s="1"/>
  <c r="E76" i="3"/>
  <c r="M82" i="3" s="1"/>
  <c r="E77" i="3"/>
  <c r="M83" i="3" s="1"/>
  <c r="E78" i="3"/>
  <c r="M84" i="3" s="1"/>
  <c r="E79" i="3"/>
  <c r="M85" i="3" s="1"/>
  <c r="E80" i="3"/>
  <c r="M86" i="3" s="1"/>
  <c r="E81" i="3"/>
  <c r="M87" i="3" s="1"/>
  <c r="E82" i="3"/>
  <c r="M88" i="3" s="1"/>
  <c r="E83" i="3"/>
  <c r="M89" i="3" s="1"/>
  <c r="E84" i="3"/>
  <c r="M90" i="3" s="1"/>
  <c r="E85" i="3"/>
  <c r="M91" i="3" s="1"/>
  <c r="E86" i="3"/>
  <c r="M92" i="3" s="1"/>
  <c r="E87" i="3"/>
  <c r="M93" i="3" s="1"/>
  <c r="E88" i="3"/>
  <c r="M94" i="3" s="1"/>
  <c r="E89" i="3"/>
  <c r="M95" i="3" s="1"/>
  <c r="E90" i="3"/>
  <c r="M96" i="3" s="1"/>
  <c r="E91" i="3"/>
  <c r="M97" i="3" s="1"/>
  <c r="E92" i="3"/>
  <c r="M98" i="3" s="1"/>
  <c r="E93" i="3"/>
  <c r="M99" i="3" s="1"/>
  <c r="E94" i="3"/>
  <c r="M100" i="3" s="1"/>
  <c r="E95" i="3"/>
  <c r="M101" i="3" s="1"/>
  <c r="E96" i="3"/>
  <c r="M102" i="3" s="1"/>
  <c r="E97" i="3"/>
  <c r="M103" i="3" s="1"/>
  <c r="E98" i="3"/>
  <c r="M104" i="3" s="1"/>
  <c r="J13" i="3"/>
  <c r="J15" i="3" s="1"/>
  <c r="M107" i="10" l="1"/>
  <c r="N107" i="10" s="1" a="1"/>
  <c r="N107" i="10" s="1"/>
  <c r="O107" i="10" s="1"/>
  <c r="M106" i="10"/>
  <c r="N106" i="10" s="1" a="1"/>
  <c r="N106" i="10" s="1"/>
  <c r="O106" i="10" s="1"/>
  <c r="M105" i="10"/>
  <c r="N105" i="10" s="1" a="1"/>
  <c r="N105" i="10" s="1"/>
  <c r="O105" i="10" s="1"/>
  <c r="J14" i="3"/>
  <c r="J16" i="3" l="1"/>
  <c r="J17" i="3"/>
  <c r="N10" i="3" l="1" a="1"/>
  <c r="N10" i="3" s="1"/>
  <c r="N11" i="3" a="1"/>
  <c r="N11" i="3" s="1"/>
  <c r="N12" i="3" a="1"/>
  <c r="N12" i="3" s="1"/>
  <c r="N13" i="3" a="1"/>
  <c r="N13" i="3" s="1"/>
  <c r="N14" i="3" a="1"/>
  <c r="N14" i="3" s="1"/>
  <c r="N15" i="3" a="1"/>
  <c r="N15" i="3" s="1"/>
  <c r="N16" i="3" a="1"/>
  <c r="N16" i="3" s="1"/>
  <c r="N17" i="3" a="1"/>
  <c r="N17" i="3" s="1"/>
  <c r="N18" i="3" a="1"/>
  <c r="N18" i="3" s="1"/>
  <c r="N19" i="3" a="1"/>
  <c r="N19" i="3" s="1"/>
  <c r="N20" i="3" a="1"/>
  <c r="N20" i="3" s="1"/>
  <c r="N21" i="3" a="1"/>
  <c r="N21" i="3" s="1"/>
  <c r="N22" i="3" a="1"/>
  <c r="N22" i="3" s="1"/>
  <c r="N23" i="3" a="1"/>
  <c r="N23" i="3" s="1"/>
  <c r="N24" i="3" a="1"/>
  <c r="N24" i="3" s="1"/>
  <c r="N25" i="3" a="1"/>
  <c r="N25" i="3" s="1"/>
  <c r="N26" i="3" a="1"/>
  <c r="N26" i="3" s="1"/>
  <c r="N27" i="3" a="1"/>
  <c r="N27" i="3" s="1"/>
  <c r="N28" i="3" a="1"/>
  <c r="N28" i="3" s="1"/>
  <c r="N29" i="3" a="1"/>
  <c r="N29" i="3" s="1"/>
  <c r="N30" i="3" a="1"/>
  <c r="N30" i="3" s="1"/>
  <c r="N31" i="3" a="1"/>
  <c r="N31" i="3" s="1"/>
  <c r="N32" i="3" a="1"/>
  <c r="N32" i="3" s="1"/>
  <c r="N103" i="3" a="1"/>
  <c r="N103" i="3" s="1"/>
  <c r="N91" i="3" a="1"/>
  <c r="N91" i="3" s="1"/>
  <c r="N80" i="3" a="1"/>
  <c r="N80" i="3" s="1"/>
  <c r="N68" i="3" a="1"/>
  <c r="N68" i="3" s="1"/>
  <c r="N56" i="3" a="1"/>
  <c r="N56" i="3" s="1"/>
  <c r="N44" i="3" a="1"/>
  <c r="N44" i="3" s="1"/>
  <c r="N60" i="3" l="1" a="1"/>
  <c r="N60" i="3" s="1"/>
  <c r="N72" i="3" a="1"/>
  <c r="N72" i="3" s="1"/>
  <c r="N73" i="3" a="1"/>
  <c r="N73" i="3" s="1"/>
  <c r="N37" i="3" a="1"/>
  <c r="N37" i="3" s="1"/>
  <c r="N43" i="3" a="1"/>
  <c r="N43" i="3" s="1"/>
  <c r="N61" i="3" a="1"/>
  <c r="N61" i="3" s="1"/>
  <c r="N49" i="3" a="1"/>
  <c r="N49" i="3" s="1"/>
  <c r="N33" i="3" a="1"/>
  <c r="N33" i="3" s="1"/>
  <c r="N75" i="3" a="1"/>
  <c r="N75" i="3" s="1"/>
  <c r="N55" i="3" a="1"/>
  <c r="N55" i="3" s="1"/>
  <c r="N39" i="3" a="1"/>
  <c r="N39" i="3" s="1"/>
  <c r="N63" i="3" a="1"/>
  <c r="N63" i="3" s="1"/>
  <c r="N51" i="3" a="1"/>
  <c r="N51" i="3" s="1"/>
  <c r="N34" i="3" a="1"/>
  <c r="N34" i="3" s="1"/>
  <c r="N40" i="3" a="1"/>
  <c r="N40" i="3" s="1"/>
  <c r="N66" i="3" a="1"/>
  <c r="N66" i="3" s="1"/>
  <c r="N52" i="3" a="1"/>
  <c r="N52" i="3" s="1"/>
  <c r="N78" i="3" a="1"/>
  <c r="N78" i="3" s="1"/>
  <c r="N36" i="3" a="1"/>
  <c r="N36" i="3" s="1"/>
  <c r="N42" i="3" a="1"/>
  <c r="N42" i="3" s="1"/>
  <c r="N58" i="3" a="1"/>
  <c r="N58" i="3" s="1"/>
  <c r="N67" i="3" a="1"/>
  <c r="N67" i="3" s="1"/>
  <c r="N45" i="3" a="1"/>
  <c r="N45" i="3" s="1"/>
  <c r="N64" i="3" a="1"/>
  <c r="N64" i="3" s="1"/>
  <c r="N76" i="3" a="1"/>
  <c r="N76" i="3" s="1"/>
  <c r="N57" i="3" a="1"/>
  <c r="N57" i="3" s="1"/>
  <c r="N46" i="3" a="1"/>
  <c r="N46" i="3" s="1"/>
  <c r="N69" i="3" a="1"/>
  <c r="N69" i="3" s="1"/>
  <c r="N48" i="3" a="1"/>
  <c r="N48" i="3" s="1"/>
  <c r="N54" i="3" a="1"/>
  <c r="N54" i="3" s="1"/>
  <c r="N70" i="3" a="1"/>
  <c r="N70" i="3" s="1"/>
  <c r="N79" i="3" a="1"/>
  <c r="N79" i="3" s="1"/>
  <c r="N83" i="3" a="1"/>
  <c r="N83" i="3" s="1"/>
  <c r="N86" i="3" a="1"/>
  <c r="N86" i="3" s="1"/>
  <c r="N89" i="3" a="1"/>
  <c r="N89" i="3" s="1"/>
  <c r="N92" i="3" a="1"/>
  <c r="N92" i="3" s="1"/>
  <c r="N95" i="3" a="1"/>
  <c r="N95" i="3" s="1"/>
  <c r="N98" i="3" a="1"/>
  <c r="N98" i="3" s="1"/>
  <c r="N101" i="3" a="1"/>
  <c r="N101" i="3" s="1"/>
  <c r="N104" i="3" a="1"/>
  <c r="N104" i="3" s="1"/>
  <c r="N81" i="3" a="1"/>
  <c r="N81" i="3" s="1"/>
  <c r="N84" i="3" a="1"/>
  <c r="N84" i="3" s="1"/>
  <c r="N87" i="3" a="1"/>
  <c r="N87" i="3" s="1"/>
  <c r="N90" i="3" a="1"/>
  <c r="N90" i="3" s="1"/>
  <c r="N93" i="3" a="1"/>
  <c r="N93" i="3" s="1"/>
  <c r="N96" i="3" a="1"/>
  <c r="N96" i="3" s="1"/>
  <c r="N99" i="3" a="1"/>
  <c r="N99" i="3" s="1"/>
  <c r="N102" i="3" a="1"/>
  <c r="N102" i="3" s="1"/>
  <c r="N35" i="3" a="1"/>
  <c r="N35" i="3" s="1"/>
  <c r="N38" i="3" a="1"/>
  <c r="N38" i="3" s="1"/>
  <c r="N41" i="3" a="1"/>
  <c r="N41" i="3" s="1"/>
  <c r="N82" i="3" a="1"/>
  <c r="N82" i="3" s="1"/>
  <c r="N85" i="3" a="1"/>
  <c r="N85" i="3" s="1"/>
  <c r="N88" i="3" a="1"/>
  <c r="N88" i="3" s="1"/>
  <c r="N47" i="3" a="1"/>
  <c r="N47" i="3" s="1"/>
  <c r="N50" i="3" a="1"/>
  <c r="N50" i="3" s="1"/>
  <c r="N53" i="3" a="1"/>
  <c r="N53" i="3" s="1"/>
  <c r="N94" i="3" a="1"/>
  <c r="N94" i="3" s="1"/>
  <c r="N97" i="3" a="1"/>
  <c r="N97" i="3" s="1"/>
  <c r="N100" i="3" a="1"/>
  <c r="N100" i="3" s="1"/>
  <c r="N59" i="3" a="1"/>
  <c r="N59" i="3" s="1"/>
  <c r="N62" i="3" a="1"/>
  <c r="N62" i="3" s="1"/>
  <c r="N65" i="3" a="1"/>
  <c r="N65" i="3" s="1"/>
  <c r="N71" i="3" a="1"/>
  <c r="N71" i="3" s="1"/>
  <c r="N74" i="3" a="1"/>
  <c r="N74" i="3" s="1"/>
  <c r="N77" i="3" a="1"/>
  <c r="N7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8507DB-DFA8-4B2B-A4A0-65DB46BF99D1}" keepAlive="1" name="Consulta - METAS_B" description="Conexión a la consulta 'METAS_B' en el libro." type="5" refreshedVersion="8" background="1" saveData="1">
    <dbPr connection="Provider=Microsoft.Mashup.OleDb.1;Data Source=$Workbook$;Location=METAS_B;Extended Properties=&quot;&quot;" command="SELECT * FROM [METAS_B]"/>
  </connection>
  <connection id="2" xr16:uid="{FD59D119-9D2A-425A-B389-2A14D0B74CED}" keepAlive="1" name="Consulta - METAS_B (2)" description="Conexión a la consulta 'METAS_B (2)' en el libro." type="5" refreshedVersion="8" background="1" saveData="1">
    <dbPr connection="Provider=Microsoft.Mashup.OleDb.1;Data Source=$Workbook$;Location=&quot;METAS_B (2)&quot;;Extended Properties=&quot;&quot;" command="SELECT * FROM [METAS_B (2)]"/>
  </connection>
  <connection id="3" xr16:uid="{E7105D9F-C697-46B5-B2BF-1F51189C32DB}" keepAlive="1" name="Consulta - Tabla11" description="Conexión a la consulta 'Tabla11' en el libro." type="5" refreshedVersion="8" background="1" saveData="1">
    <dbPr connection="Provider=Microsoft.Mashup.OleDb.1;Data Source=$Workbook$;Location=Tabla11;Extended Properties=&quot;&quot;" command="SELECT * FROM [Tabla11]"/>
  </connection>
  <connection id="4" xr16:uid="{88D0DB70-4468-4F0E-9732-B6E4BF5973D6}" keepAlive="1" name="Consulta - VALIDADOR" description="Conexión a la consulta 'VALIDADOR' en el libro." type="5" refreshedVersion="8" background="1" saveData="1">
    <dbPr connection="Provider=Microsoft.Mashup.OleDb.1;Data Source=$Workbook$;Location=VALIDADOR;Extended Properties=&quot;&quot;" command="SELECT * FROM [VALIDADO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<sst xmlns="http://schemas.openxmlformats.org/spreadsheetml/2006/main" count="3577" uniqueCount="205">
  <si>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</si>
  <si>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</si>
  <si>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</si>
  <si>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</si>
  <si>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</si>
  <si>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</si>
  <si>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</si>
  <si>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</si>
  <si>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</si>
  <si>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</si>
  <si>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</si>
  <si>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</si>
  <si>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</si>
  <si>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</si>
  <si>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</si>
  <si>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</si>
  <si>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</si>
  <si>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</si>
  <si>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</si>
  <si>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</si>
  <si>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</si>
  <si>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</si>
  <si>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</si>
  <si>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</si>
  <si>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</si>
  <si>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</si>
  <si>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</si>
  <si>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</si>
  <si>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</si>
  <si>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</si>
  <si>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</si>
  <si>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</si>
  <si>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</si>
  <si>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</si>
  <si>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</si>
  <si>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</si>
  <si>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</si>
  <si>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</si>
  <si>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</si>
  <si>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</si>
  <si>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</si>
  <si>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</si>
  <si>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</si>
  <si>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</si>
  <si>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</si>
  <si>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</si>
  <si>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</si>
  <si>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</si>
  <si>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</si>
  <si>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</si>
  <si>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</si>
  <si>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</si>
  <si>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</si>
  <si>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</si>
  <si>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</si>
  <si>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</si>
  <si>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</si>
  <si>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</si>
  <si>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</si>
  <si>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</si>
  <si>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</si>
  <si>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</si>
  <si>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</si>
  <si>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</si>
  <si>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</si>
  <si>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</si>
  <si>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</si>
  <si>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</si>
  <si>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</si>
  <si>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</si>
  <si>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</si>
  <si>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</si>
  <si>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</si>
  <si>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</si>
  <si>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</si>
  <si>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</si>
  <si>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</si>
  <si>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</si>
  <si>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</si>
  <si>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</si>
  <si>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</si>
  <si>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</si>
  <si>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</si>
  <si>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</si>
  <si>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</si>
  <si>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</si>
  <si>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</si>
  <si>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&gt;100%</t>
  </si>
  <si>
    <t>AL_AC</t>
  </si>
  <si>
    <t>ASER_</t>
  </si>
  <si>
    <t>POS_</t>
  </si>
  <si>
    <t>CLASIFICACIÓN</t>
  </si>
  <si>
    <t>&gt;0%</t>
  </si>
  <si>
    <t>&gt;40%</t>
  </si>
  <si>
    <t>&gt;70%</t>
  </si>
  <si>
    <t>.</t>
  </si>
  <si>
    <t>SUPERARON EL 100%</t>
  </si>
  <si>
    <t>ENTRE EL 70% AL 100%</t>
  </si>
  <si>
    <t>ENTRE EL 40% AL 70%</t>
  </si>
  <si>
    <t>ENTRE EL 0% AL 40%</t>
  </si>
  <si>
    <t>ORDEN</t>
  </si>
  <si>
    <t>EVOLUTIVO DE ALCANCE POR ASESOR - JULIO</t>
  </si>
  <si>
    <t>EVOLUTIVO DE ALCANCE POR ASESOR - AGOSTO</t>
  </si>
  <si>
    <t>EQUIPO</t>
  </si>
  <si>
    <t>META</t>
  </si>
  <si>
    <t>MISHEL MORALES</t>
  </si>
  <si>
    <t>ANGELO SUAREZ</t>
  </si>
  <si>
    <t>FECHA</t>
  </si>
  <si>
    <t>FECHA ACTUALIZADA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</si>
  <si>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</si>
  <si>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</si>
  <si>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</si>
  <si>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</si>
  <si>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</si>
  <si>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</si>
  <si>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</si>
  <si>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</si>
  <si>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16:27</t>
  </si>
  <si>
    <t>LUIS RUIZ</t>
  </si>
  <si>
    <t>01/09</t>
  </si>
  <si>
    <t>16:32</t>
  </si>
  <si>
    <t>01/08</t>
  </si>
  <si>
    <t>EVOLUTIVO DE ALCANCE POR ASESOR - SETIEMBRE</t>
  </si>
  <si>
    <t>ALCANZADO</t>
  </si>
  <si>
    <t>ALCANCE EVALUABLE</t>
  </si>
  <si>
    <t>ROBERTO RODRIGUEZ</t>
  </si>
  <si>
    <t>ADICIONADO</t>
  </si>
  <si>
    <t>SUPER2</t>
  </si>
  <si>
    <t>ROCIO TERRONES</t>
  </si>
  <si>
    <t>CARLOS CALAGUA</t>
  </si>
  <si>
    <t>MARCOS SARMIENTO</t>
  </si>
  <si>
    <t/>
  </si>
  <si>
    <t>FRANK PACORA</t>
  </si>
  <si>
    <t>JOANA GIL</t>
  </si>
  <si>
    <t>MICHAEL TAFUR</t>
  </si>
  <si>
    <t>ASESOR_CRR</t>
  </si>
  <si>
    <t>Columna1</t>
  </si>
  <si>
    <t>01/07</t>
  </si>
  <si>
    <t>JENNY LAZARO</t>
  </si>
  <si>
    <t>ALEJANDRO GONZALES</t>
  </si>
  <si>
    <t>MARCO SARMIENTO</t>
  </si>
  <si>
    <t>ANDREA ALEJOS</t>
  </si>
  <si>
    <t>JOSUE VILCHEZ</t>
  </si>
  <si>
    <t>EVOLUTIVO DE ALCANCE POR ASESOR - JUNIO</t>
  </si>
  <si>
    <t>16:40</t>
  </si>
  <si>
    <t>AGOSTO</t>
  </si>
  <si>
    <t>ROSA ROJAS</t>
  </si>
  <si>
    <t>SETIEMBRE</t>
  </si>
  <si>
    <t>S/E 30%</t>
  </si>
  <si>
    <t>C/E 40%</t>
  </si>
  <si>
    <t>SUPERVISOR</t>
  </si>
  <si>
    <t>JACQUELINE COLLAHUACHO</t>
  </si>
  <si>
    <t>JULIO</t>
  </si>
  <si>
    <t>JUNIO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</si>
  <si>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</si>
  <si>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</si>
  <si>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</si>
  <si>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</si>
  <si>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</si>
  <si>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</si>
  <si>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</si>
  <si>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</si>
  <si>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</si>
  <si>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01/02</t>
  </si>
  <si>
    <t>16:23</t>
  </si>
  <si>
    <t>GUSTAVO</t>
  </si>
  <si>
    <t>JOHAN</t>
  </si>
  <si>
    <t>ORIANA ARANA</t>
  </si>
  <si>
    <t>15:51</t>
  </si>
  <si>
    <t>01/03</t>
  </si>
  <si>
    <t>HARLINGTON VIDAL</t>
  </si>
  <si>
    <t>ROGGER RODRIGUEZ</t>
  </si>
  <si>
    <t>EDSON MAMANI</t>
  </si>
  <si>
    <t>01/04</t>
  </si>
  <si>
    <t>ESTRELLA TINTAYA</t>
  </si>
  <si>
    <t>LIZETH RAMIREZ</t>
  </si>
  <si>
    <t>MIRYAM YAPU</t>
  </si>
  <si>
    <t>01/05</t>
  </si>
  <si>
    <t>13:59</t>
  </si>
  <si>
    <t>01/06</t>
  </si>
  <si>
    <t>17:02</t>
  </si>
  <si>
    <t>EVOLUTIVO DE ALCANCE POR ASESOR - ENERO</t>
  </si>
  <si>
    <t>EVOLUTIVO DE ALCANCE POR ASESOR - FEBRERO</t>
  </si>
  <si>
    <t>EVOLUTIVO DE ALCANCE POR ASESOR - MARZO</t>
  </si>
  <si>
    <t>EVOLUTIVO DE ALCANCE POR ASESOR - ABRIL</t>
  </si>
  <si>
    <t>EVOLUTIVO DE ALCANCE POR ASESOR - MAYO</t>
  </si>
  <si>
    <t>PROMEDIO</t>
  </si>
  <si>
    <t>ABRIL</t>
  </si>
  <si>
    <t>MAYO</t>
  </si>
  <si>
    <t>PROMEDIO DE 6 MESES</t>
  </si>
  <si>
    <t>LIBRE</t>
  </si>
  <si>
    <t>YEYMI HUERTA</t>
  </si>
  <si>
    <t>GENESIS VICUÑA</t>
  </si>
  <si>
    <t>ANGELO SUAREZ</t>
  </si>
  <si>
    <t>01/10</t>
  </si>
  <si>
    <t>PROMEDIO DE 3 MESES</t>
  </si>
  <si>
    <t>EVOLUTIVO DE ALCANCE POR ASESOR - OCTUBRE</t>
  </si>
  <si>
    <t>OCTUBRE</t>
  </si>
  <si>
    <t>03/11</t>
  </si>
  <si>
    <t>16:05</t>
  </si>
  <si>
    <t>EVOLUTIVO DE ALCANCE POR ASESOR - NOVIEMBRE</t>
  </si>
  <si>
    <t>FRANS RACSI</t>
  </si>
  <si>
    <t>10/11</t>
  </si>
  <si>
    <t>10:24</t>
  </si>
  <si>
    <t>SIN APLICACIONES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</si>
</sst>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6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DFF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10" fontId="0" fillId="0" borderId="0" xfId="0" applyNumberFormat="1"/>
    <xf numFmtId="10" fontId="0" fillId="0" borderId="4" xfId="0" applyNumberFormat="1" applyBorder="1"/>
    <xf numFmtId="10" fontId="0" fillId="0" borderId="3" xfId="0" applyNumberFormat="1" applyBorder="1"/>
    <xf numFmtId="10" fontId="0" fillId="0" borderId="2" xfId="0" applyNumberFormat="1" applyBorder="1"/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pivotButton="1" applyBorder="1"/>
    <xf numFmtId="0" fontId="0" fillId="0" borderId="4" xfId="0" applyBorder="1"/>
    <xf numFmtId="0" fontId="0" fillId="0" borderId="2" xfId="0" pivotButton="1" applyBorder="1"/>
    <xf numFmtId="0" fontId="0" fillId="0" borderId="2" xfId="0" applyBorder="1"/>
    <xf numFmtId="10" fontId="1" fillId="5" borderId="2" xfId="0" applyNumberFormat="1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0" borderId="7" xfId="0" applyBorder="1"/>
    <xf numFmtId="0" fontId="0" fillId="0" borderId="0" xfId="0" applyAlignment="1">
      <alignment horizontal="left"/>
    </xf>
    <xf numFmtId="0" fontId="1" fillId="7" borderId="0" xfId="0" applyFont="1" applyFill="1"/>
    <xf numFmtId="0" fontId="0" fillId="0" borderId="10" xfId="0" applyBorder="1"/>
    <xf numFmtId="0" fontId="5" fillId="8" borderId="4" xfId="0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22" fontId="0" fillId="0" borderId="0" xfId="0" applyNumberFormat="1"/>
    <xf numFmtId="0" fontId="0" fillId="6" borderId="0" xfId="0" applyFill="1"/>
    <xf numFmtId="10" fontId="0" fillId="6" borderId="0" xfId="0" applyNumberFormat="1" applyFill="1"/>
    <xf numFmtId="0" fontId="1" fillId="0" borderId="14" xfId="0" applyFont="1" applyBorder="1"/>
    <xf numFmtId="0" fontId="1" fillId="0" borderId="15" xfId="0" applyFont="1" applyBorder="1"/>
    <xf numFmtId="0" fontId="0" fillId="0" borderId="13" xfId="0" applyBorder="1"/>
    <xf numFmtId="49" fontId="0" fillId="0" borderId="0" xfId="0" applyNumberFormat="1"/>
    <xf numFmtId="0" fontId="1" fillId="0" borderId="16" xfId="0" applyFont="1" applyBorder="1"/>
    <xf numFmtId="0" fontId="0" fillId="10" borderId="9" xfId="0" applyFill="1" applyBorder="1"/>
    <xf numFmtId="0" fontId="0" fillId="10" borderId="0" xfId="0" applyFill="1"/>
    <xf numFmtId="0" fontId="0" fillId="10" borderId="17" xfId="0" applyFill="1" applyBorder="1"/>
    <xf numFmtId="10" fontId="0" fillId="0" borderId="7" xfId="0" applyNumberFormat="1" applyBorder="1"/>
    <xf numFmtId="10" fontId="0" fillId="0" borderId="18" xfId="0" applyNumberFormat="1" applyBorder="1"/>
    <xf numFmtId="0" fontId="7" fillId="8" borderId="4" xfId="0" applyFont="1" applyFill="1" applyBorder="1"/>
    <xf numFmtId="4" fontId="0" fillId="0" borderId="13" xfId="0" applyNumberFormat="1" applyBorder="1"/>
    <xf numFmtId="49" fontId="0" fillId="0" borderId="0" xfId="0" applyNumberFormat="1" applyAlignment="1">
      <alignment vertical="center" wrapText="1"/>
    </xf>
    <xf numFmtId="10" fontId="0" fillId="0" borderId="1" xfId="0" applyNumberFormat="1" applyBorder="1"/>
    <xf numFmtId="8" fontId="0" fillId="0" borderId="13" xfId="0" applyNumberFormat="1" applyBorder="1"/>
    <xf numFmtId="49" fontId="6" fillId="9" borderId="3" xfId="0" applyNumberFormat="1" applyFont="1" applyFill="1" applyBorder="1" applyAlignment="1">
      <alignment horizontal="center"/>
    </xf>
    <xf numFmtId="49" fontId="6" fillId="9" borderId="2" xfId="0" applyNumberFormat="1" applyFont="1" applyFill="1" applyBorder="1" applyAlignment="1">
      <alignment horizont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0" fillId="3" borderId="0" xfId="0" applyFill="1"/>
  </cellXfs>
  <cellStyles count="1">
    <cellStyle name="Normal" xfId="0" builtinId="0"/>
  </cellStyles>
  <dxfs count="37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30" formatCode="@"/>
      <fill>
        <patternFill patternType="none">
          <fgColor indexed="64"/>
          <bgColor indexed="65"/>
        </patternFill>
      </fill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2DFF5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30" formatCode="@"/>
      <fill>
        <patternFill patternType="none">
          <fgColor indexed="64"/>
          <bgColor indexed="65"/>
        </patternFill>
      </fill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377"/>
    </tableStyle>
    <tableStyle name="Estilo de tabla dinámica 2" table="0" count="1" xr9:uid="{9E60CF16-845A-4669-9AA4-E5ACD7B8B1A8}">
      <tableStyleElement type="headerRow" dxfId="376"/>
    </tableStyle>
    <tableStyle name="Estilo de tabla dinámica 3" table="0" count="1" xr9:uid="{A9F08836-5681-4078-A387-711930301837}">
      <tableStyleElement type="headerRow" dxfId="375"/>
    </tableStyle>
  </tableStyles>
  <colors>
    <mruColors>
      <color rgb="FF2DFF50"/>
      <color rgb="FFFFFF99"/>
      <color rgb="FFFFE79B"/>
      <color rgb="FFFFD54F"/>
      <color rgb="FFFF7C80"/>
      <color rgb="FFFF9999"/>
      <color rgb="FFFFAF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0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pivotCacheDefinition" Target="pivotCache/pivotCacheDefinition9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37268515" createdVersion="8" refreshedVersion="8" minRefreshableVersion="3" recordCount="123" xr:uid="{B72B5E07-7340-40E7-AA79-4C2035FC1F36}">
  <cacheSource type="worksheet">
    <worksheetSource name="DATA_OCTUBRE"/>
  </cacheSource>
  <cacheFields count="4">
    <cacheField name="ORDEN" numFmtId="0">
      <sharedItems containsSemiMixedTypes="0" containsString="0" containsNumber="1" containsInteger="1" minValue="1" maxValue="15"/>
    </cacheField>
    <cacheField name="AL_AC" numFmtId="10">
      <sharedItems containsSemiMixedTypes="0" containsString="0" containsNumber="1" minValue="0" maxValue="2.6484090909090909"/>
    </cacheField>
    <cacheField name="CLASIFICACIÓN" numFmtId="0">
      <sharedItems count="5">
        <s v="&gt;100%"/>
        <s v="&gt;70%"/>
        <s v="&gt;40%"/>
        <s v="&gt;0%"/>
        <s v=""/>
      </sharedItems>
    </cacheField>
    <cacheField name="ASER_" numFmtId="0">
      <sharedItems count="71">
        <s v="LISELY MERA"/>
        <s v="GINA HUAMANI"/>
        <s v="VERONICA HUARCA"/>
        <s v="LYNDA PEREZ"/>
        <s v="ROBERTO RODRIGUEZ"/>
        <s v="NOEMI CHUQUILIN"/>
        <s v="LINDA TUESTA"/>
        <s v="JOANA GIL"/>
        <s v="CHRISTIAN ALBUJAR"/>
        <s v="LUIS RUIZ"/>
        <s v=""/>
        <s v="DARYL FERREL"/>
        <s v="GERSON LAZARO"/>
        <s v="JUAN LOZA"/>
        <s v="MAYRA AVALOS"/>
        <s v="GIULIANA QUISPE"/>
        <s v="NARDIA URPIS"/>
        <s v="ANGELO SUAREZ"/>
        <s v="JACQUELINE COLLAHUACHO"/>
        <s v="JANETH PORTOCARRERO"/>
        <s v="CARLOS CALAGUA"/>
        <s v="JHONATAN CHAVEZ"/>
        <s v="MISHEL MORALES"/>
        <s v="FRANS TACSI"/>
        <s v="ANDERSON RODRIGUEZ"/>
        <s v="MARIA HUARCAYA"/>
        <s v="GENESIS VICUÑA"/>
        <s v="SARITA GARAY"/>
        <s v="CHRISTIAN ALVARADO"/>
        <s v="ERIKA VILLAR"/>
        <s v="LUCERO JORDAN"/>
        <s v="NATALIA MARIN"/>
        <s v="JESSICA MELGAREJO"/>
        <s v="JENY LAZARO"/>
        <s v="ROCIO TERRONES"/>
        <s v="ERICK PORTILLA"/>
        <s v="MERLY CORONEL"/>
        <s v="MARIA TINTAYA"/>
        <s v="EVELY TENORIO"/>
        <s v="URSULA CENTENO"/>
        <s v="AURORA FAUSTOR"/>
        <s v="LUPITA HIDALGO"/>
        <s v="MEDALITH NESTARES"/>
        <s v="LUIS VALLADARES"/>
        <s v="LUIS CENTENO"/>
        <s v="ANTHONY TORRES"/>
        <s v="ANALUCIA PONCE"/>
        <s v="ALEJANDRA AVILA"/>
        <s v="MILAGROS QUIO"/>
        <s v="ALEJANDRA QUISPE"/>
        <s v="FRANK PACORA"/>
        <s v="ALEIDITH GUEVARA"/>
        <s v="JHOVANA TORRES"/>
        <s v="CRISTINA TICONA"/>
        <s v="DAVID SANCHEZ"/>
        <s v="VICTOR RAMIREZ"/>
        <s v="VERONICA TASAYCO"/>
        <s v="GABRIELA APONTE"/>
        <s v="HAROLD FLORES"/>
        <s v="MALORY MONTEBLANCO"/>
        <s v="JAIR MARTINEZ"/>
        <s v="DANIEL ZAPATA"/>
        <s v="CARMEN PUMA"/>
        <s v="STWUAR MACURI"/>
        <s v="GIANFRANCO PINEDO"/>
        <s v="FRANCO HUAMANI"/>
        <s v="GERALDINE ARROYO"/>
        <s v="JUAN ALANOCCA"/>
        <s v="ANABEL SIHUE"/>
        <s v="JAIME TUMIALAN"/>
        <s v="KIARA CANEP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37731485" createdVersion="8" refreshedVersion="8" minRefreshableVersion="3" recordCount="123" xr:uid="{EA6C7323-D9A6-4F25-891B-A900FAA5FB0C}">
  <cacheSource type="worksheet">
    <worksheetSource name="DATA_NOVIEMBRE"/>
  </cacheSource>
  <cacheFields count="4">
    <cacheField name="ORDEN" numFmtId="0">
      <sharedItems containsSemiMixedTypes="0" containsString="0" containsNumber="1" containsInteger="1" minValue="1" maxValue="15"/>
    </cacheField>
    <cacheField name="AL_AC" numFmtId="10">
      <sharedItems containsMixedTypes="1" containsNumber="1" minValue="0" maxValue="3.2857142857142856"/>
    </cacheField>
    <cacheField name="CLASIFICACIÓN" numFmtId="0">
      <sharedItems count="5">
        <s v="&gt;0%"/>
        <s v=""/>
        <s v="&gt;100%"/>
        <s v="&gt;40%"/>
        <s v="&gt;70%"/>
      </sharedItems>
    </cacheField>
    <cacheField name="ASER_" numFmtId="0">
      <sharedItems count="89">
        <s v="LISELY MERA"/>
        <s v="GIANNINA AGUILAR"/>
        <s v="LUIS CENTENO"/>
        <s v="GINA HUAMANI"/>
        <s v="VICTOR RAMIREZ"/>
        <s v="ANTHONY TORRES"/>
        <s v="EVELY TENORIO"/>
        <s v="GIANFRANCO PINEDO"/>
        <s v="FRANS RACSI"/>
        <s v="NOEMI CHUQUILIN"/>
        <s v="MARGARITA PIANCHACHI"/>
        <s v=""/>
        <s v="FRANK PACORA"/>
        <s v="DANIEL ZAPATA"/>
        <s v="ANALUCIA PONCE"/>
        <s v="ALEJANDRA QUISPE"/>
        <s v="PIERINA TESEN"/>
        <s v="DARYL FERREL"/>
        <s v="JIMENA MEDINA"/>
        <s v="VERONICA TASAYCO"/>
        <s v="GERSON LAZARO"/>
        <s v="JAIR MARTINEZ"/>
        <s v="MARIA TINTAYA"/>
        <s v="ANDERSON RODRIGUEZ"/>
        <s v="HAROLD FLORES"/>
        <s v="VERONICA HUARCA"/>
        <s v="ALEJANDRA AVILA"/>
        <s v="LUCERO JORDAN"/>
        <s v="SARITA GARAY"/>
        <s v="JANETH PORTOCARRERO"/>
        <s v="MARIA HUARCAYA"/>
        <s v="LYNDA PEREZ"/>
        <s v="GABRIELA APONTE"/>
        <s v="LUIS VALLADARES"/>
        <s v="MAYRA AVALOS"/>
        <s v="JESSICA MELGAREJO"/>
        <s v="JUAN ALANOCCA"/>
        <s v="NATALIA MARIN"/>
        <s v="MEDALITH NESTARES"/>
        <s v="ANABEL SIHUE"/>
        <s v="JAIME TUMIALAN"/>
        <s v="ALEIDITH GUEVARA"/>
        <s v="FRANCO HUAMANI"/>
        <s v="URSULA CENTENO"/>
        <s v="CRISTINA TICONA"/>
        <s v="KIARA CANEPA"/>
        <s v="JUAN LOZA"/>
        <s v="MILAGROS QUIO"/>
        <s v="JHONATAN CHAVEZ"/>
        <s v="CHRISTIAN ALVARADO"/>
        <s v="CARMEN PUMA"/>
        <s v="JENY LAZARO"/>
        <s v="DAVID SANCHEZ"/>
        <s v="AURORA FAUSTOR"/>
        <s v="ANGELO SUAREZ"/>
        <s v="NARDIA URPIS"/>
        <s v="JHOVANA TORRES"/>
        <s v="ERIKA VILLAR"/>
        <s v="GERALDINE ARROYO"/>
        <s v="JACQUELINE COLLAHUACHO"/>
        <s v="MERLY CORONEL"/>
        <s v="CHRISTIAN ALBUJAR"/>
        <e v="#REF!"/>
        <s v="SIN APLICACIONES"/>
        <s v="ROBERTO RODRIGUEZ" u="1"/>
        <s v="LINDA TUESTA" u="1"/>
        <s v="JOANA GIL" u="1"/>
        <s v="LUIS RUIZ" u="1"/>
        <s v="GIULIANA QUISPE" u="1"/>
        <s v="ANGELO SUAREZ" u="1"/>
        <s v="CARLOS CALAGUA" u="1"/>
        <s v="MISHEL MORALES" u="1"/>
        <s v="FRANS TACSI" u="1"/>
        <s v="GENESIS VICUÑA" u="1"/>
        <s v="ROCIO TERRONES" u="1"/>
        <s v="ERICK PORTILLA" u="1"/>
        <s v="LUPITA HIDALGO" u="1"/>
        <s v="MALORY MONTEBLANCO" u="1"/>
        <s v="STWUAR MACURI" u="1"/>
        <s v="KATYUSCA LEVANO" u="1"/>
        <s v="YENNY INGA" u="1"/>
        <s v="ROSA ROJAS" u="1"/>
        <s v="BRYAN VELASQUEZ" u="1"/>
        <s v="YEYMI HUERTA" u="1"/>
        <s v="MICHAEL TAFUR" u="1"/>
        <s v="MARCO QUISPE" u="1"/>
        <s v="MARCO SARMIENTO" u="1"/>
        <s v="GILBERTO PURIZACA" u="1"/>
        <s v="MELISSA GUERRERO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37962962" createdVersion="8" refreshedVersion="8" minRefreshableVersion="3" recordCount="99" xr:uid="{14811023-B95B-41F9-9163-B0CD0B785A32}">
  <cacheSource type="worksheet">
    <worksheetSource name="DATASETIEMBRE"/>
  </cacheSource>
  <cacheFields count="4">
    <cacheField name="ORDEN" numFmtId="0">
      <sharedItems containsSemiMixedTypes="0" containsString="0" containsNumber="1" containsInteger="1" minValue="1" maxValue="12"/>
    </cacheField>
    <cacheField name="AL_AC" numFmtId="10">
      <sharedItems containsSemiMixedTypes="0" containsString="0" containsNumber="1" minValue="0" maxValue="1.3480216241085807"/>
    </cacheField>
    <cacheField name="CLASIFICACIÓN" numFmtId="0">
      <sharedItems count="5">
        <s v="&gt;0%"/>
        <s v="&gt;70%"/>
        <s v="&gt;40%"/>
        <s v="&gt;100%"/>
        <s v=""/>
      </sharedItems>
    </cacheField>
    <cacheField name="ASER_" numFmtId="0">
      <sharedItems count="77">
        <s v="NOEMI CHUQUILIN"/>
        <s v="GINA HUAMANI"/>
        <s v="VERONICA HUARCA"/>
        <s v="GABRIELA APONTE"/>
        <s v="ROBERTO RODRIGUEZ"/>
        <s v="LYNDA PEREZ"/>
        <s v="YEYMI HUERTA"/>
        <s v="LUIS RUIZ"/>
        <s v="MICHAEL TAFUR"/>
        <s v="JOANA GIL"/>
        <s v="GIANNINA AGUILAR"/>
        <s v="LINDA TUESTA"/>
        <s v="CARLOS CALAGUA"/>
        <s v="MAYRA AVALOS"/>
        <s v="MARCO SARMIENTO"/>
        <s v="YENNY INGA"/>
        <s v="DARYL FERREL"/>
        <s v="HAROLD FLORES"/>
        <s v="JANETH PORTOCARRERO"/>
        <s v="GIULIANA QUISPE"/>
        <s v="CHRISTIAN ALBUJAR"/>
        <s v="GERSON LAZARO"/>
        <s v="JACQUELINE COLLAHUACHO"/>
        <s v="NARDIA URPIS"/>
        <s v="GENESIS VICUÑA"/>
        <s v="MISHEL MORALES"/>
        <s v="CHRISTIAN ALVARADO"/>
        <s v="GILBERTO PURIZACA"/>
        <s v="MARIA HUARCAYA"/>
        <s v="JHONATAN CHAVEZ"/>
        <s v="ANDERSON RODRIGUEZ"/>
        <s v="FRANS TACSI"/>
        <s v=""/>
        <s v="ROCIO TERRONES"/>
        <s v="LUCERO JORDAN"/>
        <s v="ERIKA VILLAR"/>
        <s v="MERLY CORONEL"/>
        <s v="JENY LAZARO"/>
        <s v="NATALIA MARIN"/>
        <s v="JESSICA MELGAREJO"/>
        <s v="ERICK PORTILLA"/>
        <s v="LUPITA HIDALGO"/>
        <s v="MARIA TINTAYA"/>
        <s v="URSULA CENTENO"/>
        <s v="EVELY TENORIO"/>
        <s v="LUIS CENTENO"/>
        <s v="MARGARITA PIANCHACHI"/>
        <s v="LUIS VALLADARES"/>
        <s v="MEDALITH NESTARES"/>
        <s v="ANALUCIA PONCE"/>
        <s v="ANTHONY TORRES"/>
        <s v="FRANK PACORA"/>
        <s v="MILAGROS QUIO"/>
        <s v="JHOVANA TORRES"/>
        <s v="ALEJANDRA QUISPE"/>
        <s v="ALEIDITH GUEVARA"/>
        <s v="CARMEN PUMA"/>
        <s v="ALEJANDRA AVILA"/>
        <s v="DAVID SANCHEZ"/>
        <s v="CRISTINA TICONA"/>
        <s v="VERONICA TASAYCO"/>
        <s v="MELISSA GUERRERO"/>
        <s v="PIERINA TESEN"/>
        <s v="VICTOR RAMIREZ"/>
        <s v="ROSA ROJAS"/>
        <s v="ANGELO SUAREZ"/>
        <s v="KATYUSCA LEVANO"/>
        <s v="MALORY MONTEBLANCO"/>
        <s v="FRANCO HUAMANI"/>
        <s v="KIARA CANEPA"/>
        <s v="JUAN ALANOCCA"/>
        <s v="GERALDINE ARROYO"/>
        <s v="STWUAR MACURI"/>
        <s v="ANABEL SIHUE"/>
        <s v="DANIEL ZAPATA"/>
        <s v="JIMENA MEDINA"/>
        <s v="JAIME TUMIALA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39004632" createdVersion="8" refreshedVersion="8" minRefreshableVersion="3" recordCount="123" xr:uid="{DF40DBF2-623B-4DF6-9351-8C6FD40BC1E1}">
  <cacheSource type="worksheet">
    <worksheetSource name="DATAJUNIO"/>
  </cacheSource>
  <cacheFields count="4">
    <cacheField name="ORDEN" numFmtId="0">
      <sharedItems containsSemiMixedTypes="0" containsString="0" containsNumber="1" containsInteger="1" minValue="1" maxValue="15"/>
    </cacheField>
    <cacheField name="AL_AC" numFmtId="10">
      <sharedItems containsSemiMixedTypes="0" containsString="0" containsNumber="1" minValue="0" maxValue="1.6319999999999999"/>
    </cacheField>
    <cacheField name="CLASIFICACIÓN" numFmtId="0">
      <sharedItems count="5">
        <s v="&gt;100%"/>
        <s v="&gt;40%"/>
        <s v="&gt;0%"/>
        <s v=""/>
        <s v="&gt;70%"/>
      </sharedItems>
    </cacheField>
    <cacheField name="ASER_" numFmtId="0">
      <sharedItems count="76">
        <s v="LISELY MERA"/>
        <s v="EVELY TENORIO"/>
        <s v="JENNY LAZARO"/>
        <s v="MALORY MONTEBLANCO"/>
        <s v="VICTOR RAMIREZ"/>
        <s v="ALEJANDRO GONZALES"/>
        <s v="MICHAEL TAFUR"/>
        <s v="ANABEL SIHUE"/>
        <s v="CHRISTIAN ALBUJAR"/>
        <s v=""/>
        <s v="PIERINA TESEN"/>
        <s v="CRISTINA TICONA"/>
        <s v="MARIA TINTAYA"/>
        <s v="JAIR MARTINEZ"/>
        <s v="JHONATAN CHAVEZ"/>
        <s v="MELISSA GUERRERO"/>
        <s v="RICHARD RODRIGUEZ"/>
        <s v="MICAELA PEREZ"/>
        <s v="CINTHYA PAUCAR"/>
        <s v="GIANFRANCO PINEDO"/>
        <s v="MILAGROS QUIO"/>
        <s v="VERONICA TASAYCO"/>
        <s v="MARGARITA PIANCHACHI"/>
        <s v="GENESIS VICUNA"/>
        <s v="JUAN ALANOCCA"/>
        <s v="SOLMAIRA BRAVO"/>
        <s v="FRANS TACSI"/>
        <s v="ALEJANDRA QUISPE"/>
        <s v="MERLY CORONEL"/>
        <s v="ERIKA VILLAR"/>
        <s v="NATALIA MARIN"/>
        <s v="AURORA FAUSTOR"/>
        <s v="GILBERTO PURIZACA"/>
        <s v="LUCERO JORDAN"/>
        <s v="ANTHONY VICENTE"/>
        <s v="KIARA CANEPA"/>
        <s v="FRANK PACORA"/>
        <s v="JUAN LOZA"/>
        <s v="CARMEN PUMA"/>
        <s v="LUIS CENTENO"/>
        <s v="STWUAR MACURI"/>
        <s v="JIMENA MEDINA"/>
        <s v="DAVID SANCHEZ"/>
        <s v="GINA HUAMANI"/>
        <s v="MEDALITH NESTARES"/>
        <s v="MARCO SARMIENTO"/>
        <s v="DANIEL ZAPATA"/>
        <s v="GABRIELA APONTE"/>
        <s v="YENNY INGA"/>
        <s v="NARDIA URPIS"/>
        <s v="MARIA HUARCAYA"/>
        <s v="YEYMY HUERTA"/>
        <s v="MAYRA AVALOS"/>
        <s v="JOANA GIL"/>
        <s v="LINDA TUESTA"/>
        <s v="ANDREA ALEJOS"/>
        <s v="FRANCO HUAMANI"/>
        <s v="BRINA SOTO"/>
        <s v="CHRISTIAN ALVARADO"/>
        <s v="ROCIO TERRONES"/>
        <s v="ISABEL BEJARANO"/>
        <s v="DARYL FERREL"/>
        <s v="HAROLD FLORES"/>
        <s v="LYNDA PEREZ"/>
        <s v="VERONICA HUARCA"/>
        <s v="KATHLEEN FLORES"/>
        <s v="ANDERSON RODRIGUEZ"/>
        <s v="URSULA CENTENO"/>
        <s v="GIANNINA AGUILAR"/>
        <s v="SARITA GARAY"/>
        <s v="JANETH PORTOCARRERO"/>
        <s v="CARLOS CALAGUA"/>
        <s v="GERALDINE ARROYO"/>
        <s v="RAQUEL RICO"/>
        <s v="JOSUE VILCHEZ"/>
        <s v="TERRY ECHEVARR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39351855" createdVersion="8" refreshedVersion="8" minRefreshableVersion="3" recordCount="99" xr:uid="{71362CB0-0583-4DAF-8981-6E1B45ABB2F3}">
  <cacheSource type="worksheet">
    <worksheetSource ref="L8:O107" sheet="JULIO_2025"/>
  </cacheSource>
  <cacheFields count="4">
    <cacheField name="POS_" numFmtId="0">
      <sharedItems containsSemiMixedTypes="0" containsString="0" containsNumber="1" containsInteger="1" minValue="1" maxValue="12"/>
    </cacheField>
    <cacheField name="AL_AC" numFmtId="10">
      <sharedItems containsSemiMixedTypes="0" containsString="0" containsNumber="1" minValue="0" maxValue="2.5266153846153845"/>
    </cacheField>
    <cacheField name="CLASIFICACIÓN" numFmtId="0">
      <sharedItems count="5">
        <s v="&gt;100%"/>
        <s v="&gt;70%"/>
        <s v="&gt;40%"/>
        <s v="&gt;0%"/>
        <s v=""/>
      </sharedItems>
    </cacheField>
    <cacheField name="ASER_" numFmtId="0">
      <sharedItems containsMixedTypes="1" containsNumber="1" containsInteger="1" minValue="0" maxValue="0" count="85">
        <s v="VICTOR RAMIREZ"/>
        <s v="LISELY MERA"/>
        <s v="EVELY TENORIO"/>
        <s v="MALORY MONTEBLANCO"/>
        <s v="FRANCO HUAMANI"/>
        <s v="JENY LAZARO"/>
        <s v="LUIS VALLADARES"/>
        <s v="ERICK PORTILLA"/>
        <s v="GABRIELA APONTE"/>
        <s v="TERRY ECHEVARRIA"/>
        <s v=""/>
        <s v="PIERINA TESEN"/>
        <s v="MARIA TINTAYA"/>
        <s v="ALEJANDRA QUISPE"/>
        <s v="MELISSA GUERRERO"/>
        <s v="MICAELA PEREZ"/>
        <s v="CRISTINA TICONA"/>
        <s v="JAIR MARTINEZ"/>
        <s v="JHONATAN CHAVEZ"/>
        <s v="ANALUCIA PONCE"/>
        <s v="RICHARD RODRIGUEZ"/>
        <s v="DANIEL ZAPATA"/>
        <s v="FRANS TACSI"/>
        <s v="VERONICA TASAYCO"/>
        <s v="MARGARITA PIANCHACHI"/>
        <s v="GENESIS VICUNA"/>
        <s v="MILAGROS QUIO"/>
        <s v="ANDERSON RODRIGUEZ"/>
        <s v="BRINA SOTO"/>
        <s v="GIANFRANCO PINEDO"/>
        <s v="SOLMAIRA BRAVO"/>
        <s v="AURORA FAUSTOR"/>
        <s v="MERLY CORONEL"/>
        <s v="GILBERTO PURIZACA"/>
        <s v="ERIKA VILLAR"/>
        <s v="ANTHONY VICENTE"/>
        <s v="GIULIANA QUISPE"/>
        <s v="LUCERO JORDAN"/>
        <s v="ANTHONY TORRES"/>
        <s v="NATALIA MARIN"/>
        <s v="LUIS CENTENO"/>
        <s v="URSULA CENTENO"/>
        <s v="JUAN LOZA"/>
        <s v="LINDA TUESTA"/>
        <s v="MEDALITH NESTARES"/>
        <s v="STWUAR MACURI"/>
        <s v="JIMENA MEDINA"/>
        <s v="MARIA HUARCAYA"/>
        <s v="DARYL FERREL"/>
        <s v="GIANNINA AGUILAR"/>
        <s v="YENNY INGA"/>
        <s v="ALEIDITH GUEVARA"/>
        <s v="FRANK PACORA"/>
        <s v="ALEJANDRA AVILA"/>
        <s v="ROCIO TERRONES"/>
        <s v="CARLOS CALAGUA"/>
        <s v="CARMEN PUMA"/>
        <s v="MARCOS SARMIENTO"/>
        <s v="JOANA GIL"/>
        <s v="MICHAEL TAFUR"/>
        <s v="NARDIA URPIS"/>
        <s v="JHOVANA TORRES"/>
        <s v="DAVID SANCHEZ"/>
        <s v="GINA HUAMANI"/>
        <s v="CHRISTIAN ALVARADO"/>
        <s v="VERONICA HUARCA"/>
        <s v="ISABEL BEJARANO"/>
        <s v="HAROLD FLORES"/>
        <s v="RAQUEL RICO"/>
        <s v="LYNDA PEREZ"/>
        <s v="KATYUSCA LEVANO"/>
        <s v="KATHLEEN FLORES"/>
        <s v="DARY VICHARRA"/>
        <s v="SARITA GARAY"/>
        <s v="JUAN ALANOCCA"/>
        <s v="JANETH PORTOCARRERO"/>
        <s v="KIARA CANEPA"/>
        <s v="CHRISTIAN ALBUJAR"/>
        <s v="YEYMY HUERTA"/>
        <s v="GERALDINE ARROYO"/>
        <s v="ANABEL SIHUE"/>
        <s v="MAYRA AVALOS"/>
        <s v="CINTHYA PAUCAR"/>
        <s v="MARCO QUISPE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39583332" createdVersion="8" refreshedVersion="8" minRefreshableVersion="3" recordCount="99" xr:uid="{166DC745-C189-41C9-ADB1-899F6800E7BE}">
  <cacheSource type="worksheet">
    <worksheetSource name="DATAAGOSTO"/>
  </cacheSource>
  <cacheFields count="4">
    <cacheField name="ORDEN" numFmtId="0">
      <sharedItems containsSemiMixedTypes="0" containsString="0" containsNumber="1" containsInteger="1" minValue="1" maxValue="12"/>
    </cacheField>
    <cacheField name="AL_AC" numFmtId="10">
      <sharedItems containsSemiMixedTypes="0" containsString="0" containsNumber="1" minValue="0" maxValue="2.4919230769230771"/>
    </cacheField>
    <cacheField name="CLASIFICACIÓN" numFmtId="0">
      <sharedItems count="5">
        <s v="&gt;100%"/>
        <s v="&gt;70%"/>
        <s v="&gt;40%"/>
        <s v="&gt;0%"/>
        <s v=""/>
      </sharedItems>
    </cacheField>
    <cacheField name="ASER_" numFmtId="0">
      <sharedItems containsMixedTypes="1" containsNumber="1" containsInteger="1" minValue="0" maxValue="0" count="82">
        <s v="LISELY MERA"/>
        <s v="FRANCO HUAMANI"/>
        <s v="EVELY TENORIO"/>
        <s v="JENY LAZARO"/>
        <s v="MALORY MONTEBLANCO"/>
        <s v="LUIS VALLADARES"/>
        <s v="GABRIELA APONTE"/>
        <s v="ERICK PORTILLA"/>
        <s v="TERRY ECHEVARRIA"/>
        <s v="ROBERTO RODRIGUEZ"/>
        <s v=""/>
        <s v="PIERINA TESEN"/>
        <s v="JAIR MARTINEZ"/>
        <s v="ANALUCIA PONCE"/>
        <s v="MELISSA GUERRERO"/>
        <s v="ALEJANDRA QUISPE"/>
        <s v="CRISTINA TICONA"/>
        <s v="MICAELA PEREZ"/>
        <s v="JHONATAN CHAVEZ"/>
        <s v="RICHARD RODRIGUEZ"/>
        <s v="GERSON LAZARO"/>
        <s v="VERONICA TASAYCO"/>
        <s v="MARGARITA PIANCHACHI"/>
        <s v="MILAGROS QUIO"/>
        <s v="FRANS TACSI"/>
        <s v="GIANFRANCO PINEDO"/>
        <s v="GENESIS VICUNA"/>
        <s v="ANDERSON RODRIGUEZ"/>
        <s v="MISHEL MORALES"/>
        <s v="BRINA SOTO"/>
        <s v="ANTHONY TORRES"/>
        <s v="GILBERTO PURIZACA"/>
        <s v="MERLY CORONEL"/>
        <s v="AURORA FAUSTOR"/>
        <s v="LUCERO JORDAN"/>
        <s v="GIULIANA QUISPE"/>
        <s v="ERIKA VILLAR"/>
        <s v="SARITA GARAY"/>
        <s v="JESSICA MELGAREJO"/>
        <s v="LUIS CENTENO"/>
        <s v="STWUAR MACURI"/>
        <s v="JIMENA MEDINA"/>
        <s v="JUAN LOZA"/>
        <s v="GIANNINA AGUILAR"/>
        <s v="DARYL FERREL"/>
        <s v="MARIA HUARCAYA"/>
        <s v="LINDA TUESTA"/>
        <s v="YENNY INGA"/>
        <s v="MEDALITH NESTARES"/>
        <s v="LUPITA HIDALGO"/>
        <s v="CARMEN PUMA"/>
        <s v="ALEIDITH GUEVARA"/>
        <s v="FRANK PACORA"/>
        <s v="ALEJANDRA AVILA"/>
        <s v="MICHAEL TAFUR"/>
        <s v="ROCIO TERRONES"/>
        <s v="JHOVANA TORRES"/>
        <s v="MARCOS SARMIENTO"/>
        <s v="JOANA GIL"/>
        <s v="CARLOS CALAGUA"/>
        <s v="HAROLD FLORES"/>
        <s v="GINA HUAMANI"/>
        <s v="CHRISTIAN ALVARADO"/>
        <s v="KATYUSCA LEVANO"/>
        <s v="LYNDA PEREZ"/>
        <s v="VERONICA HUARCA"/>
        <s v="KATHLEEN FLORES"/>
        <s v="NOEMI CHUQUILIN"/>
        <s v="ANGELO SUAREZ"/>
        <s v="JHOHAN CONTRERAS"/>
        <s v="DARY VICHARRA"/>
        <s v="KIARA CANEPA"/>
        <s v="JANETH PORTOCARRERO"/>
        <s v="GERALDINE ARROYO"/>
        <s v="MARCO QUISPE"/>
        <s v="CHRISTIAN ALBUJAR"/>
        <s v="MAYRA AVALOS"/>
        <s v="ANABEL SIHUE"/>
        <s v="LUIS RUIZ"/>
        <s v="YEYMY HUERTA"/>
        <s v="JAIME TUMIALA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39930556" createdVersion="8" refreshedVersion="8" minRefreshableVersion="3" recordCount="123" xr:uid="{38206EA6-1C64-424B-BE6E-9B36195ECA21}">
  <cacheSource type="worksheet">
    <worksheetSource name="DATAENERO"/>
  </cacheSource>
  <cacheFields count="4">
    <cacheField name="ORDEN" numFmtId="0">
      <sharedItems containsSemiMixedTypes="0" containsString="0" containsNumber="1" containsInteger="1" minValue="1" maxValue="15"/>
    </cacheField>
    <cacheField name="AL_AC" numFmtId="10">
      <sharedItems containsMixedTypes="1" containsNumber="1" minValue="0" maxValue="1.9245034482758621"/>
    </cacheField>
    <cacheField name="CLASIFICACIÓN" numFmtId="0">
      <sharedItems count="5">
        <s v="&gt;70%"/>
        <s v="&gt;100%"/>
        <s v="&gt;40%"/>
        <s v=""/>
        <s v="&gt;0%"/>
      </sharedItems>
    </cacheField>
    <cacheField name="ASER_" numFmtId="0">
      <sharedItems count="72">
        <s v="ANTHONY TORRES"/>
        <s v="ANTHONY VICENTE"/>
        <s v="AURORA FAUSTOR"/>
        <s v="GIANFRANCO PINEDO"/>
        <s v="GILBERTO PURIZACA"/>
        <s v="JERSON RIVERA"/>
        <s v="MARGARITA PIANCHACHI"/>
        <s v="MELISSA GUERRERO"/>
        <s v=""/>
        <s v="CHRISTIAN ALVARADO"/>
        <s v="FRANS TACSI"/>
        <s v="GENESIS VICUNA"/>
        <s v="GIANNINA AGUILAR"/>
        <s v="JENY LAZARO"/>
        <s v="JOANA GIL"/>
        <s v="JUAN ALANOCCA"/>
        <s v="KATYUSCA LEVANO"/>
        <s v="NARDIA URPIS"/>
        <s v="PAMELA ALBITES"/>
        <s v="URSULA CENTENO"/>
        <s v="BRYAN VELASQUEZ"/>
        <s v="CARMEN PUMA"/>
        <s v="JIMENA MEDINA"/>
        <s v="JUAN LOZA"/>
        <s v="KIARA CANEPA"/>
        <s v="LUIS CENTENO"/>
        <s v="MARIA GONZALES"/>
        <s v="MAURICIO MARTINEZ"/>
        <s v="MEDALITH NESTARES"/>
        <s v="STWUAR MACURI"/>
        <s v="VICTOR RAMIREZ"/>
        <s v="ALEJANDRA AVILA"/>
        <s v="ANDERSON RODRIGUEZ"/>
        <s v="CRISTINA TICONA"/>
        <s v="GABRIELA APONTE"/>
        <s v="GERALDINE ARROYO"/>
        <s v="GIULIANA QUISPE"/>
        <s v="HAROLD FLORES"/>
        <s v="LUIS VALLADARES"/>
        <s v="MARCELIT LOPEZ"/>
        <s v="MERLY CORONEL"/>
        <s v="ROCIO TERRONES"/>
        <s v="SARITA GARAY"/>
        <s v="VERONICA HUARCA"/>
        <s v="ALEJANDRO GONZALES"/>
        <s v="ANALUCIA PONCE"/>
        <s v="DARYL FERREL"/>
        <s v="DAVID SANCHEZ"/>
        <s v="JEREMIAS ROJAS"/>
        <s v="JHOVANA TORRES"/>
        <s v="MARIA TINTAYA"/>
        <s v="MILAGROS QUIO"/>
        <s v="PIERINA TESEN"/>
        <s v="ALEIDITH GUEVARA"/>
        <s v="BRINA SOTO"/>
        <s v="DANIEL ZAPATA"/>
        <s v="FRANCO HUAMANI"/>
        <s v="ISABEL BEJARANO"/>
        <s v="JANETH PORTOCARRERO"/>
        <s v="JESSICA MELGAREJO"/>
        <s v="JHONATAN CHAVEZ"/>
        <s v="LINDA TUESTA"/>
        <s v="LUCERO JORDAN"/>
        <s v="ALEJANDRA QUISPE"/>
        <s v="EVELY TENORIO"/>
        <s v="JAIR MARTINEZ"/>
        <s v="JOSUE CHOCCE"/>
        <s v="LISELY MERA"/>
        <s v="MALORY MONTEBLANCO"/>
        <s v="RICHARD RODRIGUEZ"/>
        <s v="TERRY ECHEVARRIA"/>
        <s v="VERONICA TASAYC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4016204" createdVersion="8" refreshedVersion="8" minRefreshableVersion="3" recordCount="123" xr:uid="{FFD86A67-A3E8-4BC4-9B1C-8085406D4DF5}">
  <cacheSource type="worksheet">
    <worksheetSource name="DATAFEBRERO"/>
  </cacheSource>
  <cacheFields count="4">
    <cacheField name="ORDEN" numFmtId="0">
      <sharedItems containsSemiMixedTypes="0" containsString="0" containsNumber="1" containsInteger="1" minValue="1" maxValue="15"/>
    </cacheField>
    <cacheField name="AL_AC" numFmtId="10">
      <sharedItems containsMixedTypes="1" containsNumber="1" minValue="0" maxValue="1.9456465517241379"/>
    </cacheField>
    <cacheField name="CLASIFICACIÓN" numFmtId="0">
      <sharedItems count="5">
        <s v="&gt;40%"/>
        <s v="&gt;100%"/>
        <s v="&gt;70%"/>
        <s v=""/>
        <s v="&gt;0%"/>
      </sharedItems>
    </cacheField>
    <cacheField name="ASER_" numFmtId="0">
      <sharedItems count="71">
        <s v="ALEJANDRA QUISPE"/>
        <s v="ERIKA VILLAR"/>
        <s v="EVELY TENORIO"/>
        <s v="JAIR MARTINEZ"/>
        <s v="LISELY MERA"/>
        <s v="RICHARD RODRIGUEZ"/>
        <s v="TERRY ECHEVARRIA"/>
        <s v="VERONICA TASAYCO"/>
        <s v="VICTOR RAMIREZ"/>
        <s v=""/>
        <s v="ALEJANDRO GONZALES"/>
        <s v="ANALUCIA PONCE"/>
        <s v="DARYL FERREL"/>
        <s v="DAVID SANCHEZ"/>
        <s v="JHOVANA TORRES"/>
        <s v="LUIS VALLADARES"/>
        <s v="MARIA TINTAYA"/>
        <s v="MILAGROS QUIO"/>
        <s v="PIERINA TESEN"/>
        <s v="CHRISTIAN ALVARADO"/>
        <s v="FRANS TACSI"/>
        <s v="GENESIS VICUNA"/>
        <s v="GIANNINA AGUILAR"/>
        <s v="JENY LAZARO"/>
        <s v="JUAN ALANOCCA"/>
        <s v="KATYUSCA LEVANO"/>
        <s v="NARDIA URPIS"/>
        <s v="ORIANA ARANA"/>
        <s v="PAMELA ALBITES"/>
        <s v="URSULA CENTENO"/>
        <s v="YENNY INGA"/>
        <s v="ANTHONY VICENTE"/>
        <s v="AURORA FAUSTOR"/>
        <s v="GIANFRANCO PINEDO"/>
        <s v="GILBERTO PURIZACA"/>
        <s v="JERSON RIVERA"/>
        <s v="JOANA GIL"/>
        <s v="MARGARITA PIANCHACHI"/>
        <s v="MELISSA GUERRERO"/>
        <s v="NATALIA MARIN"/>
        <s v="BRYAN VELASQUEZ"/>
        <s v="CARMEN PUMA"/>
        <s v="JIMENA MEDINA"/>
        <s v="JUAN LOZA"/>
        <s v="LUIS CENTENO"/>
        <s v="MARCO SARMIENTO"/>
        <s v="MARIA GONZALES"/>
        <s v="MAURICIO MARTINEZ"/>
        <s v="MICAELA PEREZ"/>
        <s v="STWUAR MACURI"/>
        <s v="ALEIDITH GUEVARA"/>
        <s v="BRINA SOTO"/>
        <s v="CARLOS CALAGUA"/>
        <s v="DANIEL ZAPATA"/>
        <s v="FRANCO HUAMANI"/>
        <s v="ISABEL BEJARANO"/>
        <s v="JANETH PORTOCARRERO"/>
        <s v="JESSICA MELGAREJO"/>
        <s v="LINDA TUESTA"/>
        <s v="LUCERO JORDAN"/>
        <s v="ALEJANDRA AVILA"/>
        <s v="ANDERSON RODRIGUEZ"/>
        <s v="CRISTINA TICONA"/>
        <s v="GABRIELA APONTE"/>
        <s v="GERALDINE ARROYO"/>
        <s v="GIULIANA QUISPE"/>
        <s v="HAROLD FLORES"/>
        <s v="MARCELIT LOPEZ"/>
        <s v="ROCIO TERRONES"/>
        <s v="SARITA GARAY"/>
        <s v="VERONICA HUAR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40393517" createdVersion="8" refreshedVersion="8" minRefreshableVersion="3" recordCount="123" xr:uid="{F85E9DF8-BF3A-460D-94D0-FCC992DDC66A}">
  <cacheSource type="worksheet">
    <worksheetSource name="DATAMARZO"/>
  </cacheSource>
  <cacheFields count="4">
    <cacheField name="ORDEN" numFmtId="0">
      <sharedItems containsSemiMixedTypes="0" containsString="0" containsNumber="1" containsInteger="1" minValue="1" maxValue="15"/>
    </cacheField>
    <cacheField name="AL_AC" numFmtId="10">
      <sharedItems containsMixedTypes="1" containsNumber="1" minValue="0" maxValue="2.134415322580645"/>
    </cacheField>
    <cacheField name="CLASIFICACIÓN" numFmtId="0">
      <sharedItems count="5">
        <s v=""/>
        <s v="&gt;40%"/>
        <s v="&gt;100%"/>
        <s v="&gt;70%"/>
        <s v="&gt;0%"/>
      </sharedItems>
    </cacheField>
    <cacheField name="ASER_" numFmtId="0">
      <sharedItems count="73">
        <s v="ALEJANDRA QUISPE"/>
        <s v="CHRISTIAN ALBUJAR"/>
        <s v="ERIKA VILLAR"/>
        <s v="EVELY TENORIO"/>
        <s v="JAIR MARTINEZ"/>
        <s v="LISELY MERA"/>
        <s v="MALORY MONTEBLANCO"/>
        <s v="MICHAEL TAFUR"/>
        <s v="RICHARD RODRIGUEZ"/>
        <s v="VERONICA TASAYCO"/>
        <s v="VICTOR RAMIREZ"/>
        <s v=""/>
        <s v="ALEJANDRO GONZALES"/>
        <s v="DARYL FERREL"/>
        <s v="JHOVANA TORRES"/>
        <s v="LUIS VALLADARES"/>
        <s v="MARIA TINTAYA"/>
        <s v="MICAELA PEREZ"/>
        <s v="MILAGROS QUIO"/>
        <s v="PIERINA TESEN"/>
        <s v="CHRISTIAN ALVARADO"/>
        <s v="FRANS TACSI"/>
        <s v="GENESIS VICUNA"/>
        <s v="GIANNINA AGUILAR"/>
        <s v="HARLINGTON VIDAL"/>
        <s v="JENY LAZARO"/>
        <s v="JUAN ALANOCCA"/>
        <s v="NARDIA URPIS"/>
        <s v="URSULA CENTENO"/>
        <s v="YENNY INGA"/>
        <s v="ANTHONY VICENTE"/>
        <s v="AURORA FAUSTOR"/>
        <s v="GIANFRANCO PINEDO"/>
        <s v="GILBERTO PURIZACA"/>
        <s v="JERSON RIVERA"/>
        <s v="JOANA GIL"/>
        <s v="MARGARITA PIANCHACHI"/>
        <s v="MELISSA GUERRERO"/>
        <s v="NATALIA MARIN"/>
        <s v="BRYAN VELASQUEZ"/>
        <s v="CARMEN PUMA"/>
        <s v="DAVID SANCHEZ"/>
        <s v="JIMENA MEDINA"/>
        <s v="JUAN LOZA"/>
        <s v="LUIS CENTENO"/>
        <s v="MARCO SARMIENTO"/>
        <s v="MARIA GONZALES"/>
        <s v="MAURICIO MARTINEZ"/>
        <s v="MEDALITH NESTARES"/>
        <s v="ROGGER RODRIGUEZ"/>
        <s v="STWUAR MACURI"/>
        <s v="ALEJANDRA AVILA"/>
        <s v="ANDERSON RODRIGUEZ"/>
        <s v="CRISTINA TICONA"/>
        <s v="EDSON MAMANI"/>
        <s v="GABRIELA APONTE"/>
        <s v="GERALDINE ARROYO"/>
        <s v="GIULIANA QUISPE"/>
        <s v="HAROLD FLORES"/>
        <s v="MERLY CORONEL"/>
        <s v="ROCIO TERRONES"/>
        <s v="SARITA GARAY"/>
        <s v="VERONICA HUARCA"/>
        <s v="ALEIDITH GUEVARA"/>
        <s v="BRINA SOTO"/>
        <s v="CARLOS CALAGUA"/>
        <s v="DANIEL ZAPATA"/>
        <s v="FRANCO HUAMANI"/>
        <s v="ISABEL BEJARANO"/>
        <s v="JANETH PORTOCARRERO"/>
        <s v="JHONATAN CHAVEZ"/>
        <s v="LINDA TUESTA"/>
        <s v="LUCERO JORDA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40740741" createdVersion="8" refreshedVersion="8" minRefreshableVersion="3" recordCount="123" xr:uid="{F2A90107-F3BC-4A32-860D-A797B139F3F6}">
  <cacheSource type="worksheet">
    <worksheetSource name="DATAABRIL"/>
  </cacheSource>
  <cacheFields count="4">
    <cacheField name="ORDEN" numFmtId="0">
      <sharedItems containsSemiMixedTypes="0" containsString="0" containsNumber="1" containsInteger="1" minValue="1" maxValue="15"/>
    </cacheField>
    <cacheField name="AL_AC" numFmtId="10">
      <sharedItems containsSemiMixedTypes="0" containsString="0" containsNumber="1" minValue="0" maxValue="1.789719298245614"/>
    </cacheField>
    <cacheField name="CLASIFICACIÓN" numFmtId="0">
      <sharedItems count="5">
        <s v="&gt;0%"/>
        <s v="&gt;100%"/>
        <s v="&gt;70%"/>
        <s v=""/>
        <s v="&gt;40%"/>
      </sharedItems>
    </cacheField>
    <cacheField name="ASER_" numFmtId="0">
      <sharedItems count="68">
        <s v="ALEJANDRO GONZALES"/>
        <s v="CHRISTIAN ALBUJAR"/>
        <s v="EVELY TENORIO"/>
        <s v="LISELY MERA"/>
        <s v="MALORY MONTEBLANCO"/>
        <s v="MICHAEL TAFUR"/>
        <s v="ROCIO TERRONES"/>
        <s v="VICTOR RAMIREZ"/>
        <s v=""/>
        <s v="ESTRELLA TINTAYA"/>
        <s v="JAIR MARTINEZ"/>
        <s v="JHONATAN CHAVEZ"/>
        <s v="MARIA TINTAYA"/>
        <s v="MELISSA GUERRERO"/>
        <s v="MICAELA PEREZ"/>
        <s v="PIERINA TESEN"/>
        <s v="RICHARD RODRIGUEZ"/>
        <s v="GENESIS VICUNA"/>
        <s v="GIANFRANCO PINEDO"/>
        <s v="JUAN ALANOCCA"/>
        <s v="LUIS VALLADARES"/>
        <s v="MARGARITA PIANCHACHI"/>
        <s v="MILAGROS QUIO"/>
        <s v="VERONICA TASAYCO"/>
        <s v="ALEJANDRA QUISPE"/>
        <s v="ANTHONY VICENTE"/>
        <s v="AURORA FAUSTOR"/>
        <s v="ERIKA VILLAR"/>
        <s v="GILBERTO PURIZACA"/>
        <s v="LUCERO JORDAN"/>
        <s v="MERLY CORONEL"/>
        <s v="NATALIA MARIN"/>
        <s v="ALEIDITH GUEVARA"/>
        <s v="DAVID SANCHEZ"/>
        <s v="FRANK PACORA"/>
        <s v="JIMENA MEDINA"/>
        <s v="JUAN LOZA"/>
        <s v="LUIS CENTENO"/>
        <s v="MARCO SARMIENTO"/>
        <s v="MEDALITH NESTARES"/>
        <s v="ROGGER RODRIGUEZ"/>
        <s v="STWUAR MACURI"/>
        <s v="ALEJANDRA AVILA"/>
        <s v="ANDERSON RODRIGUEZ"/>
        <s v="CARLOS CALAGUA"/>
        <s v="CHRISTIAN ALVARADO"/>
        <s v="GIULIANA QUISPE"/>
        <s v="HAROLD FLORES"/>
        <s v="JHOVANA TORRES"/>
        <s v="JOANA GIL"/>
        <s v="SARITA GARAY"/>
        <s v="BRINA SOTO"/>
        <s v="EDSON MAMANI"/>
        <s v="FRANCO HUAMANI"/>
        <s v="GERALDINE ARROYO"/>
        <s v="ISABEL BEJARANO"/>
        <s v="LINDA TUESTA"/>
        <s v="URSULA CENTENO"/>
        <s v="YENNY INGA"/>
        <s v="YEYMY HUERTA"/>
        <s v="CRISTINA TICONA"/>
        <s v="DANIEL ZAPATA"/>
        <s v="FRANS TACSI"/>
        <s v="GABRIELA APONTE"/>
        <s v="GIANNINA AGUILAR"/>
        <s v="HARLINGTON VIDAL"/>
        <s v="NARDIA URPIS"/>
        <s v="VERONICA HUAR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Vasquez" refreshedDate="45971.434440972225" createdVersion="8" refreshedVersion="8" minRefreshableVersion="3" recordCount="123" xr:uid="{18A20C9B-EB21-4CD2-918E-CF779CEF7657}">
  <cacheSource type="worksheet">
    <worksheetSource name="DATAMAYO"/>
  </cacheSource>
  <cacheFields count="4">
    <cacheField name="ORDEN" numFmtId="0">
      <sharedItems containsSemiMixedTypes="0" containsString="0" containsNumber="1" containsInteger="1" minValue="1" maxValue="15"/>
    </cacheField>
    <cacheField name="AL_AC" numFmtId="10">
      <sharedItems containsSemiMixedTypes="0" containsString="0" containsNumber="1" minValue="0" maxValue="1.8238461538461539"/>
    </cacheField>
    <cacheField name="CLASIFICACIÓN" numFmtId="0">
      <sharedItems count="5">
        <s v="&gt;40%"/>
        <s v="&gt;100%"/>
        <s v="&gt;0%"/>
        <s v=""/>
        <s v="&gt;70%"/>
      </sharedItems>
    </cacheField>
    <cacheField name="ASER_" numFmtId="0">
      <sharedItems count="77">
        <s v="ALEJANDRO GONZALES"/>
        <s v="CHRISTIAN ALBUJAR"/>
        <s v="EVELY TENORIO"/>
        <s v="JENY LAZARO"/>
        <s v="LISELY MERA"/>
        <s v="MALORY MONTEBLANCO"/>
        <s v="MICHAEL TAFUR"/>
        <s v="ROCIO TERRONES"/>
        <s v="VICTOR RAMIREZ"/>
        <s v=""/>
        <s v="CINTHYA PAUCAR"/>
        <s v="CRISTINA TICONA"/>
        <s v="JAIR MARTINEZ"/>
        <s v="JHONATAN CHAVEZ"/>
        <s v="MARIA TINTAYA"/>
        <s v="MELISSA GUERRERO"/>
        <s v="MICAELA PEREZ"/>
        <s v="PIERINA TESEN"/>
        <s v="FRANS TACSI"/>
        <s v="GENESIS VICUNA"/>
        <s v="GIANFRANCO PINEDO"/>
        <s v="JUAN ALANOCCA"/>
        <s v="LUIS VALLADARES"/>
        <s v="MARGARITA PIANCHACHI"/>
        <s v="MILAGROS QUIO"/>
        <s v="SOLMAIRA BRAVO"/>
        <s v="VERONICA TASAYCO"/>
        <s v="ALEJANDRA QUISPE"/>
        <s v="ANTHONY TORRES"/>
        <s v="ANTHONY VICENTE"/>
        <s v="AURORA FAUSTOR"/>
        <s v="ERIKA VILLAR"/>
        <s v="GILBERTO PURIZACA"/>
        <s v="LUCERO JORDAN"/>
        <s v="MERLY CORONEL"/>
        <s v="NATALIA MARIN"/>
        <s v="ALEIDITH GUEVARA"/>
        <s v="CARMEN PUMA"/>
        <s v="DAVID SANCHEZ"/>
        <s v="FRANK PACORA"/>
        <s v="GINA HUAMANI"/>
        <s v="JIMENA MEDINA"/>
        <s v="JUAN LOZA"/>
        <s v="KIARA CANEPA"/>
        <s v="LUIS CENTENO"/>
        <s v="MARCO SARMIENTO"/>
        <s v="MEDALITH NESTARES"/>
        <s v="STWUAR MACURI"/>
        <s v="ANDREA ALEJOS"/>
        <s v="DANIEL ZAPATA"/>
        <s v="GABRIELA APONTE"/>
        <s v="JHOVANA TORRES"/>
        <s v="LINDA TUESTA"/>
        <s v="MARIA HUARCAYA"/>
        <s v="NARDIA URPIS"/>
        <s v="YENNY INGA"/>
        <s v="YEYMY HUERTA"/>
        <s v="ALEJANDRA AVILA"/>
        <s v="BRINA SOTO"/>
        <s v="CHRISTIAN ALVARADO"/>
        <s v="DARYL FERREL"/>
        <s v="FRANCO HUAMANI"/>
        <s v="HAROLD FLORES"/>
        <s v="ISABEL BEJARANO"/>
        <s v="LIZETH RAMIREZ"/>
        <s v="LYNDA PEREZ"/>
        <s v="VERONICA HUARCA"/>
        <s v="ANDERSON RODRIGUEZ"/>
        <s v="CARLOS CALAGUA"/>
        <s v="GERALDINE ARROYO"/>
        <s v="GIANNINA AGUILAR"/>
        <s v="GIULIANA QUISPE"/>
        <s v="JANETH PORTOCARRERO"/>
        <s v="MIRYAM YAPU"/>
        <s v="RAQUEL RICO"/>
        <s v="SARITA GARAY"/>
        <s v="URSULA CENTE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1"/>
    <n v="2.6484090909090909"/>
    <x v="0"/>
    <x v="0"/>
  </r>
  <r>
    <n v="2"/>
    <n v="1.1218181818181818"/>
    <x v="0"/>
    <x v="1"/>
  </r>
  <r>
    <n v="3"/>
    <n v="1.079690909090909"/>
    <x v="0"/>
    <x v="2"/>
  </r>
  <r>
    <n v="4"/>
    <n v="1.011590909090909"/>
    <x v="0"/>
    <x v="3"/>
  </r>
  <r>
    <n v="5"/>
    <n v="0.94077272727272732"/>
    <x v="1"/>
    <x v="4"/>
  </r>
  <r>
    <n v="6"/>
    <n v="0.85445454545454547"/>
    <x v="1"/>
    <x v="5"/>
  </r>
  <r>
    <n v="7"/>
    <n v="0.76181818181818184"/>
    <x v="1"/>
    <x v="6"/>
  </r>
  <r>
    <n v="8"/>
    <n v="0.69650000000000001"/>
    <x v="2"/>
    <x v="7"/>
  </r>
  <r>
    <n v="9"/>
    <n v="0.45429090909090908"/>
    <x v="2"/>
    <x v="8"/>
  </r>
  <r>
    <n v="10"/>
    <n v="0.32363636363636361"/>
    <x v="3"/>
    <x v="9"/>
  </r>
  <r>
    <n v="11"/>
    <n v="0"/>
    <x v="4"/>
    <x v="10"/>
  </r>
  <r>
    <n v="12"/>
    <n v="0"/>
    <x v="4"/>
    <x v="10"/>
  </r>
  <r>
    <n v="13"/>
    <n v="0"/>
    <x v="4"/>
    <x v="10"/>
  </r>
  <r>
    <n v="14"/>
    <n v="0"/>
    <x v="4"/>
    <x v="10"/>
  </r>
  <r>
    <n v="15"/>
    <n v="0"/>
    <x v="4"/>
    <x v="10"/>
  </r>
  <r>
    <n v="1"/>
    <n v="2.2401818181818181"/>
    <x v="0"/>
    <x v="11"/>
  </r>
  <r>
    <n v="2"/>
    <n v="1.1891818181818181"/>
    <x v="0"/>
    <x v="12"/>
  </r>
  <r>
    <n v="3"/>
    <n v="0.80418181818181822"/>
    <x v="1"/>
    <x v="13"/>
  </r>
  <r>
    <n v="4"/>
    <n v="0.67336363636363639"/>
    <x v="2"/>
    <x v="14"/>
  </r>
  <r>
    <n v="5"/>
    <n v="0.53572727272727272"/>
    <x v="2"/>
    <x v="15"/>
  </r>
  <r>
    <n v="6"/>
    <n v="0.53149999999999997"/>
    <x v="2"/>
    <x v="16"/>
  </r>
  <r>
    <n v="7"/>
    <n v="0.44704545454545452"/>
    <x v="2"/>
    <x v="17"/>
  </r>
  <r>
    <n v="8"/>
    <n v="0.4249090909090909"/>
    <x v="2"/>
    <x v="18"/>
  </r>
  <r>
    <n v="9"/>
    <n v="0.42295454545454547"/>
    <x v="2"/>
    <x v="19"/>
  </r>
  <r>
    <n v="10"/>
    <n v="0.42222727272727273"/>
    <x v="2"/>
    <x v="20"/>
  </r>
  <r>
    <n v="11"/>
    <n v="0"/>
    <x v="4"/>
    <x v="10"/>
  </r>
  <r>
    <n v="12"/>
    <n v="0"/>
    <x v="4"/>
    <x v="10"/>
  </r>
  <r>
    <n v="13"/>
    <n v="0"/>
    <x v="4"/>
    <x v="10"/>
  </r>
  <r>
    <n v="14"/>
    <n v="0"/>
    <x v="4"/>
    <x v="10"/>
  </r>
  <r>
    <n v="15"/>
    <n v="0"/>
    <x v="4"/>
    <x v="10"/>
  </r>
  <r>
    <n v="1"/>
    <n v="1.3979375000000001"/>
    <x v="0"/>
    <x v="21"/>
  </r>
  <r>
    <n v="2"/>
    <n v="0.99562499999999998"/>
    <x v="1"/>
    <x v="22"/>
  </r>
  <r>
    <n v="3"/>
    <n v="0.95665624999999999"/>
    <x v="1"/>
    <x v="23"/>
  </r>
  <r>
    <n v="4"/>
    <n v="0.96356249999999999"/>
    <x v="1"/>
    <x v="24"/>
  </r>
  <r>
    <n v="5"/>
    <n v="0.95709374999999997"/>
    <x v="1"/>
    <x v="25"/>
  </r>
  <r>
    <n v="6"/>
    <n v="0.86759375000000005"/>
    <x v="1"/>
    <x v="26"/>
  </r>
  <r>
    <n v="7"/>
    <n v="0.44046875000000002"/>
    <x v="2"/>
    <x v="27"/>
  </r>
  <r>
    <n v="8"/>
    <n v="0.3354375"/>
    <x v="3"/>
    <x v="28"/>
  </r>
  <r>
    <n v="9"/>
    <n v="0"/>
    <x v="4"/>
    <x v="10"/>
  </r>
  <r>
    <n v="10"/>
    <n v="0"/>
    <x v="4"/>
    <x v="10"/>
  </r>
  <r>
    <n v="11"/>
    <n v="0"/>
    <x v="4"/>
    <x v="10"/>
  </r>
  <r>
    <n v="12"/>
    <n v="0"/>
    <x v="4"/>
    <x v="10"/>
  </r>
  <r>
    <n v="13"/>
    <n v="0"/>
    <x v="4"/>
    <x v="10"/>
  </r>
  <r>
    <n v="14"/>
    <n v="0"/>
    <x v="4"/>
    <x v="10"/>
  </r>
  <r>
    <n v="15"/>
    <n v="0"/>
    <x v="4"/>
    <x v="10"/>
  </r>
  <r>
    <n v="1"/>
    <n v="1.5539156250000001"/>
    <x v="0"/>
    <x v="29"/>
  </r>
  <r>
    <n v="2"/>
    <n v="0.94443750000000004"/>
    <x v="1"/>
    <x v="30"/>
  </r>
  <r>
    <n v="3"/>
    <n v="0.89687499999999998"/>
    <x v="1"/>
    <x v="31"/>
  </r>
  <r>
    <n v="4"/>
    <n v="0.88634374999999999"/>
    <x v="1"/>
    <x v="32"/>
  </r>
  <r>
    <n v="5"/>
    <n v="0.80615625000000002"/>
    <x v="1"/>
    <x v="33"/>
  </r>
  <r>
    <n v="6"/>
    <n v="0.60309374999999998"/>
    <x v="2"/>
    <x v="34"/>
  </r>
  <r>
    <n v="7"/>
    <n v="0.36471874999999998"/>
    <x v="3"/>
    <x v="35"/>
  </r>
  <r>
    <n v="8"/>
    <n v="0.13746875"/>
    <x v="3"/>
    <x v="36"/>
  </r>
  <r>
    <n v="9"/>
    <n v="0"/>
    <x v="4"/>
    <x v="10"/>
  </r>
  <r>
    <n v="10"/>
    <n v="0"/>
    <x v="4"/>
    <x v="10"/>
  </r>
  <r>
    <n v="11"/>
    <n v="0"/>
    <x v="4"/>
    <x v="10"/>
  </r>
  <r>
    <n v="12"/>
    <n v="0"/>
    <x v="4"/>
    <x v="10"/>
  </r>
  <r>
    <n v="13"/>
    <n v="0"/>
    <x v="4"/>
    <x v="10"/>
  </r>
  <r>
    <n v="14"/>
    <n v="0"/>
    <x v="4"/>
    <x v="10"/>
  </r>
  <r>
    <n v="15"/>
    <n v="0"/>
    <x v="4"/>
    <x v="10"/>
  </r>
  <r>
    <n v="1"/>
    <n v="1.9579811320754716"/>
    <x v="0"/>
    <x v="37"/>
  </r>
  <r>
    <n v="2"/>
    <n v="1.1283018867924528"/>
    <x v="0"/>
    <x v="38"/>
  </r>
  <r>
    <n v="3"/>
    <n v="0.95771698113207548"/>
    <x v="1"/>
    <x v="39"/>
  </r>
  <r>
    <n v="4"/>
    <n v="0.84499999999999997"/>
    <x v="1"/>
    <x v="40"/>
  </r>
  <r>
    <n v="5"/>
    <n v="0.73509433962264148"/>
    <x v="1"/>
    <x v="41"/>
  </r>
  <r>
    <n v="6"/>
    <n v="0.27422641509433965"/>
    <x v="3"/>
    <x v="42"/>
  </r>
  <r>
    <n v="7"/>
    <n v="0.19549056603773585"/>
    <x v="3"/>
    <x v="43"/>
  </r>
  <r>
    <n v="8"/>
    <n v="0.14150943396226415"/>
    <x v="3"/>
    <x v="44"/>
  </r>
  <r>
    <n v="9"/>
    <n v="0"/>
    <x v="4"/>
    <x v="10"/>
  </r>
  <r>
    <n v="10"/>
    <n v="0"/>
    <x v="4"/>
    <x v="10"/>
  </r>
  <r>
    <n v="11"/>
    <n v="0"/>
    <x v="4"/>
    <x v="10"/>
  </r>
  <r>
    <n v="12"/>
    <n v="0"/>
    <x v="4"/>
    <x v="10"/>
  </r>
  <r>
    <n v="13"/>
    <n v="0"/>
    <x v="4"/>
    <x v="10"/>
  </r>
  <r>
    <n v="14"/>
    <n v="0"/>
    <x v="4"/>
    <x v="10"/>
  </r>
  <r>
    <n v="15"/>
    <n v="0"/>
    <x v="4"/>
    <x v="10"/>
  </r>
  <r>
    <n v="1"/>
    <n v="1.3928301886792454"/>
    <x v="0"/>
    <x v="45"/>
  </r>
  <r>
    <n v="2"/>
    <n v="0.55169811320754714"/>
    <x v="2"/>
    <x v="46"/>
  </r>
  <r>
    <n v="3"/>
    <n v="0.53179245283018872"/>
    <x v="2"/>
    <x v="47"/>
  </r>
  <r>
    <n v="4"/>
    <n v="0.47098113207547171"/>
    <x v="2"/>
    <x v="48"/>
  </r>
  <r>
    <n v="5"/>
    <n v="0.45182075471698113"/>
    <x v="2"/>
    <x v="49"/>
  </r>
  <r>
    <n v="6"/>
    <n v="0.34173584905660376"/>
    <x v="3"/>
    <x v="50"/>
  </r>
  <r>
    <n v="7"/>
    <n v="0.26792452830188679"/>
    <x v="3"/>
    <x v="51"/>
  </r>
  <r>
    <n v="8"/>
    <n v="0.26111320754716982"/>
    <x v="3"/>
    <x v="52"/>
  </r>
  <r>
    <n v="9"/>
    <n v="0"/>
    <x v="4"/>
    <x v="10"/>
  </r>
  <r>
    <n v="10"/>
    <n v="0"/>
    <x v="4"/>
    <x v="10"/>
  </r>
  <r>
    <n v="11"/>
    <n v="0"/>
    <x v="4"/>
    <x v="10"/>
  </r>
  <r>
    <n v="12"/>
    <n v="0"/>
    <x v="4"/>
    <x v="10"/>
  </r>
  <r>
    <n v="13"/>
    <n v="0"/>
    <x v="4"/>
    <x v="10"/>
  </r>
  <r>
    <n v="14"/>
    <n v="0"/>
    <x v="4"/>
    <x v="10"/>
  </r>
  <r>
    <n v="15"/>
    <n v="0"/>
    <x v="4"/>
    <x v="10"/>
  </r>
  <r>
    <n v="1"/>
    <n v="1.6813142857142858"/>
    <x v="0"/>
    <x v="53"/>
  </r>
  <r>
    <n v="2"/>
    <n v="1.3407150000000001"/>
    <x v="0"/>
    <x v="54"/>
  </r>
  <r>
    <n v="3"/>
    <n v="0.91550585714285715"/>
    <x v="1"/>
    <x v="55"/>
  </r>
  <r>
    <n v="4"/>
    <n v="0.86799999999999999"/>
    <x v="1"/>
    <x v="56"/>
  </r>
  <r>
    <n v="5"/>
    <n v="0.7658571428571429"/>
    <x v="1"/>
    <x v="57"/>
  </r>
  <r>
    <n v="6"/>
    <n v="0.64928571428571424"/>
    <x v="2"/>
    <x v="58"/>
  </r>
  <r>
    <n v="7"/>
    <n v="0.51529999999999998"/>
    <x v="2"/>
    <x v="59"/>
  </r>
  <r>
    <n v="8"/>
    <n v="0.28318571428571426"/>
    <x v="3"/>
    <x v="60"/>
  </r>
  <r>
    <n v="9"/>
    <n v="0"/>
    <x v="4"/>
    <x v="10"/>
  </r>
  <r>
    <n v="10"/>
    <n v="0"/>
    <x v="4"/>
    <x v="10"/>
  </r>
  <r>
    <n v="11"/>
    <n v="0"/>
    <x v="4"/>
    <x v="10"/>
  </r>
  <r>
    <n v="12"/>
    <n v="0"/>
    <x v="4"/>
    <x v="10"/>
  </r>
  <r>
    <n v="13"/>
    <n v="0"/>
    <x v="4"/>
    <x v="10"/>
  </r>
  <r>
    <n v="14"/>
    <n v="0"/>
    <x v="4"/>
    <x v="10"/>
  </r>
  <r>
    <n v="15"/>
    <n v="0"/>
    <x v="4"/>
    <x v="10"/>
  </r>
  <r>
    <n v="1"/>
    <n v="1.7717391304347827"/>
    <x v="0"/>
    <x v="61"/>
  </r>
  <r>
    <n v="2"/>
    <n v="1.4431739130434782"/>
    <x v="0"/>
    <x v="62"/>
  </r>
  <r>
    <n v="3"/>
    <n v="1.2923913043478261"/>
    <x v="0"/>
    <x v="63"/>
  </r>
  <r>
    <n v="4"/>
    <n v="1.1452608695652173"/>
    <x v="0"/>
    <x v="64"/>
  </r>
  <r>
    <n v="5"/>
    <n v="1.0704347826086957"/>
    <x v="0"/>
    <x v="65"/>
  </r>
  <r>
    <n v="6"/>
    <n v="0.73760869565217391"/>
    <x v="1"/>
    <x v="66"/>
  </r>
  <r>
    <n v="7"/>
    <n v="0.65221739130434786"/>
    <x v="2"/>
    <x v="67"/>
  </r>
  <r>
    <n v="8"/>
    <n v="0.38526086956521738"/>
    <x v="3"/>
    <x v="68"/>
  </r>
  <r>
    <n v="9"/>
    <n v="0.2713913043478261"/>
    <x v="3"/>
    <x v="69"/>
  </r>
  <r>
    <n v="10"/>
    <n v="0.16347826086956521"/>
    <x v="3"/>
    <x v="70"/>
  </r>
  <r>
    <n v="11"/>
    <n v="0"/>
    <x v="4"/>
    <x v="10"/>
  </r>
  <r>
    <n v="12"/>
    <n v="0"/>
    <x v="4"/>
    <x v="10"/>
  </r>
  <r>
    <n v="13"/>
    <n v="0"/>
    <x v="4"/>
    <x v="10"/>
  </r>
  <r>
    <n v="14"/>
    <n v="0"/>
    <x v="4"/>
    <x v="10"/>
  </r>
  <r>
    <n v="15"/>
    <n v="0"/>
    <x v="4"/>
    <x v="10"/>
  </r>
  <r>
    <n v="1"/>
    <n v="0"/>
    <x v="4"/>
    <x v="10"/>
  </r>
  <r>
    <n v="2"/>
    <n v="0"/>
    <x v="4"/>
    <x v="10"/>
  </r>
  <r>
    <n v="3"/>
    <n v="0"/>
    <x v="4"/>
    <x v="1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1"/>
    <n v="0.30823636363636364"/>
    <x v="0"/>
    <x v="0"/>
  </r>
  <r>
    <n v="2"/>
    <n v="0.2818181818181818"/>
    <x v="0"/>
    <x v="1"/>
  </r>
  <r>
    <n v="3"/>
    <n v="0.20909090909090908"/>
    <x v="0"/>
    <x v="2"/>
  </r>
  <r>
    <n v="4"/>
    <n v="0.10545454545454545"/>
    <x v="0"/>
    <x v="3"/>
  </r>
  <r>
    <n v="5"/>
    <n v="9.2727272727272728E-2"/>
    <x v="0"/>
    <x v="4"/>
  </r>
  <r>
    <n v="6"/>
    <n v="4.7272727272727272E-2"/>
    <x v="0"/>
    <x v="5"/>
  </r>
  <r>
    <n v="7"/>
    <n v="3.1727272727272729E-2"/>
    <x v="0"/>
    <x v="6"/>
  </r>
  <r>
    <n v="8"/>
    <n v="7.2727272727272727E-3"/>
    <x v="0"/>
    <x v="7"/>
  </r>
  <r>
    <n v="9"/>
    <n v="5.0000000000000001E-3"/>
    <x v="0"/>
    <x v="8"/>
  </r>
  <r>
    <n v="10"/>
    <n v="3.9090909090909089E-3"/>
    <x v="0"/>
    <x v="9"/>
  </r>
  <r>
    <n v="11"/>
    <n v="1.0000000000000001E-5"/>
    <x v="0"/>
    <x v="10"/>
  </r>
  <r>
    <n v="12"/>
    <n v="0"/>
    <x v="1"/>
    <x v="11"/>
  </r>
  <r>
    <n v="13"/>
    <n v="0"/>
    <x v="1"/>
    <x v="11"/>
  </r>
  <r>
    <n v="14"/>
    <n v="0"/>
    <x v="1"/>
    <x v="11"/>
  </r>
  <r>
    <n v="15"/>
    <n v="0"/>
    <x v="1"/>
    <x v="11"/>
  </r>
  <r>
    <n v="1"/>
    <n v="0.14545454545454545"/>
    <x v="0"/>
    <x v="12"/>
  </r>
  <r>
    <n v="2"/>
    <n v="9.0909090909090912E-2"/>
    <x v="0"/>
    <x v="13"/>
  </r>
  <r>
    <n v="3"/>
    <n v="6.7854545454545459E-2"/>
    <x v="0"/>
    <x v="14"/>
  </r>
  <r>
    <n v="4"/>
    <n v="6.545454545454546E-2"/>
    <x v="0"/>
    <x v="15"/>
  </r>
  <r>
    <n v="5"/>
    <n v="5.4545454545454543E-2"/>
    <x v="0"/>
    <x v="16"/>
  </r>
  <r>
    <n v="6"/>
    <n v="0.05"/>
    <x v="0"/>
    <x v="17"/>
  </r>
  <r>
    <n v="7"/>
    <n v="3.6363636363636362E-2"/>
    <x v="0"/>
    <x v="18"/>
  </r>
  <r>
    <n v="8"/>
    <n v="1.090909090909091E-2"/>
    <x v="0"/>
    <x v="19"/>
  </r>
  <r>
    <n v="9"/>
    <n v="3.0909090909090908E-3"/>
    <x v="0"/>
    <x v="20"/>
  </r>
  <r>
    <n v="10"/>
    <n v="1.0000000000000001E-5"/>
    <x v="0"/>
    <x v="21"/>
  </r>
  <r>
    <n v="11"/>
    <n v="1.0000000000000001E-5"/>
    <x v="0"/>
    <x v="22"/>
  </r>
  <r>
    <n v="12"/>
    <n v="0"/>
    <x v="1"/>
    <x v="11"/>
  </r>
  <r>
    <n v="13"/>
    <n v="0"/>
    <x v="1"/>
    <x v="11"/>
  </r>
  <r>
    <n v="14"/>
    <n v="0"/>
    <x v="1"/>
    <x v="11"/>
  </r>
  <r>
    <n v="15"/>
    <n v="0"/>
    <x v="1"/>
    <x v="11"/>
  </r>
  <r>
    <n v="1"/>
    <n v="3.2857142857142856"/>
    <x v="2"/>
    <x v="23"/>
  </r>
  <r>
    <n v="2"/>
    <n v="0.42857142857142855"/>
    <x v="3"/>
    <x v="24"/>
  </r>
  <r>
    <n v="3"/>
    <n v="0.34285714285714286"/>
    <x v="0"/>
    <x v="25"/>
  </r>
  <r>
    <n v="4"/>
    <n v="0.21428571428571427"/>
    <x v="0"/>
    <x v="26"/>
  </r>
  <r>
    <n v="5"/>
    <n v="9.285714285714286E-2"/>
    <x v="0"/>
    <x v="27"/>
  </r>
  <r>
    <n v="6"/>
    <n v="8.2857142857142851E-2"/>
    <x v="0"/>
    <x v="28"/>
  </r>
  <r>
    <n v="7"/>
    <n v="7.1428571428571425E-2"/>
    <x v="0"/>
    <x v="29"/>
  </r>
  <r>
    <n v="8"/>
    <n v="3.0392857142857142E-2"/>
    <x v="0"/>
    <x v="30"/>
  </r>
  <r>
    <n v="9"/>
    <n v="1.0000000000000001E-5"/>
    <x v="0"/>
    <x v="31"/>
  </r>
  <r>
    <n v="10"/>
    <n v="1.0000000000000001E-5"/>
    <x v="0"/>
    <x v="32"/>
  </r>
  <r>
    <n v="11"/>
    <n v="0"/>
    <x v="1"/>
    <x v="11"/>
  </r>
  <r>
    <n v="12"/>
    <n v="0"/>
    <x v="1"/>
    <x v="11"/>
  </r>
  <r>
    <n v="13"/>
    <n v="0"/>
    <x v="1"/>
    <x v="11"/>
  </r>
  <r>
    <n v="14"/>
    <n v="0"/>
    <x v="1"/>
    <x v="11"/>
  </r>
  <r>
    <n v="15"/>
    <n v="0"/>
    <x v="1"/>
    <x v="11"/>
  </r>
  <r>
    <n v="1"/>
    <n v="0.55961538461538463"/>
    <x v="3"/>
    <x v="33"/>
  </r>
  <r>
    <n v="2"/>
    <n v="0.41538461538461541"/>
    <x v="3"/>
    <x v="34"/>
  </r>
  <r>
    <n v="3"/>
    <n v="0.39615384615384613"/>
    <x v="0"/>
    <x v="35"/>
  </r>
  <r>
    <n v="4"/>
    <n v="0.20215384615384616"/>
    <x v="0"/>
    <x v="36"/>
  </r>
  <r>
    <n v="5"/>
    <n v="0.1"/>
    <x v="0"/>
    <x v="37"/>
  </r>
  <r>
    <n v="6"/>
    <n v="7.6923076923076927E-2"/>
    <x v="0"/>
    <x v="38"/>
  </r>
  <r>
    <n v="7"/>
    <n v="2.7692307692307693E-2"/>
    <x v="0"/>
    <x v="39"/>
  </r>
  <r>
    <n v="8"/>
    <n v="1.1538461538461539E-2"/>
    <x v="0"/>
    <x v="40"/>
  </r>
  <r>
    <n v="9"/>
    <n v="0"/>
    <x v="1"/>
    <x v="11"/>
  </r>
  <r>
    <n v="10"/>
    <n v="0"/>
    <x v="1"/>
    <x v="11"/>
  </r>
  <r>
    <n v="11"/>
    <n v="0"/>
    <x v="1"/>
    <x v="11"/>
  </r>
  <r>
    <n v="12"/>
    <n v="0"/>
    <x v="1"/>
    <x v="11"/>
  </r>
  <r>
    <n v="13"/>
    <n v="0"/>
    <x v="1"/>
    <x v="11"/>
  </r>
  <r>
    <n v="14"/>
    <n v="0"/>
    <x v="1"/>
    <x v="11"/>
  </r>
  <r>
    <n v="15"/>
    <n v="0"/>
    <x v="1"/>
    <x v="11"/>
  </r>
  <r>
    <n v="1"/>
    <n v="0.44948539682539684"/>
    <x v="3"/>
    <x v="41"/>
  </r>
  <r>
    <n v="2"/>
    <n v="7.6873015873015871E-2"/>
    <x v="0"/>
    <x v="42"/>
  </r>
  <r>
    <n v="3"/>
    <n v="1.0000000000000001E-5"/>
    <x v="0"/>
    <x v="43"/>
  </r>
  <r>
    <n v="4"/>
    <n v="1.0000000000000001E-5"/>
    <x v="0"/>
    <x v="44"/>
  </r>
  <r>
    <n v="5"/>
    <n v="0.16428571428571428"/>
    <x v="0"/>
    <x v="45"/>
  </r>
  <r>
    <n v="6"/>
    <n v="0.16111111111111112"/>
    <x v="0"/>
    <x v="46"/>
  </r>
  <r>
    <n v="7"/>
    <n v="9.7619047619047619E-2"/>
    <x v="0"/>
    <x v="47"/>
  </r>
  <r>
    <n v="8"/>
    <n v="2.3809523809523808E-2"/>
    <x v="0"/>
    <x v="48"/>
  </r>
  <r>
    <n v="9"/>
    <n v="1.2698412698412698E-2"/>
    <x v="0"/>
    <x v="49"/>
  </r>
  <r>
    <n v="10"/>
    <n v="6.3492063492063492E-3"/>
    <x v="0"/>
    <x v="50"/>
  </r>
  <r>
    <n v="11"/>
    <n v="2.8571428571428571E-3"/>
    <x v="0"/>
    <x v="51"/>
  </r>
  <r>
    <n v="12"/>
    <n v="1.5873015873015873E-3"/>
    <x v="0"/>
    <x v="52"/>
  </r>
  <r>
    <n v="13"/>
    <n v="1.0000000000000001E-5"/>
    <x v="0"/>
    <x v="53"/>
  </r>
  <r>
    <n v="14"/>
    <n v="0"/>
    <x v="1"/>
    <x v="11"/>
  </r>
  <r>
    <n v="15"/>
    <n v="0"/>
    <x v="1"/>
    <x v="11"/>
  </r>
  <r>
    <n v="1"/>
    <n v="0.2846153846153846"/>
    <x v="0"/>
    <x v="54"/>
  </r>
  <r>
    <n v="2"/>
    <n v="0.2153846153846154"/>
    <x v="0"/>
    <x v="55"/>
  </r>
  <r>
    <n v="3"/>
    <n v="9.2307692307692313E-2"/>
    <x v="0"/>
    <x v="56"/>
  </r>
  <r>
    <n v="4"/>
    <n v="5.1230769230769233E-2"/>
    <x v="0"/>
    <x v="57"/>
  </r>
  <r>
    <n v="5"/>
    <n v="4.6153846153846156E-2"/>
    <x v="0"/>
    <x v="58"/>
  </r>
  <r>
    <n v="6"/>
    <n v="1.2307692307692308E-2"/>
    <x v="0"/>
    <x v="59"/>
  </r>
  <r>
    <n v="7"/>
    <n v="1.0000000000000001E-5"/>
    <x v="0"/>
    <x v="60"/>
  </r>
  <r>
    <n v="8"/>
    <n v="1.0000000000000001E-5"/>
    <x v="0"/>
    <x v="61"/>
  </r>
  <r>
    <n v="9"/>
    <n v="0"/>
    <x v="1"/>
    <x v="11"/>
  </r>
  <r>
    <n v="10"/>
    <n v="0"/>
    <x v="1"/>
    <x v="11"/>
  </r>
  <r>
    <n v="11"/>
    <n v="0"/>
    <x v="1"/>
    <x v="11"/>
  </r>
  <r>
    <n v="12"/>
    <n v="0"/>
    <x v="1"/>
    <x v="11"/>
  </r>
  <r>
    <n v="13"/>
    <n v="0"/>
    <x v="1"/>
    <x v="11"/>
  </r>
  <r>
    <n v="14"/>
    <n v="0"/>
    <x v="1"/>
    <x v="11"/>
  </r>
  <r>
    <n v="15"/>
    <e v="#REF!"/>
    <x v="1"/>
    <x v="62"/>
  </r>
  <r>
    <n v="1"/>
    <e v="#REF!"/>
    <x v="1"/>
    <x v="62"/>
  </r>
  <r>
    <n v="2"/>
    <e v="#REF!"/>
    <x v="1"/>
    <x v="62"/>
  </r>
  <r>
    <n v="3"/>
    <e v="#REF!"/>
    <x v="1"/>
    <x v="62"/>
  </r>
  <r>
    <n v="4"/>
    <e v="#REF!"/>
    <x v="1"/>
    <x v="62"/>
  </r>
  <r>
    <n v="5"/>
    <e v="#REF!"/>
    <x v="1"/>
    <x v="62"/>
  </r>
  <r>
    <n v="6"/>
    <e v="#REF!"/>
    <x v="1"/>
    <x v="62"/>
  </r>
  <r>
    <n v="7"/>
    <e v="#REF!"/>
    <x v="1"/>
    <x v="62"/>
  </r>
  <r>
    <n v="8"/>
    <e v="#REF!"/>
    <x v="1"/>
    <x v="62"/>
  </r>
  <r>
    <n v="9"/>
    <e v="#REF!"/>
    <x v="1"/>
    <x v="62"/>
  </r>
  <r>
    <n v="10"/>
    <e v="#REF!"/>
    <x v="1"/>
    <x v="62"/>
  </r>
  <r>
    <n v="11"/>
    <e v="#REF!"/>
    <x v="1"/>
    <x v="62"/>
  </r>
  <r>
    <n v="12"/>
    <e v="#REF!"/>
    <x v="1"/>
    <x v="62"/>
  </r>
  <r>
    <n v="13"/>
    <e v="#REF!"/>
    <x v="1"/>
    <x v="62"/>
  </r>
  <r>
    <n v="14"/>
    <e v="#REF!"/>
    <x v="1"/>
    <x v="62"/>
  </r>
  <r>
    <n v="15"/>
    <e v="#REF!"/>
    <x v="1"/>
    <x v="62"/>
  </r>
  <r>
    <n v="1"/>
    <e v="#REF!"/>
    <x v="1"/>
    <x v="62"/>
  </r>
  <r>
    <n v="2"/>
    <e v="#REF!"/>
    <x v="1"/>
    <x v="62"/>
  </r>
  <r>
    <n v="3"/>
    <e v="#REF!"/>
    <x v="1"/>
    <x v="62"/>
  </r>
  <r>
    <n v="4"/>
    <e v="#REF!"/>
    <x v="1"/>
    <x v="62"/>
  </r>
  <r>
    <n v="5"/>
    <e v="#REF!"/>
    <x v="1"/>
    <x v="62"/>
  </r>
  <r>
    <n v="6"/>
    <e v="#REF!"/>
    <x v="1"/>
    <x v="62"/>
  </r>
  <r>
    <n v="7"/>
    <e v="#REF!"/>
    <x v="1"/>
    <x v="62"/>
  </r>
  <r>
    <n v="8"/>
    <e v="#REF!"/>
    <x v="1"/>
    <x v="62"/>
  </r>
  <r>
    <n v="9"/>
    <e v="#REF!"/>
    <x v="1"/>
    <x v="62"/>
  </r>
  <r>
    <n v="10"/>
    <e v="#REF!"/>
    <x v="1"/>
    <x v="62"/>
  </r>
  <r>
    <n v="11"/>
    <e v="#REF!"/>
    <x v="1"/>
    <x v="62"/>
  </r>
  <r>
    <n v="12"/>
    <e v="#REF!"/>
    <x v="1"/>
    <x v="62"/>
  </r>
  <r>
    <n v="13"/>
    <e v="#REF!"/>
    <x v="1"/>
    <x v="62"/>
  </r>
  <r>
    <n v="14"/>
    <e v="#REF!"/>
    <x v="1"/>
    <x v="62"/>
  </r>
  <r>
    <n v="15"/>
    <n v="0"/>
    <x v="1"/>
    <x v="11"/>
  </r>
  <r>
    <n v="1"/>
    <n v="0"/>
    <x v="1"/>
    <x v="11"/>
  </r>
  <r>
    <n v="2"/>
    <n v="0.70010000000000006"/>
    <x v="4"/>
    <x v="63"/>
  </r>
  <r>
    <n v="3"/>
    <n v="0"/>
    <x v="1"/>
    <x v="1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n v="1"/>
    <n v="0.35952809523809526"/>
    <x v="0"/>
    <x v="0"/>
  </r>
  <r>
    <n v="2"/>
    <n v="0.81679878364389236"/>
    <x v="1"/>
    <x v="1"/>
  </r>
  <r>
    <n v="3"/>
    <n v="0.45125297619047616"/>
    <x v="2"/>
    <x v="2"/>
  </r>
  <r>
    <n v="4"/>
    <n v="0.30714285714285716"/>
    <x v="0"/>
    <x v="3"/>
  </r>
  <r>
    <n v="5"/>
    <n v="9.0277777777777769E-3"/>
    <x v="0"/>
    <x v="4"/>
  </r>
  <r>
    <n v="6"/>
    <n v="0.43556766917293233"/>
    <x v="2"/>
    <x v="5"/>
  </r>
  <r>
    <n v="7"/>
    <n v="0.22208035714285712"/>
    <x v="0"/>
    <x v="6"/>
  </r>
  <r>
    <n v="8"/>
    <n v="0.10535714285714286"/>
    <x v="0"/>
    <x v="7"/>
  </r>
  <r>
    <n v="9"/>
    <n v="0.34277265745007685"/>
    <x v="0"/>
    <x v="8"/>
  </r>
  <r>
    <n v="10"/>
    <n v="2.1428571428571429E-2"/>
    <x v="0"/>
    <x v="9"/>
  </r>
  <r>
    <n v="11"/>
    <n v="0.19295238095238093"/>
    <x v="0"/>
    <x v="10"/>
  </r>
  <r>
    <n v="12"/>
    <n v="0.27316252168883748"/>
    <x v="0"/>
    <x v="11"/>
  </r>
  <r>
    <n v="1"/>
    <n v="0.47100000000000003"/>
    <x v="2"/>
    <x v="12"/>
  </r>
  <r>
    <n v="2"/>
    <n v="0.27189285714285716"/>
    <x v="0"/>
    <x v="13"/>
  </r>
  <r>
    <n v="3"/>
    <n v="0.13589601282308156"/>
    <x v="0"/>
    <x v="14"/>
  </r>
  <r>
    <n v="4"/>
    <n v="0.1077058993637941"/>
    <x v="0"/>
    <x v="15"/>
  </r>
  <r>
    <n v="5"/>
    <n v="7.1428571428571425E-2"/>
    <x v="0"/>
    <x v="16"/>
  </r>
  <r>
    <n v="6"/>
    <n v="0.32879464285714288"/>
    <x v="0"/>
    <x v="17"/>
  </r>
  <r>
    <n v="7"/>
    <n v="0.18733928571428571"/>
    <x v="0"/>
    <x v="18"/>
  </r>
  <r>
    <n v="8"/>
    <n v="1.1413533834586467"/>
    <x v="3"/>
    <x v="19"/>
  </r>
  <r>
    <n v="9"/>
    <n v="0.34351428571428572"/>
    <x v="0"/>
    <x v="20"/>
  </r>
  <r>
    <n v="10"/>
    <n v="0.24011111111111111"/>
    <x v="0"/>
    <x v="21"/>
  </r>
  <r>
    <n v="11"/>
    <n v="0"/>
    <x v="4"/>
    <x v="22"/>
  </r>
  <r>
    <n v="12"/>
    <n v="0.17168202764976959"/>
    <x v="0"/>
    <x v="23"/>
  </r>
  <r>
    <n v="1"/>
    <n v="0.3307056530214425"/>
    <x v="0"/>
    <x v="24"/>
  </r>
  <r>
    <n v="2"/>
    <n v="0.56430659983291553"/>
    <x v="2"/>
    <x v="25"/>
  </r>
  <r>
    <n v="3"/>
    <n v="0.11535714285714285"/>
    <x v="0"/>
    <x v="26"/>
  </r>
  <r>
    <n v="4"/>
    <n v="0.19250905040378724"/>
    <x v="0"/>
    <x v="27"/>
  </r>
  <r>
    <n v="5"/>
    <n v="0.24866093117408905"/>
    <x v="0"/>
    <x v="28"/>
  </r>
  <r>
    <n v="6"/>
    <n v="0.281984126984127"/>
    <x v="0"/>
    <x v="29"/>
  </r>
  <r>
    <n v="7"/>
    <n v="6.2013729977116704E-2"/>
    <x v="0"/>
    <x v="30"/>
  </r>
  <r>
    <n v="8"/>
    <n v="0.38990058479532164"/>
    <x v="0"/>
    <x v="31"/>
  </r>
  <r>
    <n v="9"/>
    <n v="0"/>
    <x v="4"/>
    <x v="32"/>
  </r>
  <r>
    <n v="10"/>
    <n v="0"/>
    <x v="4"/>
    <x v="32"/>
  </r>
  <r>
    <n v="11"/>
    <n v="0"/>
    <x v="4"/>
    <x v="32"/>
  </r>
  <r>
    <n v="12"/>
    <n v="0"/>
    <x v="4"/>
    <x v="32"/>
  </r>
  <r>
    <n v="1"/>
    <n v="0.34570938215102975"/>
    <x v="0"/>
    <x v="33"/>
  </r>
  <r>
    <n v="2"/>
    <n v="0.32621804511278196"/>
    <x v="0"/>
    <x v="34"/>
  </r>
  <r>
    <n v="3"/>
    <n v="0.3571723753829017"/>
    <x v="0"/>
    <x v="35"/>
  </r>
  <r>
    <n v="4"/>
    <n v="0.12586020607073239"/>
    <x v="0"/>
    <x v="36"/>
  </r>
  <r>
    <n v="5"/>
    <n v="0.37089849624060151"/>
    <x v="0"/>
    <x v="37"/>
  </r>
  <r>
    <n v="6"/>
    <n v="0.11663157894736842"/>
    <x v="0"/>
    <x v="38"/>
  </r>
  <r>
    <n v="7"/>
    <n v="5.4464912280701758E-2"/>
    <x v="0"/>
    <x v="39"/>
  </r>
  <r>
    <n v="8"/>
    <n v="0.27368421052631581"/>
    <x v="0"/>
    <x v="40"/>
  </r>
  <r>
    <n v="9"/>
    <n v="0"/>
    <x v="4"/>
    <x v="32"/>
  </r>
  <r>
    <n v="10"/>
    <n v="0"/>
    <x v="4"/>
    <x v="32"/>
  </r>
  <r>
    <n v="11"/>
    <n v="0"/>
    <x v="4"/>
    <x v="32"/>
  </r>
  <r>
    <n v="12"/>
    <n v="0"/>
    <x v="4"/>
    <x v="32"/>
  </r>
  <r>
    <n v="1"/>
    <n v="0.20126501035196689"/>
    <x v="0"/>
    <x v="41"/>
  </r>
  <r>
    <n v="2"/>
    <n v="0.3943840579710145"/>
    <x v="0"/>
    <x v="42"/>
  </r>
  <r>
    <n v="3"/>
    <n v="0.36327076000690134"/>
    <x v="0"/>
    <x v="43"/>
  </r>
  <r>
    <n v="4"/>
    <n v="0.56550672877846786"/>
    <x v="2"/>
    <x v="44"/>
  </r>
  <r>
    <n v="5"/>
    <n v="0.47635235873965848"/>
    <x v="2"/>
    <x v="45"/>
  </r>
  <r>
    <n v="6"/>
    <n v="1.3480216241085807"/>
    <x v="3"/>
    <x v="46"/>
  </r>
  <r>
    <n v="7"/>
    <n v="0.41306357832988266"/>
    <x v="2"/>
    <x v="47"/>
  </r>
  <r>
    <n v="8"/>
    <n v="0.11831455729625065"/>
    <x v="0"/>
    <x v="48"/>
  </r>
  <r>
    <n v="9"/>
    <n v="0"/>
    <x v="4"/>
    <x v="32"/>
  </r>
  <r>
    <n v="10"/>
    <n v="0"/>
    <x v="4"/>
    <x v="32"/>
  </r>
  <r>
    <n v="11"/>
    <n v="0"/>
    <x v="4"/>
    <x v="32"/>
  </r>
  <r>
    <n v="12"/>
    <n v="0"/>
    <x v="4"/>
    <x v="32"/>
  </r>
  <r>
    <n v="1"/>
    <n v="0"/>
    <x v="4"/>
    <x v="32"/>
  </r>
  <r>
    <n v="2"/>
    <n v="0.18137060041407868"/>
    <x v="0"/>
    <x v="49"/>
  </r>
  <r>
    <n v="3"/>
    <n v="0.13285001150218542"/>
    <x v="0"/>
    <x v="50"/>
  </r>
  <r>
    <n v="4"/>
    <n v="8.6870709382151023E-2"/>
    <x v="0"/>
    <x v="51"/>
  </r>
  <r>
    <n v="5"/>
    <n v="0.17898763515067864"/>
    <x v="0"/>
    <x v="52"/>
  </r>
  <r>
    <n v="6"/>
    <n v="0.56846165202627885"/>
    <x v="2"/>
    <x v="53"/>
  </r>
  <r>
    <n v="7"/>
    <n v="0.13895229468599032"/>
    <x v="0"/>
    <x v="54"/>
  </r>
  <r>
    <n v="8"/>
    <n v="7.6086956521739134E-3"/>
    <x v="0"/>
    <x v="55"/>
  </r>
  <r>
    <n v="9"/>
    <n v="0.13589601282308156"/>
    <x v="0"/>
    <x v="14"/>
  </r>
  <r>
    <n v="10"/>
    <n v="1.0408909370199693"/>
    <x v="3"/>
    <x v="56"/>
  </r>
  <r>
    <n v="11"/>
    <n v="0.19236829997699562"/>
    <x v="0"/>
    <x v="57"/>
  </r>
  <r>
    <n v="12"/>
    <n v="0"/>
    <x v="4"/>
    <x v="32"/>
  </r>
  <r>
    <n v="1"/>
    <n v="0.69074999999999998"/>
    <x v="2"/>
    <x v="58"/>
  </r>
  <r>
    <n v="2"/>
    <n v="0.15187619047619047"/>
    <x v="0"/>
    <x v="59"/>
  </r>
  <r>
    <n v="3"/>
    <n v="0.82049582289055978"/>
    <x v="1"/>
    <x v="60"/>
  </r>
  <r>
    <n v="4"/>
    <n v="0.62773809523809521"/>
    <x v="2"/>
    <x v="61"/>
  </r>
  <r>
    <n v="5"/>
    <n v="0.2923047619047619"/>
    <x v="0"/>
    <x v="62"/>
  </r>
  <r>
    <n v="6"/>
    <n v="0.53083666666666662"/>
    <x v="2"/>
    <x v="63"/>
  </r>
  <r>
    <n v="7"/>
    <n v="0.19295428571428572"/>
    <x v="0"/>
    <x v="64"/>
  </r>
  <r>
    <n v="8"/>
    <n v="0.15089999999999998"/>
    <x v="0"/>
    <x v="65"/>
  </r>
  <r>
    <n v="9"/>
    <n v="0.33199238095238093"/>
    <x v="0"/>
    <x v="66"/>
  </r>
  <r>
    <n v="10"/>
    <n v="0.26066960317460319"/>
    <x v="0"/>
    <x v="67"/>
  </r>
  <r>
    <n v="11"/>
    <n v="0"/>
    <x v="4"/>
    <x v="32"/>
  </r>
  <r>
    <n v="12"/>
    <n v="0"/>
    <x v="4"/>
    <x v="32"/>
  </r>
  <r>
    <n v="1"/>
    <n v="0.45580158730158732"/>
    <x v="2"/>
    <x v="68"/>
  </r>
  <r>
    <n v="2"/>
    <n v="0.26240139751552793"/>
    <x v="0"/>
    <x v="69"/>
  </r>
  <r>
    <n v="3"/>
    <n v="0.35550491718426497"/>
    <x v="0"/>
    <x v="70"/>
  </r>
  <r>
    <n v="4"/>
    <n v="0.29801190476190476"/>
    <x v="0"/>
    <x v="71"/>
  </r>
  <r>
    <n v="5"/>
    <n v="0.47371980676328507"/>
    <x v="2"/>
    <x v="72"/>
  </r>
  <r>
    <n v="6"/>
    <n v="1.0408909370199693"/>
    <x v="3"/>
    <x v="56"/>
  </r>
  <r>
    <n v="7"/>
    <n v="5.8071428571428572E-2"/>
    <x v="0"/>
    <x v="73"/>
  </r>
  <r>
    <n v="8"/>
    <n v="8.5714285714285715E-2"/>
    <x v="0"/>
    <x v="74"/>
  </r>
  <r>
    <n v="9"/>
    <n v="0.41784422594948911"/>
    <x v="2"/>
    <x v="75"/>
  </r>
  <r>
    <n v="10"/>
    <n v="0.14103571428571429"/>
    <x v="0"/>
    <x v="76"/>
  </r>
  <r>
    <n v="11"/>
    <n v="0"/>
    <x v="4"/>
    <x v="32"/>
  </r>
  <r>
    <n v="12"/>
    <n v="0"/>
    <x v="4"/>
    <x v="32"/>
  </r>
  <r>
    <n v="1"/>
    <n v="0"/>
    <x v="4"/>
    <x v="32"/>
  </r>
  <r>
    <n v="2"/>
    <n v="0"/>
    <x v="4"/>
    <x v="32"/>
  </r>
  <r>
    <n v="3"/>
    <n v="0"/>
    <x v="4"/>
    <x v="3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1"/>
    <n v="1.2645999999999999"/>
    <x v="0"/>
    <x v="0"/>
  </r>
  <r>
    <n v="2"/>
    <n v="0.6758892307692308"/>
    <x v="1"/>
    <x v="1"/>
  </r>
  <r>
    <n v="3"/>
    <n v="0.6554461538461539"/>
    <x v="1"/>
    <x v="2"/>
  </r>
  <r>
    <n v="4"/>
    <n v="0.64032307692307688"/>
    <x v="1"/>
    <x v="3"/>
  </r>
  <r>
    <n v="5"/>
    <n v="0.61761538461538457"/>
    <x v="1"/>
    <x v="4"/>
  </r>
  <r>
    <n v="6"/>
    <n v="0.54459999999999997"/>
    <x v="1"/>
    <x v="5"/>
  </r>
  <r>
    <n v="7"/>
    <n v="0.3330769230769231"/>
    <x v="2"/>
    <x v="6"/>
  </r>
  <r>
    <n v="8"/>
    <n v="0.2153846153846154"/>
    <x v="2"/>
    <x v="7"/>
  </r>
  <r>
    <n v="9"/>
    <n v="0.15150769230769232"/>
    <x v="2"/>
    <x v="8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1.525855076923077"/>
    <x v="0"/>
    <x v="10"/>
  </r>
  <r>
    <n v="2"/>
    <n v="1.4086712307692308"/>
    <x v="0"/>
    <x v="11"/>
  </r>
  <r>
    <n v="3"/>
    <n v="1.3104769230769231"/>
    <x v="0"/>
    <x v="12"/>
  </r>
  <r>
    <n v="4"/>
    <n v="1.1831230769230769"/>
    <x v="0"/>
    <x v="13"/>
  </r>
  <r>
    <n v="5"/>
    <n v="0.92958461538461534"/>
    <x v="4"/>
    <x v="14"/>
  </r>
  <r>
    <n v="6"/>
    <n v="0.3861230769230769"/>
    <x v="2"/>
    <x v="15"/>
  </r>
  <r>
    <n v="7"/>
    <n v="0.20976923076923076"/>
    <x v="2"/>
    <x v="16"/>
  </r>
  <r>
    <n v="8"/>
    <n v="0.12198461538461539"/>
    <x v="2"/>
    <x v="17"/>
  </r>
  <r>
    <n v="9"/>
    <n v="0.11984615384615385"/>
    <x v="2"/>
    <x v="18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1.0801807692307692"/>
    <x v="0"/>
    <x v="19"/>
  </r>
  <r>
    <n v="2"/>
    <n v="0.90316923076923072"/>
    <x v="4"/>
    <x v="20"/>
  </r>
  <r>
    <n v="3"/>
    <n v="0.8567538461538462"/>
    <x v="4"/>
    <x v="21"/>
  </r>
  <r>
    <n v="4"/>
    <n v="0.54201538461538457"/>
    <x v="1"/>
    <x v="22"/>
  </r>
  <r>
    <n v="5"/>
    <n v="0.50175384615384611"/>
    <x v="1"/>
    <x v="23"/>
  </r>
  <r>
    <n v="6"/>
    <n v="0.32"/>
    <x v="2"/>
    <x v="24"/>
  </r>
  <r>
    <n v="7"/>
    <n v="0.30121538461538461"/>
    <x v="2"/>
    <x v="25"/>
  </r>
  <r>
    <n v="8"/>
    <n v="0.25192307692307692"/>
    <x v="2"/>
    <x v="26"/>
  </r>
  <r>
    <n v="9"/>
    <n v="0"/>
    <x v="3"/>
    <x v="9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87016923076923081"/>
    <x v="4"/>
    <x v="27"/>
  </r>
  <r>
    <n v="2"/>
    <n v="0.77458461538461543"/>
    <x v="4"/>
    <x v="28"/>
  </r>
  <r>
    <n v="3"/>
    <n v="0.75239999999999996"/>
    <x v="4"/>
    <x v="29"/>
  </r>
  <r>
    <n v="4"/>
    <n v="0.59830769230769232"/>
    <x v="1"/>
    <x v="30"/>
  </r>
  <r>
    <n v="5"/>
    <n v="0.5121230769230769"/>
    <x v="1"/>
    <x v="31"/>
  </r>
  <r>
    <n v="6"/>
    <n v="0.47669230769230769"/>
    <x v="1"/>
    <x v="32"/>
  </r>
  <r>
    <n v="7"/>
    <n v="0.42841538461538464"/>
    <x v="1"/>
    <x v="33"/>
  </r>
  <r>
    <n v="8"/>
    <n v="0.28987692307692309"/>
    <x v="2"/>
    <x v="34"/>
  </r>
  <r>
    <n v="9"/>
    <n v="0"/>
    <x v="3"/>
    <x v="9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819016393442623"/>
    <x v="4"/>
    <x v="35"/>
  </r>
  <r>
    <n v="2"/>
    <n v="0.80760655737704923"/>
    <x v="4"/>
    <x v="36"/>
  </r>
  <r>
    <n v="3"/>
    <n v="0.51557377049180331"/>
    <x v="1"/>
    <x v="37"/>
  </r>
  <r>
    <n v="4"/>
    <n v="0.44685245901639342"/>
    <x v="1"/>
    <x v="38"/>
  </r>
  <r>
    <n v="5"/>
    <n v="0.43803278688524588"/>
    <x v="1"/>
    <x v="39"/>
  </r>
  <r>
    <n v="6"/>
    <n v="0.38524590163934425"/>
    <x v="2"/>
    <x v="40"/>
  </r>
  <r>
    <n v="7"/>
    <n v="0.37737704918032788"/>
    <x v="2"/>
    <x v="41"/>
  </r>
  <r>
    <n v="8"/>
    <n v="0.35344262295081968"/>
    <x v="2"/>
    <x v="42"/>
  </r>
  <r>
    <n v="9"/>
    <n v="0.32"/>
    <x v="2"/>
    <x v="43"/>
  </r>
  <r>
    <n v="10"/>
    <n v="0.26721311475409837"/>
    <x v="2"/>
    <x v="44"/>
  </r>
  <r>
    <n v="11"/>
    <n v="7.6131147540983601E-2"/>
    <x v="2"/>
    <x v="45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1.4252666666666669"/>
    <x v="0"/>
    <x v="46"/>
  </r>
  <r>
    <n v="2"/>
    <n v="0.83660000000000012"/>
    <x v="4"/>
    <x v="47"/>
  </r>
  <r>
    <n v="3"/>
    <n v="0.57720000000000005"/>
    <x v="1"/>
    <x v="48"/>
  </r>
  <r>
    <n v="4"/>
    <n v="0.47706666666666675"/>
    <x v="1"/>
    <x v="49"/>
  </r>
  <r>
    <n v="5"/>
    <n v="0.47153333333333342"/>
    <x v="1"/>
    <x v="50"/>
  </r>
  <r>
    <n v="6"/>
    <n v="0.48286666666666672"/>
    <x v="1"/>
    <x v="51"/>
  </r>
  <r>
    <n v="7"/>
    <n v="0.38120000000000004"/>
    <x v="2"/>
    <x v="52"/>
  </r>
  <r>
    <n v="8"/>
    <n v="0.34173333333333339"/>
    <x v="2"/>
    <x v="53"/>
  </r>
  <r>
    <n v="9"/>
    <n v="0.13400666666666669"/>
    <x v="2"/>
    <x v="54"/>
  </r>
  <r>
    <n v="10"/>
    <n v="5.0866666666666671E-2"/>
    <x v="2"/>
    <x v="55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1.6319999999999999"/>
    <x v="0"/>
    <x v="56"/>
  </r>
  <r>
    <n v="2"/>
    <n v="0.86429999999999985"/>
    <x v="4"/>
    <x v="57"/>
  </r>
  <r>
    <n v="3"/>
    <n v="0.7861999999999999"/>
    <x v="4"/>
    <x v="58"/>
  </r>
  <r>
    <n v="4"/>
    <n v="0.75399999999999989"/>
    <x v="4"/>
    <x v="59"/>
  </r>
  <r>
    <n v="5"/>
    <n v="0.77326666666666655"/>
    <x v="4"/>
    <x v="60"/>
  </r>
  <r>
    <n v="6"/>
    <n v="0.4940666666666666"/>
    <x v="1"/>
    <x v="61"/>
  </r>
  <r>
    <n v="7"/>
    <n v="0.46813333333333329"/>
    <x v="1"/>
    <x v="62"/>
  </r>
  <r>
    <n v="8"/>
    <n v="0.32239999999999996"/>
    <x v="2"/>
    <x v="63"/>
  </r>
  <r>
    <n v="9"/>
    <n v="0.24433333333333329"/>
    <x v="2"/>
    <x v="64"/>
  </r>
  <r>
    <n v="10"/>
    <n v="0.14546666666666666"/>
    <x v="2"/>
    <x v="65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98487333333333338"/>
    <x v="4"/>
    <x v="66"/>
  </r>
  <r>
    <n v="2"/>
    <n v="0.95943333333333336"/>
    <x v="4"/>
    <x v="67"/>
  </r>
  <r>
    <n v="3"/>
    <n v="0.53271333333333337"/>
    <x v="1"/>
    <x v="68"/>
  </r>
  <r>
    <n v="4"/>
    <n v="0.47320000000000001"/>
    <x v="1"/>
    <x v="69"/>
  </r>
  <r>
    <n v="5"/>
    <n v="0.36593333333333333"/>
    <x v="2"/>
    <x v="70"/>
  </r>
  <r>
    <n v="6"/>
    <n v="0.35866666666666669"/>
    <x v="2"/>
    <x v="71"/>
  </r>
  <r>
    <n v="7"/>
    <n v="0.30833333333333335"/>
    <x v="2"/>
    <x v="72"/>
  </r>
  <r>
    <n v="8"/>
    <n v="0.20480000000000001"/>
    <x v="2"/>
    <x v="73"/>
  </r>
  <r>
    <n v="9"/>
    <n v="4.6666666666666669E-2"/>
    <x v="2"/>
    <x v="74"/>
  </r>
  <r>
    <n v="10"/>
    <n v="2.3333333333333334E-2"/>
    <x v="2"/>
    <x v="75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"/>
    <x v="3"/>
    <x v="9"/>
  </r>
  <r>
    <n v="2"/>
    <n v="0"/>
    <x v="3"/>
    <x v="9"/>
  </r>
  <r>
    <n v="3"/>
    <n v="0"/>
    <x v="3"/>
    <x v="9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n v="1"/>
    <n v="2.1022955384615383"/>
    <x v="0"/>
    <x v="0"/>
  </r>
  <r>
    <n v="2"/>
    <n v="1.4705384615384616"/>
    <x v="0"/>
    <x v="1"/>
  </r>
  <r>
    <n v="3"/>
    <n v="1.2490876923076923"/>
    <x v="0"/>
    <x v="2"/>
  </r>
  <r>
    <n v="4"/>
    <n v="0.71161538461538465"/>
    <x v="1"/>
    <x v="3"/>
  </r>
  <r>
    <n v="5"/>
    <n v="0.70020000000000004"/>
    <x v="1"/>
    <x v="4"/>
  </r>
  <r>
    <n v="6"/>
    <n v="0.54392307692307695"/>
    <x v="2"/>
    <x v="5"/>
  </r>
  <r>
    <n v="7"/>
    <n v="0.43807692307692309"/>
    <x v="2"/>
    <x v="6"/>
  </r>
  <r>
    <n v="8"/>
    <n v="0.39327661538461539"/>
    <x v="3"/>
    <x v="7"/>
  </r>
  <r>
    <n v="9"/>
    <n v="0.24923076923076923"/>
    <x v="3"/>
    <x v="8"/>
  </r>
  <r>
    <n v="10"/>
    <n v="0.13592307692307692"/>
    <x v="3"/>
    <x v="9"/>
  </r>
  <r>
    <n v="11"/>
    <n v="0"/>
    <x v="4"/>
    <x v="10"/>
  </r>
  <r>
    <n v="12"/>
    <n v="0"/>
    <x v="4"/>
    <x v="10"/>
  </r>
  <r>
    <n v="1"/>
    <n v="2.1010089230769227"/>
    <x v="0"/>
    <x v="11"/>
  </r>
  <r>
    <n v="2"/>
    <n v="1.4679707692307693"/>
    <x v="0"/>
    <x v="12"/>
  </r>
  <r>
    <n v="3"/>
    <n v="1.1315230769230769"/>
    <x v="0"/>
    <x v="13"/>
  </r>
  <r>
    <n v="4"/>
    <n v="0.94044615384615382"/>
    <x v="1"/>
    <x v="14"/>
  </r>
  <r>
    <n v="5"/>
    <n v="0.68861538461538463"/>
    <x v="2"/>
    <x v="15"/>
  </r>
  <r>
    <n v="6"/>
    <n v="0.57619538461538455"/>
    <x v="2"/>
    <x v="16"/>
  </r>
  <r>
    <n v="7"/>
    <n v="0.50055384615384613"/>
    <x v="2"/>
    <x v="17"/>
  </r>
  <r>
    <n v="8"/>
    <n v="0.48635384615384614"/>
    <x v="2"/>
    <x v="18"/>
  </r>
  <r>
    <n v="9"/>
    <n v="0.3228923076923077"/>
    <x v="3"/>
    <x v="19"/>
  </r>
  <r>
    <n v="10"/>
    <n v="0.25064615384615385"/>
    <x v="3"/>
    <x v="20"/>
  </r>
  <r>
    <n v="11"/>
    <n v="0.17687692307692307"/>
    <x v="3"/>
    <x v="21"/>
  </r>
  <r>
    <n v="12"/>
    <n v="0"/>
    <x v="4"/>
    <x v="10"/>
  </r>
  <r>
    <n v="1"/>
    <n v="1.3431481481481482"/>
    <x v="0"/>
    <x v="22"/>
  </r>
  <r>
    <n v="2"/>
    <n v="0.94387037037037036"/>
    <x v="1"/>
    <x v="23"/>
  </r>
  <r>
    <n v="3"/>
    <n v="0.84044444444444444"/>
    <x v="1"/>
    <x v="24"/>
  </r>
  <r>
    <n v="4"/>
    <n v="0.56653703703703706"/>
    <x v="2"/>
    <x v="25"/>
  </r>
  <r>
    <n v="5"/>
    <n v="0.50240740740740741"/>
    <x v="2"/>
    <x v="26"/>
  </r>
  <r>
    <n v="6"/>
    <n v="0.41922222222222222"/>
    <x v="2"/>
    <x v="27"/>
  </r>
  <r>
    <n v="7"/>
    <n v="0.37775925925925924"/>
    <x v="3"/>
    <x v="28"/>
  </r>
  <r>
    <n v="8"/>
    <n v="0.3280925925925926"/>
    <x v="3"/>
    <x v="29"/>
  </r>
  <r>
    <n v="9"/>
    <n v="0.15901851851851853"/>
    <x v="3"/>
    <x v="30"/>
  </r>
  <r>
    <n v="10"/>
    <n v="0"/>
    <x v="4"/>
    <x v="10"/>
  </r>
  <r>
    <n v="11"/>
    <n v="0"/>
    <x v="4"/>
    <x v="10"/>
  </r>
  <r>
    <n v="12"/>
    <n v="0"/>
    <x v="4"/>
    <x v="10"/>
  </r>
  <r>
    <n v="1"/>
    <n v="0.72612962962962968"/>
    <x v="1"/>
    <x v="31"/>
  </r>
  <r>
    <n v="2"/>
    <n v="0.54594444444444445"/>
    <x v="2"/>
    <x v="32"/>
  </r>
  <r>
    <n v="3"/>
    <n v="0.50568518518518524"/>
    <x v="2"/>
    <x v="33"/>
  </r>
  <r>
    <n v="4"/>
    <n v="0.46605555555555556"/>
    <x v="2"/>
    <x v="34"/>
  </r>
  <r>
    <n v="5"/>
    <n v="0.4457962962962963"/>
    <x v="2"/>
    <x v="35"/>
  </r>
  <r>
    <n v="6"/>
    <n v="0.41438888888888886"/>
    <x v="2"/>
    <x v="36"/>
  </r>
  <r>
    <n v="7"/>
    <n v="0.37994444444444442"/>
    <x v="3"/>
    <x v="37"/>
  </r>
  <r>
    <n v="8"/>
    <n v="0.26178703703703704"/>
    <x v="3"/>
    <x v="38"/>
  </r>
  <r>
    <n v="9"/>
    <n v="0.22816666666666666"/>
    <x v="3"/>
    <x v="39"/>
  </r>
  <r>
    <n v="10"/>
    <n v="0"/>
    <x v="4"/>
    <x v="10"/>
  </r>
  <r>
    <n v="11"/>
    <n v="0"/>
    <x v="4"/>
    <x v="10"/>
  </r>
  <r>
    <n v="12"/>
    <n v="0"/>
    <x v="4"/>
    <x v="10"/>
  </r>
  <r>
    <n v="1"/>
    <n v="2.5266153846153845"/>
    <x v="0"/>
    <x v="40"/>
  </r>
  <r>
    <n v="2"/>
    <n v="2.1562692307692308"/>
    <x v="0"/>
    <x v="41"/>
  </r>
  <r>
    <n v="3"/>
    <n v="1.3675384615384616"/>
    <x v="0"/>
    <x v="42"/>
  </r>
  <r>
    <n v="4"/>
    <n v="1.2695000000000001"/>
    <x v="0"/>
    <x v="43"/>
  </r>
  <r>
    <n v="5"/>
    <n v="1.0028846153846154"/>
    <x v="0"/>
    <x v="44"/>
  </r>
  <r>
    <n v="6"/>
    <n v="0.85"/>
    <x v="1"/>
    <x v="45"/>
  </r>
  <r>
    <n v="7"/>
    <n v="0.69415384615384612"/>
    <x v="2"/>
    <x v="46"/>
  </r>
  <r>
    <n v="8"/>
    <n v="0.69242307692307692"/>
    <x v="2"/>
    <x v="47"/>
  </r>
  <r>
    <n v="9"/>
    <n v="0.59030769230769231"/>
    <x v="2"/>
    <x v="48"/>
  </r>
  <r>
    <n v="10"/>
    <n v="0.48896153846153845"/>
    <x v="2"/>
    <x v="49"/>
  </r>
  <r>
    <n v="11"/>
    <n v="0.43580769230769228"/>
    <x v="2"/>
    <x v="50"/>
  </r>
  <r>
    <n v="12"/>
    <n v="0"/>
    <x v="4"/>
    <x v="10"/>
  </r>
  <r>
    <n v="1"/>
    <n v="2.116967741935484"/>
    <x v="0"/>
    <x v="51"/>
  </r>
  <r>
    <n v="2"/>
    <n v="1.7149032258064516"/>
    <x v="0"/>
    <x v="52"/>
  </r>
  <r>
    <n v="3"/>
    <n v="1.0683870967741935"/>
    <x v="0"/>
    <x v="53"/>
  </r>
  <r>
    <n v="4"/>
    <n v="0.80909677419354842"/>
    <x v="1"/>
    <x v="54"/>
  </r>
  <r>
    <n v="5"/>
    <n v="0.68387096774193545"/>
    <x v="2"/>
    <x v="55"/>
  </r>
  <r>
    <n v="6"/>
    <n v="0.64451612903225808"/>
    <x v="2"/>
    <x v="56"/>
  </r>
  <r>
    <n v="7"/>
    <n v="0.57096774193548383"/>
    <x v="2"/>
    <x v="57"/>
  </r>
  <r>
    <n v="8"/>
    <n v="0.30193548387096775"/>
    <x v="3"/>
    <x v="58"/>
  </r>
  <r>
    <n v="9"/>
    <n v="0.28064516129032258"/>
    <x v="3"/>
    <x v="59"/>
  </r>
  <r>
    <n v="10"/>
    <n v="0.23148387096774192"/>
    <x v="3"/>
    <x v="60"/>
  </r>
  <r>
    <n v="11"/>
    <n v="0.23"/>
    <x v="3"/>
    <x v="61"/>
  </r>
  <r>
    <n v="12"/>
    <n v="0"/>
    <x v="4"/>
    <x v="10"/>
  </r>
  <r>
    <n v="1"/>
    <n v="0.81051612903225811"/>
    <x v="1"/>
    <x v="62"/>
  </r>
  <r>
    <n v="2"/>
    <n v="0.79687096774193544"/>
    <x v="1"/>
    <x v="63"/>
  </r>
  <r>
    <n v="3"/>
    <n v="0.79670967741935483"/>
    <x v="1"/>
    <x v="64"/>
  </r>
  <r>
    <n v="4"/>
    <n v="0.7699677419354839"/>
    <x v="1"/>
    <x v="65"/>
  </r>
  <r>
    <n v="5"/>
    <n v="0.5776129032258065"/>
    <x v="2"/>
    <x v="66"/>
  </r>
  <r>
    <n v="6"/>
    <n v="0.57270967741935486"/>
    <x v="2"/>
    <x v="67"/>
  </r>
  <r>
    <n v="7"/>
    <n v="0.54141935483870973"/>
    <x v="2"/>
    <x v="68"/>
  </r>
  <r>
    <n v="8"/>
    <n v="0.35909677419354841"/>
    <x v="3"/>
    <x v="69"/>
  </r>
  <r>
    <n v="9"/>
    <n v="0.25387096774193546"/>
    <x v="3"/>
    <x v="70"/>
  </r>
  <r>
    <n v="10"/>
    <n v="0.15387096774193548"/>
    <x v="3"/>
    <x v="71"/>
  </r>
  <r>
    <n v="11"/>
    <n v="0"/>
    <x v="4"/>
    <x v="72"/>
  </r>
  <r>
    <n v="12"/>
    <n v="0"/>
    <x v="4"/>
    <x v="10"/>
  </r>
  <r>
    <n v="1"/>
    <n v="1.3217419354838709"/>
    <x v="0"/>
    <x v="73"/>
  </r>
  <r>
    <n v="2"/>
    <n v="1.0068387096774194"/>
    <x v="0"/>
    <x v="74"/>
  </r>
  <r>
    <n v="3"/>
    <n v="0.77290322580645165"/>
    <x v="1"/>
    <x v="75"/>
  </r>
  <r>
    <n v="4"/>
    <n v="0.76419354838709674"/>
    <x v="1"/>
    <x v="76"/>
  </r>
  <r>
    <n v="5"/>
    <n v="0.73193548387096774"/>
    <x v="1"/>
    <x v="77"/>
  </r>
  <r>
    <n v="6"/>
    <n v="0.5263870967741936"/>
    <x v="2"/>
    <x v="78"/>
  </r>
  <r>
    <n v="7"/>
    <n v="0.50425806451612898"/>
    <x v="2"/>
    <x v="79"/>
  </r>
  <r>
    <n v="8"/>
    <n v="0.4838064516129032"/>
    <x v="2"/>
    <x v="80"/>
  </r>
  <r>
    <n v="9"/>
    <n v="0.34296774193548385"/>
    <x v="3"/>
    <x v="81"/>
  </r>
  <r>
    <n v="10"/>
    <n v="0.21612903225806451"/>
    <x v="3"/>
    <x v="82"/>
  </r>
  <r>
    <n v="11"/>
    <n v="0"/>
    <x v="4"/>
    <x v="83"/>
  </r>
  <r>
    <n v="12"/>
    <n v="0"/>
    <x v="4"/>
    <x v="10"/>
  </r>
  <r>
    <n v="1"/>
    <n v="0"/>
    <x v="4"/>
    <x v="10"/>
  </r>
  <r>
    <n v="2"/>
    <n v="0"/>
    <x v="4"/>
    <x v="10"/>
  </r>
  <r>
    <n v="3"/>
    <n v="0"/>
    <x v="4"/>
    <x v="1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n v="1"/>
    <n v="1.1826666666666668"/>
    <x v="0"/>
    <x v="0"/>
  </r>
  <r>
    <n v="2"/>
    <n v="1.1328472222222221"/>
    <x v="0"/>
    <x v="1"/>
  </r>
  <r>
    <n v="3"/>
    <n v="0.88745833333333335"/>
    <x v="1"/>
    <x v="2"/>
  </r>
  <r>
    <n v="4"/>
    <n v="0.8042083333333333"/>
    <x v="1"/>
    <x v="3"/>
  </r>
  <r>
    <n v="5"/>
    <n v="0.80401388888888892"/>
    <x v="1"/>
    <x v="4"/>
  </r>
  <r>
    <n v="6"/>
    <n v="0.72977777777777775"/>
    <x v="1"/>
    <x v="5"/>
  </r>
  <r>
    <n v="7"/>
    <n v="0.71969444444444441"/>
    <x v="1"/>
    <x v="6"/>
  </r>
  <r>
    <n v="8"/>
    <n v="0.43569444444444444"/>
    <x v="2"/>
    <x v="7"/>
  </r>
  <r>
    <n v="9"/>
    <n v="0.39784722222222224"/>
    <x v="3"/>
    <x v="8"/>
  </r>
  <r>
    <n v="10"/>
    <n v="0.21458333333333332"/>
    <x v="3"/>
    <x v="9"/>
  </r>
  <r>
    <n v="11"/>
    <n v="0"/>
    <x v="4"/>
    <x v="10"/>
  </r>
  <r>
    <n v="12"/>
    <n v="0"/>
    <x v="4"/>
    <x v="10"/>
  </r>
  <r>
    <n v="1"/>
    <n v="1.4371805555555555"/>
    <x v="0"/>
    <x v="11"/>
  </r>
  <r>
    <n v="2"/>
    <n v="1.2103055555555555"/>
    <x v="0"/>
    <x v="12"/>
  </r>
  <r>
    <n v="3"/>
    <n v="1.0319180555555556"/>
    <x v="0"/>
    <x v="13"/>
  </r>
  <r>
    <n v="4"/>
    <n v="0.85863888888888884"/>
    <x v="1"/>
    <x v="14"/>
  </r>
  <r>
    <n v="5"/>
    <n v="0.81085416666666665"/>
    <x v="1"/>
    <x v="15"/>
  </r>
  <r>
    <n v="6"/>
    <n v="0.74124999999999996"/>
    <x v="1"/>
    <x v="16"/>
  </r>
  <r>
    <n v="7"/>
    <n v="0.52819444444444441"/>
    <x v="2"/>
    <x v="17"/>
  </r>
  <r>
    <n v="8"/>
    <n v="0.36381944444444442"/>
    <x v="3"/>
    <x v="18"/>
  </r>
  <r>
    <n v="9"/>
    <n v="0.31055555555555553"/>
    <x v="3"/>
    <x v="19"/>
  </r>
  <r>
    <n v="10"/>
    <n v="0.1388888888888889"/>
    <x v="3"/>
    <x v="20"/>
  </r>
  <r>
    <n v="11"/>
    <n v="0"/>
    <x v="4"/>
    <x v="10"/>
  </r>
  <r>
    <n v="12"/>
    <n v="0"/>
    <x v="4"/>
    <x v="10"/>
  </r>
  <r>
    <n v="1"/>
    <n v="0.89207407407407402"/>
    <x v="1"/>
    <x v="21"/>
  </r>
  <r>
    <n v="2"/>
    <n v="0.65103703703703708"/>
    <x v="2"/>
    <x v="22"/>
  </r>
  <r>
    <n v="3"/>
    <n v="0.57211111111111113"/>
    <x v="2"/>
    <x v="23"/>
  </r>
  <r>
    <n v="4"/>
    <n v="0.54796296296296299"/>
    <x v="2"/>
    <x v="24"/>
  </r>
  <r>
    <n v="5"/>
    <n v="0.38300000000000001"/>
    <x v="3"/>
    <x v="25"/>
  </r>
  <r>
    <n v="6"/>
    <n v="0.36027777777777775"/>
    <x v="3"/>
    <x v="26"/>
  </r>
  <r>
    <n v="7"/>
    <n v="0.34772222222222221"/>
    <x v="3"/>
    <x v="27"/>
  </r>
  <r>
    <n v="8"/>
    <n v="0.19027777777777777"/>
    <x v="3"/>
    <x v="28"/>
  </r>
  <r>
    <n v="9"/>
    <n v="0.15062962962962964"/>
    <x v="3"/>
    <x v="29"/>
  </r>
  <r>
    <n v="10"/>
    <n v="0"/>
    <x v="4"/>
    <x v="10"/>
  </r>
  <r>
    <n v="11"/>
    <n v="0"/>
    <x v="4"/>
    <x v="10"/>
  </r>
  <r>
    <n v="12"/>
    <n v="0"/>
    <x v="4"/>
    <x v="10"/>
  </r>
  <r>
    <n v="1"/>
    <n v="0.72839814814814818"/>
    <x v="1"/>
    <x v="30"/>
  </r>
  <r>
    <n v="2"/>
    <n v="0.68624074074074071"/>
    <x v="2"/>
    <x v="31"/>
  </r>
  <r>
    <n v="3"/>
    <n v="0.59"/>
    <x v="2"/>
    <x v="32"/>
  </r>
  <r>
    <n v="4"/>
    <n v="0.5502407407407407"/>
    <x v="2"/>
    <x v="33"/>
  </r>
  <r>
    <n v="5"/>
    <n v="0.50892592592592589"/>
    <x v="2"/>
    <x v="34"/>
  </r>
  <r>
    <n v="6"/>
    <n v="0.40081481481481479"/>
    <x v="2"/>
    <x v="35"/>
  </r>
  <r>
    <n v="7"/>
    <n v="0.24317722222222221"/>
    <x v="3"/>
    <x v="36"/>
  </r>
  <r>
    <n v="8"/>
    <n v="0.11453703703703703"/>
    <x v="3"/>
    <x v="37"/>
  </r>
  <r>
    <n v="9"/>
    <n v="3.0944444444444445E-2"/>
    <x v="3"/>
    <x v="38"/>
  </r>
  <r>
    <n v="10"/>
    <n v="0"/>
    <x v="4"/>
    <x v="10"/>
  </r>
  <r>
    <n v="11"/>
    <n v="0"/>
    <x v="4"/>
    <x v="10"/>
  </r>
  <r>
    <n v="12"/>
    <n v="0"/>
    <x v="4"/>
    <x v="10"/>
  </r>
  <r>
    <n v="1"/>
    <n v="2.4919230769230771"/>
    <x v="0"/>
    <x v="39"/>
  </r>
  <r>
    <n v="2"/>
    <n v="1.8715592307692308"/>
    <x v="0"/>
    <x v="40"/>
  </r>
  <r>
    <n v="3"/>
    <n v="1.6965384615384616"/>
    <x v="0"/>
    <x v="41"/>
  </r>
  <r>
    <n v="4"/>
    <n v="1.1698076923076923"/>
    <x v="0"/>
    <x v="42"/>
  </r>
  <r>
    <n v="5"/>
    <n v="1.0065884615384615"/>
    <x v="0"/>
    <x v="43"/>
  </r>
  <r>
    <n v="6"/>
    <n v="0.56246153846153846"/>
    <x v="2"/>
    <x v="44"/>
  </r>
  <r>
    <n v="7"/>
    <n v="0.50853846153846149"/>
    <x v="2"/>
    <x v="45"/>
  </r>
  <r>
    <n v="8"/>
    <n v="0.50292307692307692"/>
    <x v="2"/>
    <x v="46"/>
  </r>
  <r>
    <n v="9"/>
    <n v="0.44034615384615383"/>
    <x v="2"/>
    <x v="47"/>
  </r>
  <r>
    <n v="10"/>
    <n v="0.35561538461538461"/>
    <x v="3"/>
    <x v="48"/>
  </r>
  <r>
    <n v="11"/>
    <n v="1.0961538461538462E-2"/>
    <x v="3"/>
    <x v="49"/>
  </r>
  <r>
    <n v="12"/>
    <n v="0"/>
    <x v="4"/>
    <x v="10"/>
  </r>
  <r>
    <n v="1"/>
    <n v="1.2225806451612904"/>
    <x v="0"/>
    <x v="50"/>
  </r>
  <r>
    <n v="2"/>
    <n v="1.0103225806451612"/>
    <x v="0"/>
    <x v="51"/>
  </r>
  <r>
    <n v="3"/>
    <n v="0.70012903225806455"/>
    <x v="1"/>
    <x v="52"/>
  </r>
  <r>
    <n v="4"/>
    <n v="0.42645161290322581"/>
    <x v="2"/>
    <x v="53"/>
  </r>
  <r>
    <n v="5"/>
    <n v="0.3496774193548387"/>
    <x v="3"/>
    <x v="54"/>
  </r>
  <r>
    <n v="6"/>
    <n v="0.28006451612903227"/>
    <x v="3"/>
    <x v="55"/>
  </r>
  <r>
    <n v="7"/>
    <n v="0.26838709677419353"/>
    <x v="3"/>
    <x v="56"/>
  </r>
  <r>
    <n v="8"/>
    <n v="0.18258064516129033"/>
    <x v="3"/>
    <x v="57"/>
  </r>
  <r>
    <n v="9"/>
    <n v="7.5483870967741937E-2"/>
    <x v="3"/>
    <x v="58"/>
  </r>
  <r>
    <n v="10"/>
    <n v="6.4516129032258063E-2"/>
    <x v="3"/>
    <x v="59"/>
  </r>
  <r>
    <n v="11"/>
    <n v="0"/>
    <x v="4"/>
    <x v="10"/>
  </r>
  <r>
    <n v="12"/>
    <n v="0"/>
    <x v="4"/>
    <x v="10"/>
  </r>
  <r>
    <n v="1"/>
    <n v="0.86550000000000005"/>
    <x v="1"/>
    <x v="60"/>
  </r>
  <r>
    <n v="2"/>
    <n v="0.85631250000000003"/>
    <x v="1"/>
    <x v="61"/>
  </r>
  <r>
    <n v="3"/>
    <n v="0.85106250000000006"/>
    <x v="1"/>
    <x v="62"/>
  </r>
  <r>
    <n v="4"/>
    <n v="0.78818750000000004"/>
    <x v="1"/>
    <x v="63"/>
  </r>
  <r>
    <n v="5"/>
    <n v="0.70107874999999997"/>
    <x v="1"/>
    <x v="64"/>
  </r>
  <r>
    <n v="6"/>
    <n v="0.66062500000000002"/>
    <x v="2"/>
    <x v="65"/>
  </r>
  <r>
    <n v="7"/>
    <n v="0.56137499999999996"/>
    <x v="2"/>
    <x v="66"/>
  </r>
  <r>
    <n v="8"/>
    <n v="0.39924999999999999"/>
    <x v="3"/>
    <x v="67"/>
  </r>
  <r>
    <n v="9"/>
    <n v="0.28125"/>
    <x v="3"/>
    <x v="68"/>
  </r>
  <r>
    <n v="10"/>
    <n v="0.26250000000000001"/>
    <x v="3"/>
    <x v="69"/>
  </r>
  <r>
    <n v="11"/>
    <n v="8.1125000000000003E-2"/>
    <x v="3"/>
    <x v="70"/>
  </r>
  <r>
    <n v="12"/>
    <n v="0"/>
    <x v="4"/>
    <x v="10"/>
  </r>
  <r>
    <n v="1"/>
    <n v="0.95628499999999994"/>
    <x v="1"/>
    <x v="71"/>
  </r>
  <r>
    <n v="2"/>
    <n v="0.78743750000000001"/>
    <x v="1"/>
    <x v="72"/>
  </r>
  <r>
    <n v="3"/>
    <n v="0.72962499999999997"/>
    <x v="1"/>
    <x v="73"/>
  </r>
  <r>
    <n v="4"/>
    <n v="0.61562499999999998"/>
    <x v="2"/>
    <x v="74"/>
  </r>
  <r>
    <n v="5"/>
    <n v="0.46249437500000001"/>
    <x v="2"/>
    <x v="75"/>
  </r>
  <r>
    <n v="6"/>
    <n v="0.43093749999999997"/>
    <x v="2"/>
    <x v="76"/>
  </r>
  <r>
    <n v="7"/>
    <n v="0.40094375000000004"/>
    <x v="2"/>
    <x v="77"/>
  </r>
  <r>
    <n v="8"/>
    <n v="0.27625"/>
    <x v="3"/>
    <x v="78"/>
  </r>
  <r>
    <n v="9"/>
    <n v="0.2235"/>
    <x v="3"/>
    <x v="79"/>
  </r>
  <r>
    <n v="10"/>
    <n v="7.6624999999999999E-2"/>
    <x v="3"/>
    <x v="80"/>
  </r>
  <r>
    <n v="11"/>
    <n v="0"/>
    <x v="4"/>
    <x v="10"/>
  </r>
  <r>
    <n v="12"/>
    <n v="0"/>
    <x v="4"/>
    <x v="10"/>
  </r>
  <r>
    <n v="1"/>
    <n v="0"/>
    <x v="4"/>
    <x v="10"/>
  </r>
  <r>
    <n v="2"/>
    <n v="0"/>
    <x v="4"/>
    <x v="10"/>
  </r>
  <r>
    <n v="3"/>
    <n v="0"/>
    <x v="4"/>
    <x v="1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1"/>
    <n v="0.8576896551724138"/>
    <x v="0"/>
    <x v="0"/>
  </r>
  <r>
    <n v="2"/>
    <n v="1.8767758620689656"/>
    <x v="1"/>
    <x v="1"/>
  </r>
  <r>
    <n v="3"/>
    <n v="1.0002586206896551"/>
    <x v="1"/>
    <x v="2"/>
  </r>
  <r>
    <n v="4"/>
    <n v="0.85236206896551725"/>
    <x v="0"/>
    <x v="3"/>
  </r>
  <r>
    <n v="5"/>
    <n v="0.74841379310344824"/>
    <x v="0"/>
    <x v="4"/>
  </r>
  <r>
    <n v="6"/>
    <n v="0.65124137931034487"/>
    <x v="2"/>
    <x v="5"/>
  </r>
  <r>
    <n v="7"/>
    <n v="0.71658620689655173"/>
    <x v="0"/>
    <x v="6"/>
  </r>
  <r>
    <n v="8"/>
    <n v="1.0428103448275863"/>
    <x v="1"/>
    <x v="7"/>
  </r>
  <r>
    <n v="9"/>
    <n v="0"/>
    <x v="3"/>
    <x v="8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.30009090909090907"/>
    <x v="4"/>
    <x v="9"/>
  </r>
  <r>
    <n v="2"/>
    <n v="0.50140909090909092"/>
    <x v="2"/>
    <x v="10"/>
  </r>
  <r>
    <n v="3"/>
    <n v="1.0436363636363637"/>
    <x v="1"/>
    <x v="11"/>
  </r>
  <r>
    <n v="4"/>
    <n v="0.54387272727272729"/>
    <x v="2"/>
    <x v="12"/>
  </r>
  <r>
    <n v="5"/>
    <n v="1.1077272727272727"/>
    <x v="1"/>
    <x v="13"/>
  </r>
  <r>
    <n v="6"/>
    <n v="0.65109090909090905"/>
    <x v="2"/>
    <x v="14"/>
  </r>
  <r>
    <n v="7"/>
    <n v="0.57263636363636361"/>
    <x v="2"/>
    <x v="15"/>
  </r>
  <r>
    <n v="8"/>
    <n v="0.38954545454545453"/>
    <x v="4"/>
    <x v="16"/>
  </r>
  <r>
    <n v="9"/>
    <n v="0.35457272727272726"/>
    <x v="4"/>
    <x v="17"/>
  </r>
  <r>
    <n v="10"/>
    <n v="0.13309090909090909"/>
    <x v="4"/>
    <x v="18"/>
  </r>
  <r>
    <n v="11"/>
    <n v="0.36845454545454548"/>
    <x v="4"/>
    <x v="19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1.611904761904762"/>
    <x v="1"/>
    <x v="20"/>
  </r>
  <r>
    <n v="2"/>
    <n v="0.65238095238095239"/>
    <x v="2"/>
    <x v="21"/>
  </r>
  <r>
    <n v="3"/>
    <n v="1.0635238095238095"/>
    <x v="1"/>
    <x v="22"/>
  </r>
  <r>
    <n v="4"/>
    <n v="1.0185714285714285"/>
    <x v="1"/>
    <x v="23"/>
  </r>
  <r>
    <n v="5"/>
    <n v="0.24771428571428572"/>
    <x v="4"/>
    <x v="24"/>
  </r>
  <r>
    <n v="6"/>
    <n v="1.1061904761904762"/>
    <x v="1"/>
    <x v="25"/>
  </r>
  <r>
    <n v="7"/>
    <n v="1.7141904761904763"/>
    <x v="1"/>
    <x v="26"/>
  </r>
  <r>
    <n v="8"/>
    <n v="1.1361904761904762"/>
    <x v="1"/>
    <x v="27"/>
  </r>
  <r>
    <n v="9"/>
    <n v="1.0646666666666667"/>
    <x v="1"/>
    <x v="28"/>
  </r>
  <r>
    <n v="10"/>
    <n v="0.74604761904761907"/>
    <x v="0"/>
    <x v="29"/>
  </r>
  <r>
    <n v="11"/>
    <n v="0"/>
    <x v="3"/>
    <x v="30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.47914285714285715"/>
    <x v="2"/>
    <x v="31"/>
  </r>
  <r>
    <n v="2"/>
    <n v="0.61953809523809522"/>
    <x v="2"/>
    <x v="32"/>
  </r>
  <r>
    <n v="3"/>
    <n v="0"/>
    <x v="3"/>
    <x v="33"/>
  </r>
  <r>
    <n v="4"/>
    <n v="6.1904761904761907E-2"/>
    <x v="4"/>
    <x v="34"/>
  </r>
  <r>
    <n v="5"/>
    <n v="7.6190476190476197E-2"/>
    <x v="4"/>
    <x v="35"/>
  </r>
  <r>
    <n v="6"/>
    <n v="0.9167333333333334"/>
    <x v="0"/>
    <x v="36"/>
  </r>
  <r>
    <n v="7"/>
    <n v="0.50987142857142853"/>
    <x v="2"/>
    <x v="37"/>
  </r>
  <r>
    <n v="8"/>
    <n v="1.2047857142857143"/>
    <x v="1"/>
    <x v="38"/>
  </r>
  <r>
    <n v="9"/>
    <n v="0"/>
    <x v="3"/>
    <x v="39"/>
  </r>
  <r>
    <n v="10"/>
    <n v="0.82548095238095232"/>
    <x v="0"/>
    <x v="40"/>
  </r>
  <r>
    <n v="11"/>
    <n v="0.56958571428571425"/>
    <x v="2"/>
    <x v="41"/>
  </r>
  <r>
    <n v="12"/>
    <n v="0.42004761904761906"/>
    <x v="2"/>
    <x v="42"/>
  </r>
  <r>
    <n v="13"/>
    <n v="0.450347619047619"/>
    <x v="2"/>
    <x v="43"/>
  </r>
  <r>
    <n v="14"/>
    <n v="0"/>
    <x v="3"/>
    <x v="8"/>
  </r>
  <r>
    <n v="15"/>
    <n v="0"/>
    <x v="3"/>
    <x v="8"/>
  </r>
  <r>
    <n v="1"/>
    <n v="0"/>
    <x v="3"/>
    <x v="44"/>
  </r>
  <r>
    <n v="2"/>
    <n v="1.3566206896551725"/>
    <x v="1"/>
    <x v="45"/>
  </r>
  <r>
    <n v="3"/>
    <n v="0.37945879310344827"/>
    <x v="4"/>
    <x v="46"/>
  </r>
  <r>
    <n v="4"/>
    <n v="0.41139655172413792"/>
    <x v="2"/>
    <x v="47"/>
  </r>
  <r>
    <n v="5"/>
    <n v="0.85039086206896553"/>
    <x v="0"/>
    <x v="48"/>
  </r>
  <r>
    <n v="6"/>
    <n v="0.41710189655172414"/>
    <x v="2"/>
    <x v="49"/>
  </r>
  <r>
    <n v="7"/>
    <n v="1.4346522413793104"/>
    <x v="1"/>
    <x v="50"/>
  </r>
  <r>
    <n v="8"/>
    <n v="0.82144827586206892"/>
    <x v="0"/>
    <x v="51"/>
  </r>
  <r>
    <n v="9"/>
    <n v="1.9245034482758621"/>
    <x v="1"/>
    <x v="52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1.1067878787878789"/>
    <x v="1"/>
    <x v="53"/>
  </r>
  <r>
    <n v="2"/>
    <n v="1.1386666666666667"/>
    <x v="1"/>
    <x v="54"/>
  </r>
  <r>
    <n v="3"/>
    <n v="1.2020606060606061"/>
    <x v="1"/>
    <x v="55"/>
  </r>
  <r>
    <n v="4"/>
    <n v="0"/>
    <x v="3"/>
    <x v="56"/>
  </r>
  <r>
    <n v="5"/>
    <n v="0.86575757575757573"/>
    <x v="0"/>
    <x v="57"/>
  </r>
  <r>
    <n v="6"/>
    <n v="1.1492121212121211"/>
    <x v="1"/>
    <x v="58"/>
  </r>
  <r>
    <n v="7"/>
    <n v="0.57030303030303031"/>
    <x v="2"/>
    <x v="59"/>
  </r>
  <r>
    <n v="8"/>
    <n v="0.15939393939393939"/>
    <x v="4"/>
    <x v="60"/>
  </r>
  <r>
    <n v="9"/>
    <n v="0.7518424242424242"/>
    <x v="0"/>
    <x v="61"/>
  </r>
  <r>
    <n v="10"/>
    <n v="1.0626060606060606"/>
    <x v="1"/>
    <x v="62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.60502586206896547"/>
    <x v="2"/>
    <x v="63"/>
  </r>
  <r>
    <n v="2"/>
    <n v="0"/>
    <x v="3"/>
    <x v="64"/>
  </r>
  <r>
    <n v="3"/>
    <n v="0.64285689655172407"/>
    <x v="2"/>
    <x v="65"/>
  </r>
  <r>
    <n v="4"/>
    <n v="0.15712068965517242"/>
    <x v="4"/>
    <x v="66"/>
  </r>
  <r>
    <n v="5"/>
    <n v="1.2074137931034483"/>
    <x v="1"/>
    <x v="67"/>
  </r>
  <r>
    <n v="6"/>
    <n v="0.92255172413793107"/>
    <x v="0"/>
    <x v="68"/>
  </r>
  <r>
    <n v="7"/>
    <n v="0.85953275862068967"/>
    <x v="0"/>
    <x v="69"/>
  </r>
  <r>
    <n v="8"/>
    <n v="0.58684482758620693"/>
    <x v="2"/>
    <x v="70"/>
  </r>
  <r>
    <n v="9"/>
    <n v="0.58684482758620693"/>
    <x v="2"/>
    <x v="71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e v="#N/A"/>
    <x v="3"/>
    <x v="8"/>
  </r>
  <r>
    <n v="2"/>
    <e v="#N/A"/>
    <x v="3"/>
    <x v="8"/>
  </r>
  <r>
    <n v="3"/>
    <e v="#N/A"/>
    <x v="3"/>
    <x v="8"/>
  </r>
  <r>
    <n v="4"/>
    <e v="#N/A"/>
    <x v="3"/>
    <x v="8"/>
  </r>
  <r>
    <n v="5"/>
    <e v="#N/A"/>
    <x v="3"/>
    <x v="8"/>
  </r>
  <r>
    <n v="6"/>
    <e v="#N/A"/>
    <x v="3"/>
    <x v="8"/>
  </r>
  <r>
    <n v="7"/>
    <e v="#N/A"/>
    <x v="3"/>
    <x v="8"/>
  </r>
  <r>
    <n v="8"/>
    <e v="#N/A"/>
    <x v="3"/>
    <x v="8"/>
  </r>
  <r>
    <n v="9"/>
    <e v="#N/A"/>
    <x v="3"/>
    <x v="8"/>
  </r>
  <r>
    <n v="10"/>
    <e v="#N/A"/>
    <x v="3"/>
    <x v="8"/>
  </r>
  <r>
    <n v="11"/>
    <e v="#N/A"/>
    <x v="3"/>
    <x v="8"/>
  </r>
  <r>
    <n v="12"/>
    <e v="#N/A"/>
    <x v="3"/>
    <x v="8"/>
  </r>
  <r>
    <n v="13"/>
    <e v="#N/A"/>
    <x v="3"/>
    <x v="8"/>
  </r>
  <r>
    <n v="14"/>
    <e v="#N/A"/>
    <x v="3"/>
    <x v="8"/>
  </r>
  <r>
    <n v="15"/>
    <e v="#N/A"/>
    <x v="3"/>
    <x v="8"/>
  </r>
  <r>
    <n v="1"/>
    <n v="0"/>
    <x v="3"/>
    <x v="8"/>
  </r>
  <r>
    <n v="2"/>
    <n v="0"/>
    <x v="3"/>
    <x v="8"/>
  </r>
  <r>
    <n v="3"/>
    <n v="0"/>
    <x v="3"/>
    <x v="8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1"/>
    <n v="0.56788793103448276"/>
    <x v="0"/>
    <x v="0"/>
  </r>
  <r>
    <n v="2"/>
    <n v="0.63732758620689656"/>
    <x v="0"/>
    <x v="1"/>
  </r>
  <r>
    <n v="3"/>
    <n v="1.2610482758620674"/>
    <x v="1"/>
    <x v="2"/>
  </r>
  <r>
    <n v="4"/>
    <n v="0.85294827586206901"/>
    <x v="2"/>
    <x v="3"/>
  </r>
  <r>
    <n v="5"/>
    <n v="1.9456465517241379"/>
    <x v="1"/>
    <x v="4"/>
  </r>
  <r>
    <n v="6"/>
    <n v="0.62852931034482751"/>
    <x v="0"/>
    <x v="5"/>
  </r>
  <r>
    <n v="7"/>
    <n v="0.52382758620689651"/>
    <x v="0"/>
    <x v="6"/>
  </r>
  <r>
    <n v="8"/>
    <n v="0.60139655172413797"/>
    <x v="0"/>
    <x v="7"/>
  </r>
  <r>
    <n v="9"/>
    <n v="1.1860344827586207"/>
    <x v="1"/>
    <x v="8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3851551724137931"/>
    <x v="4"/>
    <x v="10"/>
  </r>
  <r>
    <n v="2"/>
    <n v="0.66041379310344828"/>
    <x v="0"/>
    <x v="11"/>
  </r>
  <r>
    <n v="3"/>
    <n v="0.40197844827586204"/>
    <x v="0"/>
    <x v="12"/>
  </r>
  <r>
    <n v="4"/>
    <n v="0.19591379310344828"/>
    <x v="4"/>
    <x v="13"/>
  </r>
  <r>
    <n v="5"/>
    <n v="0.2413793103448276"/>
    <x v="4"/>
    <x v="14"/>
  </r>
  <r>
    <n v="6"/>
    <n v="0.4911224137931034"/>
    <x v="0"/>
    <x v="15"/>
  </r>
  <r>
    <n v="7"/>
    <n v="0.89168965517241383"/>
    <x v="2"/>
    <x v="16"/>
  </r>
  <r>
    <n v="8"/>
    <n v="0.84617241379310348"/>
    <x v="2"/>
    <x v="17"/>
  </r>
  <r>
    <n v="9"/>
    <n v="1.0940606896551723"/>
    <x v="1"/>
    <x v="18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62618181818181817"/>
    <x v="0"/>
    <x v="19"/>
  </r>
  <r>
    <n v="2"/>
    <n v="1.3257272727272726"/>
    <x v="1"/>
    <x v="20"/>
  </r>
  <r>
    <n v="3"/>
    <n v="1.0019363636363636"/>
    <x v="1"/>
    <x v="21"/>
  </r>
  <r>
    <n v="4"/>
    <n v="0.56200000000000006"/>
    <x v="0"/>
    <x v="22"/>
  </r>
  <r>
    <n v="5"/>
    <n v="0.87387272727272736"/>
    <x v="2"/>
    <x v="23"/>
  </r>
  <r>
    <n v="6"/>
    <n v="0.49286363636363634"/>
    <x v="0"/>
    <x v="24"/>
  </r>
  <r>
    <n v="7"/>
    <n v="0.1"/>
    <x v="4"/>
    <x v="25"/>
  </r>
  <r>
    <n v="8"/>
    <n v="0.67694545454545452"/>
    <x v="0"/>
    <x v="26"/>
  </r>
  <r>
    <n v="9"/>
    <n v="2.7272727272727271E-2"/>
    <x v="4"/>
    <x v="27"/>
  </r>
  <r>
    <n v="10"/>
    <n v="0.35418181818181821"/>
    <x v="4"/>
    <x v="28"/>
  </r>
  <r>
    <n v="11"/>
    <n v="0.70727272727272728"/>
    <x v="2"/>
    <x v="29"/>
  </r>
  <r>
    <n v="12"/>
    <n v="0.19545454545454546"/>
    <x v="4"/>
    <x v="30"/>
  </r>
  <r>
    <n v="13"/>
    <n v="0"/>
    <x v="3"/>
    <x v="9"/>
  </r>
  <r>
    <n v="14"/>
    <n v="0"/>
    <x v="3"/>
    <x v="9"/>
  </r>
  <r>
    <n v="15"/>
    <n v="0"/>
    <x v="3"/>
    <x v="9"/>
  </r>
  <r>
    <n v="1"/>
    <n v="1.1166982758620689"/>
    <x v="1"/>
    <x v="31"/>
  </r>
  <r>
    <n v="2"/>
    <n v="1.0160862068965517"/>
    <x v="1"/>
    <x v="32"/>
  </r>
  <r>
    <n v="3"/>
    <n v="0.8280936206896552"/>
    <x v="2"/>
    <x v="33"/>
  </r>
  <r>
    <n v="4"/>
    <n v="0.68544827586206891"/>
    <x v="0"/>
    <x v="34"/>
  </r>
  <r>
    <n v="5"/>
    <n v="0.42706896551724138"/>
    <x v="0"/>
    <x v="35"/>
  </r>
  <r>
    <n v="6"/>
    <n v="0.44837931034482759"/>
    <x v="0"/>
    <x v="36"/>
  </r>
  <r>
    <n v="7"/>
    <n v="0.53391379310344833"/>
    <x v="0"/>
    <x v="37"/>
  </r>
  <r>
    <n v="8"/>
    <n v="0.77317241379310342"/>
    <x v="2"/>
    <x v="38"/>
  </r>
  <r>
    <n v="9"/>
    <n v="0.71406017241379305"/>
    <x v="2"/>
    <x v="39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8"/>
    <x v="2"/>
    <x v="40"/>
  </r>
  <r>
    <n v="2"/>
    <n v="1.2687533333333334"/>
    <x v="1"/>
    <x v="41"/>
  </r>
  <r>
    <n v="3"/>
    <n v="0.40904761904761905"/>
    <x v="0"/>
    <x v="42"/>
  </r>
  <r>
    <n v="4"/>
    <n v="0.3638095238095238"/>
    <x v="4"/>
    <x v="43"/>
  </r>
  <r>
    <n v="5"/>
    <n v="0.77047619047619043"/>
    <x v="2"/>
    <x v="44"/>
  </r>
  <r>
    <n v="6"/>
    <n v="0.38476190476190475"/>
    <x v="4"/>
    <x v="45"/>
  </r>
  <r>
    <n v="7"/>
    <n v="0.14345238095238094"/>
    <x v="4"/>
    <x v="46"/>
  </r>
  <r>
    <n v="8"/>
    <n v="1.5892857142857142"/>
    <x v="1"/>
    <x v="47"/>
  </r>
  <r>
    <n v="9"/>
    <n v="0.38571428571428573"/>
    <x v="4"/>
    <x v="48"/>
  </r>
  <r>
    <n v="10"/>
    <n v="0.97723809523809524"/>
    <x v="2"/>
    <x v="4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1.1286060606060606"/>
    <x v="1"/>
    <x v="50"/>
  </r>
  <r>
    <n v="2"/>
    <n v="1.1507878787878787"/>
    <x v="1"/>
    <x v="51"/>
  </r>
  <r>
    <n v="3"/>
    <n v="0.1672121212121212"/>
    <x v="4"/>
    <x v="52"/>
  </r>
  <r>
    <n v="4"/>
    <n v="1.2287878787878788"/>
    <x v="1"/>
    <x v="53"/>
  </r>
  <r>
    <n v="5"/>
    <n v="0.48145454545454547"/>
    <x v="0"/>
    <x v="54"/>
  </r>
  <r>
    <n v="6"/>
    <n v="0.41769696969696968"/>
    <x v="0"/>
    <x v="55"/>
  </r>
  <r>
    <n v="7"/>
    <n v="0.7533333333333333"/>
    <x v="2"/>
    <x v="56"/>
  </r>
  <r>
    <n v="8"/>
    <n v="0.29459575757575757"/>
    <x v="4"/>
    <x v="57"/>
  </r>
  <r>
    <n v="9"/>
    <n v="0.4498060606060606"/>
    <x v="0"/>
    <x v="58"/>
  </r>
  <r>
    <n v="10"/>
    <n v="0.66487878787878785"/>
    <x v="0"/>
    <x v="5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e v="#N/A"/>
    <x v="3"/>
    <x v="9"/>
  </r>
  <r>
    <n v="2"/>
    <e v="#N/A"/>
    <x v="3"/>
    <x v="9"/>
  </r>
  <r>
    <n v="3"/>
    <e v="#N/A"/>
    <x v="3"/>
    <x v="9"/>
  </r>
  <r>
    <n v="4"/>
    <e v="#N/A"/>
    <x v="3"/>
    <x v="9"/>
  </r>
  <r>
    <n v="5"/>
    <e v="#N/A"/>
    <x v="3"/>
    <x v="9"/>
  </r>
  <r>
    <n v="6"/>
    <e v="#N/A"/>
    <x v="3"/>
    <x v="9"/>
  </r>
  <r>
    <n v="7"/>
    <e v="#N/A"/>
    <x v="3"/>
    <x v="9"/>
  </r>
  <r>
    <n v="8"/>
    <e v="#N/A"/>
    <x v="3"/>
    <x v="9"/>
  </r>
  <r>
    <n v="9"/>
    <e v="#N/A"/>
    <x v="3"/>
    <x v="9"/>
  </r>
  <r>
    <n v="10"/>
    <e v="#N/A"/>
    <x v="3"/>
    <x v="9"/>
  </r>
  <r>
    <n v="11"/>
    <e v="#N/A"/>
    <x v="3"/>
    <x v="9"/>
  </r>
  <r>
    <n v="12"/>
    <e v="#N/A"/>
    <x v="3"/>
    <x v="9"/>
  </r>
  <r>
    <n v="13"/>
    <e v="#N/A"/>
    <x v="3"/>
    <x v="9"/>
  </r>
  <r>
    <n v="14"/>
    <e v="#N/A"/>
    <x v="3"/>
    <x v="9"/>
  </r>
  <r>
    <n v="15"/>
    <e v="#N/A"/>
    <x v="3"/>
    <x v="9"/>
  </r>
  <r>
    <n v="1"/>
    <n v="0.68619047619047624"/>
    <x v="0"/>
    <x v="60"/>
  </r>
  <r>
    <n v="2"/>
    <n v="0.81990476190476191"/>
    <x v="2"/>
    <x v="61"/>
  </r>
  <r>
    <n v="3"/>
    <n v="0.38085714285714284"/>
    <x v="4"/>
    <x v="62"/>
  </r>
  <r>
    <n v="4"/>
    <n v="0.4819761904761905"/>
    <x v="0"/>
    <x v="63"/>
  </r>
  <r>
    <n v="5"/>
    <n v="0.30476190476190479"/>
    <x v="4"/>
    <x v="64"/>
  </r>
  <r>
    <n v="6"/>
    <n v="0.4204761904761905"/>
    <x v="0"/>
    <x v="65"/>
  </r>
  <r>
    <n v="7"/>
    <n v="0.30840714285714288"/>
    <x v="4"/>
    <x v="66"/>
  </r>
  <r>
    <n v="8"/>
    <n v="0.74561904761904763"/>
    <x v="2"/>
    <x v="67"/>
  </r>
  <r>
    <n v="9"/>
    <n v="0.46733809523809527"/>
    <x v="0"/>
    <x v="68"/>
  </r>
  <r>
    <n v="10"/>
    <n v="0.41809523809523808"/>
    <x v="0"/>
    <x v="69"/>
  </r>
  <r>
    <n v="11"/>
    <n v="0.27714285714285714"/>
    <x v="4"/>
    <x v="70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"/>
    <x v="3"/>
    <x v="9"/>
  </r>
  <r>
    <n v="2"/>
    <n v="0"/>
    <x v="3"/>
    <x v="9"/>
  </r>
  <r>
    <n v="3"/>
    <n v="0"/>
    <x v="3"/>
    <x v="9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1"/>
    <n v="0"/>
    <x v="0"/>
    <x v="0"/>
  </r>
  <r>
    <n v="2"/>
    <n v="0.45325806451612904"/>
    <x v="1"/>
    <x v="1"/>
  </r>
  <r>
    <n v="3"/>
    <n v="0.69497580645161294"/>
    <x v="1"/>
    <x v="2"/>
  </r>
  <r>
    <n v="4"/>
    <n v="1.3166403225806451"/>
    <x v="2"/>
    <x v="3"/>
  </r>
  <r>
    <n v="5"/>
    <n v="0.85046774193548391"/>
    <x v="3"/>
    <x v="4"/>
  </r>
  <r>
    <n v="6"/>
    <n v="2.134415322580645"/>
    <x v="2"/>
    <x v="5"/>
  </r>
  <r>
    <n v="7"/>
    <n v="0"/>
    <x v="0"/>
    <x v="6"/>
  </r>
  <r>
    <n v="8"/>
    <n v="0.12419354838709677"/>
    <x v="4"/>
    <x v="7"/>
  </r>
  <r>
    <n v="9"/>
    <n v="1.1488274193548387"/>
    <x v="2"/>
    <x v="8"/>
  </r>
  <r>
    <n v="10"/>
    <n v="0.57990322580645159"/>
    <x v="1"/>
    <x v="9"/>
  </r>
  <r>
    <n v="11"/>
    <n v="1.4439354838709677"/>
    <x v="2"/>
    <x v="10"/>
  </r>
  <r>
    <n v="12"/>
    <n v="0"/>
    <x v="0"/>
    <x v="11"/>
  </r>
  <r>
    <n v="13"/>
    <n v="0"/>
    <x v="0"/>
    <x v="11"/>
  </r>
  <r>
    <n v="14"/>
    <n v="0"/>
    <x v="0"/>
    <x v="11"/>
  </r>
  <r>
    <n v="15"/>
    <n v="0"/>
    <x v="0"/>
    <x v="11"/>
  </r>
  <r>
    <n v="1"/>
    <n v="0.40633870967741936"/>
    <x v="1"/>
    <x v="12"/>
  </r>
  <r>
    <n v="2"/>
    <n v="0.44693548387096776"/>
    <x v="1"/>
    <x v="13"/>
  </r>
  <r>
    <n v="3"/>
    <n v="0.2983064516129032"/>
    <x v="4"/>
    <x v="14"/>
  </r>
  <r>
    <n v="4"/>
    <n v="0.35506048387096772"/>
    <x v="4"/>
    <x v="15"/>
  </r>
  <r>
    <n v="5"/>
    <n v="1.1865483870967741"/>
    <x v="2"/>
    <x v="16"/>
  </r>
  <r>
    <n v="6"/>
    <n v="0.29919354838709677"/>
    <x v="4"/>
    <x v="17"/>
  </r>
  <r>
    <n v="7"/>
    <n v="0"/>
    <x v="0"/>
    <x v="18"/>
  </r>
  <r>
    <n v="8"/>
    <n v="1.4399354838709677"/>
    <x v="2"/>
    <x v="19"/>
  </r>
  <r>
    <n v="9"/>
    <n v="0"/>
    <x v="0"/>
    <x v="11"/>
  </r>
  <r>
    <n v="10"/>
    <n v="0"/>
    <x v="0"/>
    <x v="11"/>
  </r>
  <r>
    <n v="11"/>
    <n v="0"/>
    <x v="0"/>
    <x v="11"/>
  </r>
  <r>
    <n v="12"/>
    <n v="0"/>
    <x v="0"/>
    <x v="11"/>
  </r>
  <r>
    <n v="13"/>
    <n v="0"/>
    <x v="0"/>
    <x v="11"/>
  </r>
  <r>
    <n v="14"/>
    <n v="0"/>
    <x v="0"/>
    <x v="11"/>
  </r>
  <r>
    <n v="15"/>
    <n v="0"/>
    <x v="0"/>
    <x v="11"/>
  </r>
  <r>
    <n v="1"/>
    <n v="0.25620833333333332"/>
    <x v="4"/>
    <x v="20"/>
  </r>
  <r>
    <n v="2"/>
    <n v="0.21875"/>
    <x v="4"/>
    <x v="21"/>
  </r>
  <r>
    <n v="3"/>
    <n v="0.45379166666666665"/>
    <x v="1"/>
    <x v="22"/>
  </r>
  <r>
    <n v="4"/>
    <n v="0.22791666666666666"/>
    <x v="4"/>
    <x v="23"/>
  </r>
  <r>
    <n v="5"/>
    <n v="0.110625"/>
    <x v="4"/>
    <x v="24"/>
  </r>
  <r>
    <n v="6"/>
    <n v="0.77920833333333328"/>
    <x v="3"/>
    <x v="25"/>
  </r>
  <r>
    <n v="7"/>
    <n v="0.43883333333333335"/>
    <x v="1"/>
    <x v="26"/>
  </r>
  <r>
    <n v="8"/>
    <n v="0.44091666666666668"/>
    <x v="1"/>
    <x v="27"/>
  </r>
  <r>
    <n v="9"/>
    <n v="0.36379166666666668"/>
    <x v="4"/>
    <x v="28"/>
  </r>
  <r>
    <n v="10"/>
    <n v="0.33024999999999999"/>
    <x v="4"/>
    <x v="29"/>
  </r>
  <r>
    <n v="11"/>
    <n v="0"/>
    <x v="0"/>
    <x v="11"/>
  </r>
  <r>
    <n v="12"/>
    <n v="0"/>
    <x v="0"/>
    <x v="11"/>
  </r>
  <r>
    <n v="13"/>
    <n v="0"/>
    <x v="0"/>
    <x v="11"/>
  </r>
  <r>
    <n v="14"/>
    <n v="0"/>
    <x v="0"/>
    <x v="11"/>
  </r>
  <r>
    <n v="15"/>
    <n v="0"/>
    <x v="0"/>
    <x v="11"/>
  </r>
  <r>
    <n v="1"/>
    <n v="0.65578225806451618"/>
    <x v="1"/>
    <x v="30"/>
  </r>
  <r>
    <n v="2"/>
    <n v="1.6418725806451453"/>
    <x v="2"/>
    <x v="31"/>
  </r>
  <r>
    <n v="3"/>
    <n v="0.8414677419354839"/>
    <x v="3"/>
    <x v="32"/>
  </r>
  <r>
    <n v="4"/>
    <n v="0.95954596774193546"/>
    <x v="3"/>
    <x v="33"/>
  </r>
  <r>
    <n v="5"/>
    <n v="0"/>
    <x v="0"/>
    <x v="34"/>
  </r>
  <r>
    <n v="6"/>
    <n v="0.46983870967741936"/>
    <x v="1"/>
    <x v="35"/>
  </r>
  <r>
    <n v="7"/>
    <n v="0.4863564516129032"/>
    <x v="1"/>
    <x v="36"/>
  </r>
  <r>
    <n v="8"/>
    <n v="0.76293693548387087"/>
    <x v="3"/>
    <x v="37"/>
  </r>
  <r>
    <n v="9"/>
    <n v="0.91170967741935482"/>
    <x v="3"/>
    <x v="38"/>
  </r>
  <r>
    <n v="10"/>
    <n v="0"/>
    <x v="0"/>
    <x v="11"/>
  </r>
  <r>
    <n v="11"/>
    <n v="0"/>
    <x v="0"/>
    <x v="11"/>
  </r>
  <r>
    <n v="12"/>
    <n v="0"/>
    <x v="0"/>
    <x v="11"/>
  </r>
  <r>
    <n v="13"/>
    <n v="0"/>
    <x v="0"/>
    <x v="11"/>
  </r>
  <r>
    <n v="14"/>
    <n v="0"/>
    <x v="0"/>
    <x v="11"/>
  </r>
  <r>
    <n v="15"/>
    <n v="0"/>
    <x v="0"/>
    <x v="11"/>
  </r>
  <r>
    <n v="1"/>
    <n v="1.0904761904761904"/>
    <x v="2"/>
    <x v="39"/>
  </r>
  <r>
    <n v="2"/>
    <n v="1.8139047619047619"/>
    <x v="2"/>
    <x v="40"/>
  </r>
  <r>
    <n v="3"/>
    <n v="0.74128571428571433"/>
    <x v="3"/>
    <x v="41"/>
  </r>
  <r>
    <n v="4"/>
    <n v="0.28000000000000003"/>
    <x v="4"/>
    <x v="42"/>
  </r>
  <r>
    <n v="5"/>
    <n v="0.46619047619047621"/>
    <x v="1"/>
    <x v="43"/>
  </r>
  <r>
    <n v="6"/>
    <n v="0"/>
    <x v="0"/>
    <x v="44"/>
  </r>
  <r>
    <n v="7"/>
    <n v="0.44857142857142857"/>
    <x v="1"/>
    <x v="45"/>
  </r>
  <r>
    <n v="8"/>
    <n v="0.73476190476190473"/>
    <x v="3"/>
    <x v="46"/>
  </r>
  <r>
    <n v="9"/>
    <n v="1.0309523809523808"/>
    <x v="2"/>
    <x v="47"/>
  </r>
  <r>
    <n v="10"/>
    <n v="0.26095238095238094"/>
    <x v="4"/>
    <x v="48"/>
  </r>
  <r>
    <n v="11"/>
    <n v="0.1761904761904762"/>
    <x v="4"/>
    <x v="49"/>
  </r>
  <r>
    <n v="12"/>
    <n v="0.22223809523809523"/>
    <x v="4"/>
    <x v="50"/>
  </r>
  <r>
    <n v="13"/>
    <n v="0"/>
    <x v="0"/>
    <x v="11"/>
  </r>
  <r>
    <n v="14"/>
    <n v="0"/>
    <x v="0"/>
    <x v="11"/>
  </r>
  <r>
    <n v="15"/>
    <n v="0"/>
    <x v="0"/>
    <x v="11"/>
  </r>
  <r>
    <n v="1"/>
    <n v="0.69114285714285717"/>
    <x v="1"/>
    <x v="51"/>
  </r>
  <r>
    <n v="2"/>
    <n v="0"/>
    <x v="0"/>
    <x v="52"/>
  </r>
  <r>
    <n v="3"/>
    <n v="0.51538095238095238"/>
    <x v="1"/>
    <x v="53"/>
  </r>
  <r>
    <n v="4"/>
    <n v="0.27395238095238095"/>
    <x v="4"/>
    <x v="54"/>
  </r>
  <r>
    <n v="5"/>
    <n v="0.22504761904761905"/>
    <x v="4"/>
    <x v="55"/>
  </r>
  <r>
    <n v="6"/>
    <n v="0.33585714285714285"/>
    <x v="4"/>
    <x v="56"/>
  </r>
  <r>
    <n v="7"/>
    <n v="0.31490476190476191"/>
    <x v="4"/>
    <x v="57"/>
  </r>
  <r>
    <n v="8"/>
    <n v="0.29061904761904761"/>
    <x v="4"/>
    <x v="58"/>
  </r>
  <r>
    <n v="9"/>
    <n v="1.0463333333333333"/>
    <x v="2"/>
    <x v="59"/>
  </r>
  <r>
    <n v="10"/>
    <n v="0.45595714285714289"/>
    <x v="1"/>
    <x v="60"/>
  </r>
  <r>
    <n v="11"/>
    <n v="0.39166666666666666"/>
    <x v="4"/>
    <x v="61"/>
  </r>
  <r>
    <n v="12"/>
    <n v="0.38772857142857142"/>
    <x v="4"/>
    <x v="62"/>
  </r>
  <r>
    <n v="13"/>
    <n v="0"/>
    <x v="0"/>
    <x v="11"/>
  </r>
  <r>
    <n v="14"/>
    <n v="0"/>
    <x v="0"/>
    <x v="11"/>
  </r>
  <r>
    <n v="15"/>
    <n v="0"/>
    <x v="0"/>
    <x v="11"/>
  </r>
  <r>
    <n v="1"/>
    <n v="1.2612121212121212"/>
    <x v="2"/>
    <x v="63"/>
  </r>
  <r>
    <n v="2"/>
    <n v="1.2121212121212121E-2"/>
    <x v="4"/>
    <x v="64"/>
  </r>
  <r>
    <n v="3"/>
    <n v="0.48303030303030303"/>
    <x v="1"/>
    <x v="65"/>
  </r>
  <r>
    <n v="4"/>
    <n v="1.2472121212121212"/>
    <x v="2"/>
    <x v="66"/>
  </r>
  <r>
    <n v="5"/>
    <n v="0.72109090909090912"/>
    <x v="3"/>
    <x v="67"/>
  </r>
  <r>
    <n v="6"/>
    <n v="0.55709090909090908"/>
    <x v="1"/>
    <x v="68"/>
  </r>
  <r>
    <n v="7"/>
    <n v="0.52187878787878783"/>
    <x v="1"/>
    <x v="69"/>
  </r>
  <r>
    <n v="8"/>
    <n v="0.66200000000000003"/>
    <x v="1"/>
    <x v="70"/>
  </r>
  <r>
    <n v="9"/>
    <n v="0.57875151515151513"/>
    <x v="1"/>
    <x v="71"/>
  </r>
  <r>
    <n v="10"/>
    <n v="0.71172727272727276"/>
    <x v="3"/>
    <x v="72"/>
  </r>
  <r>
    <n v="11"/>
    <n v="0"/>
    <x v="0"/>
    <x v="11"/>
  </r>
  <r>
    <n v="12"/>
    <n v="0"/>
    <x v="0"/>
    <x v="11"/>
  </r>
  <r>
    <n v="13"/>
    <n v="0"/>
    <x v="0"/>
    <x v="11"/>
  </r>
  <r>
    <n v="14"/>
    <n v="0"/>
    <x v="0"/>
    <x v="11"/>
  </r>
  <r>
    <n v="15"/>
    <n v="0"/>
    <x v="0"/>
    <x v="11"/>
  </r>
  <r>
    <n v="1"/>
    <e v="#N/A"/>
    <x v="0"/>
    <x v="11"/>
  </r>
  <r>
    <n v="2"/>
    <e v="#N/A"/>
    <x v="0"/>
    <x v="11"/>
  </r>
  <r>
    <n v="3"/>
    <e v="#N/A"/>
    <x v="0"/>
    <x v="11"/>
  </r>
  <r>
    <n v="4"/>
    <e v="#N/A"/>
    <x v="0"/>
    <x v="11"/>
  </r>
  <r>
    <n v="5"/>
    <e v="#N/A"/>
    <x v="0"/>
    <x v="11"/>
  </r>
  <r>
    <n v="6"/>
    <e v="#N/A"/>
    <x v="0"/>
    <x v="11"/>
  </r>
  <r>
    <n v="7"/>
    <e v="#N/A"/>
    <x v="0"/>
    <x v="11"/>
  </r>
  <r>
    <n v="8"/>
    <e v="#N/A"/>
    <x v="0"/>
    <x v="11"/>
  </r>
  <r>
    <n v="9"/>
    <e v="#N/A"/>
    <x v="0"/>
    <x v="11"/>
  </r>
  <r>
    <n v="10"/>
    <e v="#N/A"/>
    <x v="0"/>
    <x v="11"/>
  </r>
  <r>
    <n v="11"/>
    <e v="#N/A"/>
    <x v="0"/>
    <x v="11"/>
  </r>
  <r>
    <n v="12"/>
    <e v="#N/A"/>
    <x v="0"/>
    <x v="11"/>
  </r>
  <r>
    <n v="13"/>
    <e v="#N/A"/>
    <x v="0"/>
    <x v="11"/>
  </r>
  <r>
    <n v="14"/>
    <e v="#N/A"/>
    <x v="0"/>
    <x v="11"/>
  </r>
  <r>
    <n v="15"/>
    <e v="#N/A"/>
    <x v="0"/>
    <x v="11"/>
  </r>
  <r>
    <n v="1"/>
    <n v="0"/>
    <x v="0"/>
    <x v="11"/>
  </r>
  <r>
    <n v="2"/>
    <n v="0"/>
    <x v="0"/>
    <x v="11"/>
  </r>
  <r>
    <n v="3"/>
    <n v="0"/>
    <x v="0"/>
    <x v="11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1"/>
    <n v="0.33740350877192982"/>
    <x v="0"/>
    <x v="0"/>
  </r>
  <r>
    <n v="2"/>
    <n v="0.33964912280701753"/>
    <x v="0"/>
    <x v="1"/>
  </r>
  <r>
    <n v="3"/>
    <n v="1.1032578947368421"/>
    <x v="1"/>
    <x v="2"/>
  </r>
  <r>
    <n v="4"/>
    <n v="1.789719298245614"/>
    <x v="1"/>
    <x v="3"/>
  </r>
  <r>
    <n v="5"/>
    <n v="0.80991228070175436"/>
    <x v="2"/>
    <x v="4"/>
  </r>
  <r>
    <n v="6"/>
    <n v="0.26163157894736844"/>
    <x v="0"/>
    <x v="5"/>
  </r>
  <r>
    <n v="7"/>
    <n v="0.31157894736842107"/>
    <x v="0"/>
    <x v="6"/>
  </r>
  <r>
    <n v="8"/>
    <n v="1.1149491228070174"/>
    <x v="1"/>
    <x v="7"/>
  </r>
  <r>
    <n v="9"/>
    <n v="0"/>
    <x v="3"/>
    <x v="8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"/>
    <x v="3"/>
    <x v="9"/>
  </r>
  <r>
    <n v="2"/>
    <n v="0.3453684210526316"/>
    <x v="0"/>
    <x v="10"/>
  </r>
  <r>
    <n v="3"/>
    <n v="0.31111403508771929"/>
    <x v="0"/>
    <x v="11"/>
  </r>
  <r>
    <n v="4"/>
    <n v="1.6714210526315789"/>
    <x v="1"/>
    <x v="12"/>
  </r>
  <r>
    <n v="5"/>
    <n v="0.52330508771929829"/>
    <x v="4"/>
    <x v="13"/>
  </r>
  <r>
    <n v="6"/>
    <n v="1.0634612280701754"/>
    <x v="1"/>
    <x v="14"/>
  </r>
  <r>
    <n v="7"/>
    <n v="0.79937982456140355"/>
    <x v="2"/>
    <x v="15"/>
  </r>
  <r>
    <n v="8"/>
    <n v="0.28298245614035089"/>
    <x v="0"/>
    <x v="16"/>
  </r>
  <r>
    <n v="9"/>
    <n v="0"/>
    <x v="3"/>
    <x v="8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.6333333333333333"/>
    <x v="4"/>
    <x v="17"/>
  </r>
  <r>
    <n v="2"/>
    <n v="0.43885964912280701"/>
    <x v="4"/>
    <x v="18"/>
  </r>
  <r>
    <n v="3"/>
    <n v="0.26666666666666666"/>
    <x v="0"/>
    <x v="19"/>
  </r>
  <r>
    <n v="4"/>
    <n v="0.6115570175438596"/>
    <x v="4"/>
    <x v="20"/>
  </r>
  <r>
    <n v="5"/>
    <n v="1.0407017543859649"/>
    <x v="1"/>
    <x v="21"/>
  </r>
  <r>
    <n v="6"/>
    <n v="0.33226315789473682"/>
    <x v="0"/>
    <x v="22"/>
  </r>
  <r>
    <n v="7"/>
    <n v="1.1982280701754386"/>
    <x v="1"/>
    <x v="23"/>
  </r>
  <r>
    <n v="8"/>
    <n v="0"/>
    <x v="3"/>
    <x v="8"/>
  </r>
  <r>
    <n v="9"/>
    <n v="0"/>
    <x v="3"/>
    <x v="8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.7205789473684211"/>
    <x v="2"/>
    <x v="24"/>
  </r>
  <r>
    <n v="2"/>
    <n v="0.46071929824561403"/>
    <x v="4"/>
    <x v="25"/>
  </r>
  <r>
    <n v="3"/>
    <n v="0.99017894736842105"/>
    <x v="2"/>
    <x v="26"/>
  </r>
  <r>
    <n v="4"/>
    <n v="0.65371877192982453"/>
    <x v="4"/>
    <x v="27"/>
  </r>
  <r>
    <n v="5"/>
    <n v="0.62885964912280701"/>
    <x v="4"/>
    <x v="28"/>
  </r>
  <r>
    <n v="6"/>
    <n v="1.0424385964912282"/>
    <x v="1"/>
    <x v="29"/>
  </r>
  <r>
    <n v="7"/>
    <n v="0.66391228070175434"/>
    <x v="4"/>
    <x v="30"/>
  </r>
  <r>
    <n v="8"/>
    <n v="0.47192982456140353"/>
    <x v="4"/>
    <x v="31"/>
  </r>
  <r>
    <n v="9"/>
    <n v="0"/>
    <x v="3"/>
    <x v="8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.30588461538461537"/>
    <x v="0"/>
    <x v="32"/>
  </r>
  <r>
    <n v="2"/>
    <n v="0.13846153846153847"/>
    <x v="0"/>
    <x v="33"/>
  </r>
  <r>
    <n v="3"/>
    <n v="0.3"/>
    <x v="0"/>
    <x v="34"/>
  </r>
  <r>
    <n v="4"/>
    <n v="0.2803846153846154"/>
    <x v="0"/>
    <x v="35"/>
  </r>
  <r>
    <n v="5"/>
    <n v="0.71696576923076927"/>
    <x v="2"/>
    <x v="36"/>
  </r>
  <r>
    <n v="6"/>
    <n v="0.8453846153846154"/>
    <x v="2"/>
    <x v="37"/>
  </r>
  <r>
    <n v="7"/>
    <n v="0.40246153846153848"/>
    <x v="4"/>
    <x v="38"/>
  </r>
  <r>
    <n v="8"/>
    <n v="0.3092692307692308"/>
    <x v="0"/>
    <x v="39"/>
  </r>
  <r>
    <n v="9"/>
    <n v="0.24307692307692308"/>
    <x v="0"/>
    <x v="40"/>
  </r>
  <r>
    <n v="10"/>
    <n v="0.75811538461538464"/>
    <x v="2"/>
    <x v="41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.86478536585365851"/>
    <x v="2"/>
    <x v="42"/>
  </r>
  <r>
    <n v="2"/>
    <n v="0.86068292682926828"/>
    <x v="2"/>
    <x v="43"/>
  </r>
  <r>
    <n v="3"/>
    <n v="0.29565853658536584"/>
    <x v="0"/>
    <x v="44"/>
  </r>
  <r>
    <n v="4"/>
    <n v="0.14487804878048779"/>
    <x v="0"/>
    <x v="45"/>
  </r>
  <r>
    <n v="5"/>
    <n v="0.55980487804878054"/>
    <x v="4"/>
    <x v="46"/>
  </r>
  <r>
    <n v="6"/>
    <n v="0"/>
    <x v="3"/>
    <x v="47"/>
  </r>
  <r>
    <n v="7"/>
    <n v="0.71121951219512192"/>
    <x v="2"/>
    <x v="48"/>
  </r>
  <r>
    <n v="8"/>
    <n v="0.31207317073170732"/>
    <x v="0"/>
    <x v="49"/>
  </r>
  <r>
    <n v="9"/>
    <n v="0.38907317073170733"/>
    <x v="0"/>
    <x v="50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.32687804878048782"/>
    <x v="0"/>
    <x v="51"/>
  </r>
  <r>
    <n v="2"/>
    <n v="0.2097560975609756"/>
    <x v="0"/>
    <x v="52"/>
  </r>
  <r>
    <n v="3"/>
    <n v="0.8056585365853659"/>
    <x v="2"/>
    <x v="53"/>
  </r>
  <r>
    <n v="4"/>
    <n v="0.21614634146341463"/>
    <x v="0"/>
    <x v="54"/>
  </r>
  <r>
    <n v="5"/>
    <n v="0.72634146341463413"/>
    <x v="2"/>
    <x v="55"/>
  </r>
  <r>
    <n v="6"/>
    <n v="0.25184390243902438"/>
    <x v="0"/>
    <x v="56"/>
  </r>
  <r>
    <n v="7"/>
    <n v="0.97258536585365851"/>
    <x v="2"/>
    <x v="57"/>
  </r>
  <r>
    <n v="8"/>
    <n v="1.4788292682926829"/>
    <x v="1"/>
    <x v="58"/>
  </r>
  <r>
    <n v="9"/>
    <n v="3.3219512195121953E-2"/>
    <x v="0"/>
    <x v="59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1.0503170731707316"/>
    <x v="1"/>
    <x v="60"/>
  </r>
  <r>
    <n v="2"/>
    <n v="0.47385365853658534"/>
    <x v="4"/>
    <x v="61"/>
  </r>
  <r>
    <n v="3"/>
    <n v="0.39595121951219514"/>
    <x v="0"/>
    <x v="62"/>
  </r>
  <r>
    <n v="4"/>
    <n v="0.28731707317073168"/>
    <x v="0"/>
    <x v="63"/>
  </r>
  <r>
    <n v="5"/>
    <n v="0.28375609756097558"/>
    <x v="0"/>
    <x v="64"/>
  </r>
  <r>
    <n v="6"/>
    <n v="0.4682926829268293"/>
    <x v="4"/>
    <x v="65"/>
  </r>
  <r>
    <n v="7"/>
    <n v="0.24903902439024392"/>
    <x v="0"/>
    <x v="66"/>
  </r>
  <r>
    <n v="8"/>
    <n v="0.24278048780487804"/>
    <x v="0"/>
    <x v="67"/>
  </r>
  <r>
    <n v="9"/>
    <n v="0"/>
    <x v="3"/>
    <x v="8"/>
  </r>
  <r>
    <n v="10"/>
    <n v="0"/>
    <x v="3"/>
    <x v="8"/>
  </r>
  <r>
    <n v="11"/>
    <n v="0"/>
    <x v="3"/>
    <x v="8"/>
  </r>
  <r>
    <n v="12"/>
    <n v="0"/>
    <x v="3"/>
    <x v="8"/>
  </r>
  <r>
    <n v="13"/>
    <n v="0"/>
    <x v="3"/>
    <x v="8"/>
  </r>
  <r>
    <n v="14"/>
    <n v="0"/>
    <x v="3"/>
    <x v="8"/>
  </r>
  <r>
    <n v="15"/>
    <n v="0"/>
    <x v="3"/>
    <x v="8"/>
  </r>
  <r>
    <n v="1"/>
    <n v="0"/>
    <x v="3"/>
    <x v="8"/>
  </r>
  <r>
    <n v="2"/>
    <n v="0"/>
    <x v="3"/>
    <x v="8"/>
  </r>
  <r>
    <n v="3"/>
    <n v="0"/>
    <x v="3"/>
    <x v="8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1"/>
    <n v="0.53401538461538467"/>
    <x v="0"/>
    <x v="0"/>
  </r>
  <r>
    <n v="2"/>
    <n v="0.42515384615384616"/>
    <x v="0"/>
    <x v="1"/>
  </r>
  <r>
    <n v="3"/>
    <n v="1.0425653846153846"/>
    <x v="1"/>
    <x v="2"/>
  </r>
  <r>
    <n v="4"/>
    <n v="0.48923076923076925"/>
    <x v="0"/>
    <x v="3"/>
  </r>
  <r>
    <n v="5"/>
    <n v="1.5924941538461537"/>
    <x v="1"/>
    <x v="4"/>
  </r>
  <r>
    <n v="6"/>
    <n v="0.46763076923076924"/>
    <x v="0"/>
    <x v="5"/>
  </r>
  <r>
    <n v="7"/>
    <n v="0.43846153846153846"/>
    <x v="0"/>
    <x v="6"/>
  </r>
  <r>
    <n v="8"/>
    <n v="7.6923076923076927E-3"/>
    <x v="2"/>
    <x v="7"/>
  </r>
  <r>
    <n v="9"/>
    <n v="1.1194087692307693"/>
    <x v="1"/>
    <x v="8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1.5384615384615385E-2"/>
    <x v="2"/>
    <x v="10"/>
  </r>
  <r>
    <n v="2"/>
    <n v="0.68599230769230768"/>
    <x v="0"/>
    <x v="11"/>
  </r>
  <r>
    <n v="3"/>
    <n v="1.2592769230769232"/>
    <x v="1"/>
    <x v="12"/>
  </r>
  <r>
    <n v="4"/>
    <n v="0.57552307692307692"/>
    <x v="0"/>
    <x v="13"/>
  </r>
  <r>
    <n v="5"/>
    <n v="0.37940000000000002"/>
    <x v="2"/>
    <x v="14"/>
  </r>
  <r>
    <n v="6"/>
    <n v="0.38682384615384613"/>
    <x v="2"/>
    <x v="15"/>
  </r>
  <r>
    <n v="7"/>
    <n v="0.25306153846153845"/>
    <x v="2"/>
    <x v="16"/>
  </r>
  <r>
    <n v="8"/>
    <n v="0.81438430769230619"/>
    <x v="4"/>
    <x v="17"/>
  </r>
  <r>
    <n v="9"/>
    <n v="0"/>
    <x v="3"/>
    <x v="9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54335384615384619"/>
    <x v="0"/>
    <x v="18"/>
  </r>
  <r>
    <n v="2"/>
    <n v="0.48955384615384617"/>
    <x v="0"/>
    <x v="19"/>
  </r>
  <r>
    <n v="3"/>
    <n v="0.4540769230769231"/>
    <x v="0"/>
    <x v="20"/>
  </r>
  <r>
    <n v="4"/>
    <n v="0.5039146153846138"/>
    <x v="0"/>
    <x v="21"/>
  </r>
  <r>
    <n v="5"/>
    <n v="0.66793846153846159"/>
    <x v="0"/>
    <x v="22"/>
  </r>
  <r>
    <n v="6"/>
    <n v="0.65569230769230769"/>
    <x v="0"/>
    <x v="23"/>
  </r>
  <r>
    <n v="7"/>
    <n v="0.68829384615384614"/>
    <x v="0"/>
    <x v="24"/>
  </r>
  <r>
    <n v="8"/>
    <n v="0"/>
    <x v="3"/>
    <x v="25"/>
  </r>
  <r>
    <n v="9"/>
    <n v="0.25473076923076921"/>
    <x v="2"/>
    <x v="26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54075384615384614"/>
    <x v="0"/>
    <x v="27"/>
  </r>
  <r>
    <n v="2"/>
    <n v="0.37126307692307692"/>
    <x v="2"/>
    <x v="28"/>
  </r>
  <r>
    <n v="3"/>
    <n v="7.6923076923076927E-3"/>
    <x v="2"/>
    <x v="29"/>
  </r>
  <r>
    <n v="4"/>
    <n v="0.57967999999999997"/>
    <x v="0"/>
    <x v="30"/>
  </r>
  <r>
    <n v="5"/>
    <n v="0.4150307692307692"/>
    <x v="0"/>
    <x v="31"/>
  </r>
  <r>
    <n v="6"/>
    <n v="0.96973846153846155"/>
    <x v="4"/>
    <x v="32"/>
  </r>
  <r>
    <n v="7"/>
    <n v="1.2213384615384615"/>
    <x v="1"/>
    <x v="33"/>
  </r>
  <r>
    <n v="8"/>
    <n v="0.76733846153846152"/>
    <x v="4"/>
    <x v="34"/>
  </r>
  <r>
    <n v="9"/>
    <n v="0.11615384615384615"/>
    <x v="2"/>
    <x v="35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40192307692307694"/>
    <x v="0"/>
    <x v="36"/>
  </r>
  <r>
    <n v="2"/>
    <n v="0.67846153846153845"/>
    <x v="0"/>
    <x v="37"/>
  </r>
  <r>
    <n v="3"/>
    <n v="0.41130769230769232"/>
    <x v="0"/>
    <x v="38"/>
  </r>
  <r>
    <n v="4"/>
    <n v="1.0759615384615384"/>
    <x v="1"/>
    <x v="39"/>
  </r>
  <r>
    <n v="5"/>
    <n v="1.2E-2"/>
    <x v="2"/>
    <x v="40"/>
  </r>
  <r>
    <n v="6"/>
    <n v="0.1515"/>
    <x v="2"/>
    <x v="41"/>
  </r>
  <r>
    <n v="7"/>
    <n v="0.16826923076923078"/>
    <x v="2"/>
    <x v="42"/>
  </r>
  <r>
    <n v="8"/>
    <n v="4.576923076923077E-2"/>
    <x v="2"/>
    <x v="43"/>
  </r>
  <r>
    <n v="9"/>
    <n v="0.53384615384615386"/>
    <x v="0"/>
    <x v="44"/>
  </r>
  <r>
    <n v="10"/>
    <n v="0.64692307692307693"/>
    <x v="0"/>
    <x v="45"/>
  </r>
  <r>
    <n v="11"/>
    <n v="0.35930769230769233"/>
    <x v="2"/>
    <x v="46"/>
  </r>
  <r>
    <n v="12"/>
    <n v="1.8238461538461539"/>
    <x v="1"/>
    <x v="47"/>
  </r>
  <r>
    <n v="13"/>
    <n v="0"/>
    <x v="3"/>
    <x v="9"/>
  </r>
  <r>
    <n v="14"/>
    <n v="0"/>
    <x v="3"/>
    <x v="9"/>
  </r>
  <r>
    <n v="15"/>
    <n v="0"/>
    <x v="3"/>
    <x v="9"/>
  </r>
  <r>
    <n v="1"/>
    <n v="3.5000000000000003E-2"/>
    <x v="2"/>
    <x v="48"/>
  </r>
  <r>
    <n v="2"/>
    <n v="1.6751"/>
    <x v="1"/>
    <x v="49"/>
  </r>
  <r>
    <n v="3"/>
    <n v="0.89054999999999995"/>
    <x v="4"/>
    <x v="50"/>
  </r>
  <r>
    <n v="4"/>
    <n v="1.0128549999999998"/>
    <x v="1"/>
    <x v="51"/>
  </r>
  <r>
    <n v="5"/>
    <n v="0.44011999999999996"/>
    <x v="0"/>
    <x v="52"/>
  </r>
  <r>
    <n v="6"/>
    <n v="5.2499999999999998E-2"/>
    <x v="2"/>
    <x v="53"/>
  </r>
  <r>
    <n v="7"/>
    <n v="0.36037449999999999"/>
    <x v="2"/>
    <x v="54"/>
  </r>
  <r>
    <n v="8"/>
    <n v="0.76800000000000002"/>
    <x v="4"/>
    <x v="55"/>
  </r>
  <r>
    <n v="9"/>
    <n v="0.22220000000000001"/>
    <x v="2"/>
    <x v="56"/>
  </r>
  <r>
    <n v="10"/>
    <n v="0"/>
    <x v="3"/>
    <x v="9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80700000000000005"/>
    <x v="4"/>
    <x v="57"/>
  </r>
  <r>
    <n v="2"/>
    <n v="1.4653499999999999"/>
    <x v="1"/>
    <x v="58"/>
  </r>
  <r>
    <n v="3"/>
    <n v="0.22819999999999999"/>
    <x v="2"/>
    <x v="59"/>
  </r>
  <r>
    <n v="4"/>
    <n v="0.52564999999999995"/>
    <x v="0"/>
    <x v="60"/>
  </r>
  <r>
    <n v="5"/>
    <n v="0.64496500000000001"/>
    <x v="0"/>
    <x v="61"/>
  </r>
  <r>
    <n v="6"/>
    <n v="0.38747500000000001"/>
    <x v="2"/>
    <x v="62"/>
  </r>
  <r>
    <n v="7"/>
    <n v="0.90502499999999997"/>
    <x v="4"/>
    <x v="63"/>
  </r>
  <r>
    <n v="8"/>
    <n v="0.53285000000000005"/>
    <x v="0"/>
    <x v="64"/>
  </r>
  <r>
    <n v="9"/>
    <n v="0.7"/>
    <x v="3"/>
    <x v="65"/>
  </r>
  <r>
    <n v="10"/>
    <n v="0"/>
    <x v="3"/>
    <x v="66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.48"/>
    <x v="0"/>
    <x v="67"/>
  </r>
  <r>
    <n v="2"/>
    <n v="0.25785000000000002"/>
    <x v="2"/>
    <x v="68"/>
  </r>
  <r>
    <n v="3"/>
    <n v="0.35515000000000002"/>
    <x v="2"/>
    <x v="69"/>
  </r>
  <r>
    <n v="4"/>
    <n v="0.38940000000000002"/>
    <x v="2"/>
    <x v="70"/>
  </r>
  <r>
    <n v="5"/>
    <n v="0.72409999999999997"/>
    <x v="4"/>
    <x v="71"/>
  </r>
  <r>
    <n v="6"/>
    <n v="0.18375"/>
    <x v="2"/>
    <x v="72"/>
  </r>
  <r>
    <n v="7"/>
    <n v="0.13"/>
    <x v="2"/>
    <x v="73"/>
  </r>
  <r>
    <n v="8"/>
    <n v="0.01"/>
    <x v="2"/>
    <x v="74"/>
  </r>
  <r>
    <n v="9"/>
    <n v="0.59524650000000001"/>
    <x v="0"/>
    <x v="75"/>
  </r>
  <r>
    <n v="10"/>
    <n v="0.39750000000000002"/>
    <x v="2"/>
    <x v="76"/>
  </r>
  <r>
    <n v="11"/>
    <n v="0"/>
    <x v="3"/>
    <x v="9"/>
  </r>
  <r>
    <n v="12"/>
    <n v="0"/>
    <x v="3"/>
    <x v="9"/>
  </r>
  <r>
    <n v="13"/>
    <n v="0"/>
    <x v="3"/>
    <x v="9"/>
  </r>
  <r>
    <n v="14"/>
    <n v="0"/>
    <x v="3"/>
    <x v="9"/>
  </r>
  <r>
    <n v="15"/>
    <n v="0"/>
    <x v="3"/>
    <x v="9"/>
  </r>
  <r>
    <n v="1"/>
    <n v="0"/>
    <x v="3"/>
    <x v="9"/>
  </r>
  <r>
    <n v="2"/>
    <n v="0"/>
    <x v="3"/>
    <x v="9"/>
  </r>
  <r>
    <n v="3"/>
    <n v="0"/>
    <x v="3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F1BB5E-642E-4AB9-9D87-DF5B6BAD732C}" name="TablaDinámica6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26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4"/>
        <item x="2"/>
        <item h="1" x="1"/>
        <item h="1" x="0"/>
        <item t="default"/>
      </items>
    </pivotField>
    <pivotField axis="axisRow" showAll="0" sortType="descending">
      <items count="73">
        <item x="34"/>
        <item x="64"/>
        <item x="68"/>
        <item x="56"/>
        <item x="63"/>
        <item x="52"/>
        <item x="33"/>
        <item x="7"/>
        <item x="60"/>
        <item x="71"/>
        <item x="51"/>
        <item x="11"/>
        <item x="10"/>
        <item x="6"/>
        <item x="4"/>
        <item x="62"/>
        <item x="40"/>
        <item x="25"/>
        <item x="12"/>
        <item x="61"/>
        <item x="28"/>
        <item x="29"/>
        <item x="22"/>
        <item x="46"/>
        <item x="21"/>
        <item x="9"/>
        <item x="43"/>
        <item x="19"/>
        <item x="30"/>
        <item x="55"/>
        <item x="50"/>
        <item x="17"/>
        <item x="8"/>
        <item x="54"/>
        <item x="32"/>
        <item x="47"/>
        <item x="37"/>
        <item x="15"/>
        <item x="58"/>
        <item x="24"/>
        <item x="35"/>
        <item x="41"/>
        <item x="14"/>
        <item x="67"/>
        <item x="44"/>
        <item x="65"/>
        <item x="69"/>
        <item x="3"/>
        <item x="2"/>
        <item x="1"/>
        <item x="23"/>
        <item x="57"/>
        <item x="42"/>
        <item x="70"/>
        <item x="0"/>
        <item x="5"/>
        <item x="13"/>
        <item x="16"/>
        <item x="18"/>
        <item x="20"/>
        <item x="26"/>
        <item x="27"/>
        <item x="31"/>
        <item x="36"/>
        <item x="38"/>
        <item x="39"/>
        <item x="45"/>
        <item x="48"/>
        <item x="49"/>
        <item x="53"/>
        <item x="59"/>
        <item x="66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19">
    <i>
      <x v="24"/>
    </i>
    <i>
      <x v="55"/>
    </i>
    <i>
      <x v="42"/>
    </i>
    <i>
      <x v="45"/>
    </i>
    <i>
      <x v="34"/>
    </i>
    <i>
      <x v="4"/>
    </i>
    <i>
      <x v="53"/>
    </i>
    <i>
      <x v="9"/>
    </i>
    <i>
      <x v="37"/>
    </i>
    <i>
      <x v="70"/>
    </i>
    <i>
      <x v="41"/>
    </i>
    <i>
      <x v="18"/>
    </i>
    <i>
      <x v="36"/>
    </i>
    <i>
      <x v="12"/>
    </i>
    <i>
      <x v="62"/>
    </i>
    <i>
      <x v="26"/>
    </i>
    <i>
      <x v="52"/>
    </i>
    <i>
      <x v="68"/>
    </i>
    <i>
      <x v="35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356">
      <pivotArea outline="0" collapsedLevelsAreSubtotals="1" fieldPosition="0"/>
    </format>
    <format dxfId="355">
      <pivotArea type="origin" dataOnly="0" labelOnly="1" outline="0" fieldPosition="0"/>
    </format>
    <format dxfId="354">
      <pivotArea field="2" type="button" dataOnly="0" labelOnly="1" outline="0" axis="axisCol" fieldPosition="0"/>
    </format>
    <format dxfId="353">
      <pivotArea field="3" type="button" dataOnly="0" labelOnly="1" outline="0" axis="axisRow" fieldPosition="0"/>
    </format>
    <format dxfId="352">
      <pivotArea dataOnly="0" labelOnly="1" fieldPosition="0">
        <references count="1">
          <reference field="2" count="0"/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960299-687E-4539-AFDA-6EF921A68F98}" name="TablaDinámica5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20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4"/>
        <item h="1" x="2"/>
        <item h="1" x="1"/>
        <item x="0"/>
        <item t="default"/>
      </items>
    </pivotField>
    <pivotField axis="axisRow" showAll="0" sortType="descending">
      <items count="73">
        <item x="34"/>
        <item x="64"/>
        <item x="68"/>
        <item x="56"/>
        <item x="63"/>
        <item x="52"/>
        <item x="33"/>
        <item x="7"/>
        <item x="60"/>
        <item x="71"/>
        <item x="51"/>
        <item x="11"/>
        <item x="10"/>
        <item x="6"/>
        <item x="4"/>
        <item x="62"/>
        <item x="40"/>
        <item x="25"/>
        <item x="12"/>
        <item x="61"/>
        <item x="28"/>
        <item x="29"/>
        <item x="22"/>
        <item x="46"/>
        <item x="21"/>
        <item x="9"/>
        <item x="43"/>
        <item x="19"/>
        <item x="30"/>
        <item x="55"/>
        <item x="50"/>
        <item x="17"/>
        <item x="8"/>
        <item x="54"/>
        <item x="32"/>
        <item x="47"/>
        <item x="37"/>
        <item x="15"/>
        <item x="58"/>
        <item x="24"/>
        <item x="35"/>
        <item x="41"/>
        <item x="14"/>
        <item x="67"/>
        <item x="44"/>
        <item x="65"/>
        <item x="69"/>
        <item x="3"/>
        <item x="2"/>
        <item x="1"/>
        <item x="23"/>
        <item x="57"/>
        <item x="42"/>
        <item x="70"/>
        <item x="0"/>
        <item x="5"/>
        <item x="13"/>
        <item x="16"/>
        <item x="18"/>
        <item x="20"/>
        <item x="26"/>
        <item x="27"/>
        <item x="31"/>
        <item x="36"/>
        <item x="38"/>
        <item x="39"/>
        <item x="45"/>
        <item x="48"/>
        <item x="49"/>
        <item x="53"/>
        <item x="59"/>
        <item x="66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13">
    <i>
      <x v="2"/>
    </i>
    <i>
      <x v="63"/>
    </i>
    <i>
      <x v="51"/>
    </i>
    <i>
      <x v="46"/>
    </i>
    <i>
      <x v="54"/>
    </i>
    <i>
      <x v="47"/>
    </i>
    <i>
      <x v="67"/>
    </i>
    <i>
      <x v="16"/>
    </i>
    <i>
      <x v="10"/>
    </i>
    <i>
      <x v="19"/>
    </i>
    <i>
      <x v="14"/>
    </i>
    <i>
      <x v="21"/>
    </i>
    <i>
      <x v="13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361">
      <pivotArea outline="0" collapsedLevelsAreSubtotals="1" fieldPosition="0"/>
    </format>
    <format dxfId="360">
      <pivotArea type="origin" dataOnly="0" labelOnly="1" outline="0" fieldPosition="0"/>
    </format>
    <format dxfId="359">
      <pivotArea field="2" type="button" dataOnly="0" labelOnly="1" outline="0" axis="axisCol" fieldPosition="0"/>
    </format>
    <format dxfId="358">
      <pivotArea field="3" type="button" dataOnly="0" labelOnly="1" outline="0" axis="axisRow" fieldPosition="0"/>
    </format>
    <format dxfId="357">
      <pivotArea dataOnly="0" labelOnly="1" fieldPosition="0">
        <references count="1">
          <reference field="2" count="0"/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D73F2A-9595-469B-B869-7736253752CB}" name="TablaDinámica4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29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4"/>
        <item h="1" x="2"/>
        <item x="1"/>
        <item h="1" x="0"/>
        <item t="default"/>
      </items>
    </pivotField>
    <pivotField axis="axisRow" showAll="0" sortType="descending">
      <items count="73">
        <item x="34"/>
        <item x="64"/>
        <item x="68"/>
        <item x="56"/>
        <item x="63"/>
        <item x="52"/>
        <item x="33"/>
        <item x="7"/>
        <item x="60"/>
        <item x="71"/>
        <item x="51"/>
        <item x="11"/>
        <item x="10"/>
        <item x="6"/>
        <item x="4"/>
        <item x="62"/>
        <item x="40"/>
        <item x="25"/>
        <item x="12"/>
        <item x="61"/>
        <item x="28"/>
        <item x="29"/>
        <item x="22"/>
        <item x="46"/>
        <item x="21"/>
        <item x="9"/>
        <item x="43"/>
        <item x="19"/>
        <item x="30"/>
        <item x="55"/>
        <item x="50"/>
        <item x="17"/>
        <item x="8"/>
        <item x="54"/>
        <item x="32"/>
        <item x="47"/>
        <item x="37"/>
        <item x="15"/>
        <item x="58"/>
        <item x="24"/>
        <item x="35"/>
        <item x="41"/>
        <item x="14"/>
        <item x="67"/>
        <item x="44"/>
        <item x="65"/>
        <item x="69"/>
        <item x="3"/>
        <item x="2"/>
        <item x="1"/>
        <item x="23"/>
        <item x="57"/>
        <item x="42"/>
        <item x="70"/>
        <item x="0"/>
        <item x="5"/>
        <item x="13"/>
        <item x="16"/>
        <item x="18"/>
        <item x="20"/>
        <item x="26"/>
        <item x="27"/>
        <item x="31"/>
        <item x="36"/>
        <item x="38"/>
        <item x="39"/>
        <item x="45"/>
        <item x="48"/>
        <item x="49"/>
        <item x="53"/>
        <item x="59"/>
        <item x="66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22">
    <i>
      <x v="5"/>
    </i>
    <i>
      <x v="49"/>
    </i>
    <i>
      <x v="60"/>
    </i>
    <i>
      <x v="59"/>
    </i>
    <i>
      <x v="30"/>
    </i>
    <i>
      <x v="66"/>
    </i>
    <i>
      <x v="43"/>
    </i>
    <i>
      <x v="64"/>
    </i>
    <i>
      <x v="29"/>
    </i>
    <i>
      <x v="38"/>
    </i>
    <i>
      <x v="33"/>
    </i>
    <i>
      <x v="61"/>
    </i>
    <i>
      <x v="56"/>
    </i>
    <i>
      <x v="69"/>
    </i>
    <i>
      <x v="17"/>
    </i>
    <i>
      <x v="20"/>
    </i>
    <i>
      <x v="22"/>
    </i>
    <i>
      <x v="15"/>
    </i>
    <i>
      <x v="11"/>
    </i>
    <i>
      <x v="7"/>
    </i>
    <i>
      <x v="50"/>
    </i>
    <i>
      <x v="48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366">
      <pivotArea type="origin" dataOnly="0" labelOnly="1" outline="0" fieldPosition="0"/>
    </format>
    <format dxfId="365">
      <pivotArea field="2" type="button" dataOnly="0" labelOnly="1" outline="0" axis="axisCol" fieldPosition="0"/>
    </format>
    <format dxfId="364">
      <pivotArea field="3" type="button" dataOnly="0" labelOnly="1" outline="0" axis="axisRow" fieldPosition="0"/>
    </format>
    <format dxfId="363">
      <pivotArea dataOnly="0" labelOnly="1" fieldPosition="0">
        <references count="1">
          <reference field="2" count="0"/>
        </references>
      </pivotArea>
    </format>
    <format dxfId="362">
      <pivotArea outline="0" collapsedLevelsAreSubtotals="1" fieldPosition="0"/>
    </format>
  </formats>
  <conditionalFormats count="2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828A21-99EA-4D56-996B-4BA966B70414}" name="TablaDinámica7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18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x="4"/>
        <item h="1" x="2"/>
        <item h="1" x="1"/>
        <item h="1" x="0"/>
        <item t="default"/>
      </items>
    </pivotField>
    <pivotField axis="axisRow" showAll="0" sortType="descending">
      <items count="73">
        <item x="34"/>
        <item x="64"/>
        <item x="68"/>
        <item x="56"/>
        <item x="63"/>
        <item x="52"/>
        <item x="33"/>
        <item x="7"/>
        <item x="60"/>
        <item x="71"/>
        <item x="51"/>
        <item x="11"/>
        <item x="10"/>
        <item x="6"/>
        <item x="4"/>
        <item x="62"/>
        <item x="40"/>
        <item x="25"/>
        <item x="12"/>
        <item x="61"/>
        <item x="28"/>
        <item x="29"/>
        <item x="22"/>
        <item x="46"/>
        <item x="21"/>
        <item x="9"/>
        <item x="43"/>
        <item x="19"/>
        <item x="30"/>
        <item x="55"/>
        <item x="50"/>
        <item x="17"/>
        <item x="8"/>
        <item x="54"/>
        <item x="32"/>
        <item x="47"/>
        <item x="37"/>
        <item x="15"/>
        <item x="58"/>
        <item x="24"/>
        <item x="35"/>
        <item x="41"/>
        <item x="14"/>
        <item x="67"/>
        <item x="44"/>
        <item x="65"/>
        <item x="69"/>
        <item x="3"/>
        <item x="2"/>
        <item x="1"/>
        <item x="23"/>
        <item x="57"/>
        <item x="42"/>
        <item x="70"/>
        <item x="0"/>
        <item x="5"/>
        <item x="13"/>
        <item x="16"/>
        <item x="18"/>
        <item x="20"/>
        <item x="26"/>
        <item x="27"/>
        <item x="31"/>
        <item x="36"/>
        <item x="38"/>
        <item x="39"/>
        <item x="45"/>
        <item x="48"/>
        <item x="49"/>
        <item x="53"/>
        <item x="59"/>
        <item x="66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11">
    <i>
      <x v="57"/>
    </i>
    <i>
      <x v="23"/>
    </i>
    <i>
      <x v="27"/>
    </i>
    <i>
      <x v="31"/>
    </i>
    <i>
      <x v="25"/>
    </i>
    <i>
      <x v="39"/>
    </i>
    <i>
      <x v="8"/>
    </i>
    <i>
      <x v="71"/>
    </i>
    <i>
      <x v="58"/>
    </i>
    <i>
      <x v="40"/>
    </i>
    <i>
      <x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371">
      <pivotArea outline="0" collapsedLevelsAreSubtotals="1" fieldPosition="0"/>
    </format>
    <format dxfId="370">
      <pivotArea type="origin" dataOnly="0" labelOnly="1" outline="0" fieldPosition="0"/>
    </format>
    <format dxfId="369">
      <pivotArea field="2" type="button" dataOnly="0" labelOnly="1" outline="0" axis="axisCol" fieldPosition="0"/>
    </format>
    <format dxfId="368">
      <pivotArea field="3" type="button" dataOnly="0" labelOnly="1" outline="0" axis="axisRow" fieldPosition="0"/>
    </format>
    <format dxfId="367">
      <pivotArea dataOnly="0" labelOnly="1" fieldPosition="0">
        <references count="1">
          <reference field="2" count="0"/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32B17C-38F8-497F-ADD6-0B173294E76C}" name="TablaDinámica10" cacheId="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33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4"/>
        <item x="0"/>
        <item h="1" x="1"/>
        <item h="1" x="2"/>
        <item t="default"/>
      </items>
    </pivotField>
    <pivotField axis="axisRow" showAll="0" sortType="descending">
      <items count="72">
        <item x="63"/>
        <item x="2"/>
        <item x="54"/>
        <item x="0"/>
        <item x="18"/>
        <item x="62"/>
        <item x="38"/>
        <item x="48"/>
        <item x="7"/>
        <item x="17"/>
        <item x="21"/>
        <item x="20"/>
        <item x="37"/>
        <item x="34"/>
        <item x="59"/>
        <item x="1"/>
        <item x="44"/>
        <item x="22"/>
        <item x="58"/>
        <item x="49"/>
        <item x="42"/>
        <item x="30"/>
        <item x="12"/>
        <item x="41"/>
        <item x="19"/>
        <item x="70"/>
        <item x="29"/>
        <item x="8"/>
        <item x="53"/>
        <item x="16"/>
        <item x="39"/>
        <item x="26"/>
        <item x="9"/>
        <item x="51"/>
        <item x="61"/>
        <item x="13"/>
        <item x="66"/>
        <item x="24"/>
        <item x="56"/>
        <item x="64"/>
        <item x="68"/>
        <item x="36"/>
        <item x="52"/>
        <item x="4"/>
        <item x="10"/>
        <item x="3"/>
        <item x="5"/>
        <item x="33"/>
        <item x="32"/>
        <item x="31"/>
        <item x="43"/>
        <item x="45"/>
        <item x="55"/>
        <item x="69"/>
        <item x="6"/>
        <item x="11"/>
        <item x="14"/>
        <item x="15"/>
        <item x="23"/>
        <item x="25"/>
        <item x="27"/>
        <item x="28"/>
        <item x="35"/>
        <item x="40"/>
        <item x="46"/>
        <item x="47"/>
        <item x="50"/>
        <item x="57"/>
        <item x="60"/>
        <item x="65"/>
        <item x="67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26">
    <i>
      <x v="68"/>
    </i>
    <i>
      <x v="13"/>
    </i>
    <i>
      <x v="31"/>
    </i>
    <i>
      <x v="14"/>
    </i>
    <i>
      <x v="55"/>
    </i>
    <i>
      <x v="15"/>
    </i>
    <i>
      <x v="46"/>
    </i>
    <i>
      <x v="24"/>
    </i>
    <i>
      <x v="8"/>
    </i>
    <i>
      <x v="3"/>
    </i>
    <i>
      <x v="17"/>
    </i>
    <i>
      <x v="12"/>
    </i>
    <i>
      <x v="54"/>
    </i>
    <i>
      <x v="37"/>
    </i>
    <i>
      <x v="57"/>
    </i>
    <i>
      <x/>
    </i>
    <i>
      <x v="2"/>
    </i>
    <i>
      <x v="40"/>
    </i>
    <i>
      <x v="18"/>
    </i>
    <i>
      <x v="41"/>
    </i>
    <i>
      <x v="62"/>
    </i>
    <i>
      <x v="69"/>
    </i>
    <i>
      <x v="53"/>
    </i>
    <i>
      <x v="52"/>
    </i>
    <i>
      <x v="20"/>
    </i>
    <i>
      <x v="22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2" type="button" dataOnly="0" labelOnly="1" outline="0" axis="axisCol" fieldPosition="0"/>
    </format>
    <format dxfId="326">
      <pivotArea field="3" type="button" dataOnly="0" labelOnly="1" outline="0" axis="axisRow" fieldPosition="0"/>
    </format>
    <format dxfId="325">
      <pivotArea dataOnly="0" labelOnly="1" fieldPosition="0">
        <references count="1">
          <reference field="2" count="0"/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FA1C6-9DEF-4AA5-B869-264D08E1E527}" name="TablaDinámica9" cacheId="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21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4"/>
        <item h="1" x="0"/>
        <item h="1" x="1"/>
        <item x="2"/>
        <item t="default"/>
      </items>
    </pivotField>
    <pivotField axis="axisRow" showAll="0" sortType="descending">
      <items count="72">
        <item x="63"/>
        <item x="2"/>
        <item x="54"/>
        <item x="0"/>
        <item x="18"/>
        <item x="62"/>
        <item x="38"/>
        <item x="48"/>
        <item x="7"/>
        <item x="17"/>
        <item x="21"/>
        <item x="20"/>
        <item x="37"/>
        <item x="34"/>
        <item x="59"/>
        <item x="1"/>
        <item x="44"/>
        <item x="22"/>
        <item x="58"/>
        <item x="49"/>
        <item x="42"/>
        <item x="30"/>
        <item x="12"/>
        <item x="41"/>
        <item x="19"/>
        <item x="70"/>
        <item x="29"/>
        <item x="8"/>
        <item x="53"/>
        <item x="16"/>
        <item x="39"/>
        <item x="26"/>
        <item x="9"/>
        <item x="51"/>
        <item x="61"/>
        <item x="13"/>
        <item x="66"/>
        <item x="24"/>
        <item x="56"/>
        <item x="64"/>
        <item x="68"/>
        <item x="36"/>
        <item x="52"/>
        <item x="4"/>
        <item x="10"/>
        <item x="3"/>
        <item x="5"/>
        <item x="33"/>
        <item x="32"/>
        <item x="31"/>
        <item x="43"/>
        <item x="45"/>
        <item x="55"/>
        <item x="69"/>
        <item x="6"/>
        <item x="11"/>
        <item x="14"/>
        <item x="15"/>
        <item x="23"/>
        <item x="25"/>
        <item x="27"/>
        <item x="28"/>
        <item x="35"/>
        <item x="40"/>
        <item x="46"/>
        <item x="47"/>
        <item x="50"/>
        <item x="57"/>
        <item x="60"/>
        <item x="65"/>
        <item x="67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14">
    <i>
      <x v="19"/>
    </i>
    <i>
      <x v="29"/>
    </i>
    <i>
      <x v="58"/>
    </i>
    <i>
      <x v="45"/>
    </i>
    <i>
      <x v="9"/>
    </i>
    <i>
      <x v="47"/>
    </i>
    <i>
      <x v="34"/>
    </i>
    <i>
      <x v="63"/>
    </i>
    <i>
      <x v="6"/>
    </i>
    <i>
      <x v="16"/>
    </i>
    <i>
      <x v="38"/>
    </i>
    <i>
      <x v="70"/>
    </i>
    <i>
      <x v="30"/>
    </i>
    <i>
      <x v="26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334">
      <pivotArea outline="0" collapsedLevelsAreSubtotals="1" fieldPosition="0"/>
    </format>
    <format dxfId="333">
      <pivotArea type="origin" dataOnly="0" labelOnly="1" outline="0" fieldPosition="0"/>
    </format>
    <format dxfId="332">
      <pivotArea field="2" type="button" dataOnly="0" labelOnly="1" outline="0" axis="axisCol" fieldPosition="0"/>
    </format>
    <format dxfId="331">
      <pivotArea field="3" type="button" dataOnly="0" labelOnly="1" outline="0" axis="axisRow" fieldPosition="0"/>
    </format>
    <format dxfId="330">
      <pivotArea dataOnly="0" labelOnly="1" fieldPosition="0">
        <references count="1">
          <reference field="2" count="0"/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EEC8A-E002-4E67-A9D5-E032E1783D42}" name="TablaDinámica8" cacheId="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20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4"/>
        <item h="1" x="0"/>
        <item x="1"/>
        <item h="1" x="2"/>
        <item t="default"/>
      </items>
    </pivotField>
    <pivotField axis="axisRow" showAll="0" sortType="descending">
      <items count="72">
        <item x="63"/>
        <item x="2"/>
        <item x="54"/>
        <item x="0"/>
        <item x="18"/>
        <item x="62"/>
        <item x="38"/>
        <item x="48"/>
        <item x="7"/>
        <item x="17"/>
        <item x="21"/>
        <item x="20"/>
        <item x="37"/>
        <item x="34"/>
        <item x="59"/>
        <item x="1"/>
        <item x="44"/>
        <item x="22"/>
        <item x="58"/>
        <item x="49"/>
        <item x="42"/>
        <item x="30"/>
        <item x="12"/>
        <item x="41"/>
        <item x="19"/>
        <item x="70"/>
        <item x="29"/>
        <item x="8"/>
        <item x="53"/>
        <item x="16"/>
        <item x="39"/>
        <item x="26"/>
        <item x="9"/>
        <item x="51"/>
        <item x="61"/>
        <item x="13"/>
        <item x="66"/>
        <item x="24"/>
        <item x="56"/>
        <item x="64"/>
        <item x="68"/>
        <item x="36"/>
        <item x="52"/>
        <item x="4"/>
        <item x="10"/>
        <item x="3"/>
        <item x="5"/>
        <item x="33"/>
        <item x="32"/>
        <item x="31"/>
        <item x="43"/>
        <item x="45"/>
        <item x="55"/>
        <item x="69"/>
        <item x="6"/>
        <item x="11"/>
        <item x="14"/>
        <item x="15"/>
        <item x="23"/>
        <item x="25"/>
        <item x="27"/>
        <item x="28"/>
        <item x="35"/>
        <item x="40"/>
        <item x="46"/>
        <item x="47"/>
        <item x="50"/>
        <item x="57"/>
        <item x="60"/>
        <item x="65"/>
        <item x="67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13">
    <i>
      <x v="43"/>
    </i>
    <i>
      <x v="65"/>
    </i>
    <i>
      <x v="11"/>
    </i>
    <i>
      <x v="23"/>
    </i>
    <i>
      <x v="1"/>
    </i>
    <i>
      <x v="28"/>
    </i>
    <i>
      <x v="27"/>
    </i>
    <i>
      <x v="33"/>
    </i>
    <i>
      <x v="66"/>
    </i>
    <i>
      <x v="49"/>
    </i>
    <i>
      <x v="4"/>
    </i>
    <i>
      <x v="48"/>
    </i>
    <i>
      <x v="10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339">
      <pivotArea type="origin" dataOnly="0" labelOnly="1" outline="0" fieldPosition="0"/>
    </format>
    <format dxfId="338">
      <pivotArea field="2" type="button" dataOnly="0" labelOnly="1" outline="0" axis="axisCol" fieldPosition="0"/>
    </format>
    <format dxfId="337">
      <pivotArea field="3" type="button" dataOnly="0" labelOnly="1" outline="0" axis="axisRow" fieldPosition="0"/>
    </format>
    <format dxfId="336">
      <pivotArea dataOnly="0" labelOnly="1" fieldPosition="0">
        <references count="1">
          <reference field="2" count="0"/>
        </references>
      </pivotArea>
    </format>
    <format dxfId="335">
      <pivotArea outline="0" collapsedLevelsAreSubtotals="1" fieldPosition="0"/>
    </format>
  </formats>
  <conditionalFormats count="2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9F9AB8-95C5-448C-953B-2DA6D616A0EC}" name="TablaDinámica11" cacheId="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24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x="4"/>
        <item h="1" x="0"/>
        <item h="1" x="1"/>
        <item h="1" x="2"/>
        <item t="default"/>
      </items>
    </pivotField>
    <pivotField axis="axisRow" showAll="0" sortType="descending">
      <items count="72">
        <item x="63"/>
        <item x="2"/>
        <item x="54"/>
        <item x="0"/>
        <item x="18"/>
        <item x="62"/>
        <item x="38"/>
        <item x="48"/>
        <item x="7"/>
        <item x="17"/>
        <item x="21"/>
        <item x="20"/>
        <item x="37"/>
        <item x="34"/>
        <item x="59"/>
        <item x="1"/>
        <item x="44"/>
        <item x="22"/>
        <item x="58"/>
        <item x="49"/>
        <item x="42"/>
        <item x="30"/>
        <item x="12"/>
        <item x="41"/>
        <item x="19"/>
        <item x="70"/>
        <item x="29"/>
        <item x="8"/>
        <item x="53"/>
        <item x="16"/>
        <item x="39"/>
        <item x="26"/>
        <item x="9"/>
        <item x="51"/>
        <item x="61"/>
        <item x="13"/>
        <item x="66"/>
        <item x="24"/>
        <item x="56"/>
        <item x="64"/>
        <item x="68"/>
        <item x="36"/>
        <item x="52"/>
        <item x="4"/>
        <item x="10"/>
        <item x="3"/>
        <item x="5"/>
        <item x="33"/>
        <item x="32"/>
        <item x="31"/>
        <item x="43"/>
        <item x="45"/>
        <item x="55"/>
        <item x="69"/>
        <item x="6"/>
        <item x="11"/>
        <item x="14"/>
        <item x="15"/>
        <item x="23"/>
        <item x="25"/>
        <item x="27"/>
        <item x="28"/>
        <item x="35"/>
        <item x="40"/>
        <item x="46"/>
        <item x="47"/>
        <item x="50"/>
        <item x="57"/>
        <item x="60"/>
        <item x="65"/>
        <item x="67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17">
    <i>
      <x v="7"/>
    </i>
    <i>
      <x v="44"/>
    </i>
    <i>
      <x v="51"/>
    </i>
    <i>
      <x v="5"/>
    </i>
    <i>
      <x v="50"/>
    </i>
    <i>
      <x v="61"/>
    </i>
    <i>
      <x v="36"/>
    </i>
    <i>
      <x v="39"/>
    </i>
    <i>
      <x v="67"/>
    </i>
    <i>
      <x v="25"/>
    </i>
    <i>
      <x v="56"/>
    </i>
    <i>
      <x v="35"/>
    </i>
    <i>
      <x v="21"/>
    </i>
    <i>
      <x v="42"/>
    </i>
    <i>
      <x v="64"/>
    </i>
    <i>
      <x v="59"/>
    </i>
    <i>
      <x v="60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344">
      <pivotArea outline="0" collapsedLevelsAreSubtotals="1" fieldPosition="0"/>
    </format>
    <format dxfId="343">
      <pivotArea type="origin" dataOnly="0" labelOnly="1" outline="0" fieldPosition="0"/>
    </format>
    <format dxfId="342">
      <pivotArea field="2" type="button" dataOnly="0" labelOnly="1" outline="0" axis="axisCol" fieldPosition="0"/>
    </format>
    <format dxfId="341">
      <pivotArea field="3" type="button" dataOnly="0" labelOnly="1" outline="0" axis="axisRow" fieldPosition="0"/>
    </format>
    <format dxfId="340">
      <pivotArea dataOnly="0" labelOnly="1" fieldPosition="0">
        <references count="1">
          <reference field="2" count="0"/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BFEE43-F975-4891-A821-6E4A4F07CB92}" name="TablaDinámica14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28" firstHeaderRow="1" firstDataRow="2" firstDataCol="1"/>
  <pivotFields count="4">
    <pivotField showAll="0"/>
    <pivotField dataField="1" numFmtId="10" showAll="0"/>
    <pivotField axis="axisCol" showAll="0">
      <items count="6">
        <item h="1" x="0"/>
        <item h="1" x="4"/>
        <item x="1"/>
        <item h="1" x="2"/>
        <item h="1" x="3"/>
        <item t="default"/>
      </items>
    </pivotField>
    <pivotField axis="axisRow" showAll="0" sortType="descending">
      <items count="74">
        <item x="55"/>
        <item x="3"/>
        <item x="6"/>
        <item x="67"/>
        <item x="0"/>
        <item x="19"/>
        <item x="53"/>
        <item x="37"/>
        <item x="17"/>
        <item x="70"/>
        <item x="9"/>
        <item x="18"/>
        <item x="22"/>
        <item x="21"/>
        <item x="36"/>
        <item x="33"/>
        <item x="72"/>
        <item x="59"/>
        <item x="2"/>
        <item x="44"/>
        <item x="23"/>
        <item x="71"/>
        <item x="48"/>
        <item x="50"/>
        <item x="42"/>
        <item x="29"/>
        <item x="13"/>
        <item x="40"/>
        <item x="20"/>
        <item x="62"/>
        <item x="28"/>
        <item x="10"/>
        <item x="66"/>
        <item x="16"/>
        <item x="38"/>
        <item x="27"/>
        <item x="11"/>
        <item x="64"/>
        <item x="52"/>
        <item x="41"/>
        <item x="58"/>
        <item x="26"/>
        <item x="69"/>
        <item x="1"/>
        <item x="56"/>
        <item x="7"/>
        <item x="60"/>
        <item x="35"/>
        <item x="65"/>
        <item x="5"/>
        <item x="12"/>
        <item x="4"/>
        <item x="8"/>
        <item x="32"/>
        <item x="31"/>
        <item x="30"/>
        <item x="43"/>
        <item x="45"/>
        <item x="68"/>
        <item x="61"/>
        <item x="14"/>
        <item x="15"/>
        <item x="24"/>
        <item x="25"/>
        <item x="34"/>
        <item x="39"/>
        <item x="46"/>
        <item x="47"/>
        <item x="49"/>
        <item x="51"/>
        <item x="54"/>
        <item x="57"/>
        <item x="6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21">
    <i>
      <x v="18"/>
    </i>
    <i>
      <x v="69"/>
    </i>
    <i>
      <x v="9"/>
    </i>
    <i>
      <x v="55"/>
    </i>
    <i>
      <x v="10"/>
    </i>
    <i>
      <x v="21"/>
    </i>
    <i>
      <x v="58"/>
    </i>
    <i>
      <x v="42"/>
    </i>
    <i>
      <x v="6"/>
    </i>
    <i>
      <x v="14"/>
    </i>
    <i>
      <x v="48"/>
    </i>
    <i>
      <x v="47"/>
    </i>
    <i>
      <x v="56"/>
    </i>
    <i>
      <x v="46"/>
    </i>
    <i>
      <x v="12"/>
    </i>
    <i>
      <x v="43"/>
    </i>
    <i>
      <x v="57"/>
    </i>
    <i>
      <x v="26"/>
    </i>
    <i>
      <x v="35"/>
    </i>
    <i>
      <x v="41"/>
    </i>
    <i>
      <x v="50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302">
      <pivotArea outline="0" collapsedLevelsAreSubtotals="1" fieldPosition="0"/>
    </format>
    <format dxfId="301">
      <pivotArea type="origin" dataOnly="0" labelOnly="1" outline="0" fieldPosition="0"/>
    </format>
    <format dxfId="300">
      <pivotArea field="2" type="button" dataOnly="0" labelOnly="1" outline="0" axis="axisCol" fieldPosition="0"/>
    </format>
    <format dxfId="299">
      <pivotArea field="3" type="button" dataOnly="0" labelOnly="1" outline="0" axis="axisRow" fieldPosition="0"/>
    </format>
    <format dxfId="298">
      <pivotArea dataOnly="0" labelOnly="1" fieldPosition="0">
        <references count="1">
          <reference field="2" count="0"/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ECFEE-D3A0-4D0A-B313-B5DBA6A93534}" name="TablaDinámica13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17" firstHeaderRow="1" firstDataRow="2" firstDataCol="1"/>
  <pivotFields count="4">
    <pivotField showAll="0"/>
    <pivotField dataField="1" numFmtId="10" showAll="0"/>
    <pivotField axis="axisCol" showAll="0">
      <items count="6">
        <item h="1" x="0"/>
        <item h="1" x="4"/>
        <item h="1" x="1"/>
        <item h="1" x="2"/>
        <item x="3"/>
        <item t="default"/>
      </items>
    </pivotField>
    <pivotField axis="axisRow" showAll="0" sortType="descending">
      <items count="74">
        <item x="55"/>
        <item x="3"/>
        <item x="6"/>
        <item x="67"/>
        <item x="0"/>
        <item x="19"/>
        <item x="53"/>
        <item x="37"/>
        <item x="17"/>
        <item x="70"/>
        <item x="9"/>
        <item x="18"/>
        <item x="22"/>
        <item x="21"/>
        <item x="36"/>
        <item x="33"/>
        <item x="72"/>
        <item x="59"/>
        <item x="2"/>
        <item x="44"/>
        <item x="23"/>
        <item x="71"/>
        <item x="48"/>
        <item x="50"/>
        <item x="42"/>
        <item x="29"/>
        <item x="13"/>
        <item x="40"/>
        <item x="20"/>
        <item x="62"/>
        <item x="28"/>
        <item x="10"/>
        <item x="66"/>
        <item x="16"/>
        <item x="38"/>
        <item x="27"/>
        <item x="11"/>
        <item x="64"/>
        <item x="52"/>
        <item x="41"/>
        <item x="58"/>
        <item x="26"/>
        <item x="69"/>
        <item x="1"/>
        <item x="56"/>
        <item x="7"/>
        <item x="60"/>
        <item x="35"/>
        <item x="65"/>
        <item x="5"/>
        <item x="12"/>
        <item x="4"/>
        <item x="8"/>
        <item x="32"/>
        <item x="31"/>
        <item x="30"/>
        <item x="43"/>
        <item x="45"/>
        <item x="68"/>
        <item x="61"/>
        <item x="14"/>
        <item x="15"/>
        <item x="24"/>
        <item x="25"/>
        <item x="34"/>
        <item x="39"/>
        <item x="46"/>
        <item x="47"/>
        <item x="49"/>
        <item x="51"/>
        <item x="54"/>
        <item x="57"/>
        <item x="6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10">
    <i>
      <x v="15"/>
    </i>
    <i>
      <x v="34"/>
    </i>
    <i>
      <x v="51"/>
    </i>
    <i>
      <x v="53"/>
    </i>
    <i>
      <x v="63"/>
    </i>
    <i>
      <x v="7"/>
    </i>
    <i>
      <x v="39"/>
    </i>
    <i>
      <x v="66"/>
    </i>
    <i>
      <x v="3"/>
    </i>
    <i>
      <x v="16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307">
      <pivotArea outline="0" collapsedLevelsAreSubtotals="1" fieldPosition="0"/>
    </format>
    <format dxfId="306">
      <pivotArea type="origin" dataOnly="0" labelOnly="1" outline="0" fieldPosition="0"/>
    </format>
    <format dxfId="305">
      <pivotArea field="2" type="button" dataOnly="0" labelOnly="1" outline="0" axis="axisCol" fieldPosition="0"/>
    </format>
    <format dxfId="304">
      <pivotArea field="3" type="button" dataOnly="0" labelOnly="1" outline="0" axis="axisRow" fieldPosition="0"/>
    </format>
    <format dxfId="303">
      <pivotArea dataOnly="0" labelOnly="1" fieldPosition="0">
        <references count="1">
          <reference field="2" count="0"/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DE077-707C-43A2-84FE-4F70C21D1EFB}" name="TablaDinámica12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20" firstHeaderRow="1" firstDataRow="2" firstDataCol="1"/>
  <pivotFields count="4">
    <pivotField showAll="0"/>
    <pivotField dataField="1" numFmtId="10" showAll="0"/>
    <pivotField axis="axisCol" showAll="0">
      <items count="6">
        <item h="1" x="0"/>
        <item h="1" x="4"/>
        <item h="1" x="1"/>
        <item x="2"/>
        <item h="1" x="3"/>
        <item t="default"/>
      </items>
    </pivotField>
    <pivotField axis="axisRow" showAll="0" sortType="descending">
      <items count="74">
        <item x="55"/>
        <item x="3"/>
        <item x="6"/>
        <item x="67"/>
        <item x="0"/>
        <item x="19"/>
        <item x="53"/>
        <item x="37"/>
        <item x="17"/>
        <item x="70"/>
        <item x="9"/>
        <item x="18"/>
        <item x="22"/>
        <item x="21"/>
        <item x="36"/>
        <item x="33"/>
        <item x="72"/>
        <item x="59"/>
        <item x="2"/>
        <item x="44"/>
        <item x="23"/>
        <item x="71"/>
        <item x="48"/>
        <item x="50"/>
        <item x="42"/>
        <item x="29"/>
        <item x="13"/>
        <item x="40"/>
        <item x="20"/>
        <item x="62"/>
        <item x="28"/>
        <item x="10"/>
        <item x="66"/>
        <item x="16"/>
        <item x="38"/>
        <item x="27"/>
        <item x="11"/>
        <item x="64"/>
        <item x="52"/>
        <item x="41"/>
        <item x="58"/>
        <item x="26"/>
        <item x="69"/>
        <item x="1"/>
        <item x="56"/>
        <item x="7"/>
        <item x="60"/>
        <item x="35"/>
        <item x="65"/>
        <item x="5"/>
        <item x="12"/>
        <item x="4"/>
        <item x="8"/>
        <item x="32"/>
        <item x="31"/>
        <item x="30"/>
        <item x="43"/>
        <item x="45"/>
        <item x="68"/>
        <item x="61"/>
        <item x="14"/>
        <item x="15"/>
        <item x="24"/>
        <item x="25"/>
        <item x="34"/>
        <item x="39"/>
        <item x="46"/>
        <item x="47"/>
        <item x="49"/>
        <item x="51"/>
        <item x="54"/>
        <item x="57"/>
        <item x="6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13">
    <i>
      <x v="49"/>
    </i>
    <i>
      <x v="27"/>
    </i>
    <i>
      <x v="54"/>
    </i>
    <i>
      <x v="31"/>
    </i>
    <i>
      <x v="5"/>
    </i>
    <i>
      <x v="1"/>
    </i>
    <i>
      <x v="72"/>
    </i>
    <i>
      <x v="32"/>
    </i>
    <i>
      <x v="33"/>
    </i>
    <i>
      <x v="52"/>
    </i>
    <i>
      <x v="65"/>
    </i>
    <i>
      <x v="17"/>
    </i>
    <i>
      <x v="67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312">
      <pivotArea type="origin" dataOnly="0" labelOnly="1" outline="0" fieldPosition="0"/>
    </format>
    <format dxfId="311">
      <pivotArea field="2" type="button" dataOnly="0" labelOnly="1" outline="0" axis="axisCol" fieldPosition="0"/>
    </format>
    <format dxfId="310">
      <pivotArea field="3" type="button" dataOnly="0" labelOnly="1" outline="0" axis="axisRow" fieldPosition="0"/>
    </format>
    <format dxfId="309">
      <pivotArea dataOnly="0" labelOnly="1" fieldPosition="0">
        <references count="1">
          <reference field="2" count="0"/>
        </references>
      </pivotArea>
    </format>
    <format dxfId="308">
      <pivotArea outline="0" collapsedLevelsAreSubtotals="1" fieldPosition="0"/>
    </format>
  </formats>
  <conditionalFormats count="2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70EC4A-55E4-44FB-AF28-2B25CEF97453}" name="TablaDinámica15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29" firstHeaderRow="1" firstDataRow="2" firstDataCol="1"/>
  <pivotFields count="4">
    <pivotField showAll="0"/>
    <pivotField dataField="1" numFmtId="10" showAll="0"/>
    <pivotField axis="axisCol" showAll="0">
      <items count="6">
        <item h="1" x="0"/>
        <item x="4"/>
        <item h="1" x="1"/>
        <item h="1" x="2"/>
        <item h="1" x="3"/>
        <item t="default"/>
      </items>
    </pivotField>
    <pivotField axis="axisRow" showAll="0" sortType="descending">
      <items count="74">
        <item x="55"/>
        <item x="3"/>
        <item x="6"/>
        <item x="67"/>
        <item x="0"/>
        <item x="19"/>
        <item x="53"/>
        <item x="37"/>
        <item x="17"/>
        <item x="70"/>
        <item x="9"/>
        <item x="18"/>
        <item x="22"/>
        <item x="21"/>
        <item x="36"/>
        <item x="33"/>
        <item x="72"/>
        <item x="59"/>
        <item x="2"/>
        <item x="44"/>
        <item x="23"/>
        <item x="71"/>
        <item x="48"/>
        <item x="50"/>
        <item x="42"/>
        <item x="29"/>
        <item x="13"/>
        <item x="40"/>
        <item x="20"/>
        <item x="62"/>
        <item x="28"/>
        <item x="10"/>
        <item x="66"/>
        <item x="16"/>
        <item x="38"/>
        <item x="27"/>
        <item x="11"/>
        <item x="64"/>
        <item x="52"/>
        <item x="41"/>
        <item x="58"/>
        <item x="26"/>
        <item x="69"/>
        <item x="1"/>
        <item x="56"/>
        <item x="7"/>
        <item x="60"/>
        <item x="35"/>
        <item x="65"/>
        <item x="5"/>
        <item x="12"/>
        <item x="4"/>
        <item x="8"/>
        <item x="32"/>
        <item x="31"/>
        <item x="30"/>
        <item x="43"/>
        <item x="45"/>
        <item x="68"/>
        <item x="61"/>
        <item x="14"/>
        <item x="15"/>
        <item x="24"/>
        <item x="25"/>
        <item x="34"/>
        <item x="39"/>
        <item x="46"/>
        <item x="47"/>
        <item x="49"/>
        <item x="51"/>
        <item x="54"/>
        <item x="57"/>
        <item x="6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22">
    <i>
      <x v="59"/>
    </i>
    <i>
      <x v="29"/>
    </i>
    <i>
      <x v="30"/>
    </i>
    <i>
      <x v="61"/>
    </i>
    <i>
      <x v="44"/>
    </i>
    <i>
      <x v="25"/>
    </i>
    <i>
      <x v="71"/>
    </i>
    <i>
      <x v="8"/>
    </i>
    <i>
      <x v="60"/>
    </i>
    <i>
      <x v="40"/>
    </i>
    <i>
      <x v="24"/>
    </i>
    <i>
      <x v="70"/>
    </i>
    <i>
      <x v="22"/>
    </i>
    <i>
      <x v="28"/>
    </i>
    <i>
      <x v="20"/>
    </i>
    <i>
      <x/>
    </i>
    <i>
      <x v="23"/>
    </i>
    <i>
      <x v="13"/>
    </i>
    <i>
      <x v="68"/>
    </i>
    <i>
      <x v="45"/>
    </i>
    <i>
      <x v="62"/>
    </i>
    <i>
      <x v="37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317">
      <pivotArea outline="0" collapsedLevelsAreSubtotals="1" fieldPosition="0"/>
    </format>
    <format dxfId="316">
      <pivotArea type="origin" dataOnly="0" labelOnly="1" outline="0" fieldPosition="0"/>
    </format>
    <format dxfId="315">
      <pivotArea field="2" type="button" dataOnly="0" labelOnly="1" outline="0" axis="axisCol" fieldPosition="0"/>
    </format>
    <format dxfId="314">
      <pivotArea field="3" type="button" dataOnly="0" labelOnly="1" outline="0" axis="axisRow" fieldPosition="0"/>
    </format>
    <format dxfId="313">
      <pivotArea dataOnly="0" labelOnly="1" fieldPosition="0">
        <references count="1">
          <reference field="2" count="0"/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6729A-9627-47D5-A153-9A34C0058E6B}" name="TablaDinámica18" cacheId="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20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0"/>
        <item x="4"/>
        <item h="1" x="1"/>
        <item h="1" x="2"/>
        <item t="default"/>
      </items>
    </pivotField>
    <pivotField axis="axisRow" showAll="0" sortType="descending">
      <items count="69">
        <item x="63"/>
        <item x="2"/>
        <item x="4"/>
        <item x="53"/>
        <item x="24"/>
        <item x="15"/>
        <item x="60"/>
        <item x="13"/>
        <item x="14"/>
        <item x="11"/>
        <item x="23"/>
        <item x="22"/>
        <item x="17"/>
        <item x="62"/>
        <item x="21"/>
        <item x="28"/>
        <item x="29"/>
        <item x="30"/>
        <item x="27"/>
        <item x="37"/>
        <item x="64"/>
        <item x="56"/>
        <item x="39"/>
        <item x="41"/>
        <item x="35"/>
        <item x="58"/>
        <item x="45"/>
        <item x="67"/>
        <item x="57"/>
        <item x="7"/>
        <item x="61"/>
        <item x="12"/>
        <item x="31"/>
        <item x="66"/>
        <item x="8"/>
        <item x="51"/>
        <item x="43"/>
        <item x="33"/>
        <item x="47"/>
        <item x="19"/>
        <item x="1"/>
        <item x="59"/>
        <item x="54"/>
        <item x="5"/>
        <item x="34"/>
        <item x="6"/>
        <item x="49"/>
        <item x="44"/>
        <item x="3"/>
        <item x="0"/>
        <item x="10"/>
        <item x="16"/>
        <item x="18"/>
        <item x="26"/>
        <item x="25"/>
        <item x="36"/>
        <item x="38"/>
        <item x="55"/>
        <item x="50"/>
        <item x="9"/>
        <item x="20"/>
        <item x="32"/>
        <item x="40"/>
        <item x="42"/>
        <item x="46"/>
        <item x="48"/>
        <item x="52"/>
        <item x="6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13">
    <i>
      <x v="17"/>
    </i>
    <i>
      <x v="18"/>
    </i>
    <i>
      <x v="12"/>
    </i>
    <i>
      <x v="15"/>
    </i>
    <i>
      <x v="60"/>
    </i>
    <i>
      <x v="64"/>
    </i>
    <i>
      <x v="7"/>
    </i>
    <i>
      <x v="30"/>
    </i>
    <i>
      <x v="32"/>
    </i>
    <i>
      <x v="67"/>
    </i>
    <i>
      <x v="54"/>
    </i>
    <i>
      <x v="52"/>
    </i>
    <i>
      <x v="56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275">
      <pivotArea outline="0" collapsedLevelsAreSubtotals="1" fieldPosition="0"/>
    </format>
    <format dxfId="274">
      <pivotArea type="origin" dataOnly="0" labelOnly="1" outline="0" fieldPosition="0"/>
    </format>
    <format dxfId="273">
      <pivotArea field="2" type="button" dataOnly="0" labelOnly="1" outline="0" axis="axisCol" fieldPosition="0"/>
    </format>
    <format dxfId="272">
      <pivotArea field="3" type="button" dataOnly="0" labelOnly="1" outline="0" axis="axisRow" fieldPosition="0"/>
    </format>
    <format dxfId="271">
      <pivotArea dataOnly="0" labelOnly="1" fieldPosition="0">
        <references count="1">
          <reference field="2" count="0"/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4BB2FC-B87C-4DAA-A053-8A4DC14E7AAB}" name="TablaDinámica17" cacheId="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20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0"/>
        <item h="1" x="4"/>
        <item h="1" x="1"/>
        <item x="2"/>
        <item t="default"/>
      </items>
    </pivotField>
    <pivotField axis="axisRow" showAll="0" sortType="descending">
      <items count="69">
        <item x="63"/>
        <item x="2"/>
        <item x="4"/>
        <item x="53"/>
        <item x="24"/>
        <item x="15"/>
        <item x="60"/>
        <item x="13"/>
        <item x="14"/>
        <item x="11"/>
        <item x="23"/>
        <item x="22"/>
        <item x="17"/>
        <item x="62"/>
        <item x="21"/>
        <item x="28"/>
        <item x="29"/>
        <item x="30"/>
        <item x="27"/>
        <item x="37"/>
        <item x="64"/>
        <item x="56"/>
        <item x="39"/>
        <item x="41"/>
        <item x="35"/>
        <item x="58"/>
        <item x="45"/>
        <item x="67"/>
        <item x="57"/>
        <item x="7"/>
        <item x="61"/>
        <item x="12"/>
        <item x="31"/>
        <item x="66"/>
        <item x="8"/>
        <item x="51"/>
        <item x="43"/>
        <item x="33"/>
        <item x="47"/>
        <item x="19"/>
        <item x="1"/>
        <item x="59"/>
        <item x="54"/>
        <item x="5"/>
        <item x="34"/>
        <item x="6"/>
        <item x="49"/>
        <item x="44"/>
        <item x="3"/>
        <item x="0"/>
        <item x="10"/>
        <item x="16"/>
        <item x="18"/>
        <item x="26"/>
        <item x="25"/>
        <item x="36"/>
        <item x="38"/>
        <item x="55"/>
        <item x="50"/>
        <item x="9"/>
        <item x="20"/>
        <item x="32"/>
        <item x="40"/>
        <item x="42"/>
        <item x="46"/>
        <item x="48"/>
        <item x="52"/>
        <item x="6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13">
    <i>
      <x v="53"/>
    </i>
    <i>
      <x v="28"/>
    </i>
    <i>
      <x v="63"/>
    </i>
    <i>
      <x v="36"/>
    </i>
    <i>
      <x v="19"/>
    </i>
    <i>
      <x v="2"/>
    </i>
    <i>
      <x v="3"/>
    </i>
    <i>
      <x v="5"/>
    </i>
    <i>
      <x v="23"/>
    </i>
    <i>
      <x v="57"/>
    </i>
    <i>
      <x v="4"/>
    </i>
    <i>
      <x v="55"/>
    </i>
    <i>
      <x v="65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280">
      <pivotArea outline="0" collapsedLevelsAreSubtotals="1" fieldPosition="0"/>
    </format>
    <format dxfId="279">
      <pivotArea type="origin" dataOnly="0" labelOnly="1" outline="0" fieldPosition="0"/>
    </format>
    <format dxfId="278">
      <pivotArea field="2" type="button" dataOnly="0" labelOnly="1" outline="0" axis="axisCol" fieldPosition="0"/>
    </format>
    <format dxfId="277">
      <pivotArea field="3" type="button" dataOnly="0" labelOnly="1" outline="0" axis="axisRow" fieldPosition="0"/>
    </format>
    <format dxfId="276">
      <pivotArea dataOnly="0" labelOnly="1" fieldPosition="0">
        <references count="1">
          <reference field="2" count="0"/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E07C26-3E09-4D0C-8025-88325FA86F35}" name="TablaDinámica16" cacheId="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17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0"/>
        <item h="1" x="4"/>
        <item x="1"/>
        <item h="1" x="2"/>
        <item t="default"/>
      </items>
    </pivotField>
    <pivotField axis="axisRow" showAll="0" sortType="descending">
      <items count="69">
        <item x="63"/>
        <item x="2"/>
        <item x="4"/>
        <item x="53"/>
        <item x="24"/>
        <item x="15"/>
        <item x="60"/>
        <item x="13"/>
        <item x="14"/>
        <item x="11"/>
        <item x="23"/>
        <item x="22"/>
        <item x="17"/>
        <item x="62"/>
        <item x="21"/>
        <item x="28"/>
        <item x="29"/>
        <item x="30"/>
        <item x="27"/>
        <item x="37"/>
        <item x="64"/>
        <item x="56"/>
        <item x="39"/>
        <item x="41"/>
        <item x="35"/>
        <item x="58"/>
        <item x="45"/>
        <item x="67"/>
        <item x="57"/>
        <item x="7"/>
        <item x="61"/>
        <item x="12"/>
        <item x="31"/>
        <item x="66"/>
        <item x="8"/>
        <item x="51"/>
        <item x="43"/>
        <item x="33"/>
        <item x="47"/>
        <item x="19"/>
        <item x="1"/>
        <item x="59"/>
        <item x="54"/>
        <item x="5"/>
        <item x="34"/>
        <item x="6"/>
        <item x="49"/>
        <item x="44"/>
        <item x="3"/>
        <item x="0"/>
        <item x="10"/>
        <item x="16"/>
        <item x="18"/>
        <item x="26"/>
        <item x="25"/>
        <item x="36"/>
        <item x="38"/>
        <item x="55"/>
        <item x="50"/>
        <item x="9"/>
        <item x="20"/>
        <item x="32"/>
        <item x="40"/>
        <item x="42"/>
        <item x="46"/>
        <item x="48"/>
        <item x="52"/>
        <item x="6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10">
    <i>
      <x v="48"/>
    </i>
    <i>
      <x v="31"/>
    </i>
    <i>
      <x v="25"/>
    </i>
    <i>
      <x v="10"/>
    </i>
    <i>
      <x v="29"/>
    </i>
    <i>
      <x v="1"/>
    </i>
    <i>
      <x v="8"/>
    </i>
    <i>
      <x v="6"/>
    </i>
    <i>
      <x v="16"/>
    </i>
    <i>
      <x v="14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285">
      <pivotArea type="origin" dataOnly="0" labelOnly="1" outline="0" fieldPosition="0"/>
    </format>
    <format dxfId="284">
      <pivotArea field="2" type="button" dataOnly="0" labelOnly="1" outline="0" axis="axisCol" fieldPosition="0"/>
    </format>
    <format dxfId="283">
      <pivotArea field="3" type="button" dataOnly="0" labelOnly="1" outline="0" axis="axisRow" fieldPosition="0"/>
    </format>
    <format dxfId="282">
      <pivotArea dataOnly="0" labelOnly="1" fieldPosition="0">
        <references count="1">
          <reference field="2" count="0"/>
        </references>
      </pivotArea>
    </format>
    <format dxfId="281">
      <pivotArea outline="0" collapsedLevelsAreSubtotals="1" fieldPosition="0"/>
    </format>
  </formats>
  <conditionalFormats count="2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1BE66B-F871-421A-9AF1-5F3BC25B9C7E}" name="TablaDinámica19" cacheId="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36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x="0"/>
        <item h="1" x="4"/>
        <item h="1" x="1"/>
        <item h="1" x="2"/>
        <item t="default"/>
      </items>
    </pivotField>
    <pivotField axis="axisRow" showAll="0" sortType="descending">
      <items count="69">
        <item x="63"/>
        <item x="2"/>
        <item x="4"/>
        <item x="53"/>
        <item x="24"/>
        <item x="15"/>
        <item x="60"/>
        <item x="13"/>
        <item x="14"/>
        <item x="11"/>
        <item x="23"/>
        <item x="22"/>
        <item x="17"/>
        <item x="62"/>
        <item x="21"/>
        <item x="28"/>
        <item x="29"/>
        <item x="30"/>
        <item x="27"/>
        <item x="37"/>
        <item x="64"/>
        <item x="56"/>
        <item x="39"/>
        <item x="41"/>
        <item x="35"/>
        <item x="58"/>
        <item x="45"/>
        <item x="67"/>
        <item x="57"/>
        <item x="7"/>
        <item x="61"/>
        <item x="12"/>
        <item x="31"/>
        <item x="66"/>
        <item x="8"/>
        <item x="51"/>
        <item x="43"/>
        <item x="33"/>
        <item x="47"/>
        <item x="19"/>
        <item x="1"/>
        <item x="59"/>
        <item x="54"/>
        <item x="5"/>
        <item x="34"/>
        <item x="6"/>
        <item x="49"/>
        <item x="44"/>
        <item x="3"/>
        <item x="0"/>
        <item x="10"/>
        <item x="16"/>
        <item x="18"/>
        <item x="26"/>
        <item x="25"/>
        <item x="36"/>
        <item x="38"/>
        <item x="55"/>
        <item x="50"/>
        <item x="9"/>
        <item x="20"/>
        <item x="32"/>
        <item x="40"/>
        <item x="42"/>
        <item x="46"/>
        <item x="48"/>
        <item x="52"/>
        <item x="6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29">
    <i>
      <x v="13"/>
    </i>
    <i>
      <x v="58"/>
    </i>
    <i>
      <x v="50"/>
    </i>
    <i>
      <x v="40"/>
    </i>
    <i>
      <x v="49"/>
    </i>
    <i>
      <x v="11"/>
    </i>
    <i>
      <x v="35"/>
    </i>
    <i>
      <x v="46"/>
    </i>
    <i>
      <x v="45"/>
    </i>
    <i>
      <x v="9"/>
    </i>
    <i>
      <x v="22"/>
    </i>
    <i>
      <x v="61"/>
    </i>
    <i>
      <x v="44"/>
    </i>
    <i>
      <x v="47"/>
    </i>
    <i>
      <x/>
    </i>
    <i>
      <x v="20"/>
    </i>
    <i>
      <x v="51"/>
    </i>
    <i>
      <x v="24"/>
    </i>
    <i>
      <x v="39"/>
    </i>
    <i>
      <x v="43"/>
    </i>
    <i>
      <x v="21"/>
    </i>
    <i>
      <x v="33"/>
    </i>
    <i>
      <x v="62"/>
    </i>
    <i>
      <x v="27"/>
    </i>
    <i>
      <x v="42"/>
    </i>
    <i>
      <x v="66"/>
    </i>
    <i>
      <x v="26"/>
    </i>
    <i>
      <x v="37"/>
    </i>
    <i>
      <x v="41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290">
      <pivotArea outline="0" collapsedLevelsAreSubtotals="1" fieldPosition="0"/>
    </format>
    <format dxfId="289">
      <pivotArea type="origin" dataOnly="0" labelOnly="1" outline="0" fieldPosition="0"/>
    </format>
    <format dxfId="288">
      <pivotArea field="2" type="button" dataOnly="0" labelOnly="1" outline="0" axis="axisCol" fieldPosition="0"/>
    </format>
    <format dxfId="287">
      <pivotArea field="3" type="button" dataOnly="0" labelOnly="1" outline="0" axis="axisRow" fieldPosition="0"/>
    </format>
    <format dxfId="286">
      <pivotArea dataOnly="0" labelOnly="1" fieldPosition="0">
        <references count="1">
          <reference field="2" count="0"/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E37F53-9507-497E-BC60-D08029D5FE42}" name="TablaDinámica22" cacheId="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35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2"/>
        <item x="0"/>
        <item h="1" x="1"/>
        <item h="1" x="4"/>
        <item t="default"/>
      </items>
    </pivotField>
    <pivotField axis="axisRow" showAll="0" sortType="descending">
      <items count="78">
        <item x="50"/>
        <item x="2"/>
        <item x="5"/>
        <item x="61"/>
        <item x="27"/>
        <item x="17"/>
        <item x="11"/>
        <item x="15"/>
        <item x="16"/>
        <item x="13"/>
        <item x="26"/>
        <item x="24"/>
        <item x="19"/>
        <item x="18"/>
        <item x="23"/>
        <item x="32"/>
        <item x="33"/>
        <item x="34"/>
        <item x="31"/>
        <item x="44"/>
        <item x="70"/>
        <item x="52"/>
        <item x="46"/>
        <item x="47"/>
        <item x="41"/>
        <item x="53"/>
        <item x="55"/>
        <item x="60"/>
        <item x="37"/>
        <item x="59"/>
        <item x="65"/>
        <item x="40"/>
        <item x="66"/>
        <item x="76"/>
        <item x="8"/>
        <item x="49"/>
        <item x="14"/>
        <item x="35"/>
        <item x="54"/>
        <item x="9"/>
        <item x="58"/>
        <item x="67"/>
        <item x="38"/>
        <item x="62"/>
        <item x="21"/>
        <item x="72"/>
        <item x="1"/>
        <item x="43"/>
        <item x="56"/>
        <item x="69"/>
        <item x="6"/>
        <item x="39"/>
        <item x="7"/>
        <item x="68"/>
        <item x="4"/>
        <item x="0"/>
        <item x="12"/>
        <item x="10"/>
        <item x="20"/>
        <item x="25"/>
        <item x="30"/>
        <item x="29"/>
        <item x="42"/>
        <item x="45"/>
        <item x="48"/>
        <item x="63"/>
        <item x="75"/>
        <item x="74"/>
        <item x="3"/>
        <item x="22"/>
        <item x="28"/>
        <item x="36"/>
        <item x="51"/>
        <item x="57"/>
        <item x="64"/>
        <item x="71"/>
        <item x="7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28">
    <i>
      <x v="11"/>
    </i>
    <i>
      <x v="6"/>
    </i>
    <i>
      <x v="28"/>
    </i>
    <i>
      <x v="69"/>
    </i>
    <i>
      <x v="14"/>
    </i>
    <i>
      <x v="63"/>
    </i>
    <i>
      <x v="3"/>
    </i>
    <i>
      <x v="66"/>
    </i>
    <i>
      <x v="60"/>
    </i>
    <i>
      <x v="9"/>
    </i>
    <i>
      <x v="13"/>
    </i>
    <i>
      <x v="4"/>
    </i>
    <i>
      <x v="55"/>
    </i>
    <i>
      <x v="19"/>
    </i>
    <i>
      <x v="74"/>
    </i>
    <i>
      <x v="27"/>
    </i>
    <i>
      <x v="44"/>
    </i>
    <i>
      <x v="12"/>
    </i>
    <i>
      <x v="68"/>
    </i>
    <i>
      <x v="41"/>
    </i>
    <i>
      <x v="2"/>
    </i>
    <i>
      <x v="58"/>
    </i>
    <i>
      <x v="21"/>
    </i>
    <i>
      <x v="50"/>
    </i>
    <i>
      <x v="46"/>
    </i>
    <i>
      <x v="18"/>
    </i>
    <i>
      <x v="42"/>
    </i>
    <i>
      <x v="71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248">
      <pivotArea outline="0" collapsedLevelsAreSubtotals="1" fieldPosition="0"/>
    </format>
    <format dxfId="247">
      <pivotArea type="origin" dataOnly="0" labelOnly="1" outline="0" fieldPosition="0"/>
    </format>
    <format dxfId="246">
      <pivotArea field="2" type="button" dataOnly="0" labelOnly="1" outline="0" axis="axisCol" fieldPosition="0"/>
    </format>
    <format dxfId="245">
      <pivotArea field="3" type="button" dataOnly="0" labelOnly="1" outline="0" axis="axisRow" fieldPosition="0"/>
    </format>
    <format dxfId="244">
      <pivotArea dataOnly="0" labelOnly="1" fieldPosition="0">
        <references count="1">
          <reference field="2" count="0"/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E5B0B0-3F76-4A24-BDEE-AC013A3BF2E6}" name="TablaDinámica21" cacheId="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15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2"/>
        <item h="1" x="0"/>
        <item h="1" x="1"/>
        <item x="4"/>
        <item t="default"/>
      </items>
    </pivotField>
    <pivotField axis="axisRow" showAll="0" sortType="descending">
      <items count="78">
        <item x="50"/>
        <item x="2"/>
        <item x="5"/>
        <item x="61"/>
        <item x="27"/>
        <item x="17"/>
        <item x="11"/>
        <item x="15"/>
        <item x="16"/>
        <item x="13"/>
        <item x="26"/>
        <item x="24"/>
        <item x="19"/>
        <item x="18"/>
        <item x="23"/>
        <item x="32"/>
        <item x="33"/>
        <item x="34"/>
        <item x="31"/>
        <item x="44"/>
        <item x="70"/>
        <item x="52"/>
        <item x="46"/>
        <item x="47"/>
        <item x="41"/>
        <item x="53"/>
        <item x="55"/>
        <item x="60"/>
        <item x="37"/>
        <item x="59"/>
        <item x="65"/>
        <item x="40"/>
        <item x="66"/>
        <item x="76"/>
        <item x="8"/>
        <item x="49"/>
        <item x="14"/>
        <item x="35"/>
        <item x="54"/>
        <item x="9"/>
        <item x="58"/>
        <item x="67"/>
        <item x="38"/>
        <item x="62"/>
        <item x="21"/>
        <item x="72"/>
        <item x="1"/>
        <item x="43"/>
        <item x="56"/>
        <item x="69"/>
        <item x="6"/>
        <item x="39"/>
        <item x="7"/>
        <item x="68"/>
        <item x="4"/>
        <item x="0"/>
        <item x="12"/>
        <item x="10"/>
        <item x="20"/>
        <item x="25"/>
        <item x="30"/>
        <item x="29"/>
        <item x="42"/>
        <item x="45"/>
        <item x="48"/>
        <item x="63"/>
        <item x="75"/>
        <item x="74"/>
        <item x="3"/>
        <item x="22"/>
        <item x="28"/>
        <item x="36"/>
        <item x="51"/>
        <item x="57"/>
        <item x="64"/>
        <item x="71"/>
        <item x="7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8">
    <i>
      <x v="15"/>
    </i>
    <i>
      <x v="65"/>
    </i>
    <i>
      <x/>
    </i>
    <i>
      <x v="5"/>
    </i>
    <i>
      <x v="73"/>
    </i>
    <i>
      <x v="26"/>
    </i>
    <i>
      <x v="17"/>
    </i>
    <i>
      <x v="75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253">
      <pivotArea outline="0" collapsedLevelsAreSubtotals="1" fieldPosition="0"/>
    </format>
    <format dxfId="252">
      <pivotArea type="origin" dataOnly="0" labelOnly="1" outline="0" fieldPosition="0"/>
    </format>
    <format dxfId="251">
      <pivotArea field="2" type="button" dataOnly="0" labelOnly="1" outline="0" axis="axisCol" fieldPosition="0"/>
    </format>
    <format dxfId="250">
      <pivotArea field="3" type="button" dataOnly="0" labelOnly="1" outline="0" axis="axisRow" fieldPosition="0"/>
    </format>
    <format dxfId="249">
      <pivotArea dataOnly="0" labelOnly="1" fieldPosition="0">
        <references count="1">
          <reference field="2" count="0"/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0AE37-A297-45B2-BFB3-E98B4F21DF68}" name="TablaDinámica20" cacheId="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17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2"/>
        <item h="1" x="0"/>
        <item x="1"/>
        <item h="1" x="4"/>
        <item t="default"/>
      </items>
    </pivotField>
    <pivotField axis="axisRow" showAll="0" sortType="descending">
      <items count="78">
        <item x="50"/>
        <item x="2"/>
        <item x="5"/>
        <item x="61"/>
        <item x="27"/>
        <item x="17"/>
        <item x="11"/>
        <item x="15"/>
        <item x="16"/>
        <item x="13"/>
        <item x="26"/>
        <item x="24"/>
        <item x="19"/>
        <item x="18"/>
        <item x="23"/>
        <item x="32"/>
        <item x="33"/>
        <item x="34"/>
        <item x="31"/>
        <item x="44"/>
        <item x="70"/>
        <item x="52"/>
        <item x="46"/>
        <item x="47"/>
        <item x="41"/>
        <item x="53"/>
        <item x="55"/>
        <item x="60"/>
        <item x="37"/>
        <item x="59"/>
        <item x="65"/>
        <item x="40"/>
        <item x="66"/>
        <item x="76"/>
        <item x="8"/>
        <item x="49"/>
        <item x="14"/>
        <item x="35"/>
        <item x="54"/>
        <item x="9"/>
        <item x="58"/>
        <item x="67"/>
        <item x="38"/>
        <item x="62"/>
        <item x="21"/>
        <item x="72"/>
        <item x="1"/>
        <item x="43"/>
        <item x="56"/>
        <item x="69"/>
        <item x="6"/>
        <item x="39"/>
        <item x="7"/>
        <item x="68"/>
        <item x="4"/>
        <item x="0"/>
        <item x="12"/>
        <item x="10"/>
        <item x="20"/>
        <item x="25"/>
        <item x="30"/>
        <item x="29"/>
        <item x="42"/>
        <item x="45"/>
        <item x="48"/>
        <item x="63"/>
        <item x="75"/>
        <item x="74"/>
        <item x="3"/>
        <item x="22"/>
        <item x="28"/>
        <item x="36"/>
        <item x="51"/>
        <item x="57"/>
        <item x="64"/>
        <item x="71"/>
        <item x="7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10">
    <i>
      <x v="23"/>
    </i>
    <i>
      <x v="35"/>
    </i>
    <i>
      <x v="54"/>
    </i>
    <i>
      <x v="40"/>
    </i>
    <i>
      <x v="56"/>
    </i>
    <i>
      <x v="16"/>
    </i>
    <i>
      <x v="34"/>
    </i>
    <i>
      <x v="51"/>
    </i>
    <i>
      <x v="1"/>
    </i>
    <i>
      <x v="72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258">
      <pivotArea type="origin" dataOnly="0" labelOnly="1" outline="0" fieldPosition="0"/>
    </format>
    <format dxfId="257">
      <pivotArea field="2" type="button" dataOnly="0" labelOnly="1" outline="0" axis="axisCol" fieldPosition="0"/>
    </format>
    <format dxfId="256">
      <pivotArea field="3" type="button" dataOnly="0" labelOnly="1" outline="0" axis="axisRow" fieldPosition="0"/>
    </format>
    <format dxfId="255">
      <pivotArea dataOnly="0" labelOnly="1" fieldPosition="0">
        <references count="1">
          <reference field="2" count="0"/>
        </references>
      </pivotArea>
    </format>
    <format dxfId="254">
      <pivotArea outline="0" collapsedLevelsAreSubtotals="1" fieldPosition="0"/>
    </format>
  </formats>
  <conditionalFormats count="2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18A43C-D5AB-45F0-B382-571248C6E39C}" name="TablaDinámica23" cacheId="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34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x="2"/>
        <item h="1" x="0"/>
        <item h="1" x="1"/>
        <item h="1" x="4"/>
        <item t="default"/>
      </items>
    </pivotField>
    <pivotField axis="axisRow" showAll="0" sortType="descending">
      <items count="78">
        <item x="50"/>
        <item x="2"/>
        <item x="5"/>
        <item x="61"/>
        <item x="27"/>
        <item x="17"/>
        <item x="11"/>
        <item x="15"/>
        <item x="16"/>
        <item x="13"/>
        <item x="26"/>
        <item x="24"/>
        <item x="19"/>
        <item x="18"/>
        <item x="23"/>
        <item x="32"/>
        <item x="33"/>
        <item x="34"/>
        <item x="31"/>
        <item x="44"/>
        <item x="70"/>
        <item x="52"/>
        <item x="46"/>
        <item x="47"/>
        <item x="41"/>
        <item x="53"/>
        <item x="55"/>
        <item x="60"/>
        <item x="37"/>
        <item x="59"/>
        <item x="65"/>
        <item x="40"/>
        <item x="66"/>
        <item x="76"/>
        <item x="8"/>
        <item x="49"/>
        <item x="14"/>
        <item x="35"/>
        <item x="54"/>
        <item x="9"/>
        <item x="58"/>
        <item x="67"/>
        <item x="38"/>
        <item x="62"/>
        <item x="21"/>
        <item x="72"/>
        <item x="1"/>
        <item x="43"/>
        <item x="56"/>
        <item x="69"/>
        <item x="6"/>
        <item x="39"/>
        <item x="7"/>
        <item x="68"/>
        <item x="4"/>
        <item x="0"/>
        <item x="12"/>
        <item x="10"/>
        <item x="20"/>
        <item x="25"/>
        <item x="30"/>
        <item x="29"/>
        <item x="42"/>
        <item x="45"/>
        <item x="48"/>
        <item x="63"/>
        <item x="75"/>
        <item x="74"/>
        <item x="3"/>
        <item x="22"/>
        <item x="28"/>
        <item x="36"/>
        <item x="51"/>
        <item x="57"/>
        <item x="64"/>
        <item x="71"/>
        <item x="7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27">
    <i>
      <x v="33"/>
    </i>
    <i>
      <x v="20"/>
    </i>
    <i>
      <x v="43"/>
    </i>
    <i>
      <x v="7"/>
    </i>
    <i>
      <x v="36"/>
    </i>
    <i>
      <x v="70"/>
    </i>
    <i>
      <x v="38"/>
    </i>
    <i>
      <x v="22"/>
    </i>
    <i>
      <x v="49"/>
    </i>
    <i>
      <x v="53"/>
    </i>
    <i>
      <x v="10"/>
    </i>
    <i>
      <x v="8"/>
    </i>
    <i>
      <x v="29"/>
    </i>
    <i>
      <x v="48"/>
    </i>
    <i>
      <x v="45"/>
    </i>
    <i>
      <x v="62"/>
    </i>
    <i>
      <x v="24"/>
    </i>
    <i>
      <x v="76"/>
    </i>
    <i>
      <x v="37"/>
    </i>
    <i>
      <x v="25"/>
    </i>
    <i>
      <x v="47"/>
    </i>
    <i>
      <x v="64"/>
    </i>
    <i>
      <x v="57"/>
    </i>
    <i>
      <x v="31"/>
    </i>
    <i>
      <x v="67"/>
    </i>
    <i>
      <x v="52"/>
    </i>
    <i>
      <x v="61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263">
      <pivotArea outline="0" collapsedLevelsAreSubtotals="1" fieldPosition="0"/>
    </format>
    <format dxfId="262">
      <pivotArea type="origin" dataOnly="0" labelOnly="1" outline="0" fieldPosition="0"/>
    </format>
    <format dxfId="261">
      <pivotArea field="2" type="button" dataOnly="0" labelOnly="1" outline="0" axis="axisCol" fieldPosition="0"/>
    </format>
    <format dxfId="260">
      <pivotArea field="3" type="button" dataOnly="0" labelOnly="1" outline="0" axis="axisRow" fieldPosition="0"/>
    </format>
    <format dxfId="259">
      <pivotArea dataOnly="0" labelOnly="1" fieldPosition="0">
        <references count="1">
          <reference field="2" count="0"/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505791-9ED2-416C-983E-DCD7CA5FA410}" name="TablaDinámica4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22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2"/>
        <item h="1" x="1"/>
        <item h="1" x="0"/>
        <item x="4"/>
        <item t="default"/>
      </items>
    </pivotField>
    <pivotField axis="axisRow" showAll="0" sortType="descending">
      <items count="77">
        <item x="47"/>
        <item x="1"/>
        <item x="3"/>
        <item x="56"/>
        <item x="27"/>
        <item x="10"/>
        <item x="11"/>
        <item x="15"/>
        <item x="17"/>
        <item x="14"/>
        <item x="21"/>
        <item x="20"/>
        <item x="23"/>
        <item x="26"/>
        <item x="22"/>
        <item x="32"/>
        <item x="33"/>
        <item x="28"/>
        <item x="29"/>
        <item x="39"/>
        <item x="68"/>
        <item x="54"/>
        <item x="44"/>
        <item x="40"/>
        <item x="41"/>
        <item x="50"/>
        <item x="48"/>
        <item x="61"/>
        <item x="38"/>
        <item x="58"/>
        <item x="63"/>
        <item x="43"/>
        <item x="65"/>
        <item x="64"/>
        <item x="67"/>
        <item x="4"/>
        <item x="46"/>
        <item x="12"/>
        <item x="30"/>
        <item x="49"/>
        <item x="9"/>
        <item x="57"/>
        <item x="66"/>
        <item x="42"/>
        <item x="62"/>
        <item x="24"/>
        <item x="70"/>
        <item x="8"/>
        <item x="35"/>
        <item x="51"/>
        <item x="7"/>
        <item x="72"/>
        <item x="52"/>
        <item x="6"/>
        <item x="36"/>
        <item x="59"/>
        <item x="53"/>
        <item x="71"/>
        <item x="0"/>
        <item x="2"/>
        <item x="5"/>
        <item x="13"/>
        <item x="16"/>
        <item x="18"/>
        <item x="19"/>
        <item x="25"/>
        <item x="31"/>
        <item x="34"/>
        <item x="37"/>
        <item x="45"/>
        <item x="55"/>
        <item x="60"/>
        <item x="69"/>
        <item x="73"/>
        <item x="74"/>
        <item x="7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15">
    <i>
      <x v="42"/>
    </i>
    <i>
      <x v="34"/>
    </i>
    <i>
      <x v="9"/>
    </i>
    <i>
      <x v="11"/>
    </i>
    <i>
      <x v="4"/>
    </i>
    <i>
      <x v="41"/>
    </i>
    <i>
      <x v="10"/>
    </i>
    <i>
      <x/>
    </i>
    <i>
      <x v="48"/>
    </i>
    <i>
      <x v="54"/>
    </i>
    <i>
      <x v="29"/>
    </i>
    <i>
      <x v="17"/>
    </i>
    <i>
      <x v="71"/>
    </i>
    <i>
      <x v="55"/>
    </i>
    <i>
      <x v="18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221">
      <pivotArea outline="0" collapsedLevelsAreSubtotals="1" fieldPosition="0"/>
    </format>
    <format dxfId="220">
      <pivotArea type="origin" dataOnly="0" labelOnly="1" outline="0" fieldPosition="0"/>
    </format>
    <format dxfId="219">
      <pivotArea field="2" type="button" dataOnly="0" labelOnly="1" outline="0" axis="axisCol" fieldPosition="0"/>
    </format>
    <format dxfId="218">
      <pivotArea field="3" type="button" dataOnly="0" labelOnly="1" outline="0" axis="axisRow" fieldPosition="0"/>
    </format>
    <format dxfId="217">
      <pivotArea dataOnly="0" labelOnly="1" fieldPosition="0">
        <references count="1">
          <reference field="2" count="0"/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3E974A-0739-41C2-BCFD-7488A92BC652}" name="TablaDinámica3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29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2"/>
        <item x="1"/>
        <item h="1" x="0"/>
        <item h="1" x="4"/>
        <item t="default"/>
      </items>
    </pivotField>
    <pivotField axis="axisRow" showAll="0" sortType="descending">
      <items count="77">
        <item x="47"/>
        <item x="1"/>
        <item x="3"/>
        <item x="56"/>
        <item x="27"/>
        <item x="10"/>
        <item x="11"/>
        <item x="15"/>
        <item x="17"/>
        <item x="14"/>
        <item x="21"/>
        <item x="20"/>
        <item x="23"/>
        <item x="26"/>
        <item x="22"/>
        <item x="32"/>
        <item x="33"/>
        <item x="28"/>
        <item x="29"/>
        <item x="39"/>
        <item x="68"/>
        <item x="54"/>
        <item x="44"/>
        <item x="40"/>
        <item x="41"/>
        <item x="50"/>
        <item x="48"/>
        <item x="61"/>
        <item x="38"/>
        <item x="58"/>
        <item x="63"/>
        <item x="43"/>
        <item x="65"/>
        <item x="64"/>
        <item x="67"/>
        <item x="4"/>
        <item x="46"/>
        <item x="12"/>
        <item x="30"/>
        <item x="49"/>
        <item x="9"/>
        <item x="57"/>
        <item x="66"/>
        <item x="42"/>
        <item x="62"/>
        <item x="24"/>
        <item x="70"/>
        <item x="8"/>
        <item x="35"/>
        <item x="51"/>
        <item x="7"/>
        <item x="72"/>
        <item x="52"/>
        <item x="6"/>
        <item x="36"/>
        <item x="59"/>
        <item x="53"/>
        <item x="71"/>
        <item x="0"/>
        <item x="2"/>
        <item x="5"/>
        <item x="13"/>
        <item x="16"/>
        <item x="18"/>
        <item x="19"/>
        <item x="25"/>
        <item x="31"/>
        <item x="34"/>
        <item x="37"/>
        <item x="45"/>
        <item x="55"/>
        <item x="60"/>
        <item x="69"/>
        <item x="73"/>
        <item x="74"/>
        <item x="7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22">
    <i>
      <x v="1"/>
    </i>
    <i>
      <x v="59"/>
    </i>
    <i>
      <x v="2"/>
    </i>
    <i>
      <x v="35"/>
    </i>
    <i>
      <x v="38"/>
    </i>
    <i>
      <x v="26"/>
    </i>
    <i>
      <x v="60"/>
    </i>
    <i>
      <x v="14"/>
    </i>
    <i>
      <x v="20"/>
    </i>
    <i>
      <x v="68"/>
    </i>
    <i>
      <x v="66"/>
    </i>
    <i>
      <x v="12"/>
    </i>
    <i>
      <x v="27"/>
    </i>
    <i>
      <x v="49"/>
    </i>
    <i>
      <x v="39"/>
    </i>
    <i>
      <x v="15"/>
    </i>
    <i>
      <x v="72"/>
    </i>
    <i>
      <x v="25"/>
    </i>
    <i>
      <x v="44"/>
    </i>
    <i>
      <x v="28"/>
    </i>
    <i>
      <x v="19"/>
    </i>
    <i>
      <x v="16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226">
      <pivotArea outline="0" collapsedLevelsAreSubtotals="1" fieldPosition="0"/>
    </format>
    <format dxfId="225">
      <pivotArea type="origin" dataOnly="0" labelOnly="1" outline="0" fieldPosition="0"/>
    </format>
    <format dxfId="224">
      <pivotArea field="2" type="button" dataOnly="0" labelOnly="1" outline="0" axis="axisCol" fieldPosition="0"/>
    </format>
    <format dxfId="223">
      <pivotArea field="3" type="button" dataOnly="0" labelOnly="1" outline="0" axis="axisRow" fieldPosition="0"/>
    </format>
    <format dxfId="222">
      <pivotArea dataOnly="0" labelOnly="1" fieldPosition="0">
        <references count="1">
          <reference field="2" count="0"/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2B171E-2636-460F-9A85-BE968E6C1554}" name="TablaDinámica2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37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x="2"/>
        <item h="1" x="1"/>
        <item h="1" x="0"/>
        <item h="1" x="4"/>
        <item t="default"/>
      </items>
    </pivotField>
    <pivotField axis="axisRow" showAll="0" sortType="descending">
      <items count="77">
        <item x="47"/>
        <item x="1"/>
        <item x="3"/>
        <item x="56"/>
        <item x="27"/>
        <item x="10"/>
        <item x="11"/>
        <item x="15"/>
        <item x="17"/>
        <item x="14"/>
        <item x="21"/>
        <item x="20"/>
        <item x="23"/>
        <item x="26"/>
        <item x="22"/>
        <item x="32"/>
        <item x="33"/>
        <item x="28"/>
        <item x="29"/>
        <item x="39"/>
        <item x="68"/>
        <item x="54"/>
        <item x="44"/>
        <item x="40"/>
        <item x="41"/>
        <item x="50"/>
        <item x="48"/>
        <item x="61"/>
        <item x="38"/>
        <item x="58"/>
        <item x="63"/>
        <item x="43"/>
        <item x="65"/>
        <item x="64"/>
        <item x="67"/>
        <item x="4"/>
        <item x="46"/>
        <item x="12"/>
        <item x="30"/>
        <item x="49"/>
        <item x="9"/>
        <item x="57"/>
        <item x="66"/>
        <item x="42"/>
        <item x="62"/>
        <item x="24"/>
        <item x="70"/>
        <item x="8"/>
        <item x="35"/>
        <item x="51"/>
        <item x="7"/>
        <item x="72"/>
        <item x="52"/>
        <item x="6"/>
        <item x="36"/>
        <item x="59"/>
        <item x="53"/>
        <item x="71"/>
        <item x="0"/>
        <item x="2"/>
        <item x="5"/>
        <item x="13"/>
        <item x="16"/>
        <item x="18"/>
        <item x="19"/>
        <item x="25"/>
        <item x="31"/>
        <item x="34"/>
        <item x="37"/>
        <item x="45"/>
        <item x="55"/>
        <item x="60"/>
        <item x="69"/>
        <item x="73"/>
        <item x="74"/>
        <item x="7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30">
    <i>
      <x v="7"/>
    </i>
    <i>
      <x v="23"/>
    </i>
    <i>
      <x v="52"/>
    </i>
    <i>
      <x v="24"/>
    </i>
    <i>
      <x v="46"/>
    </i>
    <i>
      <x v="57"/>
    </i>
    <i>
      <x v="43"/>
    </i>
    <i>
      <x v="56"/>
    </i>
    <i>
      <x v="53"/>
    </i>
    <i>
      <x v="30"/>
    </i>
    <i>
      <x v="31"/>
    </i>
    <i>
      <x v="45"/>
    </i>
    <i>
      <x v="51"/>
    </i>
    <i>
      <x v="65"/>
    </i>
    <i>
      <x v="67"/>
    </i>
    <i>
      <x v="22"/>
    </i>
    <i>
      <x v="13"/>
    </i>
    <i>
      <x v="33"/>
    </i>
    <i>
      <x v="50"/>
    </i>
    <i>
      <x v="62"/>
    </i>
    <i>
      <x v="73"/>
    </i>
    <i>
      <x v="47"/>
    </i>
    <i>
      <x v="32"/>
    </i>
    <i>
      <x v="21"/>
    </i>
    <i>
      <x v="8"/>
    </i>
    <i>
      <x v="63"/>
    </i>
    <i>
      <x v="69"/>
    </i>
    <i>
      <x v="70"/>
    </i>
    <i>
      <x v="74"/>
    </i>
    <i>
      <x v="75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231">
      <pivotArea outline="0" collapsedLevelsAreSubtotals="1" fieldPosition="0"/>
    </format>
    <format dxfId="230">
      <pivotArea type="origin" dataOnly="0" labelOnly="1" outline="0" fieldPosition="0"/>
    </format>
    <format dxfId="229">
      <pivotArea field="2" type="button" dataOnly="0" labelOnly="1" outline="0" axis="axisCol" fieldPosition="0"/>
    </format>
    <format dxfId="228">
      <pivotArea field="3" type="button" dataOnly="0" labelOnly="1" outline="0" axis="axisRow" fieldPosition="0"/>
    </format>
    <format dxfId="227">
      <pivotArea dataOnly="0" labelOnly="1" fieldPosition="0">
        <references count="1">
          <reference field="2" count="0"/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CAB6-2526-4F6A-A74D-78C26AEC8CEE}" name="TablaDinámica1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15" firstHeaderRow="1" firstDataRow="2" firstDataCol="1"/>
  <pivotFields count="4">
    <pivotField showAll="0"/>
    <pivotField dataField="1" numFmtId="10" showAll="0"/>
    <pivotField axis="axisCol" showAll="0">
      <items count="6">
        <item h="1" x="3"/>
        <item h="1" x="2"/>
        <item h="1" x="1"/>
        <item x="0"/>
        <item h="1" x="4"/>
        <item t="default"/>
      </items>
    </pivotField>
    <pivotField axis="axisRow" showAll="0" sortType="descending">
      <items count="77">
        <item x="47"/>
        <item x="1"/>
        <item x="3"/>
        <item x="56"/>
        <item x="27"/>
        <item x="10"/>
        <item x="11"/>
        <item x="15"/>
        <item x="17"/>
        <item x="14"/>
        <item x="21"/>
        <item x="20"/>
        <item x="23"/>
        <item x="26"/>
        <item x="22"/>
        <item x="32"/>
        <item x="33"/>
        <item x="28"/>
        <item x="29"/>
        <item x="39"/>
        <item x="68"/>
        <item x="54"/>
        <item x="44"/>
        <item x="40"/>
        <item x="41"/>
        <item x="50"/>
        <item x="48"/>
        <item x="61"/>
        <item x="38"/>
        <item x="58"/>
        <item x="63"/>
        <item x="43"/>
        <item x="65"/>
        <item x="64"/>
        <item x="67"/>
        <item x="4"/>
        <item x="46"/>
        <item x="12"/>
        <item x="30"/>
        <item x="49"/>
        <item x="9"/>
        <item x="57"/>
        <item x="66"/>
        <item x="42"/>
        <item x="62"/>
        <item x="24"/>
        <item x="70"/>
        <item x="8"/>
        <item x="35"/>
        <item x="51"/>
        <item x="7"/>
        <item x="72"/>
        <item x="52"/>
        <item x="6"/>
        <item x="36"/>
        <item x="59"/>
        <item x="53"/>
        <item x="71"/>
        <item x="0"/>
        <item x="2"/>
        <item x="5"/>
        <item x="13"/>
        <item x="16"/>
        <item x="18"/>
        <item x="19"/>
        <item x="25"/>
        <item x="31"/>
        <item x="34"/>
        <item x="37"/>
        <item x="45"/>
        <item x="55"/>
        <item x="60"/>
        <item x="69"/>
        <item x="73"/>
        <item x="74"/>
        <item x="7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8">
    <i>
      <x v="3"/>
    </i>
    <i>
      <x v="5"/>
    </i>
    <i>
      <x v="36"/>
    </i>
    <i>
      <x v="6"/>
    </i>
    <i>
      <x v="37"/>
    </i>
    <i>
      <x v="58"/>
    </i>
    <i>
      <x v="61"/>
    </i>
    <i>
      <x v="64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236">
      <pivotArea type="origin" dataOnly="0" labelOnly="1" outline="0" fieldPosition="0"/>
    </format>
    <format dxfId="235">
      <pivotArea field="2" type="button" dataOnly="0" labelOnly="1" outline="0" axis="axisCol" fieldPosition="0"/>
    </format>
    <format dxfId="234">
      <pivotArea field="3" type="button" dataOnly="0" labelOnly="1" outline="0" axis="axisRow" fieldPosition="0"/>
    </format>
    <format dxfId="233">
      <pivotArea dataOnly="0" labelOnly="1" fieldPosition="0">
        <references count="1">
          <reference field="2" count="0"/>
        </references>
      </pivotArea>
    </format>
    <format dxfId="232">
      <pivotArea outline="0" collapsedLevelsAreSubtotals="1" fieldPosition="0"/>
    </format>
  </formats>
  <conditionalFormats count="2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E818D-94E0-4299-820A-F52A6DF60E87}" name="JUL70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21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h="1" x="0"/>
        <item h="1" x="2"/>
        <item x="1"/>
        <item t="default"/>
      </items>
    </pivotField>
    <pivotField axis="axisRow" showAll="0" sortType="descending">
      <items count="86">
        <item h="1" m="1" x="84"/>
        <item x="51"/>
        <item x="53"/>
        <item x="13"/>
        <item x="80"/>
        <item x="19"/>
        <item x="27"/>
        <item x="38"/>
        <item x="35"/>
        <item x="31"/>
        <item x="28"/>
        <item x="56"/>
        <item x="77"/>
        <item x="64"/>
        <item x="82"/>
        <item x="16"/>
        <item x="21"/>
        <item x="72"/>
        <item x="48"/>
        <item x="62"/>
        <item x="7"/>
        <item x="34"/>
        <item x="2"/>
        <item x="4"/>
        <item x="22"/>
        <item x="8"/>
        <item x="25"/>
        <item x="79"/>
        <item x="29"/>
        <item x="49"/>
        <item x="33"/>
        <item x="63"/>
        <item x="36"/>
        <item x="67"/>
        <item x="66"/>
        <item x="17"/>
        <item x="75"/>
        <item x="5"/>
        <item x="18"/>
        <item x="61"/>
        <item x="46"/>
        <item x="74"/>
        <item x="42"/>
        <item x="71"/>
        <item x="70"/>
        <item x="76"/>
        <item x="43"/>
        <item x="1"/>
        <item x="37"/>
        <item x="40"/>
        <item x="6"/>
        <item x="69"/>
        <item x="3"/>
        <item x="83"/>
        <item x="24"/>
        <item x="47"/>
        <item x="12"/>
        <item x="81"/>
        <item x="44"/>
        <item x="14"/>
        <item x="32"/>
        <item x="15"/>
        <item x="26"/>
        <item x="60"/>
        <item x="39"/>
        <item x="11"/>
        <item x="68"/>
        <item x="20"/>
        <item x="73"/>
        <item x="30"/>
        <item x="45"/>
        <item x="9"/>
        <item x="41"/>
        <item x="65"/>
        <item x="23"/>
        <item x="0"/>
        <item x="50"/>
        <item x="78"/>
        <item h="1" x="10"/>
        <item h="1" x="52"/>
        <item h="1" x="54"/>
        <item h="1" x="55"/>
        <item h="1" x="57"/>
        <item h="1" x="58"/>
        <item h="1" x="5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14">
    <i>
      <x v="74"/>
    </i>
    <i>
      <x v="59"/>
    </i>
    <i>
      <x v="70"/>
    </i>
    <i>
      <x v="54"/>
    </i>
    <i>
      <x v="19"/>
    </i>
    <i>
      <x v="31"/>
    </i>
    <i>
      <x v="13"/>
    </i>
    <i>
      <x v="36"/>
    </i>
    <i>
      <x v="73"/>
    </i>
    <i>
      <x v="45"/>
    </i>
    <i>
      <x v="12"/>
    </i>
    <i>
      <x v="9"/>
    </i>
    <i>
      <x v="52"/>
    </i>
    <i>
      <x v="23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6">
    <format dxfId="194">
      <pivotArea outline="0" collapsedLevelsAreSubtotals="1" fieldPosition="0"/>
    </format>
    <format dxfId="193">
      <pivotArea dataOnly="0" labelOnly="1" fieldPosition="0">
        <references count="1">
          <reference field="3" count="14">
            <x v="9"/>
            <x v="12"/>
            <x v="13"/>
            <x v="19"/>
            <x v="23"/>
            <x v="31"/>
            <x v="36"/>
            <x v="45"/>
            <x v="52"/>
            <x v="54"/>
            <x v="59"/>
            <x v="70"/>
            <x v="73"/>
            <x v="74"/>
          </reference>
        </references>
      </pivotArea>
    </format>
    <format dxfId="192">
      <pivotArea type="origin" dataOnly="0" labelOnly="1" outline="0" fieldPosition="0"/>
    </format>
    <format dxfId="191">
      <pivotArea field="2" type="button" dataOnly="0" labelOnly="1" outline="0" axis="axisCol" fieldPosition="0"/>
    </format>
    <format dxfId="190">
      <pivotArea field="3" type="button" dataOnly="0" labelOnly="1" outline="0" axis="axisRow" fieldPosition="0"/>
    </format>
    <format dxfId="189">
      <pivotArea dataOnly="0" labelOnly="1" fieldPosition="0">
        <references count="1">
          <reference field="2" count="0"/>
        </references>
      </pivotArea>
    </format>
  </formats>
  <conditionalFormats count="1"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009CA4-4C25-41FB-A0D4-B12D8D472391}" name="JUL40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33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h="1" x="0"/>
        <item x="2"/>
        <item h="1" x="1"/>
        <item t="default"/>
      </items>
    </pivotField>
    <pivotField axis="axisRow" showAll="0" sortType="descending">
      <items count="86">
        <item h="1" m="1" x="84"/>
        <item x="51"/>
        <item x="53"/>
        <item x="13"/>
        <item x="80"/>
        <item x="19"/>
        <item x="27"/>
        <item x="38"/>
        <item x="35"/>
        <item x="31"/>
        <item x="28"/>
        <item x="56"/>
        <item x="77"/>
        <item x="64"/>
        <item x="82"/>
        <item x="16"/>
        <item x="21"/>
        <item x="72"/>
        <item x="48"/>
        <item x="62"/>
        <item x="7"/>
        <item x="34"/>
        <item x="2"/>
        <item x="4"/>
        <item x="22"/>
        <item x="8"/>
        <item x="25"/>
        <item x="79"/>
        <item x="29"/>
        <item x="49"/>
        <item x="33"/>
        <item x="63"/>
        <item x="36"/>
        <item x="67"/>
        <item x="66"/>
        <item x="17"/>
        <item x="75"/>
        <item x="5"/>
        <item x="18"/>
        <item x="61"/>
        <item x="46"/>
        <item x="74"/>
        <item x="42"/>
        <item x="71"/>
        <item x="70"/>
        <item x="76"/>
        <item x="43"/>
        <item x="1"/>
        <item x="37"/>
        <item x="40"/>
        <item x="6"/>
        <item x="69"/>
        <item x="3"/>
        <item x="83"/>
        <item x="24"/>
        <item x="47"/>
        <item x="12"/>
        <item x="81"/>
        <item x="44"/>
        <item x="14"/>
        <item x="32"/>
        <item x="15"/>
        <item x="26"/>
        <item x="60"/>
        <item x="39"/>
        <item x="11"/>
        <item x="68"/>
        <item x="20"/>
        <item x="73"/>
        <item x="30"/>
        <item x="45"/>
        <item x="9"/>
        <item x="41"/>
        <item x="65"/>
        <item x="23"/>
        <item x="0"/>
        <item x="50"/>
        <item x="78"/>
        <item h="1" x="10"/>
        <item h="1" x="52"/>
        <item h="1" x="54"/>
        <item h="1" x="55"/>
        <item h="1" x="57"/>
        <item h="1" x="58"/>
        <item h="1" x="5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26">
    <i>
      <x v="40"/>
    </i>
    <i>
      <x v="55"/>
    </i>
    <i>
      <x v="61"/>
    </i>
    <i>
      <x v="11"/>
    </i>
    <i>
      <x v="18"/>
    </i>
    <i>
      <x v="34"/>
    </i>
    <i>
      <x v="15"/>
    </i>
    <i>
      <x v="33"/>
    </i>
    <i>
      <x v="26"/>
    </i>
    <i>
      <x v="60"/>
    </i>
    <i>
      <x v="37"/>
    </i>
    <i>
      <x v="66"/>
    </i>
    <i>
      <x v="77"/>
    </i>
    <i>
      <x v="30"/>
    </i>
    <i>
      <x v="27"/>
    </i>
    <i>
      <x v="62"/>
    </i>
    <i>
      <x v="35"/>
    </i>
    <i>
      <x v="29"/>
    </i>
    <i>
      <x v="38"/>
    </i>
    <i>
      <x v="4"/>
    </i>
    <i>
      <x v="21"/>
    </i>
    <i>
      <x v="8"/>
    </i>
    <i>
      <x v="50"/>
    </i>
    <i>
      <x v="76"/>
    </i>
    <i>
      <x v="6"/>
    </i>
    <i>
      <x v="32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6">
    <format dxfId="200">
      <pivotArea outline="0" collapsedLevelsAreSubtotals="1" fieldPosition="0"/>
    </format>
    <format dxfId="199">
      <pivotArea dataOnly="0" labelOnly="1" fieldPosition="0">
        <references count="1">
          <reference field="3" count="26">
            <x v="4"/>
            <x v="6"/>
            <x v="8"/>
            <x v="11"/>
            <x v="15"/>
            <x v="18"/>
            <x v="21"/>
            <x v="26"/>
            <x v="27"/>
            <x v="29"/>
            <x v="30"/>
            <x v="32"/>
            <x v="33"/>
            <x v="34"/>
            <x v="35"/>
            <x v="37"/>
            <x v="38"/>
            <x v="40"/>
            <x v="50"/>
            <x v="55"/>
            <x v="60"/>
            <x v="61"/>
            <x v="62"/>
            <x v="66"/>
            <x v="76"/>
            <x v="77"/>
          </reference>
        </references>
      </pivotArea>
    </format>
    <format dxfId="198">
      <pivotArea type="origin" dataOnly="0" labelOnly="1" outline="0" fieldPosition="0"/>
    </format>
    <format dxfId="197">
      <pivotArea field="2" type="button" dataOnly="0" labelOnly="1" outline="0" axis="axisCol" fieldPosition="0"/>
    </format>
    <format dxfId="196">
      <pivotArea field="3" type="button" dataOnly="0" labelOnly="1" outline="0" axis="axisRow" fieldPosition="0"/>
    </format>
    <format dxfId="195">
      <pivotArea dataOnly="0" labelOnly="1" fieldPosition="0">
        <references count="1">
          <reference field="2" count="0"/>
        </references>
      </pivotArea>
    </format>
  </formats>
  <conditionalFormats count="1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D84043-24A0-403C-8F6C-6AFD3053577E}" name="JUL0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26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x="3"/>
        <item h="1" x="0"/>
        <item h="1" x="2"/>
        <item h="1" x="1"/>
        <item t="default"/>
      </items>
    </pivotField>
    <pivotField axis="axisRow" showAll="0" sortType="descending">
      <items count="86">
        <item h="1" m="1" x="84"/>
        <item x="51"/>
        <item x="53"/>
        <item x="13"/>
        <item x="80"/>
        <item x="19"/>
        <item x="27"/>
        <item x="38"/>
        <item x="35"/>
        <item x="31"/>
        <item x="28"/>
        <item x="56"/>
        <item x="77"/>
        <item x="64"/>
        <item x="82"/>
        <item x="16"/>
        <item x="21"/>
        <item x="72"/>
        <item x="48"/>
        <item x="62"/>
        <item x="7"/>
        <item x="34"/>
        <item x="2"/>
        <item x="4"/>
        <item x="22"/>
        <item x="8"/>
        <item x="25"/>
        <item x="79"/>
        <item x="29"/>
        <item x="49"/>
        <item x="33"/>
        <item x="63"/>
        <item x="36"/>
        <item x="67"/>
        <item x="66"/>
        <item x="17"/>
        <item x="75"/>
        <item x="5"/>
        <item x="18"/>
        <item x="61"/>
        <item x="46"/>
        <item x="74"/>
        <item x="42"/>
        <item x="71"/>
        <item x="70"/>
        <item x="76"/>
        <item x="43"/>
        <item x="1"/>
        <item x="37"/>
        <item x="40"/>
        <item x="6"/>
        <item x="69"/>
        <item x="3"/>
        <item x="83"/>
        <item x="24"/>
        <item x="47"/>
        <item x="12"/>
        <item x="81"/>
        <item x="44"/>
        <item x="14"/>
        <item x="32"/>
        <item x="15"/>
        <item x="26"/>
        <item x="60"/>
        <item x="39"/>
        <item x="11"/>
        <item x="68"/>
        <item x="20"/>
        <item x="73"/>
        <item x="30"/>
        <item x="45"/>
        <item x="9"/>
        <item x="41"/>
        <item x="65"/>
        <item x="23"/>
        <item x="0"/>
        <item x="50"/>
        <item x="78"/>
        <item h="1" x="10"/>
        <item h="1" x="52"/>
        <item h="1" x="54"/>
        <item h="1" x="55"/>
        <item h="1" x="57"/>
        <item h="1" x="58"/>
        <item h="1" x="5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19">
    <i>
      <x v="20"/>
    </i>
    <i>
      <x v="48"/>
    </i>
    <i>
      <x v="10"/>
    </i>
    <i>
      <x v="51"/>
    </i>
    <i>
      <x v="57"/>
    </i>
    <i>
      <x v="28"/>
    </i>
    <i>
      <x v="5"/>
    </i>
    <i>
      <x v="7"/>
    </i>
    <i>
      <x v="44"/>
    </i>
    <i>
      <x v="67"/>
    </i>
    <i>
      <x v="25"/>
    </i>
    <i>
      <x v="63"/>
    </i>
    <i>
      <x v="39"/>
    </i>
    <i>
      <x v="64"/>
    </i>
    <i>
      <x v="14"/>
    </i>
    <i>
      <x v="16"/>
    </i>
    <i>
      <x v="69"/>
    </i>
    <i>
      <x v="43"/>
    </i>
    <i>
      <x v="71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6">
    <format dxfId="206">
      <pivotArea outline="0" collapsedLevelsAreSubtotals="1" fieldPosition="0"/>
    </format>
    <format dxfId="205">
      <pivotArea dataOnly="0" labelOnly="1" fieldPosition="0">
        <references count="1">
          <reference field="3" count="19">
            <x v="5"/>
            <x v="7"/>
            <x v="10"/>
            <x v="14"/>
            <x v="16"/>
            <x v="20"/>
            <x v="25"/>
            <x v="28"/>
            <x v="39"/>
            <x v="43"/>
            <x v="44"/>
            <x v="48"/>
            <x v="51"/>
            <x v="57"/>
            <x v="63"/>
            <x v="64"/>
            <x v="67"/>
            <x v="69"/>
            <x v="71"/>
          </reference>
        </references>
      </pivotArea>
    </format>
    <format dxfId="204">
      <pivotArea type="origin" dataOnly="0" labelOnly="1" outline="0" fieldPosition="0"/>
    </format>
    <format dxfId="203">
      <pivotArea field="2" type="button" dataOnly="0" labelOnly="1" outline="0" axis="axisCol" fieldPosition="0"/>
    </format>
    <format dxfId="202">
      <pivotArea field="3" type="button" dataOnly="0" labelOnly="1" outline="0" axis="axisRow" fieldPosition="0"/>
    </format>
    <format dxfId="201">
      <pivotArea dataOnly="0" labelOnly="1" fieldPosition="0">
        <references count="1">
          <reference field="2" count="0"/>
        </references>
      </pivotArea>
    </format>
  </formats>
  <conditionalFormats count="2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AFE83C-ADBA-40C1-8427-456CB7819243}" name="JUL100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23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x="0"/>
        <item h="1" x="2"/>
        <item h="1" x="1"/>
        <item t="default"/>
      </items>
    </pivotField>
    <pivotField axis="axisRow" showAll="0" sortType="descending">
      <items count="86">
        <item h="1" m="1" x="84"/>
        <item x="51"/>
        <item x="53"/>
        <item x="13"/>
        <item x="80"/>
        <item x="19"/>
        <item x="27"/>
        <item x="38"/>
        <item x="35"/>
        <item x="31"/>
        <item x="28"/>
        <item x="56"/>
        <item x="77"/>
        <item x="64"/>
        <item x="82"/>
        <item x="16"/>
        <item x="21"/>
        <item x="72"/>
        <item x="48"/>
        <item x="62"/>
        <item x="7"/>
        <item x="34"/>
        <item x="2"/>
        <item x="4"/>
        <item x="22"/>
        <item x="8"/>
        <item x="25"/>
        <item x="79"/>
        <item x="29"/>
        <item x="49"/>
        <item x="33"/>
        <item x="63"/>
        <item x="36"/>
        <item x="67"/>
        <item x="66"/>
        <item x="17"/>
        <item x="75"/>
        <item x="5"/>
        <item x="18"/>
        <item x="61"/>
        <item x="46"/>
        <item x="74"/>
        <item x="42"/>
        <item x="71"/>
        <item x="70"/>
        <item x="76"/>
        <item x="43"/>
        <item x="1"/>
        <item x="37"/>
        <item x="40"/>
        <item x="6"/>
        <item x="69"/>
        <item x="3"/>
        <item x="83"/>
        <item x="24"/>
        <item x="47"/>
        <item x="12"/>
        <item x="81"/>
        <item x="44"/>
        <item x="14"/>
        <item x="32"/>
        <item x="15"/>
        <item x="26"/>
        <item x="60"/>
        <item x="39"/>
        <item x="11"/>
        <item x="68"/>
        <item x="20"/>
        <item x="73"/>
        <item x="30"/>
        <item x="45"/>
        <item x="9"/>
        <item x="41"/>
        <item x="65"/>
        <item x="23"/>
        <item x="0"/>
        <item x="50"/>
        <item x="78"/>
        <item h="1" x="10"/>
        <item h="1" x="52"/>
        <item h="1" x="54"/>
        <item h="1" x="55"/>
        <item h="1" x="57"/>
        <item h="1" x="58"/>
        <item h="1" x="5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16">
    <i>
      <x v="49"/>
    </i>
    <i>
      <x v="72"/>
    </i>
    <i>
      <x v="1"/>
    </i>
    <i>
      <x v="75"/>
    </i>
    <i>
      <x v="65"/>
    </i>
    <i>
      <x v="47"/>
    </i>
    <i>
      <x v="56"/>
    </i>
    <i>
      <x v="42"/>
    </i>
    <i>
      <x v="24"/>
    </i>
    <i>
      <x v="68"/>
    </i>
    <i>
      <x v="46"/>
    </i>
    <i>
      <x v="22"/>
    </i>
    <i>
      <x v="3"/>
    </i>
    <i>
      <x v="2"/>
    </i>
    <i>
      <x v="41"/>
    </i>
    <i>
      <x v="58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6">
    <format dxfId="212">
      <pivotArea type="origin" dataOnly="0" labelOnly="1" outline="0" fieldPosition="0"/>
    </format>
    <format dxfId="211">
      <pivotArea field="2" type="button" dataOnly="0" labelOnly="1" outline="0" axis="axisCol" fieldPosition="0"/>
    </format>
    <format dxfId="210">
      <pivotArea field="3" type="button" dataOnly="0" labelOnly="1" outline="0" axis="axisRow" fieldPosition="0"/>
    </format>
    <format dxfId="209">
      <pivotArea dataOnly="0" labelOnly="1" fieldPosition="0">
        <references count="1">
          <reference field="2" count="0"/>
        </references>
      </pivotArea>
    </format>
    <format dxfId="208">
      <pivotArea outline="0" collapsedLevelsAreSubtotals="1" fieldPosition="0"/>
    </format>
    <format dxfId="207">
      <pivotArea dataOnly="0" labelOnly="1" fieldPosition="0">
        <references count="1">
          <reference field="3" count="16">
            <x v="1"/>
            <x v="2"/>
            <x v="3"/>
            <x v="22"/>
            <x v="24"/>
            <x v="41"/>
            <x v="42"/>
            <x v="46"/>
            <x v="47"/>
            <x v="49"/>
            <x v="56"/>
            <x v="58"/>
            <x v="65"/>
            <x v="68"/>
            <x v="72"/>
            <x v="75"/>
          </reference>
        </references>
      </pivotArea>
    </format>
  </formats>
  <conditionalFormats count="2"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B02522-7B8D-4020-955C-FB11486FE6DE}" name="TablaDinámica3" cacheId="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35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x="3"/>
        <item h="1" x="2"/>
        <item h="1" x="0"/>
        <item h="1" x="1"/>
        <item t="default"/>
      </items>
    </pivotField>
    <pivotField axis="axisRow" showAll="0" sortType="descending">
      <items count="83">
        <item m="1" x="81"/>
        <item x="0"/>
        <item x="6"/>
        <item x="2"/>
        <item x="4"/>
        <item x="1"/>
        <item x="5"/>
        <item x="7"/>
        <item x="3"/>
        <item x="8"/>
        <item x="12"/>
        <item x="15"/>
        <item x="11"/>
        <item x="13"/>
        <item x="19"/>
        <item x="16"/>
        <item x="14"/>
        <item x="17"/>
        <item x="18"/>
        <item x="21"/>
        <item x="23"/>
        <item x="26"/>
        <item x="25"/>
        <item x="29"/>
        <item x="24"/>
        <item x="27"/>
        <item x="22"/>
        <item x="28"/>
        <item x="30"/>
        <item x="31"/>
        <item x="33"/>
        <item x="34"/>
        <item x="32"/>
        <item x="35"/>
        <item x="36"/>
        <item x="37"/>
        <item x="39"/>
        <item x="43"/>
        <item x="46"/>
        <item x="48"/>
        <item x="40"/>
        <item x="42"/>
        <item x="41"/>
        <item x="45"/>
        <item x="47"/>
        <item x="44"/>
        <item x="50"/>
        <item x="51"/>
        <item x="56"/>
        <item x="53"/>
        <item x="62"/>
        <item x="64"/>
        <item x="60"/>
        <item x="61"/>
        <item x="63"/>
        <item x="66"/>
        <item x="70"/>
        <item x="65"/>
        <item x="68"/>
        <item x="74"/>
        <item x="72"/>
        <item x="71"/>
        <item x="73"/>
        <item x="77"/>
        <item x="75"/>
        <item x="76"/>
        <item x="79"/>
        <item x="20"/>
        <item x="38"/>
        <item x="67"/>
        <item x="10"/>
        <item x="69"/>
        <item x="49"/>
        <item x="80"/>
        <item x="78"/>
        <item x="52"/>
        <item x="54"/>
        <item x="55"/>
        <item x="57"/>
        <item x="58"/>
        <item x="59"/>
        <item x="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28">
    <i>
      <x v="69"/>
    </i>
    <i>
      <x v="9"/>
    </i>
    <i>
      <x v="22"/>
    </i>
    <i>
      <x v="18"/>
    </i>
    <i>
      <x v="21"/>
    </i>
    <i>
      <x v="39"/>
    </i>
    <i>
      <x v="76"/>
    </i>
    <i>
      <x v="25"/>
    </i>
    <i>
      <x v="14"/>
    </i>
    <i>
      <x v="58"/>
    </i>
    <i>
      <x v="77"/>
    </i>
    <i>
      <x v="74"/>
    </i>
    <i>
      <x v="48"/>
    </i>
    <i>
      <x v="71"/>
    </i>
    <i>
      <x v="34"/>
    </i>
    <i>
      <x v="66"/>
    </i>
    <i>
      <x v="81"/>
    </i>
    <i>
      <x v="27"/>
    </i>
    <i>
      <x v="78"/>
    </i>
    <i>
      <x v="23"/>
    </i>
    <i>
      <x v="67"/>
    </i>
    <i>
      <x v="35"/>
    </i>
    <i>
      <x v="56"/>
    </i>
    <i>
      <x v="73"/>
    </i>
    <i>
      <x v="79"/>
    </i>
    <i>
      <x v="80"/>
    </i>
    <i>
      <x v="68"/>
    </i>
    <i>
      <x v="72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147">
      <pivotArea outline="0" collapsedLevelsAreSubtotals="1" fieldPosition="0"/>
    </format>
    <format dxfId="146">
      <pivotArea type="origin" dataOnly="0" labelOnly="1" outline="0" fieldPosition="0"/>
    </format>
    <format dxfId="145">
      <pivotArea field="2" type="button" dataOnly="0" labelOnly="1" outline="0" axis="axisCol" fieldPosition="0"/>
    </format>
    <format dxfId="144">
      <pivotArea field="3" type="button" dataOnly="0" labelOnly="1" outline="0" axis="axisRow" fieldPosition="0"/>
    </format>
    <format dxfId="143">
      <pivotArea dataOnly="0" labelOnly="1" fieldPosition="0">
        <references count="1">
          <reference field="2" count="0"/>
        </references>
      </pivotArea>
    </format>
  </formats>
  <conditionalFormats count="2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634C3-5DDA-412B-98FE-36E407B0009F}" name="TablaDinámica2" cacheId="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19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h="1" x="2"/>
        <item x="0"/>
        <item h="1" x="1"/>
        <item t="default"/>
      </items>
    </pivotField>
    <pivotField axis="axisRow" showAll="0" sortType="descending">
      <items count="83">
        <item m="1" x="81"/>
        <item x="0"/>
        <item x="6"/>
        <item x="2"/>
        <item x="4"/>
        <item x="1"/>
        <item x="5"/>
        <item x="7"/>
        <item x="3"/>
        <item x="8"/>
        <item x="12"/>
        <item x="15"/>
        <item x="11"/>
        <item x="13"/>
        <item x="19"/>
        <item x="16"/>
        <item x="14"/>
        <item x="17"/>
        <item x="18"/>
        <item x="21"/>
        <item x="23"/>
        <item x="26"/>
        <item x="25"/>
        <item x="29"/>
        <item x="24"/>
        <item x="27"/>
        <item x="22"/>
        <item x="28"/>
        <item x="30"/>
        <item x="31"/>
        <item x="33"/>
        <item x="34"/>
        <item x="32"/>
        <item x="35"/>
        <item x="36"/>
        <item x="37"/>
        <item x="39"/>
        <item x="43"/>
        <item x="46"/>
        <item x="48"/>
        <item x="40"/>
        <item x="42"/>
        <item x="41"/>
        <item x="45"/>
        <item x="47"/>
        <item x="44"/>
        <item x="50"/>
        <item x="51"/>
        <item x="56"/>
        <item x="53"/>
        <item x="62"/>
        <item x="64"/>
        <item x="60"/>
        <item x="61"/>
        <item x="63"/>
        <item x="66"/>
        <item x="70"/>
        <item x="65"/>
        <item x="68"/>
        <item x="74"/>
        <item x="72"/>
        <item x="71"/>
        <item x="73"/>
        <item x="77"/>
        <item x="75"/>
        <item x="76"/>
        <item x="79"/>
        <item x="20"/>
        <item x="38"/>
        <item x="67"/>
        <item x="10"/>
        <item x="69"/>
        <item x="49"/>
        <item x="80"/>
        <item x="78"/>
        <item x="52"/>
        <item x="54"/>
        <item x="55"/>
        <item x="57"/>
        <item x="58"/>
        <item x="59"/>
        <item x="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12">
    <i>
      <x v="36"/>
    </i>
    <i>
      <x v="40"/>
    </i>
    <i>
      <x v="42"/>
    </i>
    <i>
      <x v="12"/>
    </i>
    <i>
      <x v="46"/>
    </i>
    <i>
      <x v="10"/>
    </i>
    <i>
      <x v="1"/>
    </i>
    <i>
      <x v="41"/>
    </i>
    <i>
      <x v="5"/>
    </i>
    <i>
      <x v="13"/>
    </i>
    <i>
      <x v="47"/>
    </i>
    <i>
      <x v="37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152">
      <pivotArea type="origin" dataOnly="0" labelOnly="1" outline="0" fieldPosition="0"/>
    </format>
    <format dxfId="151">
      <pivotArea field="2" type="button" dataOnly="0" labelOnly="1" outline="0" axis="axisCol" fieldPosition="0"/>
    </format>
    <format dxfId="150">
      <pivotArea field="3" type="button" dataOnly="0" labelOnly="1" outline="0" axis="axisRow" fieldPosition="0"/>
    </format>
    <format dxfId="149">
      <pivotArea dataOnly="0" labelOnly="1" fieldPosition="0">
        <references count="1">
          <reference field="2" count="0"/>
        </references>
      </pivotArea>
    </format>
    <format dxfId="148">
      <pivotArea outline="0" collapsedLevelsAreSubtotals="1" fieldPosition="0"/>
    </format>
  </formats>
  <conditionalFormats count="2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5E72C7-B526-49A7-8571-35263E0893FC}" name="TablaDinámica1" cacheId="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26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h="1" x="2"/>
        <item h="1" x="0"/>
        <item x="1"/>
        <item t="default"/>
      </items>
    </pivotField>
    <pivotField axis="axisRow" showAll="0" sortType="descending">
      <items count="83">
        <item m="1" x="81"/>
        <item x="0"/>
        <item x="6"/>
        <item x="2"/>
        <item x="4"/>
        <item x="1"/>
        <item x="5"/>
        <item x="7"/>
        <item x="3"/>
        <item x="8"/>
        <item x="12"/>
        <item x="15"/>
        <item x="11"/>
        <item x="13"/>
        <item x="19"/>
        <item x="16"/>
        <item x="14"/>
        <item x="17"/>
        <item x="18"/>
        <item x="21"/>
        <item x="23"/>
        <item x="26"/>
        <item x="25"/>
        <item x="29"/>
        <item x="24"/>
        <item x="27"/>
        <item x="22"/>
        <item x="28"/>
        <item x="30"/>
        <item x="31"/>
        <item x="33"/>
        <item x="34"/>
        <item x="32"/>
        <item x="35"/>
        <item x="36"/>
        <item x="37"/>
        <item x="39"/>
        <item x="43"/>
        <item x="46"/>
        <item x="48"/>
        <item x="40"/>
        <item x="42"/>
        <item x="41"/>
        <item x="45"/>
        <item x="47"/>
        <item x="44"/>
        <item x="50"/>
        <item x="51"/>
        <item x="56"/>
        <item x="53"/>
        <item x="62"/>
        <item x="64"/>
        <item x="60"/>
        <item x="61"/>
        <item x="63"/>
        <item x="66"/>
        <item x="70"/>
        <item x="65"/>
        <item x="68"/>
        <item x="74"/>
        <item x="72"/>
        <item x="71"/>
        <item x="73"/>
        <item x="77"/>
        <item x="75"/>
        <item x="76"/>
        <item x="79"/>
        <item x="20"/>
        <item x="38"/>
        <item x="67"/>
        <item x="10"/>
        <item x="69"/>
        <item x="49"/>
        <item x="80"/>
        <item x="78"/>
        <item x="52"/>
        <item x="54"/>
        <item x="55"/>
        <item x="57"/>
        <item x="58"/>
        <item x="59"/>
        <item x="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19">
    <i>
      <x v="61"/>
    </i>
    <i>
      <x v="19"/>
    </i>
    <i>
      <x v="3"/>
    </i>
    <i>
      <x v="52"/>
    </i>
    <i>
      <x v="16"/>
    </i>
    <i>
      <x v="53"/>
    </i>
    <i>
      <x v="50"/>
    </i>
    <i>
      <x v="11"/>
    </i>
    <i>
      <x v="8"/>
    </i>
    <i>
      <x v="4"/>
    </i>
    <i>
      <x v="54"/>
    </i>
    <i>
      <x v="60"/>
    </i>
    <i>
      <x v="15"/>
    </i>
    <i>
      <x v="6"/>
    </i>
    <i>
      <x v="62"/>
    </i>
    <i>
      <x v="28"/>
    </i>
    <i>
      <x v="2"/>
    </i>
    <i>
      <x v="51"/>
    </i>
    <i>
      <x v="75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157">
      <pivotArea outline="0" collapsedLevelsAreSubtotals="1" fieldPosition="0"/>
    </format>
    <format dxfId="156">
      <pivotArea type="origin" dataOnly="0" labelOnly="1" outline="0" fieldPosition="0"/>
    </format>
    <format dxfId="155">
      <pivotArea field="2" type="button" dataOnly="0" labelOnly="1" outline="0" axis="axisCol" fieldPosition="0"/>
    </format>
    <format dxfId="154">
      <pivotArea field="3" type="button" dataOnly="0" labelOnly="1" outline="0" axis="axisRow" fieldPosition="0"/>
    </format>
    <format dxfId="153">
      <pivotArea dataOnly="0" labelOnly="1" fieldPosition="0">
        <references count="1">
          <reference field="2" count="0"/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280E83-820F-4DB1-BD07-3B506F07F56B}" name="TablaDinámica4" cacheId="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28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x="2"/>
        <item h="1" x="0"/>
        <item h="1" x="1"/>
        <item t="default"/>
      </items>
    </pivotField>
    <pivotField axis="axisRow" showAll="0" sortType="descending">
      <items count="83">
        <item m="1" x="81"/>
        <item x="0"/>
        <item x="6"/>
        <item x="2"/>
        <item x="4"/>
        <item x="1"/>
        <item x="5"/>
        <item x="7"/>
        <item x="3"/>
        <item x="8"/>
        <item x="12"/>
        <item x="15"/>
        <item x="11"/>
        <item x="13"/>
        <item x="19"/>
        <item x="16"/>
        <item x="14"/>
        <item x="17"/>
        <item x="18"/>
        <item x="21"/>
        <item x="23"/>
        <item x="26"/>
        <item x="25"/>
        <item x="29"/>
        <item x="24"/>
        <item x="27"/>
        <item x="22"/>
        <item x="28"/>
        <item x="30"/>
        <item x="31"/>
        <item x="33"/>
        <item x="34"/>
        <item x="32"/>
        <item x="35"/>
        <item x="36"/>
        <item x="37"/>
        <item x="39"/>
        <item x="43"/>
        <item x="46"/>
        <item x="48"/>
        <item x="40"/>
        <item x="42"/>
        <item x="41"/>
        <item x="45"/>
        <item x="47"/>
        <item x="44"/>
        <item x="50"/>
        <item x="51"/>
        <item x="56"/>
        <item x="53"/>
        <item x="62"/>
        <item x="64"/>
        <item x="60"/>
        <item x="61"/>
        <item x="63"/>
        <item x="66"/>
        <item x="70"/>
        <item x="65"/>
        <item x="68"/>
        <item x="74"/>
        <item x="72"/>
        <item x="71"/>
        <item x="73"/>
        <item x="77"/>
        <item x="75"/>
        <item x="76"/>
        <item x="79"/>
        <item x="20"/>
        <item x="38"/>
        <item x="67"/>
        <item x="10"/>
        <item x="69"/>
        <item x="49"/>
        <item x="80"/>
        <item x="78"/>
        <item x="52"/>
        <item x="54"/>
        <item x="55"/>
        <item x="57"/>
        <item x="58"/>
        <item x="59"/>
        <item x="9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21">
    <i>
      <x v="29"/>
    </i>
    <i>
      <x v="57"/>
    </i>
    <i>
      <x v="26"/>
    </i>
    <i>
      <x v="59"/>
    </i>
    <i>
      <x v="32"/>
    </i>
    <i>
      <x v="20"/>
    </i>
    <i>
      <x v="45"/>
    </i>
    <i>
      <x v="55"/>
    </i>
    <i>
      <x v="30"/>
    </i>
    <i>
      <x v="24"/>
    </i>
    <i>
      <x v="17"/>
    </i>
    <i>
      <x v="31"/>
    </i>
    <i>
      <x v="43"/>
    </i>
    <i>
      <x v="38"/>
    </i>
    <i>
      <x v="64"/>
    </i>
    <i>
      <x v="44"/>
    </i>
    <i>
      <x v="7"/>
    </i>
    <i>
      <x v="65"/>
    </i>
    <i>
      <x v="49"/>
    </i>
    <i>
      <x v="63"/>
    </i>
    <i>
      <x v="33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162">
      <pivotArea outline="0" collapsedLevelsAreSubtotals="1" fieldPosition="0"/>
    </format>
    <format dxfId="161">
      <pivotArea type="origin" dataOnly="0" labelOnly="1" outline="0" fieldPosition="0"/>
    </format>
    <format dxfId="160">
      <pivotArea field="2" type="button" dataOnly="0" labelOnly="1" outline="0" axis="axisCol" fieldPosition="0"/>
    </format>
    <format dxfId="159">
      <pivotArea field="3" type="button" dataOnly="0" labelOnly="1" outline="0" axis="axisRow" fieldPosition="0"/>
    </format>
    <format dxfId="158">
      <pivotArea dataOnly="0" labelOnly="1" fieldPosition="0">
        <references count="1">
          <reference field="2" count="0"/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AA94E9-40E1-4057-B6AE-C767FBC6B08C}" name="TablaDinámica23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10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0"/>
        <item h="1" x="2"/>
        <item x="3"/>
        <item h="1" x="1"/>
        <item t="default"/>
      </items>
    </pivotField>
    <pivotField axis="axisRow" showAll="0" sortType="descending">
      <items count="78">
        <item x="32"/>
        <item x="63"/>
        <item x="43"/>
        <item x="68"/>
        <item x="44"/>
        <item x="60"/>
        <item x="57"/>
        <item x="61"/>
        <item x="52"/>
        <item x="46"/>
        <item x="37"/>
        <item x="29"/>
        <item x="66"/>
        <item x="35"/>
        <item x="34"/>
        <item x="67"/>
        <item x="54"/>
        <item x="49"/>
        <item x="50"/>
        <item x="26"/>
        <item x="59"/>
        <item x="74"/>
        <item x="31"/>
        <item x="3"/>
        <item x="27"/>
        <item x="47"/>
        <item x="42"/>
        <item x="36"/>
        <item x="62"/>
        <item x="72"/>
        <item x="45"/>
        <item x="5"/>
        <item x="53"/>
        <item x="55"/>
        <item x="11"/>
        <item x="38"/>
        <item x="19"/>
        <item x="15"/>
        <item x="28"/>
        <item x="51"/>
        <item x="16"/>
        <item x="75"/>
        <item x="56"/>
        <item x="40"/>
        <item x="17"/>
        <item x="69"/>
        <item x="23"/>
        <item x="4"/>
        <item x="9"/>
        <item x="30"/>
        <item x="48"/>
        <item x="1"/>
        <item x="12"/>
        <item x="14"/>
        <item x="33"/>
        <item x="39"/>
        <item x="20"/>
        <item x="21"/>
        <item x="76"/>
        <item x="13"/>
        <item x="0"/>
        <item x="71"/>
        <item x="58"/>
        <item x="8"/>
        <item x="18"/>
        <item x="10"/>
        <item x="41"/>
        <item x="2"/>
        <item x="73"/>
        <item x="25"/>
        <item x="64"/>
        <item x="22"/>
        <item x="70"/>
        <item x="7"/>
        <item x="6"/>
        <item x="24"/>
        <item x="6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3">
    <i>
      <x v="42"/>
    </i>
    <i>
      <x v="9"/>
    </i>
    <i>
      <x v="36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97">
      <pivotArea type="origin" dataOnly="0" labelOnly="1" outline="0" fieldPosition="0"/>
    </format>
    <format dxfId="96">
      <pivotArea field="2" type="button" dataOnly="0" labelOnly="1" outline="0" axis="axisCol" fieldPosition="0"/>
    </format>
    <format dxfId="95">
      <pivotArea field="3" type="button" dataOnly="0" labelOnly="1" outline="0" axis="axisRow" fieldPosition="0"/>
    </format>
    <format dxfId="94">
      <pivotArea dataOnly="0" labelOnly="1" fieldPosition="0">
        <references count="1">
          <reference field="2" count="0"/>
        </references>
      </pivotArea>
    </format>
    <format dxfId="93">
      <pivotArea outline="0" collapsedLevelsAreSubtotals="1" fieldPosition="0"/>
    </format>
  </formats>
  <conditionalFormats count="2">
    <conditionalFormat priority="2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D8C12-0502-494B-ABF7-596CA7B10FB2}" name="TablaDinámica22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63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x="0"/>
        <item h="1" x="2"/>
        <item h="1" x="3"/>
        <item h="1" x="1"/>
        <item t="default"/>
      </items>
    </pivotField>
    <pivotField axis="axisRow" showAll="0" sortType="descending">
      <items count="78">
        <item x="32"/>
        <item x="63"/>
        <item x="43"/>
        <item x="68"/>
        <item x="44"/>
        <item x="60"/>
        <item x="57"/>
        <item x="61"/>
        <item x="52"/>
        <item x="46"/>
        <item x="37"/>
        <item x="29"/>
        <item x="66"/>
        <item x="35"/>
        <item x="34"/>
        <item x="67"/>
        <item x="54"/>
        <item x="49"/>
        <item x="50"/>
        <item x="26"/>
        <item x="59"/>
        <item x="74"/>
        <item x="31"/>
        <item x="3"/>
        <item x="27"/>
        <item x="47"/>
        <item x="42"/>
        <item x="36"/>
        <item x="62"/>
        <item x="72"/>
        <item x="45"/>
        <item x="5"/>
        <item x="53"/>
        <item x="55"/>
        <item x="11"/>
        <item x="38"/>
        <item x="19"/>
        <item x="15"/>
        <item x="28"/>
        <item x="51"/>
        <item x="16"/>
        <item x="75"/>
        <item x="56"/>
        <item x="40"/>
        <item x="17"/>
        <item x="69"/>
        <item x="23"/>
        <item x="4"/>
        <item x="9"/>
        <item x="30"/>
        <item x="48"/>
        <item x="1"/>
        <item x="12"/>
        <item x="14"/>
        <item x="33"/>
        <item x="39"/>
        <item x="20"/>
        <item x="21"/>
        <item x="76"/>
        <item x="13"/>
        <item x="0"/>
        <item x="71"/>
        <item x="58"/>
        <item x="8"/>
        <item x="18"/>
        <item x="10"/>
        <item x="41"/>
        <item x="2"/>
        <item x="73"/>
        <item x="25"/>
        <item x="64"/>
        <item x="22"/>
        <item x="70"/>
        <item x="7"/>
        <item x="6"/>
        <item x="24"/>
        <item x="6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56">
    <i>
      <x v="26"/>
    </i>
    <i>
      <x v="22"/>
    </i>
    <i>
      <x v="10"/>
    </i>
    <i>
      <x v="2"/>
    </i>
    <i>
      <x v="60"/>
    </i>
    <i>
      <x v="13"/>
    </i>
    <i>
      <x v="72"/>
    </i>
    <i>
      <x v="54"/>
    </i>
    <i>
      <x v="56"/>
    </i>
    <i>
      <x v="63"/>
    </i>
    <i>
      <x v="12"/>
    </i>
    <i>
      <x v="75"/>
    </i>
    <i>
      <x v="44"/>
    </i>
    <i>
      <x v="14"/>
    </i>
    <i>
      <x v="23"/>
    </i>
    <i>
      <x v="61"/>
    </i>
    <i>
      <x v="28"/>
    </i>
    <i>
      <x v="11"/>
    </i>
    <i>
      <x v="43"/>
    </i>
    <i>
      <x v="34"/>
    </i>
    <i>
      <x v="59"/>
    </i>
    <i>
      <x v="53"/>
    </i>
    <i>
      <x v="45"/>
    </i>
    <i>
      <x v="15"/>
    </i>
    <i>
      <x v="38"/>
    </i>
    <i>
      <x v="57"/>
    </i>
    <i>
      <x v="74"/>
    </i>
    <i>
      <x v="66"/>
    </i>
    <i>
      <x v="70"/>
    </i>
    <i>
      <x v="65"/>
    </i>
    <i>
      <x v="24"/>
    </i>
    <i>
      <x v="6"/>
    </i>
    <i>
      <x v="64"/>
    </i>
    <i>
      <x v="17"/>
    </i>
    <i>
      <x v="8"/>
    </i>
    <i>
      <x v="46"/>
    </i>
    <i>
      <x v="20"/>
    </i>
    <i>
      <x v="76"/>
    </i>
    <i>
      <x v="58"/>
    </i>
    <i>
      <x v="16"/>
    </i>
    <i>
      <x v="18"/>
    </i>
    <i>
      <x v="27"/>
    </i>
    <i>
      <x v="50"/>
    </i>
    <i>
      <x v="35"/>
    </i>
    <i>
      <x v="19"/>
    </i>
    <i>
      <x v="37"/>
    </i>
    <i>
      <x v="73"/>
    </i>
    <i>
      <x v="39"/>
    </i>
    <i>
      <x v="21"/>
    </i>
    <i>
      <x v="40"/>
    </i>
    <i>
      <x v="49"/>
    </i>
    <i>
      <x v="68"/>
    </i>
    <i>
      <x v="55"/>
    </i>
    <i>
      <x v="48"/>
    </i>
    <i>
      <x v="47"/>
    </i>
    <i>
      <x v="33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102">
      <pivotArea outline="0" collapsedLevelsAreSubtotals="1" fieldPosition="0"/>
    </format>
    <format dxfId="101">
      <pivotArea type="origin" dataOnly="0" labelOnly="1" outline="0" fieldPosition="0"/>
    </format>
    <format dxfId="100">
      <pivotArea field="2" type="button" dataOnly="0" labelOnly="1" outline="0" axis="axisCol" fieldPosition="0"/>
    </format>
    <format dxfId="99">
      <pivotArea field="3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</formats>
  <conditionalFormats count="2">
    <conditionalFormat priority="1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E81D9-9692-41AC-9ABF-E1E00304E140}" name="TablaDinámica21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21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0"/>
        <item x="2"/>
        <item h="1" x="3"/>
        <item h="1" x="1"/>
        <item t="default"/>
      </items>
    </pivotField>
    <pivotField axis="axisRow" showAll="0" sortType="descending">
      <items count="78">
        <item x="32"/>
        <item x="63"/>
        <item x="43"/>
        <item x="68"/>
        <item x="44"/>
        <item x="60"/>
        <item x="57"/>
        <item x="61"/>
        <item x="52"/>
        <item x="46"/>
        <item x="37"/>
        <item x="29"/>
        <item x="66"/>
        <item x="35"/>
        <item x="34"/>
        <item x="67"/>
        <item x="54"/>
        <item x="49"/>
        <item x="50"/>
        <item x="26"/>
        <item x="59"/>
        <item x="74"/>
        <item x="31"/>
        <item x="3"/>
        <item x="27"/>
        <item x="47"/>
        <item x="42"/>
        <item x="36"/>
        <item x="62"/>
        <item x="72"/>
        <item x="45"/>
        <item x="5"/>
        <item x="53"/>
        <item x="55"/>
        <item x="11"/>
        <item x="38"/>
        <item x="19"/>
        <item x="15"/>
        <item x="28"/>
        <item x="51"/>
        <item x="16"/>
        <item x="75"/>
        <item x="56"/>
        <item x="40"/>
        <item x="17"/>
        <item x="69"/>
        <item x="23"/>
        <item x="4"/>
        <item x="9"/>
        <item x="30"/>
        <item x="48"/>
        <item x="1"/>
        <item x="12"/>
        <item x="14"/>
        <item x="33"/>
        <item x="39"/>
        <item x="20"/>
        <item x="21"/>
        <item x="76"/>
        <item x="13"/>
        <item x="0"/>
        <item x="71"/>
        <item x="58"/>
        <item x="8"/>
        <item x="18"/>
        <item x="10"/>
        <item x="41"/>
        <item x="2"/>
        <item x="73"/>
        <item x="25"/>
        <item x="64"/>
        <item x="22"/>
        <item x="70"/>
        <item x="7"/>
        <item x="6"/>
        <item x="24"/>
        <item x="6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14">
    <i>
      <x v="62"/>
    </i>
    <i>
      <x v="7"/>
    </i>
    <i>
      <x v="32"/>
    </i>
    <i>
      <x v="4"/>
    </i>
    <i>
      <x v="69"/>
    </i>
    <i>
      <x v="1"/>
    </i>
    <i>
      <x v="30"/>
    </i>
    <i>
      <x v="29"/>
    </i>
    <i>
      <x v="52"/>
    </i>
    <i>
      <x v="3"/>
    </i>
    <i>
      <x v="67"/>
    </i>
    <i>
      <x v="31"/>
    </i>
    <i>
      <x v="41"/>
    </i>
    <i>
      <x v="25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2" type="button" dataOnly="0" labelOnly="1" outline="0" axis="axisCol" fieldPosition="0"/>
    </format>
    <format dxfId="104">
      <pivotArea field="3" type="button" dataOnly="0" labelOnly="1" outline="0" axis="axisRow" fieldPosition="0"/>
    </format>
    <format dxfId="103">
      <pivotArea dataOnly="0" labelOnly="1" fieldPosition="0">
        <references count="1">
          <reference field="2" count="0"/>
        </references>
      </pivotArea>
    </format>
  </formats>
  <conditionalFormats count="1">
    <conditionalFormat priority="20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891C2A-EC1B-4878-9DFE-0036137334BD}" name="TablaDinámica20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9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0"/>
        <item h="1" x="2"/>
        <item h="1" x="3"/>
        <item x="1"/>
        <item t="default"/>
      </items>
    </pivotField>
    <pivotField axis="axisRow" showAll="0" sortType="descending">
      <items count="78">
        <item x="32"/>
        <item x="63"/>
        <item x="43"/>
        <item x="68"/>
        <item x="44"/>
        <item x="60"/>
        <item x="57"/>
        <item x="61"/>
        <item x="52"/>
        <item x="46"/>
        <item x="37"/>
        <item x="29"/>
        <item x="66"/>
        <item x="35"/>
        <item x="34"/>
        <item x="67"/>
        <item x="54"/>
        <item x="49"/>
        <item x="50"/>
        <item x="26"/>
        <item x="59"/>
        <item x="74"/>
        <item x="31"/>
        <item x="3"/>
        <item x="27"/>
        <item x="47"/>
        <item x="42"/>
        <item x="36"/>
        <item x="62"/>
        <item x="72"/>
        <item x="45"/>
        <item x="5"/>
        <item x="53"/>
        <item x="55"/>
        <item x="11"/>
        <item x="38"/>
        <item x="19"/>
        <item x="15"/>
        <item x="28"/>
        <item x="51"/>
        <item x="16"/>
        <item x="75"/>
        <item x="56"/>
        <item x="40"/>
        <item x="17"/>
        <item x="69"/>
        <item x="23"/>
        <item x="4"/>
        <item x="9"/>
        <item x="30"/>
        <item x="48"/>
        <item x="1"/>
        <item x="12"/>
        <item x="14"/>
        <item x="33"/>
        <item x="39"/>
        <item x="20"/>
        <item x="21"/>
        <item x="76"/>
        <item x="13"/>
        <item x="0"/>
        <item x="71"/>
        <item x="58"/>
        <item x="8"/>
        <item x="18"/>
        <item x="10"/>
        <item x="41"/>
        <item x="2"/>
        <item x="73"/>
        <item x="25"/>
        <item x="64"/>
        <item x="22"/>
        <item x="70"/>
        <item x="7"/>
        <item x="6"/>
        <item x="24"/>
        <item x="65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2">
    <i>
      <x v="5"/>
    </i>
    <i>
      <x v="51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112">
      <pivotArea outline="0" collapsedLevelsAreSubtotals="1" fieldPosition="0"/>
    </format>
    <format dxfId="111">
      <pivotArea type="origin" dataOnly="0" labelOnly="1" outline="0" fieldPosition="0"/>
    </format>
    <format dxfId="110">
      <pivotArea field="2" type="button" dataOnly="0" labelOnly="1" outline="0" axis="axisCol" fieldPosition="0"/>
    </format>
    <format dxfId="109">
      <pivotArea field="3" type="button" dataOnly="0" labelOnly="1" outline="0" axis="axisRow" fieldPosition="0"/>
    </format>
    <format dxfId="108">
      <pivotArea dataOnly="0" labelOnly="1" fieldPosition="0">
        <references count="1">
          <reference field="2" count="0"/>
        </references>
      </pivotArea>
    </format>
  </formats>
  <conditionalFormats count="1">
    <conditionalFormat priority="2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169C30-0C3F-48B1-AD76-FEC1EADB3489}" name="TablaDinámica3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25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x="2"/>
        <item h="1" x="0"/>
        <item h="1" x="1"/>
        <item t="default"/>
      </items>
    </pivotField>
    <pivotField axis="axisRow" showAll="0" sortType="descending">
      <items count="72">
        <item x="10"/>
        <item x="55"/>
        <item x="39"/>
        <item x="65"/>
        <item x="38"/>
        <item x="56"/>
        <item x="47"/>
        <item x="48"/>
        <item x="33"/>
        <item x="21"/>
        <item x="29"/>
        <item x="30"/>
        <item x="59"/>
        <item x="49"/>
        <item x="46"/>
        <item x="45"/>
        <item x="28"/>
        <item x="53"/>
        <item x="61"/>
        <item x="23"/>
        <item x="57"/>
        <item x="43"/>
        <item x="37"/>
        <item x="36"/>
        <item x="63"/>
        <item x="44"/>
        <item x="3"/>
        <item x="52"/>
        <item x="51"/>
        <item x="6"/>
        <item x="31"/>
        <item x="15"/>
        <item x="25"/>
        <item x="50"/>
        <item x="11"/>
        <item x="62"/>
        <item x="35"/>
        <item x="58"/>
        <item x="70"/>
        <item x="16"/>
        <item x="4"/>
        <item x="7"/>
        <item x="24"/>
        <item x="42"/>
        <item x="1"/>
        <item x="20"/>
        <item x="34"/>
        <item x="32"/>
        <item x="8"/>
        <item x="12"/>
        <item x="69"/>
        <item x="14"/>
        <item x="5"/>
        <item x="66"/>
        <item x="54"/>
        <item x="19"/>
        <item x="41"/>
        <item x="2"/>
        <item x="68"/>
        <item x="22"/>
        <item x="18"/>
        <item x="67"/>
        <item x="9"/>
        <item x="26"/>
        <item x="17"/>
        <item x="0"/>
        <item x="13"/>
        <item x="27"/>
        <item x="40"/>
        <item x="60"/>
        <item x="64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18">
    <i>
      <x v="41"/>
    </i>
    <i>
      <x v="51"/>
    </i>
    <i>
      <x v="61"/>
    </i>
    <i>
      <x v="37"/>
    </i>
    <i>
      <x v="46"/>
    </i>
    <i>
      <x v="14"/>
    </i>
    <i>
      <x v="31"/>
    </i>
    <i>
      <x v="6"/>
    </i>
    <i>
      <x v="39"/>
    </i>
    <i>
      <x v="12"/>
    </i>
    <i>
      <x v="7"/>
    </i>
    <i>
      <x v="48"/>
    </i>
    <i>
      <x v="13"/>
    </i>
    <i>
      <x v="64"/>
    </i>
    <i>
      <x v="67"/>
    </i>
    <i>
      <x v="60"/>
    </i>
    <i>
      <x v="55"/>
    </i>
    <i>
      <x v="45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2" type="button" dataOnly="0" labelOnly="1" outline="0" axis="axisCol" fieldPosition="0"/>
    </format>
    <format dxfId="48">
      <pivotArea field="3" type="button" dataOnly="0" labelOnly="1" outline="0" axis="axisRow" fieldPosition="0"/>
    </format>
    <format dxfId="47">
      <pivotArea dataOnly="0" labelOnly="1" fieldPosition="0">
        <references count="1">
          <reference field="2" count="0"/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0E8F01-F51F-4E32-AA3C-B0027139D8D4}" name="TablaDinámica2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27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h="1" x="2"/>
        <item h="1" x="0"/>
        <item x="1"/>
        <item t="default"/>
      </items>
    </pivotField>
    <pivotField axis="axisRow" showAll="0" sortType="descending">
      <items count="72">
        <item x="10"/>
        <item x="55"/>
        <item x="39"/>
        <item x="65"/>
        <item x="38"/>
        <item x="56"/>
        <item x="47"/>
        <item x="48"/>
        <item x="33"/>
        <item x="21"/>
        <item x="29"/>
        <item x="30"/>
        <item x="59"/>
        <item x="49"/>
        <item x="46"/>
        <item x="45"/>
        <item x="28"/>
        <item x="53"/>
        <item x="61"/>
        <item x="23"/>
        <item x="57"/>
        <item x="43"/>
        <item x="37"/>
        <item x="36"/>
        <item x="63"/>
        <item x="44"/>
        <item x="3"/>
        <item x="52"/>
        <item x="51"/>
        <item x="6"/>
        <item x="31"/>
        <item x="15"/>
        <item x="25"/>
        <item x="50"/>
        <item x="11"/>
        <item x="62"/>
        <item x="35"/>
        <item x="58"/>
        <item x="70"/>
        <item x="16"/>
        <item x="4"/>
        <item x="7"/>
        <item x="24"/>
        <item x="42"/>
        <item x="1"/>
        <item x="20"/>
        <item x="34"/>
        <item x="32"/>
        <item x="8"/>
        <item x="12"/>
        <item x="69"/>
        <item x="14"/>
        <item x="5"/>
        <item x="66"/>
        <item x="54"/>
        <item x="19"/>
        <item x="41"/>
        <item x="2"/>
        <item x="68"/>
        <item x="22"/>
        <item x="18"/>
        <item x="67"/>
        <item x="9"/>
        <item x="26"/>
        <item x="17"/>
        <item x="0"/>
        <item x="13"/>
        <item x="27"/>
        <item x="40"/>
        <item x="60"/>
        <item x="64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20">
    <i>
      <x v="59"/>
    </i>
    <i>
      <x v="42"/>
    </i>
    <i>
      <x v="2"/>
    </i>
    <i>
      <x v="32"/>
    </i>
    <i>
      <x v="19"/>
    </i>
    <i>
      <x v="11"/>
    </i>
    <i>
      <x v="40"/>
    </i>
    <i>
      <x v="1"/>
    </i>
    <i>
      <x v="30"/>
    </i>
    <i>
      <x v="47"/>
    </i>
    <i>
      <x v="5"/>
    </i>
    <i>
      <x v="63"/>
    </i>
    <i>
      <x v="52"/>
    </i>
    <i>
      <x v="68"/>
    </i>
    <i>
      <x v="8"/>
    </i>
    <i>
      <x v="66"/>
    </i>
    <i>
      <x v="20"/>
    </i>
    <i>
      <x v="29"/>
    </i>
    <i>
      <x v="53"/>
    </i>
    <i>
      <x v="56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56">
      <pivotArea outline="0" collapsedLevelsAreSubtotals="1" fieldPosition="0"/>
    </format>
    <format dxfId="55">
      <pivotArea type="origin" dataOnly="0" labelOnly="1" outline="0" fieldPosition="0"/>
    </format>
    <format dxfId="54">
      <pivotArea field="2" type="button" dataOnly="0" labelOnly="1" outline="0" axis="axisCol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2" count="0"/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231E90-422A-4970-9C9D-97D59DC711EF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25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h="1" x="3"/>
        <item h="1" x="2"/>
        <item x="0"/>
        <item h="1" x="1"/>
        <item t="default"/>
      </items>
    </pivotField>
    <pivotField axis="axisRow" showAll="0" sortType="descending">
      <items count="72">
        <item x="10"/>
        <item x="55"/>
        <item x="39"/>
        <item x="65"/>
        <item x="38"/>
        <item x="56"/>
        <item x="47"/>
        <item x="48"/>
        <item x="33"/>
        <item x="21"/>
        <item x="29"/>
        <item x="30"/>
        <item x="59"/>
        <item x="49"/>
        <item x="46"/>
        <item x="45"/>
        <item x="28"/>
        <item x="53"/>
        <item x="61"/>
        <item x="23"/>
        <item x="57"/>
        <item x="43"/>
        <item x="37"/>
        <item x="36"/>
        <item x="63"/>
        <item x="44"/>
        <item x="3"/>
        <item x="52"/>
        <item x="51"/>
        <item x="6"/>
        <item x="31"/>
        <item x="15"/>
        <item x="25"/>
        <item x="50"/>
        <item x="11"/>
        <item x="62"/>
        <item x="35"/>
        <item x="58"/>
        <item x="70"/>
        <item x="16"/>
        <item x="4"/>
        <item x="7"/>
        <item x="24"/>
        <item x="42"/>
        <item x="1"/>
        <item x="20"/>
        <item x="34"/>
        <item x="32"/>
        <item x="8"/>
        <item x="12"/>
        <item x="69"/>
        <item x="14"/>
        <item x="5"/>
        <item x="66"/>
        <item x="54"/>
        <item x="19"/>
        <item x="41"/>
        <item x="2"/>
        <item x="68"/>
        <item x="22"/>
        <item x="18"/>
        <item x="67"/>
        <item x="9"/>
        <item x="26"/>
        <item x="17"/>
        <item x="0"/>
        <item x="13"/>
        <item x="27"/>
        <item x="40"/>
        <item x="60"/>
        <item x="64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18">
    <i>
      <x v="65"/>
    </i>
    <i>
      <x v="34"/>
    </i>
    <i>
      <x v="22"/>
    </i>
    <i>
      <x v="18"/>
    </i>
    <i>
      <x v="17"/>
    </i>
    <i>
      <x v="10"/>
    </i>
    <i>
      <x v="35"/>
    </i>
    <i>
      <x v="9"/>
    </i>
    <i>
      <x v="15"/>
    </i>
    <i>
      <x v="54"/>
    </i>
    <i>
      <x v="24"/>
    </i>
    <i>
      <x v="49"/>
    </i>
    <i>
      <x v="70"/>
    </i>
    <i>
      <x v="4"/>
    </i>
    <i>
      <x v="44"/>
    </i>
    <i>
      <x v="57"/>
    </i>
    <i>
      <x v="3"/>
    </i>
    <i>
      <x v="26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61">
      <pivotArea type="origin" dataOnly="0" labelOnly="1" outline="0" fieldPosition="0"/>
    </format>
    <format dxfId="60">
      <pivotArea field="2" type="button" dataOnly="0" labelOnly="1" outline="0" axis="axisCol" fieldPosition="0"/>
    </format>
    <format dxfId="59">
      <pivotArea field="3" type="button" dataOnly="0" labelOnly="1" outline="0" axis="axisRow" fieldPosition="0"/>
    </format>
    <format dxfId="58">
      <pivotArea dataOnly="0" labelOnly="1" fieldPosition="0">
        <references count="1">
          <reference field="2" count="0"/>
        </references>
      </pivotArea>
    </format>
    <format dxfId="57">
      <pivotArea outline="0" collapsedLevelsAreSubtotals="1" fieldPosition="0"/>
    </format>
  </formats>
  <conditionalFormats count="2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E7D522-F806-4CE2-9ADB-67DFD86A50F3}" name="TablaDinámica4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21" firstHeaderRow="1" firstDataRow="2" firstDataCol="1"/>
  <pivotFields count="4">
    <pivotField showAll="0"/>
    <pivotField dataField="1" numFmtId="10" showAll="0"/>
    <pivotField axis="axisCol" showAll="0">
      <items count="6">
        <item h="1" x="4"/>
        <item x="3"/>
        <item h="1" x="2"/>
        <item h="1" x="0"/>
        <item h="1" x="1"/>
        <item t="default"/>
      </items>
    </pivotField>
    <pivotField axis="axisRow" showAll="0" sortType="descending">
      <items count="72">
        <item x="10"/>
        <item x="55"/>
        <item x="39"/>
        <item x="65"/>
        <item x="38"/>
        <item x="56"/>
        <item x="47"/>
        <item x="48"/>
        <item x="33"/>
        <item x="21"/>
        <item x="29"/>
        <item x="30"/>
        <item x="59"/>
        <item x="49"/>
        <item x="46"/>
        <item x="45"/>
        <item x="28"/>
        <item x="53"/>
        <item x="61"/>
        <item x="23"/>
        <item x="57"/>
        <item x="43"/>
        <item x="37"/>
        <item x="36"/>
        <item x="63"/>
        <item x="44"/>
        <item x="3"/>
        <item x="52"/>
        <item x="51"/>
        <item x="6"/>
        <item x="31"/>
        <item x="15"/>
        <item x="25"/>
        <item x="50"/>
        <item x="11"/>
        <item x="62"/>
        <item x="35"/>
        <item x="58"/>
        <item x="70"/>
        <item x="16"/>
        <item x="4"/>
        <item x="7"/>
        <item x="24"/>
        <item x="42"/>
        <item x="1"/>
        <item x="20"/>
        <item x="34"/>
        <item x="32"/>
        <item x="8"/>
        <item x="12"/>
        <item x="69"/>
        <item x="14"/>
        <item x="5"/>
        <item x="66"/>
        <item x="54"/>
        <item x="19"/>
        <item x="41"/>
        <item x="2"/>
        <item x="68"/>
        <item x="22"/>
        <item x="18"/>
        <item x="67"/>
        <item x="9"/>
        <item x="26"/>
        <item x="17"/>
        <item x="0"/>
        <item x="13"/>
        <item x="27"/>
        <item x="40"/>
        <item x="60"/>
        <item x="64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14">
    <i>
      <x v="58"/>
    </i>
    <i>
      <x v="36"/>
    </i>
    <i>
      <x v="33"/>
    </i>
    <i>
      <x v="16"/>
    </i>
    <i>
      <x v="62"/>
    </i>
    <i>
      <x v="69"/>
    </i>
    <i>
      <x v="43"/>
    </i>
    <i>
      <x v="50"/>
    </i>
    <i>
      <x v="28"/>
    </i>
    <i>
      <x v="27"/>
    </i>
    <i>
      <x v="21"/>
    </i>
    <i>
      <x v="38"/>
    </i>
    <i>
      <x v="25"/>
    </i>
    <i>
      <x v="23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66">
      <pivotArea outline="0" collapsedLevelsAreSubtotals="1" fieldPosition="0"/>
    </format>
    <format dxfId="65">
      <pivotArea type="origin" dataOnly="0" labelOnly="1" outline="0" fieldPosition="0"/>
    </format>
    <format dxfId="64">
      <pivotArea field="2" type="button" dataOnly="0" labelOnly="1" outline="0" axis="axisCol" fieldPosition="0"/>
    </format>
    <format dxfId="63">
      <pivotArea field="3" type="button" dataOnly="0" labelOnly="1" outline="0" axis="axisRow" fieldPosition="0"/>
    </format>
    <format dxfId="62">
      <pivotArea dataOnly="0" labelOnly="1" fieldPosition="0">
        <references count="1">
          <reference field="2" count="0"/>
        </references>
      </pivotArea>
    </format>
  </formats>
  <conditionalFormats count="2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4CA39C-0F70-4998-82B6-954F049EA844}" name="TablaDinámica4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AA6:AB63" firstHeaderRow="1" firstDataRow="2" firstDataCol="1"/>
  <pivotFields count="4">
    <pivotField showAll="0"/>
    <pivotField dataField="1" numFmtId="10" showAll="0"/>
    <pivotField axis="axisCol" showAll="0">
      <items count="6">
        <item h="1" x="1"/>
        <item x="0"/>
        <item h="1" x="3"/>
        <item h="1" x="2"/>
        <item h="1" x="4"/>
        <item t="default"/>
      </items>
    </pivotField>
    <pivotField axis="axisRow" showAll="0" sortType="descending">
      <items count="90">
        <item x="11"/>
        <item x="4"/>
        <item x="43"/>
        <item x="42"/>
        <item x="6"/>
        <item x="19"/>
        <item x="26"/>
        <item m="1" x="88"/>
        <item x="47"/>
        <item x="10"/>
        <item x="51"/>
        <item x="48"/>
        <item m="1" x="79"/>
        <item x="57"/>
        <item x="27"/>
        <item m="1" x="77"/>
        <item x="15"/>
        <item x="14"/>
        <item x="5"/>
        <item x="49"/>
        <item x="44"/>
        <item x="13"/>
        <item m="1" x="72"/>
        <item x="32"/>
        <item m="1" x="87"/>
        <item x="33"/>
        <item x="22"/>
        <item x="60"/>
        <item x="16"/>
        <item m="1" x="78"/>
        <item x="2"/>
        <item x="31"/>
        <item x="56"/>
        <item x="41"/>
        <item m="1" x="65"/>
        <item x="37"/>
        <item m="1" x="68"/>
        <item m="1" x="80"/>
        <item x="30"/>
        <item x="12"/>
        <item x="17"/>
        <item x="18"/>
        <item x="50"/>
        <item m="1" x="75"/>
        <item x="24"/>
        <item x="45"/>
        <item x="55"/>
        <item m="1" x="64"/>
        <item m="1" x="66"/>
        <item x="23"/>
        <item x="38"/>
        <item x="3"/>
        <item m="1" x="70"/>
        <item m="1" x="86"/>
        <item m="1" x="74"/>
        <item x="35"/>
        <item x="61"/>
        <item x="20"/>
        <item x="40"/>
        <item x="34"/>
        <item x="9"/>
        <item x="58"/>
        <item x="52"/>
        <item m="1" x="84"/>
        <item x="29"/>
        <item x="1"/>
        <item m="1" x="76"/>
        <item x="25"/>
        <item x="39"/>
        <item m="1" x="71"/>
        <item m="1" x="81"/>
        <item x="59"/>
        <item x="36"/>
        <item m="1" x="67"/>
        <item m="1" x="83"/>
        <item m="1" x="73"/>
        <item m="1" x="85"/>
        <item m="1" x="69"/>
        <item x="63"/>
        <item x="0"/>
        <item x="46"/>
        <item x="28"/>
        <item x="53"/>
        <item x="21"/>
        <item m="1" x="82"/>
        <item x="7"/>
        <item x="8"/>
        <item x="54"/>
        <item x="62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autoSortScope>
    </pivotField>
  </pivotFields>
  <rowFields count="1">
    <field x="3"/>
  </rowFields>
  <rowItems count="56">
    <i>
      <x v="55"/>
    </i>
    <i>
      <x v="67"/>
    </i>
    <i>
      <x v="79"/>
    </i>
    <i>
      <x v="87"/>
    </i>
    <i>
      <x v="65"/>
    </i>
    <i>
      <x v="46"/>
    </i>
    <i>
      <x v="6"/>
    </i>
    <i>
      <x v="30"/>
    </i>
    <i>
      <x v="72"/>
    </i>
    <i>
      <x v="45"/>
    </i>
    <i>
      <x v="80"/>
    </i>
    <i>
      <x v="39"/>
    </i>
    <i>
      <x v="51"/>
    </i>
    <i>
      <x v="35"/>
    </i>
    <i>
      <x v="8"/>
    </i>
    <i>
      <x v="14"/>
    </i>
    <i>
      <x v="1"/>
    </i>
    <i>
      <x v="32"/>
    </i>
    <i>
      <x v="21"/>
    </i>
    <i>
      <x v="81"/>
    </i>
    <i>
      <x v="50"/>
    </i>
    <i>
      <x v="3"/>
    </i>
    <i>
      <x v="64"/>
    </i>
    <i>
      <x v="17"/>
    </i>
    <i>
      <x v="16"/>
    </i>
    <i>
      <x v="28"/>
    </i>
    <i>
      <x v="13"/>
    </i>
    <i>
      <x v="40"/>
    </i>
    <i>
      <x v="18"/>
    </i>
    <i>
      <x v="61"/>
    </i>
    <i>
      <x v="41"/>
    </i>
    <i>
      <x v="4"/>
    </i>
    <i>
      <x v="38"/>
    </i>
    <i>
      <x v="68"/>
    </i>
    <i>
      <x v="11"/>
    </i>
    <i>
      <x v="19"/>
    </i>
    <i>
      <x v="71"/>
    </i>
    <i>
      <x v="58"/>
    </i>
    <i>
      <x v="5"/>
    </i>
    <i>
      <x v="85"/>
    </i>
    <i>
      <x v="42"/>
    </i>
    <i>
      <x v="86"/>
    </i>
    <i>
      <x v="60"/>
    </i>
    <i>
      <x v="57"/>
    </i>
    <i>
      <x v="10"/>
    </i>
    <i>
      <x v="62"/>
    </i>
    <i>
      <x v="20"/>
    </i>
    <i>
      <x v="27"/>
    </i>
    <i>
      <x v="26"/>
    </i>
    <i>
      <x v="82"/>
    </i>
    <i>
      <x v="83"/>
    </i>
    <i>
      <x v="9"/>
    </i>
    <i>
      <x v="56"/>
    </i>
    <i>
      <x v="23"/>
    </i>
    <i>
      <x v="31"/>
    </i>
    <i>
      <x v="2"/>
    </i>
  </rowItems>
  <colFields count="1">
    <field x="2"/>
  </colFields>
  <colItems count="1">
    <i>
      <x v="1"/>
    </i>
  </colItems>
  <dataFields count="1">
    <dataField name="." fld="1" baseField="0" baseItem="0" numFmtId="10"/>
  </dataFields>
  <formats count="5">
    <format dxfId="17">
      <pivotArea outline="0" collapsedLevelsAreSubtotals="1" fieldPosition="0"/>
    </format>
    <format dxfId="16">
      <pivotArea type="origin" dataOnly="0" labelOnly="1" outline="0" fieldPosition="0"/>
    </format>
    <format dxfId="15">
      <pivotArea field="2" type="button" dataOnly="0" labelOnly="1" outline="0" axis="axisCol" fieldPosition="0"/>
    </format>
    <format dxfId="14">
      <pivotArea field="3" type="button" dataOnly="0" labelOnly="1" outline="0" axis="axisRow" fieldPosition="0"/>
    </format>
    <format dxfId="13">
      <pivotArea dataOnly="0" labelOnly="1" fieldPosition="0">
        <references count="1">
          <reference field="2" count="0"/>
        </references>
      </pivotArea>
    </format>
  </formats>
  <conditionalFormats count="2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75EDB-A631-4F9A-B2CA-7236E4605447}" name="TablaDiná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R6:S8" firstHeaderRow="1" firstDataRow="2" firstDataCol="1"/>
  <pivotFields count="4">
    <pivotField showAll="0"/>
    <pivotField dataField="1" numFmtId="10" showAll="0"/>
    <pivotField axis="axisCol" showAll="0">
      <items count="6">
        <item h="1" x="1"/>
        <item h="1" x="0"/>
        <item h="1" x="3"/>
        <item x="2"/>
        <item h="1" x="4"/>
        <item t="default"/>
      </items>
    </pivotField>
    <pivotField axis="axisRow" showAll="0" sortType="descending">
      <items count="90">
        <item x="11"/>
        <item x="4"/>
        <item x="43"/>
        <item x="42"/>
        <item x="6"/>
        <item x="19"/>
        <item x="26"/>
        <item m="1" x="88"/>
        <item x="47"/>
        <item x="10"/>
        <item x="51"/>
        <item x="48"/>
        <item m="1" x="79"/>
        <item x="57"/>
        <item x="27"/>
        <item m="1" x="77"/>
        <item x="15"/>
        <item x="14"/>
        <item x="5"/>
        <item x="49"/>
        <item x="44"/>
        <item x="13"/>
        <item m="1" x="72"/>
        <item x="32"/>
        <item m="1" x="87"/>
        <item x="33"/>
        <item x="22"/>
        <item x="60"/>
        <item x="16"/>
        <item m="1" x="78"/>
        <item x="2"/>
        <item x="31"/>
        <item x="56"/>
        <item x="41"/>
        <item m="1" x="65"/>
        <item x="37"/>
        <item m="1" x="68"/>
        <item m="1" x="80"/>
        <item x="30"/>
        <item x="12"/>
        <item x="17"/>
        <item x="18"/>
        <item x="50"/>
        <item m="1" x="75"/>
        <item x="24"/>
        <item x="45"/>
        <item x="55"/>
        <item m="1" x="64"/>
        <item m="1" x="66"/>
        <item x="23"/>
        <item x="38"/>
        <item x="3"/>
        <item m="1" x="70"/>
        <item m="1" x="86"/>
        <item m="1" x="74"/>
        <item x="35"/>
        <item x="61"/>
        <item x="20"/>
        <item x="40"/>
        <item x="34"/>
        <item x="9"/>
        <item x="58"/>
        <item x="52"/>
        <item m="1" x="84"/>
        <item x="29"/>
        <item x="1"/>
        <item m="1" x="76"/>
        <item x="25"/>
        <item x="39"/>
        <item m="1" x="71"/>
        <item m="1" x="81"/>
        <item x="59"/>
        <item x="36"/>
        <item m="1" x="67"/>
        <item m="1" x="83"/>
        <item m="1" x="73"/>
        <item m="1" x="85"/>
        <item m="1" x="69"/>
        <item x="63"/>
        <item x="0"/>
        <item x="46"/>
        <item x="28"/>
        <item x="53"/>
        <item x="21"/>
        <item m="1" x="82"/>
        <item x="7"/>
        <item x="8"/>
        <item x="54"/>
        <item x="62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autoSortScope>
    </pivotField>
  </pivotFields>
  <rowFields count="1">
    <field x="3"/>
  </rowFields>
  <rowItems count="1">
    <i>
      <x v="49"/>
    </i>
  </rowItems>
  <colFields count="1">
    <field x="2"/>
  </colFields>
  <colItems count="1">
    <i>
      <x v="3"/>
    </i>
  </colItems>
  <dataFields count="1">
    <dataField name="." fld="1" baseField="0" baseItem="0" numFmtId="10"/>
  </dataFields>
  <formats count="5">
    <format dxfId="22">
      <pivotArea type="origin" dataOnly="0" labelOnly="1" outline="0" fieldPosition="0"/>
    </format>
    <format dxfId="21">
      <pivotArea field="2" type="button" dataOnly="0" labelOnly="1" outline="0" axis="axisCol" fieldPosition="0"/>
    </format>
    <format dxfId="20">
      <pivotArea field="3" type="button" dataOnly="0" labelOnly="1" outline="0" axis="axisRow" fieldPosition="0"/>
    </format>
    <format dxfId="19">
      <pivotArea dataOnly="0" labelOnly="1" fieldPosition="0">
        <references count="1">
          <reference field="2" count="0"/>
        </references>
      </pivotArea>
    </format>
    <format dxfId="18">
      <pivotArea outline="0" collapsedLevelsAreSubtotals="1" fieldPosition="0"/>
    </format>
  </formats>
  <conditionalFormats count="2"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F60210-42E2-4C2B-9D13-09C6CAC94B23}" name="TablaDinámica2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U6:V8" firstHeaderRow="1" firstDataRow="2" firstDataCol="1"/>
  <pivotFields count="4">
    <pivotField showAll="0"/>
    <pivotField dataField="1" numFmtId="10" showAll="0"/>
    <pivotField axis="axisCol" showAll="0">
      <items count="6">
        <item h="1" x="1"/>
        <item h="1" x="0"/>
        <item h="1" x="3"/>
        <item h="1" x="2"/>
        <item x="4"/>
        <item t="default"/>
      </items>
    </pivotField>
    <pivotField axis="axisRow" showAll="0" sortType="descending">
      <items count="90">
        <item x="11"/>
        <item x="4"/>
        <item x="43"/>
        <item x="42"/>
        <item x="6"/>
        <item x="19"/>
        <item x="26"/>
        <item m="1" x="88"/>
        <item x="47"/>
        <item x="10"/>
        <item x="51"/>
        <item x="48"/>
        <item m="1" x="79"/>
        <item x="57"/>
        <item x="27"/>
        <item m="1" x="77"/>
        <item x="15"/>
        <item x="14"/>
        <item x="5"/>
        <item x="49"/>
        <item x="44"/>
        <item x="13"/>
        <item m="1" x="72"/>
        <item x="32"/>
        <item m="1" x="87"/>
        <item x="33"/>
        <item x="22"/>
        <item x="60"/>
        <item x="16"/>
        <item m="1" x="78"/>
        <item x="2"/>
        <item x="31"/>
        <item x="56"/>
        <item x="41"/>
        <item m="1" x="65"/>
        <item x="37"/>
        <item m="1" x="68"/>
        <item m="1" x="80"/>
        <item x="30"/>
        <item x="12"/>
        <item x="17"/>
        <item x="18"/>
        <item x="50"/>
        <item m="1" x="75"/>
        <item x="24"/>
        <item x="45"/>
        <item x="55"/>
        <item m="1" x="64"/>
        <item m="1" x="66"/>
        <item x="23"/>
        <item x="38"/>
        <item x="3"/>
        <item m="1" x="70"/>
        <item m="1" x="86"/>
        <item m="1" x="74"/>
        <item x="35"/>
        <item x="61"/>
        <item x="20"/>
        <item x="40"/>
        <item x="34"/>
        <item x="9"/>
        <item x="58"/>
        <item x="52"/>
        <item m="1" x="84"/>
        <item x="29"/>
        <item x="1"/>
        <item m="1" x="76"/>
        <item x="25"/>
        <item x="39"/>
        <item m="1" x="71"/>
        <item m="1" x="81"/>
        <item x="59"/>
        <item x="36"/>
        <item m="1" x="67"/>
        <item m="1" x="83"/>
        <item m="1" x="73"/>
        <item m="1" x="85"/>
        <item m="1" x="69"/>
        <item x="63"/>
        <item x="0"/>
        <item x="46"/>
        <item x="28"/>
        <item x="53"/>
        <item x="21"/>
        <item m="1" x="82"/>
        <item x="7"/>
        <item x="8"/>
        <item x="54"/>
        <item x="62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4"/>
            </reference>
          </references>
        </pivotArea>
      </autoSortScope>
    </pivotField>
  </pivotFields>
  <rowFields count="1">
    <field x="3"/>
  </rowFields>
  <rowItems count="1">
    <i>
      <x v="78"/>
    </i>
  </rowItems>
  <colFields count="1">
    <field x="2"/>
  </colFields>
  <colItems count="1">
    <i>
      <x v="4"/>
    </i>
  </colItems>
  <dataFields count="1">
    <dataField name="." fld="1" baseField="0" baseItem="0" numFmtId="10"/>
  </dataFields>
  <formats count="5">
    <format dxfId="27">
      <pivotArea outline="0" collapsedLevelsAreSubtotals="1" fieldPosition="0"/>
    </format>
    <format dxfId="26">
      <pivotArea type="origin" dataOnly="0" labelOnly="1" outline="0" fieldPosition="0"/>
    </format>
    <format dxfId="25">
      <pivotArea field="2" type="button" dataOnly="0" labelOnly="1" outline="0" axis="axisCol" fieldPosition="0"/>
    </format>
    <format dxfId="24">
      <pivotArea field="3" type="button" dataOnly="0" labelOnly="1" outline="0" axis="axisRow" fieldPosition="0"/>
    </format>
    <format dxfId="23">
      <pivotArea dataOnly="0" labelOnly="1" fieldPosition="0">
        <references count="1">
          <reference field="2" count="0"/>
        </references>
      </pivotArea>
    </format>
  </formats>
  <conditionalFormats count="1"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C56FC-1BFA-4231-8557-1E8FC5EF6B1A}" name="TablaDiná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SESOR" colHeaderCaption="ALCANCE">
  <location ref="X6:Y11" firstHeaderRow="1" firstDataRow="2" firstDataCol="1"/>
  <pivotFields count="4">
    <pivotField showAll="0"/>
    <pivotField dataField="1" numFmtId="10" showAll="0"/>
    <pivotField axis="axisCol" showAll="0">
      <items count="6">
        <item h="1" x="1"/>
        <item h="1" x="0"/>
        <item x="3"/>
        <item h="1" x="2"/>
        <item h="1" x="4"/>
        <item t="default"/>
      </items>
    </pivotField>
    <pivotField axis="axisRow" showAll="0" sortType="descending">
      <items count="90">
        <item x="11"/>
        <item x="4"/>
        <item x="43"/>
        <item x="42"/>
        <item x="6"/>
        <item x="19"/>
        <item x="26"/>
        <item m="1" x="88"/>
        <item x="47"/>
        <item x="10"/>
        <item x="51"/>
        <item x="48"/>
        <item m="1" x="79"/>
        <item x="57"/>
        <item x="27"/>
        <item m="1" x="77"/>
        <item x="15"/>
        <item x="14"/>
        <item x="5"/>
        <item x="49"/>
        <item x="44"/>
        <item x="13"/>
        <item m="1" x="72"/>
        <item x="32"/>
        <item m="1" x="87"/>
        <item x="33"/>
        <item x="22"/>
        <item x="60"/>
        <item x="16"/>
        <item m="1" x="78"/>
        <item x="2"/>
        <item x="31"/>
        <item x="56"/>
        <item x="41"/>
        <item m="1" x="65"/>
        <item x="37"/>
        <item m="1" x="68"/>
        <item m="1" x="80"/>
        <item x="30"/>
        <item x="12"/>
        <item x="17"/>
        <item x="18"/>
        <item x="50"/>
        <item m="1" x="75"/>
        <item x="24"/>
        <item x="45"/>
        <item x="55"/>
        <item m="1" x="64"/>
        <item m="1" x="66"/>
        <item x="23"/>
        <item x="38"/>
        <item x="3"/>
        <item m="1" x="70"/>
        <item m="1" x="86"/>
        <item m="1" x="74"/>
        <item x="35"/>
        <item x="61"/>
        <item x="20"/>
        <item x="40"/>
        <item x="34"/>
        <item x="9"/>
        <item x="58"/>
        <item x="52"/>
        <item m="1" x="84"/>
        <item x="29"/>
        <item x="1"/>
        <item m="1" x="76"/>
        <item x="25"/>
        <item x="39"/>
        <item m="1" x="71"/>
        <item m="1" x="81"/>
        <item x="59"/>
        <item x="36"/>
        <item m="1" x="67"/>
        <item m="1" x="83"/>
        <item m="1" x="73"/>
        <item m="1" x="85"/>
        <item m="1" x="69"/>
        <item x="63"/>
        <item x="0"/>
        <item x="46"/>
        <item x="28"/>
        <item x="53"/>
        <item x="21"/>
        <item m="1" x="82"/>
        <item x="7"/>
        <item x="8"/>
        <item x="54"/>
        <item x="62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autoSortScope>
    </pivotField>
  </pivotFields>
  <rowFields count="1">
    <field x="3"/>
  </rowFields>
  <rowItems count="4">
    <i>
      <x v="25"/>
    </i>
    <i>
      <x v="33"/>
    </i>
    <i>
      <x v="44"/>
    </i>
    <i>
      <x v="59"/>
    </i>
  </rowItems>
  <colFields count="1">
    <field x="2"/>
  </colFields>
  <colItems count="1">
    <i>
      <x v="2"/>
    </i>
  </colItems>
  <dataFields count="1">
    <dataField name="." fld="1" baseField="0" baseItem="0" numFmtId="10"/>
  </dataFields>
  <formats count="5">
    <format dxfId="32">
      <pivotArea outline="0" collapsedLevelsAreSubtotals="1" fieldPosition="0"/>
    </format>
    <format dxfId="31">
      <pivotArea type="origin" dataOnly="0" labelOnly="1" outline="0" fieldPosition="0"/>
    </format>
    <format dxfId="30">
      <pivotArea field="2" type="button" dataOnly="0" labelOnly="1" outline="0" axis="axisCol" fieldPosition="0"/>
    </format>
    <format dxfId="29">
      <pivotArea field="3" type="button" dataOnly="0" labelOnly="1" outline="0" axis="axisRow" fieldPosition="0"/>
    </format>
    <format dxfId="28">
      <pivotArea dataOnly="0" labelOnly="1" fieldPosition="0">
        <references count="1">
          <reference field="2" count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9" connectionId="2" xr16:uid="{A0280EE8-26F2-490D-8FD1-EB8AC7549BD3}" autoFormatId="16" applyNumberFormats="0" applyBorderFormats="0" applyFontFormats="0" applyPatternFormats="0" applyAlignmentFormats="0" applyWidthHeightFormats="0">
  <queryTableRefresh nextId="3">
    <queryTableFields count="2">
      <queryTableField id="1" name="EQUIPO" tableColumnId="1"/>
      <queryTableField id="2" name="META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9" connectionId="1" xr16:uid="{1BC40461-878A-4C1F-A09D-86B09B34F220}" autoFormatId="16" applyNumberFormats="0" applyBorderFormats="0" applyFontFormats="0" applyPatternFormats="0" applyAlignmentFormats="0" applyWidthHeightFormats="0">
  <queryTableRefresh nextId="3">
    <queryTableFields count="2">
      <queryTableField id="1" name="EQUIPO" tableColumnId="1"/>
      <queryTableField id="2" name="META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0" connectionId="4" xr16:uid="{0270A82F-0044-4A2B-92DE-3BFF3ECAD726}" autoFormatId="16" applyNumberFormats="0" applyBorderFormats="0" applyFontFormats="0" applyPatternFormats="0" applyAlignmentFormats="0" applyWidthHeightFormats="0">
  <queryTableRefresh nextId="2">
    <queryTableFields count="1">
      <queryTableField id="1" name="FECHA ACTUALIZADA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1" connectionId="3" xr16:uid="{53775801-A222-467F-BBDC-08B796160380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SUPER" tableColumnId="1"/>
      <queryTableField id="2" name="ASESOR_CRR" tableColumnId="2"/>
      <queryTableField id="3" name="ASESOR" tableColumnId="3"/>
      <queryTableField id="4" name="RECUPERO" tableColumnId="4"/>
      <queryTableField id="5" name="ALCANCE" tableColumnId="5"/>
      <queryTableField id="6" dataBound="0" tableColumnId="6"/>
    </queryTableFields>
  </queryTableRefresh>
</queryTable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" displayName="D1_ENERO" ref="A2:F122" totalsRowShown="0">
  <autoFilter ref="A2:F122" xr:uid="{5E0BF7E0-4358-4425-8F4C-51CD4B862909}"/>
  <tableColumns count="6">
    <tableColumn id="1" xr3:uid="{897743D2-B6CD-40FA-805F-01550344D698}" name="SUPER"/>
    <tableColumn id="2" xr3:uid="{8CF4EF2B-0A86-499E-B672-9A6B3FF034D6}" name="Columna1">
      <calculatedColumnFormula>TRIM(C3)</calculatedColumnFormula>
    </tableColumn>
    <tableColumn id="3" xr3:uid="{20FF4816-C34F-41D9-99D2-17B3BB8F5653}" name="ASESOR"/>
    <tableColumn id="4" xr3:uid="{348E2507-E8FF-4E9C-9844-679D76D9144F}" name="RECUPERO"/>
    <tableColumn id="5" xr3:uid="{42625339-8FE7-49A5-82AC-5EDD10C3C984}" name="ALCANCE">
      <calculatedColumnFormula>D1_ENERO[[#This Row],[RECUPERO]]/VLOOKUP(D1_ENERO[[#This Row],[SUPER]],D2_ENERO[#All],2,0)</calculatedColumnFormula>
    </tableColumn>
    <tableColumn id="6" xr3:uid="{BD1A5411-32FB-4DF7-B264-96C059BE5C56}" name="SUPER2">
      <calculatedColumnFormula>D1_ENERO[[#This Row],[SUPER]]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8084AB-621C-4783-8356-5123AEA7EA59}" name="D2_ENERO" displayName="D2_ENERO" ref="H2:I10" totalsRowShown="0">
  <autoFilter ref="H2:I10" xr:uid="{028084AB-621C-4783-8356-5123AEA7EA59}"/>
  <tableColumns count="2">
    <tableColumn id="1" xr3:uid="{A40640F1-1631-4321-B815-36A1B6D611C0}" name="SUPER"/>
    <tableColumn id="2" xr3:uid="{652B1FB7-B0C1-465B-8BF2-582F3A848B21}" name="M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1800E98-EFFD-4484-904C-C2B359481128}" name="D3_ENERO" displayName="D3_ENERO" ref="H13:H15" totalsRowShown="0">
  <autoFilter ref="H13:H15" xr:uid="{81800E98-EFFD-4484-904C-C2B359481128}"/>
  <tableColumns count="1">
    <tableColumn id="1" xr3:uid="{1133DFFA-2D95-43DB-B433-854AACAD9278}" name="FECH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ENERO" displayName="DATAENERO" ref="L8:O131" totalsRowShown="0" headerRowBorderDxfId="351" tableBorderDxfId="350">
  <autoFilter ref="L8:O131" xr:uid="{F9313B9F-39C6-4A12-8F5B-FED5B42DCC51}"/>
  <tableColumns count="4">
    <tableColumn id="5" xr3:uid="{FA3754C1-7783-47D9-BDD2-5CBAA00B577B}" name="ORDEN"/>
    <tableColumn id="2" xr3:uid="{8AB5D9E7-4408-4FC9-BFF6-A0452692116C}" name="AL_AC" dataDxfId="349"/>
    <tableColumn id="3" xr3:uid="{16F39E06-76AE-43AD-903E-9F641E37CB06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921ECE34-7E7A-4AD2-A406-39E1FD056F78}" name="ASER_" dataDxfId="348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" displayName="D1_FEBRERO" ref="A2:F122" totalsRowShown="0">
  <autoFilter ref="A2:F122" xr:uid="{B161DA1C-A389-4FF1-9E9E-C88018522EAC}"/>
  <tableColumns count="6">
    <tableColumn id="1" xr3:uid="{194DAAA7-3304-4E4C-9D6E-9CFF2A67ED22}" name="SUPER"/>
    <tableColumn id="2" xr3:uid="{26FE8EBB-B21D-443D-8AA8-93EEB7685413}" name="Columna1">
      <calculatedColumnFormula>TRIM(C3)</calculatedColumnFormula>
    </tableColumn>
    <tableColumn id="3" xr3:uid="{9CB7A8A2-1BAD-49EB-99FB-0E0FFB717623}" name="ASESOR"/>
    <tableColumn id="4" xr3:uid="{9C9CD75D-2F18-45F6-A4CC-6F35C5DC59B6}" name="RECUPERO"/>
    <tableColumn id="5" xr3:uid="{44178C41-B41B-4820-A8E8-222FE453335F}" name="ALCANCE">
      <calculatedColumnFormula>D1_FEBRERO[[#This Row],[RECUPERO]]/VLOOKUP(D1_FEBRERO[[#This Row],[SUPER]],D2_FEBRERO[#All],2,0)</calculatedColumnFormula>
    </tableColumn>
    <tableColumn id="6" xr3:uid="{AC6EB590-A7E8-408F-A892-A1851BCCF0B5}" name="SUPER2">
      <calculatedColumnFormula>D1_FEBRERO[[#This Row],[SUPER]]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F4F60F-FA69-4EA7-8AEE-15E5E4D6ACC9}" name="D2_FEBRERO" displayName="D2_FEBRERO" ref="H2:I10" totalsRowShown="0">
  <autoFilter ref="H2:I10" xr:uid="{C9F4F60F-FA69-4EA7-8AEE-15E5E4D6ACC9}"/>
  <tableColumns count="2">
    <tableColumn id="1" xr3:uid="{F0EBE325-C475-4066-A5EA-C235A401DD96}" name="SUPER"/>
    <tableColumn id="2" xr3:uid="{04128EC5-346E-439D-AC1E-AE444376A98C}" name="MET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951BA99-0F6D-459E-8679-56D94AF6186A}" name="D3_FEBRERO" displayName="D3_FEBRERO" ref="H13:H15" totalsRowShown="0">
  <autoFilter ref="H13:H15" xr:uid="{7951BA99-0F6D-459E-8679-56D94AF6186A}"/>
  <tableColumns count="1">
    <tableColumn id="1" xr3:uid="{CB1CB6C4-B967-4D2C-A5F8-7260BC06476C}" name="FECH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FEBRERO" displayName="DATAFEBRERO" ref="L8:O131" totalsRowShown="0" headerRowBorderDxfId="324" tableBorderDxfId="323">
  <autoFilter ref="L8:O131" xr:uid="{89A51909-AC95-49E8-8345-D544ACD1F830}"/>
  <tableColumns count="4">
    <tableColumn id="5" xr3:uid="{40E3AFC6-DA00-4BDE-B781-E9F019F29AB7}" name="ORDEN"/>
    <tableColumn id="2" xr3:uid="{DAC112DC-4F95-46E1-A307-6AA9F60DB951}" name="AL_AC" dataDxfId="322"/>
    <tableColumn id="3" xr3:uid="{AE4A1FA5-3083-4CA4-B657-D2D0F2E20004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2DEECC0D-71BF-41A9-824B-A80398D76E39}" name="ASER_" dataDxfId="321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" displayName="D1_MARZO" ref="A2:F122" totalsRowShown="0">
  <autoFilter ref="A2:F122" xr:uid="{E9885E5F-45E0-410D-9674-725F11306A85}"/>
  <tableColumns count="6">
    <tableColumn id="1" xr3:uid="{0593917A-1291-450C-951C-78D9EC4BEB05}" name="SUPER"/>
    <tableColumn id="2" xr3:uid="{8CE134D2-655B-4065-BCE4-1E92F58C9834}" name="Columna1">
      <calculatedColumnFormula>TRIM(C3)</calculatedColumnFormula>
    </tableColumn>
    <tableColumn id="3" xr3:uid="{63694922-673E-40A9-ABE9-A1BB5D442FC5}" name="ASESOR"/>
    <tableColumn id="4" xr3:uid="{AA26A274-EA12-45E3-9488-E564DCE594A7}" name="RECUPERO"/>
    <tableColumn id="5" xr3:uid="{C9BC0167-A73A-4B66-AB0E-BCC22F3CD7BF}" name="ALCANCE">
      <calculatedColumnFormula>D1_MARZO[[#This Row],[RECUPERO]]/VLOOKUP(D1_MARZO[[#This Row],[SUPER]],D2_MARZO[#All],2,0)</calculatedColumnFormula>
    </tableColumn>
    <tableColumn id="6" xr3:uid="{32E44CF1-7B46-45AA-916C-7D5322097EFD}" name="SUPER2">
      <calculatedColumnFormula>D1_MARZO[[#This Row],[SUPER]]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4C74629-C330-448D-8358-306B974DE385}" name="D2_MARZO" displayName="D2_MARZO" ref="H2:I10" totalsRowShown="0">
  <autoFilter ref="H2:I10" xr:uid="{84C74629-C330-448D-8358-306B974DE385}"/>
  <tableColumns count="2">
    <tableColumn id="1" xr3:uid="{1FEDE697-E5C8-46CD-B008-EE513DAC956A}" name="SUPER"/>
    <tableColumn id="2" xr3:uid="{8AAC2A5F-3499-4102-B1A6-D0C8D0789882}" name="META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446181B-5D12-46B1-9D45-1A81ABADF567}" name="D3_MARZO" displayName="D3_MARZO" ref="H13:H15" totalsRowShown="0">
  <autoFilter ref="H13:H15" xr:uid="{7446181B-5D12-46B1-9D45-1A81ABADF567}"/>
  <tableColumns count="1">
    <tableColumn id="1" xr3:uid="{592AC5B2-C708-4A2A-AD49-7EA859EBFD61}" name="FECH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MARZO" displayName="DATAMARZO" ref="L8:O131" totalsRowShown="0" headerRowBorderDxfId="297" tableBorderDxfId="296">
  <autoFilter ref="L8:O131" xr:uid="{46A1AC28-8F5A-449B-BE41-0BD3EA45E5F4}"/>
  <tableColumns count="4">
    <tableColumn id="5" xr3:uid="{6486697E-FF7A-4591-A5AD-172915A244D0}" name="ORDEN"/>
    <tableColumn id="2" xr3:uid="{291F0275-242F-4948-BE64-7F8C6727586A}" name="AL_AC" dataDxfId="295"/>
    <tableColumn id="3" xr3:uid="{6050B278-B3D2-4B4C-8475-D701C9B8AB17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EC8B2F79-5491-4CF8-BF04-C2BEE19EAB91}" name="ASER_" dataDxfId="294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" displayName="D1_ABRIL" ref="A2:F122" totalsRowShown="0">
  <autoFilter ref="A2:F122" xr:uid="{4BD3AD9B-187F-444D-9B69-D2DA04E4A01E}"/>
  <tableColumns count="6">
    <tableColumn id="1" xr3:uid="{68211AFE-4147-4442-BDF7-CC740B01FA3C}" name="SUPER"/>
    <tableColumn id="2" xr3:uid="{D51D513B-04F6-4185-A044-49B743ABD514}" name="Columna1">
      <calculatedColumnFormula>TRIM(C3)</calculatedColumnFormula>
    </tableColumn>
    <tableColumn id="3" xr3:uid="{91F4F1B2-268A-492D-8490-AD940FC38FC7}" name="ASESOR"/>
    <tableColumn id="4" xr3:uid="{796AC97D-33DF-4278-BDC8-E283DF2D6F8C}" name="RECUPERO"/>
    <tableColumn id="5" xr3:uid="{D789E66F-CC8C-4715-A998-7AE532E85E8A}" name="ALCANCE">
      <calculatedColumnFormula>D1_ABRIL[[#This Row],[RECUPERO]]/VLOOKUP(D1_ABRIL[[#This Row],[SUPER]],D2_ABRIL[#All],2,0)</calculatedColumnFormula>
    </tableColumn>
    <tableColumn id="6" xr3:uid="{3455DB8A-5A64-4A8F-8153-2471763CA60D}" name="SUPER2">
      <calculatedColumnFormula>D1_ABRIL[[#This Row],[SUPER]]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17BDFFA-634B-403D-A0BF-A975A72B4797}" name="D2_ABRIL" displayName="D2_ABRIL" ref="H2:I10" totalsRowShown="0">
  <autoFilter ref="H2:I10" xr:uid="{317BDFFA-634B-403D-A0BF-A975A72B4797}"/>
  <tableColumns count="2">
    <tableColumn id="1" xr3:uid="{A62564BD-8350-4EB7-8AC9-B55D879B06BF}" name="SUPER"/>
    <tableColumn id="2" xr3:uid="{8BDF90FC-C724-4200-9E82-09708F8CA8F4}" name="ME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7DCB2375-4F55-445B-8C5A-AA117E1758CE}" name="D3_ABRIL" displayName="D3_ABRIL" ref="H13:H15" totalsRowShown="0">
  <autoFilter ref="H13:H15" xr:uid="{7DCB2375-4F55-445B-8C5A-AA117E1758CE}"/>
  <tableColumns count="1">
    <tableColumn id="1" xr3:uid="{F69A97B2-0A32-4A09-9BF4-D4F3DB68CB68}" name="FECHA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ABRIL" displayName="DATAABRIL" ref="L8:O131" totalsRowShown="0" headerRowBorderDxfId="270" tableBorderDxfId="269">
  <autoFilter ref="L8:O131" xr:uid="{4A270262-D445-41EE-9E8E-99052505C698}"/>
  <tableColumns count="4">
    <tableColumn id="5" xr3:uid="{7DCCE7D7-602C-46C5-914E-E7BE083329A3}" name="ORDEN"/>
    <tableColumn id="2" xr3:uid="{ED28E462-F988-4D79-8917-612828B3B45E}" name="AL_AC" dataDxfId="268"/>
    <tableColumn id="3" xr3:uid="{1B1E8B7A-D562-46FD-89DE-12ADBC7146F2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6D33B8AF-7CAE-4FC5-8346-3D1A1781A050}" name="ASER_" dataDxfId="267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" displayName="D1_MAYO" ref="A2:F122" totalsRowShown="0">
  <autoFilter ref="A2:F122" xr:uid="{4C741D8E-BF5F-47B0-9DC2-611AD28D3273}"/>
  <tableColumns count="6">
    <tableColumn id="1" xr3:uid="{E152AEAC-0614-4AEE-89A1-C0945D3B66A9}" name="SUPER"/>
    <tableColumn id="2" xr3:uid="{A339CB3C-4A69-436B-9231-4EBB2149CD4A}" name="Columna1">
      <calculatedColumnFormula>TRIM(C3)</calculatedColumnFormula>
    </tableColumn>
    <tableColumn id="3" xr3:uid="{808825E8-928F-40C5-BB2B-D49A4451356F}" name="ASESOR"/>
    <tableColumn id="4" xr3:uid="{4F30B4EF-5496-4464-9B60-C442DE0D4AD3}" name="RECUPERO"/>
    <tableColumn id="5" xr3:uid="{5FAC7613-1036-4D50-9A09-AB4F41D88D12}" name="ALCANCE">
      <calculatedColumnFormula>D1_MAYO[[#This Row],[RECUPERO]]/VLOOKUP(D1_MAYO[[#This Row],[SUPER]],D2_MAYO[#All],2,0)</calculatedColumnFormula>
    </tableColumn>
    <tableColumn id="6" xr3:uid="{373B07DA-C176-4486-843D-36C5A3043867}" name="SUPER2">
      <calculatedColumnFormula>D1_MAYO[[#This Row],[SUPER]]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83629EB-935A-4BE2-AAD5-D371898EC94B}" name="D2_MAYO" displayName="D2_MAYO" ref="H2:I10" totalsRowShown="0">
  <autoFilter ref="H2:I10" xr:uid="{683629EB-935A-4BE2-AAD5-D371898EC94B}"/>
  <tableColumns count="2">
    <tableColumn id="1" xr3:uid="{E577D68C-0BAF-47DF-86D2-75CF52EC1F40}" name="SUPER"/>
    <tableColumn id="2" xr3:uid="{A18ADF2A-C19F-479A-85DC-B089EBE1A1FB}" name="MET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A4A793F0-46A0-40E3-9837-69426A6F3571}" name="D3_MAYO" displayName="D3_MAYO" ref="H13:H15" totalsRowShown="0">
  <autoFilter ref="H13:H15" xr:uid="{A4A793F0-46A0-40E3-9837-69426A6F3571}"/>
  <tableColumns count="1">
    <tableColumn id="1" xr3:uid="{B9FA952A-FE9C-43AE-ABDD-1FF1CB67D468}" name="FECH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MAYO" displayName="DATAMAYO" ref="L8:O131" totalsRowShown="0" headerRowBorderDxfId="243" tableBorderDxfId="242">
  <autoFilter ref="L8:O131" xr:uid="{3430F05E-BC8F-402B-8A1E-08930825C5B5}"/>
  <tableColumns count="4">
    <tableColumn id="5" xr3:uid="{C0C0DC4C-762F-4EFB-912E-26F063D1126A}" name="ORDEN"/>
    <tableColumn id="2" xr3:uid="{C6ACB1FD-DF21-4A7E-80CD-085902D05EAD}" name="AL_AC" dataDxfId="241"/>
    <tableColumn id="3" xr3:uid="{8551335D-BE40-494B-A806-42FAA211C207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36910F71-69E2-4AEC-B8CA-2C37E31DD6F2}" name="ASER_" dataDxfId="240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" displayName="D1_JUNIO" ref="A2:F122" totalsRowShown="0">
  <autoFilter ref="A2:F122" xr:uid="{64C0DE59-0F83-4A2B-97E4-DFA4A01B849B}"/>
  <tableColumns count="6">
    <tableColumn id="1" xr3:uid="{BE333B5A-1A5B-4E73-9860-1AA45E4E9980}" name="SUPER"/>
    <tableColumn id="2" xr3:uid="{877210DA-3F05-4E03-80B9-BC02A44F0C24}" name="Columna1">
      <calculatedColumnFormula>TRIM(C3)</calculatedColumnFormula>
    </tableColumn>
    <tableColumn id="3" xr3:uid="{7DD4B70A-E8F7-43D2-86C8-77AB892B7A01}" name="ASESOR"/>
    <tableColumn id="4" xr3:uid="{C8B374A9-FA66-4CE7-BEA1-33A15E8F71DA}" name="RECUPERO"/>
    <tableColumn id="5" xr3:uid="{1BF578D9-FB1B-48B0-B732-40F721FD7C19}" name="ALCANCE">
      <calculatedColumnFormula>D1_JUNIO[[#This Row],[RECUPERO]]/VLOOKUP(D1_JUNIO[[#This Row],[SUPER]],D2_JUNIO[#All],2,0)</calculatedColumnFormula>
    </tableColumn>
    <tableColumn id="6" xr3:uid="{CA995F17-DCA5-4D19-B2E1-FD9362121A39}" name="SUPER2">
      <calculatedColumnFormula>D1_JUNIO[[#This Row],[SUPER]]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42A6DC7-37BA-47B7-9FD5-8E0639117684}" name="D2_JUNIO" displayName="D2_JUNIO" ref="H2:I10" totalsRowShown="0">
  <autoFilter ref="H2:I10" xr:uid="{842A6DC7-37BA-47B7-9FD5-8E0639117684}"/>
  <tableColumns count="2">
    <tableColumn id="1" xr3:uid="{5D574963-6EDC-4834-8D8D-37828494ACF1}" name="SUPER"/>
    <tableColumn id="2" xr3:uid="{902553D3-A2E1-4B05-9836-3B529530181C}" name="META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218BE51-1440-4888-A602-D468DF3070B8}" name="D3_JUNIO" displayName="D3_JUNIO" ref="H13:H15" totalsRowShown="0">
  <autoFilter ref="H13:H15" xr:uid="{8218BE51-1440-4888-A602-D468DF3070B8}"/>
  <tableColumns count="1">
    <tableColumn id="1" xr3:uid="{880CFF50-8E7D-4292-968C-C584158BA113}" name="FECHA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JUNIO" displayName="DATAJUNIO" ref="L8:O131" totalsRowShown="0" headerRowBorderDxfId="216" tableBorderDxfId="215">
  <autoFilter ref="L8:O131" xr:uid="{97B1AEE0-937A-4085-8A6E-FCEB23E4FC30}"/>
  <tableColumns count="4">
    <tableColumn id="5" xr3:uid="{51BAE0B5-0B6B-479F-A086-97F6F840605B}" name="ORDEN"/>
    <tableColumn id="2" xr3:uid="{1850D85D-70AA-4C8C-B259-0C0B744B6CE0}" name="AL_AC" dataDxfId="214"/>
    <tableColumn id="3" xr3:uid="{78E201C6-658E-4437-AC52-3D0E669D8389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281452D0-62A2-48EC-8B26-E671FD115D59}" name="ASER_" dataDxfId="213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JULIO" displayName="DATAJULIO" ref="L8:O107" totalsRowShown="0" headerRowBorderDxfId="188" tableBorderDxfId="187">
  <autoFilter ref="L8:O107" xr:uid="{13D0755C-A8D1-41FD-8722-0AA4CD765999}"/>
  <tableColumns count="4">
    <tableColumn id="1" xr3:uid="{E22903C5-112C-4BC5-B710-C40CCECDB3E4}" name="POS_"/>
    <tableColumn id="2" xr3:uid="{72C3FA18-E65D-4943-AF0A-CD7AC5502A56}" name="AL_AC" dataDxfId="186">
      <calculatedColumnFormula>E3</calculatedColumnFormula>
    </tableColumn>
    <tableColumn id="3" xr3:uid="{1754C817-3C23-490F-BEA3-3ACD2AC34A65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0471132D-C890-40E3-9BA3-13E8277CB45D}" name="ASER_" dataDxfId="185">
      <calculatedColumnFormula>IF(DATAJULIO[[#This Row],[CLASIFICACIÓN]]="","","SIN APLICACIONES")</calculatedColumnFormula>
    </tableColumn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Tabla3" displayName="Tabla3" ref="A2:F98" totalsRowShown="0" headerRowDxfId="184" dataDxfId="182" headerRowBorderDxfId="183" tableBorderDxfId="181">
  <autoFilter ref="A2:F98" xr:uid="{F460AB3C-55A7-4610-B74D-44400B82E396}"/>
  <tableColumns count="6">
    <tableColumn id="1" xr3:uid="{174E92CC-5FBB-42E6-ABBA-A2148115201A}" name="SUPER" dataDxfId="180"/>
    <tableColumn id="6" xr3:uid="{D87E1435-21B2-485D-8BCD-1C27FC523EEA}" name="Columna1" dataDxfId="179">
      <calculatedColumnFormula>TRIM(Tabla3[[#This Row],[ASESOR]])</calculatedColumnFormula>
    </tableColumn>
    <tableColumn id="2" xr3:uid="{FC570054-965C-4F29-B04A-C58608AEAECA}" name="ASESOR" dataDxfId="178"/>
    <tableColumn id="3" xr3:uid="{CF023A93-4AFB-4349-9235-179A60BC2249}" name="RECUPERO" dataDxfId="177"/>
    <tableColumn id="4" xr3:uid="{6F567985-92B6-498E-BDE9-81AA438ECD22}" name="ALCANCE" dataDxfId="176">
      <calculatedColumnFormula>Tabla3[[#This Row],[RECUPERO]]/VLOOKUP(Tabla3[[#This Row],[SUPER]],Tabla4[],2,0)</calculatedColumnFormula>
    </tableColumn>
    <tableColumn id="5" xr3:uid="{2DFC340F-6B74-4E64-B475-782D4A5F8B3E}" name="SUPER2" dataDxfId="175">
      <calculatedColumnFormula>Tabla3[[#This Row],[SUPER]]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938B38-43D5-4DA2-89E9-66F93B239422}" name="Tabla4" displayName="Tabla4" ref="H2:I10" totalsRowShown="0" headerRowDxfId="174" dataDxfId="173">
  <autoFilter ref="H2:I10" xr:uid="{A8938B38-43D5-4DA2-89E9-66F93B239422}"/>
  <tableColumns count="2">
    <tableColumn id="1" xr3:uid="{A10EFFE8-FC7C-4E2A-A383-EA6383B5998F}" name="SUPER" dataDxfId="172"/>
    <tableColumn id="2" xr3:uid="{3DFBB43F-D58E-4191-BD61-9DC8042F3625}" name="META" dataDxfId="171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0357DB-C226-4AFC-B63F-BDB9B27496EA}" name="Tabla5" displayName="Tabla5" ref="H13:H15" totalsRowShown="0" headerRowDxfId="170" dataDxfId="168" headerRowBorderDxfId="169" tableBorderDxfId="167">
  <autoFilter ref="H13:H15" xr:uid="{420357DB-C226-4AFC-B63F-BDB9B27496EA}"/>
  <tableColumns count="1">
    <tableColumn id="1" xr3:uid="{F097EA22-A683-4777-BE9A-1C919D0F2FFF}" name="FECHA" dataDxfId="16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Tabla312" displayName="Tabla312" ref="A2:F98" totalsRowShown="0" headerRowDxfId="142" dataDxfId="140" headerRowBorderDxfId="141" tableBorderDxfId="139">
  <autoFilter ref="A2:F98" xr:uid="{816CEBCE-101B-42C2-A45C-8113A647428A}"/>
  <tableColumns count="6">
    <tableColumn id="1" xr3:uid="{596664E6-24CF-4AF3-A84D-121AC4745B4C}" name="SUPER" dataDxfId="138"/>
    <tableColumn id="6" xr3:uid="{CA4B13E9-2CAB-42E2-A028-4DFB844CF726}" name="Columna1" dataDxfId="137">
      <calculatedColumnFormula>TRIM(Tabla312[[#This Row],[ASESOR]])</calculatedColumnFormula>
    </tableColumn>
    <tableColumn id="2" xr3:uid="{B3C2F90C-6F59-4998-9F82-960596BF09D8}" name="ASESOR" dataDxfId="136"/>
    <tableColumn id="3" xr3:uid="{6CE379C4-19C8-4C90-81DB-EA83E873B03A}" name="RECUPERO" dataDxfId="135"/>
    <tableColumn id="4" xr3:uid="{9AE19661-0B03-4D03-9661-4B81FCE456D3}" name="ALCANCE" dataDxfId="134">
      <calculatedColumnFormula>Tabla312[[#This Row],[RECUPERO]]/VLOOKUP(Tabla312[[#This Row],[SUPER]],Tabla413[],2,0)</calculatedColumnFormula>
    </tableColumn>
    <tableColumn id="5" xr3:uid="{9CCAC285-FD2E-415B-BE6E-AD7E20CECF29}" name="SUPER2" dataDxfId="133">
      <calculatedColumnFormula>Tabla312[[#This Row],[SUPER]]</calculatedColumnFormula>
    </tableColumn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8986F0-A008-451C-A74B-CD787AEDD670}" name="Tabla413" displayName="Tabla413" ref="H2:I10" totalsRowShown="0" headerRowDxfId="132" dataDxfId="131">
  <autoFilter ref="H2:I10" xr:uid="{FE8986F0-A008-451C-A74B-CD787AEDD670}"/>
  <tableColumns count="2">
    <tableColumn id="1" xr3:uid="{D6A73016-B9CD-4F3A-8862-6100900A75A8}" name="SUPER" dataDxfId="130"/>
    <tableColumn id="2" xr3:uid="{F3335546-A4CC-4DDB-906D-A6EC5B14A943}" name="META" dataDxfId="129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E53AF28-4F43-4438-B65D-488D6C0CE3F5}" name="Tabla514" displayName="Tabla514" ref="H13:H15" totalsRowShown="0" headerRowDxfId="128" dataDxfId="126" headerRowBorderDxfId="127" tableBorderDxfId="125">
  <autoFilter ref="H13:H15" xr:uid="{0E53AF28-4F43-4438-B65D-488D6C0CE3F5}"/>
  <tableColumns count="1">
    <tableColumn id="1" xr3:uid="{22129AFF-766D-459F-B2B5-471455F4DD34}" name="FECHA" dataDxfId="12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AGOSTO" displayName="DATAAGOSTO" ref="L8:O107" totalsRowShown="0" headerRowBorderDxfId="123" tableBorderDxfId="122">
  <autoFilter ref="L8:O107" xr:uid="{DB356FA9-1639-4BCD-8041-CDF840B60928}"/>
  <tableColumns count="4">
    <tableColumn id="5" xr3:uid="{1484B0D7-D66C-40AD-8C67-9ADDF395EA90}" name="ORDEN"/>
    <tableColumn id="2" xr3:uid="{1BEFB030-F8FC-467E-8D03-CF9E8433E11F}" name="AL_AC" dataDxfId="121"/>
    <tableColumn id="3" xr3:uid="{88C3CECE-F881-4C05-BA2B-95B253894A39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B7ABA233-3B45-4E2E-81FB-FA5E5B50F6FC}" name="ASER_" dataDxfId="120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ATA_SETIEMBRE" displayName="DATA_SETIEMBRE" ref="A2:F98" totalsRowShown="0" headerRowDxfId="92" dataDxfId="90" headerRowBorderDxfId="91" tableBorderDxfId="89">
  <autoFilter ref="A2:F98" xr:uid="{111BC5E6-A71D-437E-ABD5-0E09FCDEF3FD}"/>
  <tableColumns count="6">
    <tableColumn id="1" xr3:uid="{EABDBA5F-3C1B-4AC8-8F40-8C9EED5560F3}" name="SUPER" dataDxfId="88"/>
    <tableColumn id="6" xr3:uid="{C37701A2-99CA-45B9-AA89-63D54C88C5B9}" name="Columna1" dataDxfId="87">
      <calculatedColumnFormula>TRIM(DATA_SETIEMBRE[[#This Row],[ASESOR]])</calculatedColumnFormula>
    </tableColumn>
    <tableColumn id="2" xr3:uid="{8360BA59-782B-4699-ABEA-458A3C9299AD}" name="ASESOR" dataDxfId="86"/>
    <tableColumn id="3" xr3:uid="{BD5C8833-8CBB-40D9-BC66-F164208CFEC0}" name="RECUPERO" dataDxfId="85"/>
    <tableColumn id="4" xr3:uid="{91470BB1-1A8E-4802-9D93-28E5A1DF6790}" name="ALCANCE" dataDxfId="84"/>
    <tableColumn id="5" xr3:uid="{2B49EE5D-87EB-458C-99B1-7F94B8EDDE4B}" name="SUPER2" dataDxfId="83">
      <calculatedColumnFormula>DATA_SETIEMBRE[[#This Row],[SUPER]]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AD636041-8478-4CEC-A658-207E0F594A60}" name="Tabla4MSET" displayName="Tabla4MSET" ref="H2:I10" totalsRowShown="0" headerRowDxfId="82" dataDxfId="81">
  <autoFilter ref="H2:I10" xr:uid="{AD636041-8478-4CEC-A658-207E0F594A60}"/>
  <tableColumns count="2">
    <tableColumn id="1" xr3:uid="{9B92E522-8FC3-454F-B58A-71B964FD1737}" name="SUPER" dataDxfId="80"/>
    <tableColumn id="2" xr3:uid="{11D84168-B735-4557-9B6C-D5125DC112BB}" name="META" dataDxfId="7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D88353E-0DC7-4215-9B4A-B71DAC3D1358}" name="TablaHSETO" displayName="TablaHSETO" ref="H13:H15" totalsRowShown="0" headerRowDxfId="78" dataDxfId="76" headerRowBorderDxfId="77" tableBorderDxfId="75">
  <autoFilter ref="H13:H15" xr:uid="{7D88353E-0DC7-4215-9B4A-B71DAC3D1358}"/>
  <tableColumns count="1">
    <tableColumn id="1" xr3:uid="{E9ADB1C8-512B-46D4-8B04-48D8786C3E58}" name="FECHA" dataDxfId="74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SETIEMBRE" displayName="DATASETIEMBRE" ref="L8:O107" totalsRowShown="0" headerRowBorderDxfId="73" tableBorderDxfId="72">
  <autoFilter ref="L8:O107" xr:uid="{91775BD2-E36D-479B-95DE-48127C3410BC}"/>
  <tableColumns count="4">
    <tableColumn id="5" xr3:uid="{1CF4BE0E-4FAB-49C6-9223-65C01E260771}" name="ORDEN"/>
    <tableColumn id="2" xr3:uid="{033A6CF7-EC22-4EEE-8FF0-8C343161421D}" name="AL_AC" dataDxfId="71"/>
    <tableColumn id="3" xr3:uid="{2234E43A-FB04-4BD5-A5FB-BE681630D39D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98491906-C3E6-4CCF-96D0-36184A648156}" name="ASER_" dataDxfId="70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Tabla41" displayName="Tabla41" ref="A2:F122" totalsRowShown="0">
  <autoFilter ref="A2:F122" xr:uid="{4538E234-E304-4CD8-A847-B72CD7C8B45D}"/>
  <tableColumns count="6">
    <tableColumn id="1" xr3:uid="{50470B3C-4850-458E-BED8-112F63BB3ACF}" name="SUPER"/>
    <tableColumn id="2" xr3:uid="{F731A8EB-194B-44CE-89D7-4F18061B7145}" name="ASESOR_CRR"/>
    <tableColumn id="3" xr3:uid="{6FF7DD0E-9E2A-41C7-B49D-2C313D6FADFD}" name="ASESOR"/>
    <tableColumn id="4" xr3:uid="{E417C796-F642-4AC0-8458-3581DED35D66}" name="RECUPERO"/>
    <tableColumn id="5" xr3:uid="{2D06A3B4-3271-49A3-9C7C-FFC311CAB0D8}" name="ALCANCE"/>
    <tableColumn id="6" xr3:uid="{7C83291E-5126-4377-B991-EBB23328360F}" name="SUPER2">
      <calculatedColumnFormula>Tabla41[[#This Row],[SUPER]]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39BC1C58-FFF0-4F17-A945-322548D1C515}" name="METAS_B43" displayName="METAS_B43" ref="H2:I8" tableType="queryTable" totalsRowShown="0" headerRowDxfId="46" dataDxfId="45" tableBorderDxfId="44">
  <autoFilter ref="H2:I8" xr:uid="{39BC1C58-FFF0-4F17-A945-322548D1C515}"/>
  <tableColumns count="2">
    <tableColumn id="1" xr3:uid="{48CCFA65-B8EC-4AC0-A7AB-F92B3BF0DDBB}" uniqueName="1" name="EQUIPO" queryTableFieldId="1" dataDxfId="43"/>
    <tableColumn id="2" xr3:uid="{2F769AB8-ABEA-43F5-85FA-F4F57FE7C169}" uniqueName="2" name="META" queryTableFieldId="2" dataDxfId="42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8E52F8A-C2D6-448B-879C-23825443CE00}" name="Tabla43" displayName="Tabla43" ref="H11:H13" totalsRowShown="0">
  <autoFilter ref="H11:H13" xr:uid="{98E52F8A-C2D6-448B-879C-23825443CE00}"/>
  <tableColumns count="1">
    <tableColumn id="1" xr3:uid="{434154FA-9311-416C-ACA8-88DADAB12215}" name="FECHA ACTUALIZAD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" displayName="DATA_OCTUBRE" ref="L8:O131" totalsRowShown="0" headerRowBorderDxfId="41" tableBorderDxfId="40">
  <autoFilter ref="L8:O131" xr:uid="{9F0A99F2-3C50-482B-B8B8-6D475831019E}"/>
  <tableColumns count="4">
    <tableColumn id="5" xr3:uid="{1B15A4FD-BDA6-4277-BE48-B00A72E8A68D}" name="ORDEN"/>
    <tableColumn id="2" xr3:uid="{FD017399-1781-4BF7-BF22-C61DBDB7CC6F}" name="AL_AC" dataDxfId="39"/>
    <tableColumn id="3" xr3:uid="{EE681579-D463-48E9-A57F-B73D04925E37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B03F71B4-D73E-47CB-8F19-B1EBCB980D51}" name="ASER_" dataDxfId="38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NOVIEMBRE" displayName="DATA_NOVIEMBRE" ref="L8:O131" totalsRowShown="0" headerRowBorderDxfId="12" tableBorderDxfId="11">
  <autoFilter ref="L8:O131" xr:uid="{C43AC382-896C-48E3-967E-003D8C3BB4E1}"/>
  <tableColumns count="4">
    <tableColumn id="5" xr3:uid="{5EF1BDF5-5D92-451B-B3FE-9C0C3F273754}" name="ORDEN"/>
    <tableColumn id="2" xr3:uid="{6F4F1AB6-BBA7-498F-8826-77193C5F7DE1}" name="AL_AC" dataDxfId="10"/>
    <tableColumn id="3" xr3:uid="{5B364BF8-EC26-46F2-AE51-3F83141DA05A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DA0D3C8E-070D-4088-AECD-5F2EBC6508EA}" name="ASER_" dataDxfId="9">
      <calculatedColumnFormula>SETIEMBRE_2025!#REF!</calculatedColumnFormula>
    </tableColumn>
  </tableColumns>
  <tableStyleInfo name="TableStyleMedium1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157E6DB5-DBEF-4765-8C54-421FE1292109}" name="METAS" displayName="METAS" ref="H2:I8" tableType="queryTable" totalsRowShown="0" headerRowDxfId="8" dataDxfId="7" tableBorderDxfId="6">
  <autoFilter ref="H2:I8" xr:uid="{157E6DB5-DBEF-4765-8C54-421FE1292109}"/>
  <tableColumns count="2">
    <tableColumn id="1" xr3:uid="{26F0934B-E50F-42CF-A66C-9D2F25C81DE2}" uniqueName="1" name="EQUIPO" queryTableFieldId="1" dataDxfId="5"/>
    <tableColumn id="2" xr3:uid="{072170D7-1EF6-4A76-A51A-805888B3D025}" uniqueName="2" name="META" queryTableFieldId="2" dataDxfId="4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464700-4BE6-4EB4-8C7C-B3B75B01C5D5}" name="VALIDADOR" displayName="VALIDADOR" ref="H11:H13" tableType="queryTable" totalsRowShown="0">
  <autoFilter ref="H11:H13" xr:uid="{EE464700-4BE6-4EB4-8C7C-B3B75B01C5D5}"/>
  <tableColumns count="1">
    <tableColumn id="1" xr3:uid="{9C01A96C-8D4F-4E39-892D-1907E5CEA0DE}" uniqueName="1" name="FECHA ACTUALIZADA" queryTableFieldId="1" dataDxfId="3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7246F8-E762-4014-9448-47ED663716F6}" name="BDACTUAL" displayName="BDACTUAL" ref="A2:F92" tableType="queryTable" totalsRowShown="0">
  <autoFilter ref="A2:F92" xr:uid="{697246F8-E762-4014-9448-47ED663716F6}"/>
  <tableColumns count="6">
    <tableColumn id="1" xr3:uid="{96494F1D-5723-42AD-A97C-CE05D3162F81}" uniqueName="1" name="SUPER" queryTableFieldId="1" dataDxfId="2"/>
    <tableColumn id="2" xr3:uid="{F5E977B9-35E8-4109-8585-4308EC815BDF}" uniqueName="2" name="ASESOR_CRR" queryTableFieldId="2"/>
    <tableColumn id="3" xr3:uid="{91B3A398-3A43-473B-B8C6-6ADA301C0E82}" uniqueName="3" name="ASESOR" queryTableFieldId="3" dataDxfId="1"/>
    <tableColumn id="4" xr3:uid="{7F059C89-B051-4C98-A498-FD85275B85D2}" uniqueName="4" name="RECUPERO" queryTableFieldId="4"/>
    <tableColumn id="5" xr3:uid="{0B71DD63-A80E-4066-AA4E-9F2D441BB8DC}" uniqueName="5" name="ALCANCE" queryTableFieldId="5"/>
    <tableColumn id="6" xr3:uid="{9BE743C4-EA39-48C3-ACDB-2BF4F2C62BDF}" uniqueName="6" name="SUPER2" queryTableFieldId="6" dataDxfId="0">
      <calculatedColumnFormula>BDACTUAL[[#This Row],[SUPER]]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pivotTable" Target="../pivotTables/pivotTable7.xml"/><Relationship Id="rId7" Type="http://schemas.openxmlformats.org/officeDocument/2006/relationships/table" Target="../tables/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pivotTable" Target="../pivotTables/pivotTable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pivotTable" Target="../pivotTables/pivotTable11.xml"/><Relationship Id="rId7" Type="http://schemas.openxmlformats.org/officeDocument/2006/relationships/table" Target="../tables/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pivotTable" Target="../pivotTables/pivotTable1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pivotTable" Target="../pivotTables/pivotTable15.xml"/><Relationship Id="rId7" Type="http://schemas.openxmlformats.org/officeDocument/2006/relationships/table" Target="../tables/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pivotTable" Target="../pivotTables/pivot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pivotTable" Target="../pivotTables/pivotTable19.xml"/><Relationship Id="rId7" Type="http://schemas.openxmlformats.org/officeDocument/2006/relationships/table" Target="../tables/table19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pivotTable" Target="../pivotTables/pivotTable20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4.xml"/><Relationship Id="rId3" Type="http://schemas.openxmlformats.org/officeDocument/2006/relationships/pivotTable" Target="../pivotTables/pivotTable23.xml"/><Relationship Id="rId7" Type="http://schemas.openxmlformats.org/officeDocument/2006/relationships/table" Target="../tables/table23.xml"/><Relationship Id="rId2" Type="http://schemas.openxmlformats.org/officeDocument/2006/relationships/pivotTable" Target="../pivotTables/pivotTable22.xml"/><Relationship Id="rId1" Type="http://schemas.openxmlformats.org/officeDocument/2006/relationships/pivotTable" Target="../pivotTables/pivotTable21.xml"/><Relationship Id="rId6" Type="http://schemas.openxmlformats.org/officeDocument/2006/relationships/table" Target="../tables/table22.xml"/><Relationship Id="rId5" Type="http://schemas.openxmlformats.org/officeDocument/2006/relationships/table" Target="../tables/table21.xml"/><Relationship Id="rId4" Type="http://schemas.openxmlformats.org/officeDocument/2006/relationships/pivotTable" Target="../pivotTables/pivotTable2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8.xml"/><Relationship Id="rId3" Type="http://schemas.openxmlformats.org/officeDocument/2006/relationships/pivotTable" Target="../pivotTables/pivotTable27.xml"/><Relationship Id="rId7" Type="http://schemas.openxmlformats.org/officeDocument/2006/relationships/table" Target="../tables/table27.xml"/><Relationship Id="rId2" Type="http://schemas.openxmlformats.org/officeDocument/2006/relationships/pivotTable" Target="../pivotTables/pivotTable26.xml"/><Relationship Id="rId1" Type="http://schemas.openxmlformats.org/officeDocument/2006/relationships/pivotTable" Target="../pivotTables/pivotTable25.xml"/><Relationship Id="rId6" Type="http://schemas.openxmlformats.org/officeDocument/2006/relationships/table" Target="../tables/table26.xml"/><Relationship Id="rId5" Type="http://schemas.openxmlformats.org/officeDocument/2006/relationships/table" Target="../tables/table25.xml"/><Relationship Id="rId4" Type="http://schemas.openxmlformats.org/officeDocument/2006/relationships/pivotTable" Target="../pivotTables/pivotTable28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2.xml"/><Relationship Id="rId3" Type="http://schemas.openxmlformats.org/officeDocument/2006/relationships/pivotTable" Target="../pivotTables/pivotTable31.xml"/><Relationship Id="rId7" Type="http://schemas.openxmlformats.org/officeDocument/2006/relationships/table" Target="../tables/table31.xml"/><Relationship Id="rId2" Type="http://schemas.openxmlformats.org/officeDocument/2006/relationships/pivotTable" Target="../pivotTables/pivotTable30.xml"/><Relationship Id="rId1" Type="http://schemas.openxmlformats.org/officeDocument/2006/relationships/pivotTable" Target="../pivotTables/pivotTable29.xml"/><Relationship Id="rId6" Type="http://schemas.openxmlformats.org/officeDocument/2006/relationships/table" Target="../tables/table30.xml"/><Relationship Id="rId5" Type="http://schemas.openxmlformats.org/officeDocument/2006/relationships/table" Target="../tables/table29.xml"/><Relationship Id="rId4" Type="http://schemas.openxmlformats.org/officeDocument/2006/relationships/pivotTable" Target="../pivotTables/pivotTable32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6.xml"/><Relationship Id="rId3" Type="http://schemas.openxmlformats.org/officeDocument/2006/relationships/pivotTable" Target="../pivotTables/pivotTable35.xml"/><Relationship Id="rId7" Type="http://schemas.openxmlformats.org/officeDocument/2006/relationships/table" Target="../tables/table35.xml"/><Relationship Id="rId2" Type="http://schemas.openxmlformats.org/officeDocument/2006/relationships/pivotTable" Target="../pivotTables/pivotTable34.xml"/><Relationship Id="rId1" Type="http://schemas.openxmlformats.org/officeDocument/2006/relationships/pivotTable" Target="../pivotTables/pivotTable33.xml"/><Relationship Id="rId6" Type="http://schemas.openxmlformats.org/officeDocument/2006/relationships/table" Target="../tables/table34.xml"/><Relationship Id="rId5" Type="http://schemas.openxmlformats.org/officeDocument/2006/relationships/table" Target="../tables/table33.xml"/><Relationship Id="rId4" Type="http://schemas.openxmlformats.org/officeDocument/2006/relationships/pivotTable" Target="../pivotTables/pivotTable36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0.xml"/><Relationship Id="rId3" Type="http://schemas.openxmlformats.org/officeDocument/2006/relationships/pivotTable" Target="../pivotTables/pivotTable39.xml"/><Relationship Id="rId7" Type="http://schemas.openxmlformats.org/officeDocument/2006/relationships/table" Target="../tables/table39.xml"/><Relationship Id="rId2" Type="http://schemas.openxmlformats.org/officeDocument/2006/relationships/pivotTable" Target="../pivotTables/pivotTable38.xml"/><Relationship Id="rId1" Type="http://schemas.openxmlformats.org/officeDocument/2006/relationships/pivotTable" Target="../pivotTables/pivotTable37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pivotTable" Target="../pivotTables/pivotTable40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4.xml"/><Relationship Id="rId3" Type="http://schemas.openxmlformats.org/officeDocument/2006/relationships/pivotTable" Target="../pivotTables/pivotTable43.xml"/><Relationship Id="rId7" Type="http://schemas.openxmlformats.org/officeDocument/2006/relationships/table" Target="../tables/table43.xml"/><Relationship Id="rId2" Type="http://schemas.openxmlformats.org/officeDocument/2006/relationships/pivotTable" Target="../pivotTables/pivotTable42.xml"/><Relationship Id="rId1" Type="http://schemas.openxmlformats.org/officeDocument/2006/relationships/pivotTable" Target="../pivotTables/pivotTable41.xml"/><Relationship Id="rId6" Type="http://schemas.openxmlformats.org/officeDocument/2006/relationships/table" Target="../tables/table42.xml"/><Relationship Id="rId5" Type="http://schemas.openxmlformats.org/officeDocument/2006/relationships/table" Target="../tables/table41.xml"/><Relationship Id="rId4" Type="http://schemas.openxmlformats.org/officeDocument/2006/relationships/pivotTable" Target="../pivotTables/pivot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AB131"/>
  <sheetViews>
    <sheetView topLeftCell="Q1" zoomScale="85" zoomScaleNormal="85" workbookViewId="0">
      <selection activeCell="T24" sqref="T24"/>
    </sheetView>
  </sheetViews>
  <sheetFormatPr baseColWidth="10" defaultRowHeight="15" x14ac:dyDescent="0.25"/>
  <cols>
    <col min="1" max="1" width="9.28515625" hidden="1" customWidth="1"/>
    <col min="2" max="3" width="22.7109375" hidden="1" customWidth="1"/>
    <col min="4" max="4" width="13.42578125" hidden="1" customWidth="1"/>
    <col min="5" max="5" width="12" hidden="1" customWidth="1"/>
    <col min="6" max="6" width="10.28515625" hidden="1" customWidth="1"/>
    <col min="7" max="7" width="0" hidden="1" customWidth="1"/>
    <col min="8" max="8" width="9.42578125" hidden="1" customWidth="1"/>
    <col min="9" max="9" width="8.140625" hidden="1" customWidth="1"/>
    <col min="10" max="11" width="0" hidden="1" customWidth="1"/>
    <col min="12" max="12" width="10" hidden="1" customWidth="1"/>
    <col min="13" max="13" width="11.140625" hidden="1" customWidth="1"/>
    <col min="14" max="14" width="19.85546875" hidden="1" customWidth="1"/>
    <col min="15" max="15" width="22.7109375" hidden="1" customWidth="1"/>
    <col min="16" max="16" width="0" hidden="1" customWidth="1"/>
    <col min="18" max="18" width="22.5703125" bestFit="1" customWidth="1"/>
    <col min="19" max="19" width="12.28515625" bestFit="1" customWidth="1"/>
    <col min="21" max="21" width="22.7109375" bestFit="1" customWidth="1"/>
    <col min="22" max="22" width="11.7109375" bestFit="1" customWidth="1"/>
    <col min="24" max="24" width="21.7109375" bestFit="1" customWidth="1"/>
    <col min="25" max="25" width="11.7109375" bestFit="1" customWidth="1"/>
    <col min="27" max="27" width="20.140625" bestFit="1" customWidth="1"/>
    <col min="28" max="28" width="11.7109375" bestFit="1" customWidth="1"/>
  </cols>
  <sheetData>
    <row r="1" spans="1:28" ht="15.75" x14ac:dyDescent="0.25">
      <c r="R1" s="41" t="s">
        <v>181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28" ht="15.75" x14ac:dyDescent="0.25">
      <c r="A2" t="s">
        <v>110</v>
      </c>
      <c r="B2" t="s">
        <v>136</v>
      </c>
      <c r="C2" t="s">
        <v>0</v>
      </c>
      <c r="D2" t="s">
        <v>111</v>
      </c>
      <c r="E2" t="s">
        <v>1</v>
      </c>
      <c r="F2" t="s">
        <v>127</v>
      </c>
      <c r="H2" t="s">
        <v>110</v>
      </c>
      <c r="I2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19" t="str">
        <f>H14</f>
        <v>01/02</v>
      </c>
    </row>
    <row r="3" spans="1:28" ht="15.75" x14ac:dyDescent="0.25">
      <c r="A3" t="s">
        <v>5</v>
      </c>
      <c r="B3" t="str">
        <f>TRIM(C3)</f>
        <v>ANTHONY TORRES</v>
      </c>
      <c r="C3" t="s">
        <v>69</v>
      </c>
      <c r="D3">
        <v>49746</v>
      </c>
      <c r="E3">
        <f>D1_ENERO[[#This Row],[RECUPERO]]/VLOOKUP(D1_ENERO[[#This Row],[SUPER]],D2_ENERO[#All],2,0)</f>
        <v>0.8576896551724138</v>
      </c>
      <c r="F3" t="str">
        <f>D1_ENERO[[#This Row],[SUPER]]</f>
        <v>JORDAN</v>
      </c>
      <c r="H3" t="s">
        <v>5</v>
      </c>
      <c r="I3">
        <v>58000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20" t="str">
        <f>H15</f>
        <v>16:23</v>
      </c>
    </row>
    <row r="4" spans="1:28" x14ac:dyDescent="0.25">
      <c r="A4" t="s">
        <v>5</v>
      </c>
      <c r="B4" t="str">
        <f t="shared" ref="B4:B67" si="0">TRIM(C4)</f>
        <v>ANTHONY VICENTE</v>
      </c>
      <c r="C4" t="s">
        <v>85</v>
      </c>
      <c r="D4">
        <v>108853</v>
      </c>
      <c r="E4">
        <f>D1_ENERO[[#This Row],[RECUPERO]]/VLOOKUP(D1_ENERO[[#This Row],[SUPER]],D2_ENERO[#All],2,0)</f>
        <v>1.8767758620689656</v>
      </c>
      <c r="F4" t="str">
        <f>D1_ENERO[[#This Row],[SUPER]]</f>
        <v>JORDAN</v>
      </c>
      <c r="H4" t="s">
        <v>2</v>
      </c>
      <c r="I4">
        <v>22000</v>
      </c>
    </row>
    <row r="5" spans="1:28" ht="21" x14ac:dyDescent="0.35">
      <c r="A5" t="s">
        <v>5</v>
      </c>
      <c r="B5" t="str">
        <f t="shared" si="0"/>
        <v>AURORA FAUSTOR</v>
      </c>
      <c r="C5" t="s">
        <v>67</v>
      </c>
      <c r="D5">
        <v>58015</v>
      </c>
      <c r="E5">
        <f>D1_ENERO[[#This Row],[RECUPERO]]/VLOOKUP(D1_ENERO[[#This Row],[SUPER]],D2_ENERO[#All],2,0)</f>
        <v>1.0002586206896551</v>
      </c>
      <c r="F5" t="str">
        <f>D1_ENERO[[#This Row],[SUPER]]</f>
        <v>JORDAN</v>
      </c>
      <c r="H5" t="s">
        <v>6</v>
      </c>
      <c r="I5">
        <v>21000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t="s">
        <v>5</v>
      </c>
      <c r="B6" t="str">
        <f t="shared" si="0"/>
        <v>GIANFRANCO PINEDO</v>
      </c>
      <c r="C6" t="s">
        <v>13</v>
      </c>
      <c r="D6">
        <v>49437</v>
      </c>
      <c r="E6">
        <f>D1_ENERO[[#This Row],[RECUPERO]]/VLOOKUP(D1_ENERO[[#This Row],[SUPER]],D2_ENERO[#All],2,0)</f>
        <v>0.85236206896551725</v>
      </c>
      <c r="F6" t="str">
        <f>D1_ENERO[[#This Row],[SUPER]]</f>
        <v>JORDAN</v>
      </c>
      <c r="H6" t="s">
        <v>9</v>
      </c>
      <c r="I6">
        <v>21000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t="s">
        <v>5</v>
      </c>
      <c r="B7" t="str">
        <f t="shared" si="0"/>
        <v>GILBERTO PURIZACA</v>
      </c>
      <c r="C7" t="s">
        <v>66</v>
      </c>
      <c r="D7">
        <v>43408</v>
      </c>
      <c r="E7">
        <f>D1_ENERO[[#This Row],[RECUPERO]]/VLOOKUP(D1_ENERO[[#This Row],[SUPER]],D2_ENERO[#All],2,0)</f>
        <v>0.74841379310344824</v>
      </c>
      <c r="F7" t="str">
        <f>D1_ENERO[[#This Row],[SUPER]]</f>
        <v>JORDAN</v>
      </c>
      <c r="H7" t="s">
        <v>4</v>
      </c>
      <c r="I7">
        <v>58000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t="s">
        <v>5</v>
      </c>
      <c r="B8" t="str">
        <f t="shared" si="0"/>
        <v>JERSON RIVERA</v>
      </c>
      <c r="C8" t="s">
        <v>155</v>
      </c>
      <c r="D8">
        <v>37772</v>
      </c>
      <c r="E8">
        <f>D1_ENERO[[#This Row],[RECUPERO]]/VLOOKUP(D1_ENERO[[#This Row],[SUPER]],D2_ENERO[#All],2,0)</f>
        <v>0.65124137931034487</v>
      </c>
      <c r="F8" t="str">
        <f>D1_ENERO[[#This Row],[SUPER]]</f>
        <v>JORDAN</v>
      </c>
      <c r="H8" t="s">
        <v>154</v>
      </c>
      <c r="I8">
        <v>16500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59</v>
      </c>
      <c r="S8" s="3">
        <v>1.9245034482758621</v>
      </c>
      <c r="U8" s="15" t="s">
        <v>25</v>
      </c>
      <c r="V8" s="2">
        <v>0.92255172413793107</v>
      </c>
      <c r="X8" s="15" t="s">
        <v>19</v>
      </c>
      <c r="Y8" s="2">
        <v>0.65238095238095239</v>
      </c>
      <c r="AA8" s="15" t="s">
        <v>46</v>
      </c>
      <c r="AB8" s="2">
        <v>0.38954545454545453</v>
      </c>
    </row>
    <row r="9" spans="1:28" x14ac:dyDescent="0.25">
      <c r="A9" t="s">
        <v>5</v>
      </c>
      <c r="B9" t="str">
        <f t="shared" si="0"/>
        <v>MARGARITA PIANCHACHI</v>
      </c>
      <c r="C9" t="s">
        <v>17</v>
      </c>
      <c r="D9">
        <v>41562</v>
      </c>
      <c r="E9">
        <f>D1_ENERO[[#This Row],[RECUPERO]]/VLOOKUP(D1_ENERO[[#This Row],[SUPER]],D2_ENERO[#All],2,0)</f>
        <v>0.71658620689655173</v>
      </c>
      <c r="F9" t="str">
        <f>D1_ENERO[[#This Row],[SUPER]]</f>
        <v>JORDAN</v>
      </c>
      <c r="H9" t="s">
        <v>3</v>
      </c>
      <c r="I9">
        <v>58000</v>
      </c>
      <c r="L9">
        <v>1</v>
      </c>
      <c r="M9" s="1">
        <f>E3</f>
        <v>0.8576896551724138</v>
      </c>
      <c r="N9" t="str" cm="1">
        <f t="array" ref="N9">IFERROR(_xlfn.IFS(M9&gt;100%,"&gt;100%",AND(M9&lt;100%,M9&gt;70%),"&gt;70%",AND(M9&lt;70%,M9&gt;40%),"&gt;40%",AND(M9&lt;40%,M9&gt;0%),"&gt;0%"),"")</f>
        <v>&gt;70%</v>
      </c>
      <c r="O9" t="str">
        <f>B3</f>
        <v>ANTHONY TORRES</v>
      </c>
      <c r="R9" s="15" t="s">
        <v>85</v>
      </c>
      <c r="S9" s="3">
        <v>1.8767758620689656</v>
      </c>
      <c r="U9" s="15" t="s">
        <v>71</v>
      </c>
      <c r="V9" s="3">
        <v>0.9167333333333334</v>
      </c>
      <c r="X9" s="15" t="s">
        <v>155</v>
      </c>
      <c r="Y9" s="3">
        <v>0.65124137931034487</v>
      </c>
      <c r="AA9" s="15" t="s">
        <v>40</v>
      </c>
      <c r="AB9" s="3">
        <v>0.37945879310344827</v>
      </c>
    </row>
    <row r="10" spans="1:28" x14ac:dyDescent="0.25">
      <c r="A10" t="s">
        <v>5</v>
      </c>
      <c r="B10" t="str">
        <f t="shared" si="0"/>
        <v>MELISSA GUERRERO</v>
      </c>
      <c r="C10" t="s">
        <v>62</v>
      </c>
      <c r="D10">
        <v>60483</v>
      </c>
      <c r="E10">
        <f>D1_ENERO[[#This Row],[RECUPERO]]/VLOOKUP(D1_ENERO[[#This Row],[SUPER]],D2_ENERO[#All],2,0)</f>
        <v>1.0428103448275863</v>
      </c>
      <c r="F10" t="str">
        <f>D1_ENERO[[#This Row],[SUPER]]</f>
        <v>JORDAN</v>
      </c>
      <c r="L10">
        <v>2</v>
      </c>
      <c r="M10" s="1">
        <f t="shared" ref="M10:M73" si="1">E4</f>
        <v>1.8767758620689656</v>
      </c>
      <c r="N10" t="str" cm="1">
        <f t="array" ref="N10">IFERROR(_xlfn.IFS(M10&gt;100%,"&gt;100%",AND(M10&lt;100%,M10&gt;70%),"&gt;70%",AND(M10&lt;70%,M10&gt;40%),"&gt;40%",AND(M10&lt;40%,M10&gt;0%),"&gt;0%"),"")</f>
        <v>&gt;100%</v>
      </c>
      <c r="O10" t="str">
        <f t="shared" ref="O10:O73" si="2">B4</f>
        <v>ANTHONY VICENTE</v>
      </c>
      <c r="R10" s="15" t="s">
        <v>158</v>
      </c>
      <c r="S10" s="3">
        <v>1.7141904761904763</v>
      </c>
      <c r="U10" s="15" t="s">
        <v>83</v>
      </c>
      <c r="V10" s="3">
        <v>0.86575757575757573</v>
      </c>
      <c r="X10" s="15" t="s">
        <v>133</v>
      </c>
      <c r="Y10" s="3">
        <v>0.65109090909090905</v>
      </c>
      <c r="AA10" s="15" t="s">
        <v>78</v>
      </c>
      <c r="AB10" s="3">
        <v>0.36845454545454548</v>
      </c>
    </row>
    <row r="11" spans="1:28" x14ac:dyDescent="0.25">
      <c r="A11" t="s">
        <v>5</v>
      </c>
      <c r="B11" t="str">
        <f t="shared" si="0"/>
        <v/>
      </c>
      <c r="E11">
        <f>D1_ENERO[[#This Row],[RECUPERO]]/VLOOKUP(D1_ENERO[[#This Row],[SUPER]],D2_ENERO[#All],2,0)</f>
        <v>0</v>
      </c>
      <c r="F11" t="str">
        <f>D1_ENERO[[#This Row],[SUPER]]</f>
        <v>JORDAN</v>
      </c>
      <c r="L11">
        <v>3</v>
      </c>
      <c r="M11" s="1">
        <f t="shared" si="1"/>
        <v>1.0002586206896551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2"/>
        <v>AURORA FAUSTOR</v>
      </c>
      <c r="R11" s="15" t="s">
        <v>157</v>
      </c>
      <c r="S11" s="3">
        <v>1.611904761904762</v>
      </c>
      <c r="U11" s="15" t="s">
        <v>63</v>
      </c>
      <c r="V11" s="3">
        <v>0.85953275862068967</v>
      </c>
      <c r="X11" s="15" t="s">
        <v>57</v>
      </c>
      <c r="Y11" s="3">
        <v>0.64285689655172407</v>
      </c>
      <c r="AA11" s="15" t="s">
        <v>74</v>
      </c>
      <c r="AB11" s="3">
        <v>0.35457272727272726</v>
      </c>
    </row>
    <row r="12" spans="1:28" x14ac:dyDescent="0.25">
      <c r="A12" t="s">
        <v>5</v>
      </c>
      <c r="B12" t="str">
        <f t="shared" si="0"/>
        <v/>
      </c>
      <c r="E12">
        <f>D1_ENERO[[#This Row],[RECUPERO]]/VLOOKUP(D1_ENERO[[#This Row],[SUPER]],D2_ENERO[#All],2,0)</f>
        <v>0</v>
      </c>
      <c r="F12" t="str">
        <f>D1_ENERO[[#This Row],[SUPER]]</f>
        <v>JORDAN</v>
      </c>
      <c r="L12">
        <v>4</v>
      </c>
      <c r="M12" s="1">
        <f t="shared" si="1"/>
        <v>0.85236206896551725</v>
      </c>
      <c r="N12" t="str" cm="1">
        <f t="array" ref="N12">IFERROR(_xlfn.IFS(M12&gt;100%,"&gt;100%",AND(M12&lt;100%,M12&gt;70%),"&gt;70%",AND(M12&lt;70%,M12&gt;40%),"&gt;40%",AND(M12&lt;40%,M12&gt;0%),"&gt;0%"),"")</f>
        <v>&gt;70%</v>
      </c>
      <c r="O12" t="str">
        <f t="shared" si="2"/>
        <v>GIANFRANCO PINEDO</v>
      </c>
      <c r="R12" s="15" t="s">
        <v>75</v>
      </c>
      <c r="S12" s="3">
        <v>1.4346522413793104</v>
      </c>
      <c r="U12" s="15" t="s">
        <v>69</v>
      </c>
      <c r="V12" s="3">
        <v>0.8576896551724138</v>
      </c>
      <c r="X12" s="15" t="s">
        <v>15</v>
      </c>
      <c r="Y12" s="3">
        <v>0.61953809523809522</v>
      </c>
      <c r="AA12" s="15" t="s">
        <v>41</v>
      </c>
      <c r="AB12" s="3">
        <v>0.30009090909090907</v>
      </c>
    </row>
    <row r="13" spans="1:28" x14ac:dyDescent="0.25">
      <c r="A13" t="s">
        <v>5</v>
      </c>
      <c r="B13" t="str">
        <f t="shared" si="0"/>
        <v/>
      </c>
      <c r="E13">
        <f>D1_ENERO[[#This Row],[RECUPERO]]/VLOOKUP(D1_ENERO[[#This Row],[SUPER]],D2_ENERO[#All],2,0)</f>
        <v>0</v>
      </c>
      <c r="F13" t="str">
        <f>D1_ENERO[[#This Row],[SUPER]]</f>
        <v>JORDAN</v>
      </c>
      <c r="H13" t="s">
        <v>107</v>
      </c>
      <c r="L13">
        <v>5</v>
      </c>
      <c r="M13" s="1">
        <f t="shared" si="1"/>
        <v>0.74841379310344824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2"/>
        <v>GILBERTO PURIZACA</v>
      </c>
      <c r="R13" s="15" t="s">
        <v>60</v>
      </c>
      <c r="S13" s="3">
        <v>1.3566206896551725</v>
      </c>
      <c r="U13" s="15" t="s">
        <v>13</v>
      </c>
      <c r="V13" s="3">
        <v>0.85236206896551725</v>
      </c>
      <c r="X13" s="15" t="s">
        <v>58</v>
      </c>
      <c r="Y13" s="3">
        <v>0.60502586206896547</v>
      </c>
      <c r="AA13" s="15" t="s">
        <v>50</v>
      </c>
      <c r="AB13" s="3">
        <v>0.24771428571428572</v>
      </c>
    </row>
    <row r="14" spans="1:28" x14ac:dyDescent="0.25">
      <c r="A14" t="s">
        <v>5</v>
      </c>
      <c r="B14" t="str">
        <f t="shared" si="0"/>
        <v/>
      </c>
      <c r="E14">
        <f>D1_ENERO[[#This Row],[RECUPERO]]/VLOOKUP(D1_ENERO[[#This Row],[SUPER]],D2_ENERO[#All],2,0)</f>
        <v>0</v>
      </c>
      <c r="F14" t="str">
        <f>D1_ENERO[[#This Row],[SUPER]]</f>
        <v>JORDAN</v>
      </c>
      <c r="H14" s="27" t="s">
        <v>163</v>
      </c>
      <c r="L14">
        <v>6</v>
      </c>
      <c r="M14" s="1">
        <f t="shared" si="1"/>
        <v>0.65124137931034487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2"/>
        <v>JERSON RIVERA</v>
      </c>
      <c r="R14" s="15" t="s">
        <v>23</v>
      </c>
      <c r="S14" s="3">
        <v>1.2074137931034483</v>
      </c>
      <c r="U14" s="15" t="s">
        <v>161</v>
      </c>
      <c r="V14" s="3">
        <v>0.85039086206896553</v>
      </c>
      <c r="X14" s="15" t="s">
        <v>30</v>
      </c>
      <c r="Y14" s="3">
        <v>0.58684482758620693</v>
      </c>
      <c r="AA14" s="15" t="s">
        <v>65</v>
      </c>
      <c r="AB14" s="3">
        <v>0.15939393939393939</v>
      </c>
    </row>
    <row r="15" spans="1:28" x14ac:dyDescent="0.25">
      <c r="A15" t="s">
        <v>5</v>
      </c>
      <c r="B15" t="str">
        <f t="shared" si="0"/>
        <v/>
      </c>
      <c r="E15">
        <f>D1_ENERO[[#This Row],[RECUPERO]]/VLOOKUP(D1_ENERO[[#This Row],[SUPER]],D2_ENERO[#All],2,0)</f>
        <v>0</v>
      </c>
      <c r="F15" t="str">
        <f>D1_ENERO[[#This Row],[SUPER]]</f>
        <v>JORDAN</v>
      </c>
      <c r="H15" s="27" t="s">
        <v>164</v>
      </c>
      <c r="L15">
        <v>7</v>
      </c>
      <c r="M15" s="1">
        <f t="shared" si="1"/>
        <v>0.71658620689655173</v>
      </c>
      <c r="N15" t="str" cm="1">
        <f t="array" ref="N15">IFERROR(_xlfn.IFS(M15&gt;100%,"&gt;100%",AND(M15&lt;100%,M15&gt;70%),"&gt;70%",AND(M15&lt;70%,M15&gt;40%),"&gt;40%",AND(M15&lt;40%,M15&gt;0%),"&gt;0%"),"")</f>
        <v>&gt;70%</v>
      </c>
      <c r="O15" t="str">
        <f t="shared" si="2"/>
        <v>MARGARITA PIANCHACHI</v>
      </c>
      <c r="R15" s="15" t="s">
        <v>29</v>
      </c>
      <c r="S15" s="3">
        <v>1.2047857142857143</v>
      </c>
      <c r="U15" s="15" t="s">
        <v>70</v>
      </c>
      <c r="V15" s="3">
        <v>0.82548095238095232</v>
      </c>
      <c r="X15" s="15" t="s">
        <v>10</v>
      </c>
      <c r="Y15" s="3">
        <v>0.58684482758620693</v>
      </c>
      <c r="AA15" s="15" t="s">
        <v>162</v>
      </c>
      <c r="AB15" s="3">
        <v>0.15712068965517242</v>
      </c>
    </row>
    <row r="16" spans="1:28" x14ac:dyDescent="0.25">
      <c r="A16" t="s">
        <v>5</v>
      </c>
      <c r="B16" t="str">
        <f t="shared" si="0"/>
        <v/>
      </c>
      <c r="E16">
        <f>D1_ENERO[[#This Row],[RECUPERO]]/VLOOKUP(D1_ENERO[[#This Row],[SUPER]],D2_ENERO[#All],2,0)</f>
        <v>0</v>
      </c>
      <c r="F16" t="str">
        <f>D1_ENERO[[#This Row],[SUPER]]</f>
        <v>JORDAN</v>
      </c>
      <c r="L16">
        <v>8</v>
      </c>
      <c r="M16" s="1">
        <f t="shared" si="1"/>
        <v>1.0428103448275863</v>
      </c>
      <c r="N16" t="str" cm="1">
        <f t="array" ref="N16">IFERROR(_xlfn.IFS(M16&gt;100%,"&gt;100%",AND(M16&lt;100%,M16&gt;70%),"&gt;70%",AND(M16&lt;70%,M16&gt;40%),"&gt;40%",AND(M16&lt;40%,M16&gt;0%),"&gt;0%"),"")</f>
        <v>&gt;100%</v>
      </c>
      <c r="O16" t="str">
        <f t="shared" si="2"/>
        <v>MELISSA GUERRERO</v>
      </c>
      <c r="R16" s="15" t="s">
        <v>80</v>
      </c>
      <c r="S16" s="3">
        <v>1.2020606060606061</v>
      </c>
      <c r="U16" s="15" t="s">
        <v>11</v>
      </c>
      <c r="V16" s="3">
        <v>0.82144827586206892</v>
      </c>
      <c r="X16" s="15" t="s">
        <v>77</v>
      </c>
      <c r="Y16" s="3">
        <v>0.57263636363636361</v>
      </c>
      <c r="AA16" s="15" t="s">
        <v>156</v>
      </c>
      <c r="AB16" s="3">
        <v>0.13309090909090909</v>
      </c>
    </row>
    <row r="17" spans="1:28" x14ac:dyDescent="0.25">
      <c r="A17" t="s">
        <v>5</v>
      </c>
      <c r="B17" t="str">
        <f t="shared" si="0"/>
        <v/>
      </c>
      <c r="E17">
        <f>D1_ENERO[[#This Row],[RECUPERO]]/VLOOKUP(D1_ENERO[[#This Row],[SUPER]],D2_ENERO[#All],2,0)</f>
        <v>0</v>
      </c>
      <c r="F17" t="str">
        <f>D1_ENERO[[#This Row],[SUPER]]</f>
        <v>JORDAN</v>
      </c>
      <c r="L17">
        <v>9</v>
      </c>
      <c r="M17" s="1">
        <f t="shared" si="1"/>
        <v>0</v>
      </c>
      <c r="N17" t="str" cm="1">
        <f t="array" ref="N17">IFERROR(_xlfn.IFS(M17&gt;100%,"&gt;100%",AND(M17&lt;100%,M17&gt;70%),"&gt;70%",AND(M17&lt;70%,M17&gt;40%),"&gt;40%",AND(M17&lt;40%,M17&gt;0%),"&gt;0%"),"")</f>
        <v/>
      </c>
      <c r="O17" t="str">
        <f t="shared" si="2"/>
        <v/>
      </c>
      <c r="R17" s="15" t="s">
        <v>49</v>
      </c>
      <c r="S17" s="3">
        <v>1.1492121212121211</v>
      </c>
      <c r="U17" s="15" t="s">
        <v>33</v>
      </c>
      <c r="V17" s="3">
        <v>0.7518424242424242</v>
      </c>
      <c r="X17" s="15" t="s">
        <v>112</v>
      </c>
      <c r="Y17" s="3">
        <v>0.57030303030303031</v>
      </c>
      <c r="AA17" s="15" t="s">
        <v>51</v>
      </c>
      <c r="AB17" s="3">
        <v>7.6190476190476197E-2</v>
      </c>
    </row>
    <row r="18" spans="1:28" x14ac:dyDescent="0.25">
      <c r="A18" t="s">
        <v>2</v>
      </c>
      <c r="B18" t="str">
        <f t="shared" si="0"/>
        <v>CHRISTIAN ALVARADO</v>
      </c>
      <c r="C18" t="s">
        <v>41</v>
      </c>
      <c r="D18">
        <v>6602</v>
      </c>
      <c r="E18">
        <f>D1_ENERO[[#This Row],[RECUPERO]]/VLOOKUP(D1_ENERO[[#This Row],[SUPER]],D2_ENERO[#All],2,0)</f>
        <v>0.30009090909090907</v>
      </c>
      <c r="F18" t="str">
        <f>D1_ENERO[[#This Row],[SUPER]]</f>
        <v>JORGE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R18" s="15" t="s">
        <v>14</v>
      </c>
      <c r="S18" s="3">
        <v>1.1386666666666667</v>
      </c>
      <c r="U18" s="15" t="s">
        <v>66</v>
      </c>
      <c r="V18" s="3">
        <v>0.74841379310344824</v>
      </c>
      <c r="X18" s="15" t="s">
        <v>128</v>
      </c>
      <c r="Y18" s="3">
        <v>0.56958571428571425</v>
      </c>
      <c r="AA18" s="15" t="s">
        <v>27</v>
      </c>
      <c r="AB18" s="4">
        <v>6.1904761904761907E-2</v>
      </c>
    </row>
    <row r="19" spans="1:28" x14ac:dyDescent="0.25">
      <c r="A19" t="s">
        <v>2</v>
      </c>
      <c r="B19" t="str">
        <f t="shared" si="0"/>
        <v>FRANS TACSI</v>
      </c>
      <c r="C19" t="s">
        <v>16</v>
      </c>
      <c r="D19">
        <v>11031</v>
      </c>
      <c r="E19">
        <f>D1_ENERO[[#This Row],[RECUPERO]]/VLOOKUP(D1_ENERO[[#This Row],[SUPER]],D2_ENERO[#All],2,0)</f>
        <v>0.50140909090909092</v>
      </c>
      <c r="F19" t="str">
        <f>D1_ENERO[[#This Row],[SUPER]]</f>
        <v>JORGE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R19" s="15" t="s">
        <v>159</v>
      </c>
      <c r="S19" s="3">
        <v>1.1361904761904762</v>
      </c>
      <c r="U19" s="15" t="s">
        <v>34</v>
      </c>
      <c r="V19" s="3">
        <v>0.74604761904761907</v>
      </c>
      <c r="X19" s="15" t="s">
        <v>32</v>
      </c>
      <c r="Y19" s="3">
        <v>0.54387272727272729</v>
      </c>
    </row>
    <row r="20" spans="1:28" x14ac:dyDescent="0.25">
      <c r="A20" t="s">
        <v>2</v>
      </c>
      <c r="B20" t="str">
        <f t="shared" si="0"/>
        <v>GENESIS VICUNA</v>
      </c>
      <c r="C20" t="s">
        <v>12</v>
      </c>
      <c r="D20">
        <v>22960</v>
      </c>
      <c r="E20">
        <f>D1_ENERO[[#This Row],[RECUPERO]]/VLOOKUP(D1_ENERO[[#This Row],[SUPER]],D2_ENERO[#All],2,0)</f>
        <v>1.0436363636363637</v>
      </c>
      <c r="F20" t="str">
        <f>D1_ENERO[[#This Row],[SUPER]]</f>
        <v>JORGE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R20" s="15" t="s">
        <v>26</v>
      </c>
      <c r="S20" s="3">
        <v>1.1077272727272727</v>
      </c>
      <c r="U20" s="15" t="s">
        <v>17</v>
      </c>
      <c r="V20" s="4">
        <v>0.71658620689655173</v>
      </c>
      <c r="X20" s="15" t="s">
        <v>42</v>
      </c>
      <c r="Y20" s="3">
        <v>0.50987142857142853</v>
      </c>
    </row>
    <row r="21" spans="1:28" x14ac:dyDescent="0.25">
      <c r="A21" t="s">
        <v>2</v>
      </c>
      <c r="B21" t="str">
        <f t="shared" si="0"/>
        <v>GIANNINA AGUILAR</v>
      </c>
      <c r="C21" t="s">
        <v>32</v>
      </c>
      <c r="D21">
        <v>11965.2</v>
      </c>
      <c r="E21">
        <f>D1_ENERO[[#This Row],[RECUPERO]]/VLOOKUP(D1_ENERO[[#This Row],[SUPER]],D2_ENERO[#All],2,0)</f>
        <v>0.54387272727272729</v>
      </c>
      <c r="F21" t="str">
        <f>D1_ENERO[[#This Row],[SUPER]]</f>
        <v>JORGE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R21" s="15" t="s">
        <v>18</v>
      </c>
      <c r="S21" s="3">
        <v>1.1067878787878789</v>
      </c>
      <c r="X21" s="15" t="s">
        <v>16</v>
      </c>
      <c r="Y21" s="3">
        <v>0.50140909090909092</v>
      </c>
    </row>
    <row r="22" spans="1:28" x14ac:dyDescent="0.25">
      <c r="A22" t="s">
        <v>2</v>
      </c>
      <c r="B22" t="str">
        <f t="shared" si="0"/>
        <v>JENY LAZARO</v>
      </c>
      <c r="C22" t="s">
        <v>26</v>
      </c>
      <c r="D22">
        <v>24370</v>
      </c>
      <c r="E22">
        <f>D1_ENERO[[#This Row],[RECUPERO]]/VLOOKUP(D1_ENERO[[#This Row],[SUPER]],D2_ENERO[#All],2,0)</f>
        <v>1.1077272727272727</v>
      </c>
      <c r="F22" t="str">
        <f>D1_ENERO[[#This Row],[SUPER]]</f>
        <v>JORGE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R22" s="15" t="s">
        <v>31</v>
      </c>
      <c r="S22" s="3">
        <v>1.1061904761904762</v>
      </c>
      <c r="X22" s="15" t="s">
        <v>21</v>
      </c>
      <c r="Y22" s="3">
        <v>0.47914285714285715</v>
      </c>
    </row>
    <row r="23" spans="1:28" x14ac:dyDescent="0.25">
      <c r="A23" t="s">
        <v>2</v>
      </c>
      <c r="B23" t="str">
        <f t="shared" si="0"/>
        <v>JOANA GIL</v>
      </c>
      <c r="C23" t="s">
        <v>133</v>
      </c>
      <c r="D23">
        <v>14324</v>
      </c>
      <c r="E23">
        <f>D1_ENERO[[#This Row],[RECUPERO]]/VLOOKUP(D1_ENERO[[#This Row],[SUPER]],D2_ENERO[#All],2,0)</f>
        <v>0.65109090909090905</v>
      </c>
      <c r="F23" t="str">
        <f>D1_ENERO[[#This Row],[SUPER]]</f>
        <v>JORGE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R23" s="15" t="s">
        <v>36</v>
      </c>
      <c r="S23" s="3">
        <v>1.0646666666666667</v>
      </c>
      <c r="X23" s="15" t="s">
        <v>48</v>
      </c>
      <c r="Y23" s="3">
        <v>0.450347619047619</v>
      </c>
    </row>
    <row r="24" spans="1:28" x14ac:dyDescent="0.25">
      <c r="A24" t="s">
        <v>2</v>
      </c>
      <c r="B24" t="str">
        <f t="shared" si="0"/>
        <v>JUAN ALANOCCA</v>
      </c>
      <c r="C24" t="s">
        <v>77</v>
      </c>
      <c r="D24">
        <v>12598</v>
      </c>
      <c r="E24">
        <f>D1_ENERO[[#This Row],[RECUPERO]]/VLOOKUP(D1_ENERO[[#This Row],[SUPER]],D2_ENERO[#All],2,0)</f>
        <v>0.57263636363636361</v>
      </c>
      <c r="F24" t="str">
        <f>D1_ENERO[[#This Row],[SUPER]]</f>
        <v>JORGE</v>
      </c>
      <c r="L24">
        <v>1</v>
      </c>
      <c r="M24" s="1">
        <f t="shared" si="1"/>
        <v>0.30009090909090907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2"/>
        <v>CHRISTIAN ALVARADO</v>
      </c>
      <c r="R24" s="15" t="s">
        <v>37</v>
      </c>
      <c r="S24" s="3">
        <v>1.0635238095238095</v>
      </c>
      <c r="X24" s="15" t="s">
        <v>73</v>
      </c>
      <c r="Y24" s="3">
        <v>0.42004761904761906</v>
      </c>
    </row>
    <row r="25" spans="1:28" x14ac:dyDescent="0.25">
      <c r="A25" t="s">
        <v>2</v>
      </c>
      <c r="B25" t="str">
        <f t="shared" si="0"/>
        <v>KATYUSCA LEVANO</v>
      </c>
      <c r="C25" t="s">
        <v>46</v>
      </c>
      <c r="D25">
        <v>8570</v>
      </c>
      <c r="E25">
        <f>D1_ENERO[[#This Row],[RECUPERO]]/VLOOKUP(D1_ENERO[[#This Row],[SUPER]],D2_ENERO[#All],2,0)</f>
        <v>0.38954545454545453</v>
      </c>
      <c r="F25" t="str">
        <f>D1_ENERO[[#This Row],[SUPER]]</f>
        <v>JORGE</v>
      </c>
      <c r="L25">
        <v>2</v>
      </c>
      <c r="M25" s="1">
        <f t="shared" si="1"/>
        <v>0.50140909090909092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2"/>
        <v>FRANS TACSI</v>
      </c>
      <c r="R25" s="15" t="s">
        <v>68</v>
      </c>
      <c r="S25" s="3">
        <v>1.0626060606060606</v>
      </c>
      <c r="X25" s="15" t="s">
        <v>20</v>
      </c>
      <c r="Y25" s="3">
        <v>0.41710189655172414</v>
      </c>
    </row>
    <row r="26" spans="1:28" x14ac:dyDescent="0.25">
      <c r="A26" t="s">
        <v>2</v>
      </c>
      <c r="B26" t="str">
        <f t="shared" si="0"/>
        <v>NARDIA URPIS</v>
      </c>
      <c r="C26" t="s">
        <v>74</v>
      </c>
      <c r="D26">
        <v>7800.6</v>
      </c>
      <c r="E26">
        <f>D1_ENERO[[#This Row],[RECUPERO]]/VLOOKUP(D1_ENERO[[#This Row],[SUPER]],D2_ENERO[#All],2,0)</f>
        <v>0.35457272727272726</v>
      </c>
      <c r="F26" t="str">
        <f>D1_ENERO[[#This Row],[SUPER]]</f>
        <v>JORGE</v>
      </c>
      <c r="L26">
        <v>3</v>
      </c>
      <c r="M26" s="1">
        <f t="shared" si="1"/>
        <v>1.0436363636363637</v>
      </c>
      <c r="N26" t="str" cm="1">
        <f t="array" ref="N26">IFERROR(_xlfn.IFS(M26&gt;100%,"&gt;100%",AND(M26&lt;100%,M26&gt;70%),"&gt;70%",AND(M26&lt;70%,M26&gt;40%),"&gt;40%",AND(M26&lt;40%,M26&gt;0%),"&gt;0%"),"")</f>
        <v>&gt;100%</v>
      </c>
      <c r="O26" t="str">
        <f t="shared" si="2"/>
        <v>GENESIS VICUNA</v>
      </c>
      <c r="R26" s="15" t="s">
        <v>12</v>
      </c>
      <c r="S26" s="3">
        <v>1.0436363636363637</v>
      </c>
      <c r="X26" s="15" t="s">
        <v>81</v>
      </c>
      <c r="Y26" s="4">
        <v>0.41139655172413792</v>
      </c>
    </row>
    <row r="27" spans="1:28" x14ac:dyDescent="0.25">
      <c r="A27" t="s">
        <v>2</v>
      </c>
      <c r="B27" t="str">
        <f t="shared" si="0"/>
        <v>PAMELA ALBITES</v>
      </c>
      <c r="C27" t="s">
        <v>156</v>
      </c>
      <c r="D27">
        <v>2928</v>
      </c>
      <c r="E27">
        <f>D1_ENERO[[#This Row],[RECUPERO]]/VLOOKUP(D1_ENERO[[#This Row],[SUPER]],D2_ENERO[#All],2,0)</f>
        <v>0.13309090909090909</v>
      </c>
      <c r="F27" t="str">
        <f>D1_ENERO[[#This Row],[SUPER]]</f>
        <v>JORGE</v>
      </c>
      <c r="L27">
        <v>4</v>
      </c>
      <c r="M27" s="1">
        <f t="shared" si="1"/>
        <v>0.54387272727272729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2"/>
        <v>GIANNINA AGUILAR</v>
      </c>
      <c r="R27" s="15" t="s">
        <v>62</v>
      </c>
      <c r="S27" s="3">
        <v>1.0428103448275863</v>
      </c>
    </row>
    <row r="28" spans="1:28" x14ac:dyDescent="0.25">
      <c r="A28" t="s">
        <v>2</v>
      </c>
      <c r="B28" t="str">
        <f t="shared" si="0"/>
        <v>URSULA CENTENO</v>
      </c>
      <c r="C28" t="s">
        <v>78</v>
      </c>
      <c r="D28">
        <v>8106</v>
      </c>
      <c r="E28">
        <f>D1_ENERO[[#This Row],[RECUPERO]]/VLOOKUP(D1_ENERO[[#This Row],[SUPER]],D2_ENERO[#All],2,0)</f>
        <v>0.36845454545454548</v>
      </c>
      <c r="F28" t="str">
        <f>D1_ENERO[[#This Row],[SUPER]]</f>
        <v>JORGE</v>
      </c>
      <c r="L28">
        <v>5</v>
      </c>
      <c r="M28" s="1">
        <f t="shared" si="1"/>
        <v>1.1077272727272727</v>
      </c>
      <c r="N28" t="str" cm="1">
        <f t="array" ref="N28">IFERROR(_xlfn.IFS(M28&gt;100%,"&gt;100%",AND(M28&lt;100%,M28&gt;70%),"&gt;70%",AND(M28&lt;70%,M28&gt;40%),"&gt;40%",AND(M28&lt;40%,M28&gt;0%),"&gt;0%"),"")</f>
        <v>&gt;100%</v>
      </c>
      <c r="O28" t="str">
        <f t="shared" si="2"/>
        <v>JENY LAZARO</v>
      </c>
      <c r="R28" s="15" t="s">
        <v>35</v>
      </c>
      <c r="S28" s="3">
        <v>1.0185714285714285</v>
      </c>
    </row>
    <row r="29" spans="1:28" x14ac:dyDescent="0.25">
      <c r="A29" t="s">
        <v>2</v>
      </c>
      <c r="B29" t="str">
        <f t="shared" si="0"/>
        <v/>
      </c>
      <c r="E29">
        <f>D1_ENERO[[#This Row],[RECUPERO]]/VLOOKUP(D1_ENERO[[#This Row],[SUPER]],D2_ENERO[#All],2,0)</f>
        <v>0</v>
      </c>
      <c r="F29" t="str">
        <f>D1_ENERO[[#This Row],[SUPER]]</f>
        <v>JORGE</v>
      </c>
      <c r="L29">
        <v>6</v>
      </c>
      <c r="M29" s="1">
        <f t="shared" si="1"/>
        <v>0.65109090909090905</v>
      </c>
      <c r="N29" t="str" cm="1">
        <f t="array" ref="N29">IFERROR(_xlfn.IFS(M29&gt;100%,"&gt;100%",AND(M29&lt;100%,M29&gt;70%),"&gt;70%",AND(M29&lt;70%,M29&gt;40%),"&gt;40%",AND(M29&lt;40%,M29&gt;0%),"&gt;0%"),"")</f>
        <v>&gt;40%</v>
      </c>
      <c r="O29" t="str">
        <f t="shared" si="2"/>
        <v>JOANA GIL</v>
      </c>
      <c r="R29" s="15" t="s">
        <v>67</v>
      </c>
      <c r="S29" s="4">
        <v>1.0002586206896551</v>
      </c>
    </row>
    <row r="30" spans="1:28" x14ac:dyDescent="0.25">
      <c r="A30" t="s">
        <v>2</v>
      </c>
      <c r="B30" t="str">
        <f t="shared" si="0"/>
        <v/>
      </c>
      <c r="E30">
        <f>D1_ENERO[[#This Row],[RECUPERO]]/VLOOKUP(D1_ENERO[[#This Row],[SUPER]],D2_ENERO[#All],2,0)</f>
        <v>0</v>
      </c>
      <c r="F30" t="str">
        <f>D1_ENERO[[#This Row],[SUPER]]</f>
        <v>JORGE</v>
      </c>
      <c r="L30">
        <v>7</v>
      </c>
      <c r="M30" s="1">
        <f t="shared" si="1"/>
        <v>0.57263636363636361</v>
      </c>
      <c r="N30" t="str" cm="1">
        <f t="array" ref="N30">IFERROR(_xlfn.IFS(M30&gt;100%,"&gt;100%",AND(M30&lt;100%,M30&gt;70%),"&gt;70%",AND(M30&lt;70%,M30&gt;40%),"&gt;40%",AND(M30&lt;40%,M30&gt;0%),"&gt;0%"),"")</f>
        <v>&gt;40%</v>
      </c>
      <c r="O30" t="str">
        <f t="shared" si="2"/>
        <v>JUAN ALANOCCA</v>
      </c>
    </row>
    <row r="31" spans="1:28" x14ac:dyDescent="0.25">
      <c r="A31" t="s">
        <v>2</v>
      </c>
      <c r="B31" t="str">
        <f t="shared" si="0"/>
        <v/>
      </c>
      <c r="E31">
        <f>D1_ENERO[[#This Row],[RECUPERO]]/VLOOKUP(D1_ENERO[[#This Row],[SUPER]],D2_ENERO[#All],2,0)</f>
        <v>0</v>
      </c>
      <c r="F31" t="str">
        <f>D1_ENERO[[#This Row],[SUPER]]</f>
        <v>JORGE</v>
      </c>
      <c r="L31">
        <v>8</v>
      </c>
      <c r="M31" s="1">
        <f t="shared" si="1"/>
        <v>0.38954545454545453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2"/>
        <v>KATYUSCA LEVANO</v>
      </c>
    </row>
    <row r="32" spans="1:28" x14ac:dyDescent="0.25">
      <c r="A32" t="s">
        <v>2</v>
      </c>
      <c r="B32" t="str">
        <f t="shared" si="0"/>
        <v/>
      </c>
      <c r="E32">
        <f>D1_ENERO[[#This Row],[RECUPERO]]/VLOOKUP(D1_ENERO[[#This Row],[SUPER]],D2_ENERO[#All],2,0)</f>
        <v>0</v>
      </c>
      <c r="F32" t="str">
        <f>D1_ENERO[[#This Row],[SUPER]]</f>
        <v>JORGE</v>
      </c>
      <c r="L32">
        <v>9</v>
      </c>
      <c r="M32" s="1">
        <f t="shared" si="1"/>
        <v>0.35457272727272726</v>
      </c>
      <c r="N32" t="str" cm="1">
        <f t="array" ref="N32">IFERROR(_xlfn.IFS(M32&gt;100%,"&gt;100%",AND(M32&lt;100%,M32&gt;70%),"&gt;70%",AND(M32&lt;70%,M32&gt;40%),"&gt;40%",AND(M32&lt;40%,M32&gt;0%),"&gt;0%"),"")</f>
        <v>&gt;0%</v>
      </c>
      <c r="O32" t="str">
        <f t="shared" si="2"/>
        <v>NARDIA URPIS</v>
      </c>
    </row>
    <row r="33" spans="1:15" x14ac:dyDescent="0.25">
      <c r="A33" t="s">
        <v>6</v>
      </c>
      <c r="B33" t="str">
        <f t="shared" si="0"/>
        <v>BRYAN VELASQUEZ</v>
      </c>
      <c r="C33" t="s">
        <v>157</v>
      </c>
      <c r="D33">
        <v>33850</v>
      </c>
      <c r="E33">
        <f>D1_ENERO[[#This Row],[RECUPERO]]/VLOOKUP(D1_ENERO[[#This Row],[SUPER]],D2_ENERO[#All],2,0)</f>
        <v>1.611904761904762</v>
      </c>
      <c r="F33" t="str">
        <f>D1_ENERO[[#This Row],[SUPER]]</f>
        <v>KENNETH</v>
      </c>
      <c r="L33">
        <v>10</v>
      </c>
      <c r="M33" s="1">
        <f t="shared" si="1"/>
        <v>0.13309090909090909</v>
      </c>
      <c r="N33" t="str" cm="1">
        <f t="array" ref="N33">IFERROR(_xlfn.IFS(M33&gt;100%,"&gt;100%",AND(M33&lt;100%,M33&gt;70%),"&gt;70%",AND(M33&lt;70%,M33&gt;40%),"&gt;40%",AND(M33&lt;40%,M33&gt;0%),"&gt;0%"),"")</f>
        <v>&gt;0%</v>
      </c>
      <c r="O33" t="str">
        <f t="shared" si="2"/>
        <v>PAMELA ALBITES</v>
      </c>
    </row>
    <row r="34" spans="1:15" x14ac:dyDescent="0.25">
      <c r="A34" t="s">
        <v>6</v>
      </c>
      <c r="B34" t="str">
        <f t="shared" si="0"/>
        <v>CARMEN PUMA</v>
      </c>
      <c r="C34" t="s">
        <v>19</v>
      </c>
      <c r="D34">
        <v>13700</v>
      </c>
      <c r="E34">
        <f>D1_ENERO[[#This Row],[RECUPERO]]/VLOOKUP(D1_ENERO[[#This Row],[SUPER]],D2_ENERO[#All],2,0)</f>
        <v>0.65238095238095239</v>
      </c>
      <c r="F34" t="str">
        <f>D1_ENERO[[#This Row],[SUPER]]</f>
        <v>KENNETH</v>
      </c>
      <c r="L34">
        <v>11</v>
      </c>
      <c r="M34" s="1">
        <f t="shared" si="1"/>
        <v>0.36845454545454548</v>
      </c>
      <c r="N34" t="str" cm="1">
        <f t="array" ref="N34">IFERROR(_xlfn.IFS(M34&gt;100%,"&gt;100%",AND(M34&lt;100%,M34&gt;70%),"&gt;70%",AND(M34&lt;70%,M34&gt;40%),"&gt;40%",AND(M34&lt;40%,M34&gt;0%),"&gt;0%"),"")</f>
        <v>&gt;0%</v>
      </c>
      <c r="O34" t="str">
        <f t="shared" si="2"/>
        <v>URSULA CENTENO</v>
      </c>
    </row>
    <row r="35" spans="1:15" x14ac:dyDescent="0.25">
      <c r="A35" t="s">
        <v>6</v>
      </c>
      <c r="B35" t="str">
        <f t="shared" si="0"/>
        <v>JIMENA MEDINA</v>
      </c>
      <c r="C35" t="s">
        <v>37</v>
      </c>
      <c r="D35">
        <v>22334</v>
      </c>
      <c r="E35">
        <f>D1_ENERO[[#This Row],[RECUPERO]]/VLOOKUP(D1_ENERO[[#This Row],[SUPER]],D2_ENERO[#All],2,0)</f>
        <v>1.0635238095238095</v>
      </c>
      <c r="F35" t="str">
        <f>D1_ENERO[[#This Row],[SUPER]]</f>
        <v>KENNETH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</row>
    <row r="36" spans="1:15" x14ac:dyDescent="0.25">
      <c r="A36" t="s">
        <v>6</v>
      </c>
      <c r="B36" t="str">
        <f t="shared" si="0"/>
        <v>JUAN LOZA</v>
      </c>
      <c r="C36" t="s">
        <v>35</v>
      </c>
      <c r="D36">
        <v>21390</v>
      </c>
      <c r="E36">
        <f>D1_ENERO[[#This Row],[RECUPERO]]/VLOOKUP(D1_ENERO[[#This Row],[SUPER]],D2_ENERO[#All],2,0)</f>
        <v>1.0185714285714285</v>
      </c>
      <c r="F36" t="str">
        <f>D1_ENERO[[#This Row],[SUPER]]</f>
        <v>KENNETH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</row>
    <row r="37" spans="1:15" x14ac:dyDescent="0.25">
      <c r="A37" t="s">
        <v>6</v>
      </c>
      <c r="B37" t="str">
        <f t="shared" si="0"/>
        <v>KIARA CANEPA</v>
      </c>
      <c r="C37" t="s">
        <v>50</v>
      </c>
      <c r="D37">
        <v>5202</v>
      </c>
      <c r="E37">
        <f>D1_ENERO[[#This Row],[RECUPERO]]/VLOOKUP(D1_ENERO[[#This Row],[SUPER]],D2_ENERO[#All],2,0)</f>
        <v>0.24771428571428572</v>
      </c>
      <c r="F37" t="str">
        <f>D1_ENERO[[#This Row],[SUPER]]</f>
        <v>KENNETH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</row>
    <row r="38" spans="1:15" x14ac:dyDescent="0.25">
      <c r="A38" t="s">
        <v>6</v>
      </c>
      <c r="B38" t="str">
        <f t="shared" si="0"/>
        <v>LUIS CENTENO</v>
      </c>
      <c r="C38" t="s">
        <v>31</v>
      </c>
      <c r="D38">
        <v>23230</v>
      </c>
      <c r="E38">
        <f>D1_ENERO[[#This Row],[RECUPERO]]/VLOOKUP(D1_ENERO[[#This Row],[SUPER]],D2_ENERO[#All],2,0)</f>
        <v>1.1061904761904762</v>
      </c>
      <c r="F38" t="str">
        <f>D1_ENERO[[#This Row],[SUPER]]</f>
        <v>KENNETH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</row>
    <row r="39" spans="1:15" x14ac:dyDescent="0.25">
      <c r="A39" t="s">
        <v>6</v>
      </c>
      <c r="B39" t="str">
        <f t="shared" si="0"/>
        <v>MARIA GONZALES</v>
      </c>
      <c r="C39" t="s">
        <v>158</v>
      </c>
      <c r="D39">
        <v>35998</v>
      </c>
      <c r="E39">
        <f>D1_ENERO[[#This Row],[RECUPERO]]/VLOOKUP(D1_ENERO[[#This Row],[SUPER]],D2_ENERO[#All],2,0)</f>
        <v>1.7141904761904763</v>
      </c>
      <c r="F39" t="str">
        <f>D1_ENERO[[#This Row],[SUPER]]</f>
        <v>KENNETH</v>
      </c>
      <c r="L39">
        <v>1</v>
      </c>
      <c r="M39" s="1">
        <f t="shared" si="1"/>
        <v>1.611904761904762</v>
      </c>
      <c r="N39" t="str" cm="1">
        <f t="array" ref="N39">IFERROR(_xlfn.IFS(M39&gt;100%,"&gt;100%",AND(M39&lt;100%,M39&gt;70%),"&gt;70%",AND(M39&lt;70%,M39&gt;40%),"&gt;40%",AND(M39&lt;40%,M39&gt;0%),"&gt;0%"),"")</f>
        <v>&gt;100%</v>
      </c>
      <c r="O39" t="str">
        <f t="shared" si="2"/>
        <v>BRYAN VELASQUEZ</v>
      </c>
    </row>
    <row r="40" spans="1:15" x14ac:dyDescent="0.25">
      <c r="A40" t="s">
        <v>6</v>
      </c>
      <c r="B40" t="str">
        <f t="shared" si="0"/>
        <v>MAURICIO MARTINEZ</v>
      </c>
      <c r="C40" t="s">
        <v>159</v>
      </c>
      <c r="D40">
        <v>23860</v>
      </c>
      <c r="E40">
        <f>D1_ENERO[[#This Row],[RECUPERO]]/VLOOKUP(D1_ENERO[[#This Row],[SUPER]],D2_ENERO[#All],2,0)</f>
        <v>1.1361904761904762</v>
      </c>
      <c r="F40" t="str">
        <f>D1_ENERO[[#This Row],[SUPER]]</f>
        <v>KENNETH</v>
      </c>
      <c r="L40">
        <v>2</v>
      </c>
      <c r="M40" s="1">
        <f t="shared" si="1"/>
        <v>0.65238095238095239</v>
      </c>
      <c r="N40" t="str" cm="1">
        <f t="array" ref="N40">IFERROR(_xlfn.IFS(M40&gt;100%,"&gt;100%",AND(M40&lt;100%,M40&gt;70%),"&gt;70%",AND(M40&lt;70%,M40&gt;40%),"&gt;40%",AND(M40&lt;40%,M40&gt;0%),"&gt;0%"),"")</f>
        <v>&gt;40%</v>
      </c>
      <c r="O40" t="str">
        <f t="shared" si="2"/>
        <v>CARMEN PUMA</v>
      </c>
    </row>
    <row r="41" spans="1:15" x14ac:dyDescent="0.25">
      <c r="A41" t="s">
        <v>6</v>
      </c>
      <c r="B41" t="str">
        <f t="shared" si="0"/>
        <v>MEDALITH NESTARES</v>
      </c>
      <c r="C41" t="s">
        <v>36</v>
      </c>
      <c r="D41">
        <v>22358</v>
      </c>
      <c r="E41">
        <f>D1_ENERO[[#This Row],[RECUPERO]]/VLOOKUP(D1_ENERO[[#This Row],[SUPER]],D2_ENERO[#All],2,0)</f>
        <v>1.0646666666666667</v>
      </c>
      <c r="F41" t="str">
        <f>D1_ENERO[[#This Row],[SUPER]]</f>
        <v>KENNETH</v>
      </c>
      <c r="L41">
        <v>3</v>
      </c>
      <c r="M41" s="1">
        <f t="shared" si="1"/>
        <v>1.0635238095238095</v>
      </c>
      <c r="N41" t="str" cm="1">
        <f t="array" ref="N41">IFERROR(_xlfn.IFS(M41&gt;100%,"&gt;100%",AND(M41&lt;100%,M41&gt;70%),"&gt;70%",AND(M41&lt;70%,M41&gt;40%),"&gt;40%",AND(M41&lt;40%,M41&gt;0%),"&gt;0%"),"")</f>
        <v>&gt;100%</v>
      </c>
      <c r="O41" t="str">
        <f t="shared" si="2"/>
        <v>JIMENA MEDINA</v>
      </c>
    </row>
    <row r="42" spans="1:15" x14ac:dyDescent="0.25">
      <c r="A42" t="s">
        <v>6</v>
      </c>
      <c r="B42" t="str">
        <f t="shared" si="0"/>
        <v>STWUAR MACURI</v>
      </c>
      <c r="C42" t="s">
        <v>34</v>
      </c>
      <c r="D42">
        <v>15667</v>
      </c>
      <c r="E42">
        <f>D1_ENERO[[#This Row],[RECUPERO]]/VLOOKUP(D1_ENERO[[#This Row],[SUPER]],D2_ENERO[#All],2,0)</f>
        <v>0.74604761904761907</v>
      </c>
      <c r="F42" t="str">
        <f>D1_ENERO[[#This Row],[SUPER]]</f>
        <v>KENNETH</v>
      </c>
      <c r="L42">
        <v>4</v>
      </c>
      <c r="M42" s="1">
        <f t="shared" si="1"/>
        <v>1.0185714285714285</v>
      </c>
      <c r="N42" t="str" cm="1">
        <f t="array" ref="N42">IFERROR(_xlfn.IFS(M42&gt;100%,"&gt;100%",AND(M42&lt;100%,M42&gt;70%),"&gt;70%",AND(M42&lt;70%,M42&gt;40%),"&gt;40%",AND(M42&lt;40%,M42&gt;0%),"&gt;0%"),"")</f>
        <v>&gt;100%</v>
      </c>
      <c r="O42" t="str">
        <f t="shared" si="2"/>
        <v>JUAN LOZA</v>
      </c>
    </row>
    <row r="43" spans="1:15" x14ac:dyDescent="0.25">
      <c r="A43" t="s">
        <v>6</v>
      </c>
      <c r="B43" t="str">
        <f t="shared" si="0"/>
        <v>VICTOR RAMIREZ</v>
      </c>
      <c r="C43" t="s">
        <v>76</v>
      </c>
      <c r="D43">
        <v>0</v>
      </c>
      <c r="E43">
        <f>D1_ENERO[[#This Row],[RECUPERO]]/VLOOKUP(D1_ENERO[[#This Row],[SUPER]],D2_ENERO[#All],2,0)</f>
        <v>0</v>
      </c>
      <c r="F43" t="str">
        <f>D1_ENERO[[#This Row],[SUPER]]</f>
        <v>KENNETH</v>
      </c>
      <c r="L43">
        <v>5</v>
      </c>
      <c r="M43" s="1">
        <f t="shared" si="1"/>
        <v>0.24771428571428572</v>
      </c>
      <c r="N43" t="str" cm="1">
        <f t="array" ref="N43">IFERROR(_xlfn.IFS(M43&gt;100%,"&gt;100%",AND(M43&lt;100%,M43&gt;70%),"&gt;70%",AND(M43&lt;70%,M43&gt;40%),"&gt;40%",AND(M43&lt;40%,M43&gt;0%),"&gt;0%"),"")</f>
        <v>&gt;0%</v>
      </c>
      <c r="O43" t="str">
        <f t="shared" si="2"/>
        <v>KIARA CANEPA</v>
      </c>
    </row>
    <row r="44" spans="1:15" x14ac:dyDescent="0.25">
      <c r="A44" t="s">
        <v>6</v>
      </c>
      <c r="B44" t="str">
        <f t="shared" si="0"/>
        <v/>
      </c>
      <c r="E44">
        <f>D1_ENERO[[#This Row],[RECUPERO]]/VLOOKUP(D1_ENERO[[#This Row],[SUPER]],D2_ENERO[#All],2,0)</f>
        <v>0</v>
      </c>
      <c r="F44" t="str">
        <f>D1_ENERO[[#This Row],[SUPER]]</f>
        <v>KENNETH</v>
      </c>
      <c r="L44">
        <v>6</v>
      </c>
      <c r="M44" s="1">
        <f t="shared" si="1"/>
        <v>1.1061904761904762</v>
      </c>
      <c r="N44" t="str" cm="1">
        <f t="array" ref="N44">IFERROR(_xlfn.IFS(M44&gt;100%,"&gt;100%",AND(M44&lt;100%,M44&gt;70%),"&gt;70%",AND(M44&lt;70%,M44&gt;40%),"&gt;40%",AND(M44&lt;40%,M44&gt;0%),"&gt;0%"),"")</f>
        <v>&gt;100%</v>
      </c>
      <c r="O44" t="str">
        <f t="shared" si="2"/>
        <v>LUIS CENTENO</v>
      </c>
    </row>
    <row r="45" spans="1:15" x14ac:dyDescent="0.25">
      <c r="A45" t="s">
        <v>6</v>
      </c>
      <c r="B45" t="str">
        <f t="shared" si="0"/>
        <v/>
      </c>
      <c r="E45">
        <f>D1_ENERO[[#This Row],[RECUPERO]]/VLOOKUP(D1_ENERO[[#This Row],[SUPER]],D2_ENERO[#All],2,0)</f>
        <v>0</v>
      </c>
      <c r="F45" t="str">
        <f>D1_ENERO[[#This Row],[SUPER]]</f>
        <v>KENNETH</v>
      </c>
      <c r="L45">
        <v>7</v>
      </c>
      <c r="M45" s="1">
        <f t="shared" si="1"/>
        <v>1.7141904761904763</v>
      </c>
      <c r="N45" t="str" cm="1">
        <f t="array" ref="N45">IFERROR(_xlfn.IFS(M45&gt;100%,"&gt;100%",AND(M45&lt;100%,M45&gt;70%),"&gt;70%",AND(M45&lt;70%,M45&gt;40%),"&gt;40%",AND(M45&lt;40%,M45&gt;0%),"&gt;0%"),"")</f>
        <v>&gt;100%</v>
      </c>
      <c r="O45" t="str">
        <f t="shared" si="2"/>
        <v>MARIA GONZALES</v>
      </c>
    </row>
    <row r="46" spans="1:15" x14ac:dyDescent="0.25">
      <c r="A46" t="s">
        <v>6</v>
      </c>
      <c r="B46" t="str">
        <f t="shared" si="0"/>
        <v/>
      </c>
      <c r="E46">
        <f>D1_ENERO[[#This Row],[RECUPERO]]/VLOOKUP(D1_ENERO[[#This Row],[SUPER]],D2_ENERO[#All],2,0)</f>
        <v>0</v>
      </c>
      <c r="F46" t="str">
        <f>D1_ENERO[[#This Row],[SUPER]]</f>
        <v>KENNETH</v>
      </c>
      <c r="L46">
        <v>8</v>
      </c>
      <c r="M46" s="1">
        <f t="shared" si="1"/>
        <v>1.1361904761904762</v>
      </c>
      <c r="N46" t="str" cm="1">
        <f t="array" ref="N46">IFERROR(_xlfn.IFS(M46&gt;100%,"&gt;100%",AND(M46&lt;100%,M46&gt;70%),"&gt;70%",AND(M46&lt;70%,M46&gt;40%),"&gt;40%",AND(M46&lt;40%,M46&gt;0%),"&gt;0%"),"")</f>
        <v>&gt;100%</v>
      </c>
      <c r="O46" t="str">
        <f t="shared" si="2"/>
        <v>MAURICIO MARTINEZ</v>
      </c>
    </row>
    <row r="47" spans="1:15" x14ac:dyDescent="0.25">
      <c r="A47" t="s">
        <v>6</v>
      </c>
      <c r="B47" t="str">
        <f t="shared" si="0"/>
        <v/>
      </c>
      <c r="E47">
        <f>D1_ENERO[[#This Row],[RECUPERO]]/VLOOKUP(D1_ENERO[[#This Row],[SUPER]],D2_ENERO[#All],2,0)</f>
        <v>0</v>
      </c>
      <c r="F47" t="str">
        <f>D1_ENERO[[#This Row],[SUPER]]</f>
        <v>KENNETH</v>
      </c>
      <c r="L47">
        <v>9</v>
      </c>
      <c r="M47" s="1">
        <f t="shared" si="1"/>
        <v>1.0646666666666667</v>
      </c>
      <c r="N47" t="str" cm="1">
        <f t="array" ref="N47">IFERROR(_xlfn.IFS(M47&gt;100%,"&gt;100%",AND(M47&lt;100%,M47&gt;70%),"&gt;70%",AND(M47&lt;70%,M47&gt;40%),"&gt;40%",AND(M47&lt;40%,M47&gt;0%),"&gt;0%"),"")</f>
        <v>&gt;100%</v>
      </c>
      <c r="O47" t="str">
        <f t="shared" si="2"/>
        <v>MEDALITH NESTARES</v>
      </c>
    </row>
    <row r="48" spans="1:15" x14ac:dyDescent="0.25">
      <c r="A48" t="s">
        <v>9</v>
      </c>
      <c r="B48" t="str">
        <f t="shared" si="0"/>
        <v>ALEJANDRA AVILA</v>
      </c>
      <c r="C48" t="s">
        <v>21</v>
      </c>
      <c r="D48">
        <v>10062</v>
      </c>
      <c r="E48">
        <f>D1_ENERO[[#This Row],[RECUPERO]]/VLOOKUP(D1_ENERO[[#This Row],[SUPER]],D2_ENERO[#All],2,0)</f>
        <v>0.47914285714285715</v>
      </c>
      <c r="F48" t="str">
        <f>D1_ENERO[[#This Row],[SUPER]]</f>
        <v>LUIS</v>
      </c>
      <c r="L48">
        <v>10</v>
      </c>
      <c r="M48" s="1">
        <f t="shared" si="1"/>
        <v>0.74604761904761907</v>
      </c>
      <c r="N48" t="str" cm="1">
        <f t="array" ref="N48">IFERROR(_xlfn.IFS(M48&gt;100%,"&gt;100%",AND(M48&lt;100%,M48&gt;70%),"&gt;70%",AND(M48&lt;70%,M48&gt;40%),"&gt;40%",AND(M48&lt;40%,M48&gt;0%),"&gt;0%"),"")</f>
        <v>&gt;70%</v>
      </c>
      <c r="O48" t="str">
        <f t="shared" si="2"/>
        <v>STWUAR MACURI</v>
      </c>
    </row>
    <row r="49" spans="1:15" x14ac:dyDescent="0.25">
      <c r="A49" t="s">
        <v>9</v>
      </c>
      <c r="B49" t="str">
        <f t="shared" si="0"/>
        <v>ANDERSON RODRIGUEZ</v>
      </c>
      <c r="C49" t="s">
        <v>15</v>
      </c>
      <c r="D49">
        <v>13010.3</v>
      </c>
      <c r="E49">
        <f>D1_ENERO[[#This Row],[RECUPERO]]/VLOOKUP(D1_ENERO[[#This Row],[SUPER]],D2_ENERO[#All],2,0)</f>
        <v>0.61953809523809522</v>
      </c>
      <c r="F49" t="str">
        <f>D1_ENERO[[#This Row],[SUPER]]</f>
        <v>LUIS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>VICTOR RAMIREZ</v>
      </c>
    </row>
    <row r="50" spans="1:15" x14ac:dyDescent="0.25">
      <c r="A50" t="s">
        <v>9</v>
      </c>
      <c r="B50" t="str">
        <f t="shared" si="0"/>
        <v>CRISTINA TICONA</v>
      </c>
      <c r="C50" t="s">
        <v>61</v>
      </c>
      <c r="D50">
        <v>0</v>
      </c>
      <c r="E50">
        <f>D1_ENERO[[#This Row],[RECUPERO]]/VLOOKUP(D1_ENERO[[#This Row],[SUPER]],D2_ENERO[#All],2,0)</f>
        <v>0</v>
      </c>
      <c r="F50" t="str">
        <f>D1_ENERO[[#This Row],[SUPER]]</f>
        <v>LUIS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</row>
    <row r="51" spans="1:15" x14ac:dyDescent="0.25">
      <c r="A51" t="s">
        <v>9</v>
      </c>
      <c r="B51" t="str">
        <f t="shared" si="0"/>
        <v>GABRIELA APONTE</v>
      </c>
      <c r="C51" t="s">
        <v>27</v>
      </c>
      <c r="D51">
        <v>1300</v>
      </c>
      <c r="E51">
        <f>D1_ENERO[[#This Row],[RECUPERO]]/VLOOKUP(D1_ENERO[[#This Row],[SUPER]],D2_ENERO[#All],2,0)</f>
        <v>6.1904761904761907E-2</v>
      </c>
      <c r="F51" t="str">
        <f>D1_ENERO[[#This Row],[SUPER]]</f>
        <v>LUIS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</row>
    <row r="52" spans="1:15" x14ac:dyDescent="0.25">
      <c r="A52" t="s">
        <v>9</v>
      </c>
      <c r="B52" t="str">
        <f t="shared" si="0"/>
        <v>GERALDINE ARROYO</v>
      </c>
      <c r="C52" t="s">
        <v>51</v>
      </c>
      <c r="D52">
        <v>1600</v>
      </c>
      <c r="E52">
        <f>D1_ENERO[[#This Row],[RECUPERO]]/VLOOKUP(D1_ENERO[[#This Row],[SUPER]],D2_ENERO[#All],2,0)</f>
        <v>7.6190476190476197E-2</v>
      </c>
      <c r="F52" t="str">
        <f>D1_ENERO[[#This Row],[SUPER]]</f>
        <v>LUIS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</row>
    <row r="53" spans="1:15" x14ac:dyDescent="0.25">
      <c r="A53" t="s">
        <v>9</v>
      </c>
      <c r="B53" t="str">
        <f t="shared" si="0"/>
        <v>GIULIANA QUISPE</v>
      </c>
      <c r="C53" t="s">
        <v>71</v>
      </c>
      <c r="D53">
        <v>19251.400000000001</v>
      </c>
      <c r="E53">
        <f>D1_ENERO[[#This Row],[RECUPERO]]/VLOOKUP(D1_ENERO[[#This Row],[SUPER]],D2_ENERO[#All],2,0)</f>
        <v>0.9167333333333334</v>
      </c>
      <c r="F53" t="str">
        <f>D1_ENERO[[#This Row],[SUPER]]</f>
        <v>LUIS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</row>
    <row r="54" spans="1:15" x14ac:dyDescent="0.25">
      <c r="A54" t="s">
        <v>9</v>
      </c>
      <c r="B54" t="str">
        <f t="shared" si="0"/>
        <v>HAROLD FLORES</v>
      </c>
      <c r="C54" t="s">
        <v>42</v>
      </c>
      <c r="D54">
        <v>10707.3</v>
      </c>
      <c r="E54">
        <f>D1_ENERO[[#This Row],[RECUPERO]]/VLOOKUP(D1_ENERO[[#This Row],[SUPER]],D2_ENERO[#All],2,0)</f>
        <v>0.50987142857142853</v>
      </c>
      <c r="F54" t="str">
        <f>D1_ENERO[[#This Row],[SUPER]]</f>
        <v>LUIS</v>
      </c>
      <c r="L54">
        <v>1</v>
      </c>
      <c r="M54" s="1">
        <f t="shared" si="1"/>
        <v>0.47914285714285715</v>
      </c>
      <c r="N54" t="str" cm="1">
        <f t="array" ref="N54">IFERROR(_xlfn.IFS(M54&gt;100%,"&gt;100%",AND(M54&lt;100%,M54&gt;70%),"&gt;70%",AND(M54&lt;70%,M54&gt;40%),"&gt;40%",AND(M54&lt;40%,M54&gt;0%),"&gt;0%"),"")</f>
        <v>&gt;40%</v>
      </c>
      <c r="O54" t="str">
        <f t="shared" si="2"/>
        <v>ALEJANDRA AVILA</v>
      </c>
    </row>
    <row r="55" spans="1:15" x14ac:dyDescent="0.25">
      <c r="A55" t="s">
        <v>9</v>
      </c>
      <c r="B55" t="str">
        <f t="shared" si="0"/>
        <v>LUIS VALLADARES</v>
      </c>
      <c r="C55" t="s">
        <v>29</v>
      </c>
      <c r="D55">
        <v>25300.5</v>
      </c>
      <c r="E55">
        <f>D1_ENERO[[#This Row],[RECUPERO]]/VLOOKUP(D1_ENERO[[#This Row],[SUPER]],D2_ENERO[#All],2,0)</f>
        <v>1.2047857142857143</v>
      </c>
      <c r="F55" t="str">
        <f>D1_ENERO[[#This Row],[SUPER]]</f>
        <v>LUIS</v>
      </c>
      <c r="L55">
        <v>2</v>
      </c>
      <c r="M55" s="1">
        <f t="shared" si="1"/>
        <v>0.61953809523809522</v>
      </c>
      <c r="N55" t="str" cm="1">
        <f t="array" ref="N55">IFERROR(_xlfn.IFS(M55&gt;100%,"&gt;100%",AND(M55&lt;100%,M55&gt;70%),"&gt;70%",AND(M55&lt;70%,M55&gt;40%),"&gt;40%",AND(M55&lt;40%,M55&gt;0%),"&gt;0%"),"")</f>
        <v>&gt;40%</v>
      </c>
      <c r="O55" t="str">
        <f t="shared" si="2"/>
        <v>ANDERSON RODRIGUEZ</v>
      </c>
    </row>
    <row r="56" spans="1:15" x14ac:dyDescent="0.25">
      <c r="A56" t="s">
        <v>9</v>
      </c>
      <c r="B56" t="str">
        <f t="shared" si="0"/>
        <v>MARCELIT LOPEZ</v>
      </c>
      <c r="C56" t="s">
        <v>160</v>
      </c>
      <c r="D56">
        <v>0</v>
      </c>
      <c r="E56">
        <f>D1_ENERO[[#This Row],[RECUPERO]]/VLOOKUP(D1_ENERO[[#This Row],[SUPER]],D2_ENERO[#All],2,0)</f>
        <v>0</v>
      </c>
      <c r="F56" t="str">
        <f>D1_ENERO[[#This Row],[SUPER]]</f>
        <v>LUIS</v>
      </c>
      <c r="L56">
        <v>3</v>
      </c>
      <c r="M56" s="1">
        <f t="shared" si="1"/>
        <v>0</v>
      </c>
      <c r="N56" t="str" cm="1">
        <f t="array" ref="N56">IFERROR(_xlfn.IFS(M56&gt;100%,"&gt;100%",AND(M56&lt;100%,M56&gt;70%),"&gt;70%",AND(M56&lt;70%,M56&gt;40%),"&gt;40%",AND(M56&lt;40%,M56&gt;0%),"&gt;0%"),"")</f>
        <v/>
      </c>
      <c r="O56" t="str">
        <f t="shared" si="2"/>
        <v>CRISTINA TICONA</v>
      </c>
    </row>
    <row r="57" spans="1:15" x14ac:dyDescent="0.25">
      <c r="A57" t="s">
        <v>9</v>
      </c>
      <c r="B57" t="str">
        <f t="shared" si="0"/>
        <v>MERLY CORONEL</v>
      </c>
      <c r="C57" t="s">
        <v>70</v>
      </c>
      <c r="D57">
        <v>17335.099999999999</v>
      </c>
      <c r="E57">
        <f>D1_ENERO[[#This Row],[RECUPERO]]/VLOOKUP(D1_ENERO[[#This Row],[SUPER]],D2_ENERO[#All],2,0)</f>
        <v>0.82548095238095232</v>
      </c>
      <c r="F57" t="str">
        <f>D1_ENERO[[#This Row],[SUPER]]</f>
        <v>LUIS</v>
      </c>
      <c r="L57">
        <v>4</v>
      </c>
      <c r="M57" s="1">
        <f t="shared" si="1"/>
        <v>6.1904761904761907E-2</v>
      </c>
      <c r="N57" t="str" cm="1">
        <f t="array" ref="N57">IFERROR(_xlfn.IFS(M57&gt;100%,"&gt;100%",AND(M57&lt;100%,M57&gt;70%),"&gt;70%",AND(M57&lt;70%,M57&gt;40%),"&gt;40%",AND(M57&lt;40%,M57&gt;0%),"&gt;0%"),"")</f>
        <v>&gt;0%</v>
      </c>
      <c r="O57" t="str">
        <f t="shared" si="2"/>
        <v>GABRIELA APONTE</v>
      </c>
    </row>
    <row r="58" spans="1:15" x14ac:dyDescent="0.25">
      <c r="A58" t="s">
        <v>9</v>
      </c>
      <c r="B58" t="str">
        <f t="shared" si="0"/>
        <v>ROCIO TERRONES</v>
      </c>
      <c r="C58" t="s">
        <v>128</v>
      </c>
      <c r="D58">
        <v>11961.3</v>
      </c>
      <c r="E58">
        <f>D1_ENERO[[#This Row],[RECUPERO]]/VLOOKUP(D1_ENERO[[#This Row],[SUPER]],D2_ENERO[#All],2,0)</f>
        <v>0.56958571428571425</v>
      </c>
      <c r="F58" t="str">
        <f>D1_ENERO[[#This Row],[SUPER]]</f>
        <v>LUIS</v>
      </c>
      <c r="L58">
        <v>5</v>
      </c>
      <c r="M58" s="1">
        <f t="shared" si="1"/>
        <v>7.6190476190476197E-2</v>
      </c>
      <c r="N58" t="str" cm="1">
        <f t="array" ref="N58">IFERROR(_xlfn.IFS(M58&gt;100%,"&gt;100%",AND(M58&lt;100%,M58&gt;70%),"&gt;70%",AND(M58&lt;70%,M58&gt;40%),"&gt;40%",AND(M58&lt;40%,M58&gt;0%),"&gt;0%"),"")</f>
        <v>&gt;0%</v>
      </c>
      <c r="O58" t="str">
        <f t="shared" si="2"/>
        <v>GERALDINE ARROYO</v>
      </c>
    </row>
    <row r="59" spans="1:15" x14ac:dyDescent="0.25">
      <c r="A59" t="s">
        <v>9</v>
      </c>
      <c r="B59" t="str">
        <f t="shared" si="0"/>
        <v>SARITA GARAY</v>
      </c>
      <c r="C59" t="s">
        <v>73</v>
      </c>
      <c r="D59">
        <v>8821</v>
      </c>
      <c r="E59">
        <f>D1_ENERO[[#This Row],[RECUPERO]]/VLOOKUP(D1_ENERO[[#This Row],[SUPER]],D2_ENERO[#All],2,0)</f>
        <v>0.42004761904761906</v>
      </c>
      <c r="F59" t="str">
        <f>D1_ENERO[[#This Row],[SUPER]]</f>
        <v>LUIS</v>
      </c>
      <c r="L59">
        <v>6</v>
      </c>
      <c r="M59" s="1">
        <f t="shared" si="1"/>
        <v>0.9167333333333334</v>
      </c>
      <c r="N59" t="str" cm="1">
        <f t="array" ref="N59">IFERROR(_xlfn.IFS(M59&gt;100%,"&gt;100%",AND(M59&lt;100%,M59&gt;70%),"&gt;70%",AND(M59&lt;70%,M59&gt;40%),"&gt;40%",AND(M59&lt;40%,M59&gt;0%),"&gt;0%"),"")</f>
        <v>&gt;70%</v>
      </c>
      <c r="O59" t="str">
        <f t="shared" si="2"/>
        <v>GIULIANA QUISPE</v>
      </c>
    </row>
    <row r="60" spans="1:15" x14ac:dyDescent="0.25">
      <c r="A60" t="s">
        <v>9</v>
      </c>
      <c r="B60" t="str">
        <f t="shared" si="0"/>
        <v>VERONICA HUARCA</v>
      </c>
      <c r="C60" t="s">
        <v>48</v>
      </c>
      <c r="D60">
        <v>9457.2999999999993</v>
      </c>
      <c r="E60">
        <f>D1_ENERO[[#This Row],[RECUPERO]]/VLOOKUP(D1_ENERO[[#This Row],[SUPER]],D2_ENERO[#All],2,0)</f>
        <v>0.450347619047619</v>
      </c>
      <c r="F60" t="str">
        <f>D1_ENERO[[#This Row],[SUPER]]</f>
        <v>LUIS</v>
      </c>
      <c r="L60">
        <v>7</v>
      </c>
      <c r="M60" s="1">
        <f t="shared" si="1"/>
        <v>0.50987142857142853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HAROLD FLORES</v>
      </c>
    </row>
    <row r="61" spans="1:15" x14ac:dyDescent="0.25">
      <c r="A61" t="s">
        <v>9</v>
      </c>
      <c r="B61" t="str">
        <f t="shared" si="0"/>
        <v/>
      </c>
      <c r="E61">
        <f>D1_ENERO[[#This Row],[RECUPERO]]/VLOOKUP(D1_ENERO[[#This Row],[SUPER]],D2_ENERO[#All],2,0)</f>
        <v>0</v>
      </c>
      <c r="F61" t="str">
        <f>D1_ENERO[[#This Row],[SUPER]]</f>
        <v>LUIS</v>
      </c>
      <c r="L61">
        <v>8</v>
      </c>
      <c r="M61" s="1">
        <f t="shared" si="1"/>
        <v>1.2047857142857143</v>
      </c>
      <c r="N61" t="str" cm="1">
        <f t="array" ref="N61">IFERROR(_xlfn.IFS(M61&gt;100%,"&gt;100%",AND(M61&lt;100%,M61&gt;70%),"&gt;70%",AND(M61&lt;70%,M61&gt;40%),"&gt;40%",AND(M61&lt;40%,M61&gt;0%),"&gt;0%"),"")</f>
        <v>&gt;100%</v>
      </c>
      <c r="O61" t="str">
        <f t="shared" si="2"/>
        <v>LUIS VALLADARES</v>
      </c>
    </row>
    <row r="62" spans="1:15" x14ac:dyDescent="0.25">
      <c r="A62" t="s">
        <v>9</v>
      </c>
      <c r="B62" t="str">
        <f t="shared" si="0"/>
        <v/>
      </c>
      <c r="E62">
        <f>D1_ENERO[[#This Row],[RECUPERO]]/VLOOKUP(D1_ENERO[[#This Row],[SUPER]],D2_ENERO[#All],2,0)</f>
        <v>0</v>
      </c>
      <c r="F62" t="str">
        <f>D1_ENERO[[#This Row],[SUPER]]</f>
        <v>LUIS</v>
      </c>
      <c r="L62">
        <v>9</v>
      </c>
      <c r="M62" s="1">
        <f t="shared" si="1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2"/>
        <v>MARCELIT LOPEZ</v>
      </c>
    </row>
    <row r="63" spans="1:15" x14ac:dyDescent="0.25">
      <c r="A63" t="s">
        <v>4</v>
      </c>
      <c r="B63" t="str">
        <f t="shared" si="0"/>
        <v>ALEJANDRO GONZALES</v>
      </c>
      <c r="C63" t="s">
        <v>139</v>
      </c>
      <c r="D63">
        <v>0</v>
      </c>
      <c r="E63">
        <f>D1_ENERO[[#This Row],[RECUPERO]]/VLOOKUP(D1_ENERO[[#This Row],[SUPER]],D2_ENERO[#All],2,0)</f>
        <v>0</v>
      </c>
      <c r="F63" t="str">
        <f>D1_ENERO[[#This Row],[SUPER]]</f>
        <v>MELINA</v>
      </c>
      <c r="L63">
        <v>10</v>
      </c>
      <c r="M63" s="1">
        <f t="shared" si="1"/>
        <v>0.82548095238095232</v>
      </c>
      <c r="N63" t="str" cm="1">
        <f t="array" ref="N63">IFERROR(_xlfn.IFS(M63&gt;100%,"&gt;100%",AND(M63&lt;100%,M63&gt;70%),"&gt;70%",AND(M63&lt;70%,M63&gt;40%),"&gt;40%",AND(M63&lt;40%,M63&gt;0%),"&gt;0%"),"")</f>
        <v>&gt;70%</v>
      </c>
      <c r="O63" t="str">
        <f t="shared" si="2"/>
        <v>MERLY CORONEL</v>
      </c>
    </row>
    <row r="64" spans="1:15" x14ac:dyDescent="0.25">
      <c r="A64" t="s">
        <v>4</v>
      </c>
      <c r="B64" t="str">
        <f t="shared" si="0"/>
        <v>ANALUCIA PONCE</v>
      </c>
      <c r="C64" t="s">
        <v>60</v>
      </c>
      <c r="D64">
        <v>78684</v>
      </c>
      <c r="E64">
        <f>D1_ENERO[[#This Row],[RECUPERO]]/VLOOKUP(D1_ENERO[[#This Row],[SUPER]],D2_ENERO[#All],2,0)</f>
        <v>1.3566206896551725</v>
      </c>
      <c r="F64" t="str">
        <f>D1_ENERO[[#This Row],[SUPER]]</f>
        <v>MELINA</v>
      </c>
      <c r="L64">
        <v>11</v>
      </c>
      <c r="M64" s="1">
        <f t="shared" si="1"/>
        <v>0.56958571428571425</v>
      </c>
      <c r="N64" t="str" cm="1">
        <f t="array" ref="N64">IFERROR(_xlfn.IFS(M64&gt;100%,"&gt;100%",AND(M64&lt;100%,M64&gt;70%),"&gt;70%",AND(M64&lt;70%,M64&gt;40%),"&gt;40%",AND(M64&lt;40%,M64&gt;0%),"&gt;0%"),"")</f>
        <v>&gt;40%</v>
      </c>
      <c r="O64" t="str">
        <f t="shared" si="2"/>
        <v>ROCIO TERRONES</v>
      </c>
    </row>
    <row r="65" spans="1:15" x14ac:dyDescent="0.25">
      <c r="A65" t="s">
        <v>4</v>
      </c>
      <c r="B65" t="str">
        <f t="shared" si="0"/>
        <v>DARYL FERREL</v>
      </c>
      <c r="C65" t="s">
        <v>40</v>
      </c>
      <c r="D65">
        <v>22008.61</v>
      </c>
      <c r="E65">
        <f>D1_ENERO[[#This Row],[RECUPERO]]/VLOOKUP(D1_ENERO[[#This Row],[SUPER]],D2_ENERO[#All],2,0)</f>
        <v>0.37945879310344827</v>
      </c>
      <c r="F65" t="str">
        <f>D1_ENERO[[#This Row],[SUPER]]</f>
        <v>MELINA</v>
      </c>
      <c r="L65">
        <v>12</v>
      </c>
      <c r="M65" s="1">
        <f t="shared" si="1"/>
        <v>0.42004761904761906</v>
      </c>
      <c r="N65" t="str" cm="1">
        <f t="array" ref="N65">IFERROR(_xlfn.IFS(M65&gt;100%,"&gt;100%",AND(M65&lt;100%,M65&gt;70%),"&gt;70%",AND(M65&lt;70%,M65&gt;40%),"&gt;40%",AND(M65&lt;40%,M65&gt;0%),"&gt;0%"),"")</f>
        <v>&gt;40%</v>
      </c>
      <c r="O65" t="str">
        <f t="shared" si="2"/>
        <v>SARITA GARAY</v>
      </c>
    </row>
    <row r="66" spans="1:15" x14ac:dyDescent="0.25">
      <c r="A66" t="s">
        <v>4</v>
      </c>
      <c r="B66" t="str">
        <f t="shared" si="0"/>
        <v>DAVID SANCHEZ</v>
      </c>
      <c r="C66" t="s">
        <v>81</v>
      </c>
      <c r="D66">
        <v>23861</v>
      </c>
      <c r="E66">
        <f>D1_ENERO[[#This Row],[RECUPERO]]/VLOOKUP(D1_ENERO[[#This Row],[SUPER]],D2_ENERO[#All],2,0)</f>
        <v>0.41139655172413792</v>
      </c>
      <c r="F66" t="str">
        <f>D1_ENERO[[#This Row],[SUPER]]</f>
        <v>MELINA</v>
      </c>
      <c r="L66">
        <v>13</v>
      </c>
      <c r="M66" s="1">
        <f t="shared" si="1"/>
        <v>0.450347619047619</v>
      </c>
      <c r="N66" t="str" cm="1">
        <f t="array" ref="N66">IFERROR(_xlfn.IFS(M66&gt;100%,"&gt;100%",AND(M66&lt;100%,M66&gt;70%),"&gt;70%",AND(M66&lt;70%,M66&gt;40%),"&gt;40%",AND(M66&lt;40%,M66&gt;0%),"&gt;0%"),"")</f>
        <v>&gt;40%</v>
      </c>
      <c r="O66" t="str">
        <f t="shared" si="2"/>
        <v>VERONICA HUARCA</v>
      </c>
    </row>
    <row r="67" spans="1:15" x14ac:dyDescent="0.25">
      <c r="A67" t="s">
        <v>4</v>
      </c>
      <c r="B67" t="str">
        <f t="shared" si="0"/>
        <v>JEREMIAS ROJAS</v>
      </c>
      <c r="C67" t="s">
        <v>161</v>
      </c>
      <c r="D67">
        <v>49322.67</v>
      </c>
      <c r="E67">
        <f>D1_ENERO[[#This Row],[RECUPERO]]/VLOOKUP(D1_ENERO[[#This Row],[SUPER]],D2_ENERO[#All],2,0)</f>
        <v>0.85039086206896553</v>
      </c>
      <c r="F67" t="str">
        <f>D1_ENERO[[#This Row],[SUPER]]</f>
        <v>MELINA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</row>
    <row r="68" spans="1:15" x14ac:dyDescent="0.25">
      <c r="A68" t="s">
        <v>4</v>
      </c>
      <c r="B68" t="str">
        <f t="shared" ref="B68:B122" si="3">TRIM(C68)</f>
        <v>JHOVANA TORRES</v>
      </c>
      <c r="C68" t="s">
        <v>20</v>
      </c>
      <c r="D68">
        <v>24191.91</v>
      </c>
      <c r="E68">
        <f>D1_ENERO[[#This Row],[RECUPERO]]/VLOOKUP(D1_ENERO[[#This Row],[SUPER]],D2_ENERO[#All],2,0)</f>
        <v>0.41710189655172414</v>
      </c>
      <c r="F68" t="str">
        <f>D1_ENERO[[#This Row],[SUPER]]</f>
        <v>MELINA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</row>
    <row r="69" spans="1:15" x14ac:dyDescent="0.25">
      <c r="A69" t="s">
        <v>4</v>
      </c>
      <c r="B69" t="str">
        <f t="shared" si="3"/>
        <v>MARIA TINTAYA</v>
      </c>
      <c r="C69" t="s">
        <v>75</v>
      </c>
      <c r="D69">
        <v>83209.83</v>
      </c>
      <c r="E69">
        <f>D1_ENERO[[#This Row],[RECUPERO]]/VLOOKUP(D1_ENERO[[#This Row],[SUPER]],D2_ENERO[#All],2,0)</f>
        <v>1.4346522413793104</v>
      </c>
      <c r="F69" t="str">
        <f>D1_ENERO[[#This Row],[SUPER]]</f>
        <v>MELINA</v>
      </c>
      <c r="L69">
        <v>1</v>
      </c>
      <c r="M69" s="1">
        <f t="shared" si="1"/>
        <v>0</v>
      </c>
      <c r="N69" t="str" cm="1">
        <f t="array" ref="N69">IFERROR(_xlfn.IFS(M69&gt;100%,"&gt;100%",AND(M69&lt;100%,M69&gt;70%),"&gt;70%",AND(M69&lt;70%,M69&gt;40%),"&gt;40%",AND(M69&lt;40%,M69&gt;0%),"&gt;0%"),"")</f>
        <v/>
      </c>
      <c r="O69" t="str">
        <f t="shared" si="2"/>
        <v>ALEJANDRO GONZALES</v>
      </c>
    </row>
    <row r="70" spans="1:15" x14ac:dyDescent="0.25">
      <c r="A70" t="s">
        <v>4</v>
      </c>
      <c r="B70" t="str">
        <f t="shared" si="3"/>
        <v>MILAGROS QUIO</v>
      </c>
      <c r="C70" t="s">
        <v>11</v>
      </c>
      <c r="D70">
        <v>47644</v>
      </c>
      <c r="E70">
        <f>D1_ENERO[[#This Row],[RECUPERO]]/VLOOKUP(D1_ENERO[[#This Row],[SUPER]],D2_ENERO[#All],2,0)</f>
        <v>0.82144827586206892</v>
      </c>
      <c r="F70" t="str">
        <f>D1_ENERO[[#This Row],[SUPER]]</f>
        <v>MELINA</v>
      </c>
      <c r="L70">
        <v>2</v>
      </c>
      <c r="M70" s="1">
        <f t="shared" si="1"/>
        <v>1.3566206896551725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2"/>
        <v>ANALUCIA PONCE</v>
      </c>
    </row>
    <row r="71" spans="1:15" x14ac:dyDescent="0.25">
      <c r="A71" t="s">
        <v>4</v>
      </c>
      <c r="B71" t="str">
        <f t="shared" si="3"/>
        <v>PIERINA TESEN</v>
      </c>
      <c r="C71" t="s">
        <v>59</v>
      </c>
      <c r="D71">
        <v>111621.2</v>
      </c>
      <c r="E71">
        <f>D1_ENERO[[#This Row],[RECUPERO]]/VLOOKUP(D1_ENERO[[#This Row],[SUPER]],D2_ENERO[#All],2,0)</f>
        <v>1.9245034482758621</v>
      </c>
      <c r="F71" t="str">
        <f>D1_ENERO[[#This Row],[SUPER]]</f>
        <v>MELINA</v>
      </c>
      <c r="L71">
        <v>3</v>
      </c>
      <c r="M71" s="1">
        <f t="shared" si="1"/>
        <v>0.37945879310344827</v>
      </c>
      <c r="N71" t="str" cm="1">
        <f t="array" ref="N71">IFERROR(_xlfn.IFS(M71&gt;100%,"&gt;100%",AND(M71&lt;100%,M71&gt;70%),"&gt;70%",AND(M71&lt;70%,M71&gt;40%),"&gt;40%",AND(M71&lt;40%,M71&gt;0%),"&gt;0%"),"")</f>
        <v>&gt;0%</v>
      </c>
      <c r="O71" t="str">
        <f t="shared" si="2"/>
        <v>DARYL FERREL</v>
      </c>
    </row>
    <row r="72" spans="1:15" x14ac:dyDescent="0.25">
      <c r="A72" t="s">
        <v>4</v>
      </c>
      <c r="B72" t="str">
        <f t="shared" si="3"/>
        <v/>
      </c>
      <c r="E72">
        <f>D1_ENERO[[#This Row],[RECUPERO]]/VLOOKUP(D1_ENERO[[#This Row],[SUPER]],D2_ENERO[#All],2,0)</f>
        <v>0</v>
      </c>
      <c r="F72" t="str">
        <f>D1_ENERO[[#This Row],[SUPER]]</f>
        <v>MELINA</v>
      </c>
      <c r="L72">
        <v>4</v>
      </c>
      <c r="M72" s="1">
        <f t="shared" si="1"/>
        <v>0.41139655172413792</v>
      </c>
      <c r="N72" t="str" cm="1">
        <f t="array" ref="N72">IFERROR(_xlfn.IFS(M72&gt;100%,"&gt;100%",AND(M72&lt;100%,M72&gt;70%),"&gt;70%",AND(M72&lt;70%,M72&gt;40%),"&gt;40%",AND(M72&lt;40%,M72&gt;0%),"&gt;0%"),"")</f>
        <v>&gt;40%</v>
      </c>
      <c r="O72" t="str">
        <f t="shared" si="2"/>
        <v>DAVID SANCHEZ</v>
      </c>
    </row>
    <row r="73" spans="1:15" x14ac:dyDescent="0.25">
      <c r="A73" t="s">
        <v>4</v>
      </c>
      <c r="B73" t="str">
        <f t="shared" si="3"/>
        <v/>
      </c>
      <c r="E73">
        <f>D1_ENERO[[#This Row],[RECUPERO]]/VLOOKUP(D1_ENERO[[#This Row],[SUPER]],D2_ENERO[#All],2,0)</f>
        <v>0</v>
      </c>
      <c r="F73" t="str">
        <f>D1_ENERO[[#This Row],[SUPER]]</f>
        <v>MELINA</v>
      </c>
      <c r="L73">
        <v>5</v>
      </c>
      <c r="M73" s="1">
        <f t="shared" si="1"/>
        <v>0.85039086206896553</v>
      </c>
      <c r="N73" t="str" cm="1">
        <f t="array" ref="N73">IFERROR(_xlfn.IFS(M73&gt;100%,"&gt;100%",AND(M73&lt;100%,M73&gt;70%),"&gt;70%",AND(M73&lt;70%,M73&gt;40%),"&gt;40%",AND(M73&lt;40%,M73&gt;0%),"&gt;0%"),"")</f>
        <v>&gt;70%</v>
      </c>
      <c r="O73" t="str">
        <f t="shared" si="2"/>
        <v>JEREMIAS ROJAS</v>
      </c>
    </row>
    <row r="74" spans="1:15" x14ac:dyDescent="0.25">
      <c r="A74" t="s">
        <v>4</v>
      </c>
      <c r="B74" t="str">
        <f t="shared" si="3"/>
        <v/>
      </c>
      <c r="E74">
        <f>D1_ENERO[[#This Row],[RECUPERO]]/VLOOKUP(D1_ENERO[[#This Row],[SUPER]],D2_ENERO[#All],2,0)</f>
        <v>0</v>
      </c>
      <c r="F74" t="str">
        <f>D1_ENERO[[#This Row],[SUPER]]</f>
        <v>MELINA</v>
      </c>
      <c r="L74">
        <v>6</v>
      </c>
      <c r="M74" s="1">
        <f t="shared" ref="M74:M128" si="4">E68</f>
        <v>0.41710189655172414</v>
      </c>
      <c r="N74" t="str" cm="1">
        <f t="array" ref="N74">IFERROR(_xlfn.IFS(M74&gt;100%,"&gt;100%",AND(M74&lt;100%,M74&gt;70%),"&gt;70%",AND(M74&lt;70%,M74&gt;40%),"&gt;40%",AND(M74&lt;40%,M74&gt;0%),"&gt;0%"),"")</f>
        <v>&gt;40%</v>
      </c>
      <c r="O74" t="str">
        <f t="shared" ref="O74:O128" si="5">B68</f>
        <v>JHOVANA TORRES</v>
      </c>
    </row>
    <row r="75" spans="1:15" x14ac:dyDescent="0.25">
      <c r="A75" t="s">
        <v>4</v>
      </c>
      <c r="B75" t="str">
        <f t="shared" si="3"/>
        <v/>
      </c>
      <c r="E75">
        <f>D1_ENERO[[#This Row],[RECUPERO]]/VLOOKUP(D1_ENERO[[#This Row],[SUPER]],D2_ENERO[#All],2,0)</f>
        <v>0</v>
      </c>
      <c r="F75" t="str">
        <f>D1_ENERO[[#This Row],[SUPER]]</f>
        <v>MELINA</v>
      </c>
      <c r="L75">
        <v>7</v>
      </c>
      <c r="M75" s="1">
        <f t="shared" si="4"/>
        <v>1.4346522413793104</v>
      </c>
      <c r="N75" t="str" cm="1">
        <f t="array" ref="N75">IFERROR(_xlfn.IFS(M75&gt;100%,"&gt;100%",AND(M75&lt;100%,M75&gt;70%),"&gt;70%",AND(M75&lt;70%,M75&gt;40%),"&gt;40%",AND(M75&lt;40%,M75&gt;0%),"&gt;0%"),"")</f>
        <v>&gt;100%</v>
      </c>
      <c r="O75" t="str">
        <f t="shared" si="5"/>
        <v>MARIA TINTAYA</v>
      </c>
    </row>
    <row r="76" spans="1:15" x14ac:dyDescent="0.25">
      <c r="A76" t="s">
        <v>4</v>
      </c>
      <c r="B76" t="str">
        <f t="shared" si="3"/>
        <v/>
      </c>
      <c r="E76">
        <f>D1_ENERO[[#This Row],[RECUPERO]]/VLOOKUP(D1_ENERO[[#This Row],[SUPER]],D2_ENERO[#All],2,0)</f>
        <v>0</v>
      </c>
      <c r="F76" t="str">
        <f>D1_ENERO[[#This Row],[SUPER]]</f>
        <v>MELINA</v>
      </c>
      <c r="L76">
        <v>8</v>
      </c>
      <c r="M76" s="1">
        <f t="shared" si="4"/>
        <v>0.82144827586206892</v>
      </c>
      <c r="N76" t="str" cm="1">
        <f t="array" ref="N76">IFERROR(_xlfn.IFS(M76&gt;100%,"&gt;100%",AND(M76&lt;100%,M76&gt;70%),"&gt;70%",AND(M76&lt;70%,M76&gt;40%),"&gt;40%",AND(M76&lt;40%,M76&gt;0%),"&gt;0%"),"")</f>
        <v>&gt;70%</v>
      </c>
      <c r="O76" t="str">
        <f t="shared" si="5"/>
        <v>MILAGROS QUIO</v>
      </c>
    </row>
    <row r="77" spans="1:15" x14ac:dyDescent="0.25">
      <c r="A77" t="s">
        <v>4</v>
      </c>
      <c r="B77" t="str">
        <f t="shared" si="3"/>
        <v/>
      </c>
      <c r="E77">
        <f>D1_ENERO[[#This Row],[RECUPERO]]/VLOOKUP(D1_ENERO[[#This Row],[SUPER]],D2_ENERO[#All],2,0)</f>
        <v>0</v>
      </c>
      <c r="F77" t="str">
        <f>D1_ENERO[[#This Row],[SUPER]]</f>
        <v>MELINA</v>
      </c>
      <c r="L77">
        <v>9</v>
      </c>
      <c r="M77" s="1">
        <f t="shared" si="4"/>
        <v>1.9245034482758621</v>
      </c>
      <c r="N77" t="str" cm="1">
        <f t="array" ref="N77">IFERROR(_xlfn.IFS(M77&gt;100%,"&gt;100%",AND(M77&lt;100%,M77&gt;70%),"&gt;70%",AND(M77&lt;70%,M77&gt;40%),"&gt;40%",AND(M77&lt;40%,M77&gt;0%),"&gt;0%"),"")</f>
        <v>&gt;100%</v>
      </c>
      <c r="O77" t="str">
        <f t="shared" si="5"/>
        <v>PIERINA TESEN</v>
      </c>
    </row>
    <row r="78" spans="1:15" x14ac:dyDescent="0.25">
      <c r="A78" t="s">
        <v>154</v>
      </c>
      <c r="B78" t="str">
        <f t="shared" si="3"/>
        <v>ALEIDITH GUEVARA</v>
      </c>
      <c r="C78" t="s">
        <v>18</v>
      </c>
      <c r="D78">
        <v>18262</v>
      </c>
      <c r="E78">
        <f>D1_ENERO[[#This Row],[RECUPERO]]/VLOOKUP(D1_ENERO[[#This Row],[SUPER]],D2_ENERO[#All],2,0)</f>
        <v>1.1067878787878789</v>
      </c>
      <c r="F78" t="str">
        <f>D1_ENERO[[#This Row],[SUPER]]</f>
        <v>MELITA</v>
      </c>
      <c r="L78">
        <v>10</v>
      </c>
      <c r="M78" s="1">
        <f t="shared" si="4"/>
        <v>0</v>
      </c>
      <c r="N78" t="str" cm="1">
        <f t="array" ref="N78">IFERROR(_xlfn.IFS(M78&gt;100%,"&gt;100%",AND(M78&lt;100%,M78&gt;70%),"&gt;70%",AND(M78&lt;70%,M78&gt;40%),"&gt;40%",AND(M78&lt;40%,M78&gt;0%),"&gt;0%"),"")</f>
        <v/>
      </c>
      <c r="O78" t="str">
        <f t="shared" si="5"/>
        <v/>
      </c>
    </row>
    <row r="79" spans="1:15" x14ac:dyDescent="0.25">
      <c r="A79" t="s">
        <v>154</v>
      </c>
      <c r="B79" t="str">
        <f t="shared" si="3"/>
        <v>BRINA SOTO</v>
      </c>
      <c r="C79" t="s">
        <v>14</v>
      </c>
      <c r="D79">
        <v>18788</v>
      </c>
      <c r="E79">
        <f>D1_ENERO[[#This Row],[RECUPERO]]/VLOOKUP(D1_ENERO[[#This Row],[SUPER]],D2_ENERO[#All],2,0)</f>
        <v>1.1386666666666667</v>
      </c>
      <c r="F79" t="str">
        <f>D1_ENERO[[#This Row],[SUPER]]</f>
        <v>MELITA</v>
      </c>
      <c r="L79">
        <v>11</v>
      </c>
      <c r="M79" s="1">
        <f t="shared" si="4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5"/>
        <v/>
      </c>
    </row>
    <row r="80" spans="1:15" x14ac:dyDescent="0.25">
      <c r="A80" t="s">
        <v>154</v>
      </c>
      <c r="B80" t="str">
        <f t="shared" si="3"/>
        <v>DANIEL ZAPATA</v>
      </c>
      <c r="C80" t="s">
        <v>80</v>
      </c>
      <c r="D80">
        <v>19834</v>
      </c>
      <c r="E80">
        <f>D1_ENERO[[#This Row],[RECUPERO]]/VLOOKUP(D1_ENERO[[#This Row],[SUPER]],D2_ENERO[#All],2,0)</f>
        <v>1.2020606060606061</v>
      </c>
      <c r="F80" t="str">
        <f>D1_ENERO[[#This Row],[SUPER]]</f>
        <v>MELITA</v>
      </c>
      <c r="L80">
        <v>12</v>
      </c>
      <c r="M80" s="1">
        <f t="shared" si="4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5"/>
        <v/>
      </c>
    </row>
    <row r="81" spans="1:15" x14ac:dyDescent="0.25">
      <c r="A81" t="s">
        <v>154</v>
      </c>
      <c r="B81" t="str">
        <f t="shared" si="3"/>
        <v>FRANCO HUAMANI</v>
      </c>
      <c r="C81" t="s">
        <v>24</v>
      </c>
      <c r="D81">
        <v>0</v>
      </c>
      <c r="E81">
        <f>D1_ENERO[[#This Row],[RECUPERO]]/VLOOKUP(D1_ENERO[[#This Row],[SUPER]],D2_ENERO[#All],2,0)</f>
        <v>0</v>
      </c>
      <c r="F81" t="str">
        <f>D1_ENERO[[#This Row],[SUPER]]</f>
        <v>MELITA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</row>
    <row r="82" spans="1:15" x14ac:dyDescent="0.25">
      <c r="A82" t="s">
        <v>154</v>
      </c>
      <c r="B82" t="str">
        <f t="shared" si="3"/>
        <v>ISABEL BEJARANO</v>
      </c>
      <c r="C82" t="s">
        <v>83</v>
      </c>
      <c r="D82">
        <v>14285</v>
      </c>
      <c r="E82">
        <f>D1_ENERO[[#This Row],[RECUPERO]]/VLOOKUP(D1_ENERO[[#This Row],[SUPER]],D2_ENERO[#All],2,0)</f>
        <v>0.86575757575757573</v>
      </c>
      <c r="F82" t="str">
        <f>D1_ENERO[[#This Row],[SUPER]]</f>
        <v>MELITA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</row>
    <row r="83" spans="1:15" x14ac:dyDescent="0.25">
      <c r="A83" t="s">
        <v>154</v>
      </c>
      <c r="B83" t="str">
        <f t="shared" si="3"/>
        <v>JANETH PORTOCARRERO</v>
      </c>
      <c r="C83" t="s">
        <v>49</v>
      </c>
      <c r="D83">
        <v>18962</v>
      </c>
      <c r="E83">
        <f>D1_ENERO[[#This Row],[RECUPERO]]/VLOOKUP(D1_ENERO[[#This Row],[SUPER]],D2_ENERO[#All],2,0)</f>
        <v>1.1492121212121211</v>
      </c>
      <c r="F83" t="str">
        <f>D1_ENERO[[#This Row],[SUPER]]</f>
        <v>MELITA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</row>
    <row r="84" spans="1:15" x14ac:dyDescent="0.25">
      <c r="A84" t="s">
        <v>154</v>
      </c>
      <c r="B84" t="str">
        <f t="shared" si="3"/>
        <v>JESSICA MELGAREJO</v>
      </c>
      <c r="C84" t="s">
        <v>112</v>
      </c>
      <c r="D84">
        <v>9410</v>
      </c>
      <c r="E84">
        <f>D1_ENERO[[#This Row],[RECUPERO]]/VLOOKUP(D1_ENERO[[#This Row],[SUPER]],D2_ENERO[#All],2,0)</f>
        <v>0.57030303030303031</v>
      </c>
      <c r="F84" t="str">
        <f>D1_ENERO[[#This Row],[SUPER]]</f>
        <v>MELITA</v>
      </c>
      <c r="L84">
        <v>1</v>
      </c>
      <c r="M84" s="1">
        <f t="shared" si="4"/>
        <v>1.1067878787878789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5"/>
        <v>ALEIDITH GUEVARA</v>
      </c>
    </row>
    <row r="85" spans="1:15" x14ac:dyDescent="0.25">
      <c r="A85" t="s">
        <v>154</v>
      </c>
      <c r="B85" t="str">
        <f t="shared" si="3"/>
        <v>JHONATAN CHAVEZ</v>
      </c>
      <c r="C85" t="s">
        <v>65</v>
      </c>
      <c r="D85">
        <v>2630</v>
      </c>
      <c r="E85">
        <f>D1_ENERO[[#This Row],[RECUPERO]]/VLOOKUP(D1_ENERO[[#This Row],[SUPER]],D2_ENERO[#All],2,0)</f>
        <v>0.15939393939393939</v>
      </c>
      <c r="F85" t="str">
        <f>D1_ENERO[[#This Row],[SUPER]]</f>
        <v>MELITA</v>
      </c>
      <c r="L85">
        <v>2</v>
      </c>
      <c r="M85" s="1">
        <f t="shared" si="4"/>
        <v>1.1386666666666667</v>
      </c>
      <c r="N85" t="str" cm="1">
        <f t="array" ref="N85">IFERROR(_xlfn.IFS(M85&gt;100%,"&gt;100%",AND(M85&lt;100%,M85&gt;70%),"&gt;70%",AND(M85&lt;70%,M85&gt;40%),"&gt;40%",AND(M85&lt;40%,M85&gt;0%),"&gt;0%"),"")</f>
        <v>&gt;100%</v>
      </c>
      <c r="O85" t="str">
        <f t="shared" si="5"/>
        <v>BRINA SOTO</v>
      </c>
    </row>
    <row r="86" spans="1:15" x14ac:dyDescent="0.25">
      <c r="A86" t="s">
        <v>154</v>
      </c>
      <c r="B86" t="str">
        <f t="shared" si="3"/>
        <v>LINDA TUESTA</v>
      </c>
      <c r="C86" t="s">
        <v>33</v>
      </c>
      <c r="D86">
        <v>12405.4</v>
      </c>
      <c r="E86">
        <f>D1_ENERO[[#This Row],[RECUPERO]]/VLOOKUP(D1_ENERO[[#This Row],[SUPER]],D2_ENERO[#All],2,0)</f>
        <v>0.7518424242424242</v>
      </c>
      <c r="F86" t="str">
        <f>D1_ENERO[[#This Row],[SUPER]]</f>
        <v>MELITA</v>
      </c>
      <c r="L86">
        <v>3</v>
      </c>
      <c r="M86" s="1">
        <f t="shared" si="4"/>
        <v>1.2020606060606061</v>
      </c>
      <c r="N86" t="str" cm="1">
        <f t="array" ref="N86">IFERROR(_xlfn.IFS(M86&gt;100%,"&gt;100%",AND(M86&lt;100%,M86&gt;70%),"&gt;70%",AND(M86&lt;70%,M86&gt;40%),"&gt;40%",AND(M86&lt;40%,M86&gt;0%),"&gt;0%"),"")</f>
        <v>&gt;100%</v>
      </c>
      <c r="O86" t="str">
        <f t="shared" si="5"/>
        <v>DANIEL ZAPATA</v>
      </c>
    </row>
    <row r="87" spans="1:15" x14ac:dyDescent="0.25">
      <c r="A87" t="s">
        <v>154</v>
      </c>
      <c r="B87" t="str">
        <f t="shared" si="3"/>
        <v>LUCERO JORDAN</v>
      </c>
      <c r="C87" t="s">
        <v>68</v>
      </c>
      <c r="D87">
        <v>17533</v>
      </c>
      <c r="E87">
        <f>D1_ENERO[[#This Row],[RECUPERO]]/VLOOKUP(D1_ENERO[[#This Row],[SUPER]],D2_ENERO[#All],2,0)</f>
        <v>1.0626060606060606</v>
      </c>
      <c r="F87" t="str">
        <f>D1_ENERO[[#This Row],[SUPER]]</f>
        <v>MELITA</v>
      </c>
      <c r="L87">
        <v>4</v>
      </c>
      <c r="M87" s="1">
        <f t="shared" si="4"/>
        <v>0</v>
      </c>
      <c r="N87" t="str" cm="1">
        <f t="array" ref="N87">IFERROR(_xlfn.IFS(M87&gt;100%,"&gt;100%",AND(M87&lt;100%,M87&gt;70%),"&gt;70%",AND(M87&lt;70%,M87&gt;40%),"&gt;40%",AND(M87&lt;40%,M87&gt;0%),"&gt;0%"),"")</f>
        <v/>
      </c>
      <c r="O87" t="str">
        <f t="shared" si="5"/>
        <v>FRANCO HUAMANI</v>
      </c>
    </row>
    <row r="88" spans="1:15" x14ac:dyDescent="0.25">
      <c r="A88" t="s">
        <v>154</v>
      </c>
      <c r="B88" t="str">
        <f t="shared" si="3"/>
        <v/>
      </c>
      <c r="E88">
        <f>D1_ENERO[[#This Row],[RECUPERO]]/VLOOKUP(D1_ENERO[[#This Row],[SUPER]],D2_ENERO[#All],2,0)</f>
        <v>0</v>
      </c>
      <c r="F88" t="str">
        <f>D1_ENERO[[#This Row],[SUPER]]</f>
        <v>MELITA</v>
      </c>
      <c r="L88">
        <v>5</v>
      </c>
      <c r="M88" s="1">
        <f t="shared" si="4"/>
        <v>0.86575757575757573</v>
      </c>
      <c r="N88" t="str" cm="1">
        <f t="array" ref="N88">IFERROR(_xlfn.IFS(M88&gt;100%,"&gt;100%",AND(M88&lt;100%,M88&gt;70%),"&gt;70%",AND(M88&lt;70%,M88&gt;40%),"&gt;40%",AND(M88&lt;40%,M88&gt;0%),"&gt;0%"),"")</f>
        <v>&gt;70%</v>
      </c>
      <c r="O88" t="str">
        <f t="shared" si="5"/>
        <v>ISABEL BEJARANO</v>
      </c>
    </row>
    <row r="89" spans="1:15" x14ac:dyDescent="0.25">
      <c r="A89" t="s">
        <v>154</v>
      </c>
      <c r="B89" t="str">
        <f t="shared" si="3"/>
        <v/>
      </c>
      <c r="E89">
        <f>D1_ENERO[[#This Row],[RECUPERO]]/VLOOKUP(D1_ENERO[[#This Row],[SUPER]],D2_ENERO[#All],2,0)</f>
        <v>0</v>
      </c>
      <c r="F89" t="str">
        <f>D1_ENERO[[#This Row],[SUPER]]</f>
        <v>MELITA</v>
      </c>
      <c r="L89">
        <v>6</v>
      </c>
      <c r="M89" s="1">
        <f t="shared" si="4"/>
        <v>1.1492121212121211</v>
      </c>
      <c r="N89" t="str" cm="1">
        <f t="array" ref="N89">IFERROR(_xlfn.IFS(M89&gt;100%,"&gt;100%",AND(M89&lt;100%,M89&gt;70%),"&gt;70%",AND(M89&lt;70%,M89&gt;40%),"&gt;40%",AND(M89&lt;40%,M89&gt;0%),"&gt;0%"),"")</f>
        <v>&gt;100%</v>
      </c>
      <c r="O89" t="str">
        <f t="shared" si="5"/>
        <v>JANETH PORTOCARRERO</v>
      </c>
    </row>
    <row r="90" spans="1:15" x14ac:dyDescent="0.25">
      <c r="A90" t="s">
        <v>154</v>
      </c>
      <c r="B90" t="str">
        <f t="shared" si="3"/>
        <v/>
      </c>
      <c r="E90">
        <f>D1_ENERO[[#This Row],[RECUPERO]]/VLOOKUP(D1_ENERO[[#This Row],[SUPER]],D2_ENERO[#All],2,0)</f>
        <v>0</v>
      </c>
      <c r="F90" t="str">
        <f>D1_ENERO[[#This Row],[SUPER]]</f>
        <v>MELITA</v>
      </c>
      <c r="L90">
        <v>7</v>
      </c>
      <c r="M90" s="1">
        <f t="shared" si="4"/>
        <v>0.57030303030303031</v>
      </c>
      <c r="N90" t="str" cm="1">
        <f t="array" ref="N90">IFERROR(_xlfn.IFS(M90&gt;100%,"&gt;100%",AND(M90&lt;100%,M90&gt;70%),"&gt;70%",AND(M90&lt;70%,M90&gt;40%),"&gt;40%",AND(M90&lt;40%,M90&gt;0%),"&gt;0%"),"")</f>
        <v>&gt;40%</v>
      </c>
      <c r="O90" t="str">
        <f t="shared" si="5"/>
        <v>JESSICA MELGAREJO</v>
      </c>
    </row>
    <row r="91" spans="1:15" x14ac:dyDescent="0.25">
      <c r="A91" t="s">
        <v>154</v>
      </c>
      <c r="B91" t="str">
        <f t="shared" si="3"/>
        <v/>
      </c>
      <c r="E91">
        <f>D1_ENERO[[#This Row],[RECUPERO]]/VLOOKUP(D1_ENERO[[#This Row],[SUPER]],D2_ENERO[#All],2,0)</f>
        <v>0</v>
      </c>
      <c r="F91" t="str">
        <f>D1_ENERO[[#This Row],[SUPER]]</f>
        <v>MELITA</v>
      </c>
      <c r="L91">
        <v>8</v>
      </c>
      <c r="M91" s="1">
        <f t="shared" si="4"/>
        <v>0.15939393939393939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JHONATAN CHAVEZ</v>
      </c>
    </row>
    <row r="92" spans="1:15" x14ac:dyDescent="0.25">
      <c r="A92" t="s">
        <v>154</v>
      </c>
      <c r="B92" t="str">
        <f t="shared" si="3"/>
        <v/>
      </c>
      <c r="E92">
        <f>D1_ENERO[[#This Row],[RECUPERO]]/VLOOKUP(D1_ENERO[[#This Row],[SUPER]],D2_ENERO[#All],2,0)</f>
        <v>0</v>
      </c>
      <c r="F92" t="str">
        <f>D1_ENERO[[#This Row],[SUPER]]</f>
        <v>MELITA</v>
      </c>
      <c r="L92">
        <v>9</v>
      </c>
      <c r="M92" s="1">
        <f t="shared" si="4"/>
        <v>0.7518424242424242</v>
      </c>
      <c r="N92" t="str" cm="1">
        <f t="array" ref="N92">IFERROR(_xlfn.IFS(M92&gt;100%,"&gt;100%",AND(M92&lt;100%,M92&gt;70%),"&gt;70%",AND(M92&lt;70%,M92&gt;40%),"&gt;40%",AND(M92&lt;40%,M92&gt;0%),"&gt;0%"),"")</f>
        <v>&gt;70%</v>
      </c>
      <c r="O92" t="str">
        <f t="shared" si="5"/>
        <v>LINDA TUESTA</v>
      </c>
    </row>
    <row r="93" spans="1:15" x14ac:dyDescent="0.25">
      <c r="A93" t="s">
        <v>3</v>
      </c>
      <c r="B93" t="str">
        <f t="shared" si="3"/>
        <v>ALEJANDRA QUISPE</v>
      </c>
      <c r="C93" t="s">
        <v>58</v>
      </c>
      <c r="D93">
        <v>35091.5</v>
      </c>
      <c r="E93">
        <f>D1_ENERO[[#This Row],[RECUPERO]]/VLOOKUP(D1_ENERO[[#This Row],[SUPER]],D2_ENERO[#All],2,0)</f>
        <v>0.60502586206896547</v>
      </c>
      <c r="F93" t="str">
        <f>D1_ENERO[[#This Row],[SUPER]]</f>
        <v>SANDY</v>
      </c>
      <c r="L93">
        <v>10</v>
      </c>
      <c r="M93" s="1">
        <f t="shared" si="4"/>
        <v>1.0626060606060606</v>
      </c>
      <c r="N93" t="str" cm="1">
        <f t="array" ref="N93">IFERROR(_xlfn.IFS(M93&gt;100%,"&gt;100%",AND(M93&lt;100%,M93&gt;70%),"&gt;70%",AND(M93&lt;70%,M93&gt;40%),"&gt;40%",AND(M93&lt;40%,M93&gt;0%),"&gt;0%"),"")</f>
        <v>&gt;100%</v>
      </c>
      <c r="O93" t="str">
        <f t="shared" si="5"/>
        <v>LUCERO JORDAN</v>
      </c>
    </row>
    <row r="94" spans="1:15" x14ac:dyDescent="0.25">
      <c r="A94" t="s">
        <v>3</v>
      </c>
      <c r="B94" t="str">
        <f t="shared" si="3"/>
        <v>EVELY TENORIO</v>
      </c>
      <c r="C94" t="s">
        <v>22</v>
      </c>
      <c r="D94">
        <v>0</v>
      </c>
      <c r="E94">
        <f>D1_ENERO[[#This Row],[RECUPERO]]/VLOOKUP(D1_ENERO[[#This Row],[SUPER]],D2_ENERO[#All],2,0)</f>
        <v>0</v>
      </c>
      <c r="F94" t="str">
        <f>D1_ENERO[[#This Row],[SUPER]]</f>
        <v>SANDY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</row>
    <row r="95" spans="1:15" x14ac:dyDescent="0.25">
      <c r="A95" t="s">
        <v>3</v>
      </c>
      <c r="B95" t="str">
        <f t="shared" si="3"/>
        <v>JAIR MARTINEZ</v>
      </c>
      <c r="C95" t="s">
        <v>57</v>
      </c>
      <c r="D95">
        <v>37285.699999999997</v>
      </c>
      <c r="E95">
        <f>D1_ENERO[[#This Row],[RECUPERO]]/VLOOKUP(D1_ENERO[[#This Row],[SUPER]],D2_ENERO[#All],2,0)</f>
        <v>0.64285689655172407</v>
      </c>
      <c r="F95" t="str">
        <f>D1_ENERO[[#This Row],[SUPER]]</f>
        <v>SANDY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</row>
    <row r="96" spans="1:15" x14ac:dyDescent="0.25">
      <c r="A96" t="s">
        <v>3</v>
      </c>
      <c r="B96" t="str">
        <f t="shared" si="3"/>
        <v>JOSUE CHOCCE</v>
      </c>
      <c r="C96" t="s">
        <v>162</v>
      </c>
      <c r="D96">
        <v>9113</v>
      </c>
      <c r="E96">
        <f>D1_ENERO[[#This Row],[RECUPERO]]/VLOOKUP(D1_ENERO[[#This Row],[SUPER]],D2_ENERO[#All],2,0)</f>
        <v>0.15712068965517242</v>
      </c>
      <c r="F96" t="str">
        <f>D1_ENERO[[#This Row],[SUPER]]</f>
        <v>SANDY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</row>
    <row r="97" spans="1:15" x14ac:dyDescent="0.25">
      <c r="A97" t="s">
        <v>3</v>
      </c>
      <c r="B97" t="str">
        <f t="shared" si="3"/>
        <v>LISELY MERA</v>
      </c>
      <c r="C97" t="s">
        <v>23</v>
      </c>
      <c r="D97">
        <v>70030</v>
      </c>
      <c r="E97">
        <f>D1_ENERO[[#This Row],[RECUPERO]]/VLOOKUP(D1_ENERO[[#This Row],[SUPER]],D2_ENERO[#All],2,0)</f>
        <v>1.2074137931034483</v>
      </c>
      <c r="F97" t="str">
        <f>D1_ENERO[[#This Row],[SUPER]]</f>
        <v>SANDY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</row>
    <row r="98" spans="1:15" x14ac:dyDescent="0.25">
      <c r="A98" t="s">
        <v>3</v>
      </c>
      <c r="B98" t="str">
        <f t="shared" si="3"/>
        <v>MALORY MONTEBLANCO</v>
      </c>
      <c r="C98" t="s">
        <v>25</v>
      </c>
      <c r="D98">
        <v>53508</v>
      </c>
      <c r="E98">
        <f>D1_ENERO[[#This Row],[RECUPERO]]/VLOOKUP(D1_ENERO[[#This Row],[SUPER]],D2_ENERO[#All],2,0)</f>
        <v>0.92255172413793107</v>
      </c>
      <c r="F98" t="str">
        <f>D1_ENERO[[#This Row],[SUPER]]</f>
        <v>SANDY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</row>
    <row r="99" spans="1:15" x14ac:dyDescent="0.25">
      <c r="A99" t="s">
        <v>3</v>
      </c>
      <c r="B99" t="str">
        <f t="shared" si="3"/>
        <v>RICHARD RODRIGUEZ</v>
      </c>
      <c r="C99" t="s">
        <v>63</v>
      </c>
      <c r="D99">
        <v>49852.9</v>
      </c>
      <c r="E99">
        <f>D1_ENERO[[#This Row],[RECUPERO]]/VLOOKUP(D1_ENERO[[#This Row],[SUPER]],D2_ENERO[#All],2,0)</f>
        <v>0.85953275862068967</v>
      </c>
      <c r="F99" t="str">
        <f>D1_ENERO[[#This Row],[SUPER]]</f>
        <v>SANDY</v>
      </c>
      <c r="L99">
        <v>1</v>
      </c>
      <c r="M99" s="1">
        <f t="shared" si="4"/>
        <v>0.60502586206896547</v>
      </c>
      <c r="N99" t="str" cm="1">
        <f t="array" ref="N99">IFERROR(_xlfn.IFS(M99&gt;100%,"&gt;100%",AND(M99&lt;100%,M99&gt;70%),"&gt;70%",AND(M99&lt;70%,M99&gt;40%),"&gt;40%",AND(M99&lt;40%,M99&gt;0%),"&gt;0%"),"")</f>
        <v>&gt;40%</v>
      </c>
      <c r="O99" t="str">
        <f t="shared" si="5"/>
        <v>ALEJANDRA QUISPE</v>
      </c>
    </row>
    <row r="100" spans="1:15" x14ac:dyDescent="0.25">
      <c r="A100" t="s">
        <v>3</v>
      </c>
      <c r="B100" t="str">
        <f t="shared" si="3"/>
        <v>TERRY ECHEVARRIA</v>
      </c>
      <c r="C100" t="s">
        <v>30</v>
      </c>
      <c r="D100">
        <v>34037</v>
      </c>
      <c r="E100">
        <f>D1_ENERO[[#This Row],[RECUPERO]]/VLOOKUP(D1_ENERO[[#This Row],[SUPER]],D2_ENERO[#All],2,0)</f>
        <v>0.58684482758620693</v>
      </c>
      <c r="F100" t="str">
        <f>D1_ENERO[[#This Row],[SUPER]]</f>
        <v>SANDY</v>
      </c>
      <c r="L100">
        <v>2</v>
      </c>
      <c r="M100" s="1">
        <f t="shared" si="4"/>
        <v>0</v>
      </c>
      <c r="N100" t="str" cm="1">
        <f t="array" ref="N100">IFERROR(_xlfn.IFS(M100&gt;100%,"&gt;100%",AND(M100&lt;100%,M100&gt;70%),"&gt;70%",AND(M100&lt;70%,M100&gt;40%),"&gt;40%",AND(M100&lt;40%,M100&gt;0%),"&gt;0%"),"")</f>
        <v/>
      </c>
      <c r="O100" t="str">
        <f t="shared" si="5"/>
        <v>EVELY TENORIO</v>
      </c>
    </row>
    <row r="101" spans="1:15" x14ac:dyDescent="0.25">
      <c r="A101" t="s">
        <v>3</v>
      </c>
      <c r="B101" t="str">
        <f t="shared" si="3"/>
        <v>VERONICA TASAYCO</v>
      </c>
      <c r="C101" t="s">
        <v>10</v>
      </c>
      <c r="D101">
        <v>34037</v>
      </c>
      <c r="E101">
        <f>D1_ENERO[[#This Row],[RECUPERO]]/VLOOKUP(D1_ENERO[[#This Row],[SUPER]],D2_ENERO[#All],2,0)</f>
        <v>0.58684482758620693</v>
      </c>
      <c r="F101" t="str">
        <f>D1_ENERO[[#This Row],[SUPER]]</f>
        <v>SANDY</v>
      </c>
      <c r="L101">
        <v>3</v>
      </c>
      <c r="M101" s="1">
        <f t="shared" si="4"/>
        <v>0.64285689655172407</v>
      </c>
      <c r="N101" t="str" cm="1">
        <f t="array" ref="N101">IFERROR(_xlfn.IFS(M101&gt;100%,"&gt;100%",AND(M101&lt;100%,M101&gt;70%),"&gt;70%",AND(M101&lt;70%,M101&gt;40%),"&gt;40%",AND(M101&lt;40%,M101&gt;0%),"&gt;0%"),"")</f>
        <v>&gt;40%</v>
      </c>
      <c r="O101" t="str">
        <f t="shared" si="5"/>
        <v>JAIR MARTINEZ</v>
      </c>
    </row>
    <row r="102" spans="1:15" x14ac:dyDescent="0.25">
      <c r="A102" t="s">
        <v>3</v>
      </c>
      <c r="B102" t="str">
        <f t="shared" si="3"/>
        <v/>
      </c>
      <c r="E102">
        <f>D1_ENERO[[#This Row],[RECUPERO]]/VLOOKUP(D1_ENERO[[#This Row],[SUPER]],D2_ENERO[#All],2,0)</f>
        <v>0</v>
      </c>
      <c r="F102" t="str">
        <f>D1_ENERO[[#This Row],[SUPER]]</f>
        <v>SANDY</v>
      </c>
      <c r="L102">
        <v>4</v>
      </c>
      <c r="M102" s="1">
        <f t="shared" si="4"/>
        <v>0.15712068965517242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5"/>
        <v>JOSUE CHOCCE</v>
      </c>
    </row>
    <row r="103" spans="1:15" x14ac:dyDescent="0.25">
      <c r="A103" t="s">
        <v>3</v>
      </c>
      <c r="B103" t="str">
        <f t="shared" si="3"/>
        <v/>
      </c>
      <c r="E103">
        <f>D1_ENERO[[#This Row],[RECUPERO]]/VLOOKUP(D1_ENERO[[#This Row],[SUPER]],D2_ENERO[#All],2,0)</f>
        <v>0</v>
      </c>
      <c r="F103" t="str">
        <f>D1_ENERO[[#This Row],[SUPER]]</f>
        <v>SANDY</v>
      </c>
      <c r="L103">
        <v>5</v>
      </c>
      <c r="M103" s="1">
        <f t="shared" si="4"/>
        <v>1.2074137931034483</v>
      </c>
      <c r="N103" t="str" cm="1">
        <f t="array" ref="N103">IFERROR(_xlfn.IFS(M103&gt;100%,"&gt;100%",AND(M103&lt;100%,M103&gt;70%),"&gt;70%",AND(M103&lt;70%,M103&gt;40%),"&gt;40%",AND(M103&lt;40%,M103&gt;0%),"&gt;0%"),"")</f>
        <v>&gt;100%</v>
      </c>
      <c r="O103" t="str">
        <f t="shared" si="5"/>
        <v>LISELY MERA</v>
      </c>
    </row>
    <row r="104" spans="1:15" x14ac:dyDescent="0.25">
      <c r="A104" t="s">
        <v>3</v>
      </c>
      <c r="B104" t="str">
        <f t="shared" si="3"/>
        <v/>
      </c>
      <c r="E104">
        <f>D1_ENERO[[#This Row],[RECUPERO]]/VLOOKUP(D1_ENERO[[#This Row],[SUPER]],D2_ENERO[#All],2,0)</f>
        <v>0</v>
      </c>
      <c r="F104" t="str">
        <f>D1_ENERO[[#This Row],[SUPER]]</f>
        <v>SANDY</v>
      </c>
      <c r="L104">
        <v>6</v>
      </c>
      <c r="M104" s="1">
        <f t="shared" si="4"/>
        <v>0.92255172413793107</v>
      </c>
      <c r="N104" t="str" cm="1">
        <f t="array" ref="N104">IFERROR(_xlfn.IFS(M104&gt;100%,"&gt;100%",AND(M104&lt;100%,M104&gt;70%),"&gt;70%",AND(M104&lt;70%,M104&gt;40%),"&gt;40%",AND(M104&lt;40%,M104&gt;0%),"&gt;0%"),"")</f>
        <v>&gt;70%</v>
      </c>
      <c r="O104" t="str">
        <f t="shared" si="5"/>
        <v>MALORY MONTEBLANCO</v>
      </c>
    </row>
    <row r="105" spans="1:15" x14ac:dyDescent="0.25">
      <c r="A105" t="s">
        <v>3</v>
      </c>
      <c r="B105" t="str">
        <f t="shared" si="3"/>
        <v/>
      </c>
      <c r="E105">
        <f>D1_ENERO[[#This Row],[RECUPERO]]/VLOOKUP(D1_ENERO[[#This Row],[SUPER]],D2_ENERO[#All],2,0)</f>
        <v>0</v>
      </c>
      <c r="F105" t="str">
        <f>D1_ENERO[[#This Row],[SUPER]]</f>
        <v>SANDY</v>
      </c>
      <c r="L105">
        <v>7</v>
      </c>
      <c r="M105" s="1">
        <f t="shared" si="4"/>
        <v>0.85953275862068967</v>
      </c>
      <c r="N105" t="str" cm="1">
        <f t="array" ref="N105">IFERROR(_xlfn.IFS(M105&gt;100%,"&gt;100%",AND(M105&lt;100%,M105&gt;70%),"&gt;70%",AND(M105&lt;70%,M105&gt;40%),"&gt;40%",AND(M105&lt;40%,M105&gt;0%),"&gt;0%"),"")</f>
        <v>&gt;70%</v>
      </c>
      <c r="O105" t="str">
        <f t="shared" si="5"/>
        <v>RICHARD RODRIGUEZ</v>
      </c>
    </row>
    <row r="106" spans="1:15" x14ac:dyDescent="0.25">
      <c r="A106" t="s">
        <v>3</v>
      </c>
      <c r="B106" t="str">
        <f t="shared" si="3"/>
        <v/>
      </c>
      <c r="E106">
        <f>D1_ENERO[[#This Row],[RECUPERO]]/VLOOKUP(D1_ENERO[[#This Row],[SUPER]],D2_ENERO[#All],2,0)</f>
        <v>0</v>
      </c>
      <c r="F106" t="str">
        <f>D1_ENERO[[#This Row],[SUPER]]</f>
        <v>SANDY</v>
      </c>
      <c r="L106">
        <v>8</v>
      </c>
      <c r="M106" s="1">
        <f t="shared" si="4"/>
        <v>0.58684482758620693</v>
      </c>
      <c r="N106" t="str" cm="1">
        <f t="array" ref="N106">IFERROR(_xlfn.IFS(M106&gt;100%,"&gt;100%",AND(M106&lt;100%,M106&gt;70%),"&gt;70%",AND(M106&lt;70%,M106&gt;40%),"&gt;40%",AND(M106&lt;40%,M106&gt;0%),"&gt;0%"),"")</f>
        <v>&gt;40%</v>
      </c>
      <c r="O106" t="str">
        <f t="shared" si="5"/>
        <v>TERRY ECHEVARRIA</v>
      </c>
    </row>
    <row r="107" spans="1:15" x14ac:dyDescent="0.25">
      <c r="A107" t="s">
        <v>3</v>
      </c>
      <c r="B107" t="str">
        <f t="shared" si="3"/>
        <v/>
      </c>
      <c r="E107">
        <f>D1_ENERO[[#This Row],[RECUPERO]]/VLOOKUP(D1_ENERO[[#This Row],[SUPER]],D2_ENERO[#All],2,0)</f>
        <v>0</v>
      </c>
      <c r="F107" t="str">
        <f>D1_ENERO[[#This Row],[SUPER]]</f>
        <v>SANDY</v>
      </c>
      <c r="L107">
        <v>9</v>
      </c>
      <c r="M107" s="1">
        <f t="shared" si="4"/>
        <v>0.58684482758620693</v>
      </c>
      <c r="N107" t="str" cm="1">
        <f t="array" ref="N107">IFERROR(_xlfn.IFS(M107&gt;100%,"&gt;100%",AND(M107&lt;100%,M107&gt;70%),"&gt;70%",AND(M107&lt;70%,M107&gt;40%),"&gt;40%",AND(M107&lt;40%,M107&gt;0%),"&gt;0%"),"")</f>
        <v>&gt;40%</v>
      </c>
      <c r="O107" t="str">
        <f t="shared" si="5"/>
        <v>VERONICA TASAYCO</v>
      </c>
    </row>
    <row r="108" spans="1:15" x14ac:dyDescent="0.25">
      <c r="B108" t="str">
        <f t="shared" si="3"/>
        <v/>
      </c>
      <c r="E108" t="e">
        <f>D1_ENERO[[#This Row],[RECUPERO]]/VLOOKUP(D1_ENERO[[#This Row],[SUPER]],D2_ENERO[#All],2,0)</f>
        <v>#N/A</v>
      </c>
      <c r="F108">
        <f>D1_ENERO[[#This Row],[SUPER]]</f>
        <v>0</v>
      </c>
      <c r="L108">
        <v>10</v>
      </c>
      <c r="M108" s="1">
        <f t="shared" si="4"/>
        <v>0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5"/>
        <v/>
      </c>
    </row>
    <row r="109" spans="1:15" x14ac:dyDescent="0.25">
      <c r="B109" t="str">
        <f t="shared" si="3"/>
        <v/>
      </c>
      <c r="E109" t="e">
        <f>D1_ENERO[[#This Row],[RECUPERO]]/VLOOKUP(D1_ENERO[[#This Row],[SUPER]],D2_ENERO[#All],2,0)</f>
        <v>#N/A</v>
      </c>
      <c r="F109">
        <f>D1_ENERO[[#This Row],[SUPER]]</f>
        <v>0</v>
      </c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</row>
    <row r="110" spans="1:15" x14ac:dyDescent="0.25">
      <c r="B110" t="str">
        <f t="shared" si="3"/>
        <v/>
      </c>
      <c r="E110" t="e">
        <f>D1_ENERO[[#This Row],[RECUPERO]]/VLOOKUP(D1_ENERO[[#This Row],[SUPER]],D2_ENERO[#All],2,0)</f>
        <v>#N/A</v>
      </c>
      <c r="F110">
        <f>D1_ENERO[[#This Row],[SUPER]]</f>
        <v>0</v>
      </c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</row>
    <row r="111" spans="1:15" x14ac:dyDescent="0.25">
      <c r="B111" t="str">
        <f t="shared" si="3"/>
        <v/>
      </c>
      <c r="E111" t="e">
        <f>D1_ENERO[[#This Row],[RECUPERO]]/VLOOKUP(D1_ENERO[[#This Row],[SUPER]],D2_ENERO[#All],2,0)</f>
        <v>#N/A</v>
      </c>
      <c r="F111">
        <f>D1_ENERO[[#This Row],[SUPER]]</f>
        <v>0</v>
      </c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</row>
    <row r="112" spans="1:15" x14ac:dyDescent="0.25">
      <c r="B112" t="str">
        <f t="shared" si="3"/>
        <v/>
      </c>
      <c r="E112" t="e">
        <f>D1_ENERO[[#This Row],[RECUPERO]]/VLOOKUP(D1_ENERO[[#This Row],[SUPER]],D2_ENERO[#All],2,0)</f>
        <v>#N/A</v>
      </c>
      <c r="F112">
        <f>D1_ENERO[[#This Row],[SUPER]]</f>
        <v>0</v>
      </c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</row>
    <row r="113" spans="2:15" x14ac:dyDescent="0.25">
      <c r="B113" t="str">
        <f t="shared" si="3"/>
        <v/>
      </c>
      <c r="E113" t="e">
        <f>D1_ENERO[[#This Row],[RECUPERO]]/VLOOKUP(D1_ENERO[[#This Row],[SUPER]],D2_ENERO[#All],2,0)</f>
        <v>#N/A</v>
      </c>
      <c r="F113">
        <f>D1_ENERO[[#This Row],[SUPER]]</f>
        <v>0</v>
      </c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</row>
    <row r="114" spans="2:15" x14ac:dyDescent="0.25">
      <c r="B114" t="str">
        <f t="shared" si="3"/>
        <v/>
      </c>
      <c r="E114" t="e">
        <f>D1_ENERO[[#This Row],[RECUPERO]]/VLOOKUP(D1_ENERO[[#This Row],[SUPER]],D2_ENERO[#All],2,0)</f>
        <v>#N/A</v>
      </c>
      <c r="F114">
        <f>D1_ENERO[[#This Row],[SUPER]]</f>
        <v>0</v>
      </c>
      <c r="L114">
        <v>1</v>
      </c>
      <c r="M114" s="1" t="e">
        <f t="shared" si="4"/>
        <v>#N/A</v>
      </c>
      <c r="N114" t="str" cm="1">
        <f t="array" ref="N114">IFERROR(_xlfn.IFS(M114&gt;100%,"&gt;100%",AND(M114&lt;100%,M114&gt;70%),"&gt;70%",AND(M114&lt;70%,M114&gt;40%),"&gt;40%",AND(M114&lt;40%,M114&gt;0%),"&gt;0%"),"")</f>
        <v/>
      </c>
      <c r="O114" t="str">
        <f t="shared" si="5"/>
        <v/>
      </c>
    </row>
    <row r="115" spans="2:15" x14ac:dyDescent="0.25">
      <c r="B115" t="str">
        <f t="shared" si="3"/>
        <v/>
      </c>
      <c r="E115" t="e">
        <f>D1_ENERO[[#This Row],[RECUPERO]]/VLOOKUP(D1_ENERO[[#This Row],[SUPER]],D2_ENERO[#All],2,0)</f>
        <v>#N/A</v>
      </c>
      <c r="F115">
        <f>D1_ENERO[[#This Row],[SUPER]]</f>
        <v>0</v>
      </c>
      <c r="L115">
        <v>2</v>
      </c>
      <c r="M115" s="1" t="e">
        <f t="shared" si="4"/>
        <v>#N/A</v>
      </c>
      <c r="N115" t="str" cm="1">
        <f t="array" ref="N115">IFERROR(_xlfn.IFS(M115&gt;100%,"&gt;100%",AND(M115&lt;100%,M115&gt;70%),"&gt;70%",AND(M115&lt;70%,M115&gt;40%),"&gt;40%",AND(M115&lt;40%,M115&gt;0%),"&gt;0%"),"")</f>
        <v/>
      </c>
      <c r="O115" t="str">
        <f t="shared" si="5"/>
        <v/>
      </c>
    </row>
    <row r="116" spans="2:15" x14ac:dyDescent="0.25">
      <c r="B116" t="str">
        <f t="shared" si="3"/>
        <v/>
      </c>
      <c r="E116" t="e">
        <f>D1_ENERO[[#This Row],[RECUPERO]]/VLOOKUP(D1_ENERO[[#This Row],[SUPER]],D2_ENERO[#All],2,0)</f>
        <v>#N/A</v>
      </c>
      <c r="F116">
        <f>D1_ENERO[[#This Row],[SUPER]]</f>
        <v>0</v>
      </c>
      <c r="L116">
        <v>3</v>
      </c>
      <c r="M116" s="1" t="e">
        <f t="shared" si="4"/>
        <v>#N/A</v>
      </c>
      <c r="N116" t="str" cm="1">
        <f t="array" ref="N116">IFERROR(_xlfn.IFS(M116&gt;100%,"&gt;100%",AND(M116&lt;100%,M116&gt;70%),"&gt;70%",AND(M116&lt;70%,M116&gt;40%),"&gt;40%",AND(M116&lt;40%,M116&gt;0%),"&gt;0%"),"")</f>
        <v/>
      </c>
      <c r="O116" t="str">
        <f t="shared" si="5"/>
        <v/>
      </c>
    </row>
    <row r="117" spans="2:15" x14ac:dyDescent="0.25">
      <c r="B117" t="str">
        <f t="shared" si="3"/>
        <v/>
      </c>
      <c r="E117" t="e">
        <f>D1_ENERO[[#This Row],[RECUPERO]]/VLOOKUP(D1_ENERO[[#This Row],[SUPER]],D2_ENERO[#All],2,0)</f>
        <v>#N/A</v>
      </c>
      <c r="F117">
        <f>D1_ENERO[[#This Row],[SUPER]]</f>
        <v>0</v>
      </c>
      <c r="L117">
        <v>4</v>
      </c>
      <c r="M117" s="1" t="e">
        <f t="shared" si="4"/>
        <v>#N/A</v>
      </c>
      <c r="N117" t="str" cm="1">
        <f t="array" ref="N117">IFERROR(_xlfn.IFS(M117&gt;100%,"&gt;100%",AND(M117&lt;100%,M117&gt;70%),"&gt;70%",AND(M117&lt;70%,M117&gt;40%),"&gt;40%",AND(M117&lt;40%,M117&gt;0%),"&gt;0%"),"")</f>
        <v/>
      </c>
      <c r="O117" t="str">
        <f t="shared" si="5"/>
        <v/>
      </c>
    </row>
    <row r="118" spans="2:15" x14ac:dyDescent="0.25">
      <c r="B118" t="str">
        <f t="shared" si="3"/>
        <v/>
      </c>
      <c r="E118" t="e">
        <f>D1_ENERO[[#This Row],[RECUPERO]]/VLOOKUP(D1_ENERO[[#This Row],[SUPER]],D2_ENERO[#All],2,0)</f>
        <v>#N/A</v>
      </c>
      <c r="F118">
        <f>D1_ENERO[[#This Row],[SUPER]]</f>
        <v>0</v>
      </c>
      <c r="L118">
        <v>5</v>
      </c>
      <c r="M118" s="1" t="e">
        <f t="shared" si="4"/>
        <v>#N/A</v>
      </c>
      <c r="N118" t="str" cm="1">
        <f t="array" ref="N118">IFERROR(_xlfn.IFS(M118&gt;100%,"&gt;100%",AND(M118&lt;100%,M118&gt;70%),"&gt;70%",AND(M118&lt;70%,M118&gt;40%),"&gt;40%",AND(M118&lt;40%,M118&gt;0%),"&gt;0%"),"")</f>
        <v/>
      </c>
      <c r="O118" t="str">
        <f t="shared" si="5"/>
        <v/>
      </c>
    </row>
    <row r="119" spans="2:15" x14ac:dyDescent="0.25">
      <c r="B119" t="str">
        <f t="shared" si="3"/>
        <v/>
      </c>
      <c r="E119" t="e">
        <f>D1_ENERO[[#This Row],[RECUPERO]]/VLOOKUP(D1_ENERO[[#This Row],[SUPER]],D2_ENERO[#All],2,0)</f>
        <v>#N/A</v>
      </c>
      <c r="F119">
        <f>D1_ENERO[[#This Row],[SUPER]]</f>
        <v>0</v>
      </c>
      <c r="L119">
        <v>6</v>
      </c>
      <c r="M119" s="1" t="e">
        <f t="shared" si="4"/>
        <v>#N/A</v>
      </c>
      <c r="N119" t="str" cm="1">
        <f t="array" ref="N119">IFERROR(_xlfn.IFS(M119&gt;100%,"&gt;100%",AND(M119&lt;100%,M119&gt;70%),"&gt;70%",AND(M119&lt;70%,M119&gt;40%),"&gt;40%",AND(M119&lt;40%,M119&gt;0%),"&gt;0%"),"")</f>
        <v/>
      </c>
      <c r="O119" t="str">
        <f t="shared" si="5"/>
        <v/>
      </c>
    </row>
    <row r="120" spans="2:15" x14ac:dyDescent="0.25">
      <c r="B120" t="str">
        <f t="shared" si="3"/>
        <v/>
      </c>
      <c r="E120" t="e">
        <f>D1_ENERO[[#This Row],[RECUPERO]]/VLOOKUP(D1_ENERO[[#This Row],[SUPER]],D2_ENERO[#All],2,0)</f>
        <v>#N/A</v>
      </c>
      <c r="F120">
        <f>D1_ENERO[[#This Row],[SUPER]]</f>
        <v>0</v>
      </c>
      <c r="L120">
        <v>7</v>
      </c>
      <c r="M120" s="1" t="e">
        <f t="shared" si="4"/>
        <v>#N/A</v>
      </c>
      <c r="N120" t="str" cm="1">
        <f t="array" ref="N120">IFERROR(_xlfn.IFS(M120&gt;100%,"&gt;100%",AND(M120&lt;100%,M120&gt;70%),"&gt;70%",AND(M120&lt;70%,M120&gt;40%),"&gt;40%",AND(M120&lt;40%,M120&gt;0%),"&gt;0%"),"")</f>
        <v/>
      </c>
      <c r="O120" t="str">
        <f t="shared" si="5"/>
        <v/>
      </c>
    </row>
    <row r="121" spans="2:15" x14ac:dyDescent="0.25">
      <c r="B121" t="str">
        <f t="shared" si="3"/>
        <v/>
      </c>
      <c r="E121" t="e">
        <f>D1_ENERO[[#This Row],[RECUPERO]]/VLOOKUP(D1_ENERO[[#This Row],[SUPER]],D2_ENERO[#All],2,0)</f>
        <v>#N/A</v>
      </c>
      <c r="F121">
        <f>D1_ENERO[[#This Row],[SUPER]]</f>
        <v>0</v>
      </c>
      <c r="L121">
        <v>8</v>
      </c>
      <c r="M121" s="1" t="e">
        <f t="shared" si="4"/>
        <v>#N/A</v>
      </c>
      <c r="N121" t="str" cm="1">
        <f t="array" ref="N121">IFERROR(_xlfn.IFS(M121&gt;100%,"&gt;100%",AND(M121&lt;100%,M121&gt;70%),"&gt;70%",AND(M121&lt;70%,M121&gt;40%),"&gt;40%",AND(M121&lt;40%,M121&gt;0%),"&gt;0%"),"")</f>
        <v/>
      </c>
      <c r="O121" t="str">
        <f t="shared" si="5"/>
        <v/>
      </c>
    </row>
    <row r="122" spans="2:15" x14ac:dyDescent="0.25">
      <c r="B122" t="str">
        <f t="shared" si="3"/>
        <v/>
      </c>
      <c r="E122" t="e">
        <f>D1_ENERO[[#This Row],[RECUPERO]]/VLOOKUP(D1_ENERO[[#This Row],[SUPER]],D2_ENERO[#All],2,0)</f>
        <v>#N/A</v>
      </c>
      <c r="F122">
        <f>D1_ENERO[[#This Row],[SUPER]]</f>
        <v>0</v>
      </c>
      <c r="L122">
        <v>9</v>
      </c>
      <c r="M122" s="1" t="e">
        <f t="shared" si="4"/>
        <v>#N/A</v>
      </c>
      <c r="N122" t="str" cm="1">
        <f t="array" ref="N122">IFERROR(_xlfn.IFS(M122&gt;100%,"&gt;100%",AND(M122&lt;100%,M122&gt;70%),"&gt;70%",AND(M122&lt;70%,M122&gt;40%),"&gt;40%",AND(M122&lt;40%,M122&gt;0%),"&gt;0%"),"")</f>
        <v/>
      </c>
      <c r="O122" t="str">
        <f t="shared" si="5"/>
        <v/>
      </c>
    </row>
    <row r="123" spans="2:15" x14ac:dyDescent="0.25">
      <c r="L123">
        <v>10</v>
      </c>
      <c r="M123" s="1" t="e">
        <f t="shared" si="4"/>
        <v>#N/A</v>
      </c>
      <c r="N123" t="str" cm="1">
        <f t="array" ref="N123">IFERROR(_xlfn.IFS(M123&gt;100%,"&gt;100%",AND(M123&lt;100%,M123&gt;70%),"&gt;70%",AND(M123&lt;70%,M123&gt;40%),"&gt;40%",AND(M123&lt;40%,M123&gt;0%),"&gt;0%"),"")</f>
        <v/>
      </c>
      <c r="O123" t="str">
        <f t="shared" si="5"/>
        <v/>
      </c>
    </row>
    <row r="124" spans="2:15" x14ac:dyDescent="0.25">
      <c r="L124">
        <v>11</v>
      </c>
      <c r="M124" s="1" t="e">
        <f t="shared" si="4"/>
        <v>#N/A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5"/>
        <v/>
      </c>
    </row>
    <row r="125" spans="2:15" x14ac:dyDescent="0.25">
      <c r="L125">
        <v>12</v>
      </c>
      <c r="M125" s="1" t="e">
        <f t="shared" si="4"/>
        <v>#N/A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5"/>
        <v/>
      </c>
    </row>
    <row r="126" spans="2:15" x14ac:dyDescent="0.25">
      <c r="L126">
        <v>13</v>
      </c>
      <c r="M126" s="1" t="e">
        <f t="shared" si="4"/>
        <v>#N/A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5"/>
        <v/>
      </c>
    </row>
    <row r="127" spans="2:15" x14ac:dyDescent="0.25">
      <c r="L127">
        <v>14</v>
      </c>
      <c r="M127" s="1" t="e">
        <f t="shared" si="4"/>
        <v>#N/A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5"/>
        <v/>
      </c>
    </row>
    <row r="128" spans="2:15" x14ac:dyDescent="0.25">
      <c r="L128">
        <v>15</v>
      </c>
      <c r="M128" s="1" t="e">
        <f t="shared" si="4"/>
        <v>#N/A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5"/>
        <v/>
      </c>
    </row>
    <row r="129" spans="12:15" x14ac:dyDescent="0.25">
      <c r="L129" s="22">
        <v>1</v>
      </c>
      <c r="M129" s="23">
        <f>IFERROR(IF(VLOOKUP("&gt;100%",N9:O128,2,0)&lt;&gt;"",0,100.01%),100.01%)</f>
        <v>0</v>
      </c>
      <c r="N129" s="22" t="str" cm="1">
        <f t="array" ref="N129">IFERROR(_xlfn.IFS(M129&gt;100%,"&gt;100%",AND(M129&lt;100%,M129&gt;70%),"&gt;70%",AND(M129&lt;70%,M129&gt;40%),"&gt;40%",AND(M129&lt;40%,M129&gt;0%),"&gt;0%"),"")</f>
        <v/>
      </c>
      <c r="O129" s="22" t="str">
        <f>IF(DATAENERO[[#This Row],[CLASIFICACIÓN]]="","","SIN APLICACIONES")</f>
        <v/>
      </c>
    </row>
    <row r="130" spans="12:15" x14ac:dyDescent="0.25">
      <c r="L130" s="22">
        <v>2</v>
      </c>
      <c r="M130" s="23">
        <f>IFERROR(IF(VLOOKUP("&gt;70%",N9:O128,2,0)&lt;&gt;"",0,70.01%),70.01%)</f>
        <v>0</v>
      </c>
      <c r="N130" s="22" t="str" cm="1">
        <f t="array" ref="N130">IFERROR(_xlfn.IFS(M130&gt;100%,"&gt;100%",AND(M130&lt;100%,M130&gt;70%),"&gt;70%",AND(M130&lt;70%,M130&gt;40%),"&gt;40%",AND(M130&lt;40%,M130&gt;0%),"&gt;0%"),"")</f>
        <v/>
      </c>
      <c r="O130" s="22" t="str">
        <f>IF(DATAENERO[[#This Row],[CLASIFICACIÓN]]="","","SIN APLICACIONES")</f>
        <v/>
      </c>
    </row>
    <row r="131" spans="12:15" x14ac:dyDescent="0.25">
      <c r="L131" s="22">
        <v>3</v>
      </c>
      <c r="M131" s="23">
        <f>IFERROR(IF(VLOOKUP("&gt;40%",N9:O128,2,0)&lt;&gt;"",0,40.01%),40.01%)</f>
        <v>0</v>
      </c>
      <c r="N131" s="22" t="str" cm="1">
        <f t="array" ref="N131">IFERROR(_xlfn.IFS(M131&gt;100%,"&gt;100%",AND(M131&lt;100%,M131&gt;70%),"&gt;70%",AND(M131&lt;70%,M131&gt;40%),"&gt;40%",AND(M131&lt;40%,M131&gt;0%),"&gt;0%"),"")</f>
        <v/>
      </c>
      <c r="O131" s="22" t="str">
        <f>IF(DATAENERO[[#This Row],[CLASIFICACIÓN]]="","","SIN APLICACIONES")</f>
        <v/>
      </c>
    </row>
  </sheetData>
  <mergeCells count="5">
    <mergeCell ref="R1:AA3"/>
    <mergeCell ref="R5:S5"/>
    <mergeCell ref="U5:V5"/>
    <mergeCell ref="X5:Y5"/>
    <mergeCell ref="AA5:AB5"/>
  </mergeCells>
  <conditionalFormatting pivot="1" sqref="S8:S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29">
    <cfRule type="colorScale" priority="8">
      <colorScale>
        <cfvo type="min"/>
        <cfvo type="max"/>
        <color rgb="FFFCFCFF"/>
        <color rgb="FF63BE7B"/>
      </colorScale>
    </cfRule>
  </conditionalFormatting>
  <conditionalFormatting pivot="1" sqref="AB8:AB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20">
    <cfRule type="colorScale" priority="7">
      <colorScale>
        <cfvo type="min"/>
        <cfvo type="max"/>
        <color rgb="FFFCFCFF"/>
        <color rgb="FFFFFF00"/>
      </colorScale>
    </cfRule>
  </conditionalFormatting>
  <conditionalFormatting pivot="1" sqref="Y8:Y26">
    <cfRule type="colorScale" priority="6">
      <colorScale>
        <cfvo type="min"/>
        <cfvo type="max"/>
        <color rgb="FFFCFCFF"/>
        <color rgb="FFFFC000"/>
      </colorScale>
    </cfRule>
  </conditionalFormatting>
  <conditionalFormatting pivot="1" sqref="AB8:AB18">
    <cfRule type="colorScale" priority="4">
      <colorScale>
        <cfvo type="min"/>
        <cfvo type="max"/>
        <color rgb="FFFCFCFF"/>
        <color rgb="FFF8696B"/>
      </colorScale>
    </cfRule>
  </conditionalFormatting>
  <conditionalFormatting sqref="R1:R85">
    <cfRule type="containsText" dxfId="374" priority="1" operator="containsText" text="SIN APLICACIONES">
      <formula>NOT(ISERROR(SEARCH("SIN APLICACIONES",R1)))</formula>
    </cfRule>
  </conditionalFormatting>
  <conditionalFormatting sqref="U1:U85">
    <cfRule type="containsText" dxfId="373" priority="2" operator="containsText" text="SIN APLICACIONES">
      <formula>NOT(ISERROR(SEARCH("SIN APLICACIONES",U1)))</formula>
    </cfRule>
  </conditionalFormatting>
  <conditionalFormatting sqref="X1:X85">
    <cfRule type="containsText" dxfId="372" priority="3" operator="containsText" text="SIN APLICACIONES">
      <formula>NOT(ISERROR(SEARCH("SIN APLICACIONES",X1)))</formula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B131"/>
  <sheetViews>
    <sheetView topLeftCell="Q1" zoomScale="85" zoomScaleNormal="85" workbookViewId="0">
      <selection activeCell="T12" sqref="A1:AB12"/>
    </sheetView>
  </sheetViews>
  <sheetFormatPr baseColWidth="10" defaultRowHeight="15" x14ac:dyDescent="0.25"/>
  <cols>
    <col min="1" max="1" width="9.28515625" hidden="1" customWidth="1"/>
    <col min="2" max="3" width="22.7109375" hidden="1" customWidth="1"/>
    <col min="4" max="4" width="13.42578125" hidden="1" customWidth="1"/>
    <col min="5" max="5" width="12" hidden="1" customWidth="1"/>
    <col min="6" max="6" width="10.28515625" hidden="1" customWidth="1"/>
    <col min="7" max="7" width="0" hidden="1" customWidth="1"/>
    <col min="8" max="8" width="9.42578125" hidden="1" customWidth="1"/>
    <col min="9" max="9" width="8.140625" hidden="1" customWidth="1"/>
    <col min="10" max="11" width="0" hidden="1" customWidth="1"/>
    <col min="12" max="12" width="10" hidden="1" customWidth="1"/>
    <col min="13" max="13" width="11.140625" hidden="1" customWidth="1"/>
    <col min="14" max="14" width="19.85546875" hidden="1" customWidth="1"/>
    <col min="15" max="15" width="22.7109375" hidden="1" customWidth="1"/>
    <col min="16" max="16" width="0" hidden="1" customWidth="1"/>
    <col min="18" max="18" width="19.28515625" bestFit="1" customWidth="1"/>
    <col min="19" max="19" width="12.28515625" bestFit="1" customWidth="1"/>
    <col min="21" max="21" width="22.5703125" bestFit="1" customWidth="1"/>
    <col min="22" max="22" width="11.7109375" bestFit="1" customWidth="1"/>
    <col min="24" max="24" width="22.7109375" bestFit="1" customWidth="1"/>
    <col min="25" max="25" width="11.7109375" bestFit="1" customWidth="1"/>
    <col min="27" max="27" width="20.85546875" bestFit="1" customWidth="1"/>
    <col min="28" max="28" width="11.7109375" bestFit="1" customWidth="1"/>
  </cols>
  <sheetData>
    <row r="1" spans="1:28" ht="15.75" x14ac:dyDescent="0.25">
      <c r="R1" s="41" t="s">
        <v>182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28" ht="15.75" x14ac:dyDescent="0.25">
      <c r="A2" t="s">
        <v>110</v>
      </c>
      <c r="B2" t="s">
        <v>136</v>
      </c>
      <c r="C2" t="s">
        <v>0</v>
      </c>
      <c r="D2" t="s">
        <v>111</v>
      </c>
      <c r="E2" t="s">
        <v>1</v>
      </c>
      <c r="F2" t="s">
        <v>127</v>
      </c>
      <c r="H2" t="s">
        <v>110</v>
      </c>
      <c r="I2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19" t="str">
        <f>H14</f>
        <v>01/03</v>
      </c>
    </row>
    <row r="3" spans="1:28" ht="15.75" x14ac:dyDescent="0.25">
      <c r="A3" t="s">
        <v>3</v>
      </c>
      <c r="B3" t="str">
        <f>TRIM(C3)</f>
        <v>ALEJANDRA QUISPE</v>
      </c>
      <c r="C3" t="s">
        <v>58</v>
      </c>
      <c r="D3">
        <v>32937.5</v>
      </c>
      <c r="E3">
        <f>D1_FEBRERO[[#This Row],[RECUPERO]]/VLOOKUP(D1_FEBRERO[[#This Row],[SUPER]],D2_FEBRERO[#All],2,0)</f>
        <v>0.56788793103448276</v>
      </c>
      <c r="F3" t="str">
        <f>D1_FEBRERO[[#This Row],[SUPER]]</f>
        <v>SANDY</v>
      </c>
      <c r="H3" t="s">
        <v>5</v>
      </c>
      <c r="I3">
        <v>58000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20" t="str">
        <f>H15</f>
        <v>15:51</v>
      </c>
    </row>
    <row r="4" spans="1:28" x14ac:dyDescent="0.25">
      <c r="A4" t="s">
        <v>3</v>
      </c>
      <c r="B4" t="str">
        <f t="shared" ref="B4:B67" si="0">TRIM(C4)</f>
        <v>ERIKA VILLAR</v>
      </c>
      <c r="C4" t="s">
        <v>72</v>
      </c>
      <c r="D4">
        <v>36965</v>
      </c>
      <c r="E4">
        <f>D1_FEBRERO[[#This Row],[RECUPERO]]/VLOOKUP(D1_FEBRERO[[#This Row],[SUPER]],D2_FEBRERO[#All],2,0)</f>
        <v>0.63732758620689656</v>
      </c>
      <c r="F4" t="str">
        <f>D1_FEBRERO[[#This Row],[SUPER]]</f>
        <v>SANDY</v>
      </c>
      <c r="H4" t="s">
        <v>2</v>
      </c>
      <c r="I4">
        <v>22000</v>
      </c>
    </row>
    <row r="5" spans="1:28" ht="21" x14ac:dyDescent="0.35">
      <c r="A5" t="s">
        <v>3</v>
      </c>
      <c r="B5" t="str">
        <f t="shared" si="0"/>
        <v>EVELY TENORIO</v>
      </c>
      <c r="C5" t="s">
        <v>22</v>
      </c>
      <c r="D5">
        <v>73140.799999999901</v>
      </c>
      <c r="E5">
        <f>D1_FEBRERO[[#This Row],[RECUPERO]]/VLOOKUP(D1_FEBRERO[[#This Row],[SUPER]],D2_FEBRERO[#All],2,0)</f>
        <v>1.2610482758620674</v>
      </c>
      <c r="F5" t="str">
        <f>D1_FEBRERO[[#This Row],[SUPER]]</f>
        <v>SANDY</v>
      </c>
      <c r="H5" t="s">
        <v>6</v>
      </c>
      <c r="I5">
        <v>21000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t="s">
        <v>3</v>
      </c>
      <c r="B6" t="str">
        <f t="shared" si="0"/>
        <v>JAIR MARTINEZ</v>
      </c>
      <c r="C6" t="s">
        <v>57</v>
      </c>
      <c r="D6">
        <v>49471</v>
      </c>
      <c r="E6">
        <f>D1_FEBRERO[[#This Row],[RECUPERO]]/VLOOKUP(D1_FEBRERO[[#This Row],[SUPER]],D2_FEBRERO[#All],2,0)</f>
        <v>0.85294827586206901</v>
      </c>
      <c r="F6" t="str">
        <f>D1_FEBRERO[[#This Row],[SUPER]]</f>
        <v>SANDY</v>
      </c>
      <c r="H6" t="s">
        <v>9</v>
      </c>
      <c r="I6">
        <v>21000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t="s">
        <v>3</v>
      </c>
      <c r="B7" t="str">
        <f t="shared" si="0"/>
        <v>LISELY MERA</v>
      </c>
      <c r="C7" t="s">
        <v>23</v>
      </c>
      <c r="D7">
        <v>112847.5</v>
      </c>
      <c r="E7">
        <f>D1_FEBRERO[[#This Row],[RECUPERO]]/VLOOKUP(D1_FEBRERO[[#This Row],[SUPER]],D2_FEBRERO[#All],2,0)</f>
        <v>1.9456465517241379</v>
      </c>
      <c r="F7" t="str">
        <f>D1_FEBRERO[[#This Row],[SUPER]]</f>
        <v>SANDY</v>
      </c>
      <c r="H7" t="s">
        <v>4</v>
      </c>
      <c r="I7">
        <v>58000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t="s">
        <v>3</v>
      </c>
      <c r="B8" t="str">
        <f t="shared" si="0"/>
        <v>RICHARD RODRIGUEZ</v>
      </c>
      <c r="C8" t="s">
        <v>63</v>
      </c>
      <c r="D8">
        <v>36454.699999999997</v>
      </c>
      <c r="E8">
        <f>D1_FEBRERO[[#This Row],[RECUPERO]]/VLOOKUP(D1_FEBRERO[[#This Row],[SUPER]],D2_FEBRERO[#All],2,0)</f>
        <v>0.62852931034482751</v>
      </c>
      <c r="F8" t="str">
        <f>D1_FEBRERO[[#This Row],[SUPER]]</f>
        <v>SANDY</v>
      </c>
      <c r="H8" t="s">
        <v>154</v>
      </c>
      <c r="I8">
        <v>16500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23</v>
      </c>
      <c r="S8" s="3">
        <v>1.9456465517241379</v>
      </c>
      <c r="U8" s="15" t="s">
        <v>34</v>
      </c>
      <c r="V8" s="2">
        <v>0.97723809523809524</v>
      </c>
      <c r="X8" s="15" t="s">
        <v>21</v>
      </c>
      <c r="Y8" s="2">
        <v>0.68619047619047624</v>
      </c>
      <c r="AA8" s="15" t="s">
        <v>64</v>
      </c>
      <c r="AB8" s="2">
        <v>0.38571428571428573</v>
      </c>
    </row>
    <row r="9" spans="1:28" x14ac:dyDescent="0.25">
      <c r="A9" t="s">
        <v>3</v>
      </c>
      <c r="B9" t="str">
        <f t="shared" si="0"/>
        <v>TERRY ECHEVARRIA</v>
      </c>
      <c r="C9" t="s">
        <v>30</v>
      </c>
      <c r="D9">
        <v>30382</v>
      </c>
      <c r="E9">
        <f>D1_FEBRERO[[#This Row],[RECUPERO]]/VLOOKUP(D1_FEBRERO[[#This Row],[SUPER]],D2_FEBRERO[#All],2,0)</f>
        <v>0.52382758620689651</v>
      </c>
      <c r="F9" t="str">
        <f>D1_FEBRERO[[#This Row],[SUPER]]</f>
        <v>SANDY</v>
      </c>
      <c r="H9" t="s">
        <v>3</v>
      </c>
      <c r="I9">
        <v>58000</v>
      </c>
      <c r="L9">
        <v>1</v>
      </c>
      <c r="M9" s="1">
        <f>E3</f>
        <v>0.56788793103448276</v>
      </c>
      <c r="N9" t="str" cm="1">
        <f t="array" ref="N9">IFERROR(_xlfn.IFS(M9&gt;100%,"&gt;100%",AND(M9&lt;100%,M9&gt;70%),"&gt;70%",AND(M9&lt;70%,M9&gt;40%),"&gt;40%",AND(M9&lt;40%,M9&gt;0%),"&gt;0%"),"")</f>
        <v>&gt;40%</v>
      </c>
      <c r="O9" t="str">
        <f>B3</f>
        <v>ALEJANDRA QUISPE</v>
      </c>
      <c r="R9" s="15" t="s">
        <v>159</v>
      </c>
      <c r="S9" s="3">
        <v>1.5892857142857142</v>
      </c>
      <c r="U9" s="15" t="s">
        <v>75</v>
      </c>
      <c r="V9" s="3">
        <v>0.89168965517241383</v>
      </c>
      <c r="X9" s="15" t="s">
        <v>66</v>
      </c>
      <c r="Y9" s="3">
        <v>0.68544827586206891</v>
      </c>
      <c r="AA9" s="15" t="s">
        <v>139</v>
      </c>
      <c r="AB9" s="3">
        <v>0.3851551724137931</v>
      </c>
    </row>
    <row r="10" spans="1:28" x14ac:dyDescent="0.25">
      <c r="A10" t="s">
        <v>3</v>
      </c>
      <c r="B10" t="str">
        <f t="shared" si="0"/>
        <v>VERONICA TASAYCO</v>
      </c>
      <c r="C10" t="s">
        <v>10</v>
      </c>
      <c r="D10">
        <v>34881</v>
      </c>
      <c r="E10">
        <f>D1_FEBRERO[[#This Row],[RECUPERO]]/VLOOKUP(D1_FEBRERO[[#This Row],[SUPER]],D2_FEBRERO[#All],2,0)</f>
        <v>0.60139655172413797</v>
      </c>
      <c r="F10" t="str">
        <f>D1_FEBRERO[[#This Row],[SUPER]]</f>
        <v>SANDY</v>
      </c>
      <c r="L10">
        <v>2</v>
      </c>
      <c r="M10" s="1">
        <f t="shared" ref="M10:M73" si="1">E4</f>
        <v>0.63732758620689656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ref="O10:O73" si="2">B4</f>
        <v>ERIKA VILLAR</v>
      </c>
      <c r="R10" s="15" t="s">
        <v>16</v>
      </c>
      <c r="S10" s="3">
        <v>1.3257272727272726</v>
      </c>
      <c r="U10" s="15" t="s">
        <v>26</v>
      </c>
      <c r="V10" s="3">
        <v>0.87387272727272736</v>
      </c>
      <c r="X10" s="15" t="s">
        <v>74</v>
      </c>
      <c r="Y10" s="3">
        <v>0.67694545454545452</v>
      </c>
      <c r="AA10" s="15" t="s">
        <v>140</v>
      </c>
      <c r="AB10" s="3">
        <v>0.38476190476190475</v>
      </c>
    </row>
    <row r="11" spans="1:28" x14ac:dyDescent="0.25">
      <c r="A11" t="s">
        <v>3</v>
      </c>
      <c r="B11" t="str">
        <f t="shared" si="0"/>
        <v>VICTOR RAMIREZ</v>
      </c>
      <c r="C11" t="s">
        <v>76</v>
      </c>
      <c r="D11">
        <v>68790</v>
      </c>
      <c r="E11">
        <f>D1_FEBRERO[[#This Row],[RECUPERO]]/VLOOKUP(D1_FEBRERO[[#This Row],[SUPER]],D2_FEBRERO[#All],2,0)</f>
        <v>1.1860344827586207</v>
      </c>
      <c r="F11" t="str">
        <f>D1_FEBRERO[[#This Row],[SUPER]]</f>
        <v>SANDY</v>
      </c>
      <c r="L11">
        <v>3</v>
      </c>
      <c r="M11" s="1">
        <f t="shared" si="1"/>
        <v>1.2610482758620674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2"/>
        <v>EVELY TENORIO</v>
      </c>
      <c r="R11" s="15" t="s">
        <v>19</v>
      </c>
      <c r="S11" s="3">
        <v>1.2687533333333334</v>
      </c>
      <c r="U11" s="15" t="s">
        <v>57</v>
      </c>
      <c r="V11" s="3">
        <v>0.85294827586206901</v>
      </c>
      <c r="X11" s="15" t="s">
        <v>68</v>
      </c>
      <c r="Y11" s="3">
        <v>0.66487878787878785</v>
      </c>
      <c r="AA11" s="15" t="s">
        <v>61</v>
      </c>
      <c r="AB11" s="3">
        <v>0.38085714285714284</v>
      </c>
    </row>
    <row r="12" spans="1:28" x14ac:dyDescent="0.25">
      <c r="A12" t="s">
        <v>3</v>
      </c>
      <c r="B12" t="str">
        <f t="shared" si="0"/>
        <v/>
      </c>
      <c r="E12">
        <f>D1_FEBRERO[[#This Row],[RECUPERO]]/VLOOKUP(D1_FEBRERO[[#This Row],[SUPER]],D2_FEBRERO[#All],2,0)</f>
        <v>0</v>
      </c>
      <c r="F12" t="str">
        <f>D1_FEBRERO[[#This Row],[SUPER]]</f>
        <v>SANDY</v>
      </c>
      <c r="L12">
        <v>4</v>
      </c>
      <c r="M12" s="1">
        <f t="shared" si="1"/>
        <v>0.85294827586206901</v>
      </c>
      <c r="N12" t="str" cm="1">
        <f t="array" ref="N12">IFERROR(_xlfn.IFS(M12&gt;100%,"&gt;100%",AND(M12&lt;100%,M12&gt;70%),"&gt;70%",AND(M12&lt;70%,M12&gt;40%),"&gt;40%",AND(M12&lt;40%,M12&gt;0%),"&gt;0%"),"")</f>
        <v>&gt;70%</v>
      </c>
      <c r="O12" t="str">
        <f t="shared" si="2"/>
        <v>JAIR MARTINEZ</v>
      </c>
      <c r="R12" s="15" t="s">
        <v>22</v>
      </c>
      <c r="S12" s="3">
        <v>1.2610482758620674</v>
      </c>
      <c r="U12" s="15" t="s">
        <v>11</v>
      </c>
      <c r="V12" s="3">
        <v>0.84617241379310348</v>
      </c>
      <c r="X12" s="15" t="s">
        <v>60</v>
      </c>
      <c r="Y12" s="3">
        <v>0.66041379310344828</v>
      </c>
      <c r="AA12" s="15" t="s">
        <v>35</v>
      </c>
      <c r="AB12" s="3">
        <v>0.3638095238095238</v>
      </c>
    </row>
    <row r="13" spans="1:28" x14ac:dyDescent="0.25">
      <c r="A13" t="s">
        <v>3</v>
      </c>
      <c r="B13" t="str">
        <f t="shared" si="0"/>
        <v/>
      </c>
      <c r="E13">
        <f>D1_FEBRERO[[#This Row],[RECUPERO]]/VLOOKUP(D1_FEBRERO[[#This Row],[SUPER]],D2_FEBRERO[#All],2,0)</f>
        <v>0</v>
      </c>
      <c r="F13" t="str">
        <f>D1_FEBRERO[[#This Row],[SUPER]]</f>
        <v>SANDY</v>
      </c>
      <c r="H13" t="s">
        <v>107</v>
      </c>
      <c r="L13">
        <v>5</v>
      </c>
      <c r="M13" s="1">
        <f t="shared" si="1"/>
        <v>1.9456465517241379</v>
      </c>
      <c r="N13" t="str" cm="1">
        <f t="array" ref="N13">IFERROR(_xlfn.IFS(M13&gt;100%,"&gt;100%",AND(M13&lt;100%,M13&gt;70%),"&gt;70%",AND(M13&lt;70%,M13&gt;40%),"&gt;40%",AND(M13&lt;40%,M13&gt;0%),"&gt;0%"),"")</f>
        <v>&gt;100%</v>
      </c>
      <c r="O13" t="str">
        <f t="shared" si="2"/>
        <v>LISELY MERA</v>
      </c>
      <c r="R13" s="15" t="s">
        <v>80</v>
      </c>
      <c r="S13" s="3">
        <v>1.2287878787878788</v>
      </c>
      <c r="U13" s="15" t="s">
        <v>13</v>
      </c>
      <c r="V13" s="3">
        <v>0.8280936206896552</v>
      </c>
      <c r="X13" s="15" t="s">
        <v>72</v>
      </c>
      <c r="Y13" s="3">
        <v>0.63732758620689656</v>
      </c>
      <c r="AA13" s="15" t="s">
        <v>156</v>
      </c>
      <c r="AB13" s="3">
        <v>0.35418181818181821</v>
      </c>
    </row>
    <row r="14" spans="1:28" x14ac:dyDescent="0.25">
      <c r="A14" t="s">
        <v>3</v>
      </c>
      <c r="B14" t="str">
        <f t="shared" si="0"/>
        <v/>
      </c>
      <c r="E14">
        <f>D1_FEBRERO[[#This Row],[RECUPERO]]/VLOOKUP(D1_FEBRERO[[#This Row],[SUPER]],D2_FEBRERO[#All],2,0)</f>
        <v>0</v>
      </c>
      <c r="F14" t="str">
        <f>D1_FEBRERO[[#This Row],[SUPER]]</f>
        <v>SANDY</v>
      </c>
      <c r="H14" s="27" t="s">
        <v>169</v>
      </c>
      <c r="L14">
        <v>6</v>
      </c>
      <c r="M14" s="1">
        <f t="shared" si="1"/>
        <v>0.62852931034482751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2"/>
        <v>RICHARD RODRIGUEZ</v>
      </c>
      <c r="R14" s="15" t="s">
        <v>76</v>
      </c>
      <c r="S14" s="3">
        <v>1.1860344827586207</v>
      </c>
      <c r="U14" s="15" t="s">
        <v>15</v>
      </c>
      <c r="V14" s="3">
        <v>0.81990476190476191</v>
      </c>
      <c r="X14" s="15" t="s">
        <v>63</v>
      </c>
      <c r="Y14" s="3">
        <v>0.62852931034482751</v>
      </c>
      <c r="AA14" s="15" t="s">
        <v>42</v>
      </c>
      <c r="AB14" s="3">
        <v>0.30840714285714288</v>
      </c>
    </row>
    <row r="15" spans="1:28" x14ac:dyDescent="0.25">
      <c r="A15" t="s">
        <v>3</v>
      </c>
      <c r="B15" t="str">
        <f t="shared" si="0"/>
        <v/>
      </c>
      <c r="E15">
        <f>D1_FEBRERO[[#This Row],[RECUPERO]]/VLOOKUP(D1_FEBRERO[[#This Row],[SUPER]],D2_FEBRERO[#All],2,0)</f>
        <v>0</v>
      </c>
      <c r="F15" t="str">
        <f>D1_FEBRERO[[#This Row],[SUPER]]</f>
        <v>SANDY</v>
      </c>
      <c r="H15" s="27" t="s">
        <v>168</v>
      </c>
      <c r="L15">
        <v>7</v>
      </c>
      <c r="M15" s="1">
        <f t="shared" si="1"/>
        <v>0.52382758620689651</v>
      </c>
      <c r="N15" t="str" cm="1">
        <f t="array" ref="N15">IFERROR(_xlfn.IFS(M15&gt;100%,"&gt;100%",AND(M15&lt;100%,M15&gt;70%),"&gt;70%",AND(M15&lt;70%,M15&gt;40%),"&gt;40%",AND(M15&lt;40%,M15&gt;0%),"&gt;0%"),"")</f>
        <v>&gt;40%</v>
      </c>
      <c r="O15" t="str">
        <f t="shared" si="2"/>
        <v>TERRY ECHEVARRIA</v>
      </c>
      <c r="R15" s="15" t="s">
        <v>14</v>
      </c>
      <c r="S15" s="3">
        <v>1.1507878787878787</v>
      </c>
      <c r="U15" s="15" t="s">
        <v>157</v>
      </c>
      <c r="V15" s="3">
        <v>0.8</v>
      </c>
      <c r="X15" s="15" t="s">
        <v>41</v>
      </c>
      <c r="Y15" s="3">
        <v>0.62618181818181817</v>
      </c>
      <c r="AA15" s="15" t="s">
        <v>51</v>
      </c>
      <c r="AB15" s="3">
        <v>0.30476190476190479</v>
      </c>
    </row>
    <row r="16" spans="1:28" x14ac:dyDescent="0.25">
      <c r="A16" t="s">
        <v>3</v>
      </c>
      <c r="B16" t="str">
        <f t="shared" si="0"/>
        <v/>
      </c>
      <c r="E16">
        <f>D1_FEBRERO[[#This Row],[RECUPERO]]/VLOOKUP(D1_FEBRERO[[#This Row],[SUPER]],D2_FEBRERO[#All],2,0)</f>
        <v>0</v>
      </c>
      <c r="F16" t="str">
        <f>D1_FEBRERO[[#This Row],[SUPER]]</f>
        <v>SANDY</v>
      </c>
      <c r="L16">
        <v>8</v>
      </c>
      <c r="M16" s="1">
        <f t="shared" si="1"/>
        <v>0.60139655172413797</v>
      </c>
      <c r="N16" t="str" cm="1">
        <f t="array" ref="N16">IFERROR(_xlfn.IFS(M16&gt;100%,"&gt;100%",AND(M16&lt;100%,M16&gt;70%),"&gt;70%",AND(M16&lt;70%,M16&gt;40%),"&gt;40%",AND(M16&lt;40%,M16&gt;0%),"&gt;0%"),"")</f>
        <v>&gt;40%</v>
      </c>
      <c r="O16" t="str">
        <f t="shared" si="2"/>
        <v>VERONICA TASAYCO</v>
      </c>
      <c r="R16" s="15" t="s">
        <v>18</v>
      </c>
      <c r="S16" s="3">
        <v>1.1286060606060606</v>
      </c>
      <c r="U16" s="15" t="s">
        <v>62</v>
      </c>
      <c r="V16" s="3">
        <v>0.77317241379310342</v>
      </c>
      <c r="X16" s="15" t="s">
        <v>10</v>
      </c>
      <c r="Y16" s="3">
        <v>0.60139655172413797</v>
      </c>
      <c r="AA16" s="15" t="s">
        <v>112</v>
      </c>
      <c r="AB16" s="3">
        <v>0.29459575757575757</v>
      </c>
    </row>
    <row r="17" spans="1:28" x14ac:dyDescent="0.25">
      <c r="A17" t="s">
        <v>3</v>
      </c>
      <c r="B17" t="str">
        <f t="shared" si="0"/>
        <v/>
      </c>
      <c r="E17">
        <f>D1_FEBRERO[[#This Row],[RECUPERO]]/VLOOKUP(D1_FEBRERO[[#This Row],[SUPER]],D2_FEBRERO[#All],2,0)</f>
        <v>0</v>
      </c>
      <c r="F17" t="str">
        <f>D1_FEBRERO[[#This Row],[SUPER]]</f>
        <v>SANDY</v>
      </c>
      <c r="L17">
        <v>9</v>
      </c>
      <c r="M17" s="1">
        <f t="shared" si="1"/>
        <v>1.1860344827586207</v>
      </c>
      <c r="N17" t="str" cm="1">
        <f t="array" ref="N17">IFERROR(_xlfn.IFS(M17&gt;100%,"&gt;100%",AND(M17&lt;100%,M17&gt;70%),"&gt;70%",AND(M17&lt;70%,M17&gt;40%),"&gt;40%",AND(M17&lt;40%,M17&gt;0%),"&gt;0%"),"")</f>
        <v>&gt;100%</v>
      </c>
      <c r="O17" t="str">
        <f t="shared" si="2"/>
        <v>VICTOR RAMIREZ</v>
      </c>
      <c r="R17" s="15" t="s">
        <v>85</v>
      </c>
      <c r="S17" s="3">
        <v>1.1166982758620689</v>
      </c>
      <c r="U17" s="15" t="s">
        <v>31</v>
      </c>
      <c r="V17" s="3">
        <v>0.77047619047619043</v>
      </c>
      <c r="X17" s="15" t="s">
        <v>58</v>
      </c>
      <c r="Y17" s="3">
        <v>0.56788793103448276</v>
      </c>
      <c r="AA17" s="15" t="s">
        <v>48</v>
      </c>
      <c r="AB17" s="3">
        <v>0.27714285714285714</v>
      </c>
    </row>
    <row r="18" spans="1:28" x14ac:dyDescent="0.25">
      <c r="A18" t="s">
        <v>4</v>
      </c>
      <c r="B18" t="str">
        <f t="shared" si="0"/>
        <v>ALEJANDRO GONZALES</v>
      </c>
      <c r="C18" t="s">
        <v>139</v>
      </c>
      <c r="D18">
        <v>22339</v>
      </c>
      <c r="E18">
        <f>D1_FEBRERO[[#This Row],[RECUPERO]]/VLOOKUP(D1_FEBRERO[[#This Row],[SUPER]],D2_FEBRERO[#All],2,0)</f>
        <v>0.3851551724137931</v>
      </c>
      <c r="F18" t="str">
        <f>D1_FEBRERO[[#This Row],[SUPER]]</f>
        <v>MELINA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R18" s="15" t="s">
        <v>59</v>
      </c>
      <c r="S18" s="3">
        <v>1.0940606896551723</v>
      </c>
      <c r="U18" s="15" t="s">
        <v>49</v>
      </c>
      <c r="V18" s="3">
        <v>0.7533333333333333</v>
      </c>
      <c r="X18" s="15" t="s">
        <v>32</v>
      </c>
      <c r="Y18" s="3">
        <v>0.56200000000000006</v>
      </c>
      <c r="AA18" s="15" t="s">
        <v>20</v>
      </c>
      <c r="AB18" s="3">
        <v>0.2413793103448276</v>
      </c>
    </row>
    <row r="19" spans="1:28" x14ac:dyDescent="0.25">
      <c r="A19" t="s">
        <v>4</v>
      </c>
      <c r="B19" t="str">
        <f t="shared" si="0"/>
        <v>ANALUCIA PONCE</v>
      </c>
      <c r="C19" t="s">
        <v>60</v>
      </c>
      <c r="D19">
        <v>38304</v>
      </c>
      <c r="E19">
        <f>D1_FEBRERO[[#This Row],[RECUPERO]]/VLOOKUP(D1_FEBRERO[[#This Row],[SUPER]],D2_FEBRERO[#All],2,0)</f>
        <v>0.66041379310344828</v>
      </c>
      <c r="F19" t="str">
        <f>D1_FEBRERO[[#This Row],[SUPER]]</f>
        <v>MELINA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R19" s="15" t="s">
        <v>67</v>
      </c>
      <c r="S19" s="3">
        <v>1.0160862068965517</v>
      </c>
      <c r="U19" s="15" t="s">
        <v>160</v>
      </c>
      <c r="V19" s="3">
        <v>0.74561904761904763</v>
      </c>
      <c r="X19" s="15" t="s">
        <v>17</v>
      </c>
      <c r="Y19" s="3">
        <v>0.53391379310344833</v>
      </c>
      <c r="AA19" s="15" t="s">
        <v>81</v>
      </c>
      <c r="AB19" s="3">
        <v>0.19591379310344828</v>
      </c>
    </row>
    <row r="20" spans="1:28" x14ac:dyDescent="0.25">
      <c r="A20" t="s">
        <v>4</v>
      </c>
      <c r="B20" t="str">
        <f t="shared" si="0"/>
        <v>DARYL FERREL</v>
      </c>
      <c r="C20" t="s">
        <v>40</v>
      </c>
      <c r="D20">
        <v>23314.75</v>
      </c>
      <c r="E20">
        <f>D1_FEBRERO[[#This Row],[RECUPERO]]/VLOOKUP(D1_FEBRERO[[#This Row],[SUPER]],D2_FEBRERO[#All],2,0)</f>
        <v>0.40197844827586204</v>
      </c>
      <c r="F20" t="str">
        <f>D1_FEBRERO[[#This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R20" s="15" t="s">
        <v>12</v>
      </c>
      <c r="S20" s="4">
        <v>1.0019363636363636</v>
      </c>
      <c r="U20" s="15" t="s">
        <v>79</v>
      </c>
      <c r="V20" s="3">
        <v>0.71406017241379305</v>
      </c>
      <c r="X20" s="15" t="s">
        <v>30</v>
      </c>
      <c r="Y20" s="3">
        <v>0.52382758620689651</v>
      </c>
      <c r="AA20" s="15" t="s">
        <v>39</v>
      </c>
      <c r="AB20" s="3">
        <v>0.19545454545454546</v>
      </c>
    </row>
    <row r="21" spans="1:28" x14ac:dyDescent="0.25">
      <c r="A21" t="s">
        <v>4</v>
      </c>
      <c r="B21" t="str">
        <f t="shared" si="0"/>
        <v>DAVID SANCHEZ</v>
      </c>
      <c r="C21" t="s">
        <v>81</v>
      </c>
      <c r="D21">
        <v>11363</v>
      </c>
      <c r="E21">
        <f>D1_FEBRERO[[#This Row],[RECUPERO]]/VLOOKUP(D1_FEBRERO[[#This Row],[SUPER]],D2_FEBRERO[#All],2,0)</f>
        <v>0.19591379310344828</v>
      </c>
      <c r="F21" t="str">
        <f>D1_FEBRERO[[#This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U21" s="15" t="s">
        <v>78</v>
      </c>
      <c r="V21" s="4">
        <v>0.70727272727272728</v>
      </c>
      <c r="X21" s="15" t="s">
        <v>77</v>
      </c>
      <c r="Y21" s="3">
        <v>0.49286363636363634</v>
      </c>
      <c r="AA21" s="15" t="s">
        <v>129</v>
      </c>
      <c r="AB21" s="3">
        <v>0.1672121212121212</v>
      </c>
    </row>
    <row r="22" spans="1:28" x14ac:dyDescent="0.25">
      <c r="A22" t="s">
        <v>4</v>
      </c>
      <c r="B22" t="str">
        <f t="shared" si="0"/>
        <v>JHOVANA TORRES</v>
      </c>
      <c r="C22" t="s">
        <v>20</v>
      </c>
      <c r="D22">
        <v>14000</v>
      </c>
      <c r="E22">
        <f>D1_FEBRERO[[#This Row],[RECUPERO]]/VLOOKUP(D1_FEBRERO[[#This Row],[SUPER]],D2_FEBRERO[#All],2,0)</f>
        <v>0.2413793103448276</v>
      </c>
      <c r="F22" t="str">
        <f>D1_FEBRERO[[#This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X22" s="15" t="s">
        <v>29</v>
      </c>
      <c r="Y22" s="3">
        <v>0.4911224137931034</v>
      </c>
      <c r="AA22" s="15" t="s">
        <v>158</v>
      </c>
      <c r="AB22" s="3">
        <v>0.14345238095238094</v>
      </c>
    </row>
    <row r="23" spans="1:28" x14ac:dyDescent="0.25">
      <c r="A23" t="s">
        <v>4</v>
      </c>
      <c r="B23" t="str">
        <f t="shared" si="0"/>
        <v>LUIS VALLADARES</v>
      </c>
      <c r="C23" t="s">
        <v>29</v>
      </c>
      <c r="D23">
        <v>28485.1</v>
      </c>
      <c r="E23">
        <f>D1_FEBRERO[[#This Row],[RECUPERO]]/VLOOKUP(D1_FEBRERO[[#This Row],[SUPER]],D2_FEBRERO[#All],2,0)</f>
        <v>0.4911224137931034</v>
      </c>
      <c r="F23" t="str">
        <f>D1_FEBRERO[[#This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X23" s="15" t="s">
        <v>27</v>
      </c>
      <c r="Y23" s="3">
        <v>0.4819761904761905</v>
      </c>
      <c r="AA23" s="15" t="s">
        <v>46</v>
      </c>
      <c r="AB23" s="3">
        <v>0.1</v>
      </c>
    </row>
    <row r="24" spans="1:28" x14ac:dyDescent="0.25">
      <c r="A24" t="s">
        <v>4</v>
      </c>
      <c r="B24" t="str">
        <f t="shared" si="0"/>
        <v>MARIA TINTAYA</v>
      </c>
      <c r="C24" t="s">
        <v>75</v>
      </c>
      <c r="D24">
        <v>51718</v>
      </c>
      <c r="E24">
        <f>D1_FEBRERO[[#This Row],[RECUPERO]]/VLOOKUP(D1_FEBRERO[[#This Row],[SUPER]],D2_FEBRERO[#All],2,0)</f>
        <v>0.89168965517241383</v>
      </c>
      <c r="F24" t="str">
        <f>D1_FEBRERO[[#This Row],[SUPER]]</f>
        <v>MELINA</v>
      </c>
      <c r="L24">
        <v>1</v>
      </c>
      <c r="M24" s="1">
        <f t="shared" si="1"/>
        <v>0.3851551724137931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2"/>
        <v>ALEJANDRO GONZALES</v>
      </c>
      <c r="X24" s="15" t="s">
        <v>24</v>
      </c>
      <c r="Y24" s="3">
        <v>0.48145454545454547</v>
      </c>
      <c r="AA24" s="15" t="s">
        <v>167</v>
      </c>
      <c r="AB24" s="4">
        <v>2.7272727272727271E-2</v>
      </c>
    </row>
    <row r="25" spans="1:28" x14ac:dyDescent="0.25">
      <c r="A25" t="s">
        <v>4</v>
      </c>
      <c r="B25" t="str">
        <f t="shared" si="0"/>
        <v>MILAGROS QUIO</v>
      </c>
      <c r="C25" t="s">
        <v>11</v>
      </c>
      <c r="D25">
        <v>49078</v>
      </c>
      <c r="E25">
        <f>D1_FEBRERO[[#This Row],[RECUPERO]]/VLOOKUP(D1_FEBRERO[[#This Row],[SUPER]],D2_FEBRERO[#All],2,0)</f>
        <v>0.84617241379310348</v>
      </c>
      <c r="F25" t="str">
        <f>D1_FEBRERO[[#This Row],[SUPER]]</f>
        <v>MELINA</v>
      </c>
      <c r="L25">
        <v>2</v>
      </c>
      <c r="M25" s="1">
        <f t="shared" si="1"/>
        <v>0.66041379310344828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2"/>
        <v>ANALUCIA PONCE</v>
      </c>
      <c r="X25" s="15" t="s">
        <v>128</v>
      </c>
      <c r="Y25" s="3">
        <v>0.46733809523809527</v>
      </c>
    </row>
    <row r="26" spans="1:28" x14ac:dyDescent="0.25">
      <c r="A26" t="s">
        <v>4</v>
      </c>
      <c r="B26" t="str">
        <f t="shared" si="0"/>
        <v>PIERINA TESEN</v>
      </c>
      <c r="C26" t="s">
        <v>59</v>
      </c>
      <c r="D26">
        <v>63455.519999999997</v>
      </c>
      <c r="E26">
        <f>D1_FEBRERO[[#This Row],[RECUPERO]]/VLOOKUP(D1_FEBRERO[[#This Row],[SUPER]],D2_FEBRERO[#All],2,0)</f>
        <v>1.0940606896551723</v>
      </c>
      <c r="F26" t="str">
        <f>D1_FEBRERO[[#This Row],[SUPER]]</f>
        <v>MELINA</v>
      </c>
      <c r="L26">
        <v>3</v>
      </c>
      <c r="M26" s="1">
        <f t="shared" si="1"/>
        <v>0.40197844827586204</v>
      </c>
      <c r="N26" t="str" cm="1">
        <f t="array" ref="N26">IFERROR(_xlfn.IFS(M26&gt;100%,"&gt;100%",AND(M26&lt;100%,M26&gt;70%),"&gt;70%",AND(M26&lt;70%,M26&gt;40%),"&gt;40%",AND(M26&lt;40%,M26&gt;0%),"&gt;0%"),"")</f>
        <v>&gt;40%</v>
      </c>
      <c r="O26" t="str">
        <f t="shared" si="2"/>
        <v>DARYL FERREL</v>
      </c>
      <c r="X26" s="15" t="s">
        <v>33</v>
      </c>
      <c r="Y26" s="3">
        <v>0.4498060606060606</v>
      </c>
    </row>
    <row r="27" spans="1:28" x14ac:dyDescent="0.25">
      <c r="A27" t="s">
        <v>4</v>
      </c>
      <c r="B27" t="str">
        <f t="shared" si="0"/>
        <v/>
      </c>
      <c r="E27">
        <f>D1_FEBRERO[[#This Row],[RECUPERO]]/VLOOKUP(D1_FEBRERO[[#This Row],[SUPER]],D2_FEBRERO[#All],2,0)</f>
        <v>0</v>
      </c>
      <c r="F27" t="str">
        <f>D1_FEBRERO[[#This Row],[SUPER]]</f>
        <v>MELINA</v>
      </c>
      <c r="L27">
        <v>4</v>
      </c>
      <c r="M27" s="1">
        <f t="shared" si="1"/>
        <v>0.19591379310344828</v>
      </c>
      <c r="N27" t="str" cm="1">
        <f t="array" ref="N27">IFERROR(_xlfn.IFS(M27&gt;100%,"&gt;100%",AND(M27&lt;100%,M27&gt;70%),"&gt;70%",AND(M27&lt;70%,M27&gt;40%),"&gt;40%",AND(M27&lt;40%,M27&gt;0%),"&gt;0%"),"")</f>
        <v>&gt;0%</v>
      </c>
      <c r="O27" t="str">
        <f t="shared" si="2"/>
        <v>DAVID SANCHEZ</v>
      </c>
      <c r="X27" s="15" t="s">
        <v>133</v>
      </c>
      <c r="Y27" s="3">
        <v>0.44837931034482759</v>
      </c>
    </row>
    <row r="28" spans="1:28" x14ac:dyDescent="0.25">
      <c r="A28" t="s">
        <v>4</v>
      </c>
      <c r="B28" t="str">
        <f t="shared" si="0"/>
        <v/>
      </c>
      <c r="E28">
        <f>D1_FEBRERO[[#This Row],[RECUPERO]]/VLOOKUP(D1_FEBRERO[[#This Row],[SUPER]],D2_FEBRERO[#All],2,0)</f>
        <v>0</v>
      </c>
      <c r="F28" t="str">
        <f>D1_FEBRERO[[#This Row],[SUPER]]</f>
        <v>MELINA</v>
      </c>
      <c r="L28">
        <v>5</v>
      </c>
      <c r="M28" s="1">
        <f t="shared" si="1"/>
        <v>0.2413793103448276</v>
      </c>
      <c r="N28" t="str" cm="1">
        <f t="array" ref="N28">IFERROR(_xlfn.IFS(M28&gt;100%,"&gt;100%",AND(M28&lt;100%,M28&gt;70%),"&gt;70%",AND(M28&lt;70%,M28&gt;40%),"&gt;40%",AND(M28&lt;40%,M28&gt;0%),"&gt;0%"),"")</f>
        <v>&gt;0%</v>
      </c>
      <c r="O28" t="str">
        <f t="shared" si="2"/>
        <v>JHOVANA TORRES</v>
      </c>
      <c r="X28" s="15" t="s">
        <v>155</v>
      </c>
      <c r="Y28" s="3">
        <v>0.42706896551724138</v>
      </c>
    </row>
    <row r="29" spans="1:28" x14ac:dyDescent="0.25">
      <c r="A29" t="s">
        <v>4</v>
      </c>
      <c r="B29" t="str">
        <f t="shared" si="0"/>
        <v/>
      </c>
      <c r="E29">
        <f>D1_FEBRERO[[#This Row],[RECUPERO]]/VLOOKUP(D1_FEBRERO[[#This Row],[SUPER]],D2_FEBRERO[#All],2,0)</f>
        <v>0</v>
      </c>
      <c r="F29" t="str">
        <f>D1_FEBRERO[[#This Row],[SUPER]]</f>
        <v>MELINA</v>
      </c>
      <c r="L29">
        <v>6</v>
      </c>
      <c r="M29" s="1">
        <f t="shared" si="1"/>
        <v>0.4911224137931034</v>
      </c>
      <c r="N29" t="str" cm="1">
        <f t="array" ref="N29">IFERROR(_xlfn.IFS(M29&gt;100%,"&gt;100%",AND(M29&lt;100%,M29&gt;70%),"&gt;70%",AND(M29&lt;70%,M29&gt;40%),"&gt;40%",AND(M29&lt;40%,M29&gt;0%),"&gt;0%"),"")</f>
        <v>&gt;40%</v>
      </c>
      <c r="O29" t="str">
        <f t="shared" si="2"/>
        <v>LUIS VALLADARES</v>
      </c>
      <c r="X29" s="15" t="s">
        <v>71</v>
      </c>
      <c r="Y29" s="3">
        <v>0.4204761904761905</v>
      </c>
    </row>
    <row r="30" spans="1:28" x14ac:dyDescent="0.25">
      <c r="A30" t="s">
        <v>4</v>
      </c>
      <c r="B30" t="str">
        <f t="shared" si="0"/>
        <v/>
      </c>
      <c r="E30">
        <f>D1_FEBRERO[[#This Row],[RECUPERO]]/VLOOKUP(D1_FEBRERO[[#This Row],[SUPER]],D2_FEBRERO[#All],2,0)</f>
        <v>0</v>
      </c>
      <c r="F30" t="str">
        <f>D1_FEBRERO[[#This Row],[SUPER]]</f>
        <v>MELINA</v>
      </c>
      <c r="L30">
        <v>7</v>
      </c>
      <c r="M30" s="1">
        <f t="shared" si="1"/>
        <v>0.89168965517241383</v>
      </c>
      <c r="N30" t="str" cm="1">
        <f t="array" ref="N30">IFERROR(_xlfn.IFS(M30&gt;100%,"&gt;100%",AND(M30&lt;100%,M30&gt;70%),"&gt;70%",AND(M30&lt;70%,M30&gt;40%),"&gt;40%",AND(M30&lt;40%,M30&gt;0%),"&gt;0%"),"")</f>
        <v>&gt;70%</v>
      </c>
      <c r="O30" t="str">
        <f t="shared" si="2"/>
        <v>MARIA TINTAYA</v>
      </c>
      <c r="X30" s="15" t="s">
        <v>73</v>
      </c>
      <c r="Y30" s="3">
        <v>0.41809523809523808</v>
      </c>
    </row>
    <row r="31" spans="1:28" x14ac:dyDescent="0.25">
      <c r="A31" t="s">
        <v>4</v>
      </c>
      <c r="B31" t="str">
        <f t="shared" si="0"/>
        <v/>
      </c>
      <c r="E31">
        <f>D1_FEBRERO[[#This Row],[RECUPERO]]/VLOOKUP(D1_FEBRERO[[#This Row],[SUPER]],D2_FEBRERO[#All],2,0)</f>
        <v>0</v>
      </c>
      <c r="F31" t="str">
        <f>D1_FEBRERO[[#This Row],[SUPER]]</f>
        <v>MELINA</v>
      </c>
      <c r="L31">
        <v>8</v>
      </c>
      <c r="M31" s="1">
        <f t="shared" si="1"/>
        <v>0.84617241379310348</v>
      </c>
      <c r="N31" t="str" cm="1">
        <f t="array" ref="N31">IFERROR(_xlfn.IFS(M31&gt;100%,"&gt;100%",AND(M31&lt;100%,M31&gt;70%),"&gt;70%",AND(M31&lt;70%,M31&gt;40%),"&gt;40%",AND(M31&lt;40%,M31&gt;0%),"&gt;0%"),"")</f>
        <v>&gt;70%</v>
      </c>
      <c r="O31" t="str">
        <f t="shared" si="2"/>
        <v>MILAGROS QUIO</v>
      </c>
      <c r="X31" s="15" t="s">
        <v>83</v>
      </c>
      <c r="Y31" s="3">
        <v>0.41769696969696968</v>
      </c>
    </row>
    <row r="32" spans="1:28" x14ac:dyDescent="0.25">
      <c r="A32" t="s">
        <v>4</v>
      </c>
      <c r="B32" t="str">
        <f t="shared" si="0"/>
        <v/>
      </c>
      <c r="E32">
        <f>D1_FEBRERO[[#This Row],[RECUPERO]]/VLOOKUP(D1_FEBRERO[[#This Row],[SUPER]],D2_FEBRERO[#All],2,0)</f>
        <v>0</v>
      </c>
      <c r="F32" t="str">
        <f>D1_FEBRERO[[#This Row],[SUPER]]</f>
        <v>MELINA</v>
      </c>
      <c r="L32">
        <v>9</v>
      </c>
      <c r="M32" s="1">
        <f t="shared" si="1"/>
        <v>1.0940606896551723</v>
      </c>
      <c r="N32" t="str" cm="1">
        <f t="array" ref="N32">IFERROR(_xlfn.IFS(M32&gt;100%,"&gt;100%",AND(M32&lt;100%,M32&gt;70%),"&gt;70%",AND(M32&lt;70%,M32&gt;40%),"&gt;40%",AND(M32&lt;40%,M32&gt;0%),"&gt;0%"),"")</f>
        <v>&gt;100%</v>
      </c>
      <c r="O32" t="str">
        <f t="shared" si="2"/>
        <v>PIERINA TESEN</v>
      </c>
      <c r="X32" s="15" t="s">
        <v>37</v>
      </c>
      <c r="Y32" s="3">
        <v>0.40904761904761905</v>
      </c>
    </row>
    <row r="33" spans="1:25" x14ac:dyDescent="0.25">
      <c r="A33" t="s">
        <v>2</v>
      </c>
      <c r="B33" t="str">
        <f t="shared" si="0"/>
        <v>CHRISTIAN ALVARADO</v>
      </c>
      <c r="C33" t="s">
        <v>41</v>
      </c>
      <c r="D33">
        <v>13776</v>
      </c>
      <c r="E33">
        <f>D1_FEBRERO[[#This Row],[RECUPERO]]/VLOOKUP(D1_FEBRERO[[#This Row],[SUPER]],D2_FEBRERO[#All],2,0)</f>
        <v>0.62618181818181817</v>
      </c>
      <c r="F33" t="str">
        <f>D1_FEBRERO[[#This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X33" s="15" t="s">
        <v>40</v>
      </c>
      <c r="Y33" s="4">
        <v>0.40197844827586204</v>
      </c>
    </row>
    <row r="34" spans="1:25" x14ac:dyDescent="0.25">
      <c r="A34" t="s">
        <v>2</v>
      </c>
      <c r="B34" t="str">
        <f t="shared" si="0"/>
        <v>FRANS TACSI</v>
      </c>
      <c r="C34" t="s">
        <v>16</v>
      </c>
      <c r="D34">
        <v>29166</v>
      </c>
      <c r="E34">
        <f>D1_FEBRERO[[#This Row],[RECUPERO]]/VLOOKUP(D1_FEBRERO[[#This Row],[SUPER]],D2_FEBRERO[#All],2,0)</f>
        <v>1.3257272727272726</v>
      </c>
      <c r="F34" t="str">
        <f>D1_FEBRERO[[#This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</row>
    <row r="35" spans="1:25" x14ac:dyDescent="0.25">
      <c r="A35" t="s">
        <v>2</v>
      </c>
      <c r="B35" t="str">
        <f t="shared" si="0"/>
        <v>GENESIS VICUNA</v>
      </c>
      <c r="C35" t="s">
        <v>12</v>
      </c>
      <c r="D35">
        <v>22042.6</v>
      </c>
      <c r="E35">
        <f>D1_FEBRERO[[#This Row],[RECUPERO]]/VLOOKUP(D1_FEBRERO[[#This Row],[SUPER]],D2_FEBRERO[#All],2,0)</f>
        <v>1.0019363636363636</v>
      </c>
      <c r="F35" t="str">
        <f>D1_FEBRERO[[#This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</row>
    <row r="36" spans="1:25" x14ac:dyDescent="0.25">
      <c r="A36" t="s">
        <v>2</v>
      </c>
      <c r="B36" t="str">
        <f t="shared" si="0"/>
        <v>GIANNINA AGUILAR</v>
      </c>
      <c r="C36" t="s">
        <v>32</v>
      </c>
      <c r="D36">
        <v>12364</v>
      </c>
      <c r="E36">
        <f>D1_FEBRERO[[#This Row],[RECUPERO]]/VLOOKUP(D1_FEBRERO[[#This Row],[SUPER]],D2_FEBRERO[#All],2,0)</f>
        <v>0.56200000000000006</v>
      </c>
      <c r="F36" t="str">
        <f>D1_FEBRERO[[#This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</row>
    <row r="37" spans="1:25" x14ac:dyDescent="0.25">
      <c r="A37" t="s">
        <v>2</v>
      </c>
      <c r="B37" t="str">
        <f t="shared" si="0"/>
        <v>JENY LAZARO</v>
      </c>
      <c r="C37" t="s">
        <v>26</v>
      </c>
      <c r="D37">
        <v>19225.2</v>
      </c>
      <c r="E37">
        <f>D1_FEBRERO[[#This Row],[RECUPERO]]/VLOOKUP(D1_FEBRERO[[#This Row],[SUPER]],D2_FEBRERO[#All],2,0)</f>
        <v>0.87387272727272736</v>
      </c>
      <c r="F37" t="str">
        <f>D1_FEBRERO[[#This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</row>
    <row r="38" spans="1:25" x14ac:dyDescent="0.25">
      <c r="A38" t="s">
        <v>2</v>
      </c>
      <c r="B38" t="str">
        <f t="shared" si="0"/>
        <v>JUAN ALANOCCA</v>
      </c>
      <c r="C38" t="s">
        <v>77</v>
      </c>
      <c r="D38">
        <v>10843</v>
      </c>
      <c r="E38">
        <f>D1_FEBRERO[[#This Row],[RECUPERO]]/VLOOKUP(D1_FEBRERO[[#This Row],[SUPER]],D2_FEBRERO[#All],2,0)</f>
        <v>0.49286363636363634</v>
      </c>
      <c r="F38" t="str">
        <f>D1_FEBRERO[[#This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</row>
    <row r="39" spans="1:25" x14ac:dyDescent="0.25">
      <c r="A39" t="s">
        <v>2</v>
      </c>
      <c r="B39" t="str">
        <f t="shared" si="0"/>
        <v>KATYUSCA LEVANO</v>
      </c>
      <c r="C39" t="s">
        <v>46</v>
      </c>
      <c r="D39">
        <v>2200</v>
      </c>
      <c r="E39">
        <f>D1_FEBRERO[[#This Row],[RECUPERO]]/VLOOKUP(D1_FEBRERO[[#This Row],[SUPER]],D2_FEBRERO[#All],2,0)</f>
        <v>0.1</v>
      </c>
      <c r="F39" t="str">
        <f>D1_FEBRERO[[#This Row],[SUPER]]</f>
        <v>JORGE</v>
      </c>
      <c r="L39">
        <v>1</v>
      </c>
      <c r="M39" s="1">
        <f t="shared" si="1"/>
        <v>0.62618181818181817</v>
      </c>
      <c r="N39" t="str" cm="1">
        <f t="array" ref="N39">IFERROR(_xlfn.IFS(M39&gt;100%,"&gt;100%",AND(M39&lt;100%,M39&gt;70%),"&gt;70%",AND(M39&lt;70%,M39&gt;40%),"&gt;40%",AND(M39&lt;40%,M39&gt;0%),"&gt;0%"),"")</f>
        <v>&gt;40%</v>
      </c>
      <c r="O39" t="str">
        <f t="shared" si="2"/>
        <v>CHRISTIAN ALVARADO</v>
      </c>
    </row>
    <row r="40" spans="1:25" x14ac:dyDescent="0.25">
      <c r="A40" t="s">
        <v>2</v>
      </c>
      <c r="B40" t="str">
        <f t="shared" si="0"/>
        <v>NARDIA URPIS</v>
      </c>
      <c r="C40" t="s">
        <v>74</v>
      </c>
      <c r="D40">
        <v>14892.8</v>
      </c>
      <c r="E40">
        <f>D1_FEBRERO[[#This Row],[RECUPERO]]/VLOOKUP(D1_FEBRERO[[#This Row],[SUPER]],D2_FEBRERO[#All],2,0)</f>
        <v>0.67694545454545452</v>
      </c>
      <c r="F40" t="str">
        <f>D1_FEBRERO[[#This Row],[SUPER]]</f>
        <v>JORGE</v>
      </c>
      <c r="L40">
        <v>2</v>
      </c>
      <c r="M40" s="1">
        <f t="shared" si="1"/>
        <v>1.3257272727272726</v>
      </c>
      <c r="N40" t="str" cm="1">
        <f t="array" ref="N40">IFERROR(_xlfn.IFS(M40&gt;100%,"&gt;100%",AND(M40&lt;100%,M40&gt;70%),"&gt;70%",AND(M40&lt;70%,M40&gt;40%),"&gt;40%",AND(M40&lt;40%,M40&gt;0%),"&gt;0%"),"")</f>
        <v>&gt;100%</v>
      </c>
      <c r="O40" t="str">
        <f t="shared" si="2"/>
        <v>FRANS TACSI</v>
      </c>
    </row>
    <row r="41" spans="1:25" x14ac:dyDescent="0.25">
      <c r="A41" t="s">
        <v>2</v>
      </c>
      <c r="B41" t="str">
        <f t="shared" si="0"/>
        <v>ORIANA ARANA</v>
      </c>
      <c r="C41" t="s">
        <v>167</v>
      </c>
      <c r="D41">
        <v>600</v>
      </c>
      <c r="E41">
        <f>D1_FEBRERO[[#This Row],[RECUPERO]]/VLOOKUP(D1_FEBRERO[[#This Row],[SUPER]],D2_FEBRERO[#All],2,0)</f>
        <v>2.7272727272727271E-2</v>
      </c>
      <c r="F41" t="str">
        <f>D1_FEBRERO[[#This Row],[SUPER]]</f>
        <v>JORGE</v>
      </c>
      <c r="L41">
        <v>3</v>
      </c>
      <c r="M41" s="1">
        <f t="shared" si="1"/>
        <v>1.0019363636363636</v>
      </c>
      <c r="N41" t="str" cm="1">
        <f t="array" ref="N41">IFERROR(_xlfn.IFS(M41&gt;100%,"&gt;100%",AND(M41&lt;100%,M41&gt;70%),"&gt;70%",AND(M41&lt;70%,M41&gt;40%),"&gt;40%",AND(M41&lt;40%,M41&gt;0%),"&gt;0%"),"")</f>
        <v>&gt;100%</v>
      </c>
      <c r="O41" t="str">
        <f t="shared" si="2"/>
        <v>GENESIS VICUNA</v>
      </c>
    </row>
    <row r="42" spans="1:25" x14ac:dyDescent="0.25">
      <c r="A42" t="s">
        <v>2</v>
      </c>
      <c r="B42" t="str">
        <f t="shared" si="0"/>
        <v>PAMELA ALBITES</v>
      </c>
      <c r="C42" t="s">
        <v>156</v>
      </c>
      <c r="D42">
        <v>7792</v>
      </c>
      <c r="E42">
        <f>D1_FEBRERO[[#This Row],[RECUPERO]]/VLOOKUP(D1_FEBRERO[[#This Row],[SUPER]],D2_FEBRERO[#All],2,0)</f>
        <v>0.35418181818181821</v>
      </c>
      <c r="F42" t="str">
        <f>D1_FEBRERO[[#This Row],[SUPER]]</f>
        <v>JORGE</v>
      </c>
      <c r="L42">
        <v>4</v>
      </c>
      <c r="M42" s="1">
        <f t="shared" si="1"/>
        <v>0.56200000000000006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2"/>
        <v>GIANNINA AGUILAR</v>
      </c>
    </row>
    <row r="43" spans="1:25" x14ac:dyDescent="0.25">
      <c r="A43" t="s">
        <v>2</v>
      </c>
      <c r="B43" t="str">
        <f t="shared" si="0"/>
        <v>URSULA CENTENO</v>
      </c>
      <c r="C43" t="s">
        <v>78</v>
      </c>
      <c r="D43">
        <v>15560</v>
      </c>
      <c r="E43">
        <f>D1_FEBRERO[[#This Row],[RECUPERO]]/VLOOKUP(D1_FEBRERO[[#This Row],[SUPER]],D2_FEBRERO[#All],2,0)</f>
        <v>0.70727272727272728</v>
      </c>
      <c r="F43" t="str">
        <f>D1_FEBRERO[[#This Row],[SUPER]]</f>
        <v>JORGE</v>
      </c>
      <c r="L43">
        <v>5</v>
      </c>
      <c r="M43" s="1">
        <f t="shared" si="1"/>
        <v>0.87387272727272736</v>
      </c>
      <c r="N43" t="str" cm="1">
        <f t="array" ref="N43">IFERROR(_xlfn.IFS(M43&gt;100%,"&gt;100%",AND(M43&lt;100%,M43&gt;70%),"&gt;70%",AND(M43&lt;70%,M43&gt;40%),"&gt;40%",AND(M43&lt;40%,M43&gt;0%),"&gt;0%"),"")</f>
        <v>&gt;70%</v>
      </c>
      <c r="O43" t="str">
        <f t="shared" si="2"/>
        <v>JENY LAZARO</v>
      </c>
    </row>
    <row r="44" spans="1:25" x14ac:dyDescent="0.25">
      <c r="A44" t="s">
        <v>2</v>
      </c>
      <c r="B44" t="str">
        <f t="shared" si="0"/>
        <v>YENNY INGA</v>
      </c>
      <c r="C44" t="s">
        <v>39</v>
      </c>
      <c r="D44">
        <v>4300</v>
      </c>
      <c r="E44">
        <f>D1_FEBRERO[[#This Row],[RECUPERO]]/VLOOKUP(D1_FEBRERO[[#This Row],[SUPER]],D2_FEBRERO[#All],2,0)</f>
        <v>0.19545454545454546</v>
      </c>
      <c r="F44" t="str">
        <f>D1_FEBRERO[[#This Row],[SUPER]]</f>
        <v>JORGE</v>
      </c>
      <c r="L44">
        <v>6</v>
      </c>
      <c r="M44" s="1">
        <f t="shared" si="1"/>
        <v>0.49286363636363634</v>
      </c>
      <c r="N44" t="str" cm="1">
        <f t="array" ref="N44">IFERROR(_xlfn.IFS(M44&gt;100%,"&gt;100%",AND(M44&lt;100%,M44&gt;70%),"&gt;70%",AND(M44&lt;70%,M44&gt;40%),"&gt;40%",AND(M44&lt;40%,M44&gt;0%),"&gt;0%"),"")</f>
        <v>&gt;40%</v>
      </c>
      <c r="O44" t="str">
        <f t="shared" si="2"/>
        <v>JUAN ALANOCCA</v>
      </c>
    </row>
    <row r="45" spans="1:25" x14ac:dyDescent="0.25">
      <c r="A45" t="s">
        <v>2</v>
      </c>
      <c r="B45" t="str">
        <f t="shared" si="0"/>
        <v/>
      </c>
      <c r="E45">
        <f>D1_FEBRERO[[#This Row],[RECUPERO]]/VLOOKUP(D1_FEBRERO[[#This Row],[SUPER]],D2_FEBRERO[#All],2,0)</f>
        <v>0</v>
      </c>
      <c r="F45" t="str">
        <f>D1_FEBRERO[[#This Row],[SUPER]]</f>
        <v>JORGE</v>
      </c>
      <c r="L45">
        <v>7</v>
      </c>
      <c r="M45" s="1">
        <f t="shared" si="1"/>
        <v>0.1</v>
      </c>
      <c r="N45" t="str" cm="1">
        <f t="array" ref="N45">IFERROR(_xlfn.IFS(M45&gt;100%,"&gt;100%",AND(M45&lt;100%,M45&gt;70%),"&gt;70%",AND(M45&lt;70%,M45&gt;40%),"&gt;40%",AND(M45&lt;40%,M45&gt;0%),"&gt;0%"),"")</f>
        <v>&gt;0%</v>
      </c>
      <c r="O45" t="str">
        <f t="shared" si="2"/>
        <v>KATYUSCA LEVANO</v>
      </c>
    </row>
    <row r="46" spans="1:25" x14ac:dyDescent="0.25">
      <c r="A46" t="s">
        <v>2</v>
      </c>
      <c r="B46" t="str">
        <f t="shared" si="0"/>
        <v/>
      </c>
      <c r="E46">
        <f>D1_FEBRERO[[#This Row],[RECUPERO]]/VLOOKUP(D1_FEBRERO[[#This Row],[SUPER]],D2_FEBRERO[#All],2,0)</f>
        <v>0</v>
      </c>
      <c r="F46" t="str">
        <f>D1_FEBRERO[[#This Row],[SUPER]]</f>
        <v>JORGE</v>
      </c>
      <c r="L46">
        <v>8</v>
      </c>
      <c r="M46" s="1">
        <f t="shared" si="1"/>
        <v>0.67694545454545452</v>
      </c>
      <c r="N46" t="str" cm="1">
        <f t="array" ref="N46">IFERROR(_xlfn.IFS(M46&gt;100%,"&gt;100%",AND(M46&lt;100%,M46&gt;70%),"&gt;70%",AND(M46&lt;70%,M46&gt;40%),"&gt;40%",AND(M46&lt;40%,M46&gt;0%),"&gt;0%"),"")</f>
        <v>&gt;40%</v>
      </c>
      <c r="O46" t="str">
        <f t="shared" si="2"/>
        <v>NARDIA URPIS</v>
      </c>
    </row>
    <row r="47" spans="1:25" x14ac:dyDescent="0.25">
      <c r="A47" t="s">
        <v>2</v>
      </c>
      <c r="B47" t="str">
        <f t="shared" si="0"/>
        <v/>
      </c>
      <c r="E47">
        <f>D1_FEBRERO[[#This Row],[RECUPERO]]/VLOOKUP(D1_FEBRERO[[#This Row],[SUPER]],D2_FEBRERO[#All],2,0)</f>
        <v>0</v>
      </c>
      <c r="F47" t="str">
        <f>D1_FEBRERO[[#This Row],[SUPER]]</f>
        <v>JORGE</v>
      </c>
      <c r="L47">
        <v>9</v>
      </c>
      <c r="M47" s="1">
        <f t="shared" si="1"/>
        <v>2.7272727272727271E-2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2"/>
        <v>ORIANA ARANA</v>
      </c>
    </row>
    <row r="48" spans="1:25" x14ac:dyDescent="0.25">
      <c r="A48" t="s">
        <v>5</v>
      </c>
      <c r="B48" t="str">
        <f t="shared" si="0"/>
        <v>ANTHONY VICENTE</v>
      </c>
      <c r="C48" t="s">
        <v>85</v>
      </c>
      <c r="D48">
        <v>64768.5</v>
      </c>
      <c r="E48">
        <f>D1_FEBRERO[[#This Row],[RECUPERO]]/VLOOKUP(D1_FEBRERO[[#This Row],[SUPER]],D2_FEBRERO[#All],2,0)</f>
        <v>1.1166982758620689</v>
      </c>
      <c r="F48" t="str">
        <f>D1_FEBRERO[[#This Row],[SUPER]]</f>
        <v>JORDAN</v>
      </c>
      <c r="L48">
        <v>10</v>
      </c>
      <c r="M48" s="1">
        <f t="shared" si="1"/>
        <v>0.35418181818181821</v>
      </c>
      <c r="N48" t="str" cm="1">
        <f t="array" ref="N48">IFERROR(_xlfn.IFS(M48&gt;100%,"&gt;100%",AND(M48&lt;100%,M48&gt;70%),"&gt;70%",AND(M48&lt;70%,M48&gt;40%),"&gt;40%",AND(M48&lt;40%,M48&gt;0%),"&gt;0%"),"")</f>
        <v>&gt;0%</v>
      </c>
      <c r="O48" t="str">
        <f t="shared" si="2"/>
        <v>PAMELA ALBITES</v>
      </c>
    </row>
    <row r="49" spans="1:15" x14ac:dyDescent="0.25">
      <c r="A49" t="s">
        <v>5</v>
      </c>
      <c r="B49" t="str">
        <f t="shared" si="0"/>
        <v>AURORA FAUSTOR</v>
      </c>
      <c r="C49" t="s">
        <v>67</v>
      </c>
      <c r="D49">
        <v>58933</v>
      </c>
      <c r="E49">
        <f>D1_FEBRERO[[#This Row],[RECUPERO]]/VLOOKUP(D1_FEBRERO[[#This Row],[SUPER]],D2_FEBRERO[#All],2,0)</f>
        <v>1.0160862068965517</v>
      </c>
      <c r="F49" t="str">
        <f>D1_FEBRERO[[#This Row],[SUPER]]</f>
        <v>JORDAN</v>
      </c>
      <c r="L49">
        <v>11</v>
      </c>
      <c r="M49" s="1">
        <f t="shared" si="1"/>
        <v>0.70727272727272728</v>
      </c>
      <c r="N49" t="str" cm="1">
        <f t="array" ref="N49">IFERROR(_xlfn.IFS(M49&gt;100%,"&gt;100%",AND(M49&lt;100%,M49&gt;70%),"&gt;70%",AND(M49&lt;70%,M49&gt;40%),"&gt;40%",AND(M49&lt;40%,M49&gt;0%),"&gt;0%"),"")</f>
        <v>&gt;70%</v>
      </c>
      <c r="O49" t="str">
        <f t="shared" si="2"/>
        <v>URSULA CENTENO</v>
      </c>
    </row>
    <row r="50" spans="1:15" x14ac:dyDescent="0.25">
      <c r="A50" t="s">
        <v>5</v>
      </c>
      <c r="B50" t="str">
        <f t="shared" si="0"/>
        <v>GIANFRANCO PINEDO</v>
      </c>
      <c r="C50" t="s">
        <v>13</v>
      </c>
      <c r="D50">
        <v>48029.43</v>
      </c>
      <c r="E50">
        <f>D1_FEBRERO[[#This Row],[RECUPERO]]/VLOOKUP(D1_FEBRERO[[#This Row],[SUPER]],D2_FEBRERO[#All],2,0)</f>
        <v>0.8280936206896552</v>
      </c>
      <c r="F50" t="str">
        <f>D1_FEBRERO[[#This Row],[SUPER]]</f>
        <v>JORDAN</v>
      </c>
      <c r="L50">
        <v>12</v>
      </c>
      <c r="M50" s="1">
        <f t="shared" si="1"/>
        <v>0.19545454545454546</v>
      </c>
      <c r="N50" t="str" cm="1">
        <f t="array" ref="N50">IFERROR(_xlfn.IFS(M50&gt;100%,"&gt;100%",AND(M50&lt;100%,M50&gt;70%),"&gt;70%",AND(M50&lt;70%,M50&gt;40%),"&gt;40%",AND(M50&lt;40%,M50&gt;0%),"&gt;0%"),"")</f>
        <v>&gt;0%</v>
      </c>
      <c r="O50" t="str">
        <f t="shared" si="2"/>
        <v>YENNY INGA</v>
      </c>
    </row>
    <row r="51" spans="1:15" x14ac:dyDescent="0.25">
      <c r="A51" t="s">
        <v>5</v>
      </c>
      <c r="B51" t="str">
        <f t="shared" si="0"/>
        <v>GILBERTO PURIZACA</v>
      </c>
      <c r="C51" t="s">
        <v>66</v>
      </c>
      <c r="D51">
        <v>39756</v>
      </c>
      <c r="E51">
        <f>D1_FEBRERO[[#This Row],[RECUPERO]]/VLOOKUP(D1_FEBRERO[[#This Row],[SUPER]],D2_FEBRERO[#All],2,0)</f>
        <v>0.68544827586206891</v>
      </c>
      <c r="F51" t="str">
        <f>D1_FEBRERO[[#This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</row>
    <row r="52" spans="1:15" x14ac:dyDescent="0.25">
      <c r="A52" t="s">
        <v>5</v>
      </c>
      <c r="B52" t="str">
        <f t="shared" si="0"/>
        <v>JERSON RIVERA</v>
      </c>
      <c r="C52" t="s">
        <v>155</v>
      </c>
      <c r="D52">
        <v>24770</v>
      </c>
      <c r="E52">
        <f>D1_FEBRERO[[#This Row],[RECUPERO]]/VLOOKUP(D1_FEBRERO[[#This Row],[SUPER]],D2_FEBRERO[#All],2,0)</f>
        <v>0.42706896551724138</v>
      </c>
      <c r="F52" t="str">
        <f>D1_FEBRERO[[#This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</row>
    <row r="53" spans="1:15" x14ac:dyDescent="0.25">
      <c r="A53" t="s">
        <v>5</v>
      </c>
      <c r="B53" t="str">
        <f t="shared" si="0"/>
        <v>JOANA GIL</v>
      </c>
      <c r="C53" t="s">
        <v>133</v>
      </c>
      <c r="D53">
        <v>26006</v>
      </c>
      <c r="E53">
        <f>D1_FEBRERO[[#This Row],[RECUPERO]]/VLOOKUP(D1_FEBRERO[[#This Row],[SUPER]],D2_FEBRERO[#All],2,0)</f>
        <v>0.44837931034482759</v>
      </c>
      <c r="F53" t="str">
        <f>D1_FEBRERO[[#This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</row>
    <row r="54" spans="1:15" x14ac:dyDescent="0.25">
      <c r="A54" t="s">
        <v>5</v>
      </c>
      <c r="B54" t="str">
        <f t="shared" si="0"/>
        <v>MARGARITA PIANCHACHI</v>
      </c>
      <c r="C54" t="s">
        <v>17</v>
      </c>
      <c r="D54">
        <v>30967</v>
      </c>
      <c r="E54">
        <f>D1_FEBRERO[[#This Row],[RECUPERO]]/VLOOKUP(D1_FEBRERO[[#This Row],[SUPER]],D2_FEBRERO[#All],2,0)</f>
        <v>0.53391379310344833</v>
      </c>
      <c r="F54" t="str">
        <f>D1_FEBRERO[[#This Row],[SUPER]]</f>
        <v>JORDAN</v>
      </c>
      <c r="L54">
        <v>1</v>
      </c>
      <c r="M54" s="1">
        <f t="shared" si="1"/>
        <v>1.1166982758620689</v>
      </c>
      <c r="N54" t="str" cm="1">
        <f t="array" ref="N54">IFERROR(_xlfn.IFS(M54&gt;100%,"&gt;100%",AND(M54&lt;100%,M54&gt;70%),"&gt;70%",AND(M54&lt;70%,M54&gt;40%),"&gt;40%",AND(M54&lt;40%,M54&gt;0%),"&gt;0%"),"")</f>
        <v>&gt;100%</v>
      </c>
      <c r="O54" t="str">
        <f t="shared" si="2"/>
        <v>ANTHONY VICENTE</v>
      </c>
    </row>
    <row r="55" spans="1:15" x14ac:dyDescent="0.25">
      <c r="A55" t="s">
        <v>5</v>
      </c>
      <c r="B55" t="str">
        <f t="shared" si="0"/>
        <v>MELISSA GUERRERO</v>
      </c>
      <c r="C55" t="s">
        <v>62</v>
      </c>
      <c r="D55">
        <v>44844</v>
      </c>
      <c r="E55">
        <f>D1_FEBRERO[[#This Row],[RECUPERO]]/VLOOKUP(D1_FEBRERO[[#This Row],[SUPER]],D2_FEBRERO[#All],2,0)</f>
        <v>0.77317241379310342</v>
      </c>
      <c r="F55" t="str">
        <f>D1_FEBRERO[[#This Row],[SUPER]]</f>
        <v>JORDAN</v>
      </c>
      <c r="L55">
        <v>2</v>
      </c>
      <c r="M55" s="1">
        <f t="shared" si="1"/>
        <v>1.0160862068965517</v>
      </c>
      <c r="N55" t="str" cm="1">
        <f t="array" ref="N55">IFERROR(_xlfn.IFS(M55&gt;100%,"&gt;100%",AND(M55&lt;100%,M55&gt;70%),"&gt;70%",AND(M55&lt;70%,M55&gt;40%),"&gt;40%",AND(M55&lt;40%,M55&gt;0%),"&gt;0%"),"")</f>
        <v>&gt;100%</v>
      </c>
      <c r="O55" t="str">
        <f t="shared" si="2"/>
        <v>AURORA FAUSTOR</v>
      </c>
    </row>
    <row r="56" spans="1:15" x14ac:dyDescent="0.25">
      <c r="A56" t="s">
        <v>5</v>
      </c>
      <c r="B56" t="str">
        <f t="shared" si="0"/>
        <v>NATALIA MARIN</v>
      </c>
      <c r="C56" t="s">
        <v>79</v>
      </c>
      <c r="D56">
        <v>41415.49</v>
      </c>
      <c r="E56">
        <f>D1_FEBRERO[[#This Row],[RECUPERO]]/VLOOKUP(D1_FEBRERO[[#This Row],[SUPER]],D2_FEBRERO[#All],2,0)</f>
        <v>0.71406017241379305</v>
      </c>
      <c r="F56" t="str">
        <f>D1_FEBRERO[[#This Row],[SUPER]]</f>
        <v>JORDAN</v>
      </c>
      <c r="L56">
        <v>3</v>
      </c>
      <c r="M56" s="1">
        <f t="shared" si="1"/>
        <v>0.8280936206896552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2"/>
        <v>GIANFRANCO PINEDO</v>
      </c>
    </row>
    <row r="57" spans="1:15" x14ac:dyDescent="0.25">
      <c r="A57" t="s">
        <v>5</v>
      </c>
      <c r="B57" t="str">
        <f t="shared" si="0"/>
        <v/>
      </c>
      <c r="E57">
        <f>D1_FEBRERO[[#This Row],[RECUPERO]]/VLOOKUP(D1_FEBRERO[[#This Row],[SUPER]],D2_FEBRERO[#All],2,0)</f>
        <v>0</v>
      </c>
      <c r="F57" t="str">
        <f>D1_FEBRERO[[#This Row],[SUPER]]</f>
        <v>JORDAN</v>
      </c>
      <c r="L57">
        <v>4</v>
      </c>
      <c r="M57" s="1">
        <f t="shared" si="1"/>
        <v>0.68544827586206891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2"/>
        <v>GILBERTO PURIZACA</v>
      </c>
    </row>
    <row r="58" spans="1:15" x14ac:dyDescent="0.25">
      <c r="A58" t="s">
        <v>5</v>
      </c>
      <c r="B58" t="str">
        <f t="shared" si="0"/>
        <v/>
      </c>
      <c r="E58">
        <f>D1_FEBRERO[[#This Row],[RECUPERO]]/VLOOKUP(D1_FEBRERO[[#This Row],[SUPER]],D2_FEBRERO[#All],2,0)</f>
        <v>0</v>
      </c>
      <c r="F58" t="str">
        <f>D1_FEBRERO[[#This Row],[SUPER]]</f>
        <v>JORDAN</v>
      </c>
      <c r="L58">
        <v>5</v>
      </c>
      <c r="M58" s="1">
        <f t="shared" si="1"/>
        <v>0.42706896551724138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2"/>
        <v>JERSON RIVERA</v>
      </c>
    </row>
    <row r="59" spans="1:15" x14ac:dyDescent="0.25">
      <c r="A59" t="s">
        <v>5</v>
      </c>
      <c r="B59" t="str">
        <f t="shared" si="0"/>
        <v/>
      </c>
      <c r="E59">
        <f>D1_FEBRERO[[#This Row],[RECUPERO]]/VLOOKUP(D1_FEBRERO[[#This Row],[SUPER]],D2_FEBRERO[#All],2,0)</f>
        <v>0</v>
      </c>
      <c r="F59" t="str">
        <f>D1_FEBRERO[[#This Row],[SUPER]]</f>
        <v>JORDAN</v>
      </c>
      <c r="L59">
        <v>6</v>
      </c>
      <c r="M59" s="1">
        <f t="shared" si="1"/>
        <v>0.44837931034482759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2"/>
        <v>JOANA GIL</v>
      </c>
    </row>
    <row r="60" spans="1:15" x14ac:dyDescent="0.25">
      <c r="A60" t="s">
        <v>5</v>
      </c>
      <c r="B60" t="str">
        <f t="shared" si="0"/>
        <v/>
      </c>
      <c r="E60">
        <f>D1_FEBRERO[[#This Row],[RECUPERO]]/VLOOKUP(D1_FEBRERO[[#This Row],[SUPER]],D2_FEBRERO[#All],2,0)</f>
        <v>0</v>
      </c>
      <c r="F60" t="str">
        <f>D1_FEBRERO[[#This Row],[SUPER]]</f>
        <v>JORDAN</v>
      </c>
      <c r="L60">
        <v>7</v>
      </c>
      <c r="M60" s="1">
        <f t="shared" si="1"/>
        <v>0.53391379310344833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MARGARITA PIANCHACHI</v>
      </c>
    </row>
    <row r="61" spans="1:15" x14ac:dyDescent="0.25">
      <c r="A61" t="s">
        <v>5</v>
      </c>
      <c r="B61" t="str">
        <f t="shared" si="0"/>
        <v/>
      </c>
      <c r="E61">
        <f>D1_FEBRERO[[#This Row],[RECUPERO]]/VLOOKUP(D1_FEBRERO[[#This Row],[SUPER]],D2_FEBRERO[#All],2,0)</f>
        <v>0</v>
      </c>
      <c r="F61" t="str">
        <f>D1_FEBRERO[[#This Row],[SUPER]]</f>
        <v>JORDAN</v>
      </c>
      <c r="L61">
        <v>8</v>
      </c>
      <c r="M61" s="1">
        <f t="shared" si="1"/>
        <v>0.77317241379310342</v>
      </c>
      <c r="N61" t="str" cm="1">
        <f t="array" ref="N61">IFERROR(_xlfn.IFS(M61&gt;100%,"&gt;100%",AND(M61&lt;100%,M61&gt;70%),"&gt;70%",AND(M61&lt;70%,M61&gt;40%),"&gt;40%",AND(M61&lt;40%,M61&gt;0%),"&gt;0%"),"")</f>
        <v>&gt;70%</v>
      </c>
      <c r="O61" t="str">
        <f t="shared" si="2"/>
        <v>MELISSA GUERRERO</v>
      </c>
    </row>
    <row r="62" spans="1:15" x14ac:dyDescent="0.25">
      <c r="A62" t="s">
        <v>5</v>
      </c>
      <c r="B62" t="str">
        <f t="shared" si="0"/>
        <v/>
      </c>
      <c r="E62">
        <f>D1_FEBRERO[[#This Row],[RECUPERO]]/VLOOKUP(D1_FEBRERO[[#This Row],[SUPER]],D2_FEBRERO[#All],2,0)</f>
        <v>0</v>
      </c>
      <c r="F62" t="str">
        <f>D1_FEBRERO[[#This Row],[SUPER]]</f>
        <v>JORDAN</v>
      </c>
      <c r="L62">
        <v>9</v>
      </c>
      <c r="M62" s="1">
        <f t="shared" si="1"/>
        <v>0.71406017241379305</v>
      </c>
      <c r="N62" t="str" cm="1">
        <f t="array" ref="N62">IFERROR(_xlfn.IFS(M62&gt;100%,"&gt;100%",AND(M62&lt;100%,M62&gt;70%),"&gt;70%",AND(M62&lt;70%,M62&gt;40%),"&gt;40%",AND(M62&lt;40%,M62&gt;0%),"&gt;0%"),"")</f>
        <v>&gt;70%</v>
      </c>
      <c r="O62" t="str">
        <f t="shared" si="2"/>
        <v>NATALIA MARIN</v>
      </c>
    </row>
    <row r="63" spans="1:15" x14ac:dyDescent="0.25">
      <c r="A63" t="s">
        <v>6</v>
      </c>
      <c r="B63" t="str">
        <f t="shared" si="0"/>
        <v>BRYAN VELASQUEZ</v>
      </c>
      <c r="C63" t="s">
        <v>157</v>
      </c>
      <c r="D63">
        <v>16800</v>
      </c>
      <c r="E63">
        <f>D1_FEBRERO[[#This Row],[RECUPERO]]/VLOOKUP(D1_FEBRERO[[#This Row],[SUPER]],D2_FEBRERO[#All],2,0)</f>
        <v>0.8</v>
      </c>
      <c r="F63" t="str">
        <f>D1_FEBRERO[[#This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</row>
    <row r="64" spans="1:15" x14ac:dyDescent="0.25">
      <c r="A64" t="s">
        <v>6</v>
      </c>
      <c r="B64" t="str">
        <f t="shared" si="0"/>
        <v>CARMEN PUMA</v>
      </c>
      <c r="C64" t="s">
        <v>19</v>
      </c>
      <c r="D64">
        <v>26643.82</v>
      </c>
      <c r="E64">
        <f>D1_FEBRERO[[#This Row],[RECUPERO]]/VLOOKUP(D1_FEBRERO[[#This Row],[SUPER]],D2_FEBRERO[#All],2,0)</f>
        <v>1.2687533333333334</v>
      </c>
      <c r="F64" t="str">
        <f>D1_FEBRERO[[#This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</row>
    <row r="65" spans="1:15" x14ac:dyDescent="0.25">
      <c r="A65" t="s">
        <v>6</v>
      </c>
      <c r="B65" t="str">
        <f t="shared" si="0"/>
        <v>JIMENA MEDINA</v>
      </c>
      <c r="C65" t="s">
        <v>37</v>
      </c>
      <c r="D65">
        <v>8590</v>
      </c>
      <c r="E65">
        <f>D1_FEBRERO[[#This Row],[RECUPERO]]/VLOOKUP(D1_FEBRERO[[#This Row],[SUPER]],D2_FEBRERO[#All],2,0)</f>
        <v>0.40904761904761905</v>
      </c>
      <c r="F65" t="str">
        <f>D1_FEBRERO[[#This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</row>
    <row r="66" spans="1:15" x14ac:dyDescent="0.25">
      <c r="A66" t="s">
        <v>6</v>
      </c>
      <c r="B66" t="str">
        <f t="shared" si="0"/>
        <v>JUAN LOZA</v>
      </c>
      <c r="C66" t="s">
        <v>35</v>
      </c>
      <c r="D66">
        <v>7640</v>
      </c>
      <c r="E66">
        <f>D1_FEBRERO[[#This Row],[RECUPERO]]/VLOOKUP(D1_FEBRERO[[#This Row],[SUPER]],D2_FEBRERO[#All],2,0)</f>
        <v>0.3638095238095238</v>
      </c>
      <c r="F66" t="str">
        <f>D1_FEBRERO[[#This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</row>
    <row r="67" spans="1:15" x14ac:dyDescent="0.25">
      <c r="A67" t="s">
        <v>6</v>
      </c>
      <c r="B67" t="str">
        <f t="shared" si="0"/>
        <v>LUIS CENTENO</v>
      </c>
      <c r="C67" t="s">
        <v>31</v>
      </c>
      <c r="D67">
        <v>16180</v>
      </c>
      <c r="E67">
        <f>D1_FEBRERO[[#This Row],[RECUPERO]]/VLOOKUP(D1_FEBRERO[[#This Row],[SUPER]],D2_FEBRERO[#All],2,0)</f>
        <v>0.77047619047619043</v>
      </c>
      <c r="F67" t="str">
        <f>D1_FEBRERO[[#This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</row>
    <row r="68" spans="1:15" x14ac:dyDescent="0.25">
      <c r="A68" t="s">
        <v>6</v>
      </c>
      <c r="B68" t="str">
        <f t="shared" ref="B68:B122" si="3">TRIM(C68)</f>
        <v>MARCO SARMIENTO</v>
      </c>
      <c r="C68" t="s">
        <v>140</v>
      </c>
      <c r="D68">
        <v>8080</v>
      </c>
      <c r="E68">
        <f>D1_FEBRERO[[#This Row],[RECUPERO]]/VLOOKUP(D1_FEBRERO[[#This Row],[SUPER]],D2_FEBRERO[#All],2,0)</f>
        <v>0.38476190476190475</v>
      </c>
      <c r="F68" t="str">
        <f>D1_FEBRERO[[#This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</row>
    <row r="69" spans="1:15" x14ac:dyDescent="0.25">
      <c r="A69" t="s">
        <v>6</v>
      </c>
      <c r="B69" t="str">
        <f t="shared" si="3"/>
        <v>MARIA GONZALES</v>
      </c>
      <c r="C69" t="s">
        <v>158</v>
      </c>
      <c r="D69">
        <v>3012.5</v>
      </c>
      <c r="E69">
        <f>D1_FEBRERO[[#This Row],[RECUPERO]]/VLOOKUP(D1_FEBRERO[[#This Row],[SUPER]],D2_FEBRERO[#All],2,0)</f>
        <v>0.14345238095238094</v>
      </c>
      <c r="F69" t="str">
        <f>D1_FEBRERO[[#This Row],[SUPER]]</f>
        <v>KENNETH</v>
      </c>
      <c r="L69">
        <v>1</v>
      </c>
      <c r="M69" s="1">
        <f t="shared" si="1"/>
        <v>0.8</v>
      </c>
      <c r="N69" t="str" cm="1">
        <f t="array" ref="N69">IFERROR(_xlfn.IFS(M69&gt;100%,"&gt;100%",AND(M69&lt;100%,M69&gt;70%),"&gt;70%",AND(M69&lt;70%,M69&gt;40%),"&gt;40%",AND(M69&lt;40%,M69&gt;0%),"&gt;0%"),"")</f>
        <v>&gt;70%</v>
      </c>
      <c r="O69" t="str">
        <f t="shared" si="2"/>
        <v>BRYAN VELASQUEZ</v>
      </c>
    </row>
    <row r="70" spans="1:15" x14ac:dyDescent="0.25">
      <c r="A70" t="s">
        <v>6</v>
      </c>
      <c r="B70" t="str">
        <f t="shared" si="3"/>
        <v>MAURICIO MARTINEZ</v>
      </c>
      <c r="C70" t="s">
        <v>159</v>
      </c>
      <c r="D70">
        <v>33375</v>
      </c>
      <c r="E70">
        <f>D1_FEBRERO[[#This Row],[RECUPERO]]/VLOOKUP(D1_FEBRERO[[#This Row],[SUPER]],D2_FEBRERO[#All],2,0)</f>
        <v>1.5892857142857142</v>
      </c>
      <c r="F70" t="str">
        <f>D1_FEBRERO[[#This Row],[SUPER]]</f>
        <v>KENNETH</v>
      </c>
      <c r="L70">
        <v>2</v>
      </c>
      <c r="M70" s="1">
        <f t="shared" si="1"/>
        <v>1.2687533333333334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2"/>
        <v>CARMEN PUMA</v>
      </c>
    </row>
    <row r="71" spans="1:15" x14ac:dyDescent="0.25">
      <c r="A71" t="s">
        <v>6</v>
      </c>
      <c r="B71" t="str">
        <f t="shared" si="3"/>
        <v>MICAELA PEREZ</v>
      </c>
      <c r="C71" t="s">
        <v>64</v>
      </c>
      <c r="D71">
        <v>8100</v>
      </c>
      <c r="E71">
        <f>D1_FEBRERO[[#This Row],[RECUPERO]]/VLOOKUP(D1_FEBRERO[[#This Row],[SUPER]],D2_FEBRERO[#All],2,0)</f>
        <v>0.38571428571428573</v>
      </c>
      <c r="F71" t="str">
        <f>D1_FEBRERO[[#This Row],[SUPER]]</f>
        <v>KENNETH</v>
      </c>
      <c r="L71">
        <v>3</v>
      </c>
      <c r="M71" s="1">
        <f t="shared" si="1"/>
        <v>0.40904761904761905</v>
      </c>
      <c r="N71" t="str" cm="1">
        <f t="array" ref="N71">IFERROR(_xlfn.IFS(M71&gt;100%,"&gt;100%",AND(M71&lt;100%,M71&gt;70%),"&gt;70%",AND(M71&lt;70%,M71&gt;40%),"&gt;40%",AND(M71&lt;40%,M71&gt;0%),"&gt;0%"),"")</f>
        <v>&gt;40%</v>
      </c>
      <c r="O71" t="str">
        <f t="shared" si="2"/>
        <v>JIMENA MEDINA</v>
      </c>
    </row>
    <row r="72" spans="1:15" x14ac:dyDescent="0.25">
      <c r="A72" t="s">
        <v>6</v>
      </c>
      <c r="B72" t="str">
        <f t="shared" si="3"/>
        <v>STWUAR MACURI</v>
      </c>
      <c r="C72" t="s">
        <v>34</v>
      </c>
      <c r="D72">
        <v>20522</v>
      </c>
      <c r="E72">
        <f>D1_FEBRERO[[#This Row],[RECUPERO]]/VLOOKUP(D1_FEBRERO[[#This Row],[SUPER]],D2_FEBRERO[#All],2,0)</f>
        <v>0.97723809523809524</v>
      </c>
      <c r="F72" t="str">
        <f>D1_FEBRERO[[#This Row],[SUPER]]</f>
        <v>KENNETH</v>
      </c>
      <c r="L72">
        <v>4</v>
      </c>
      <c r="M72" s="1">
        <f t="shared" si="1"/>
        <v>0.3638095238095238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2"/>
        <v>JUAN LOZA</v>
      </c>
    </row>
    <row r="73" spans="1:15" x14ac:dyDescent="0.25">
      <c r="A73" t="s">
        <v>6</v>
      </c>
      <c r="B73" t="str">
        <f t="shared" si="3"/>
        <v/>
      </c>
      <c r="E73">
        <f>D1_FEBRERO[[#This Row],[RECUPERO]]/VLOOKUP(D1_FEBRERO[[#This Row],[SUPER]],D2_FEBRERO[#All],2,0)</f>
        <v>0</v>
      </c>
      <c r="F73" t="str">
        <f>D1_FEBRERO[[#This Row],[SUPER]]</f>
        <v>KENNETH</v>
      </c>
      <c r="L73">
        <v>5</v>
      </c>
      <c r="M73" s="1">
        <f t="shared" si="1"/>
        <v>0.77047619047619043</v>
      </c>
      <c r="N73" t="str" cm="1">
        <f t="array" ref="N73">IFERROR(_xlfn.IFS(M73&gt;100%,"&gt;100%",AND(M73&lt;100%,M73&gt;70%),"&gt;70%",AND(M73&lt;70%,M73&gt;40%),"&gt;40%",AND(M73&lt;40%,M73&gt;0%),"&gt;0%"),"")</f>
        <v>&gt;70%</v>
      </c>
      <c r="O73" t="str">
        <f t="shared" si="2"/>
        <v>LUIS CENTENO</v>
      </c>
    </row>
    <row r="74" spans="1:15" x14ac:dyDescent="0.25">
      <c r="A74" t="s">
        <v>6</v>
      </c>
      <c r="B74" t="str">
        <f t="shared" si="3"/>
        <v/>
      </c>
      <c r="E74">
        <f>D1_FEBRERO[[#This Row],[RECUPERO]]/VLOOKUP(D1_FEBRERO[[#This Row],[SUPER]],D2_FEBRERO[#All],2,0)</f>
        <v>0</v>
      </c>
      <c r="F74" t="str">
        <f>D1_FEBRERO[[#This Row],[SUPER]]</f>
        <v>KENNETH</v>
      </c>
      <c r="L74">
        <v>6</v>
      </c>
      <c r="M74" s="1">
        <f t="shared" ref="M74:M128" si="4">E68</f>
        <v>0.38476190476190475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ref="O74:O128" si="5">B68</f>
        <v>MARCO SARMIENTO</v>
      </c>
    </row>
    <row r="75" spans="1:15" x14ac:dyDescent="0.25">
      <c r="A75" t="s">
        <v>6</v>
      </c>
      <c r="B75" t="str">
        <f t="shared" si="3"/>
        <v/>
      </c>
      <c r="E75">
        <f>D1_FEBRERO[[#This Row],[RECUPERO]]/VLOOKUP(D1_FEBRERO[[#This Row],[SUPER]],D2_FEBRERO[#All],2,0)</f>
        <v>0</v>
      </c>
      <c r="F75" t="str">
        <f>D1_FEBRERO[[#This Row],[SUPER]]</f>
        <v>KENNETH</v>
      </c>
      <c r="L75">
        <v>7</v>
      </c>
      <c r="M75" s="1">
        <f t="shared" si="4"/>
        <v>0.14345238095238094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5"/>
        <v>MARIA GONZALES</v>
      </c>
    </row>
    <row r="76" spans="1:15" x14ac:dyDescent="0.25">
      <c r="A76" t="s">
        <v>6</v>
      </c>
      <c r="B76" t="str">
        <f t="shared" si="3"/>
        <v/>
      </c>
      <c r="E76">
        <f>D1_FEBRERO[[#This Row],[RECUPERO]]/VLOOKUP(D1_FEBRERO[[#This Row],[SUPER]],D2_FEBRERO[#All],2,0)</f>
        <v>0</v>
      </c>
      <c r="F76" t="str">
        <f>D1_FEBRERO[[#This Row],[SUPER]]</f>
        <v>KENNETH</v>
      </c>
      <c r="L76">
        <v>8</v>
      </c>
      <c r="M76" s="1">
        <f t="shared" si="4"/>
        <v>1.5892857142857142</v>
      </c>
      <c r="N76" t="str" cm="1">
        <f t="array" ref="N76">IFERROR(_xlfn.IFS(M76&gt;100%,"&gt;100%",AND(M76&lt;100%,M76&gt;70%),"&gt;70%",AND(M76&lt;70%,M76&gt;40%),"&gt;40%",AND(M76&lt;40%,M76&gt;0%),"&gt;0%"),"")</f>
        <v>&gt;100%</v>
      </c>
      <c r="O76" t="str">
        <f t="shared" si="5"/>
        <v>MAURICIO MARTINEZ</v>
      </c>
    </row>
    <row r="77" spans="1:15" x14ac:dyDescent="0.25">
      <c r="A77" t="s">
        <v>6</v>
      </c>
      <c r="B77" t="str">
        <f t="shared" si="3"/>
        <v/>
      </c>
      <c r="E77">
        <f>D1_FEBRERO[[#This Row],[RECUPERO]]/VLOOKUP(D1_FEBRERO[[#This Row],[SUPER]],D2_FEBRERO[#All],2,0)</f>
        <v>0</v>
      </c>
      <c r="F77" t="str">
        <f>D1_FEBRERO[[#This Row],[SUPER]]</f>
        <v>KENNETH</v>
      </c>
      <c r="L77">
        <v>9</v>
      </c>
      <c r="M77" s="1">
        <f t="shared" si="4"/>
        <v>0.38571428571428573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5"/>
        <v>MICAELA PEREZ</v>
      </c>
    </row>
    <row r="78" spans="1:15" x14ac:dyDescent="0.25">
      <c r="A78" t="s">
        <v>154</v>
      </c>
      <c r="B78" t="str">
        <f t="shared" si="3"/>
        <v>ALEIDITH GUEVARA</v>
      </c>
      <c r="C78" t="s">
        <v>18</v>
      </c>
      <c r="D78">
        <v>18622</v>
      </c>
      <c r="E78">
        <f>D1_FEBRERO[[#This Row],[RECUPERO]]/VLOOKUP(D1_FEBRERO[[#This Row],[SUPER]],D2_FEBRERO[#All],2,0)</f>
        <v>1.1286060606060606</v>
      </c>
      <c r="F78" t="str">
        <f>D1_FEBRERO[[#This Row],[SUPER]]</f>
        <v>MELITA</v>
      </c>
      <c r="L78">
        <v>10</v>
      </c>
      <c r="M78" s="1">
        <f t="shared" si="4"/>
        <v>0.97723809523809524</v>
      </c>
      <c r="N78" t="str" cm="1">
        <f t="array" ref="N78">IFERROR(_xlfn.IFS(M78&gt;100%,"&gt;100%",AND(M78&lt;100%,M78&gt;70%),"&gt;70%",AND(M78&lt;70%,M78&gt;40%),"&gt;40%",AND(M78&lt;40%,M78&gt;0%),"&gt;0%"),"")</f>
        <v>&gt;70%</v>
      </c>
      <c r="O78" t="str">
        <f t="shared" si="5"/>
        <v>STWUAR MACURI</v>
      </c>
    </row>
    <row r="79" spans="1:15" x14ac:dyDescent="0.25">
      <c r="A79" t="s">
        <v>154</v>
      </c>
      <c r="B79" t="str">
        <f t="shared" si="3"/>
        <v>BRINA SOTO</v>
      </c>
      <c r="C79" t="s">
        <v>14</v>
      </c>
      <c r="D79">
        <v>18988</v>
      </c>
      <c r="E79">
        <f>D1_FEBRERO[[#This Row],[RECUPERO]]/VLOOKUP(D1_FEBRERO[[#This Row],[SUPER]],D2_FEBRERO[#All],2,0)</f>
        <v>1.1507878787878787</v>
      </c>
      <c r="F79" t="str">
        <f>D1_FEBRERO[[#This Row],[SUPER]]</f>
        <v>MELITA</v>
      </c>
      <c r="L79">
        <v>11</v>
      </c>
      <c r="M79" s="1">
        <f t="shared" si="4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5"/>
        <v/>
      </c>
    </row>
    <row r="80" spans="1:15" x14ac:dyDescent="0.25">
      <c r="A80" t="s">
        <v>154</v>
      </c>
      <c r="B80" t="str">
        <f t="shared" si="3"/>
        <v>CARLOS CALAGUA</v>
      </c>
      <c r="C80" t="s">
        <v>129</v>
      </c>
      <c r="D80">
        <v>2759</v>
      </c>
      <c r="E80">
        <f>D1_FEBRERO[[#This Row],[RECUPERO]]/VLOOKUP(D1_FEBRERO[[#This Row],[SUPER]],D2_FEBRERO[#All],2,0)</f>
        <v>0.1672121212121212</v>
      </c>
      <c r="F80" t="str">
        <f>D1_FEBRERO[[#This Row],[SUPER]]</f>
        <v>MELITA</v>
      </c>
      <c r="L80">
        <v>12</v>
      </c>
      <c r="M80" s="1">
        <f t="shared" si="4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5"/>
        <v/>
      </c>
    </row>
    <row r="81" spans="1:15" x14ac:dyDescent="0.25">
      <c r="A81" t="s">
        <v>154</v>
      </c>
      <c r="B81" t="str">
        <f t="shared" si="3"/>
        <v>DANIEL ZAPATA</v>
      </c>
      <c r="C81" t="s">
        <v>80</v>
      </c>
      <c r="D81">
        <v>20275</v>
      </c>
      <c r="E81">
        <f>D1_FEBRERO[[#This Row],[RECUPERO]]/VLOOKUP(D1_FEBRERO[[#This Row],[SUPER]],D2_FEBRERO[#All],2,0)</f>
        <v>1.2287878787878788</v>
      </c>
      <c r="F81" t="str">
        <f>D1_FEBRERO[[#This Row],[SUPER]]</f>
        <v>MELITA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</row>
    <row r="82" spans="1:15" x14ac:dyDescent="0.25">
      <c r="A82" t="s">
        <v>154</v>
      </c>
      <c r="B82" t="str">
        <f t="shared" si="3"/>
        <v>FRANCO HUAMANI</v>
      </c>
      <c r="C82" t="s">
        <v>24</v>
      </c>
      <c r="D82">
        <v>7944</v>
      </c>
      <c r="E82">
        <f>D1_FEBRERO[[#This Row],[RECUPERO]]/VLOOKUP(D1_FEBRERO[[#This Row],[SUPER]],D2_FEBRERO[#All],2,0)</f>
        <v>0.48145454545454547</v>
      </c>
      <c r="F82" t="str">
        <f>D1_FEBRERO[[#This Row],[SUPER]]</f>
        <v>MELITA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</row>
    <row r="83" spans="1:15" x14ac:dyDescent="0.25">
      <c r="A83" t="s">
        <v>154</v>
      </c>
      <c r="B83" t="str">
        <f t="shared" si="3"/>
        <v>ISABEL BEJARANO</v>
      </c>
      <c r="C83" t="s">
        <v>83</v>
      </c>
      <c r="D83">
        <v>6892</v>
      </c>
      <c r="E83">
        <f>D1_FEBRERO[[#This Row],[RECUPERO]]/VLOOKUP(D1_FEBRERO[[#This Row],[SUPER]],D2_FEBRERO[#All],2,0)</f>
        <v>0.41769696969696968</v>
      </c>
      <c r="F83" t="str">
        <f>D1_FEBRERO[[#This Row],[SUPER]]</f>
        <v>MELITA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</row>
    <row r="84" spans="1:15" x14ac:dyDescent="0.25">
      <c r="A84" t="s">
        <v>154</v>
      </c>
      <c r="B84" t="str">
        <f t="shared" si="3"/>
        <v>JANETH PORTOCARRERO</v>
      </c>
      <c r="C84" t="s">
        <v>49</v>
      </c>
      <c r="D84">
        <v>12430</v>
      </c>
      <c r="E84">
        <f>D1_FEBRERO[[#This Row],[RECUPERO]]/VLOOKUP(D1_FEBRERO[[#This Row],[SUPER]],D2_FEBRERO[#All],2,0)</f>
        <v>0.7533333333333333</v>
      </c>
      <c r="F84" t="str">
        <f>D1_FEBRERO[[#This Row],[SUPER]]</f>
        <v>MELITA</v>
      </c>
      <c r="L84">
        <v>1</v>
      </c>
      <c r="M84" s="1">
        <f t="shared" si="4"/>
        <v>1.1286060606060606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5"/>
        <v>ALEIDITH GUEVARA</v>
      </c>
    </row>
    <row r="85" spans="1:15" x14ac:dyDescent="0.25">
      <c r="A85" t="s">
        <v>154</v>
      </c>
      <c r="B85" t="str">
        <f t="shared" si="3"/>
        <v>JESSICA MELGAREJO</v>
      </c>
      <c r="C85" t="s">
        <v>112</v>
      </c>
      <c r="D85">
        <v>4860.83</v>
      </c>
      <c r="E85">
        <f>D1_FEBRERO[[#This Row],[RECUPERO]]/VLOOKUP(D1_FEBRERO[[#This Row],[SUPER]],D2_FEBRERO[#All],2,0)</f>
        <v>0.29459575757575757</v>
      </c>
      <c r="F85" t="str">
        <f>D1_FEBRERO[[#This Row],[SUPER]]</f>
        <v>MELITA</v>
      </c>
      <c r="L85">
        <v>2</v>
      </c>
      <c r="M85" s="1">
        <f t="shared" si="4"/>
        <v>1.1507878787878787</v>
      </c>
      <c r="N85" t="str" cm="1">
        <f t="array" ref="N85">IFERROR(_xlfn.IFS(M85&gt;100%,"&gt;100%",AND(M85&lt;100%,M85&gt;70%),"&gt;70%",AND(M85&lt;70%,M85&gt;40%),"&gt;40%",AND(M85&lt;40%,M85&gt;0%),"&gt;0%"),"")</f>
        <v>&gt;100%</v>
      </c>
      <c r="O85" t="str">
        <f t="shared" si="5"/>
        <v>BRINA SOTO</v>
      </c>
    </row>
    <row r="86" spans="1:15" x14ac:dyDescent="0.25">
      <c r="A86" t="s">
        <v>154</v>
      </c>
      <c r="B86" t="str">
        <f t="shared" si="3"/>
        <v>LINDA TUESTA</v>
      </c>
      <c r="C86" t="s">
        <v>33</v>
      </c>
      <c r="D86">
        <v>7421.8</v>
      </c>
      <c r="E86">
        <f>D1_FEBRERO[[#This Row],[RECUPERO]]/VLOOKUP(D1_FEBRERO[[#This Row],[SUPER]],D2_FEBRERO[#All],2,0)</f>
        <v>0.4498060606060606</v>
      </c>
      <c r="F86" t="str">
        <f>D1_FEBRERO[[#This Row],[SUPER]]</f>
        <v>MELITA</v>
      </c>
      <c r="L86">
        <v>3</v>
      </c>
      <c r="M86" s="1">
        <f t="shared" si="4"/>
        <v>0.1672121212121212</v>
      </c>
      <c r="N86" t="str" cm="1">
        <f t="array" ref="N86">IFERROR(_xlfn.IFS(M86&gt;100%,"&gt;100%",AND(M86&lt;100%,M86&gt;70%),"&gt;70%",AND(M86&lt;70%,M86&gt;40%),"&gt;40%",AND(M86&lt;40%,M86&gt;0%),"&gt;0%"),"")</f>
        <v>&gt;0%</v>
      </c>
      <c r="O86" t="str">
        <f t="shared" si="5"/>
        <v>CARLOS CALAGUA</v>
      </c>
    </row>
    <row r="87" spans="1:15" x14ac:dyDescent="0.25">
      <c r="A87" t="s">
        <v>154</v>
      </c>
      <c r="B87" t="str">
        <f t="shared" si="3"/>
        <v>LUCERO JORDAN</v>
      </c>
      <c r="C87" t="s">
        <v>68</v>
      </c>
      <c r="D87">
        <v>10970.5</v>
      </c>
      <c r="E87">
        <f>D1_FEBRERO[[#This Row],[RECUPERO]]/VLOOKUP(D1_FEBRERO[[#This Row],[SUPER]],D2_FEBRERO[#All],2,0)</f>
        <v>0.66487878787878785</v>
      </c>
      <c r="F87" t="str">
        <f>D1_FEBRERO[[#This Row],[SUPER]]</f>
        <v>MELITA</v>
      </c>
      <c r="L87">
        <v>4</v>
      </c>
      <c r="M87" s="1">
        <f t="shared" si="4"/>
        <v>1.2287878787878788</v>
      </c>
      <c r="N87" t="str" cm="1">
        <f t="array" ref="N87">IFERROR(_xlfn.IFS(M87&gt;100%,"&gt;100%",AND(M87&lt;100%,M87&gt;70%),"&gt;70%",AND(M87&lt;70%,M87&gt;40%),"&gt;40%",AND(M87&lt;40%,M87&gt;0%),"&gt;0%"),"")</f>
        <v>&gt;100%</v>
      </c>
      <c r="O87" t="str">
        <f t="shared" si="5"/>
        <v>DANIEL ZAPATA</v>
      </c>
    </row>
    <row r="88" spans="1:15" x14ac:dyDescent="0.25">
      <c r="A88" t="s">
        <v>154</v>
      </c>
      <c r="B88" t="str">
        <f t="shared" si="3"/>
        <v/>
      </c>
      <c r="E88">
        <f>D1_FEBRERO[[#This Row],[RECUPERO]]/VLOOKUP(D1_FEBRERO[[#This Row],[SUPER]],D2_FEBRERO[#All],2,0)</f>
        <v>0</v>
      </c>
      <c r="F88" t="str">
        <f>D1_FEBRERO[[#This Row],[SUPER]]</f>
        <v>MELITA</v>
      </c>
      <c r="L88">
        <v>5</v>
      </c>
      <c r="M88" s="1">
        <f t="shared" si="4"/>
        <v>0.48145454545454547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5"/>
        <v>FRANCO HUAMANI</v>
      </c>
    </row>
    <row r="89" spans="1:15" x14ac:dyDescent="0.25">
      <c r="A89" t="s">
        <v>154</v>
      </c>
      <c r="B89" t="str">
        <f t="shared" si="3"/>
        <v/>
      </c>
      <c r="E89">
        <f>D1_FEBRERO[[#This Row],[RECUPERO]]/VLOOKUP(D1_FEBRERO[[#This Row],[SUPER]],D2_FEBRERO[#All],2,0)</f>
        <v>0</v>
      </c>
      <c r="F89" t="str">
        <f>D1_FEBRERO[[#This Row],[SUPER]]</f>
        <v>MELITA</v>
      </c>
      <c r="L89">
        <v>6</v>
      </c>
      <c r="M89" s="1">
        <f t="shared" si="4"/>
        <v>0.41769696969696968</v>
      </c>
      <c r="N89" t="str" cm="1">
        <f t="array" ref="N89">IFERROR(_xlfn.IFS(M89&gt;100%,"&gt;100%",AND(M89&lt;100%,M89&gt;70%),"&gt;70%",AND(M89&lt;70%,M89&gt;40%),"&gt;40%",AND(M89&lt;40%,M89&gt;0%),"&gt;0%"),"")</f>
        <v>&gt;40%</v>
      </c>
      <c r="O89" t="str">
        <f t="shared" si="5"/>
        <v>ISABEL BEJARANO</v>
      </c>
    </row>
    <row r="90" spans="1:15" x14ac:dyDescent="0.25">
      <c r="A90" t="s">
        <v>154</v>
      </c>
      <c r="B90" t="str">
        <f t="shared" si="3"/>
        <v/>
      </c>
      <c r="E90">
        <f>D1_FEBRERO[[#This Row],[RECUPERO]]/VLOOKUP(D1_FEBRERO[[#This Row],[SUPER]],D2_FEBRERO[#All],2,0)</f>
        <v>0</v>
      </c>
      <c r="F90" t="str">
        <f>D1_FEBRERO[[#This Row],[SUPER]]</f>
        <v>MELITA</v>
      </c>
      <c r="L90">
        <v>7</v>
      </c>
      <c r="M90" s="1">
        <f t="shared" si="4"/>
        <v>0.7533333333333333</v>
      </c>
      <c r="N90" t="str" cm="1">
        <f t="array" ref="N90">IFERROR(_xlfn.IFS(M90&gt;100%,"&gt;100%",AND(M90&lt;100%,M90&gt;70%),"&gt;70%",AND(M90&lt;70%,M90&gt;40%),"&gt;40%",AND(M90&lt;40%,M90&gt;0%),"&gt;0%"),"")</f>
        <v>&gt;70%</v>
      </c>
      <c r="O90" t="str">
        <f t="shared" si="5"/>
        <v>JANETH PORTOCARRERO</v>
      </c>
    </row>
    <row r="91" spans="1:15" x14ac:dyDescent="0.25">
      <c r="A91" t="s">
        <v>154</v>
      </c>
      <c r="B91" t="str">
        <f t="shared" si="3"/>
        <v/>
      </c>
      <c r="E91">
        <f>D1_FEBRERO[[#This Row],[RECUPERO]]/VLOOKUP(D1_FEBRERO[[#This Row],[SUPER]],D2_FEBRERO[#All],2,0)</f>
        <v>0</v>
      </c>
      <c r="F91" t="str">
        <f>D1_FEBRERO[[#This Row],[SUPER]]</f>
        <v>MELITA</v>
      </c>
      <c r="L91">
        <v>8</v>
      </c>
      <c r="M91" s="1">
        <f t="shared" si="4"/>
        <v>0.29459575757575757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JESSICA MELGAREJO</v>
      </c>
    </row>
    <row r="92" spans="1:15" x14ac:dyDescent="0.25">
      <c r="A92" t="s">
        <v>154</v>
      </c>
      <c r="B92" t="str">
        <f t="shared" si="3"/>
        <v/>
      </c>
      <c r="E92">
        <f>D1_FEBRERO[[#This Row],[RECUPERO]]/VLOOKUP(D1_FEBRERO[[#This Row],[SUPER]],D2_FEBRERO[#All],2,0)</f>
        <v>0</v>
      </c>
      <c r="F92" t="str">
        <f>D1_FEBRERO[[#This Row],[SUPER]]</f>
        <v>MELITA</v>
      </c>
      <c r="L92">
        <v>9</v>
      </c>
      <c r="M92" s="1">
        <f t="shared" si="4"/>
        <v>0.4498060606060606</v>
      </c>
      <c r="N92" t="str" cm="1">
        <f t="array" ref="N92">IFERROR(_xlfn.IFS(M92&gt;100%,"&gt;100%",AND(M92&lt;100%,M92&gt;70%),"&gt;70%",AND(M92&lt;70%,M92&gt;40%),"&gt;40%",AND(M92&lt;40%,M92&gt;0%),"&gt;0%"),"")</f>
        <v>&gt;40%</v>
      </c>
      <c r="O92" t="str">
        <f t="shared" si="5"/>
        <v>LINDA TUESTA</v>
      </c>
    </row>
    <row r="93" spans="1:15" x14ac:dyDescent="0.25">
      <c r="A93" t="s">
        <v>8</v>
      </c>
      <c r="B93" t="str">
        <f t="shared" si="3"/>
        <v/>
      </c>
      <c r="E93" t="e">
        <f>D1_FEBRERO[[#This Row],[RECUPERO]]/VLOOKUP(D1_FEBRERO[[#This Row],[SUPER]],D2_FEBRERO[#All],2,0)</f>
        <v>#N/A</v>
      </c>
      <c r="F93" t="str">
        <f>D1_FEBRERO[[#This Row],[SUPER]]</f>
        <v>BRYAN</v>
      </c>
      <c r="L93">
        <v>10</v>
      </c>
      <c r="M93" s="1">
        <f t="shared" si="4"/>
        <v>0.66487878787878785</v>
      </c>
      <c r="N93" t="str" cm="1">
        <f t="array" ref="N93">IFERROR(_xlfn.IFS(M93&gt;100%,"&gt;100%",AND(M93&lt;100%,M93&gt;70%),"&gt;70%",AND(M93&lt;70%,M93&gt;40%),"&gt;40%",AND(M93&lt;40%,M93&gt;0%),"&gt;0%"),"")</f>
        <v>&gt;40%</v>
      </c>
      <c r="O93" t="str">
        <f t="shared" si="5"/>
        <v>LUCERO JORDAN</v>
      </c>
    </row>
    <row r="94" spans="1:15" x14ac:dyDescent="0.25">
      <c r="A94" t="s">
        <v>8</v>
      </c>
      <c r="B94" t="str">
        <f t="shared" si="3"/>
        <v/>
      </c>
      <c r="E94" t="e">
        <f>D1_FEBRERO[[#This Row],[RECUPERO]]/VLOOKUP(D1_FEBRERO[[#This Row],[SUPER]],D2_FEBRERO[#All],2,0)</f>
        <v>#N/A</v>
      </c>
      <c r="F94" t="str">
        <f>D1_FEBRERO[[#This Row],[SUPER]]</f>
        <v>BRYAN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</row>
    <row r="95" spans="1:15" x14ac:dyDescent="0.25">
      <c r="A95" t="s">
        <v>8</v>
      </c>
      <c r="B95" t="str">
        <f t="shared" si="3"/>
        <v/>
      </c>
      <c r="E95" t="e">
        <f>D1_FEBRERO[[#This Row],[RECUPERO]]/VLOOKUP(D1_FEBRERO[[#This Row],[SUPER]],D2_FEBRERO[#All],2,0)</f>
        <v>#N/A</v>
      </c>
      <c r="F95" t="str">
        <f>D1_FEBRERO[[#This Row],[SUPER]]</f>
        <v>BRYAN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</row>
    <row r="96" spans="1:15" x14ac:dyDescent="0.25">
      <c r="A96" t="s">
        <v>8</v>
      </c>
      <c r="B96" t="str">
        <f t="shared" si="3"/>
        <v/>
      </c>
      <c r="E96" t="e">
        <f>D1_FEBRERO[[#This Row],[RECUPERO]]/VLOOKUP(D1_FEBRERO[[#This Row],[SUPER]],D2_FEBRERO[#All],2,0)</f>
        <v>#N/A</v>
      </c>
      <c r="F96" t="str">
        <f>D1_FEBRERO[[#This Row],[SUPER]]</f>
        <v>BRYAN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</row>
    <row r="97" spans="1:15" x14ac:dyDescent="0.25">
      <c r="A97" t="s">
        <v>8</v>
      </c>
      <c r="B97" t="str">
        <f t="shared" si="3"/>
        <v/>
      </c>
      <c r="E97" t="e">
        <f>D1_FEBRERO[[#This Row],[RECUPERO]]/VLOOKUP(D1_FEBRERO[[#This Row],[SUPER]],D2_FEBRERO[#All],2,0)</f>
        <v>#N/A</v>
      </c>
      <c r="F97" t="str">
        <f>D1_FEBRERO[[#This Row],[SUPER]]</f>
        <v>BRYAN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</row>
    <row r="98" spans="1:15" x14ac:dyDescent="0.25">
      <c r="A98" t="s">
        <v>8</v>
      </c>
      <c r="B98" t="str">
        <f t="shared" si="3"/>
        <v/>
      </c>
      <c r="E98" t="e">
        <f>D1_FEBRERO[[#This Row],[RECUPERO]]/VLOOKUP(D1_FEBRERO[[#This Row],[SUPER]],D2_FEBRERO[#All],2,0)</f>
        <v>#N/A</v>
      </c>
      <c r="F98" t="str">
        <f>D1_FEBRERO[[#This Row],[SUPER]]</f>
        <v>BRYAN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</row>
    <row r="99" spans="1:15" x14ac:dyDescent="0.25">
      <c r="A99" t="s">
        <v>8</v>
      </c>
      <c r="B99" t="str">
        <f t="shared" si="3"/>
        <v/>
      </c>
      <c r="E99" t="e">
        <f>D1_FEBRERO[[#This Row],[RECUPERO]]/VLOOKUP(D1_FEBRERO[[#This Row],[SUPER]],D2_FEBRERO[#All],2,0)</f>
        <v>#N/A</v>
      </c>
      <c r="F99" t="str">
        <f>D1_FEBRERO[[#This Row],[SUPER]]</f>
        <v>BRYAN</v>
      </c>
      <c r="L99">
        <v>1</v>
      </c>
      <c r="M99" s="1" t="e">
        <f t="shared" si="4"/>
        <v>#N/A</v>
      </c>
      <c r="N99" t="str" cm="1">
        <f t="array" ref="N99">IFERROR(_xlfn.IFS(M99&gt;100%,"&gt;100%",AND(M99&lt;100%,M99&gt;70%),"&gt;70%",AND(M99&lt;70%,M99&gt;40%),"&gt;40%",AND(M99&lt;40%,M99&gt;0%),"&gt;0%"),"")</f>
        <v/>
      </c>
      <c r="O99" t="str">
        <f t="shared" si="5"/>
        <v/>
      </c>
    </row>
    <row r="100" spans="1:15" x14ac:dyDescent="0.25">
      <c r="A100" t="s">
        <v>8</v>
      </c>
      <c r="B100" t="str">
        <f t="shared" si="3"/>
        <v/>
      </c>
      <c r="E100" t="e">
        <f>D1_FEBRERO[[#This Row],[RECUPERO]]/VLOOKUP(D1_FEBRERO[[#This Row],[SUPER]],D2_FEBRERO[#All],2,0)</f>
        <v>#N/A</v>
      </c>
      <c r="F100" t="str">
        <f>D1_FEBRERO[[#This Row],[SUPER]]</f>
        <v>BRYAN</v>
      </c>
      <c r="L100">
        <v>2</v>
      </c>
      <c r="M100" s="1" t="e">
        <f t="shared" si="4"/>
        <v>#N/A</v>
      </c>
      <c r="N100" t="str" cm="1">
        <f t="array" ref="N100">IFERROR(_xlfn.IFS(M100&gt;100%,"&gt;100%",AND(M100&lt;100%,M100&gt;70%),"&gt;70%",AND(M100&lt;70%,M100&gt;40%),"&gt;40%",AND(M100&lt;40%,M100&gt;0%),"&gt;0%"),"")</f>
        <v/>
      </c>
      <c r="O100" t="str">
        <f t="shared" si="5"/>
        <v/>
      </c>
    </row>
    <row r="101" spans="1:15" x14ac:dyDescent="0.25">
      <c r="A101" t="s">
        <v>8</v>
      </c>
      <c r="B101" t="str">
        <f t="shared" si="3"/>
        <v/>
      </c>
      <c r="E101" t="e">
        <f>D1_FEBRERO[[#This Row],[RECUPERO]]/VLOOKUP(D1_FEBRERO[[#This Row],[SUPER]],D2_FEBRERO[#All],2,0)</f>
        <v>#N/A</v>
      </c>
      <c r="F101" t="str">
        <f>D1_FEBRERO[[#This Row],[SUPER]]</f>
        <v>BRYAN</v>
      </c>
      <c r="L101">
        <v>3</v>
      </c>
      <c r="M101" s="1" t="e">
        <f t="shared" si="4"/>
        <v>#N/A</v>
      </c>
      <c r="N101" t="str" cm="1">
        <f t="array" ref="N101">IFERROR(_xlfn.IFS(M101&gt;100%,"&gt;100%",AND(M101&lt;100%,M101&gt;70%),"&gt;70%",AND(M101&lt;70%,M101&gt;40%),"&gt;40%",AND(M101&lt;40%,M101&gt;0%),"&gt;0%"),"")</f>
        <v/>
      </c>
      <c r="O101" t="str">
        <f t="shared" si="5"/>
        <v/>
      </c>
    </row>
    <row r="102" spans="1:15" x14ac:dyDescent="0.25">
      <c r="A102" t="s">
        <v>8</v>
      </c>
      <c r="B102" t="str">
        <f t="shared" si="3"/>
        <v/>
      </c>
      <c r="E102" t="e">
        <f>D1_FEBRERO[[#This Row],[RECUPERO]]/VLOOKUP(D1_FEBRERO[[#This Row],[SUPER]],D2_FEBRERO[#All],2,0)</f>
        <v>#N/A</v>
      </c>
      <c r="F102" t="str">
        <f>D1_FEBRERO[[#This Row],[SUPER]]</f>
        <v>BRYAN</v>
      </c>
      <c r="L102">
        <v>4</v>
      </c>
      <c r="M102" s="1" t="e">
        <f t="shared" si="4"/>
        <v>#N/A</v>
      </c>
      <c r="N102" t="str" cm="1">
        <f t="array" ref="N102">IFERROR(_xlfn.IFS(M102&gt;100%,"&gt;100%",AND(M102&lt;100%,M102&gt;70%),"&gt;70%",AND(M102&lt;70%,M102&gt;40%),"&gt;40%",AND(M102&lt;40%,M102&gt;0%),"&gt;0%"),"")</f>
        <v/>
      </c>
      <c r="O102" t="str">
        <f t="shared" si="5"/>
        <v/>
      </c>
    </row>
    <row r="103" spans="1:15" x14ac:dyDescent="0.25">
      <c r="A103" t="s">
        <v>8</v>
      </c>
      <c r="B103" t="str">
        <f t="shared" si="3"/>
        <v/>
      </c>
      <c r="E103" t="e">
        <f>D1_FEBRERO[[#This Row],[RECUPERO]]/VLOOKUP(D1_FEBRERO[[#This Row],[SUPER]],D2_FEBRERO[#All],2,0)</f>
        <v>#N/A</v>
      </c>
      <c r="F103" t="str">
        <f>D1_FEBRERO[[#This Row],[SUPER]]</f>
        <v>BRYAN</v>
      </c>
      <c r="L103">
        <v>5</v>
      </c>
      <c r="M103" s="1" t="e">
        <f t="shared" si="4"/>
        <v>#N/A</v>
      </c>
      <c r="N103" t="str" cm="1">
        <f t="array" ref="N103">IFERROR(_xlfn.IFS(M103&gt;100%,"&gt;100%",AND(M103&lt;100%,M103&gt;70%),"&gt;70%",AND(M103&lt;70%,M103&gt;40%),"&gt;40%",AND(M103&lt;40%,M103&gt;0%),"&gt;0%"),"")</f>
        <v/>
      </c>
      <c r="O103" t="str">
        <f t="shared" si="5"/>
        <v/>
      </c>
    </row>
    <row r="104" spans="1:15" x14ac:dyDescent="0.25">
      <c r="A104" t="s">
        <v>8</v>
      </c>
      <c r="B104" t="str">
        <f t="shared" si="3"/>
        <v/>
      </c>
      <c r="E104" t="e">
        <f>D1_FEBRERO[[#This Row],[RECUPERO]]/VLOOKUP(D1_FEBRERO[[#This Row],[SUPER]],D2_FEBRERO[#All],2,0)</f>
        <v>#N/A</v>
      </c>
      <c r="F104" t="str">
        <f>D1_FEBRERO[[#This Row],[SUPER]]</f>
        <v>BRYAN</v>
      </c>
      <c r="L104">
        <v>6</v>
      </c>
      <c r="M104" s="1" t="e">
        <f t="shared" si="4"/>
        <v>#N/A</v>
      </c>
      <c r="N104" t="str" cm="1">
        <f t="array" ref="N104">IFERROR(_xlfn.IFS(M104&gt;100%,"&gt;100%",AND(M104&lt;100%,M104&gt;70%),"&gt;70%",AND(M104&lt;70%,M104&gt;40%),"&gt;40%",AND(M104&lt;40%,M104&gt;0%),"&gt;0%"),"")</f>
        <v/>
      </c>
      <c r="O104" t="str">
        <f t="shared" si="5"/>
        <v/>
      </c>
    </row>
    <row r="105" spans="1:15" x14ac:dyDescent="0.25">
      <c r="A105" t="s">
        <v>8</v>
      </c>
      <c r="B105" t="str">
        <f t="shared" si="3"/>
        <v/>
      </c>
      <c r="E105" t="e">
        <f>D1_FEBRERO[[#This Row],[RECUPERO]]/VLOOKUP(D1_FEBRERO[[#This Row],[SUPER]],D2_FEBRERO[#All],2,0)</f>
        <v>#N/A</v>
      </c>
      <c r="F105" t="str">
        <f>D1_FEBRERO[[#This Row],[SUPER]]</f>
        <v>BRYAN</v>
      </c>
      <c r="L105">
        <v>7</v>
      </c>
      <c r="M105" s="1" t="e">
        <f t="shared" si="4"/>
        <v>#N/A</v>
      </c>
      <c r="N105" t="str" cm="1">
        <f t="array" ref="N105">IFERROR(_xlfn.IFS(M105&gt;100%,"&gt;100%",AND(M105&lt;100%,M105&gt;70%),"&gt;70%",AND(M105&lt;70%,M105&gt;40%),"&gt;40%",AND(M105&lt;40%,M105&gt;0%),"&gt;0%"),"")</f>
        <v/>
      </c>
      <c r="O105" t="str">
        <f t="shared" si="5"/>
        <v/>
      </c>
    </row>
    <row r="106" spans="1:15" x14ac:dyDescent="0.25">
      <c r="A106" t="s">
        <v>8</v>
      </c>
      <c r="B106" t="str">
        <f t="shared" si="3"/>
        <v/>
      </c>
      <c r="E106" t="e">
        <f>D1_FEBRERO[[#This Row],[RECUPERO]]/VLOOKUP(D1_FEBRERO[[#This Row],[SUPER]],D2_FEBRERO[#All],2,0)</f>
        <v>#N/A</v>
      </c>
      <c r="F106" t="str">
        <f>D1_FEBRERO[[#This Row],[SUPER]]</f>
        <v>BRYAN</v>
      </c>
      <c r="L106">
        <v>8</v>
      </c>
      <c r="M106" s="1" t="e">
        <f t="shared" si="4"/>
        <v>#N/A</v>
      </c>
      <c r="N106" t="str" cm="1">
        <f t="array" ref="N106">IFERROR(_xlfn.IFS(M106&gt;100%,"&gt;100%",AND(M106&lt;100%,M106&gt;70%),"&gt;70%",AND(M106&lt;70%,M106&gt;40%),"&gt;40%",AND(M106&lt;40%,M106&gt;0%),"&gt;0%"),"")</f>
        <v/>
      </c>
      <c r="O106" t="str">
        <f t="shared" si="5"/>
        <v/>
      </c>
    </row>
    <row r="107" spans="1:15" x14ac:dyDescent="0.25">
      <c r="A107" t="s">
        <v>8</v>
      </c>
      <c r="B107" t="str">
        <f t="shared" si="3"/>
        <v/>
      </c>
      <c r="E107" t="e">
        <f>D1_FEBRERO[[#This Row],[RECUPERO]]/VLOOKUP(D1_FEBRERO[[#This Row],[SUPER]],D2_FEBRERO[#All],2,0)</f>
        <v>#N/A</v>
      </c>
      <c r="F107" t="str">
        <f>D1_FEBRERO[[#This Row],[SUPER]]</f>
        <v>BRYAN</v>
      </c>
      <c r="L107">
        <v>9</v>
      </c>
      <c r="M107" s="1" t="e">
        <f t="shared" si="4"/>
        <v>#N/A</v>
      </c>
      <c r="N107" t="str" cm="1">
        <f t="array" ref="N107">IFERROR(_xlfn.IFS(M107&gt;100%,"&gt;100%",AND(M107&lt;100%,M107&gt;70%),"&gt;70%",AND(M107&lt;70%,M107&gt;40%),"&gt;40%",AND(M107&lt;40%,M107&gt;0%),"&gt;0%"),"")</f>
        <v/>
      </c>
      <c r="O107" t="str">
        <f t="shared" si="5"/>
        <v/>
      </c>
    </row>
    <row r="108" spans="1:15" x14ac:dyDescent="0.25">
      <c r="A108" t="s">
        <v>9</v>
      </c>
      <c r="B108" t="str">
        <f t="shared" si="3"/>
        <v>ALEJANDRA AVILA</v>
      </c>
      <c r="C108" t="s">
        <v>21</v>
      </c>
      <c r="D108">
        <v>14410</v>
      </c>
      <c r="E108">
        <f>D1_FEBRERO[[#This Row],[RECUPERO]]/VLOOKUP(D1_FEBRERO[[#This Row],[SUPER]],D2_FEBRERO[#All],2,0)</f>
        <v>0.68619047619047624</v>
      </c>
      <c r="F108" t="str">
        <f>D1_FEBRERO[[#This Row],[SUPER]]</f>
        <v>LUIS</v>
      </c>
      <c r="L108">
        <v>10</v>
      </c>
      <c r="M108" s="1" t="e">
        <f t="shared" si="4"/>
        <v>#N/A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5"/>
        <v/>
      </c>
    </row>
    <row r="109" spans="1:15" x14ac:dyDescent="0.25">
      <c r="A109" t="s">
        <v>9</v>
      </c>
      <c r="B109" t="str">
        <f t="shared" si="3"/>
        <v>ANDERSON RODRIGUEZ</v>
      </c>
      <c r="C109" t="s">
        <v>15</v>
      </c>
      <c r="D109">
        <v>17218</v>
      </c>
      <c r="E109">
        <f>D1_FEBRERO[[#This Row],[RECUPERO]]/VLOOKUP(D1_FEBRERO[[#This Row],[SUPER]],D2_FEBRERO[#All],2,0)</f>
        <v>0.81990476190476191</v>
      </c>
      <c r="F109" t="str">
        <f>D1_FEBRERO[[#This Row],[SUPER]]</f>
        <v>LUIS</v>
      </c>
      <c r="L109">
        <v>11</v>
      </c>
      <c r="M109" s="1" t="e">
        <f t="shared" si="4"/>
        <v>#N/A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</row>
    <row r="110" spans="1:15" x14ac:dyDescent="0.25">
      <c r="A110" t="s">
        <v>9</v>
      </c>
      <c r="B110" t="str">
        <f t="shared" si="3"/>
        <v>CRISTINA TICONA</v>
      </c>
      <c r="C110" t="s">
        <v>61</v>
      </c>
      <c r="D110">
        <v>7998</v>
      </c>
      <c r="E110">
        <f>D1_FEBRERO[[#This Row],[RECUPERO]]/VLOOKUP(D1_FEBRERO[[#This Row],[SUPER]],D2_FEBRERO[#All],2,0)</f>
        <v>0.38085714285714284</v>
      </c>
      <c r="F110" t="str">
        <f>D1_FEBRERO[[#This Row],[SUPER]]</f>
        <v>LUIS</v>
      </c>
      <c r="L110">
        <v>12</v>
      </c>
      <c r="M110" s="1" t="e">
        <f t="shared" si="4"/>
        <v>#N/A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</row>
    <row r="111" spans="1:15" x14ac:dyDescent="0.25">
      <c r="A111" t="s">
        <v>9</v>
      </c>
      <c r="B111" t="str">
        <f t="shared" si="3"/>
        <v>GABRIELA APONTE</v>
      </c>
      <c r="C111" t="s">
        <v>27</v>
      </c>
      <c r="D111">
        <v>10121.5</v>
      </c>
      <c r="E111">
        <f>D1_FEBRERO[[#This Row],[RECUPERO]]/VLOOKUP(D1_FEBRERO[[#This Row],[SUPER]],D2_FEBRERO[#All],2,0)</f>
        <v>0.4819761904761905</v>
      </c>
      <c r="F111" t="str">
        <f>D1_FEBRERO[[#This Row],[SUPER]]</f>
        <v>LUIS</v>
      </c>
      <c r="L111">
        <v>13</v>
      </c>
      <c r="M111" s="1" t="e">
        <f t="shared" si="4"/>
        <v>#N/A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</row>
    <row r="112" spans="1:15" x14ac:dyDescent="0.25">
      <c r="A112" t="s">
        <v>9</v>
      </c>
      <c r="B112" t="str">
        <f t="shared" si="3"/>
        <v>GERALDINE ARROYO</v>
      </c>
      <c r="C112" t="s">
        <v>51</v>
      </c>
      <c r="D112">
        <v>6400</v>
      </c>
      <c r="E112">
        <f>D1_FEBRERO[[#This Row],[RECUPERO]]/VLOOKUP(D1_FEBRERO[[#This Row],[SUPER]],D2_FEBRERO[#All],2,0)</f>
        <v>0.30476190476190479</v>
      </c>
      <c r="F112" t="str">
        <f>D1_FEBRERO[[#This Row],[SUPER]]</f>
        <v>LUIS</v>
      </c>
      <c r="L112">
        <v>14</v>
      </c>
      <c r="M112" s="1" t="e">
        <f t="shared" si="4"/>
        <v>#N/A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</row>
    <row r="113" spans="1:15" x14ac:dyDescent="0.25">
      <c r="A113" t="s">
        <v>9</v>
      </c>
      <c r="B113" t="str">
        <f t="shared" si="3"/>
        <v>GIULIANA QUISPE</v>
      </c>
      <c r="C113" t="s">
        <v>71</v>
      </c>
      <c r="D113">
        <v>8830</v>
      </c>
      <c r="E113">
        <f>D1_FEBRERO[[#This Row],[RECUPERO]]/VLOOKUP(D1_FEBRERO[[#This Row],[SUPER]],D2_FEBRERO[#All],2,0)</f>
        <v>0.4204761904761905</v>
      </c>
      <c r="F113" t="str">
        <f>D1_FEBRERO[[#This Row],[SUPER]]</f>
        <v>LUIS</v>
      </c>
      <c r="L113">
        <v>15</v>
      </c>
      <c r="M113" s="1" t="e">
        <f t="shared" si="4"/>
        <v>#N/A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</row>
    <row r="114" spans="1:15" x14ac:dyDescent="0.25">
      <c r="A114" t="s">
        <v>9</v>
      </c>
      <c r="B114" t="str">
        <f t="shared" si="3"/>
        <v>HAROLD FLORES</v>
      </c>
      <c r="C114" t="s">
        <v>42</v>
      </c>
      <c r="D114">
        <v>6476.55</v>
      </c>
      <c r="E114">
        <f>D1_FEBRERO[[#This Row],[RECUPERO]]/VLOOKUP(D1_FEBRERO[[#This Row],[SUPER]],D2_FEBRERO[#All],2,0)</f>
        <v>0.30840714285714288</v>
      </c>
      <c r="F114" t="str">
        <f>D1_FEBRERO[[#This Row],[SUPER]]</f>
        <v>LUIS</v>
      </c>
      <c r="L114">
        <v>1</v>
      </c>
      <c r="M114" s="1">
        <f t="shared" si="4"/>
        <v>0.68619047619047624</v>
      </c>
      <c r="N114" t="str" cm="1">
        <f t="array" ref="N114">IFERROR(_xlfn.IFS(M114&gt;100%,"&gt;100%",AND(M114&lt;100%,M114&gt;70%),"&gt;70%",AND(M114&lt;70%,M114&gt;40%),"&gt;40%",AND(M114&lt;40%,M114&gt;0%),"&gt;0%"),"")</f>
        <v>&gt;40%</v>
      </c>
      <c r="O114" t="str">
        <f t="shared" si="5"/>
        <v>ALEJANDRA AVILA</v>
      </c>
    </row>
    <row r="115" spans="1:15" x14ac:dyDescent="0.25">
      <c r="A115" t="s">
        <v>9</v>
      </c>
      <c r="B115" t="str">
        <f t="shared" si="3"/>
        <v>MARCELIT LOPEZ</v>
      </c>
      <c r="C115" t="s">
        <v>160</v>
      </c>
      <c r="D115">
        <v>15658</v>
      </c>
      <c r="E115">
        <f>D1_FEBRERO[[#This Row],[RECUPERO]]/VLOOKUP(D1_FEBRERO[[#This Row],[SUPER]],D2_FEBRERO[#All],2,0)</f>
        <v>0.74561904761904763</v>
      </c>
      <c r="F115" t="str">
        <f>D1_FEBRERO[[#This Row],[SUPER]]</f>
        <v>LUIS</v>
      </c>
      <c r="L115">
        <v>2</v>
      </c>
      <c r="M115" s="1">
        <f t="shared" si="4"/>
        <v>0.81990476190476191</v>
      </c>
      <c r="N115" t="str" cm="1">
        <f t="array" ref="N115">IFERROR(_xlfn.IFS(M115&gt;100%,"&gt;100%",AND(M115&lt;100%,M115&gt;70%),"&gt;70%",AND(M115&lt;70%,M115&gt;40%),"&gt;40%",AND(M115&lt;40%,M115&gt;0%),"&gt;0%"),"")</f>
        <v>&gt;70%</v>
      </c>
      <c r="O115" t="str">
        <f t="shared" si="5"/>
        <v>ANDERSON RODRIGUEZ</v>
      </c>
    </row>
    <row r="116" spans="1:15" x14ac:dyDescent="0.25">
      <c r="A116" t="s">
        <v>9</v>
      </c>
      <c r="B116" t="str">
        <f t="shared" si="3"/>
        <v>ROCIO TERRONES</v>
      </c>
      <c r="C116" t="s">
        <v>128</v>
      </c>
      <c r="D116">
        <v>9814.1</v>
      </c>
      <c r="E116">
        <f>D1_FEBRERO[[#This Row],[RECUPERO]]/VLOOKUP(D1_FEBRERO[[#This Row],[SUPER]],D2_FEBRERO[#All],2,0)</f>
        <v>0.46733809523809527</v>
      </c>
      <c r="F116" t="str">
        <f>D1_FEBRERO[[#This Row],[SUPER]]</f>
        <v>LUIS</v>
      </c>
      <c r="L116">
        <v>3</v>
      </c>
      <c r="M116" s="1">
        <f t="shared" si="4"/>
        <v>0.38085714285714284</v>
      </c>
      <c r="N116" t="str" cm="1">
        <f t="array" ref="N116">IFERROR(_xlfn.IFS(M116&gt;100%,"&gt;100%",AND(M116&lt;100%,M116&gt;70%),"&gt;70%",AND(M116&lt;70%,M116&gt;40%),"&gt;40%",AND(M116&lt;40%,M116&gt;0%),"&gt;0%"),"")</f>
        <v>&gt;0%</v>
      </c>
      <c r="O116" t="str">
        <f t="shared" si="5"/>
        <v>CRISTINA TICONA</v>
      </c>
    </row>
    <row r="117" spans="1:15" x14ac:dyDescent="0.25">
      <c r="A117" t="s">
        <v>9</v>
      </c>
      <c r="B117" t="str">
        <f t="shared" si="3"/>
        <v>SARITA GARAY</v>
      </c>
      <c r="C117" t="s">
        <v>73</v>
      </c>
      <c r="D117">
        <v>8780</v>
      </c>
      <c r="E117">
        <f>D1_FEBRERO[[#This Row],[RECUPERO]]/VLOOKUP(D1_FEBRERO[[#This Row],[SUPER]],D2_FEBRERO[#All],2,0)</f>
        <v>0.41809523809523808</v>
      </c>
      <c r="F117" t="str">
        <f>D1_FEBRERO[[#This Row],[SUPER]]</f>
        <v>LUIS</v>
      </c>
      <c r="L117">
        <v>4</v>
      </c>
      <c r="M117" s="1">
        <f t="shared" si="4"/>
        <v>0.4819761904761905</v>
      </c>
      <c r="N117" t="str" cm="1">
        <f t="array" ref="N117">IFERROR(_xlfn.IFS(M117&gt;100%,"&gt;100%",AND(M117&lt;100%,M117&gt;70%),"&gt;70%",AND(M117&lt;70%,M117&gt;40%),"&gt;40%",AND(M117&lt;40%,M117&gt;0%),"&gt;0%"),"")</f>
        <v>&gt;40%</v>
      </c>
      <c r="O117" t="str">
        <f t="shared" si="5"/>
        <v>GABRIELA APONTE</v>
      </c>
    </row>
    <row r="118" spans="1:15" x14ac:dyDescent="0.25">
      <c r="A118" t="s">
        <v>9</v>
      </c>
      <c r="B118" t="str">
        <f t="shared" si="3"/>
        <v>VERONICA HUARCA</v>
      </c>
      <c r="C118" t="s">
        <v>48</v>
      </c>
      <c r="D118">
        <v>5820</v>
      </c>
      <c r="E118">
        <f>D1_FEBRERO[[#This Row],[RECUPERO]]/VLOOKUP(D1_FEBRERO[[#This Row],[SUPER]],D2_FEBRERO[#All],2,0)</f>
        <v>0.27714285714285714</v>
      </c>
      <c r="F118" t="str">
        <f>D1_FEBRERO[[#This Row],[SUPER]]</f>
        <v>LUIS</v>
      </c>
      <c r="L118">
        <v>5</v>
      </c>
      <c r="M118" s="1">
        <f t="shared" si="4"/>
        <v>0.30476190476190479</v>
      </c>
      <c r="N118" t="str" cm="1">
        <f t="array" ref="N118">IFERROR(_xlfn.IFS(M118&gt;100%,"&gt;100%",AND(M118&lt;100%,M118&gt;70%),"&gt;70%",AND(M118&lt;70%,M118&gt;40%),"&gt;40%",AND(M118&lt;40%,M118&gt;0%),"&gt;0%"),"")</f>
        <v>&gt;0%</v>
      </c>
      <c r="O118" t="str">
        <f t="shared" si="5"/>
        <v>GERALDINE ARROYO</v>
      </c>
    </row>
    <row r="119" spans="1:15" x14ac:dyDescent="0.25">
      <c r="A119" t="s">
        <v>9</v>
      </c>
      <c r="B119" t="str">
        <f t="shared" si="3"/>
        <v/>
      </c>
      <c r="E119">
        <f>D1_FEBRERO[[#This Row],[RECUPERO]]/VLOOKUP(D1_FEBRERO[[#This Row],[SUPER]],D2_FEBRERO[#All],2,0)</f>
        <v>0</v>
      </c>
      <c r="F119" t="str">
        <f>D1_FEBRERO[[#This Row],[SUPER]]</f>
        <v>LUIS</v>
      </c>
      <c r="L119">
        <v>6</v>
      </c>
      <c r="M119" s="1">
        <f t="shared" si="4"/>
        <v>0.4204761904761905</v>
      </c>
      <c r="N119" t="str" cm="1">
        <f t="array" ref="N119">IFERROR(_xlfn.IFS(M119&gt;100%,"&gt;100%",AND(M119&lt;100%,M119&gt;70%),"&gt;70%",AND(M119&lt;70%,M119&gt;40%),"&gt;40%",AND(M119&lt;40%,M119&gt;0%),"&gt;0%"),"")</f>
        <v>&gt;40%</v>
      </c>
      <c r="O119" t="str">
        <f t="shared" si="5"/>
        <v>GIULIANA QUISPE</v>
      </c>
    </row>
    <row r="120" spans="1:15" x14ac:dyDescent="0.25">
      <c r="A120" t="s">
        <v>9</v>
      </c>
      <c r="B120" t="str">
        <f t="shared" si="3"/>
        <v/>
      </c>
      <c r="E120">
        <f>D1_FEBRERO[[#This Row],[RECUPERO]]/VLOOKUP(D1_FEBRERO[[#This Row],[SUPER]],D2_FEBRERO[#All],2,0)</f>
        <v>0</v>
      </c>
      <c r="F120" t="str">
        <f>D1_FEBRERO[[#This Row],[SUPER]]</f>
        <v>LUIS</v>
      </c>
      <c r="L120">
        <v>7</v>
      </c>
      <c r="M120" s="1">
        <f t="shared" si="4"/>
        <v>0.30840714285714288</v>
      </c>
      <c r="N120" t="str" cm="1">
        <f t="array" ref="N120">IFERROR(_xlfn.IFS(M120&gt;100%,"&gt;100%",AND(M120&lt;100%,M120&gt;70%),"&gt;70%",AND(M120&lt;70%,M120&gt;40%),"&gt;40%",AND(M120&lt;40%,M120&gt;0%),"&gt;0%"),"")</f>
        <v>&gt;0%</v>
      </c>
      <c r="O120" t="str">
        <f t="shared" si="5"/>
        <v>HAROLD FLORES</v>
      </c>
    </row>
    <row r="121" spans="1:15" x14ac:dyDescent="0.25">
      <c r="A121" t="s">
        <v>9</v>
      </c>
      <c r="B121" t="str">
        <f t="shared" si="3"/>
        <v/>
      </c>
      <c r="E121">
        <f>D1_FEBRERO[[#This Row],[RECUPERO]]/VLOOKUP(D1_FEBRERO[[#This Row],[SUPER]],D2_FEBRERO[#All],2,0)</f>
        <v>0</v>
      </c>
      <c r="F121" t="str">
        <f>D1_FEBRERO[[#This Row],[SUPER]]</f>
        <v>LUIS</v>
      </c>
      <c r="L121">
        <v>8</v>
      </c>
      <c r="M121" s="1">
        <f t="shared" si="4"/>
        <v>0.74561904761904763</v>
      </c>
      <c r="N121" t="str" cm="1">
        <f t="array" ref="N121">IFERROR(_xlfn.IFS(M121&gt;100%,"&gt;100%",AND(M121&lt;100%,M121&gt;70%),"&gt;70%",AND(M121&lt;70%,M121&gt;40%),"&gt;40%",AND(M121&lt;40%,M121&gt;0%),"&gt;0%"),"")</f>
        <v>&gt;70%</v>
      </c>
      <c r="O121" t="str">
        <f t="shared" si="5"/>
        <v>MARCELIT LOPEZ</v>
      </c>
    </row>
    <row r="122" spans="1:15" x14ac:dyDescent="0.25">
      <c r="A122" t="s">
        <v>9</v>
      </c>
      <c r="B122" t="str">
        <f t="shared" si="3"/>
        <v/>
      </c>
      <c r="E122">
        <f>D1_FEBRERO[[#This Row],[RECUPERO]]/VLOOKUP(D1_FEBRERO[[#This Row],[SUPER]],D2_FEBRERO[#All],2,0)</f>
        <v>0</v>
      </c>
      <c r="F122" t="str">
        <f>D1_FEBRERO[[#This Row],[SUPER]]</f>
        <v>LUIS</v>
      </c>
      <c r="L122">
        <v>9</v>
      </c>
      <c r="M122" s="1">
        <f t="shared" si="4"/>
        <v>0.46733809523809527</v>
      </c>
      <c r="N122" t="str" cm="1">
        <f t="array" ref="N122">IFERROR(_xlfn.IFS(M122&gt;100%,"&gt;100%",AND(M122&lt;100%,M122&gt;70%),"&gt;70%",AND(M122&lt;70%,M122&gt;40%),"&gt;40%",AND(M122&lt;40%,M122&gt;0%),"&gt;0%"),"")</f>
        <v>&gt;40%</v>
      </c>
      <c r="O122" t="str">
        <f t="shared" si="5"/>
        <v>ROCIO TERRONES</v>
      </c>
    </row>
    <row r="123" spans="1:15" x14ac:dyDescent="0.25">
      <c r="L123">
        <v>10</v>
      </c>
      <c r="M123" s="1">
        <f t="shared" si="4"/>
        <v>0.41809523809523808</v>
      </c>
      <c r="N123" t="str" cm="1">
        <f t="array" ref="N123">IFERROR(_xlfn.IFS(M123&gt;100%,"&gt;100%",AND(M123&lt;100%,M123&gt;70%),"&gt;70%",AND(M123&lt;70%,M123&gt;40%),"&gt;40%",AND(M123&lt;40%,M123&gt;0%),"&gt;0%"),"")</f>
        <v>&gt;40%</v>
      </c>
      <c r="O123" t="str">
        <f t="shared" si="5"/>
        <v>SARITA GARAY</v>
      </c>
    </row>
    <row r="124" spans="1:15" x14ac:dyDescent="0.25">
      <c r="L124">
        <v>11</v>
      </c>
      <c r="M124" s="1">
        <f t="shared" si="4"/>
        <v>0.27714285714285714</v>
      </c>
      <c r="N124" t="str" cm="1">
        <f t="array" ref="N124">IFERROR(_xlfn.IFS(M124&gt;100%,"&gt;100%",AND(M124&lt;100%,M124&gt;70%),"&gt;70%",AND(M124&lt;70%,M124&gt;40%),"&gt;40%",AND(M124&lt;40%,M124&gt;0%),"&gt;0%"),"")</f>
        <v>&gt;0%</v>
      </c>
      <c r="O124" t="str">
        <f t="shared" si="5"/>
        <v>VERONICA HUARCA</v>
      </c>
    </row>
    <row r="125" spans="1:15" x14ac:dyDescent="0.25">
      <c r="L125">
        <v>12</v>
      </c>
      <c r="M125" s="1">
        <f t="shared" si="4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5"/>
        <v/>
      </c>
    </row>
    <row r="126" spans="1:15" x14ac:dyDescent="0.25">
      <c r="L126">
        <v>13</v>
      </c>
      <c r="M126" s="1">
        <f t="shared" si="4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5"/>
        <v/>
      </c>
    </row>
    <row r="127" spans="1:15" x14ac:dyDescent="0.25">
      <c r="L127">
        <v>14</v>
      </c>
      <c r="M127" s="1">
        <f t="shared" si="4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5"/>
        <v/>
      </c>
    </row>
    <row r="128" spans="1:15" x14ac:dyDescent="0.25">
      <c r="L128">
        <v>15</v>
      </c>
      <c r="M128" s="1">
        <f t="shared" si="4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5"/>
        <v/>
      </c>
    </row>
    <row r="129" spans="12:15" x14ac:dyDescent="0.25">
      <c r="L129" s="22">
        <v>1</v>
      </c>
      <c r="M129" s="23">
        <f>IFERROR(IF(VLOOKUP("&gt;100%",N9:O128,2,0)&lt;&gt;"",0,100.01%),100.01%)</f>
        <v>0</v>
      </c>
      <c r="N129" s="22" t="str" cm="1">
        <f t="array" ref="N129">IFERROR(_xlfn.IFS(M129&gt;100%,"&gt;100%",AND(M129&lt;100%,M129&gt;70%),"&gt;70%",AND(M129&lt;70%,M129&gt;40%),"&gt;40%",AND(M129&lt;40%,M129&gt;0%),"&gt;0%"),"")</f>
        <v/>
      </c>
      <c r="O129" s="22" t="str">
        <f>IF(DATAFEBRERO[[#This Row],[CLASIFICACIÓN]]="","","SIN APLICACIONES")</f>
        <v/>
      </c>
    </row>
    <row r="130" spans="12:15" x14ac:dyDescent="0.25">
      <c r="L130" s="22">
        <v>2</v>
      </c>
      <c r="M130" s="23">
        <f>IFERROR(IF(VLOOKUP("&gt;70%",N9:O128,2,0)&lt;&gt;"",0,70.01%),70.01%)</f>
        <v>0</v>
      </c>
      <c r="N130" s="22" t="str" cm="1">
        <f t="array" ref="N130">IFERROR(_xlfn.IFS(M130&gt;100%,"&gt;100%",AND(M130&lt;100%,M130&gt;70%),"&gt;70%",AND(M130&lt;70%,M130&gt;40%),"&gt;40%",AND(M130&lt;40%,M130&gt;0%),"&gt;0%"),"")</f>
        <v/>
      </c>
      <c r="O130" s="22" t="str">
        <f>IF(DATAFEBRERO[[#This Row],[CLASIFICACIÓN]]="","","SIN APLICACIONES")</f>
        <v/>
      </c>
    </row>
    <row r="131" spans="12:15" x14ac:dyDescent="0.25">
      <c r="L131" s="22">
        <v>3</v>
      </c>
      <c r="M131" s="23">
        <f>IFERROR(IF(VLOOKUP("&gt;40%",N9:O128,2,0)&lt;&gt;"",0,40.01%),40.01%)</f>
        <v>0</v>
      </c>
      <c r="N131" s="22" t="str" cm="1">
        <f t="array" ref="N131">IFERROR(_xlfn.IFS(M131&gt;100%,"&gt;100%",AND(M131&lt;100%,M131&gt;70%),"&gt;70%",AND(M131&lt;70%,M131&gt;40%),"&gt;40%",AND(M131&lt;40%,M131&gt;0%),"&gt;0%"),"")</f>
        <v/>
      </c>
      <c r="O131" s="22" t="str">
        <f>IF(DATAFEBRERO[[#This Row],[CLASIFICACIÓN]]="","","SIN APLICACIONES")</f>
        <v/>
      </c>
    </row>
  </sheetData>
  <mergeCells count="5">
    <mergeCell ref="R1:AA3"/>
    <mergeCell ref="R5:S5"/>
    <mergeCell ref="U5:V5"/>
    <mergeCell ref="X5:Y5"/>
    <mergeCell ref="AA5:AB5"/>
  </mergeCells>
  <conditionalFormatting pivot="1" sqref="S8: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20">
    <cfRule type="colorScale" priority="8">
      <colorScale>
        <cfvo type="min"/>
        <cfvo type="max"/>
        <color rgb="FFFCFCFF"/>
        <color rgb="FF63BE7B"/>
      </colorScale>
    </cfRule>
  </conditionalFormatting>
  <conditionalFormatting pivot="1" sqref="AB8:AB2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21">
    <cfRule type="colorScale" priority="7">
      <colorScale>
        <cfvo type="min"/>
        <cfvo type="max"/>
        <color rgb="FFFCFCFF"/>
        <color rgb="FFFFFF00"/>
      </colorScale>
    </cfRule>
  </conditionalFormatting>
  <conditionalFormatting pivot="1" sqref="Y8:Y33">
    <cfRule type="colorScale" priority="6">
      <colorScale>
        <cfvo type="min"/>
        <cfvo type="max"/>
        <color rgb="FFFCFCFF"/>
        <color rgb="FFFFC000"/>
      </colorScale>
    </cfRule>
  </conditionalFormatting>
  <conditionalFormatting pivot="1" sqref="AB8:AB24">
    <cfRule type="colorScale" priority="4">
      <colorScale>
        <cfvo type="min"/>
        <cfvo type="max"/>
        <color rgb="FFFCFCFF"/>
        <color rgb="FFF8696B"/>
      </colorScale>
    </cfRule>
  </conditionalFormatting>
  <conditionalFormatting sqref="R1:R85">
    <cfRule type="containsText" dxfId="347" priority="1" operator="containsText" text="SIN APLICACIONES">
      <formula>NOT(ISERROR(SEARCH("SIN APLICACIONES",R1)))</formula>
    </cfRule>
  </conditionalFormatting>
  <conditionalFormatting sqref="U1:U85">
    <cfRule type="containsText" dxfId="346" priority="2" operator="containsText" text="SIN APLICACIONES">
      <formula>NOT(ISERROR(SEARCH("SIN APLICACIONES",U1)))</formula>
    </cfRule>
  </conditionalFormatting>
  <conditionalFormatting sqref="X1:X85">
    <cfRule type="containsText" dxfId="345" priority="3" operator="containsText" text="SIN APLICACIONES">
      <formula>NOT(ISERROR(SEARCH("SIN APLICACIONES",X1)))</formula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1:AB131"/>
  <sheetViews>
    <sheetView topLeftCell="Q1" zoomScale="85" zoomScaleNormal="85" workbookViewId="0">
      <selection activeCell="T16" sqref="A1:AB16"/>
    </sheetView>
  </sheetViews>
  <sheetFormatPr baseColWidth="10" defaultRowHeight="15" x14ac:dyDescent="0.25"/>
  <cols>
    <col min="1" max="1" width="9.28515625" hidden="1" customWidth="1"/>
    <col min="2" max="3" width="22.7109375" hidden="1" customWidth="1"/>
    <col min="4" max="4" width="13.42578125" hidden="1" customWidth="1"/>
    <col min="5" max="5" width="12" hidden="1" customWidth="1"/>
    <col min="6" max="6" width="10.28515625" hidden="1" customWidth="1"/>
    <col min="7" max="7" width="0" hidden="1" customWidth="1"/>
    <col min="8" max="8" width="9.42578125" hidden="1" customWidth="1"/>
    <col min="9" max="9" width="8.140625" hidden="1" customWidth="1"/>
    <col min="10" max="11" width="0" hidden="1" customWidth="1"/>
    <col min="12" max="12" width="10" hidden="1" customWidth="1"/>
    <col min="13" max="13" width="11.140625" hidden="1" customWidth="1"/>
    <col min="14" max="14" width="19.85546875" hidden="1" customWidth="1"/>
    <col min="15" max="15" width="22.7109375" hidden="1" customWidth="1"/>
    <col min="16" max="16" width="0" hidden="1" customWidth="1"/>
    <col min="18" max="18" width="19.5703125" bestFit="1" customWidth="1"/>
    <col min="19" max="19" width="12.28515625" bestFit="1" customWidth="1"/>
    <col min="21" max="21" width="20.140625" bestFit="1" customWidth="1"/>
    <col min="22" max="22" width="11.7109375" bestFit="1" customWidth="1"/>
    <col min="24" max="24" width="22.7109375" bestFit="1" customWidth="1"/>
    <col min="25" max="25" width="11.7109375" bestFit="1" customWidth="1"/>
    <col min="27" max="27" width="20.140625" bestFit="1" customWidth="1"/>
    <col min="28" max="28" width="11.7109375" bestFit="1" customWidth="1"/>
  </cols>
  <sheetData>
    <row r="1" spans="1:28" ht="15.75" x14ac:dyDescent="0.25">
      <c r="R1" s="41" t="s">
        <v>183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28" ht="15.75" x14ac:dyDescent="0.25">
      <c r="A2" t="s">
        <v>110</v>
      </c>
      <c r="B2" t="s">
        <v>136</v>
      </c>
      <c r="C2" t="s">
        <v>0</v>
      </c>
      <c r="D2" t="s">
        <v>111</v>
      </c>
      <c r="E2" t="s">
        <v>1</v>
      </c>
      <c r="F2" t="s">
        <v>127</v>
      </c>
      <c r="H2" t="s">
        <v>110</v>
      </c>
      <c r="I2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19" t="str">
        <f>H14</f>
        <v>01/04</v>
      </c>
    </row>
    <row r="3" spans="1:28" ht="15.75" x14ac:dyDescent="0.25">
      <c r="A3" t="s">
        <v>3</v>
      </c>
      <c r="B3" t="str">
        <f>TRIM(C3)</f>
        <v>ALEJANDRA QUISPE</v>
      </c>
      <c r="C3" t="s">
        <v>58</v>
      </c>
      <c r="D3">
        <v>0</v>
      </c>
      <c r="E3">
        <f>D1_MARZO[[#This Row],[RECUPERO]]/VLOOKUP(D1_MARZO[[#This Row],[SUPER]],D2_MARZO[#All],2,0)</f>
        <v>0</v>
      </c>
      <c r="F3" t="str">
        <f>D1_MARZO[[#This Row],[SUPER]]</f>
        <v>SANDY</v>
      </c>
      <c r="H3" t="s">
        <v>5</v>
      </c>
      <c r="I3">
        <v>62000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20" t="str">
        <f>H15</f>
        <v>16:32</v>
      </c>
    </row>
    <row r="4" spans="1:28" x14ac:dyDescent="0.25">
      <c r="A4" t="s">
        <v>3</v>
      </c>
      <c r="B4" t="str">
        <f t="shared" ref="B4:B67" si="0">TRIM(C4)</f>
        <v>CHRISTIAN ALBUJAR</v>
      </c>
      <c r="C4" t="s">
        <v>53</v>
      </c>
      <c r="D4">
        <v>28102</v>
      </c>
      <c r="E4">
        <f>D1_MARZO[[#This Row],[RECUPERO]]/VLOOKUP(D1_MARZO[[#This Row],[SUPER]],D2_MARZO[#All],2,0)</f>
        <v>0.45325806451612904</v>
      </c>
      <c r="F4" t="str">
        <f>D1_MARZO[[#This Row],[SUPER]]</f>
        <v>SANDY</v>
      </c>
      <c r="H4" t="s">
        <v>2</v>
      </c>
      <c r="I4">
        <v>24000</v>
      </c>
    </row>
    <row r="5" spans="1:28" ht="21" x14ac:dyDescent="0.35">
      <c r="A5" t="s">
        <v>3</v>
      </c>
      <c r="B5" t="str">
        <f t="shared" si="0"/>
        <v>ERIKA VILLAR</v>
      </c>
      <c r="C5" t="s">
        <v>72</v>
      </c>
      <c r="D5">
        <v>43088.5</v>
      </c>
      <c r="E5">
        <f>D1_MARZO[[#This Row],[RECUPERO]]/VLOOKUP(D1_MARZO[[#This Row],[SUPER]],D2_MARZO[#All],2,0)</f>
        <v>0.69497580645161294</v>
      </c>
      <c r="F5" t="str">
        <f>D1_MARZO[[#This Row],[SUPER]]</f>
        <v>SANDY</v>
      </c>
      <c r="H5" t="s">
        <v>6</v>
      </c>
      <c r="I5">
        <v>21000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t="s">
        <v>3</v>
      </c>
      <c r="B6" t="str">
        <f t="shared" si="0"/>
        <v>EVELY TENORIO</v>
      </c>
      <c r="C6" t="s">
        <v>22</v>
      </c>
      <c r="D6">
        <v>81631.7</v>
      </c>
      <c r="E6">
        <f>D1_MARZO[[#This Row],[RECUPERO]]/VLOOKUP(D1_MARZO[[#This Row],[SUPER]],D2_MARZO[#All],2,0)</f>
        <v>1.3166403225806451</v>
      </c>
      <c r="F6" t="str">
        <f>D1_MARZO[[#This Row],[SUPER]]</f>
        <v>SANDY</v>
      </c>
      <c r="H6" t="s">
        <v>9</v>
      </c>
      <c r="I6">
        <v>21000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t="s">
        <v>3</v>
      </c>
      <c r="B7" t="str">
        <f t="shared" si="0"/>
        <v>JAIR MARTINEZ</v>
      </c>
      <c r="C7" t="s">
        <v>57</v>
      </c>
      <c r="D7">
        <v>52729</v>
      </c>
      <c r="E7">
        <f>D1_MARZO[[#This Row],[RECUPERO]]/VLOOKUP(D1_MARZO[[#This Row],[SUPER]],D2_MARZO[#All],2,0)</f>
        <v>0.85046774193548391</v>
      </c>
      <c r="F7" t="str">
        <f>D1_MARZO[[#This Row],[SUPER]]</f>
        <v>SANDY</v>
      </c>
      <c r="H7" t="s">
        <v>4</v>
      </c>
      <c r="I7">
        <v>62000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t="s">
        <v>3</v>
      </c>
      <c r="B8" t="str">
        <f t="shared" si="0"/>
        <v>LISELY MERA</v>
      </c>
      <c r="C8" t="s">
        <v>23</v>
      </c>
      <c r="D8">
        <v>132333.75</v>
      </c>
      <c r="E8">
        <f>D1_MARZO[[#This Row],[RECUPERO]]/VLOOKUP(D1_MARZO[[#This Row],[SUPER]],D2_MARZO[#All],2,0)</f>
        <v>2.134415322580645</v>
      </c>
      <c r="F8" t="str">
        <f>D1_MARZO[[#This Row],[SUPER]]</f>
        <v>SANDY</v>
      </c>
      <c r="H8" t="s">
        <v>154</v>
      </c>
      <c r="I8">
        <v>16500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23</v>
      </c>
      <c r="S8" s="3">
        <v>2.134415322580645</v>
      </c>
      <c r="U8" s="15" t="s">
        <v>66</v>
      </c>
      <c r="V8" s="2">
        <v>0.95954596774193546</v>
      </c>
      <c r="X8" s="15" t="s">
        <v>72</v>
      </c>
      <c r="Y8" s="2">
        <v>0.69497580645161294</v>
      </c>
      <c r="AA8" s="15" t="s">
        <v>73</v>
      </c>
      <c r="AB8" s="2">
        <v>0.39166666666666666</v>
      </c>
    </row>
    <row r="9" spans="1:28" x14ac:dyDescent="0.25">
      <c r="A9" t="s">
        <v>3</v>
      </c>
      <c r="B9" t="str">
        <f t="shared" si="0"/>
        <v>MALORY MONTEBLANCO</v>
      </c>
      <c r="C9" t="s">
        <v>25</v>
      </c>
      <c r="D9">
        <v>0</v>
      </c>
      <c r="E9">
        <f>D1_MARZO[[#This Row],[RECUPERO]]/VLOOKUP(D1_MARZO[[#This Row],[SUPER]],D2_MARZO[#All],2,0)</f>
        <v>0</v>
      </c>
      <c r="F9" t="str">
        <f>D1_MARZO[[#This Row],[SUPER]]</f>
        <v>SANDY</v>
      </c>
      <c r="H9" t="s">
        <v>3</v>
      </c>
      <c r="I9">
        <v>62000</v>
      </c>
      <c r="L9">
        <v>1</v>
      </c>
      <c r="M9" s="1">
        <f>E3</f>
        <v>0</v>
      </c>
      <c r="N9" t="str" cm="1">
        <f t="array" ref="N9">IFERROR(_xlfn.IFS(M9&gt;100%,"&gt;100%",AND(M9&lt;100%,M9&gt;70%),"&gt;70%",AND(M9&lt;70%,M9&gt;40%),"&gt;40%",AND(M9&lt;40%,M9&gt;0%),"&gt;0%"),"")</f>
        <v/>
      </c>
      <c r="O9" t="str">
        <f>B3</f>
        <v>ALEJANDRA QUISPE</v>
      </c>
      <c r="R9" s="15" t="s">
        <v>19</v>
      </c>
      <c r="S9" s="3">
        <v>1.8139047619047619</v>
      </c>
      <c r="U9" s="15" t="s">
        <v>79</v>
      </c>
      <c r="V9" s="3">
        <v>0.91170967741935482</v>
      </c>
      <c r="X9" s="15" t="s">
        <v>21</v>
      </c>
      <c r="Y9" s="3">
        <v>0.69114285714285717</v>
      </c>
      <c r="AA9" s="15" t="s">
        <v>48</v>
      </c>
      <c r="AB9" s="3">
        <v>0.38772857142857142</v>
      </c>
    </row>
    <row r="10" spans="1:28" x14ac:dyDescent="0.25">
      <c r="A10" t="s">
        <v>3</v>
      </c>
      <c r="B10" t="str">
        <f t="shared" si="0"/>
        <v>MICHAEL TAFUR</v>
      </c>
      <c r="C10" t="s">
        <v>134</v>
      </c>
      <c r="D10">
        <v>7700</v>
      </c>
      <c r="E10">
        <f>D1_MARZO[[#This Row],[RECUPERO]]/VLOOKUP(D1_MARZO[[#This Row],[SUPER]],D2_MARZO[#All],2,0)</f>
        <v>0.12419354838709677</v>
      </c>
      <c r="F10" t="str">
        <f>D1_MARZO[[#This Row],[SUPER]]</f>
        <v>SANDY</v>
      </c>
      <c r="L10">
        <v>2</v>
      </c>
      <c r="M10" s="1">
        <f t="shared" ref="M10:M73" si="1">E4</f>
        <v>0.45325806451612904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ref="O10:O73" si="2">B4</f>
        <v>CHRISTIAN ALBUJAR</v>
      </c>
      <c r="R10" s="15" t="s">
        <v>67</v>
      </c>
      <c r="S10" s="3">
        <v>1.6418725806451453</v>
      </c>
      <c r="U10" s="15" t="s">
        <v>57</v>
      </c>
      <c r="V10" s="3">
        <v>0.85046774193548391</v>
      </c>
      <c r="X10" s="15" t="s">
        <v>65</v>
      </c>
      <c r="Y10" s="3">
        <v>0.66200000000000003</v>
      </c>
      <c r="AA10" s="15" t="s">
        <v>78</v>
      </c>
      <c r="AB10" s="3">
        <v>0.36379166666666668</v>
      </c>
    </row>
    <row r="11" spans="1:28" x14ac:dyDescent="0.25">
      <c r="A11" t="s">
        <v>3</v>
      </c>
      <c r="B11" t="str">
        <f t="shared" si="0"/>
        <v>RICHARD RODRIGUEZ</v>
      </c>
      <c r="C11" t="s">
        <v>63</v>
      </c>
      <c r="D11">
        <v>71227.3</v>
      </c>
      <c r="E11">
        <f>D1_MARZO[[#This Row],[RECUPERO]]/VLOOKUP(D1_MARZO[[#This Row],[SUPER]],D2_MARZO[#All],2,0)</f>
        <v>1.1488274193548387</v>
      </c>
      <c r="F11" t="str">
        <f>D1_MARZO[[#This Row],[SUPER]]</f>
        <v>SANDY</v>
      </c>
      <c r="L11">
        <v>3</v>
      </c>
      <c r="M11" s="1">
        <f t="shared" si="1"/>
        <v>0.69497580645161294</v>
      </c>
      <c r="N11" t="str" cm="1">
        <f t="array" ref="N11">IFERROR(_xlfn.IFS(M11&gt;100%,"&gt;100%",AND(M11&lt;100%,M11&gt;70%),"&gt;70%",AND(M11&lt;70%,M11&gt;40%),"&gt;40%",AND(M11&lt;40%,M11&gt;0%),"&gt;0%"),"")</f>
        <v>&gt;40%</v>
      </c>
      <c r="O11" t="str">
        <f t="shared" si="2"/>
        <v>ERIKA VILLAR</v>
      </c>
      <c r="R11" s="15" t="s">
        <v>76</v>
      </c>
      <c r="S11" s="3">
        <v>1.4439354838709677</v>
      </c>
      <c r="U11" s="15" t="s">
        <v>13</v>
      </c>
      <c r="V11" s="3">
        <v>0.8414677419354839</v>
      </c>
      <c r="X11" s="15" t="s">
        <v>85</v>
      </c>
      <c r="Y11" s="3">
        <v>0.65578225806451618</v>
      </c>
      <c r="AA11" s="15" t="s">
        <v>29</v>
      </c>
      <c r="AB11" s="3">
        <v>0.35506048387096772</v>
      </c>
    </row>
    <row r="12" spans="1:28" x14ac:dyDescent="0.25">
      <c r="A12" t="s">
        <v>3</v>
      </c>
      <c r="B12" t="str">
        <f t="shared" si="0"/>
        <v>VERONICA TASAYCO</v>
      </c>
      <c r="C12" t="s">
        <v>10</v>
      </c>
      <c r="D12">
        <v>35954</v>
      </c>
      <c r="E12">
        <f>D1_MARZO[[#This Row],[RECUPERO]]/VLOOKUP(D1_MARZO[[#This Row],[SUPER]],D2_MARZO[#All],2,0)</f>
        <v>0.57990322580645159</v>
      </c>
      <c r="F12" t="str">
        <f>D1_MARZO[[#This Row],[SUPER]]</f>
        <v>SANDY</v>
      </c>
      <c r="L12">
        <v>4</v>
      </c>
      <c r="M12" s="1">
        <f t="shared" si="1"/>
        <v>1.3166403225806451</v>
      </c>
      <c r="N12" t="str" cm="1">
        <f t="array" ref="N12">IFERROR(_xlfn.IFS(M12&gt;100%,"&gt;100%",AND(M12&lt;100%,M12&gt;70%),"&gt;70%",AND(M12&lt;70%,M12&gt;40%),"&gt;40%",AND(M12&lt;40%,M12&gt;0%),"&gt;0%"),"")</f>
        <v>&gt;100%</v>
      </c>
      <c r="O12" t="str">
        <f t="shared" si="2"/>
        <v>EVELY TENORIO</v>
      </c>
      <c r="R12" s="15" t="s">
        <v>59</v>
      </c>
      <c r="S12" s="3">
        <v>1.4399354838709677</v>
      </c>
      <c r="U12" s="15" t="s">
        <v>26</v>
      </c>
      <c r="V12" s="3">
        <v>0.77920833333333328</v>
      </c>
      <c r="X12" s="15" t="s">
        <v>10</v>
      </c>
      <c r="Y12" s="3">
        <v>0.57990322580645159</v>
      </c>
      <c r="AA12" s="15" t="s">
        <v>51</v>
      </c>
      <c r="AB12" s="3">
        <v>0.33585714285714285</v>
      </c>
    </row>
    <row r="13" spans="1:28" x14ac:dyDescent="0.25">
      <c r="A13" t="s">
        <v>3</v>
      </c>
      <c r="B13" t="str">
        <f t="shared" si="0"/>
        <v>VICTOR RAMIREZ</v>
      </c>
      <c r="C13" t="s">
        <v>76</v>
      </c>
      <c r="D13">
        <v>89524</v>
      </c>
      <c r="E13">
        <f>D1_MARZO[[#This Row],[RECUPERO]]/VLOOKUP(D1_MARZO[[#This Row],[SUPER]],D2_MARZO[#All],2,0)</f>
        <v>1.4439354838709677</v>
      </c>
      <c r="F13" t="str">
        <f>D1_MARZO[[#This Row],[SUPER]]</f>
        <v>SANDY</v>
      </c>
      <c r="H13" t="s">
        <v>107</v>
      </c>
      <c r="L13">
        <v>5</v>
      </c>
      <c r="M13" s="1">
        <f t="shared" si="1"/>
        <v>0.85046774193548391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2"/>
        <v>JAIR MARTINEZ</v>
      </c>
      <c r="R13" s="15" t="s">
        <v>22</v>
      </c>
      <c r="S13" s="3">
        <v>1.3166403225806451</v>
      </c>
      <c r="U13" s="15" t="s">
        <v>62</v>
      </c>
      <c r="V13" s="3">
        <v>0.76293693548387087</v>
      </c>
      <c r="X13" s="15" t="s">
        <v>33</v>
      </c>
      <c r="Y13" s="3">
        <v>0.57875151515151513</v>
      </c>
      <c r="AA13" s="15" t="s">
        <v>39</v>
      </c>
      <c r="AB13" s="3">
        <v>0.33024999999999999</v>
      </c>
    </row>
    <row r="14" spans="1:28" x14ac:dyDescent="0.25">
      <c r="A14" t="s">
        <v>3</v>
      </c>
      <c r="B14" t="str">
        <f t="shared" si="0"/>
        <v/>
      </c>
      <c r="E14">
        <f>D1_MARZO[[#This Row],[RECUPERO]]/VLOOKUP(D1_MARZO[[#This Row],[SUPER]],D2_MARZO[#All],2,0)</f>
        <v>0</v>
      </c>
      <c r="F14" t="str">
        <f>D1_MARZO[[#This Row],[SUPER]]</f>
        <v>SANDY</v>
      </c>
      <c r="H14" s="27" t="s">
        <v>173</v>
      </c>
      <c r="L14">
        <v>6</v>
      </c>
      <c r="M14" s="1">
        <f t="shared" si="1"/>
        <v>2.134415322580645</v>
      </c>
      <c r="N14" t="str" cm="1">
        <f t="array" ref="N14">IFERROR(_xlfn.IFS(M14&gt;100%,"&gt;100%",AND(M14&lt;100%,M14&gt;70%),"&gt;70%",AND(M14&lt;70%,M14&gt;40%),"&gt;40%",AND(M14&lt;40%,M14&gt;0%),"&gt;0%"),"")</f>
        <v>&gt;100%</v>
      </c>
      <c r="O14" t="str">
        <f t="shared" si="2"/>
        <v>LISELY MERA</v>
      </c>
      <c r="R14" s="15" t="s">
        <v>18</v>
      </c>
      <c r="S14" s="3">
        <v>1.2612121212121212</v>
      </c>
      <c r="U14" s="15" t="s">
        <v>81</v>
      </c>
      <c r="V14" s="3">
        <v>0.74128571428571433</v>
      </c>
      <c r="X14" s="15" t="s">
        <v>83</v>
      </c>
      <c r="Y14" s="3">
        <v>0.55709090909090908</v>
      </c>
      <c r="AA14" s="15" t="s">
        <v>71</v>
      </c>
      <c r="AB14" s="3">
        <v>0.31490476190476191</v>
      </c>
    </row>
    <row r="15" spans="1:28" x14ac:dyDescent="0.25">
      <c r="A15" t="s">
        <v>3</v>
      </c>
      <c r="B15" t="str">
        <f t="shared" si="0"/>
        <v/>
      </c>
      <c r="E15">
        <f>D1_MARZO[[#This Row],[RECUPERO]]/VLOOKUP(D1_MARZO[[#This Row],[SUPER]],D2_MARZO[#All],2,0)</f>
        <v>0</v>
      </c>
      <c r="F15" t="str">
        <f>D1_MARZO[[#This Row],[SUPER]]</f>
        <v>SANDY</v>
      </c>
      <c r="H15" s="27" t="s">
        <v>120</v>
      </c>
      <c r="L15">
        <v>7</v>
      </c>
      <c r="M15" s="1">
        <f t="shared" si="1"/>
        <v>0</v>
      </c>
      <c r="N15" t="str" cm="1">
        <f t="array" ref="N15">IFERROR(_xlfn.IFS(M15&gt;100%,"&gt;100%",AND(M15&lt;100%,M15&gt;70%),"&gt;70%",AND(M15&lt;70%,M15&gt;40%),"&gt;40%",AND(M15&lt;40%,M15&gt;0%),"&gt;0%"),"")</f>
        <v/>
      </c>
      <c r="O15" t="str">
        <f t="shared" si="2"/>
        <v>MALORY MONTEBLANCO</v>
      </c>
      <c r="R15" s="15" t="s">
        <v>80</v>
      </c>
      <c r="S15" s="3">
        <v>1.2472121212121212</v>
      </c>
      <c r="U15" s="15" t="s">
        <v>158</v>
      </c>
      <c r="V15" s="3">
        <v>0.73476190476190473</v>
      </c>
      <c r="X15" s="15" t="s">
        <v>49</v>
      </c>
      <c r="Y15" s="3">
        <v>0.52187878787878783</v>
      </c>
      <c r="AA15" s="15" t="s">
        <v>64</v>
      </c>
      <c r="AB15" s="3">
        <v>0.29919354838709677</v>
      </c>
    </row>
    <row r="16" spans="1:28" x14ac:dyDescent="0.25">
      <c r="A16" t="s">
        <v>3</v>
      </c>
      <c r="B16" t="str">
        <f t="shared" si="0"/>
        <v/>
      </c>
      <c r="E16">
        <f>D1_MARZO[[#This Row],[RECUPERO]]/VLOOKUP(D1_MARZO[[#This Row],[SUPER]],D2_MARZO[#All],2,0)</f>
        <v>0</v>
      </c>
      <c r="F16" t="str">
        <f>D1_MARZO[[#This Row],[SUPER]]</f>
        <v>SANDY</v>
      </c>
      <c r="L16">
        <v>8</v>
      </c>
      <c r="M16" s="1">
        <f t="shared" si="1"/>
        <v>0.12419354838709677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2"/>
        <v>MICHAEL TAFUR</v>
      </c>
      <c r="R16" s="15" t="s">
        <v>75</v>
      </c>
      <c r="S16" s="3">
        <v>1.1865483870967741</v>
      </c>
      <c r="U16" s="15" t="s">
        <v>24</v>
      </c>
      <c r="V16" s="3">
        <v>0.72109090909090912</v>
      </c>
      <c r="X16" s="15" t="s">
        <v>61</v>
      </c>
      <c r="Y16" s="3">
        <v>0.51538095238095238</v>
      </c>
      <c r="AA16" s="15" t="s">
        <v>20</v>
      </c>
      <c r="AB16" s="3">
        <v>0.2983064516129032</v>
      </c>
    </row>
    <row r="17" spans="1:28" x14ac:dyDescent="0.25">
      <c r="A17" t="s">
        <v>3</v>
      </c>
      <c r="B17" t="str">
        <f t="shared" si="0"/>
        <v/>
      </c>
      <c r="E17">
        <f>D1_MARZO[[#This Row],[RECUPERO]]/VLOOKUP(D1_MARZO[[#This Row],[SUPER]],D2_MARZO[#All],2,0)</f>
        <v>0</v>
      </c>
      <c r="F17" t="str">
        <f>D1_MARZO[[#This Row],[SUPER]]</f>
        <v>SANDY</v>
      </c>
      <c r="L17">
        <v>9</v>
      </c>
      <c r="M17" s="1">
        <f t="shared" si="1"/>
        <v>1.1488274193548387</v>
      </c>
      <c r="N17" t="str" cm="1">
        <f t="array" ref="N17">IFERROR(_xlfn.IFS(M17&gt;100%,"&gt;100%",AND(M17&lt;100%,M17&gt;70%),"&gt;70%",AND(M17&lt;70%,M17&gt;40%),"&gt;40%",AND(M17&lt;40%,M17&gt;0%),"&gt;0%"),"")</f>
        <v>&gt;100%</v>
      </c>
      <c r="O17" t="str">
        <f t="shared" si="2"/>
        <v>RICHARD RODRIGUEZ</v>
      </c>
      <c r="R17" s="15" t="s">
        <v>63</v>
      </c>
      <c r="S17" s="3">
        <v>1.1488274193548387</v>
      </c>
      <c r="U17" s="15" t="s">
        <v>68</v>
      </c>
      <c r="V17" s="4">
        <v>0.71172727272727276</v>
      </c>
      <c r="X17" s="15" t="s">
        <v>17</v>
      </c>
      <c r="Y17" s="3">
        <v>0.4863564516129032</v>
      </c>
      <c r="AA17" s="15" t="s">
        <v>42</v>
      </c>
      <c r="AB17" s="3">
        <v>0.29061904761904761</v>
      </c>
    </row>
    <row r="18" spans="1:28" x14ac:dyDescent="0.25">
      <c r="A18" t="s">
        <v>4</v>
      </c>
      <c r="B18" t="str">
        <f t="shared" si="0"/>
        <v>ALEJANDRO GONZALES</v>
      </c>
      <c r="C18" t="s">
        <v>139</v>
      </c>
      <c r="D18">
        <v>25193</v>
      </c>
      <c r="E18">
        <f>D1_MARZO[[#This Row],[RECUPERO]]/VLOOKUP(D1_MARZO[[#This Row],[SUPER]],D2_MARZO[#All],2,0)</f>
        <v>0.40633870967741936</v>
      </c>
      <c r="F18" t="str">
        <f>D1_MARZO[[#This Row],[SUPER]]</f>
        <v>MELINA</v>
      </c>
      <c r="L18">
        <v>10</v>
      </c>
      <c r="M18" s="1">
        <f t="shared" si="1"/>
        <v>0.57990322580645159</v>
      </c>
      <c r="N18" t="str" cm="1">
        <f t="array" ref="N18">IFERROR(_xlfn.IFS(M18&gt;100%,"&gt;100%",AND(M18&lt;100%,M18&gt;70%),"&gt;70%",AND(M18&lt;70%,M18&gt;40%),"&gt;40%",AND(M18&lt;40%,M18&gt;0%),"&gt;0%"),"")</f>
        <v>&gt;40%</v>
      </c>
      <c r="O18" t="str">
        <f t="shared" si="2"/>
        <v>VERONICA TASAYCO</v>
      </c>
      <c r="R18" s="15" t="s">
        <v>157</v>
      </c>
      <c r="S18" s="3">
        <v>1.0904761904761904</v>
      </c>
      <c r="X18" s="15" t="s">
        <v>129</v>
      </c>
      <c r="Y18" s="3">
        <v>0.48303030303030303</v>
      </c>
      <c r="AA18" s="15" t="s">
        <v>37</v>
      </c>
      <c r="AB18" s="3">
        <v>0.28000000000000003</v>
      </c>
    </row>
    <row r="19" spans="1:28" x14ac:dyDescent="0.25">
      <c r="A19" t="s">
        <v>4</v>
      </c>
      <c r="B19" t="str">
        <f t="shared" si="0"/>
        <v>DARYL FERREL</v>
      </c>
      <c r="C19" t="s">
        <v>40</v>
      </c>
      <c r="D19">
        <v>27710</v>
      </c>
      <c r="E19">
        <f>D1_MARZO[[#This Row],[RECUPERO]]/VLOOKUP(D1_MARZO[[#This Row],[SUPER]],D2_MARZO[#All],2,0)</f>
        <v>0.44693548387096776</v>
      </c>
      <c r="F19" t="str">
        <f>D1_MARZO[[#This Row],[SUPER]]</f>
        <v>MELINA</v>
      </c>
      <c r="L19">
        <v>11</v>
      </c>
      <c r="M19" s="1">
        <f t="shared" si="1"/>
        <v>1.4439354838709677</v>
      </c>
      <c r="N19" t="str" cm="1">
        <f t="array" ref="N19">IFERROR(_xlfn.IFS(M19&gt;100%,"&gt;100%",AND(M19&lt;100%,M19&gt;70%),"&gt;70%",AND(M19&lt;70%,M19&gt;40%),"&gt;40%",AND(M19&lt;40%,M19&gt;0%),"&gt;0%"),"")</f>
        <v>&gt;100%</v>
      </c>
      <c r="O19" t="str">
        <f t="shared" si="2"/>
        <v>VICTOR RAMIREZ</v>
      </c>
      <c r="R19" s="15" t="s">
        <v>70</v>
      </c>
      <c r="S19" s="3">
        <v>1.0463333333333333</v>
      </c>
      <c r="X19" s="15" t="s">
        <v>133</v>
      </c>
      <c r="Y19" s="3">
        <v>0.46983870967741936</v>
      </c>
      <c r="AA19" s="15" t="s">
        <v>172</v>
      </c>
      <c r="AB19" s="3">
        <v>0.27395238095238095</v>
      </c>
    </row>
    <row r="20" spans="1:28" x14ac:dyDescent="0.25">
      <c r="A20" t="s">
        <v>4</v>
      </c>
      <c r="B20" t="str">
        <f t="shared" si="0"/>
        <v>JHOVANA TORRES</v>
      </c>
      <c r="C20" t="s">
        <v>20</v>
      </c>
      <c r="D20">
        <v>18495</v>
      </c>
      <c r="E20">
        <f>D1_MARZO[[#This Row],[RECUPERO]]/VLOOKUP(D1_MARZO[[#This Row],[SUPER]],D2_MARZO[#All],2,0)</f>
        <v>0.2983064516129032</v>
      </c>
      <c r="F20" t="str">
        <f>D1_MARZO[[#This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R20" s="15" t="s">
        <v>159</v>
      </c>
      <c r="S20" s="4">
        <v>1.0309523809523808</v>
      </c>
      <c r="X20" s="15" t="s">
        <v>35</v>
      </c>
      <c r="Y20" s="3">
        <v>0.46619047619047621</v>
      </c>
      <c r="AA20" s="15" t="s">
        <v>36</v>
      </c>
      <c r="AB20" s="3">
        <v>0.26095238095238094</v>
      </c>
    </row>
    <row r="21" spans="1:28" x14ac:dyDescent="0.25">
      <c r="A21" t="s">
        <v>4</v>
      </c>
      <c r="B21" t="str">
        <f t="shared" si="0"/>
        <v>LUIS VALLADARES</v>
      </c>
      <c r="C21" t="s">
        <v>29</v>
      </c>
      <c r="D21">
        <v>22013.75</v>
      </c>
      <c r="E21">
        <f>D1_MARZO[[#This Row],[RECUPERO]]/VLOOKUP(D1_MARZO[[#This Row],[SUPER]],D2_MARZO[#All],2,0)</f>
        <v>0.35506048387096772</v>
      </c>
      <c r="F21" t="str">
        <f>D1_MARZO[[#This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X21" s="15" t="s">
        <v>128</v>
      </c>
      <c r="Y21" s="3">
        <v>0.45595714285714289</v>
      </c>
      <c r="AA21" s="15" t="s">
        <v>41</v>
      </c>
      <c r="AB21" s="3">
        <v>0.25620833333333332</v>
      </c>
    </row>
    <row r="22" spans="1:28" x14ac:dyDescent="0.25">
      <c r="A22" t="s">
        <v>4</v>
      </c>
      <c r="B22" t="str">
        <f t="shared" si="0"/>
        <v>MARIA TINTAYA</v>
      </c>
      <c r="C22" t="s">
        <v>75</v>
      </c>
      <c r="D22">
        <v>73566</v>
      </c>
      <c r="E22">
        <f>D1_MARZO[[#This Row],[RECUPERO]]/VLOOKUP(D1_MARZO[[#This Row],[SUPER]],D2_MARZO[#All],2,0)</f>
        <v>1.1865483870967741</v>
      </c>
      <c r="F22" t="str">
        <f>D1_MARZO[[#This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X22" s="15" t="s">
        <v>12</v>
      </c>
      <c r="Y22" s="3">
        <v>0.45379166666666665</v>
      </c>
      <c r="AA22" s="15" t="s">
        <v>32</v>
      </c>
      <c r="AB22" s="3">
        <v>0.22791666666666666</v>
      </c>
    </row>
    <row r="23" spans="1:28" x14ac:dyDescent="0.25">
      <c r="A23" t="s">
        <v>4</v>
      </c>
      <c r="B23" t="str">
        <f t="shared" si="0"/>
        <v>MICAELA PEREZ</v>
      </c>
      <c r="C23" t="s">
        <v>64</v>
      </c>
      <c r="D23">
        <v>18550</v>
      </c>
      <c r="E23">
        <f>D1_MARZO[[#This Row],[RECUPERO]]/VLOOKUP(D1_MARZO[[#This Row],[SUPER]],D2_MARZO[#All],2,0)</f>
        <v>0.29919354838709677</v>
      </c>
      <c r="F23" t="str">
        <f>D1_MARZO[[#This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X23" s="15" t="s">
        <v>53</v>
      </c>
      <c r="Y23" s="3">
        <v>0.45325806451612904</v>
      </c>
      <c r="AA23" s="15" t="s">
        <v>27</v>
      </c>
      <c r="AB23" s="3">
        <v>0.22504761904761905</v>
      </c>
    </row>
    <row r="24" spans="1:28" x14ac:dyDescent="0.25">
      <c r="A24" t="s">
        <v>4</v>
      </c>
      <c r="B24" t="str">
        <f t="shared" si="0"/>
        <v>MILAGROS QUIO</v>
      </c>
      <c r="C24" t="s">
        <v>11</v>
      </c>
      <c r="D24">
        <v>0</v>
      </c>
      <c r="E24">
        <f>D1_MARZO[[#This Row],[RECUPERO]]/VLOOKUP(D1_MARZO[[#This Row],[SUPER]],D2_MARZO[#All],2,0)</f>
        <v>0</v>
      </c>
      <c r="F24" t="str">
        <f>D1_MARZO[[#This Row],[SUPER]]</f>
        <v>MELINA</v>
      </c>
      <c r="L24">
        <v>1</v>
      </c>
      <c r="M24" s="1">
        <f t="shared" si="1"/>
        <v>0.40633870967741936</v>
      </c>
      <c r="N24" t="str" cm="1">
        <f t="array" ref="N24">IFERROR(_xlfn.IFS(M24&gt;100%,"&gt;100%",AND(M24&lt;100%,M24&gt;70%),"&gt;70%",AND(M24&lt;70%,M24&gt;40%),"&gt;40%",AND(M24&lt;40%,M24&gt;0%),"&gt;0%"),"")</f>
        <v>&gt;40%</v>
      </c>
      <c r="O24" t="str">
        <f t="shared" si="2"/>
        <v>ALEJANDRO GONZALES</v>
      </c>
      <c r="X24" s="15" t="s">
        <v>140</v>
      </c>
      <c r="Y24" s="3">
        <v>0.44857142857142857</v>
      </c>
      <c r="AA24" s="15" t="s">
        <v>34</v>
      </c>
      <c r="AB24" s="3">
        <v>0.22223809523809523</v>
      </c>
    </row>
    <row r="25" spans="1:28" x14ac:dyDescent="0.25">
      <c r="A25" t="s">
        <v>4</v>
      </c>
      <c r="B25" t="str">
        <f t="shared" si="0"/>
        <v>PIERINA TESEN</v>
      </c>
      <c r="C25" t="s">
        <v>59</v>
      </c>
      <c r="D25">
        <v>89276</v>
      </c>
      <c r="E25">
        <f>D1_MARZO[[#This Row],[RECUPERO]]/VLOOKUP(D1_MARZO[[#This Row],[SUPER]],D2_MARZO[#All],2,0)</f>
        <v>1.4399354838709677</v>
      </c>
      <c r="F25" t="str">
        <f>D1_MARZO[[#This Row],[SUPER]]</f>
        <v>MELINA</v>
      </c>
      <c r="L25">
        <v>2</v>
      </c>
      <c r="M25" s="1">
        <f t="shared" si="1"/>
        <v>0.44693548387096776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2"/>
        <v>DARYL FERREL</v>
      </c>
      <c r="X25" s="15" t="s">
        <v>40</v>
      </c>
      <c r="Y25" s="3">
        <v>0.44693548387096776</v>
      </c>
      <c r="AA25" s="15" t="s">
        <v>16</v>
      </c>
      <c r="AB25" s="3">
        <v>0.21875</v>
      </c>
    </row>
    <row r="26" spans="1:28" x14ac:dyDescent="0.25">
      <c r="A26" t="s">
        <v>4</v>
      </c>
      <c r="B26" t="str">
        <f t="shared" si="0"/>
        <v/>
      </c>
      <c r="E26">
        <f>D1_MARZO[[#This Row],[RECUPERO]]/VLOOKUP(D1_MARZO[[#This Row],[SUPER]],D2_MARZO[#All],2,0)</f>
        <v>0</v>
      </c>
      <c r="F26" t="str">
        <f>D1_MARZO[[#This Row],[SUPER]]</f>
        <v>MELINA</v>
      </c>
      <c r="L26">
        <v>3</v>
      </c>
      <c r="M26" s="1">
        <f t="shared" si="1"/>
        <v>0.2983064516129032</v>
      </c>
      <c r="N26" t="str" cm="1">
        <f t="array" ref="N26">IFERROR(_xlfn.IFS(M26&gt;100%,"&gt;100%",AND(M26&lt;100%,M26&gt;70%),"&gt;70%",AND(M26&lt;70%,M26&gt;40%),"&gt;40%",AND(M26&lt;40%,M26&gt;0%),"&gt;0%"),"")</f>
        <v>&gt;0%</v>
      </c>
      <c r="O26" t="str">
        <f t="shared" si="2"/>
        <v>JHOVANA TORRES</v>
      </c>
      <c r="X26" s="15" t="s">
        <v>74</v>
      </c>
      <c r="Y26" s="3">
        <v>0.44091666666666668</v>
      </c>
      <c r="AA26" s="15" t="s">
        <v>171</v>
      </c>
      <c r="AB26" s="3">
        <v>0.1761904761904762</v>
      </c>
    </row>
    <row r="27" spans="1:28" x14ac:dyDescent="0.25">
      <c r="A27" t="s">
        <v>4</v>
      </c>
      <c r="B27" t="str">
        <f t="shared" si="0"/>
        <v/>
      </c>
      <c r="E27">
        <f>D1_MARZO[[#This Row],[RECUPERO]]/VLOOKUP(D1_MARZO[[#This Row],[SUPER]],D2_MARZO[#All],2,0)</f>
        <v>0</v>
      </c>
      <c r="F27" t="str">
        <f>D1_MARZO[[#This Row],[SUPER]]</f>
        <v>MELINA</v>
      </c>
      <c r="L27">
        <v>4</v>
      </c>
      <c r="M27" s="1">
        <f t="shared" si="1"/>
        <v>0.35506048387096772</v>
      </c>
      <c r="N27" t="str" cm="1">
        <f t="array" ref="N27">IFERROR(_xlfn.IFS(M27&gt;100%,"&gt;100%",AND(M27&lt;100%,M27&gt;70%),"&gt;70%",AND(M27&lt;70%,M27&gt;40%),"&gt;40%",AND(M27&lt;40%,M27&gt;0%),"&gt;0%"),"")</f>
        <v>&gt;0%</v>
      </c>
      <c r="O27" t="str">
        <f t="shared" si="2"/>
        <v>LUIS VALLADARES</v>
      </c>
      <c r="X27" s="15" t="s">
        <v>77</v>
      </c>
      <c r="Y27" s="3">
        <v>0.43883333333333335</v>
      </c>
      <c r="AA27" s="15" t="s">
        <v>134</v>
      </c>
      <c r="AB27" s="3">
        <v>0.12419354838709677</v>
      </c>
    </row>
    <row r="28" spans="1:28" x14ac:dyDescent="0.25">
      <c r="A28" t="s">
        <v>4</v>
      </c>
      <c r="B28" t="str">
        <f t="shared" si="0"/>
        <v/>
      </c>
      <c r="E28">
        <f>D1_MARZO[[#This Row],[RECUPERO]]/VLOOKUP(D1_MARZO[[#This Row],[SUPER]],D2_MARZO[#All],2,0)</f>
        <v>0</v>
      </c>
      <c r="F28" t="str">
        <f>D1_MARZO[[#This Row],[SUPER]]</f>
        <v>MELINA</v>
      </c>
      <c r="L28">
        <v>5</v>
      </c>
      <c r="M28" s="1">
        <f t="shared" si="1"/>
        <v>1.1865483870967741</v>
      </c>
      <c r="N28" t="str" cm="1">
        <f t="array" ref="N28">IFERROR(_xlfn.IFS(M28&gt;100%,"&gt;100%",AND(M28&lt;100%,M28&gt;70%),"&gt;70%",AND(M28&lt;70%,M28&gt;40%),"&gt;40%",AND(M28&lt;40%,M28&gt;0%),"&gt;0%"),"")</f>
        <v>&gt;100%</v>
      </c>
      <c r="O28" t="str">
        <f t="shared" si="2"/>
        <v>MARIA TINTAYA</v>
      </c>
      <c r="X28" s="15" t="s">
        <v>139</v>
      </c>
      <c r="Y28" s="4">
        <v>0.40633870967741936</v>
      </c>
      <c r="AA28" s="15" t="s">
        <v>170</v>
      </c>
      <c r="AB28" s="3">
        <v>0.110625</v>
      </c>
    </row>
    <row r="29" spans="1:28" x14ac:dyDescent="0.25">
      <c r="A29" t="s">
        <v>4</v>
      </c>
      <c r="B29" t="str">
        <f t="shared" si="0"/>
        <v/>
      </c>
      <c r="E29">
        <f>D1_MARZO[[#This Row],[RECUPERO]]/VLOOKUP(D1_MARZO[[#This Row],[SUPER]],D2_MARZO[#All],2,0)</f>
        <v>0</v>
      </c>
      <c r="F29" t="str">
        <f>D1_MARZO[[#This Row],[SUPER]]</f>
        <v>MELINA</v>
      </c>
      <c r="L29">
        <v>6</v>
      </c>
      <c r="M29" s="1">
        <f t="shared" si="1"/>
        <v>0.29919354838709677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2"/>
        <v>MICAELA PEREZ</v>
      </c>
      <c r="AA29" s="15" t="s">
        <v>14</v>
      </c>
      <c r="AB29" s="4">
        <v>1.2121212121212121E-2</v>
      </c>
    </row>
    <row r="30" spans="1:28" x14ac:dyDescent="0.25">
      <c r="A30" t="s">
        <v>4</v>
      </c>
      <c r="B30" t="str">
        <f t="shared" si="0"/>
        <v/>
      </c>
      <c r="E30">
        <f>D1_MARZO[[#This Row],[RECUPERO]]/VLOOKUP(D1_MARZO[[#This Row],[SUPER]],D2_MARZO[#All],2,0)</f>
        <v>0</v>
      </c>
      <c r="F30" t="str">
        <f>D1_MARZO[[#This Row],[SUPER]]</f>
        <v>MELINA</v>
      </c>
      <c r="L30">
        <v>7</v>
      </c>
      <c r="M30" s="1">
        <f t="shared" si="1"/>
        <v>0</v>
      </c>
      <c r="N30" t="str" cm="1">
        <f t="array" ref="N30">IFERROR(_xlfn.IFS(M30&gt;100%,"&gt;100%",AND(M30&lt;100%,M30&gt;70%),"&gt;70%",AND(M30&lt;70%,M30&gt;40%),"&gt;40%",AND(M30&lt;40%,M30&gt;0%),"&gt;0%"),"")</f>
        <v/>
      </c>
      <c r="O30" t="str">
        <f t="shared" si="2"/>
        <v>MILAGROS QUIO</v>
      </c>
    </row>
    <row r="31" spans="1:28" x14ac:dyDescent="0.25">
      <c r="A31" t="s">
        <v>4</v>
      </c>
      <c r="B31" t="str">
        <f t="shared" si="0"/>
        <v/>
      </c>
      <c r="E31">
        <f>D1_MARZO[[#This Row],[RECUPERO]]/VLOOKUP(D1_MARZO[[#This Row],[SUPER]],D2_MARZO[#All],2,0)</f>
        <v>0</v>
      </c>
      <c r="F31" t="str">
        <f>D1_MARZO[[#This Row],[SUPER]]</f>
        <v>MELINA</v>
      </c>
      <c r="L31">
        <v>8</v>
      </c>
      <c r="M31" s="1">
        <f t="shared" si="1"/>
        <v>1.4399354838709677</v>
      </c>
      <c r="N31" t="str" cm="1">
        <f t="array" ref="N31">IFERROR(_xlfn.IFS(M31&gt;100%,"&gt;100%",AND(M31&lt;100%,M31&gt;70%),"&gt;70%",AND(M31&lt;70%,M31&gt;40%),"&gt;40%",AND(M31&lt;40%,M31&gt;0%),"&gt;0%"),"")</f>
        <v>&gt;100%</v>
      </c>
      <c r="O31" t="str">
        <f t="shared" si="2"/>
        <v>PIERINA TESEN</v>
      </c>
    </row>
    <row r="32" spans="1:28" x14ac:dyDescent="0.25">
      <c r="A32" t="s">
        <v>4</v>
      </c>
      <c r="B32" t="str">
        <f t="shared" si="0"/>
        <v/>
      </c>
      <c r="E32">
        <f>D1_MARZO[[#This Row],[RECUPERO]]/VLOOKUP(D1_MARZO[[#This Row],[SUPER]],D2_MARZO[#All],2,0)</f>
        <v>0</v>
      </c>
      <c r="F32" t="str">
        <f>D1_MARZO[[#This Row],[SUPER]]</f>
        <v>MELINA</v>
      </c>
      <c r="L32">
        <v>9</v>
      </c>
      <c r="M32" s="1">
        <f t="shared" si="1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2"/>
        <v/>
      </c>
    </row>
    <row r="33" spans="1:15" x14ac:dyDescent="0.25">
      <c r="A33" t="s">
        <v>2</v>
      </c>
      <c r="B33" t="str">
        <f t="shared" si="0"/>
        <v>CHRISTIAN ALVARADO</v>
      </c>
      <c r="C33" t="s">
        <v>41</v>
      </c>
      <c r="D33">
        <v>6149</v>
      </c>
      <c r="E33">
        <f>D1_MARZO[[#This Row],[RECUPERO]]/VLOOKUP(D1_MARZO[[#This Row],[SUPER]],D2_MARZO[#All],2,0)</f>
        <v>0.25620833333333332</v>
      </c>
      <c r="F33" t="str">
        <f>D1_MARZO[[#This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</row>
    <row r="34" spans="1:15" x14ac:dyDescent="0.25">
      <c r="A34" t="s">
        <v>2</v>
      </c>
      <c r="B34" t="str">
        <f t="shared" si="0"/>
        <v>FRANS TACSI</v>
      </c>
      <c r="C34" t="s">
        <v>16</v>
      </c>
      <c r="D34">
        <v>5250</v>
      </c>
      <c r="E34">
        <f>D1_MARZO[[#This Row],[RECUPERO]]/VLOOKUP(D1_MARZO[[#This Row],[SUPER]],D2_MARZO[#All],2,0)</f>
        <v>0.21875</v>
      </c>
      <c r="F34" t="str">
        <f>D1_MARZO[[#This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</row>
    <row r="35" spans="1:15" x14ac:dyDescent="0.25">
      <c r="A35" t="s">
        <v>2</v>
      </c>
      <c r="B35" t="str">
        <f t="shared" si="0"/>
        <v>GENESIS VICUNA</v>
      </c>
      <c r="C35" t="s">
        <v>12</v>
      </c>
      <c r="D35">
        <v>10891</v>
      </c>
      <c r="E35">
        <f>D1_MARZO[[#This Row],[RECUPERO]]/VLOOKUP(D1_MARZO[[#This Row],[SUPER]],D2_MARZO[#All],2,0)</f>
        <v>0.45379166666666665</v>
      </c>
      <c r="F35" t="str">
        <f>D1_MARZO[[#This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</row>
    <row r="36" spans="1:15" x14ac:dyDescent="0.25">
      <c r="A36" t="s">
        <v>2</v>
      </c>
      <c r="B36" t="str">
        <f t="shared" si="0"/>
        <v>GIANNINA AGUILAR</v>
      </c>
      <c r="C36" t="s">
        <v>32</v>
      </c>
      <c r="D36">
        <v>5470</v>
      </c>
      <c r="E36">
        <f>D1_MARZO[[#This Row],[RECUPERO]]/VLOOKUP(D1_MARZO[[#This Row],[SUPER]],D2_MARZO[#All],2,0)</f>
        <v>0.22791666666666666</v>
      </c>
      <c r="F36" t="str">
        <f>D1_MARZO[[#This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</row>
    <row r="37" spans="1:15" x14ac:dyDescent="0.25">
      <c r="A37" t="s">
        <v>2</v>
      </c>
      <c r="B37" t="str">
        <f t="shared" si="0"/>
        <v>HARLINGTON VIDAL</v>
      </c>
      <c r="C37" t="s">
        <v>170</v>
      </c>
      <c r="D37">
        <v>2655</v>
      </c>
      <c r="E37">
        <f>D1_MARZO[[#This Row],[RECUPERO]]/VLOOKUP(D1_MARZO[[#This Row],[SUPER]],D2_MARZO[#All],2,0)</f>
        <v>0.110625</v>
      </c>
      <c r="F37" t="str">
        <f>D1_MARZO[[#This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</row>
    <row r="38" spans="1:15" x14ac:dyDescent="0.25">
      <c r="A38" t="s">
        <v>2</v>
      </c>
      <c r="B38" t="str">
        <f t="shared" si="0"/>
        <v>JENY LAZARO</v>
      </c>
      <c r="C38" t="s">
        <v>26</v>
      </c>
      <c r="D38">
        <v>18701</v>
      </c>
      <c r="E38">
        <f>D1_MARZO[[#This Row],[RECUPERO]]/VLOOKUP(D1_MARZO[[#This Row],[SUPER]],D2_MARZO[#All],2,0)</f>
        <v>0.77920833333333328</v>
      </c>
      <c r="F38" t="str">
        <f>D1_MARZO[[#This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</row>
    <row r="39" spans="1:15" x14ac:dyDescent="0.25">
      <c r="A39" t="s">
        <v>2</v>
      </c>
      <c r="B39" t="str">
        <f t="shared" si="0"/>
        <v>JUAN ALANOCCA</v>
      </c>
      <c r="C39" t="s">
        <v>77</v>
      </c>
      <c r="D39">
        <v>10532</v>
      </c>
      <c r="E39">
        <f>D1_MARZO[[#This Row],[RECUPERO]]/VLOOKUP(D1_MARZO[[#This Row],[SUPER]],D2_MARZO[#All],2,0)</f>
        <v>0.43883333333333335</v>
      </c>
      <c r="F39" t="str">
        <f>D1_MARZO[[#This Row],[SUPER]]</f>
        <v>JORGE</v>
      </c>
      <c r="L39">
        <v>1</v>
      </c>
      <c r="M39" s="1">
        <f t="shared" si="1"/>
        <v>0.25620833333333332</v>
      </c>
      <c r="N39" t="str" cm="1">
        <f t="array" ref="N39">IFERROR(_xlfn.IFS(M39&gt;100%,"&gt;100%",AND(M39&lt;100%,M39&gt;70%),"&gt;70%",AND(M39&lt;70%,M39&gt;40%),"&gt;40%",AND(M39&lt;40%,M39&gt;0%),"&gt;0%"),"")</f>
        <v>&gt;0%</v>
      </c>
      <c r="O39" t="str">
        <f t="shared" si="2"/>
        <v>CHRISTIAN ALVARADO</v>
      </c>
    </row>
    <row r="40" spans="1:15" x14ac:dyDescent="0.25">
      <c r="A40" t="s">
        <v>2</v>
      </c>
      <c r="B40" t="str">
        <f t="shared" si="0"/>
        <v>NARDIA URPIS</v>
      </c>
      <c r="C40" t="s">
        <v>74</v>
      </c>
      <c r="D40">
        <v>10582</v>
      </c>
      <c r="E40">
        <f>D1_MARZO[[#This Row],[RECUPERO]]/VLOOKUP(D1_MARZO[[#This Row],[SUPER]],D2_MARZO[#All],2,0)</f>
        <v>0.44091666666666668</v>
      </c>
      <c r="F40" t="str">
        <f>D1_MARZO[[#This Row],[SUPER]]</f>
        <v>JORGE</v>
      </c>
      <c r="L40">
        <v>2</v>
      </c>
      <c r="M40" s="1">
        <f t="shared" si="1"/>
        <v>0.21875</v>
      </c>
      <c r="N40" t="str" cm="1">
        <f t="array" ref="N40">IFERROR(_xlfn.IFS(M40&gt;100%,"&gt;100%",AND(M40&lt;100%,M40&gt;70%),"&gt;70%",AND(M40&lt;70%,M40&gt;40%),"&gt;40%",AND(M40&lt;40%,M40&gt;0%),"&gt;0%"),"")</f>
        <v>&gt;0%</v>
      </c>
      <c r="O40" t="str">
        <f t="shared" si="2"/>
        <v>FRANS TACSI</v>
      </c>
    </row>
    <row r="41" spans="1:15" x14ac:dyDescent="0.25">
      <c r="A41" t="s">
        <v>2</v>
      </c>
      <c r="B41" t="str">
        <f t="shared" si="0"/>
        <v>URSULA CENTENO</v>
      </c>
      <c r="C41" t="s">
        <v>78</v>
      </c>
      <c r="D41">
        <v>8731</v>
      </c>
      <c r="E41">
        <f>D1_MARZO[[#This Row],[RECUPERO]]/VLOOKUP(D1_MARZO[[#This Row],[SUPER]],D2_MARZO[#All],2,0)</f>
        <v>0.36379166666666668</v>
      </c>
      <c r="F41" t="str">
        <f>D1_MARZO[[#This Row],[SUPER]]</f>
        <v>JORGE</v>
      </c>
      <c r="L41">
        <v>3</v>
      </c>
      <c r="M41" s="1">
        <f t="shared" si="1"/>
        <v>0.45379166666666665</v>
      </c>
      <c r="N41" t="str" cm="1">
        <f t="array" ref="N41">IFERROR(_xlfn.IFS(M41&gt;100%,"&gt;100%",AND(M41&lt;100%,M41&gt;70%),"&gt;70%",AND(M41&lt;70%,M41&gt;40%),"&gt;40%",AND(M41&lt;40%,M41&gt;0%),"&gt;0%"),"")</f>
        <v>&gt;40%</v>
      </c>
      <c r="O41" t="str">
        <f t="shared" si="2"/>
        <v>GENESIS VICUNA</v>
      </c>
    </row>
    <row r="42" spans="1:15" x14ac:dyDescent="0.25">
      <c r="A42" t="s">
        <v>2</v>
      </c>
      <c r="B42" t="str">
        <f t="shared" si="0"/>
        <v>YENNY INGA</v>
      </c>
      <c r="C42" t="s">
        <v>39</v>
      </c>
      <c r="D42">
        <v>7926</v>
      </c>
      <c r="E42">
        <f>D1_MARZO[[#This Row],[RECUPERO]]/VLOOKUP(D1_MARZO[[#This Row],[SUPER]],D2_MARZO[#All],2,0)</f>
        <v>0.33024999999999999</v>
      </c>
      <c r="F42" t="str">
        <f>D1_MARZO[[#This Row],[SUPER]]</f>
        <v>JORGE</v>
      </c>
      <c r="L42">
        <v>4</v>
      </c>
      <c r="M42" s="1">
        <f t="shared" si="1"/>
        <v>0.22791666666666666</v>
      </c>
      <c r="N42" t="str" cm="1">
        <f t="array" ref="N42">IFERROR(_xlfn.IFS(M42&gt;100%,"&gt;100%",AND(M42&lt;100%,M42&gt;70%),"&gt;70%",AND(M42&lt;70%,M42&gt;40%),"&gt;40%",AND(M42&lt;40%,M42&gt;0%),"&gt;0%"),"")</f>
        <v>&gt;0%</v>
      </c>
      <c r="O42" t="str">
        <f t="shared" si="2"/>
        <v>GIANNINA AGUILAR</v>
      </c>
    </row>
    <row r="43" spans="1:15" x14ac:dyDescent="0.25">
      <c r="A43" t="s">
        <v>2</v>
      </c>
      <c r="B43" t="str">
        <f t="shared" si="0"/>
        <v/>
      </c>
      <c r="E43">
        <f>D1_MARZO[[#This Row],[RECUPERO]]/VLOOKUP(D1_MARZO[[#This Row],[SUPER]],D2_MARZO[#All],2,0)</f>
        <v>0</v>
      </c>
      <c r="F43" t="str">
        <f>D1_MARZO[[#This Row],[SUPER]]</f>
        <v>JORGE</v>
      </c>
      <c r="L43">
        <v>5</v>
      </c>
      <c r="M43" s="1">
        <f t="shared" si="1"/>
        <v>0.110625</v>
      </c>
      <c r="N43" t="str" cm="1">
        <f t="array" ref="N43">IFERROR(_xlfn.IFS(M43&gt;100%,"&gt;100%",AND(M43&lt;100%,M43&gt;70%),"&gt;70%",AND(M43&lt;70%,M43&gt;40%),"&gt;40%",AND(M43&lt;40%,M43&gt;0%),"&gt;0%"),"")</f>
        <v>&gt;0%</v>
      </c>
      <c r="O43" t="str">
        <f t="shared" si="2"/>
        <v>HARLINGTON VIDAL</v>
      </c>
    </row>
    <row r="44" spans="1:15" x14ac:dyDescent="0.25">
      <c r="A44" t="s">
        <v>2</v>
      </c>
      <c r="B44" t="str">
        <f t="shared" si="0"/>
        <v/>
      </c>
      <c r="E44">
        <f>D1_MARZO[[#This Row],[RECUPERO]]/VLOOKUP(D1_MARZO[[#This Row],[SUPER]],D2_MARZO[#All],2,0)</f>
        <v>0</v>
      </c>
      <c r="F44" t="str">
        <f>D1_MARZO[[#This Row],[SUPER]]</f>
        <v>JORGE</v>
      </c>
      <c r="L44">
        <v>6</v>
      </c>
      <c r="M44" s="1">
        <f t="shared" si="1"/>
        <v>0.77920833333333328</v>
      </c>
      <c r="N44" t="str" cm="1">
        <f t="array" ref="N44">IFERROR(_xlfn.IFS(M44&gt;100%,"&gt;100%",AND(M44&lt;100%,M44&gt;70%),"&gt;70%",AND(M44&lt;70%,M44&gt;40%),"&gt;40%",AND(M44&lt;40%,M44&gt;0%),"&gt;0%"),"")</f>
        <v>&gt;70%</v>
      </c>
      <c r="O44" t="str">
        <f t="shared" si="2"/>
        <v>JENY LAZARO</v>
      </c>
    </row>
    <row r="45" spans="1:15" x14ac:dyDescent="0.25">
      <c r="A45" t="s">
        <v>2</v>
      </c>
      <c r="B45" t="str">
        <f t="shared" si="0"/>
        <v/>
      </c>
      <c r="E45">
        <f>D1_MARZO[[#This Row],[RECUPERO]]/VLOOKUP(D1_MARZO[[#This Row],[SUPER]],D2_MARZO[#All],2,0)</f>
        <v>0</v>
      </c>
      <c r="F45" t="str">
        <f>D1_MARZO[[#This Row],[SUPER]]</f>
        <v>JORGE</v>
      </c>
      <c r="L45">
        <v>7</v>
      </c>
      <c r="M45" s="1">
        <f t="shared" si="1"/>
        <v>0.43883333333333335</v>
      </c>
      <c r="N45" t="str" cm="1">
        <f t="array" ref="N45">IFERROR(_xlfn.IFS(M45&gt;100%,"&gt;100%",AND(M45&lt;100%,M45&gt;70%),"&gt;70%",AND(M45&lt;70%,M45&gt;40%),"&gt;40%",AND(M45&lt;40%,M45&gt;0%),"&gt;0%"),"")</f>
        <v>&gt;40%</v>
      </c>
      <c r="O45" t="str">
        <f t="shared" si="2"/>
        <v>JUAN ALANOCCA</v>
      </c>
    </row>
    <row r="46" spans="1:15" x14ac:dyDescent="0.25">
      <c r="A46" t="s">
        <v>2</v>
      </c>
      <c r="B46" t="str">
        <f t="shared" si="0"/>
        <v/>
      </c>
      <c r="E46">
        <f>D1_MARZO[[#This Row],[RECUPERO]]/VLOOKUP(D1_MARZO[[#This Row],[SUPER]],D2_MARZO[#All],2,0)</f>
        <v>0</v>
      </c>
      <c r="F46" t="str">
        <f>D1_MARZO[[#This Row],[SUPER]]</f>
        <v>JORGE</v>
      </c>
      <c r="L46">
        <v>8</v>
      </c>
      <c r="M46" s="1">
        <f t="shared" si="1"/>
        <v>0.44091666666666668</v>
      </c>
      <c r="N46" t="str" cm="1">
        <f t="array" ref="N46">IFERROR(_xlfn.IFS(M46&gt;100%,"&gt;100%",AND(M46&lt;100%,M46&gt;70%),"&gt;70%",AND(M46&lt;70%,M46&gt;40%),"&gt;40%",AND(M46&lt;40%,M46&gt;0%),"&gt;0%"),"")</f>
        <v>&gt;40%</v>
      </c>
      <c r="O46" t="str">
        <f t="shared" si="2"/>
        <v>NARDIA URPIS</v>
      </c>
    </row>
    <row r="47" spans="1:15" x14ac:dyDescent="0.25">
      <c r="A47" t="s">
        <v>2</v>
      </c>
      <c r="B47" t="str">
        <f t="shared" si="0"/>
        <v/>
      </c>
      <c r="E47">
        <f>D1_MARZO[[#This Row],[RECUPERO]]/VLOOKUP(D1_MARZO[[#This Row],[SUPER]],D2_MARZO[#All],2,0)</f>
        <v>0</v>
      </c>
      <c r="F47" t="str">
        <f>D1_MARZO[[#This Row],[SUPER]]</f>
        <v>JORGE</v>
      </c>
      <c r="L47">
        <v>9</v>
      </c>
      <c r="M47" s="1">
        <f t="shared" si="1"/>
        <v>0.36379166666666668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2"/>
        <v>URSULA CENTENO</v>
      </c>
    </row>
    <row r="48" spans="1:15" x14ac:dyDescent="0.25">
      <c r="A48" t="s">
        <v>5</v>
      </c>
      <c r="B48" t="str">
        <f t="shared" si="0"/>
        <v>ANTHONY VICENTE</v>
      </c>
      <c r="C48" t="s">
        <v>85</v>
      </c>
      <c r="D48">
        <v>40658.5</v>
      </c>
      <c r="E48">
        <f>D1_MARZO[[#This Row],[RECUPERO]]/VLOOKUP(D1_MARZO[[#This Row],[SUPER]],D2_MARZO[#All],2,0)</f>
        <v>0.65578225806451618</v>
      </c>
      <c r="F48" t="str">
        <f>D1_MARZO[[#This Row],[SUPER]]</f>
        <v>JORDAN</v>
      </c>
      <c r="L48">
        <v>10</v>
      </c>
      <c r="M48" s="1">
        <f t="shared" si="1"/>
        <v>0.33024999999999999</v>
      </c>
      <c r="N48" t="str" cm="1">
        <f t="array" ref="N48">IFERROR(_xlfn.IFS(M48&gt;100%,"&gt;100%",AND(M48&lt;100%,M48&gt;70%),"&gt;70%",AND(M48&lt;70%,M48&gt;40%),"&gt;40%",AND(M48&lt;40%,M48&gt;0%),"&gt;0%"),"")</f>
        <v>&gt;0%</v>
      </c>
      <c r="O48" t="str">
        <f t="shared" si="2"/>
        <v>YENNY INGA</v>
      </c>
    </row>
    <row r="49" spans="1:15" x14ac:dyDescent="0.25">
      <c r="A49" t="s">
        <v>5</v>
      </c>
      <c r="B49" t="str">
        <f t="shared" si="0"/>
        <v>AURORA FAUSTOR</v>
      </c>
      <c r="C49" t="s">
        <v>67</v>
      </c>
      <c r="D49">
        <v>101796.099999999</v>
      </c>
      <c r="E49">
        <f>D1_MARZO[[#This Row],[RECUPERO]]/VLOOKUP(D1_MARZO[[#This Row],[SUPER]],D2_MARZO[#All],2,0)</f>
        <v>1.6418725806451453</v>
      </c>
      <c r="F49" t="str">
        <f>D1_MARZO[[#This Row],[SUPER]]</f>
        <v>JORDAN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/>
      </c>
    </row>
    <row r="50" spans="1:15" x14ac:dyDescent="0.25">
      <c r="A50" t="s">
        <v>5</v>
      </c>
      <c r="B50" t="str">
        <f t="shared" si="0"/>
        <v>GIANFRANCO PINEDO</v>
      </c>
      <c r="C50" t="s">
        <v>13</v>
      </c>
      <c r="D50">
        <v>52171</v>
      </c>
      <c r="E50">
        <f>D1_MARZO[[#This Row],[RECUPERO]]/VLOOKUP(D1_MARZO[[#This Row],[SUPER]],D2_MARZO[#All],2,0)</f>
        <v>0.8414677419354839</v>
      </c>
      <c r="F50" t="str">
        <f>D1_MARZO[[#This Row],[SUPER]]</f>
        <v>JORDAN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</row>
    <row r="51" spans="1:15" x14ac:dyDescent="0.25">
      <c r="A51" t="s">
        <v>5</v>
      </c>
      <c r="B51" t="str">
        <f t="shared" si="0"/>
        <v>GILBERTO PURIZACA</v>
      </c>
      <c r="C51" t="s">
        <v>66</v>
      </c>
      <c r="D51">
        <v>59491.85</v>
      </c>
      <c r="E51">
        <f>D1_MARZO[[#This Row],[RECUPERO]]/VLOOKUP(D1_MARZO[[#This Row],[SUPER]],D2_MARZO[#All],2,0)</f>
        <v>0.95954596774193546</v>
      </c>
      <c r="F51" t="str">
        <f>D1_MARZO[[#This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</row>
    <row r="52" spans="1:15" x14ac:dyDescent="0.25">
      <c r="A52" t="s">
        <v>5</v>
      </c>
      <c r="B52" t="str">
        <f t="shared" si="0"/>
        <v>JERSON RIVERA</v>
      </c>
      <c r="C52" t="s">
        <v>155</v>
      </c>
      <c r="D52">
        <v>0</v>
      </c>
      <c r="E52">
        <f>D1_MARZO[[#This Row],[RECUPERO]]/VLOOKUP(D1_MARZO[[#This Row],[SUPER]],D2_MARZO[#All],2,0)</f>
        <v>0</v>
      </c>
      <c r="F52" t="str">
        <f>D1_MARZO[[#This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</row>
    <row r="53" spans="1:15" x14ac:dyDescent="0.25">
      <c r="A53" t="s">
        <v>5</v>
      </c>
      <c r="B53" t="str">
        <f t="shared" si="0"/>
        <v>JOANA GIL</v>
      </c>
      <c r="C53" t="s">
        <v>133</v>
      </c>
      <c r="D53">
        <v>29130</v>
      </c>
      <c r="E53">
        <f>D1_MARZO[[#This Row],[RECUPERO]]/VLOOKUP(D1_MARZO[[#This Row],[SUPER]],D2_MARZO[#All],2,0)</f>
        <v>0.46983870967741936</v>
      </c>
      <c r="F53" t="str">
        <f>D1_MARZO[[#This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</row>
    <row r="54" spans="1:15" x14ac:dyDescent="0.25">
      <c r="A54" t="s">
        <v>5</v>
      </c>
      <c r="B54" t="str">
        <f t="shared" si="0"/>
        <v>MARGARITA PIANCHACHI</v>
      </c>
      <c r="C54" t="s">
        <v>17</v>
      </c>
      <c r="D54">
        <v>30154.1</v>
      </c>
      <c r="E54">
        <f>D1_MARZO[[#This Row],[RECUPERO]]/VLOOKUP(D1_MARZO[[#This Row],[SUPER]],D2_MARZO[#All],2,0)</f>
        <v>0.4863564516129032</v>
      </c>
      <c r="F54" t="str">
        <f>D1_MARZO[[#This Row],[SUPER]]</f>
        <v>JORDAN</v>
      </c>
      <c r="L54">
        <v>1</v>
      </c>
      <c r="M54" s="1">
        <f t="shared" si="1"/>
        <v>0.65578225806451618</v>
      </c>
      <c r="N54" t="str" cm="1">
        <f t="array" ref="N54">IFERROR(_xlfn.IFS(M54&gt;100%,"&gt;100%",AND(M54&lt;100%,M54&gt;70%),"&gt;70%",AND(M54&lt;70%,M54&gt;40%),"&gt;40%",AND(M54&lt;40%,M54&gt;0%),"&gt;0%"),"")</f>
        <v>&gt;40%</v>
      </c>
      <c r="O54" t="str">
        <f t="shared" si="2"/>
        <v>ANTHONY VICENTE</v>
      </c>
    </row>
    <row r="55" spans="1:15" x14ac:dyDescent="0.25">
      <c r="A55" t="s">
        <v>5</v>
      </c>
      <c r="B55" t="str">
        <f t="shared" si="0"/>
        <v>MELISSA GUERRERO</v>
      </c>
      <c r="C55" t="s">
        <v>62</v>
      </c>
      <c r="D55">
        <v>47302.09</v>
      </c>
      <c r="E55">
        <f>D1_MARZO[[#This Row],[RECUPERO]]/VLOOKUP(D1_MARZO[[#This Row],[SUPER]],D2_MARZO[#All],2,0)</f>
        <v>0.76293693548387087</v>
      </c>
      <c r="F55" t="str">
        <f>D1_MARZO[[#This Row],[SUPER]]</f>
        <v>JORDAN</v>
      </c>
      <c r="L55">
        <v>2</v>
      </c>
      <c r="M55" s="1">
        <f t="shared" si="1"/>
        <v>1.6418725806451453</v>
      </c>
      <c r="N55" t="str" cm="1">
        <f t="array" ref="N55">IFERROR(_xlfn.IFS(M55&gt;100%,"&gt;100%",AND(M55&lt;100%,M55&gt;70%),"&gt;70%",AND(M55&lt;70%,M55&gt;40%),"&gt;40%",AND(M55&lt;40%,M55&gt;0%),"&gt;0%"),"")</f>
        <v>&gt;100%</v>
      </c>
      <c r="O55" t="str">
        <f t="shared" si="2"/>
        <v>AURORA FAUSTOR</v>
      </c>
    </row>
    <row r="56" spans="1:15" x14ac:dyDescent="0.25">
      <c r="A56" t="s">
        <v>5</v>
      </c>
      <c r="B56" t="str">
        <f t="shared" si="0"/>
        <v>NATALIA MARIN</v>
      </c>
      <c r="C56" t="s">
        <v>79</v>
      </c>
      <c r="D56">
        <v>56526</v>
      </c>
      <c r="E56">
        <f>D1_MARZO[[#This Row],[RECUPERO]]/VLOOKUP(D1_MARZO[[#This Row],[SUPER]],D2_MARZO[#All],2,0)</f>
        <v>0.91170967741935482</v>
      </c>
      <c r="F56" t="str">
        <f>D1_MARZO[[#This Row],[SUPER]]</f>
        <v>JORDAN</v>
      </c>
      <c r="L56">
        <v>3</v>
      </c>
      <c r="M56" s="1">
        <f t="shared" si="1"/>
        <v>0.8414677419354839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2"/>
        <v>GIANFRANCO PINEDO</v>
      </c>
    </row>
    <row r="57" spans="1:15" x14ac:dyDescent="0.25">
      <c r="A57" t="s">
        <v>5</v>
      </c>
      <c r="B57" t="str">
        <f t="shared" si="0"/>
        <v/>
      </c>
      <c r="E57">
        <f>D1_MARZO[[#This Row],[RECUPERO]]/VLOOKUP(D1_MARZO[[#This Row],[SUPER]],D2_MARZO[#All],2,0)</f>
        <v>0</v>
      </c>
      <c r="F57" t="str">
        <f>D1_MARZO[[#This Row],[SUPER]]</f>
        <v>JORDAN</v>
      </c>
      <c r="L57">
        <v>4</v>
      </c>
      <c r="M57" s="1">
        <f t="shared" si="1"/>
        <v>0.95954596774193546</v>
      </c>
      <c r="N57" t="str" cm="1">
        <f t="array" ref="N57">IFERROR(_xlfn.IFS(M57&gt;100%,"&gt;100%",AND(M57&lt;100%,M57&gt;70%),"&gt;70%",AND(M57&lt;70%,M57&gt;40%),"&gt;40%",AND(M57&lt;40%,M57&gt;0%),"&gt;0%"),"")</f>
        <v>&gt;70%</v>
      </c>
      <c r="O57" t="str">
        <f t="shared" si="2"/>
        <v>GILBERTO PURIZACA</v>
      </c>
    </row>
    <row r="58" spans="1:15" x14ac:dyDescent="0.25">
      <c r="A58" t="s">
        <v>5</v>
      </c>
      <c r="B58" t="str">
        <f t="shared" si="0"/>
        <v/>
      </c>
      <c r="E58">
        <f>D1_MARZO[[#This Row],[RECUPERO]]/VLOOKUP(D1_MARZO[[#This Row],[SUPER]],D2_MARZO[#All],2,0)</f>
        <v>0</v>
      </c>
      <c r="F58" t="str">
        <f>D1_MARZO[[#This Row],[SUPER]]</f>
        <v>JORDAN</v>
      </c>
      <c r="L58">
        <v>5</v>
      </c>
      <c r="M58" s="1">
        <f t="shared" si="1"/>
        <v>0</v>
      </c>
      <c r="N58" t="str" cm="1">
        <f t="array" ref="N58">IFERROR(_xlfn.IFS(M58&gt;100%,"&gt;100%",AND(M58&lt;100%,M58&gt;70%),"&gt;70%",AND(M58&lt;70%,M58&gt;40%),"&gt;40%",AND(M58&lt;40%,M58&gt;0%),"&gt;0%"),"")</f>
        <v/>
      </c>
      <c r="O58" t="str">
        <f t="shared" si="2"/>
        <v>JERSON RIVERA</v>
      </c>
    </row>
    <row r="59" spans="1:15" x14ac:dyDescent="0.25">
      <c r="A59" t="s">
        <v>5</v>
      </c>
      <c r="B59" t="str">
        <f t="shared" si="0"/>
        <v/>
      </c>
      <c r="E59">
        <f>D1_MARZO[[#This Row],[RECUPERO]]/VLOOKUP(D1_MARZO[[#This Row],[SUPER]],D2_MARZO[#All],2,0)</f>
        <v>0</v>
      </c>
      <c r="F59" t="str">
        <f>D1_MARZO[[#This Row],[SUPER]]</f>
        <v>JORDAN</v>
      </c>
      <c r="L59">
        <v>6</v>
      </c>
      <c r="M59" s="1">
        <f t="shared" si="1"/>
        <v>0.46983870967741936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2"/>
        <v>JOANA GIL</v>
      </c>
    </row>
    <row r="60" spans="1:15" x14ac:dyDescent="0.25">
      <c r="A60" t="s">
        <v>5</v>
      </c>
      <c r="B60" t="str">
        <f t="shared" si="0"/>
        <v/>
      </c>
      <c r="E60">
        <f>D1_MARZO[[#This Row],[RECUPERO]]/VLOOKUP(D1_MARZO[[#This Row],[SUPER]],D2_MARZO[#All],2,0)</f>
        <v>0</v>
      </c>
      <c r="F60" t="str">
        <f>D1_MARZO[[#This Row],[SUPER]]</f>
        <v>JORDAN</v>
      </c>
      <c r="L60">
        <v>7</v>
      </c>
      <c r="M60" s="1">
        <f t="shared" si="1"/>
        <v>0.4863564516129032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MARGARITA PIANCHACHI</v>
      </c>
    </row>
    <row r="61" spans="1:15" x14ac:dyDescent="0.25">
      <c r="A61" t="s">
        <v>5</v>
      </c>
      <c r="B61" t="str">
        <f t="shared" si="0"/>
        <v/>
      </c>
      <c r="E61">
        <f>D1_MARZO[[#This Row],[RECUPERO]]/VLOOKUP(D1_MARZO[[#This Row],[SUPER]],D2_MARZO[#All],2,0)</f>
        <v>0</v>
      </c>
      <c r="F61" t="str">
        <f>D1_MARZO[[#This Row],[SUPER]]</f>
        <v>JORDAN</v>
      </c>
      <c r="L61">
        <v>8</v>
      </c>
      <c r="M61" s="1">
        <f t="shared" si="1"/>
        <v>0.76293693548387087</v>
      </c>
      <c r="N61" t="str" cm="1">
        <f t="array" ref="N61">IFERROR(_xlfn.IFS(M61&gt;100%,"&gt;100%",AND(M61&lt;100%,M61&gt;70%),"&gt;70%",AND(M61&lt;70%,M61&gt;40%),"&gt;40%",AND(M61&lt;40%,M61&gt;0%),"&gt;0%"),"")</f>
        <v>&gt;70%</v>
      </c>
      <c r="O61" t="str">
        <f t="shared" si="2"/>
        <v>MELISSA GUERRERO</v>
      </c>
    </row>
    <row r="62" spans="1:15" x14ac:dyDescent="0.25">
      <c r="A62" t="s">
        <v>5</v>
      </c>
      <c r="B62" t="str">
        <f t="shared" si="0"/>
        <v/>
      </c>
      <c r="E62">
        <f>D1_MARZO[[#This Row],[RECUPERO]]/VLOOKUP(D1_MARZO[[#This Row],[SUPER]],D2_MARZO[#All],2,0)</f>
        <v>0</v>
      </c>
      <c r="F62" t="str">
        <f>D1_MARZO[[#This Row],[SUPER]]</f>
        <v>JORDAN</v>
      </c>
      <c r="L62">
        <v>9</v>
      </c>
      <c r="M62" s="1">
        <f t="shared" si="1"/>
        <v>0.91170967741935482</v>
      </c>
      <c r="N62" t="str" cm="1">
        <f t="array" ref="N62">IFERROR(_xlfn.IFS(M62&gt;100%,"&gt;100%",AND(M62&lt;100%,M62&gt;70%),"&gt;70%",AND(M62&lt;70%,M62&gt;40%),"&gt;40%",AND(M62&lt;40%,M62&gt;0%),"&gt;0%"),"")</f>
        <v>&gt;70%</v>
      </c>
      <c r="O62" t="str">
        <f t="shared" si="2"/>
        <v>NATALIA MARIN</v>
      </c>
    </row>
    <row r="63" spans="1:15" x14ac:dyDescent="0.25">
      <c r="A63" t="s">
        <v>6</v>
      </c>
      <c r="B63" t="str">
        <f t="shared" si="0"/>
        <v>BRYAN VELASQUEZ</v>
      </c>
      <c r="C63" t="s">
        <v>157</v>
      </c>
      <c r="D63">
        <v>22900</v>
      </c>
      <c r="E63">
        <f>D1_MARZO[[#This Row],[RECUPERO]]/VLOOKUP(D1_MARZO[[#This Row],[SUPER]],D2_MARZO[#All],2,0)</f>
        <v>1.0904761904761904</v>
      </c>
      <c r="F63" t="str">
        <f>D1_MARZO[[#This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</row>
    <row r="64" spans="1:15" x14ac:dyDescent="0.25">
      <c r="A64" t="s">
        <v>6</v>
      </c>
      <c r="B64" t="str">
        <f t="shared" si="0"/>
        <v>CARMEN PUMA</v>
      </c>
      <c r="C64" t="s">
        <v>19</v>
      </c>
      <c r="D64">
        <v>38092</v>
      </c>
      <c r="E64">
        <f>D1_MARZO[[#This Row],[RECUPERO]]/VLOOKUP(D1_MARZO[[#This Row],[SUPER]],D2_MARZO[#All],2,0)</f>
        <v>1.8139047619047619</v>
      </c>
      <c r="F64" t="str">
        <f>D1_MARZO[[#This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</row>
    <row r="65" spans="1:15" x14ac:dyDescent="0.25">
      <c r="A65" t="s">
        <v>6</v>
      </c>
      <c r="B65" t="str">
        <f t="shared" si="0"/>
        <v>DAVID SANCHEZ</v>
      </c>
      <c r="C65" t="s">
        <v>81</v>
      </c>
      <c r="D65">
        <v>15567</v>
      </c>
      <c r="E65">
        <f>D1_MARZO[[#This Row],[RECUPERO]]/VLOOKUP(D1_MARZO[[#This Row],[SUPER]],D2_MARZO[#All],2,0)</f>
        <v>0.74128571428571433</v>
      </c>
      <c r="F65" t="str">
        <f>D1_MARZO[[#This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</row>
    <row r="66" spans="1:15" x14ac:dyDescent="0.25">
      <c r="A66" t="s">
        <v>6</v>
      </c>
      <c r="B66" t="str">
        <f t="shared" si="0"/>
        <v>JIMENA MEDINA</v>
      </c>
      <c r="C66" t="s">
        <v>37</v>
      </c>
      <c r="D66">
        <v>5880</v>
      </c>
      <c r="E66">
        <f>D1_MARZO[[#This Row],[RECUPERO]]/VLOOKUP(D1_MARZO[[#This Row],[SUPER]],D2_MARZO[#All],2,0)</f>
        <v>0.28000000000000003</v>
      </c>
      <c r="F66" t="str">
        <f>D1_MARZO[[#This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</row>
    <row r="67" spans="1:15" x14ac:dyDescent="0.25">
      <c r="A67" t="s">
        <v>6</v>
      </c>
      <c r="B67" t="str">
        <f t="shared" si="0"/>
        <v>JUAN LOZA</v>
      </c>
      <c r="C67" t="s">
        <v>35</v>
      </c>
      <c r="D67">
        <v>9790</v>
      </c>
      <c r="E67">
        <f>D1_MARZO[[#This Row],[RECUPERO]]/VLOOKUP(D1_MARZO[[#This Row],[SUPER]],D2_MARZO[#All],2,0)</f>
        <v>0.46619047619047621</v>
      </c>
      <c r="F67" t="str">
        <f>D1_MARZO[[#This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</row>
    <row r="68" spans="1:15" x14ac:dyDescent="0.25">
      <c r="A68" t="s">
        <v>6</v>
      </c>
      <c r="B68" t="str">
        <f t="shared" ref="B68:B122" si="3">TRIM(C68)</f>
        <v>LUIS CENTENO</v>
      </c>
      <c r="C68" t="s">
        <v>31</v>
      </c>
      <c r="D68">
        <v>0</v>
      </c>
      <c r="E68">
        <f>D1_MARZO[[#This Row],[RECUPERO]]/VLOOKUP(D1_MARZO[[#This Row],[SUPER]],D2_MARZO[#All],2,0)</f>
        <v>0</v>
      </c>
      <c r="F68" t="str">
        <f>D1_MARZO[[#This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</row>
    <row r="69" spans="1:15" x14ac:dyDescent="0.25">
      <c r="A69" t="s">
        <v>6</v>
      </c>
      <c r="B69" t="str">
        <f t="shared" si="3"/>
        <v>MARCO SARMIENTO</v>
      </c>
      <c r="C69" t="s">
        <v>140</v>
      </c>
      <c r="D69">
        <v>9420</v>
      </c>
      <c r="E69">
        <f>D1_MARZO[[#This Row],[RECUPERO]]/VLOOKUP(D1_MARZO[[#This Row],[SUPER]],D2_MARZO[#All],2,0)</f>
        <v>0.44857142857142857</v>
      </c>
      <c r="F69" t="str">
        <f>D1_MARZO[[#This Row],[SUPER]]</f>
        <v>KENNETH</v>
      </c>
      <c r="L69">
        <v>1</v>
      </c>
      <c r="M69" s="1">
        <f t="shared" si="1"/>
        <v>1.0904761904761904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2"/>
        <v>BRYAN VELASQUEZ</v>
      </c>
    </row>
    <row r="70" spans="1:15" x14ac:dyDescent="0.25">
      <c r="A70" t="s">
        <v>6</v>
      </c>
      <c r="B70" t="str">
        <f t="shared" si="3"/>
        <v>MARIA GONZALES</v>
      </c>
      <c r="C70" t="s">
        <v>158</v>
      </c>
      <c r="D70">
        <v>15430</v>
      </c>
      <c r="E70">
        <f>D1_MARZO[[#This Row],[RECUPERO]]/VLOOKUP(D1_MARZO[[#This Row],[SUPER]],D2_MARZO[#All],2,0)</f>
        <v>0.73476190476190473</v>
      </c>
      <c r="F70" t="str">
        <f>D1_MARZO[[#This Row],[SUPER]]</f>
        <v>KENNETH</v>
      </c>
      <c r="L70">
        <v>2</v>
      </c>
      <c r="M70" s="1">
        <f t="shared" si="1"/>
        <v>1.8139047619047619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2"/>
        <v>CARMEN PUMA</v>
      </c>
    </row>
    <row r="71" spans="1:15" x14ac:dyDescent="0.25">
      <c r="A71" t="s">
        <v>6</v>
      </c>
      <c r="B71" t="str">
        <f t="shared" si="3"/>
        <v>MAURICIO MARTINEZ</v>
      </c>
      <c r="C71" t="s">
        <v>159</v>
      </c>
      <c r="D71">
        <v>21650</v>
      </c>
      <c r="E71">
        <f>D1_MARZO[[#This Row],[RECUPERO]]/VLOOKUP(D1_MARZO[[#This Row],[SUPER]],D2_MARZO[#All],2,0)</f>
        <v>1.0309523809523808</v>
      </c>
      <c r="F71" t="str">
        <f>D1_MARZO[[#This Row],[SUPER]]</f>
        <v>KENNETH</v>
      </c>
      <c r="L71">
        <v>3</v>
      </c>
      <c r="M71" s="1">
        <f t="shared" si="1"/>
        <v>0.74128571428571433</v>
      </c>
      <c r="N71" t="str" cm="1">
        <f t="array" ref="N71">IFERROR(_xlfn.IFS(M71&gt;100%,"&gt;100%",AND(M71&lt;100%,M71&gt;70%),"&gt;70%",AND(M71&lt;70%,M71&gt;40%),"&gt;40%",AND(M71&lt;40%,M71&gt;0%),"&gt;0%"),"")</f>
        <v>&gt;70%</v>
      </c>
      <c r="O71" t="str">
        <f t="shared" si="2"/>
        <v>DAVID SANCHEZ</v>
      </c>
    </row>
    <row r="72" spans="1:15" x14ac:dyDescent="0.25">
      <c r="A72" t="s">
        <v>6</v>
      </c>
      <c r="B72" t="str">
        <f t="shared" si="3"/>
        <v>MEDALITH NESTARES</v>
      </c>
      <c r="C72" t="s">
        <v>36</v>
      </c>
      <c r="D72">
        <v>5480</v>
      </c>
      <c r="E72">
        <f>D1_MARZO[[#This Row],[RECUPERO]]/VLOOKUP(D1_MARZO[[#This Row],[SUPER]],D2_MARZO[#All],2,0)</f>
        <v>0.26095238095238094</v>
      </c>
      <c r="F72" t="str">
        <f>D1_MARZO[[#This Row],[SUPER]]</f>
        <v>KENNETH</v>
      </c>
      <c r="L72">
        <v>4</v>
      </c>
      <c r="M72" s="1">
        <f t="shared" si="1"/>
        <v>0.28000000000000003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2"/>
        <v>JIMENA MEDINA</v>
      </c>
    </row>
    <row r="73" spans="1:15" x14ac:dyDescent="0.25">
      <c r="A73" t="s">
        <v>6</v>
      </c>
      <c r="B73" t="str">
        <f t="shared" si="3"/>
        <v>ROGGER RODRIGUEZ</v>
      </c>
      <c r="C73" t="s">
        <v>171</v>
      </c>
      <c r="D73">
        <v>3700</v>
      </c>
      <c r="E73">
        <f>D1_MARZO[[#This Row],[RECUPERO]]/VLOOKUP(D1_MARZO[[#This Row],[SUPER]],D2_MARZO[#All],2,0)</f>
        <v>0.1761904761904762</v>
      </c>
      <c r="F73" t="str">
        <f>D1_MARZO[[#This Row],[SUPER]]</f>
        <v>KENNETH</v>
      </c>
      <c r="L73">
        <v>5</v>
      </c>
      <c r="M73" s="1">
        <f t="shared" si="1"/>
        <v>0.46619047619047621</v>
      </c>
      <c r="N73" t="str" cm="1">
        <f t="array" ref="N73">IFERROR(_xlfn.IFS(M73&gt;100%,"&gt;100%",AND(M73&lt;100%,M73&gt;70%),"&gt;70%",AND(M73&lt;70%,M73&gt;40%),"&gt;40%",AND(M73&lt;40%,M73&gt;0%),"&gt;0%"),"")</f>
        <v>&gt;40%</v>
      </c>
      <c r="O73" t="str">
        <f t="shared" si="2"/>
        <v>JUAN LOZA</v>
      </c>
    </row>
    <row r="74" spans="1:15" x14ac:dyDescent="0.25">
      <c r="A74" t="s">
        <v>6</v>
      </c>
      <c r="B74" t="str">
        <f t="shared" si="3"/>
        <v>STWUAR MACURI</v>
      </c>
      <c r="C74" t="s">
        <v>34</v>
      </c>
      <c r="D74">
        <v>4667</v>
      </c>
      <c r="E74">
        <f>D1_MARZO[[#This Row],[RECUPERO]]/VLOOKUP(D1_MARZO[[#This Row],[SUPER]],D2_MARZO[#All],2,0)</f>
        <v>0.22223809523809523</v>
      </c>
      <c r="F74" t="str">
        <f>D1_MARZO[[#This Row],[SUPER]]</f>
        <v>KENNETH</v>
      </c>
      <c r="L74">
        <v>6</v>
      </c>
      <c r="M74" s="1">
        <f t="shared" ref="M74:M128" si="4">E68</f>
        <v>0</v>
      </c>
      <c r="N74" t="str" cm="1">
        <f t="array" ref="N74">IFERROR(_xlfn.IFS(M74&gt;100%,"&gt;100%",AND(M74&lt;100%,M74&gt;70%),"&gt;70%",AND(M74&lt;70%,M74&gt;40%),"&gt;40%",AND(M74&lt;40%,M74&gt;0%),"&gt;0%"),"")</f>
        <v/>
      </c>
      <c r="O74" t="str">
        <f t="shared" ref="O74:O128" si="5">B68</f>
        <v>LUIS CENTENO</v>
      </c>
    </row>
    <row r="75" spans="1:15" x14ac:dyDescent="0.25">
      <c r="A75" t="s">
        <v>6</v>
      </c>
      <c r="B75" t="str">
        <f t="shared" si="3"/>
        <v/>
      </c>
      <c r="E75">
        <f>D1_MARZO[[#This Row],[RECUPERO]]/VLOOKUP(D1_MARZO[[#This Row],[SUPER]],D2_MARZO[#All],2,0)</f>
        <v>0</v>
      </c>
      <c r="F75" t="str">
        <f>D1_MARZO[[#This Row],[SUPER]]</f>
        <v>KENNETH</v>
      </c>
      <c r="L75">
        <v>7</v>
      </c>
      <c r="M75" s="1">
        <f t="shared" si="4"/>
        <v>0.44857142857142857</v>
      </c>
      <c r="N75" t="str" cm="1">
        <f t="array" ref="N75">IFERROR(_xlfn.IFS(M75&gt;100%,"&gt;100%",AND(M75&lt;100%,M75&gt;70%),"&gt;70%",AND(M75&lt;70%,M75&gt;40%),"&gt;40%",AND(M75&lt;40%,M75&gt;0%),"&gt;0%"),"")</f>
        <v>&gt;40%</v>
      </c>
      <c r="O75" t="str">
        <f t="shared" si="5"/>
        <v>MARCO SARMIENTO</v>
      </c>
    </row>
    <row r="76" spans="1:15" x14ac:dyDescent="0.25">
      <c r="A76" t="s">
        <v>6</v>
      </c>
      <c r="B76" t="str">
        <f t="shared" si="3"/>
        <v/>
      </c>
      <c r="E76">
        <f>D1_MARZO[[#This Row],[RECUPERO]]/VLOOKUP(D1_MARZO[[#This Row],[SUPER]],D2_MARZO[#All],2,0)</f>
        <v>0</v>
      </c>
      <c r="F76" t="str">
        <f>D1_MARZO[[#This Row],[SUPER]]</f>
        <v>KENNETH</v>
      </c>
      <c r="L76">
        <v>8</v>
      </c>
      <c r="M76" s="1">
        <f t="shared" si="4"/>
        <v>0.73476190476190473</v>
      </c>
      <c r="N76" t="str" cm="1">
        <f t="array" ref="N76">IFERROR(_xlfn.IFS(M76&gt;100%,"&gt;100%",AND(M76&lt;100%,M76&gt;70%),"&gt;70%",AND(M76&lt;70%,M76&gt;40%),"&gt;40%",AND(M76&lt;40%,M76&gt;0%),"&gt;0%"),"")</f>
        <v>&gt;70%</v>
      </c>
      <c r="O76" t="str">
        <f t="shared" si="5"/>
        <v>MARIA GONZALES</v>
      </c>
    </row>
    <row r="77" spans="1:15" x14ac:dyDescent="0.25">
      <c r="A77" t="s">
        <v>6</v>
      </c>
      <c r="B77" t="str">
        <f t="shared" si="3"/>
        <v/>
      </c>
      <c r="E77">
        <f>D1_MARZO[[#This Row],[RECUPERO]]/VLOOKUP(D1_MARZO[[#This Row],[SUPER]],D2_MARZO[#All],2,0)</f>
        <v>0</v>
      </c>
      <c r="F77" t="str">
        <f>D1_MARZO[[#This Row],[SUPER]]</f>
        <v>KENNETH</v>
      </c>
      <c r="L77">
        <v>9</v>
      </c>
      <c r="M77" s="1">
        <f t="shared" si="4"/>
        <v>1.0309523809523808</v>
      </c>
      <c r="N77" t="str" cm="1">
        <f t="array" ref="N77">IFERROR(_xlfn.IFS(M77&gt;100%,"&gt;100%",AND(M77&lt;100%,M77&gt;70%),"&gt;70%",AND(M77&lt;70%,M77&gt;40%),"&gt;40%",AND(M77&lt;40%,M77&gt;0%),"&gt;0%"),"")</f>
        <v>&gt;100%</v>
      </c>
      <c r="O77" t="str">
        <f t="shared" si="5"/>
        <v>MAURICIO MARTINEZ</v>
      </c>
    </row>
    <row r="78" spans="1:15" x14ac:dyDescent="0.25">
      <c r="A78" t="s">
        <v>9</v>
      </c>
      <c r="B78" t="str">
        <f t="shared" si="3"/>
        <v>ALEJANDRA AVILA</v>
      </c>
      <c r="C78" t="s">
        <v>21</v>
      </c>
      <c r="D78">
        <v>14514</v>
      </c>
      <c r="E78">
        <f>D1_MARZO[[#This Row],[RECUPERO]]/VLOOKUP(D1_MARZO[[#This Row],[SUPER]],D2_MARZO[#All],2,0)</f>
        <v>0.69114285714285717</v>
      </c>
      <c r="F78" t="str">
        <f>D1_MARZO[[#This Row],[SUPER]]</f>
        <v>LUIS</v>
      </c>
      <c r="L78">
        <v>10</v>
      </c>
      <c r="M78" s="1">
        <f t="shared" si="4"/>
        <v>0.26095238095238094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5"/>
        <v>MEDALITH NESTARES</v>
      </c>
    </row>
    <row r="79" spans="1:15" x14ac:dyDescent="0.25">
      <c r="A79" t="s">
        <v>9</v>
      </c>
      <c r="B79" t="str">
        <f t="shared" si="3"/>
        <v>ANDERSON RODRIGUEZ</v>
      </c>
      <c r="C79" t="s">
        <v>15</v>
      </c>
      <c r="D79">
        <v>0</v>
      </c>
      <c r="E79">
        <f>D1_MARZO[[#This Row],[RECUPERO]]/VLOOKUP(D1_MARZO[[#This Row],[SUPER]],D2_MARZO[#All],2,0)</f>
        <v>0</v>
      </c>
      <c r="F79" t="str">
        <f>D1_MARZO[[#This Row],[SUPER]]</f>
        <v>LUIS</v>
      </c>
      <c r="L79">
        <v>11</v>
      </c>
      <c r="M79" s="1">
        <f t="shared" si="4"/>
        <v>0.1761904761904762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5"/>
        <v>ROGGER RODRIGUEZ</v>
      </c>
    </row>
    <row r="80" spans="1:15" x14ac:dyDescent="0.25">
      <c r="A80" t="s">
        <v>9</v>
      </c>
      <c r="B80" t="str">
        <f t="shared" si="3"/>
        <v>CRISTINA TICONA</v>
      </c>
      <c r="C80" t="s">
        <v>61</v>
      </c>
      <c r="D80">
        <v>10823</v>
      </c>
      <c r="E80">
        <f>D1_MARZO[[#This Row],[RECUPERO]]/VLOOKUP(D1_MARZO[[#This Row],[SUPER]],D2_MARZO[#All],2,0)</f>
        <v>0.51538095238095238</v>
      </c>
      <c r="F80" t="str">
        <f>D1_MARZO[[#This Row],[SUPER]]</f>
        <v>LUIS</v>
      </c>
      <c r="L80">
        <v>12</v>
      </c>
      <c r="M80" s="1">
        <f t="shared" si="4"/>
        <v>0.22223809523809523</v>
      </c>
      <c r="N80" t="str" cm="1">
        <f t="array" ref="N80">IFERROR(_xlfn.IFS(M80&gt;100%,"&gt;100%",AND(M80&lt;100%,M80&gt;70%),"&gt;70%",AND(M80&lt;70%,M80&gt;40%),"&gt;40%",AND(M80&lt;40%,M80&gt;0%),"&gt;0%"),"")</f>
        <v>&gt;0%</v>
      </c>
      <c r="O80" t="str">
        <f t="shared" si="5"/>
        <v>STWUAR MACURI</v>
      </c>
    </row>
    <row r="81" spans="1:15" x14ac:dyDescent="0.25">
      <c r="A81" t="s">
        <v>9</v>
      </c>
      <c r="B81" t="str">
        <f t="shared" si="3"/>
        <v>EDSON MAMANI</v>
      </c>
      <c r="C81" t="s">
        <v>172</v>
      </c>
      <c r="D81">
        <v>5753</v>
      </c>
      <c r="E81">
        <f>D1_MARZO[[#This Row],[RECUPERO]]/VLOOKUP(D1_MARZO[[#This Row],[SUPER]],D2_MARZO[#All],2,0)</f>
        <v>0.27395238095238095</v>
      </c>
      <c r="F81" t="str">
        <f>D1_MARZO[[#This Row],[SUPER]]</f>
        <v>LUIS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</row>
    <row r="82" spans="1:15" x14ac:dyDescent="0.25">
      <c r="A82" t="s">
        <v>9</v>
      </c>
      <c r="B82" t="str">
        <f t="shared" si="3"/>
        <v>GABRIELA APONTE</v>
      </c>
      <c r="C82" t="s">
        <v>27</v>
      </c>
      <c r="D82">
        <v>4726</v>
      </c>
      <c r="E82">
        <f>D1_MARZO[[#This Row],[RECUPERO]]/VLOOKUP(D1_MARZO[[#This Row],[SUPER]],D2_MARZO[#All],2,0)</f>
        <v>0.22504761904761905</v>
      </c>
      <c r="F82" t="str">
        <f>D1_MARZO[[#This Row],[SUPER]]</f>
        <v>LUIS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</row>
    <row r="83" spans="1:15" x14ac:dyDescent="0.25">
      <c r="A83" t="s">
        <v>9</v>
      </c>
      <c r="B83" t="str">
        <f t="shared" si="3"/>
        <v>GERALDINE ARROYO</v>
      </c>
      <c r="C83" t="s">
        <v>51</v>
      </c>
      <c r="D83">
        <v>7053</v>
      </c>
      <c r="E83">
        <f>D1_MARZO[[#This Row],[RECUPERO]]/VLOOKUP(D1_MARZO[[#This Row],[SUPER]],D2_MARZO[#All],2,0)</f>
        <v>0.33585714285714285</v>
      </c>
      <c r="F83" t="str">
        <f>D1_MARZO[[#This Row],[SUPER]]</f>
        <v>LUIS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</row>
    <row r="84" spans="1:15" x14ac:dyDescent="0.25">
      <c r="A84" t="s">
        <v>9</v>
      </c>
      <c r="B84" t="str">
        <f t="shared" si="3"/>
        <v>GIULIANA QUISPE</v>
      </c>
      <c r="C84" t="s">
        <v>71</v>
      </c>
      <c r="D84">
        <v>6613</v>
      </c>
      <c r="E84">
        <f>D1_MARZO[[#This Row],[RECUPERO]]/VLOOKUP(D1_MARZO[[#This Row],[SUPER]],D2_MARZO[#All],2,0)</f>
        <v>0.31490476190476191</v>
      </c>
      <c r="F84" t="str">
        <f>D1_MARZO[[#This Row],[SUPER]]</f>
        <v>LUIS</v>
      </c>
      <c r="L84">
        <v>1</v>
      </c>
      <c r="M84" s="1">
        <f t="shared" si="4"/>
        <v>0.69114285714285717</v>
      </c>
      <c r="N84" t="str" cm="1">
        <f t="array" ref="N84">IFERROR(_xlfn.IFS(M84&gt;100%,"&gt;100%",AND(M84&lt;100%,M84&gt;70%),"&gt;70%",AND(M84&lt;70%,M84&gt;40%),"&gt;40%",AND(M84&lt;40%,M84&gt;0%),"&gt;0%"),"")</f>
        <v>&gt;40%</v>
      </c>
      <c r="O84" t="str">
        <f t="shared" si="5"/>
        <v>ALEJANDRA AVILA</v>
      </c>
    </row>
    <row r="85" spans="1:15" x14ac:dyDescent="0.25">
      <c r="A85" t="s">
        <v>9</v>
      </c>
      <c r="B85" t="str">
        <f t="shared" si="3"/>
        <v>HAROLD FLORES</v>
      </c>
      <c r="C85" t="s">
        <v>42</v>
      </c>
      <c r="D85">
        <v>6103</v>
      </c>
      <c r="E85">
        <f>D1_MARZO[[#This Row],[RECUPERO]]/VLOOKUP(D1_MARZO[[#This Row],[SUPER]],D2_MARZO[#All],2,0)</f>
        <v>0.29061904761904761</v>
      </c>
      <c r="F85" t="str">
        <f>D1_MARZO[[#This Row],[SUPER]]</f>
        <v>LUIS</v>
      </c>
      <c r="L85">
        <v>2</v>
      </c>
      <c r="M85" s="1">
        <f t="shared" si="4"/>
        <v>0</v>
      </c>
      <c r="N85" t="str" cm="1">
        <f t="array" ref="N85">IFERROR(_xlfn.IFS(M85&gt;100%,"&gt;100%",AND(M85&lt;100%,M85&gt;70%),"&gt;70%",AND(M85&lt;70%,M85&gt;40%),"&gt;40%",AND(M85&lt;40%,M85&gt;0%),"&gt;0%"),"")</f>
        <v/>
      </c>
      <c r="O85" t="str">
        <f t="shared" si="5"/>
        <v>ANDERSON RODRIGUEZ</v>
      </c>
    </row>
    <row r="86" spans="1:15" x14ac:dyDescent="0.25">
      <c r="A86" t="s">
        <v>9</v>
      </c>
      <c r="B86" t="str">
        <f t="shared" si="3"/>
        <v>MERLY CORONEL</v>
      </c>
      <c r="C86" t="s">
        <v>70</v>
      </c>
      <c r="D86">
        <v>21973</v>
      </c>
      <c r="E86">
        <f>D1_MARZO[[#This Row],[RECUPERO]]/VLOOKUP(D1_MARZO[[#This Row],[SUPER]],D2_MARZO[#All],2,0)</f>
        <v>1.0463333333333333</v>
      </c>
      <c r="F86" t="str">
        <f>D1_MARZO[[#This Row],[SUPER]]</f>
        <v>LUIS</v>
      </c>
      <c r="L86">
        <v>3</v>
      </c>
      <c r="M86" s="1">
        <f t="shared" si="4"/>
        <v>0.51538095238095238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5"/>
        <v>CRISTINA TICONA</v>
      </c>
    </row>
    <row r="87" spans="1:15" x14ac:dyDescent="0.25">
      <c r="A87" t="s">
        <v>9</v>
      </c>
      <c r="B87" t="str">
        <f t="shared" si="3"/>
        <v>ROCIO TERRONES</v>
      </c>
      <c r="C87" t="s">
        <v>128</v>
      </c>
      <c r="D87">
        <v>9575.1</v>
      </c>
      <c r="E87">
        <f>D1_MARZO[[#This Row],[RECUPERO]]/VLOOKUP(D1_MARZO[[#This Row],[SUPER]],D2_MARZO[#All],2,0)</f>
        <v>0.45595714285714289</v>
      </c>
      <c r="F87" t="str">
        <f>D1_MARZO[[#This Row],[SUPER]]</f>
        <v>LUIS</v>
      </c>
      <c r="L87">
        <v>4</v>
      </c>
      <c r="M87" s="1">
        <f t="shared" si="4"/>
        <v>0.27395238095238095</v>
      </c>
      <c r="N87" t="str" cm="1">
        <f t="array" ref="N87">IFERROR(_xlfn.IFS(M87&gt;100%,"&gt;100%",AND(M87&lt;100%,M87&gt;70%),"&gt;70%",AND(M87&lt;70%,M87&gt;40%),"&gt;40%",AND(M87&lt;40%,M87&gt;0%),"&gt;0%"),"")</f>
        <v>&gt;0%</v>
      </c>
      <c r="O87" t="str">
        <f t="shared" si="5"/>
        <v>EDSON MAMANI</v>
      </c>
    </row>
    <row r="88" spans="1:15" x14ac:dyDescent="0.25">
      <c r="A88" t="s">
        <v>9</v>
      </c>
      <c r="B88" t="str">
        <f t="shared" si="3"/>
        <v>SARITA GARAY</v>
      </c>
      <c r="C88" t="s">
        <v>73</v>
      </c>
      <c r="D88">
        <v>8225</v>
      </c>
      <c r="E88">
        <f>D1_MARZO[[#This Row],[RECUPERO]]/VLOOKUP(D1_MARZO[[#This Row],[SUPER]],D2_MARZO[#All],2,0)</f>
        <v>0.39166666666666666</v>
      </c>
      <c r="F88" t="str">
        <f>D1_MARZO[[#This Row],[SUPER]]</f>
        <v>LUIS</v>
      </c>
      <c r="L88">
        <v>5</v>
      </c>
      <c r="M88" s="1">
        <f t="shared" si="4"/>
        <v>0.22504761904761905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5"/>
        <v>GABRIELA APONTE</v>
      </c>
    </row>
    <row r="89" spans="1:15" x14ac:dyDescent="0.25">
      <c r="A89" t="s">
        <v>9</v>
      </c>
      <c r="B89" t="str">
        <f t="shared" si="3"/>
        <v>VERONICA HUARCA</v>
      </c>
      <c r="C89" t="s">
        <v>48</v>
      </c>
      <c r="D89">
        <v>8142.3</v>
      </c>
      <c r="E89">
        <f>D1_MARZO[[#This Row],[RECUPERO]]/VLOOKUP(D1_MARZO[[#This Row],[SUPER]],D2_MARZO[#All],2,0)</f>
        <v>0.38772857142857142</v>
      </c>
      <c r="F89" t="str">
        <f>D1_MARZO[[#This Row],[SUPER]]</f>
        <v>LUIS</v>
      </c>
      <c r="L89">
        <v>6</v>
      </c>
      <c r="M89" s="1">
        <f t="shared" si="4"/>
        <v>0.33585714285714285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5"/>
        <v>GERALDINE ARROYO</v>
      </c>
    </row>
    <row r="90" spans="1:15" x14ac:dyDescent="0.25">
      <c r="A90" t="s">
        <v>9</v>
      </c>
      <c r="B90" t="str">
        <f t="shared" si="3"/>
        <v/>
      </c>
      <c r="E90">
        <f>D1_MARZO[[#This Row],[RECUPERO]]/VLOOKUP(D1_MARZO[[#This Row],[SUPER]],D2_MARZO[#All],2,0)</f>
        <v>0</v>
      </c>
      <c r="F90" t="str">
        <f>D1_MARZO[[#This Row],[SUPER]]</f>
        <v>LUIS</v>
      </c>
      <c r="L90">
        <v>7</v>
      </c>
      <c r="M90" s="1">
        <f t="shared" si="4"/>
        <v>0.31490476190476191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5"/>
        <v>GIULIANA QUISPE</v>
      </c>
    </row>
    <row r="91" spans="1:15" x14ac:dyDescent="0.25">
      <c r="A91" t="s">
        <v>9</v>
      </c>
      <c r="B91" t="str">
        <f t="shared" si="3"/>
        <v/>
      </c>
      <c r="E91">
        <f>D1_MARZO[[#This Row],[RECUPERO]]/VLOOKUP(D1_MARZO[[#This Row],[SUPER]],D2_MARZO[#All],2,0)</f>
        <v>0</v>
      </c>
      <c r="F91" t="str">
        <f>D1_MARZO[[#This Row],[SUPER]]</f>
        <v>LUIS</v>
      </c>
      <c r="L91">
        <v>8</v>
      </c>
      <c r="M91" s="1">
        <f t="shared" si="4"/>
        <v>0.29061904761904761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HAROLD FLORES</v>
      </c>
    </row>
    <row r="92" spans="1:15" x14ac:dyDescent="0.25">
      <c r="A92" t="s">
        <v>9</v>
      </c>
      <c r="B92" t="str">
        <f t="shared" si="3"/>
        <v/>
      </c>
      <c r="E92">
        <f>D1_MARZO[[#This Row],[RECUPERO]]/VLOOKUP(D1_MARZO[[#This Row],[SUPER]],D2_MARZO[#All],2,0)</f>
        <v>0</v>
      </c>
      <c r="F92" t="str">
        <f>D1_MARZO[[#This Row],[SUPER]]</f>
        <v>LUIS</v>
      </c>
      <c r="L92">
        <v>9</v>
      </c>
      <c r="M92" s="1">
        <f t="shared" si="4"/>
        <v>1.0463333333333333</v>
      </c>
      <c r="N92" t="str" cm="1">
        <f t="array" ref="N92">IFERROR(_xlfn.IFS(M92&gt;100%,"&gt;100%",AND(M92&lt;100%,M92&gt;70%),"&gt;70%",AND(M92&lt;70%,M92&gt;40%),"&gt;40%",AND(M92&lt;40%,M92&gt;0%),"&gt;0%"),"")</f>
        <v>&gt;100%</v>
      </c>
      <c r="O92" t="str">
        <f t="shared" si="5"/>
        <v>MERLY CORONEL</v>
      </c>
    </row>
    <row r="93" spans="1:15" x14ac:dyDescent="0.25">
      <c r="A93" t="s">
        <v>154</v>
      </c>
      <c r="B93" t="str">
        <f t="shared" si="3"/>
        <v>ALEIDITH GUEVARA</v>
      </c>
      <c r="C93" t="s">
        <v>18</v>
      </c>
      <c r="D93">
        <v>20810</v>
      </c>
      <c r="E93">
        <f>D1_MARZO[[#This Row],[RECUPERO]]/VLOOKUP(D1_MARZO[[#This Row],[SUPER]],D2_MARZO[#All],2,0)</f>
        <v>1.2612121212121212</v>
      </c>
      <c r="F93" t="str">
        <f>D1_MARZO[[#This Row],[SUPER]]</f>
        <v>MELITA</v>
      </c>
      <c r="L93">
        <v>10</v>
      </c>
      <c r="M93" s="1">
        <f t="shared" si="4"/>
        <v>0.45595714285714289</v>
      </c>
      <c r="N93" t="str" cm="1">
        <f t="array" ref="N93">IFERROR(_xlfn.IFS(M93&gt;100%,"&gt;100%",AND(M93&lt;100%,M93&gt;70%),"&gt;70%",AND(M93&lt;70%,M93&gt;40%),"&gt;40%",AND(M93&lt;40%,M93&gt;0%),"&gt;0%"),"")</f>
        <v>&gt;40%</v>
      </c>
      <c r="O93" t="str">
        <f t="shared" si="5"/>
        <v>ROCIO TERRONES</v>
      </c>
    </row>
    <row r="94" spans="1:15" x14ac:dyDescent="0.25">
      <c r="A94" t="s">
        <v>154</v>
      </c>
      <c r="B94" t="str">
        <f t="shared" si="3"/>
        <v>BRINA SOTO</v>
      </c>
      <c r="C94" t="s">
        <v>14</v>
      </c>
      <c r="D94">
        <v>200</v>
      </c>
      <c r="E94">
        <f>D1_MARZO[[#This Row],[RECUPERO]]/VLOOKUP(D1_MARZO[[#This Row],[SUPER]],D2_MARZO[#All],2,0)</f>
        <v>1.2121212121212121E-2</v>
      </c>
      <c r="F94" t="str">
        <f>D1_MARZO[[#This Row],[SUPER]]</f>
        <v>MELITA</v>
      </c>
      <c r="L94">
        <v>11</v>
      </c>
      <c r="M94" s="1">
        <f t="shared" si="4"/>
        <v>0.39166666666666666</v>
      </c>
      <c r="N94" t="str" cm="1">
        <f t="array" ref="N94">IFERROR(_xlfn.IFS(M94&gt;100%,"&gt;100%",AND(M94&lt;100%,M94&gt;70%),"&gt;70%",AND(M94&lt;70%,M94&gt;40%),"&gt;40%",AND(M94&lt;40%,M94&gt;0%),"&gt;0%"),"")</f>
        <v>&gt;0%</v>
      </c>
      <c r="O94" t="str">
        <f t="shared" si="5"/>
        <v>SARITA GARAY</v>
      </c>
    </row>
    <row r="95" spans="1:15" x14ac:dyDescent="0.25">
      <c r="A95" t="s">
        <v>154</v>
      </c>
      <c r="B95" t="str">
        <f t="shared" si="3"/>
        <v>CARLOS CALAGUA</v>
      </c>
      <c r="C95" t="s">
        <v>129</v>
      </c>
      <c r="D95">
        <v>7970</v>
      </c>
      <c r="E95">
        <f>D1_MARZO[[#This Row],[RECUPERO]]/VLOOKUP(D1_MARZO[[#This Row],[SUPER]],D2_MARZO[#All],2,0)</f>
        <v>0.48303030303030303</v>
      </c>
      <c r="F95" t="str">
        <f>D1_MARZO[[#This Row],[SUPER]]</f>
        <v>MELITA</v>
      </c>
      <c r="L95">
        <v>12</v>
      </c>
      <c r="M95" s="1">
        <f t="shared" si="4"/>
        <v>0.38772857142857142</v>
      </c>
      <c r="N95" t="str" cm="1">
        <f t="array" ref="N95">IFERROR(_xlfn.IFS(M95&gt;100%,"&gt;100%",AND(M95&lt;100%,M95&gt;70%),"&gt;70%",AND(M95&lt;70%,M95&gt;40%),"&gt;40%",AND(M95&lt;40%,M95&gt;0%),"&gt;0%"),"")</f>
        <v>&gt;0%</v>
      </c>
      <c r="O95" t="str">
        <f t="shared" si="5"/>
        <v>VERONICA HUARCA</v>
      </c>
    </row>
    <row r="96" spans="1:15" x14ac:dyDescent="0.25">
      <c r="A96" t="s">
        <v>154</v>
      </c>
      <c r="B96" t="str">
        <f t="shared" si="3"/>
        <v>DANIEL ZAPATA</v>
      </c>
      <c r="C96" t="s">
        <v>80</v>
      </c>
      <c r="D96">
        <v>20579</v>
      </c>
      <c r="E96">
        <f>D1_MARZO[[#This Row],[RECUPERO]]/VLOOKUP(D1_MARZO[[#This Row],[SUPER]],D2_MARZO[#All],2,0)</f>
        <v>1.2472121212121212</v>
      </c>
      <c r="F96" t="str">
        <f>D1_MARZO[[#This Row],[SUPER]]</f>
        <v>MELITA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</row>
    <row r="97" spans="1:15" x14ac:dyDescent="0.25">
      <c r="A97" t="s">
        <v>154</v>
      </c>
      <c r="B97" t="str">
        <f t="shared" si="3"/>
        <v>FRANCO HUAMANI</v>
      </c>
      <c r="C97" t="s">
        <v>24</v>
      </c>
      <c r="D97">
        <v>11898</v>
      </c>
      <c r="E97">
        <f>D1_MARZO[[#This Row],[RECUPERO]]/VLOOKUP(D1_MARZO[[#This Row],[SUPER]],D2_MARZO[#All],2,0)</f>
        <v>0.72109090909090912</v>
      </c>
      <c r="F97" t="str">
        <f>D1_MARZO[[#This Row],[SUPER]]</f>
        <v>MELITA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</row>
    <row r="98" spans="1:15" x14ac:dyDescent="0.25">
      <c r="A98" t="s">
        <v>154</v>
      </c>
      <c r="B98" t="str">
        <f t="shared" si="3"/>
        <v>ISABEL BEJARANO</v>
      </c>
      <c r="C98" t="s">
        <v>83</v>
      </c>
      <c r="D98">
        <v>9192</v>
      </c>
      <c r="E98">
        <f>D1_MARZO[[#This Row],[RECUPERO]]/VLOOKUP(D1_MARZO[[#This Row],[SUPER]],D2_MARZO[#All],2,0)</f>
        <v>0.55709090909090908</v>
      </c>
      <c r="F98" t="str">
        <f>D1_MARZO[[#This Row],[SUPER]]</f>
        <v>MELITA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</row>
    <row r="99" spans="1:15" x14ac:dyDescent="0.25">
      <c r="A99" t="s">
        <v>154</v>
      </c>
      <c r="B99" t="str">
        <f t="shared" si="3"/>
        <v>JANETH PORTOCARRERO</v>
      </c>
      <c r="C99" t="s">
        <v>49</v>
      </c>
      <c r="D99">
        <v>8611</v>
      </c>
      <c r="E99">
        <f>D1_MARZO[[#This Row],[RECUPERO]]/VLOOKUP(D1_MARZO[[#This Row],[SUPER]],D2_MARZO[#All],2,0)</f>
        <v>0.52187878787878783</v>
      </c>
      <c r="F99" t="str">
        <f>D1_MARZO[[#This Row],[SUPER]]</f>
        <v>MELITA</v>
      </c>
      <c r="L99">
        <v>1</v>
      </c>
      <c r="M99" s="1">
        <f t="shared" si="4"/>
        <v>1.2612121212121212</v>
      </c>
      <c r="N99" t="str" cm="1">
        <f t="array" ref="N99">IFERROR(_xlfn.IFS(M99&gt;100%,"&gt;100%",AND(M99&lt;100%,M99&gt;70%),"&gt;70%",AND(M99&lt;70%,M99&gt;40%),"&gt;40%",AND(M99&lt;40%,M99&gt;0%),"&gt;0%"),"")</f>
        <v>&gt;100%</v>
      </c>
      <c r="O99" t="str">
        <f t="shared" si="5"/>
        <v>ALEIDITH GUEVARA</v>
      </c>
    </row>
    <row r="100" spans="1:15" x14ac:dyDescent="0.25">
      <c r="A100" t="s">
        <v>154</v>
      </c>
      <c r="B100" t="str">
        <f t="shared" si="3"/>
        <v>JHONATAN CHAVEZ</v>
      </c>
      <c r="C100" t="s">
        <v>65</v>
      </c>
      <c r="D100">
        <v>10923</v>
      </c>
      <c r="E100">
        <f>D1_MARZO[[#This Row],[RECUPERO]]/VLOOKUP(D1_MARZO[[#This Row],[SUPER]],D2_MARZO[#All],2,0)</f>
        <v>0.66200000000000003</v>
      </c>
      <c r="F100" t="str">
        <f>D1_MARZO[[#This Row],[SUPER]]</f>
        <v>MELITA</v>
      </c>
      <c r="L100">
        <v>2</v>
      </c>
      <c r="M100" s="1">
        <f t="shared" si="4"/>
        <v>1.2121212121212121E-2</v>
      </c>
      <c r="N100" t="str" cm="1">
        <f t="array" ref="N100">IFERROR(_xlfn.IFS(M100&gt;100%,"&gt;100%",AND(M100&lt;100%,M100&gt;70%),"&gt;70%",AND(M100&lt;70%,M100&gt;40%),"&gt;40%",AND(M100&lt;40%,M100&gt;0%),"&gt;0%"),"")</f>
        <v>&gt;0%</v>
      </c>
      <c r="O100" t="str">
        <f t="shared" si="5"/>
        <v>BRINA SOTO</v>
      </c>
    </row>
    <row r="101" spans="1:15" x14ac:dyDescent="0.25">
      <c r="A101" t="s">
        <v>154</v>
      </c>
      <c r="B101" t="str">
        <f t="shared" si="3"/>
        <v>LINDA TUESTA</v>
      </c>
      <c r="C101" t="s">
        <v>33</v>
      </c>
      <c r="D101">
        <v>9549.4</v>
      </c>
      <c r="E101">
        <f>D1_MARZO[[#This Row],[RECUPERO]]/VLOOKUP(D1_MARZO[[#This Row],[SUPER]],D2_MARZO[#All],2,0)</f>
        <v>0.57875151515151513</v>
      </c>
      <c r="F101" t="str">
        <f>D1_MARZO[[#This Row],[SUPER]]</f>
        <v>MELITA</v>
      </c>
      <c r="L101">
        <v>3</v>
      </c>
      <c r="M101" s="1">
        <f t="shared" si="4"/>
        <v>0.48303030303030303</v>
      </c>
      <c r="N101" t="str" cm="1">
        <f t="array" ref="N101">IFERROR(_xlfn.IFS(M101&gt;100%,"&gt;100%",AND(M101&lt;100%,M101&gt;70%),"&gt;70%",AND(M101&lt;70%,M101&gt;40%),"&gt;40%",AND(M101&lt;40%,M101&gt;0%),"&gt;0%"),"")</f>
        <v>&gt;40%</v>
      </c>
      <c r="O101" t="str">
        <f t="shared" si="5"/>
        <v>CARLOS CALAGUA</v>
      </c>
    </row>
    <row r="102" spans="1:15" x14ac:dyDescent="0.25">
      <c r="A102" t="s">
        <v>154</v>
      </c>
      <c r="B102" t="str">
        <f t="shared" si="3"/>
        <v>LUCERO JORDAN</v>
      </c>
      <c r="C102" t="s">
        <v>68</v>
      </c>
      <c r="D102">
        <v>11743.5</v>
      </c>
      <c r="E102">
        <f>D1_MARZO[[#This Row],[RECUPERO]]/VLOOKUP(D1_MARZO[[#This Row],[SUPER]],D2_MARZO[#All],2,0)</f>
        <v>0.71172727272727276</v>
      </c>
      <c r="F102" t="str">
        <f>D1_MARZO[[#This Row],[SUPER]]</f>
        <v>MELITA</v>
      </c>
      <c r="L102">
        <v>4</v>
      </c>
      <c r="M102" s="1">
        <f t="shared" si="4"/>
        <v>1.2472121212121212</v>
      </c>
      <c r="N102" t="str" cm="1">
        <f t="array" ref="N102">IFERROR(_xlfn.IFS(M102&gt;100%,"&gt;100%",AND(M102&lt;100%,M102&gt;70%),"&gt;70%",AND(M102&lt;70%,M102&gt;40%),"&gt;40%",AND(M102&lt;40%,M102&gt;0%),"&gt;0%"),"")</f>
        <v>&gt;100%</v>
      </c>
      <c r="O102" t="str">
        <f t="shared" si="5"/>
        <v>DANIEL ZAPATA</v>
      </c>
    </row>
    <row r="103" spans="1:15" x14ac:dyDescent="0.25">
      <c r="A103" t="s">
        <v>154</v>
      </c>
      <c r="B103" t="str">
        <f t="shared" si="3"/>
        <v/>
      </c>
      <c r="E103">
        <f>D1_MARZO[[#This Row],[RECUPERO]]/VLOOKUP(D1_MARZO[[#This Row],[SUPER]],D2_MARZO[#All],2,0)</f>
        <v>0</v>
      </c>
      <c r="F103" t="str">
        <f>D1_MARZO[[#This Row],[SUPER]]</f>
        <v>MELITA</v>
      </c>
      <c r="L103">
        <v>5</v>
      </c>
      <c r="M103" s="1">
        <f t="shared" si="4"/>
        <v>0.72109090909090912</v>
      </c>
      <c r="N103" t="str" cm="1">
        <f t="array" ref="N103">IFERROR(_xlfn.IFS(M103&gt;100%,"&gt;100%",AND(M103&lt;100%,M103&gt;70%),"&gt;70%",AND(M103&lt;70%,M103&gt;40%),"&gt;40%",AND(M103&lt;40%,M103&gt;0%),"&gt;0%"),"")</f>
        <v>&gt;70%</v>
      </c>
      <c r="O103" t="str">
        <f t="shared" si="5"/>
        <v>FRANCO HUAMANI</v>
      </c>
    </row>
    <row r="104" spans="1:15" x14ac:dyDescent="0.25">
      <c r="A104" t="s">
        <v>154</v>
      </c>
      <c r="B104" t="str">
        <f t="shared" si="3"/>
        <v/>
      </c>
      <c r="E104">
        <f>D1_MARZO[[#This Row],[RECUPERO]]/VLOOKUP(D1_MARZO[[#This Row],[SUPER]],D2_MARZO[#All],2,0)</f>
        <v>0</v>
      </c>
      <c r="F104" t="str">
        <f>D1_MARZO[[#This Row],[SUPER]]</f>
        <v>MELITA</v>
      </c>
      <c r="L104">
        <v>6</v>
      </c>
      <c r="M104" s="1">
        <f t="shared" si="4"/>
        <v>0.55709090909090908</v>
      </c>
      <c r="N104" t="str" cm="1">
        <f t="array" ref="N104">IFERROR(_xlfn.IFS(M104&gt;100%,"&gt;100%",AND(M104&lt;100%,M104&gt;70%),"&gt;70%",AND(M104&lt;70%,M104&gt;40%),"&gt;40%",AND(M104&lt;40%,M104&gt;0%),"&gt;0%"),"")</f>
        <v>&gt;40%</v>
      </c>
      <c r="O104" t="str">
        <f t="shared" si="5"/>
        <v>ISABEL BEJARANO</v>
      </c>
    </row>
    <row r="105" spans="1:15" x14ac:dyDescent="0.25">
      <c r="A105" t="s">
        <v>154</v>
      </c>
      <c r="B105" t="str">
        <f t="shared" si="3"/>
        <v/>
      </c>
      <c r="E105">
        <f>D1_MARZO[[#This Row],[RECUPERO]]/VLOOKUP(D1_MARZO[[#This Row],[SUPER]],D2_MARZO[#All],2,0)</f>
        <v>0</v>
      </c>
      <c r="F105" t="str">
        <f>D1_MARZO[[#This Row],[SUPER]]</f>
        <v>MELITA</v>
      </c>
      <c r="L105">
        <v>7</v>
      </c>
      <c r="M105" s="1">
        <f t="shared" si="4"/>
        <v>0.52187878787878783</v>
      </c>
      <c r="N105" t="str" cm="1">
        <f t="array" ref="N105">IFERROR(_xlfn.IFS(M105&gt;100%,"&gt;100%",AND(M105&lt;100%,M105&gt;70%),"&gt;70%",AND(M105&lt;70%,M105&gt;40%),"&gt;40%",AND(M105&lt;40%,M105&gt;0%),"&gt;0%"),"")</f>
        <v>&gt;40%</v>
      </c>
      <c r="O105" t="str">
        <f t="shared" si="5"/>
        <v>JANETH PORTOCARRERO</v>
      </c>
    </row>
    <row r="106" spans="1:15" x14ac:dyDescent="0.25">
      <c r="A106" t="s">
        <v>154</v>
      </c>
      <c r="B106" t="str">
        <f t="shared" si="3"/>
        <v/>
      </c>
      <c r="E106">
        <f>D1_MARZO[[#This Row],[RECUPERO]]/VLOOKUP(D1_MARZO[[#This Row],[SUPER]],D2_MARZO[#All],2,0)</f>
        <v>0</v>
      </c>
      <c r="F106" t="str">
        <f>D1_MARZO[[#This Row],[SUPER]]</f>
        <v>MELITA</v>
      </c>
      <c r="L106">
        <v>8</v>
      </c>
      <c r="M106" s="1">
        <f t="shared" si="4"/>
        <v>0.66200000000000003</v>
      </c>
      <c r="N106" t="str" cm="1">
        <f t="array" ref="N106">IFERROR(_xlfn.IFS(M106&gt;100%,"&gt;100%",AND(M106&lt;100%,M106&gt;70%),"&gt;70%",AND(M106&lt;70%,M106&gt;40%),"&gt;40%",AND(M106&lt;40%,M106&gt;0%),"&gt;0%"),"")</f>
        <v>&gt;40%</v>
      </c>
      <c r="O106" t="str">
        <f t="shared" si="5"/>
        <v>JHONATAN CHAVEZ</v>
      </c>
    </row>
    <row r="107" spans="1:15" x14ac:dyDescent="0.25">
      <c r="A107" t="s">
        <v>154</v>
      </c>
      <c r="B107" t="str">
        <f t="shared" si="3"/>
        <v/>
      </c>
      <c r="E107">
        <f>D1_MARZO[[#This Row],[RECUPERO]]/VLOOKUP(D1_MARZO[[#This Row],[SUPER]],D2_MARZO[#All],2,0)</f>
        <v>0</v>
      </c>
      <c r="F107" t="str">
        <f>D1_MARZO[[#This Row],[SUPER]]</f>
        <v>MELITA</v>
      </c>
      <c r="L107">
        <v>9</v>
      </c>
      <c r="M107" s="1">
        <f t="shared" si="4"/>
        <v>0.57875151515151513</v>
      </c>
      <c r="N107" t="str" cm="1">
        <f t="array" ref="N107">IFERROR(_xlfn.IFS(M107&gt;100%,"&gt;100%",AND(M107&lt;100%,M107&gt;70%),"&gt;70%",AND(M107&lt;70%,M107&gt;40%),"&gt;40%",AND(M107&lt;40%,M107&gt;0%),"&gt;0%"),"")</f>
        <v>&gt;40%</v>
      </c>
      <c r="O107" t="str">
        <f t="shared" si="5"/>
        <v>LINDA TUESTA</v>
      </c>
    </row>
    <row r="108" spans="1:15" x14ac:dyDescent="0.25">
      <c r="B108" t="str">
        <f t="shared" si="3"/>
        <v/>
      </c>
      <c r="E108" t="e">
        <f>D1_MARZO[[#This Row],[RECUPERO]]/VLOOKUP(D1_MARZO[[#This Row],[SUPER]],D2_MARZO[#All],2,0)</f>
        <v>#N/A</v>
      </c>
      <c r="F108">
        <f>D1_MARZO[[#This Row],[SUPER]]</f>
        <v>0</v>
      </c>
      <c r="L108">
        <v>10</v>
      </c>
      <c r="M108" s="1">
        <f t="shared" si="4"/>
        <v>0.71172727272727276</v>
      </c>
      <c r="N108" t="str" cm="1">
        <f t="array" ref="N108">IFERROR(_xlfn.IFS(M108&gt;100%,"&gt;100%",AND(M108&lt;100%,M108&gt;70%),"&gt;70%",AND(M108&lt;70%,M108&gt;40%),"&gt;40%",AND(M108&lt;40%,M108&gt;0%),"&gt;0%"),"")</f>
        <v>&gt;70%</v>
      </c>
      <c r="O108" t="str">
        <f t="shared" si="5"/>
        <v>LUCERO JORDAN</v>
      </c>
    </row>
    <row r="109" spans="1:15" x14ac:dyDescent="0.25">
      <c r="B109" t="str">
        <f t="shared" si="3"/>
        <v/>
      </c>
      <c r="E109" t="e">
        <f>D1_MARZO[[#This Row],[RECUPERO]]/VLOOKUP(D1_MARZO[[#This Row],[SUPER]],D2_MARZO[#All],2,0)</f>
        <v>#N/A</v>
      </c>
      <c r="F109">
        <f>D1_MARZO[[#This Row],[SUPER]]</f>
        <v>0</v>
      </c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</row>
    <row r="110" spans="1:15" x14ac:dyDescent="0.25">
      <c r="B110" t="str">
        <f t="shared" si="3"/>
        <v/>
      </c>
      <c r="E110" t="e">
        <f>D1_MARZO[[#This Row],[RECUPERO]]/VLOOKUP(D1_MARZO[[#This Row],[SUPER]],D2_MARZO[#All],2,0)</f>
        <v>#N/A</v>
      </c>
      <c r="F110">
        <f>D1_MARZO[[#This Row],[SUPER]]</f>
        <v>0</v>
      </c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</row>
    <row r="111" spans="1:15" x14ac:dyDescent="0.25">
      <c r="B111" t="str">
        <f t="shared" si="3"/>
        <v/>
      </c>
      <c r="E111" t="e">
        <f>D1_MARZO[[#This Row],[RECUPERO]]/VLOOKUP(D1_MARZO[[#This Row],[SUPER]],D2_MARZO[#All],2,0)</f>
        <v>#N/A</v>
      </c>
      <c r="F111">
        <f>D1_MARZO[[#This Row],[SUPER]]</f>
        <v>0</v>
      </c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</row>
    <row r="112" spans="1:15" x14ac:dyDescent="0.25">
      <c r="B112" t="str">
        <f t="shared" si="3"/>
        <v/>
      </c>
      <c r="E112" t="e">
        <f>D1_MARZO[[#This Row],[RECUPERO]]/VLOOKUP(D1_MARZO[[#This Row],[SUPER]],D2_MARZO[#All],2,0)</f>
        <v>#N/A</v>
      </c>
      <c r="F112">
        <f>D1_MARZO[[#This Row],[SUPER]]</f>
        <v>0</v>
      </c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</row>
    <row r="113" spans="2:15" x14ac:dyDescent="0.25">
      <c r="B113" t="str">
        <f t="shared" si="3"/>
        <v/>
      </c>
      <c r="E113" t="e">
        <f>D1_MARZO[[#This Row],[RECUPERO]]/VLOOKUP(D1_MARZO[[#This Row],[SUPER]],D2_MARZO[#All],2,0)</f>
        <v>#N/A</v>
      </c>
      <c r="F113">
        <f>D1_MARZO[[#This Row],[SUPER]]</f>
        <v>0</v>
      </c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</row>
    <row r="114" spans="2:15" x14ac:dyDescent="0.25">
      <c r="B114" t="str">
        <f t="shared" si="3"/>
        <v/>
      </c>
      <c r="E114" t="e">
        <f>D1_MARZO[[#This Row],[RECUPERO]]/VLOOKUP(D1_MARZO[[#This Row],[SUPER]],D2_MARZO[#All],2,0)</f>
        <v>#N/A</v>
      </c>
      <c r="F114">
        <f>D1_MARZO[[#This Row],[SUPER]]</f>
        <v>0</v>
      </c>
      <c r="L114">
        <v>1</v>
      </c>
      <c r="M114" s="1" t="e">
        <f t="shared" si="4"/>
        <v>#N/A</v>
      </c>
      <c r="N114" t="str" cm="1">
        <f t="array" ref="N114">IFERROR(_xlfn.IFS(M114&gt;100%,"&gt;100%",AND(M114&lt;100%,M114&gt;70%),"&gt;70%",AND(M114&lt;70%,M114&gt;40%),"&gt;40%",AND(M114&lt;40%,M114&gt;0%),"&gt;0%"),"")</f>
        <v/>
      </c>
      <c r="O114" t="str">
        <f t="shared" si="5"/>
        <v/>
      </c>
    </row>
    <row r="115" spans="2:15" x14ac:dyDescent="0.25">
      <c r="B115" t="str">
        <f t="shared" si="3"/>
        <v/>
      </c>
      <c r="E115" t="e">
        <f>D1_MARZO[[#This Row],[RECUPERO]]/VLOOKUP(D1_MARZO[[#This Row],[SUPER]],D2_MARZO[#All],2,0)</f>
        <v>#N/A</v>
      </c>
      <c r="F115">
        <f>D1_MARZO[[#This Row],[SUPER]]</f>
        <v>0</v>
      </c>
      <c r="L115">
        <v>2</v>
      </c>
      <c r="M115" s="1" t="e">
        <f t="shared" si="4"/>
        <v>#N/A</v>
      </c>
      <c r="N115" t="str" cm="1">
        <f t="array" ref="N115">IFERROR(_xlfn.IFS(M115&gt;100%,"&gt;100%",AND(M115&lt;100%,M115&gt;70%),"&gt;70%",AND(M115&lt;70%,M115&gt;40%),"&gt;40%",AND(M115&lt;40%,M115&gt;0%),"&gt;0%"),"")</f>
        <v/>
      </c>
      <c r="O115" t="str">
        <f t="shared" si="5"/>
        <v/>
      </c>
    </row>
    <row r="116" spans="2:15" x14ac:dyDescent="0.25">
      <c r="B116" t="str">
        <f t="shared" si="3"/>
        <v/>
      </c>
      <c r="E116" t="e">
        <f>D1_MARZO[[#This Row],[RECUPERO]]/VLOOKUP(D1_MARZO[[#This Row],[SUPER]],D2_MARZO[#All],2,0)</f>
        <v>#N/A</v>
      </c>
      <c r="F116">
        <f>D1_MARZO[[#This Row],[SUPER]]</f>
        <v>0</v>
      </c>
      <c r="L116">
        <v>3</v>
      </c>
      <c r="M116" s="1" t="e">
        <f t="shared" si="4"/>
        <v>#N/A</v>
      </c>
      <c r="N116" t="str" cm="1">
        <f t="array" ref="N116">IFERROR(_xlfn.IFS(M116&gt;100%,"&gt;100%",AND(M116&lt;100%,M116&gt;70%),"&gt;70%",AND(M116&lt;70%,M116&gt;40%),"&gt;40%",AND(M116&lt;40%,M116&gt;0%),"&gt;0%"),"")</f>
        <v/>
      </c>
      <c r="O116" t="str">
        <f t="shared" si="5"/>
        <v/>
      </c>
    </row>
    <row r="117" spans="2:15" x14ac:dyDescent="0.25">
      <c r="B117" t="str">
        <f t="shared" si="3"/>
        <v/>
      </c>
      <c r="E117" t="e">
        <f>D1_MARZO[[#This Row],[RECUPERO]]/VLOOKUP(D1_MARZO[[#This Row],[SUPER]],D2_MARZO[#All],2,0)</f>
        <v>#N/A</v>
      </c>
      <c r="F117">
        <f>D1_MARZO[[#This Row],[SUPER]]</f>
        <v>0</v>
      </c>
      <c r="L117">
        <v>4</v>
      </c>
      <c r="M117" s="1" t="e">
        <f t="shared" si="4"/>
        <v>#N/A</v>
      </c>
      <c r="N117" t="str" cm="1">
        <f t="array" ref="N117">IFERROR(_xlfn.IFS(M117&gt;100%,"&gt;100%",AND(M117&lt;100%,M117&gt;70%),"&gt;70%",AND(M117&lt;70%,M117&gt;40%),"&gt;40%",AND(M117&lt;40%,M117&gt;0%),"&gt;0%"),"")</f>
        <v/>
      </c>
      <c r="O117" t="str">
        <f t="shared" si="5"/>
        <v/>
      </c>
    </row>
    <row r="118" spans="2:15" x14ac:dyDescent="0.25">
      <c r="B118" t="str">
        <f t="shared" si="3"/>
        <v/>
      </c>
      <c r="E118" t="e">
        <f>D1_MARZO[[#This Row],[RECUPERO]]/VLOOKUP(D1_MARZO[[#This Row],[SUPER]],D2_MARZO[#All],2,0)</f>
        <v>#N/A</v>
      </c>
      <c r="F118">
        <f>D1_MARZO[[#This Row],[SUPER]]</f>
        <v>0</v>
      </c>
      <c r="L118">
        <v>5</v>
      </c>
      <c r="M118" s="1" t="e">
        <f t="shared" si="4"/>
        <v>#N/A</v>
      </c>
      <c r="N118" t="str" cm="1">
        <f t="array" ref="N118">IFERROR(_xlfn.IFS(M118&gt;100%,"&gt;100%",AND(M118&lt;100%,M118&gt;70%),"&gt;70%",AND(M118&lt;70%,M118&gt;40%),"&gt;40%",AND(M118&lt;40%,M118&gt;0%),"&gt;0%"),"")</f>
        <v/>
      </c>
      <c r="O118" t="str">
        <f t="shared" si="5"/>
        <v/>
      </c>
    </row>
    <row r="119" spans="2:15" x14ac:dyDescent="0.25">
      <c r="B119" t="str">
        <f t="shared" si="3"/>
        <v/>
      </c>
      <c r="E119" t="e">
        <f>D1_MARZO[[#This Row],[RECUPERO]]/VLOOKUP(D1_MARZO[[#This Row],[SUPER]],D2_MARZO[#All],2,0)</f>
        <v>#N/A</v>
      </c>
      <c r="F119">
        <f>D1_MARZO[[#This Row],[SUPER]]</f>
        <v>0</v>
      </c>
      <c r="L119">
        <v>6</v>
      </c>
      <c r="M119" s="1" t="e">
        <f t="shared" si="4"/>
        <v>#N/A</v>
      </c>
      <c r="N119" t="str" cm="1">
        <f t="array" ref="N119">IFERROR(_xlfn.IFS(M119&gt;100%,"&gt;100%",AND(M119&lt;100%,M119&gt;70%),"&gt;70%",AND(M119&lt;70%,M119&gt;40%),"&gt;40%",AND(M119&lt;40%,M119&gt;0%),"&gt;0%"),"")</f>
        <v/>
      </c>
      <c r="O119" t="str">
        <f t="shared" si="5"/>
        <v/>
      </c>
    </row>
    <row r="120" spans="2:15" x14ac:dyDescent="0.25">
      <c r="B120" t="str">
        <f t="shared" si="3"/>
        <v/>
      </c>
      <c r="E120" t="e">
        <f>D1_MARZO[[#This Row],[RECUPERO]]/VLOOKUP(D1_MARZO[[#This Row],[SUPER]],D2_MARZO[#All],2,0)</f>
        <v>#N/A</v>
      </c>
      <c r="F120">
        <f>D1_MARZO[[#This Row],[SUPER]]</f>
        <v>0</v>
      </c>
      <c r="L120">
        <v>7</v>
      </c>
      <c r="M120" s="1" t="e">
        <f t="shared" si="4"/>
        <v>#N/A</v>
      </c>
      <c r="N120" t="str" cm="1">
        <f t="array" ref="N120">IFERROR(_xlfn.IFS(M120&gt;100%,"&gt;100%",AND(M120&lt;100%,M120&gt;70%),"&gt;70%",AND(M120&lt;70%,M120&gt;40%),"&gt;40%",AND(M120&lt;40%,M120&gt;0%),"&gt;0%"),"")</f>
        <v/>
      </c>
      <c r="O120" t="str">
        <f t="shared" si="5"/>
        <v/>
      </c>
    </row>
    <row r="121" spans="2:15" x14ac:dyDescent="0.25">
      <c r="B121" t="str">
        <f t="shared" si="3"/>
        <v/>
      </c>
      <c r="E121" t="e">
        <f>D1_MARZO[[#This Row],[RECUPERO]]/VLOOKUP(D1_MARZO[[#This Row],[SUPER]],D2_MARZO[#All],2,0)</f>
        <v>#N/A</v>
      </c>
      <c r="F121">
        <f>D1_MARZO[[#This Row],[SUPER]]</f>
        <v>0</v>
      </c>
      <c r="L121">
        <v>8</v>
      </c>
      <c r="M121" s="1" t="e">
        <f t="shared" si="4"/>
        <v>#N/A</v>
      </c>
      <c r="N121" t="str" cm="1">
        <f t="array" ref="N121">IFERROR(_xlfn.IFS(M121&gt;100%,"&gt;100%",AND(M121&lt;100%,M121&gt;70%),"&gt;70%",AND(M121&lt;70%,M121&gt;40%),"&gt;40%",AND(M121&lt;40%,M121&gt;0%),"&gt;0%"),"")</f>
        <v/>
      </c>
      <c r="O121" t="str">
        <f t="shared" si="5"/>
        <v/>
      </c>
    </row>
    <row r="122" spans="2:15" x14ac:dyDescent="0.25">
      <c r="B122" t="str">
        <f t="shared" si="3"/>
        <v/>
      </c>
      <c r="E122" t="e">
        <f>D1_MARZO[[#This Row],[RECUPERO]]/VLOOKUP(D1_MARZO[[#This Row],[SUPER]],D2_MARZO[#All],2,0)</f>
        <v>#N/A</v>
      </c>
      <c r="F122">
        <f>D1_MARZO[[#This Row],[SUPER]]</f>
        <v>0</v>
      </c>
      <c r="L122">
        <v>9</v>
      </c>
      <c r="M122" s="1" t="e">
        <f t="shared" si="4"/>
        <v>#N/A</v>
      </c>
      <c r="N122" t="str" cm="1">
        <f t="array" ref="N122">IFERROR(_xlfn.IFS(M122&gt;100%,"&gt;100%",AND(M122&lt;100%,M122&gt;70%),"&gt;70%",AND(M122&lt;70%,M122&gt;40%),"&gt;40%",AND(M122&lt;40%,M122&gt;0%),"&gt;0%"),"")</f>
        <v/>
      </c>
      <c r="O122" t="str">
        <f t="shared" si="5"/>
        <v/>
      </c>
    </row>
    <row r="123" spans="2:15" x14ac:dyDescent="0.25">
      <c r="L123">
        <v>10</v>
      </c>
      <c r="M123" s="1" t="e">
        <f t="shared" si="4"/>
        <v>#N/A</v>
      </c>
      <c r="N123" t="str" cm="1">
        <f t="array" ref="N123">IFERROR(_xlfn.IFS(M123&gt;100%,"&gt;100%",AND(M123&lt;100%,M123&gt;70%),"&gt;70%",AND(M123&lt;70%,M123&gt;40%),"&gt;40%",AND(M123&lt;40%,M123&gt;0%),"&gt;0%"),"")</f>
        <v/>
      </c>
      <c r="O123" t="str">
        <f t="shared" si="5"/>
        <v/>
      </c>
    </row>
    <row r="124" spans="2:15" x14ac:dyDescent="0.25">
      <c r="L124">
        <v>11</v>
      </c>
      <c r="M124" s="1" t="e">
        <f t="shared" si="4"/>
        <v>#N/A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5"/>
        <v/>
      </c>
    </row>
    <row r="125" spans="2:15" x14ac:dyDescent="0.25">
      <c r="L125">
        <v>12</v>
      </c>
      <c r="M125" s="1" t="e">
        <f t="shared" si="4"/>
        <v>#N/A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5"/>
        <v/>
      </c>
    </row>
    <row r="126" spans="2:15" x14ac:dyDescent="0.25">
      <c r="L126">
        <v>13</v>
      </c>
      <c r="M126" s="1" t="e">
        <f t="shared" si="4"/>
        <v>#N/A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5"/>
        <v/>
      </c>
    </row>
    <row r="127" spans="2:15" x14ac:dyDescent="0.25">
      <c r="L127">
        <v>14</v>
      </c>
      <c r="M127" s="1" t="e">
        <f t="shared" si="4"/>
        <v>#N/A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5"/>
        <v/>
      </c>
    </row>
    <row r="128" spans="2:15" x14ac:dyDescent="0.25">
      <c r="L128">
        <v>15</v>
      </c>
      <c r="M128" s="1" t="e">
        <f t="shared" si="4"/>
        <v>#N/A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5"/>
        <v/>
      </c>
    </row>
    <row r="129" spans="12:15" x14ac:dyDescent="0.25">
      <c r="L129" s="22">
        <v>1</v>
      </c>
      <c r="M129" s="23">
        <f>IFERROR(IF(VLOOKUP("&gt;100%",N9:O128,2,0)&lt;&gt;"",0,100.01%),100.01%)</f>
        <v>0</v>
      </c>
      <c r="N129" s="22" t="str" cm="1">
        <f t="array" ref="N129">IFERROR(_xlfn.IFS(M129&gt;100%,"&gt;100%",AND(M129&lt;100%,M129&gt;70%),"&gt;70%",AND(M129&lt;70%,M129&gt;40%),"&gt;40%",AND(M129&lt;40%,M129&gt;0%),"&gt;0%"),"")</f>
        <v/>
      </c>
      <c r="O129" s="22" t="str">
        <f>IF(DATAMARZO[[#This Row],[CLASIFICACIÓN]]="","","SIN APLICACIONES")</f>
        <v/>
      </c>
    </row>
    <row r="130" spans="12:15" x14ac:dyDescent="0.25">
      <c r="L130" s="22">
        <v>2</v>
      </c>
      <c r="M130" s="23">
        <f>IFERROR(IF(VLOOKUP("&gt;70%",N9:O128,2,0)&lt;&gt;"",0,70.01%),70.01%)</f>
        <v>0</v>
      </c>
      <c r="N130" s="22" t="str" cm="1">
        <f t="array" ref="N130">IFERROR(_xlfn.IFS(M130&gt;100%,"&gt;100%",AND(M130&lt;100%,M130&gt;70%),"&gt;70%",AND(M130&lt;70%,M130&gt;40%),"&gt;40%",AND(M130&lt;40%,M130&gt;0%),"&gt;0%"),"")</f>
        <v/>
      </c>
      <c r="O130" s="22" t="str">
        <f>IF(DATAMARZO[[#This Row],[CLASIFICACIÓN]]="","","SIN APLICACIONES")</f>
        <v/>
      </c>
    </row>
    <row r="131" spans="12:15" x14ac:dyDescent="0.25">
      <c r="L131" s="22">
        <v>3</v>
      </c>
      <c r="M131" s="23">
        <f>IFERROR(IF(VLOOKUP("&gt;40%",N9:O128,2,0)&lt;&gt;"",0,40.01%),40.01%)</f>
        <v>0</v>
      </c>
      <c r="N131" s="22" t="str" cm="1">
        <f t="array" ref="N131">IFERROR(_xlfn.IFS(M131&gt;100%,"&gt;100%",AND(M131&lt;100%,M131&gt;70%),"&gt;70%",AND(M131&lt;70%,M131&gt;40%),"&gt;40%",AND(M131&lt;40%,M131&gt;0%),"&gt;0%"),"")</f>
        <v/>
      </c>
      <c r="O131" s="22" t="str">
        <f>IF(DATAMARZO[[#This Row],[CLASIFICACIÓN]]="","","SIN APLICACIONES")</f>
        <v/>
      </c>
    </row>
  </sheetData>
  <mergeCells count="5">
    <mergeCell ref="R1:AA3"/>
    <mergeCell ref="R5:S5"/>
    <mergeCell ref="U5:V5"/>
    <mergeCell ref="X5:Y5"/>
    <mergeCell ref="AA5:AB5"/>
  </mergeCells>
  <conditionalFormatting pivot="1" sqref="S8: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20">
    <cfRule type="colorScale" priority="8">
      <colorScale>
        <cfvo type="min"/>
        <cfvo type="max"/>
        <color rgb="FFFCFCFF"/>
        <color rgb="FF63BE7B"/>
      </colorScale>
    </cfRule>
  </conditionalFormatting>
  <conditionalFormatting pivot="1" sqref="AB8:AB2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17">
    <cfRule type="colorScale" priority="7">
      <colorScale>
        <cfvo type="min"/>
        <cfvo type="max"/>
        <color rgb="FFFCFCFF"/>
        <color rgb="FFFFFF00"/>
      </colorScale>
    </cfRule>
  </conditionalFormatting>
  <conditionalFormatting pivot="1" sqref="Y8:Y28">
    <cfRule type="colorScale" priority="6">
      <colorScale>
        <cfvo type="min"/>
        <cfvo type="max"/>
        <color rgb="FFFCFCFF"/>
        <color rgb="FFFFC000"/>
      </colorScale>
    </cfRule>
  </conditionalFormatting>
  <conditionalFormatting pivot="1" sqref="AB8:AB29">
    <cfRule type="colorScale" priority="4">
      <colorScale>
        <cfvo type="min"/>
        <cfvo type="max"/>
        <color rgb="FFFCFCFF"/>
        <color rgb="FFF8696B"/>
      </colorScale>
    </cfRule>
  </conditionalFormatting>
  <conditionalFormatting sqref="R1:R85">
    <cfRule type="containsText" dxfId="320" priority="1" operator="containsText" text="SIN APLICACIONES">
      <formula>NOT(ISERROR(SEARCH("SIN APLICACIONES",R1)))</formula>
    </cfRule>
  </conditionalFormatting>
  <conditionalFormatting sqref="U1:U85">
    <cfRule type="containsText" dxfId="319" priority="2" operator="containsText" text="SIN APLICACIONES">
      <formula>NOT(ISERROR(SEARCH("SIN APLICACIONES",U1)))</formula>
    </cfRule>
  </conditionalFormatting>
  <conditionalFormatting sqref="X1:X85">
    <cfRule type="containsText" dxfId="318" priority="3" operator="containsText" text="SIN APLICACIONES">
      <formula>NOT(ISERROR(SEARCH("SIN APLICACIONES",X1)))</formula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B131"/>
  <sheetViews>
    <sheetView topLeftCell="Q1" zoomScale="85" zoomScaleNormal="85" workbookViewId="0">
      <selection activeCell="V12" sqref="A1:AB12"/>
    </sheetView>
  </sheetViews>
  <sheetFormatPr baseColWidth="10" defaultRowHeight="15" x14ac:dyDescent="0.25"/>
  <cols>
    <col min="1" max="1" width="9.28515625" hidden="1" customWidth="1"/>
    <col min="2" max="3" width="22.7109375" hidden="1" customWidth="1"/>
    <col min="4" max="4" width="13.42578125" hidden="1" customWidth="1"/>
    <col min="5" max="5" width="12" hidden="1" customWidth="1"/>
    <col min="6" max="6" width="10.28515625" hidden="1" customWidth="1"/>
    <col min="7" max="7" width="11.42578125" hidden="1" customWidth="1"/>
    <col min="8" max="8" width="9.42578125" hidden="1" customWidth="1"/>
    <col min="9" max="9" width="8.140625" hidden="1" customWidth="1"/>
    <col min="10" max="11" width="11.42578125" hidden="1" customWidth="1"/>
    <col min="12" max="12" width="10" hidden="1" customWidth="1"/>
    <col min="13" max="13" width="11.140625" hidden="1" customWidth="1"/>
    <col min="14" max="14" width="19.85546875" hidden="1" customWidth="1"/>
    <col min="15" max="15" width="22.7109375" hidden="1" customWidth="1"/>
    <col min="16" max="16" width="11.42578125" hidden="1" customWidth="1"/>
    <col min="18" max="18" width="22.7109375" bestFit="1" customWidth="1"/>
    <col min="19" max="19" width="12.28515625" bestFit="1" customWidth="1"/>
    <col min="21" max="21" width="22.42578125" bestFit="1" customWidth="1"/>
    <col min="22" max="22" width="11.7109375" bestFit="1" customWidth="1"/>
    <col min="24" max="24" width="20.140625" bestFit="1" customWidth="1"/>
    <col min="25" max="25" width="11.7109375" bestFit="1" customWidth="1"/>
    <col min="27" max="27" width="20.85546875" bestFit="1" customWidth="1"/>
    <col min="28" max="28" width="11.7109375" bestFit="1" customWidth="1"/>
  </cols>
  <sheetData>
    <row r="1" spans="1:28" ht="15.75" x14ac:dyDescent="0.25">
      <c r="R1" s="41" t="s">
        <v>184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28" ht="15.75" x14ac:dyDescent="0.25">
      <c r="A2" t="s">
        <v>110</v>
      </c>
      <c r="B2" t="s">
        <v>136</v>
      </c>
      <c r="C2" t="s">
        <v>0</v>
      </c>
      <c r="D2" t="s">
        <v>111</v>
      </c>
      <c r="E2" t="s">
        <v>1</v>
      </c>
      <c r="F2" t="s">
        <v>127</v>
      </c>
      <c r="H2" t="s">
        <v>110</v>
      </c>
      <c r="I2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19" t="str">
        <f>H14</f>
        <v>01/05</v>
      </c>
    </row>
    <row r="3" spans="1:28" ht="15.75" x14ac:dyDescent="0.25">
      <c r="A3" t="s">
        <v>3</v>
      </c>
      <c r="B3" t="str">
        <f>TRIM(C3)</f>
        <v>ALEJANDRO GONZALES</v>
      </c>
      <c r="C3" t="s">
        <v>139</v>
      </c>
      <c r="D3">
        <v>19232</v>
      </c>
      <c r="E3">
        <f>D1_ABRIL[[#This Row],[RECUPERO]]/VLOOKUP(D1_ABRIL[[#This Row],[SUPER]],D2_ABRIL[#All],2,0)</f>
        <v>0.33740350877192982</v>
      </c>
      <c r="F3" t="str">
        <f>D1_ABRIL[[#This Row],[SUPER]]</f>
        <v>SANDY</v>
      </c>
      <c r="H3" t="s">
        <v>8</v>
      </c>
      <c r="I3">
        <v>20500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20" t="str">
        <f>H15</f>
        <v>13:59</v>
      </c>
    </row>
    <row r="4" spans="1:28" x14ac:dyDescent="0.25">
      <c r="A4" t="s">
        <v>3</v>
      </c>
      <c r="B4" t="str">
        <f t="shared" ref="B4:B67" si="0">TRIM(C4)</f>
        <v>CHRISTIAN ALBUJAR</v>
      </c>
      <c r="C4" t="s">
        <v>53</v>
      </c>
      <c r="D4">
        <v>19360</v>
      </c>
      <c r="E4">
        <f>D1_ABRIL[[#This Row],[RECUPERO]]/VLOOKUP(D1_ABRIL[[#This Row],[SUPER]],D2_ABRIL[#All],2,0)</f>
        <v>0.33964912280701753</v>
      </c>
      <c r="F4" t="str">
        <f>D1_ABRIL[[#This Row],[SUPER]]</f>
        <v>SANDY</v>
      </c>
      <c r="H4" t="s">
        <v>165</v>
      </c>
      <c r="I4">
        <v>20500</v>
      </c>
    </row>
    <row r="5" spans="1:28" ht="21" x14ac:dyDescent="0.35">
      <c r="A5" t="s">
        <v>3</v>
      </c>
      <c r="B5" t="str">
        <f t="shared" si="0"/>
        <v>EVELY TENORIO</v>
      </c>
      <c r="C5" t="s">
        <v>22</v>
      </c>
      <c r="D5">
        <v>62885.7</v>
      </c>
      <c r="E5">
        <f>D1_ABRIL[[#This Row],[RECUPERO]]/VLOOKUP(D1_ABRIL[[#This Row],[SUPER]],D2_ABRIL[#All],2,0)</f>
        <v>1.1032578947368421</v>
      </c>
      <c r="F5" t="str">
        <f>D1_ABRIL[[#This Row],[SUPER]]</f>
        <v>SANDY</v>
      </c>
      <c r="H5" t="s">
        <v>166</v>
      </c>
      <c r="I5">
        <v>20500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t="s">
        <v>3</v>
      </c>
      <c r="B6" t="str">
        <f t="shared" si="0"/>
        <v>LISELY MERA</v>
      </c>
      <c r="C6" t="s">
        <v>23</v>
      </c>
      <c r="D6">
        <v>102014</v>
      </c>
      <c r="E6">
        <f>D1_ABRIL[[#This Row],[RECUPERO]]/VLOOKUP(D1_ABRIL[[#This Row],[SUPER]],D2_ABRIL[#All],2,0)</f>
        <v>1.789719298245614</v>
      </c>
      <c r="F6" t="str">
        <f>D1_ABRIL[[#This Row],[SUPER]]</f>
        <v>SANDY</v>
      </c>
      <c r="H6" t="s">
        <v>5</v>
      </c>
      <c r="I6">
        <v>57000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t="s">
        <v>3</v>
      </c>
      <c r="B7" t="str">
        <f t="shared" si="0"/>
        <v>MALORY MONTEBLANCO</v>
      </c>
      <c r="C7" t="s">
        <v>25</v>
      </c>
      <c r="D7">
        <v>46165</v>
      </c>
      <c r="E7">
        <f>D1_ABRIL[[#This Row],[RECUPERO]]/VLOOKUP(D1_ABRIL[[#This Row],[SUPER]],D2_ABRIL[#All],2,0)</f>
        <v>0.80991228070175436</v>
      </c>
      <c r="F7" t="str">
        <f>D1_ABRIL[[#This Row],[SUPER]]</f>
        <v>SANDY</v>
      </c>
      <c r="H7" t="s">
        <v>2</v>
      </c>
      <c r="I7">
        <v>57000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t="s">
        <v>3</v>
      </c>
      <c r="B8" t="str">
        <f t="shared" si="0"/>
        <v>MICHAEL TAFUR</v>
      </c>
      <c r="C8" t="s">
        <v>134</v>
      </c>
      <c r="D8">
        <v>14913</v>
      </c>
      <c r="E8">
        <f>D1_ABRIL[[#This Row],[RECUPERO]]/VLOOKUP(D1_ABRIL[[#This Row],[SUPER]],D2_ABRIL[#All],2,0)</f>
        <v>0.26163157894736844</v>
      </c>
      <c r="F8" t="str">
        <f>D1_ABRIL[[#This Row],[SUPER]]</f>
        <v>SANDY</v>
      </c>
      <c r="H8" t="s">
        <v>6</v>
      </c>
      <c r="I8">
        <v>26000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23</v>
      </c>
      <c r="S8" s="3">
        <v>1.789719298245614</v>
      </c>
      <c r="U8" s="15" t="s">
        <v>67</v>
      </c>
      <c r="V8" s="2">
        <v>0.99017894736842105</v>
      </c>
      <c r="X8" s="15" t="s">
        <v>70</v>
      </c>
      <c r="Y8" s="2">
        <v>0.66391228070175434</v>
      </c>
      <c r="AA8" s="15" t="s">
        <v>16</v>
      </c>
      <c r="AB8" s="2">
        <v>0.39595121951219514</v>
      </c>
    </row>
    <row r="9" spans="1:28" x14ac:dyDescent="0.25">
      <c r="A9" t="s">
        <v>3</v>
      </c>
      <c r="B9" t="str">
        <f t="shared" si="0"/>
        <v>ROCIO TERRONES</v>
      </c>
      <c r="C9" t="s">
        <v>128</v>
      </c>
      <c r="D9">
        <v>17760</v>
      </c>
      <c r="E9">
        <f>D1_ABRIL[[#This Row],[RECUPERO]]/VLOOKUP(D1_ABRIL[[#This Row],[SUPER]],D2_ABRIL[#All],2,0)</f>
        <v>0.31157894736842107</v>
      </c>
      <c r="F9" t="str">
        <f>D1_ABRIL[[#This Row],[SUPER]]</f>
        <v>SANDY</v>
      </c>
      <c r="H9" t="s">
        <v>4</v>
      </c>
      <c r="I9">
        <v>57000</v>
      </c>
      <c r="L9">
        <v>1</v>
      </c>
      <c r="M9" s="1">
        <f>E3</f>
        <v>0.33740350877192982</v>
      </c>
      <c r="N9" t="str" cm="1">
        <f t="array" ref="N9">IFERROR(_xlfn.IFS(M9&gt;100%,"&gt;100%",AND(M9&lt;100%,M9&gt;70%),"&gt;70%",AND(M9&lt;70%,M9&gt;40%),"&gt;40%",AND(M9&lt;40%,M9&gt;0%),"&gt;0%"),"")</f>
        <v>&gt;0%</v>
      </c>
      <c r="O9" t="str">
        <f>B3</f>
        <v>ALEJANDRO GONZALES</v>
      </c>
      <c r="R9" s="15" t="s">
        <v>75</v>
      </c>
      <c r="S9" s="3">
        <v>1.6714210526315789</v>
      </c>
      <c r="U9" s="15" t="s">
        <v>78</v>
      </c>
      <c r="V9" s="3">
        <v>0.97258536585365851</v>
      </c>
      <c r="X9" s="15" t="s">
        <v>72</v>
      </c>
      <c r="Y9" s="3">
        <v>0.65371877192982453</v>
      </c>
      <c r="AA9" s="15" t="s">
        <v>73</v>
      </c>
      <c r="AB9" s="3">
        <v>0.38907317073170733</v>
      </c>
    </row>
    <row r="10" spans="1:28" x14ac:dyDescent="0.25">
      <c r="A10" t="s">
        <v>3</v>
      </c>
      <c r="B10" t="str">
        <f t="shared" si="0"/>
        <v>VICTOR RAMIREZ</v>
      </c>
      <c r="C10" t="s">
        <v>76</v>
      </c>
      <c r="D10">
        <v>63552.1</v>
      </c>
      <c r="E10">
        <f>D1_ABRIL[[#This Row],[RECUPERO]]/VLOOKUP(D1_ABRIL[[#This Row],[SUPER]],D2_ABRIL[#All],2,0)</f>
        <v>1.1149491228070174</v>
      </c>
      <c r="F10" t="str">
        <f>D1_ABRIL[[#This Row],[SUPER]]</f>
        <v>SANDY</v>
      </c>
      <c r="H10" t="s">
        <v>3</v>
      </c>
      <c r="I10">
        <v>57000</v>
      </c>
      <c r="L10">
        <v>2</v>
      </c>
      <c r="M10" s="1">
        <f t="shared" ref="M10:M73" si="1">E4</f>
        <v>0.33964912280701753</v>
      </c>
      <c r="N10" t="str" cm="1">
        <f t="array" ref="N10">IFERROR(_xlfn.IFS(M10&gt;100%,"&gt;100%",AND(M10&lt;100%,M10&gt;70%),"&gt;70%",AND(M10&lt;70%,M10&gt;40%),"&gt;40%",AND(M10&lt;40%,M10&gt;0%),"&gt;0%"),"")</f>
        <v>&gt;0%</v>
      </c>
      <c r="O10" t="str">
        <f t="shared" ref="O10:O73" si="2">B4</f>
        <v>CHRISTIAN ALBUJAR</v>
      </c>
      <c r="R10" s="15" t="s">
        <v>39</v>
      </c>
      <c r="S10" s="3">
        <v>1.4788292682926829</v>
      </c>
      <c r="U10" s="15" t="s">
        <v>21</v>
      </c>
      <c r="V10" s="3">
        <v>0.86478536585365851</v>
      </c>
      <c r="X10" s="15" t="s">
        <v>12</v>
      </c>
      <c r="Y10" s="3">
        <v>0.6333333333333333</v>
      </c>
      <c r="AA10" s="15" t="s">
        <v>57</v>
      </c>
      <c r="AB10" s="3">
        <v>0.3453684210526316</v>
      </c>
    </row>
    <row r="11" spans="1:28" x14ac:dyDescent="0.25">
      <c r="A11" t="s">
        <v>3</v>
      </c>
      <c r="B11" t="str">
        <f t="shared" si="0"/>
        <v/>
      </c>
      <c r="E11">
        <f>D1_ABRIL[[#This Row],[RECUPERO]]/VLOOKUP(D1_ABRIL[[#This Row],[SUPER]],D2_ABRIL[#All],2,0)</f>
        <v>0</v>
      </c>
      <c r="F11" t="str">
        <f>D1_ABRIL[[#This Row],[SUPER]]</f>
        <v>SANDY</v>
      </c>
      <c r="L11">
        <v>3</v>
      </c>
      <c r="M11" s="1">
        <f t="shared" si="1"/>
        <v>1.1032578947368421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2"/>
        <v>EVELY TENORIO</v>
      </c>
      <c r="R11" s="15" t="s">
        <v>10</v>
      </c>
      <c r="S11" s="3">
        <v>1.1982280701754386</v>
      </c>
      <c r="U11" s="15" t="s">
        <v>15</v>
      </c>
      <c r="V11" s="3">
        <v>0.86068292682926828</v>
      </c>
      <c r="X11" s="15" t="s">
        <v>66</v>
      </c>
      <c r="Y11" s="3">
        <v>0.62885964912280701</v>
      </c>
      <c r="AA11" s="15" t="s">
        <v>53</v>
      </c>
      <c r="AB11" s="3">
        <v>0.33964912280701753</v>
      </c>
    </row>
    <row r="12" spans="1:28" x14ac:dyDescent="0.25">
      <c r="A12" t="s">
        <v>3</v>
      </c>
      <c r="B12" t="str">
        <f t="shared" si="0"/>
        <v/>
      </c>
      <c r="E12">
        <f>D1_ABRIL[[#This Row],[RECUPERO]]/VLOOKUP(D1_ABRIL[[#This Row],[SUPER]],D2_ABRIL[#All],2,0)</f>
        <v>0</v>
      </c>
      <c r="F12" t="str">
        <f>D1_ABRIL[[#This Row],[SUPER]]</f>
        <v>SANDY</v>
      </c>
      <c r="L12">
        <v>4</v>
      </c>
      <c r="M12" s="1">
        <f t="shared" si="1"/>
        <v>1.789719298245614</v>
      </c>
      <c r="N12" t="str" cm="1">
        <f t="array" ref="N12">IFERROR(_xlfn.IFS(M12&gt;100%,"&gt;100%",AND(M12&lt;100%,M12&gt;70%),"&gt;70%",AND(M12&lt;70%,M12&gt;40%),"&gt;40%",AND(M12&lt;40%,M12&gt;0%),"&gt;0%"),"")</f>
        <v>&gt;100%</v>
      </c>
      <c r="O12" t="str">
        <f t="shared" si="2"/>
        <v>LISELY MERA</v>
      </c>
      <c r="R12" s="15" t="s">
        <v>76</v>
      </c>
      <c r="S12" s="3">
        <v>1.1149491228070174</v>
      </c>
      <c r="U12" s="15" t="s">
        <v>31</v>
      </c>
      <c r="V12" s="3">
        <v>0.8453846153846154</v>
      </c>
      <c r="X12" s="15" t="s">
        <v>29</v>
      </c>
      <c r="Y12" s="3">
        <v>0.6115570175438596</v>
      </c>
      <c r="AA12" s="15" t="s">
        <v>139</v>
      </c>
      <c r="AB12" s="3">
        <v>0.33740350877192982</v>
      </c>
    </row>
    <row r="13" spans="1:28" x14ac:dyDescent="0.25">
      <c r="A13" t="s">
        <v>3</v>
      </c>
      <c r="B13" t="str">
        <f t="shared" si="0"/>
        <v/>
      </c>
      <c r="E13">
        <f>D1_ABRIL[[#This Row],[RECUPERO]]/VLOOKUP(D1_ABRIL[[#This Row],[SUPER]],D2_ABRIL[#All],2,0)</f>
        <v>0</v>
      </c>
      <c r="F13" t="str">
        <f>D1_ABRIL[[#This Row],[SUPER]]</f>
        <v>SANDY</v>
      </c>
      <c r="H13" t="s">
        <v>107</v>
      </c>
      <c r="L13">
        <v>5</v>
      </c>
      <c r="M13" s="1">
        <f t="shared" si="1"/>
        <v>0.80991228070175436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2"/>
        <v>MALORY MONTEBLANCO</v>
      </c>
      <c r="R13" s="15" t="s">
        <v>22</v>
      </c>
      <c r="S13" s="3">
        <v>1.1032578947368421</v>
      </c>
      <c r="U13" s="15" t="s">
        <v>25</v>
      </c>
      <c r="V13" s="3">
        <v>0.80991228070175436</v>
      </c>
      <c r="X13" s="15" t="s">
        <v>71</v>
      </c>
      <c r="Y13" s="3">
        <v>0.55980487804878054</v>
      </c>
      <c r="AA13" s="15" t="s">
        <v>11</v>
      </c>
      <c r="AB13" s="3">
        <v>0.33226315789473682</v>
      </c>
    </row>
    <row r="14" spans="1:28" x14ac:dyDescent="0.25">
      <c r="A14" t="s">
        <v>3</v>
      </c>
      <c r="B14" t="str">
        <f t="shared" si="0"/>
        <v/>
      </c>
      <c r="E14">
        <f>D1_ABRIL[[#This Row],[RECUPERO]]/VLOOKUP(D1_ABRIL[[#This Row],[SUPER]],D2_ABRIL[#All],2,0)</f>
        <v>0</v>
      </c>
      <c r="F14" t="str">
        <f>D1_ABRIL[[#This Row],[SUPER]]</f>
        <v>SANDY</v>
      </c>
      <c r="H14" s="27" t="s">
        <v>177</v>
      </c>
      <c r="L14">
        <v>6</v>
      </c>
      <c r="M14" s="1">
        <f t="shared" si="1"/>
        <v>0.26163157894736844</v>
      </c>
      <c r="N14" t="str" cm="1">
        <f t="array" ref="N14">IFERROR(_xlfn.IFS(M14&gt;100%,"&gt;100%",AND(M14&lt;100%,M14&gt;70%),"&gt;70%",AND(M14&lt;70%,M14&gt;40%),"&gt;40%",AND(M14&lt;40%,M14&gt;0%),"&gt;0%"),"")</f>
        <v>&gt;0%</v>
      </c>
      <c r="O14" t="str">
        <f t="shared" si="2"/>
        <v>MICHAEL TAFUR</v>
      </c>
      <c r="R14" s="15" t="s">
        <v>64</v>
      </c>
      <c r="S14" s="3">
        <v>1.0634612280701754</v>
      </c>
      <c r="U14" s="15" t="s">
        <v>24</v>
      </c>
      <c r="V14" s="3">
        <v>0.8056585365853659</v>
      </c>
      <c r="X14" s="15" t="s">
        <v>62</v>
      </c>
      <c r="Y14" s="3">
        <v>0.52330508771929829</v>
      </c>
      <c r="AA14" s="15" t="s">
        <v>14</v>
      </c>
      <c r="AB14" s="3">
        <v>0.32687804878048782</v>
      </c>
    </row>
    <row r="15" spans="1:28" x14ac:dyDescent="0.25">
      <c r="A15" t="s">
        <v>3</v>
      </c>
      <c r="B15" t="str">
        <f t="shared" si="0"/>
        <v/>
      </c>
      <c r="E15">
        <f>D1_ABRIL[[#This Row],[RECUPERO]]/VLOOKUP(D1_ABRIL[[#This Row],[SUPER]],D2_ABRIL[#All],2,0)</f>
        <v>0</v>
      </c>
      <c r="F15" t="str">
        <f>D1_ABRIL[[#This Row],[SUPER]]</f>
        <v>SANDY</v>
      </c>
      <c r="H15" s="27" t="s">
        <v>178</v>
      </c>
      <c r="L15">
        <v>7</v>
      </c>
      <c r="M15" s="1">
        <f t="shared" si="1"/>
        <v>0.31157894736842107</v>
      </c>
      <c r="N15" t="str" cm="1">
        <f t="array" ref="N15">IFERROR(_xlfn.IFS(M15&gt;100%,"&gt;100%",AND(M15&lt;100%,M15&gt;70%),"&gt;70%",AND(M15&lt;70%,M15&gt;40%),"&gt;40%",AND(M15&lt;40%,M15&gt;0%),"&gt;0%"),"")</f>
        <v>&gt;0%</v>
      </c>
      <c r="O15" t="str">
        <f t="shared" si="2"/>
        <v>ROCIO TERRONES</v>
      </c>
      <c r="R15" s="15" t="s">
        <v>61</v>
      </c>
      <c r="S15" s="3">
        <v>1.0503170731707316</v>
      </c>
      <c r="U15" s="15" t="s">
        <v>59</v>
      </c>
      <c r="V15" s="3">
        <v>0.79937982456140355</v>
      </c>
      <c r="X15" s="15" t="s">
        <v>80</v>
      </c>
      <c r="Y15" s="3">
        <v>0.47385365853658534</v>
      </c>
      <c r="AA15" s="15" t="s">
        <v>133</v>
      </c>
      <c r="AB15" s="3">
        <v>0.31207317073170732</v>
      </c>
    </row>
    <row r="16" spans="1:28" x14ac:dyDescent="0.25">
      <c r="A16" t="s">
        <v>3</v>
      </c>
      <c r="B16" t="str">
        <f t="shared" si="0"/>
        <v/>
      </c>
      <c r="E16">
        <f>D1_ABRIL[[#This Row],[RECUPERO]]/VLOOKUP(D1_ABRIL[[#This Row],[SUPER]],D2_ABRIL[#All],2,0)</f>
        <v>0</v>
      </c>
      <c r="F16" t="str">
        <f>D1_ABRIL[[#This Row],[SUPER]]</f>
        <v>SANDY</v>
      </c>
      <c r="L16">
        <v>8</v>
      </c>
      <c r="M16" s="1">
        <f t="shared" si="1"/>
        <v>1.1149491228070174</v>
      </c>
      <c r="N16" t="str" cm="1">
        <f t="array" ref="N16">IFERROR(_xlfn.IFS(M16&gt;100%,"&gt;100%",AND(M16&lt;100%,M16&gt;70%),"&gt;70%",AND(M16&lt;70%,M16&gt;40%),"&gt;40%",AND(M16&lt;40%,M16&gt;0%),"&gt;0%"),"")</f>
        <v>&gt;100%</v>
      </c>
      <c r="O16" t="str">
        <f t="shared" si="2"/>
        <v>VICTOR RAMIREZ</v>
      </c>
      <c r="R16" s="15" t="s">
        <v>68</v>
      </c>
      <c r="S16" s="3">
        <v>1.0424385964912282</v>
      </c>
      <c r="U16" s="15" t="s">
        <v>34</v>
      </c>
      <c r="V16" s="3">
        <v>0.75811538461538464</v>
      </c>
      <c r="X16" s="15" t="s">
        <v>79</v>
      </c>
      <c r="Y16" s="3">
        <v>0.47192982456140353</v>
      </c>
      <c r="AA16" s="15" t="s">
        <v>128</v>
      </c>
      <c r="AB16" s="3">
        <v>0.31157894736842107</v>
      </c>
    </row>
    <row r="17" spans="1:28" x14ac:dyDescent="0.25">
      <c r="A17" t="s">
        <v>3</v>
      </c>
      <c r="B17" t="str">
        <f t="shared" si="0"/>
        <v/>
      </c>
      <c r="E17">
        <f>D1_ABRIL[[#This Row],[RECUPERO]]/VLOOKUP(D1_ABRIL[[#This Row],[SUPER]],D2_ABRIL[#All],2,0)</f>
        <v>0</v>
      </c>
      <c r="F17" t="str">
        <f>D1_ABRIL[[#This Row],[SUPER]]</f>
        <v>SANDY</v>
      </c>
      <c r="L17">
        <v>9</v>
      </c>
      <c r="M17" s="1">
        <f t="shared" si="1"/>
        <v>0</v>
      </c>
      <c r="N17" t="str" cm="1">
        <f t="array" ref="N17">IFERROR(_xlfn.IFS(M17&gt;100%,"&gt;100%",AND(M17&lt;100%,M17&gt;70%),"&gt;70%",AND(M17&lt;70%,M17&gt;40%),"&gt;40%",AND(M17&lt;40%,M17&gt;0%),"&gt;0%"),"")</f>
        <v/>
      </c>
      <c r="O17" t="str">
        <f t="shared" si="2"/>
        <v/>
      </c>
      <c r="R17" s="15" t="s">
        <v>17</v>
      </c>
      <c r="S17" s="4">
        <v>1.0407017543859649</v>
      </c>
      <c r="U17" s="15" t="s">
        <v>83</v>
      </c>
      <c r="V17" s="3">
        <v>0.72634146341463413</v>
      </c>
      <c r="X17" s="15" t="s">
        <v>170</v>
      </c>
      <c r="Y17" s="3">
        <v>0.4682926829268293</v>
      </c>
      <c r="AA17" s="15" t="s">
        <v>65</v>
      </c>
      <c r="AB17" s="3">
        <v>0.31111403508771929</v>
      </c>
    </row>
    <row r="18" spans="1:28" x14ac:dyDescent="0.25">
      <c r="A18" t="s">
        <v>4</v>
      </c>
      <c r="B18" t="str">
        <f t="shared" si="0"/>
        <v>ESTRELLA TINTAYA</v>
      </c>
      <c r="C18" t="s">
        <v>174</v>
      </c>
      <c r="D18">
        <v>0</v>
      </c>
      <c r="E18">
        <f>D1_ABRIL[[#This Row],[RECUPERO]]/VLOOKUP(D1_ABRIL[[#This Row],[SUPER]],D2_ABRIL[#All],2,0)</f>
        <v>0</v>
      </c>
      <c r="F18" t="str">
        <f>D1_ABRIL[[#This Row],[SUPER]]</f>
        <v>MELINA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U18" s="15" t="s">
        <v>58</v>
      </c>
      <c r="V18" s="3">
        <v>0.7205789473684211</v>
      </c>
      <c r="X18" s="15" t="s">
        <v>85</v>
      </c>
      <c r="Y18" s="3">
        <v>0.46071929824561403</v>
      </c>
      <c r="AA18" s="15" t="s">
        <v>36</v>
      </c>
      <c r="AB18" s="3">
        <v>0.3092692307692308</v>
      </c>
    </row>
    <row r="19" spans="1:28" x14ac:dyDescent="0.25">
      <c r="A19" t="s">
        <v>4</v>
      </c>
      <c r="B19" t="str">
        <f t="shared" si="0"/>
        <v>JAIR MARTINEZ</v>
      </c>
      <c r="C19" t="s">
        <v>57</v>
      </c>
      <c r="D19">
        <v>19686</v>
      </c>
      <c r="E19">
        <f>D1_ABRIL[[#This Row],[RECUPERO]]/VLOOKUP(D1_ABRIL[[#This Row],[SUPER]],D2_ABRIL[#All],2,0)</f>
        <v>0.3453684210526316</v>
      </c>
      <c r="F19" t="str">
        <f>D1_ABRIL[[#This Row],[SUPER]]</f>
        <v>MELINA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U19" s="15" t="s">
        <v>35</v>
      </c>
      <c r="V19" s="3">
        <v>0.71696576923076927</v>
      </c>
      <c r="X19" s="15" t="s">
        <v>13</v>
      </c>
      <c r="Y19" s="3">
        <v>0.43885964912280701</v>
      </c>
      <c r="AA19" s="15" t="s">
        <v>18</v>
      </c>
      <c r="AB19" s="3">
        <v>0.30588461538461537</v>
      </c>
    </row>
    <row r="20" spans="1:28" x14ac:dyDescent="0.25">
      <c r="A20" t="s">
        <v>4</v>
      </c>
      <c r="B20" t="str">
        <f t="shared" si="0"/>
        <v>JHONATAN CHAVEZ</v>
      </c>
      <c r="C20" t="s">
        <v>65</v>
      </c>
      <c r="D20">
        <v>17733.5</v>
      </c>
      <c r="E20">
        <f>D1_ABRIL[[#This Row],[RECUPERO]]/VLOOKUP(D1_ABRIL[[#This Row],[SUPER]],D2_ABRIL[#All],2,0)</f>
        <v>0.31111403508771929</v>
      </c>
      <c r="F20" t="str">
        <f>D1_ABRIL[[#This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U20" s="15" t="s">
        <v>20</v>
      </c>
      <c r="V20" s="4">
        <v>0.71121951219512192</v>
      </c>
      <c r="X20" s="15" t="s">
        <v>140</v>
      </c>
      <c r="Y20" s="4">
        <v>0.40246153846153848</v>
      </c>
      <c r="AA20" s="15" t="s">
        <v>132</v>
      </c>
      <c r="AB20" s="3">
        <v>0.3</v>
      </c>
    </row>
    <row r="21" spans="1:28" x14ac:dyDescent="0.25">
      <c r="A21" t="s">
        <v>4</v>
      </c>
      <c r="B21" t="str">
        <f t="shared" si="0"/>
        <v>MARIA TINTAYA</v>
      </c>
      <c r="C21" t="s">
        <v>75</v>
      </c>
      <c r="D21">
        <v>95271</v>
      </c>
      <c r="E21">
        <f>D1_ABRIL[[#This Row],[RECUPERO]]/VLOOKUP(D1_ABRIL[[#This Row],[SUPER]],D2_ABRIL[#All],2,0)</f>
        <v>1.6714210526315789</v>
      </c>
      <c r="F21" t="str">
        <f>D1_ABRIL[[#This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AA21" s="15" t="s">
        <v>129</v>
      </c>
      <c r="AB21" s="3">
        <v>0.29565853658536584</v>
      </c>
    </row>
    <row r="22" spans="1:28" x14ac:dyDescent="0.25">
      <c r="A22" t="s">
        <v>4</v>
      </c>
      <c r="B22" t="str">
        <f t="shared" si="0"/>
        <v>MELISSA GUERRERO</v>
      </c>
      <c r="C22" t="s">
        <v>62</v>
      </c>
      <c r="D22">
        <v>29828.39</v>
      </c>
      <c r="E22">
        <f>D1_ABRIL[[#This Row],[RECUPERO]]/VLOOKUP(D1_ABRIL[[#This Row],[SUPER]],D2_ABRIL[#All],2,0)</f>
        <v>0.52330508771929829</v>
      </c>
      <c r="F22" t="str">
        <f>D1_ABRIL[[#This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AA22" s="15" t="s">
        <v>27</v>
      </c>
      <c r="AB22" s="3">
        <v>0.28731707317073168</v>
      </c>
    </row>
    <row r="23" spans="1:28" x14ac:dyDescent="0.25">
      <c r="A23" t="s">
        <v>4</v>
      </c>
      <c r="B23" t="str">
        <f t="shared" si="0"/>
        <v>MICAELA PEREZ</v>
      </c>
      <c r="C23" t="s">
        <v>64</v>
      </c>
      <c r="D23">
        <v>60617.29</v>
      </c>
      <c r="E23">
        <f>D1_ABRIL[[#This Row],[RECUPERO]]/VLOOKUP(D1_ABRIL[[#This Row],[SUPER]],D2_ABRIL[#All],2,0)</f>
        <v>1.0634612280701754</v>
      </c>
      <c r="F23" t="str">
        <f>D1_ABRIL[[#This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AA23" s="15" t="s">
        <v>32</v>
      </c>
      <c r="AB23" s="3">
        <v>0.28375609756097558</v>
      </c>
    </row>
    <row r="24" spans="1:28" x14ac:dyDescent="0.25">
      <c r="A24" t="s">
        <v>4</v>
      </c>
      <c r="B24" t="str">
        <f t="shared" si="0"/>
        <v>PIERINA TESEN</v>
      </c>
      <c r="C24" t="s">
        <v>59</v>
      </c>
      <c r="D24">
        <v>45564.65</v>
      </c>
      <c r="E24">
        <f>D1_ABRIL[[#This Row],[RECUPERO]]/VLOOKUP(D1_ABRIL[[#This Row],[SUPER]],D2_ABRIL[#All],2,0)</f>
        <v>0.79937982456140355</v>
      </c>
      <c r="F24" t="str">
        <f>D1_ABRIL[[#This Row],[SUPER]]</f>
        <v>MELINA</v>
      </c>
      <c r="L24">
        <v>1</v>
      </c>
      <c r="M24" s="1">
        <f t="shared" si="1"/>
        <v>0</v>
      </c>
      <c r="N24" t="str" cm="1">
        <f t="array" ref="N24">IFERROR(_xlfn.IFS(M24&gt;100%,"&gt;100%",AND(M24&lt;100%,M24&gt;70%),"&gt;70%",AND(M24&lt;70%,M24&gt;40%),"&gt;40%",AND(M24&lt;40%,M24&gt;0%),"&gt;0%"),"")</f>
        <v/>
      </c>
      <c r="O24" t="str">
        <f t="shared" si="2"/>
        <v>ESTRELLA TINTAYA</v>
      </c>
      <c r="AA24" s="15" t="s">
        <v>63</v>
      </c>
      <c r="AB24" s="3">
        <v>0.28298245614035089</v>
      </c>
    </row>
    <row r="25" spans="1:28" x14ac:dyDescent="0.25">
      <c r="A25" t="s">
        <v>4</v>
      </c>
      <c r="B25" t="str">
        <f t="shared" si="0"/>
        <v>RICHARD RODRIGUEZ</v>
      </c>
      <c r="C25" t="s">
        <v>63</v>
      </c>
      <c r="D25">
        <v>16130</v>
      </c>
      <c r="E25">
        <f>D1_ABRIL[[#This Row],[RECUPERO]]/VLOOKUP(D1_ABRIL[[#This Row],[SUPER]],D2_ABRIL[#All],2,0)</f>
        <v>0.28298245614035089</v>
      </c>
      <c r="F25" t="str">
        <f>D1_ABRIL[[#This Row],[SUPER]]</f>
        <v>MELINA</v>
      </c>
      <c r="L25">
        <v>2</v>
      </c>
      <c r="M25" s="1">
        <f t="shared" si="1"/>
        <v>0.3453684210526316</v>
      </c>
      <c r="N25" t="str" cm="1">
        <f t="array" ref="N25">IFERROR(_xlfn.IFS(M25&gt;100%,"&gt;100%",AND(M25&lt;100%,M25&gt;70%),"&gt;70%",AND(M25&lt;70%,M25&gt;40%),"&gt;40%",AND(M25&lt;40%,M25&gt;0%),"&gt;0%"),"")</f>
        <v>&gt;0%</v>
      </c>
      <c r="O25" t="str">
        <f t="shared" si="2"/>
        <v>JAIR MARTINEZ</v>
      </c>
      <c r="AA25" s="15" t="s">
        <v>37</v>
      </c>
      <c r="AB25" s="3">
        <v>0.2803846153846154</v>
      </c>
    </row>
    <row r="26" spans="1:28" x14ac:dyDescent="0.25">
      <c r="A26" t="s">
        <v>4</v>
      </c>
      <c r="B26" t="str">
        <f t="shared" si="0"/>
        <v/>
      </c>
      <c r="E26">
        <f>D1_ABRIL[[#This Row],[RECUPERO]]/VLOOKUP(D1_ABRIL[[#This Row],[SUPER]],D2_ABRIL[#All],2,0)</f>
        <v>0</v>
      </c>
      <c r="F26" t="str">
        <f>D1_ABRIL[[#This Row],[SUPER]]</f>
        <v>MELINA</v>
      </c>
      <c r="L26">
        <v>3</v>
      </c>
      <c r="M26" s="1">
        <f t="shared" si="1"/>
        <v>0.31111403508771929</v>
      </c>
      <c r="N26" t="str" cm="1">
        <f t="array" ref="N26">IFERROR(_xlfn.IFS(M26&gt;100%,"&gt;100%",AND(M26&lt;100%,M26&gt;70%),"&gt;70%",AND(M26&lt;70%,M26&gt;40%),"&gt;40%",AND(M26&lt;40%,M26&gt;0%),"&gt;0%"),"")</f>
        <v>&gt;0%</v>
      </c>
      <c r="O26" t="str">
        <f t="shared" si="2"/>
        <v>JHONATAN CHAVEZ</v>
      </c>
      <c r="AA26" s="15" t="s">
        <v>77</v>
      </c>
      <c r="AB26" s="3">
        <v>0.26666666666666666</v>
      </c>
    </row>
    <row r="27" spans="1:28" x14ac:dyDescent="0.25">
      <c r="A27" t="s">
        <v>4</v>
      </c>
      <c r="B27" t="str">
        <f t="shared" si="0"/>
        <v/>
      </c>
      <c r="E27">
        <f>D1_ABRIL[[#This Row],[RECUPERO]]/VLOOKUP(D1_ABRIL[[#This Row],[SUPER]],D2_ABRIL[#All],2,0)</f>
        <v>0</v>
      </c>
      <c r="F27" t="str">
        <f>D1_ABRIL[[#This Row],[SUPER]]</f>
        <v>MELINA</v>
      </c>
      <c r="L27">
        <v>4</v>
      </c>
      <c r="M27" s="1">
        <f t="shared" si="1"/>
        <v>1.6714210526315789</v>
      </c>
      <c r="N27" t="str" cm="1">
        <f t="array" ref="N27">IFERROR(_xlfn.IFS(M27&gt;100%,"&gt;100%",AND(M27&lt;100%,M27&gt;70%),"&gt;70%",AND(M27&lt;70%,M27&gt;40%),"&gt;40%",AND(M27&lt;40%,M27&gt;0%),"&gt;0%"),"")</f>
        <v>&gt;100%</v>
      </c>
      <c r="O27" t="str">
        <f t="shared" si="2"/>
        <v>MARIA TINTAYA</v>
      </c>
      <c r="AA27" s="15" t="s">
        <v>134</v>
      </c>
      <c r="AB27" s="3">
        <v>0.26163157894736844</v>
      </c>
    </row>
    <row r="28" spans="1:28" x14ac:dyDescent="0.25">
      <c r="A28" t="s">
        <v>4</v>
      </c>
      <c r="B28" t="str">
        <f t="shared" si="0"/>
        <v/>
      </c>
      <c r="E28">
        <f>D1_ABRIL[[#This Row],[RECUPERO]]/VLOOKUP(D1_ABRIL[[#This Row],[SUPER]],D2_ABRIL[#All],2,0)</f>
        <v>0</v>
      </c>
      <c r="F28" t="str">
        <f>D1_ABRIL[[#This Row],[SUPER]]</f>
        <v>MELINA</v>
      </c>
      <c r="L28">
        <v>5</v>
      </c>
      <c r="M28" s="1">
        <f t="shared" si="1"/>
        <v>0.52330508771929829</v>
      </c>
      <c r="N28" t="str" cm="1">
        <f t="array" ref="N28">IFERROR(_xlfn.IFS(M28&gt;100%,"&gt;100%",AND(M28&lt;100%,M28&gt;70%),"&gt;70%",AND(M28&lt;70%,M28&gt;40%),"&gt;40%",AND(M28&lt;40%,M28&gt;0%),"&gt;0%"),"")</f>
        <v>&gt;40%</v>
      </c>
      <c r="O28" t="str">
        <f t="shared" si="2"/>
        <v>MELISSA GUERRERO</v>
      </c>
      <c r="AA28" s="15" t="s">
        <v>33</v>
      </c>
      <c r="AB28" s="3">
        <v>0.25184390243902438</v>
      </c>
    </row>
    <row r="29" spans="1:28" x14ac:dyDescent="0.25">
      <c r="A29" t="s">
        <v>4</v>
      </c>
      <c r="B29" t="str">
        <f t="shared" si="0"/>
        <v/>
      </c>
      <c r="E29">
        <f>D1_ABRIL[[#This Row],[RECUPERO]]/VLOOKUP(D1_ABRIL[[#This Row],[SUPER]],D2_ABRIL[#All],2,0)</f>
        <v>0</v>
      </c>
      <c r="F29" t="str">
        <f>D1_ABRIL[[#This Row],[SUPER]]</f>
        <v>MELINA</v>
      </c>
      <c r="L29">
        <v>6</v>
      </c>
      <c r="M29" s="1">
        <f t="shared" si="1"/>
        <v>1.0634612280701754</v>
      </c>
      <c r="N29" t="str" cm="1">
        <f t="array" ref="N29">IFERROR(_xlfn.IFS(M29&gt;100%,"&gt;100%",AND(M29&lt;100%,M29&gt;70%),"&gt;70%",AND(M29&lt;70%,M29&gt;40%),"&gt;40%",AND(M29&lt;40%,M29&gt;0%),"&gt;0%"),"")</f>
        <v>&gt;100%</v>
      </c>
      <c r="O29" t="str">
        <f t="shared" si="2"/>
        <v>MICAELA PEREZ</v>
      </c>
      <c r="AA29" s="15" t="s">
        <v>74</v>
      </c>
      <c r="AB29" s="3">
        <v>0.24903902439024392</v>
      </c>
    </row>
    <row r="30" spans="1:28" x14ac:dyDescent="0.25">
      <c r="A30" t="s">
        <v>4</v>
      </c>
      <c r="B30" t="str">
        <f t="shared" si="0"/>
        <v/>
      </c>
      <c r="E30">
        <f>D1_ABRIL[[#This Row],[RECUPERO]]/VLOOKUP(D1_ABRIL[[#This Row],[SUPER]],D2_ABRIL[#All],2,0)</f>
        <v>0</v>
      </c>
      <c r="F30" t="str">
        <f>D1_ABRIL[[#This Row],[SUPER]]</f>
        <v>MELINA</v>
      </c>
      <c r="L30">
        <v>7</v>
      </c>
      <c r="M30" s="1">
        <f t="shared" si="1"/>
        <v>0.79937982456140355</v>
      </c>
      <c r="N30" t="str" cm="1">
        <f t="array" ref="N30">IFERROR(_xlfn.IFS(M30&gt;100%,"&gt;100%",AND(M30&lt;100%,M30&gt;70%),"&gt;70%",AND(M30&lt;70%,M30&gt;40%),"&gt;40%",AND(M30&lt;40%,M30&gt;0%),"&gt;0%"),"")</f>
        <v>&gt;70%</v>
      </c>
      <c r="O30" t="str">
        <f t="shared" si="2"/>
        <v>PIERINA TESEN</v>
      </c>
      <c r="AA30" s="15" t="s">
        <v>171</v>
      </c>
      <c r="AB30" s="3">
        <v>0.24307692307692308</v>
      </c>
    </row>
    <row r="31" spans="1:28" x14ac:dyDescent="0.25">
      <c r="A31" t="s">
        <v>4</v>
      </c>
      <c r="B31" t="str">
        <f t="shared" si="0"/>
        <v/>
      </c>
      <c r="E31">
        <f>D1_ABRIL[[#This Row],[RECUPERO]]/VLOOKUP(D1_ABRIL[[#This Row],[SUPER]],D2_ABRIL[#All],2,0)</f>
        <v>0</v>
      </c>
      <c r="F31" t="str">
        <f>D1_ABRIL[[#This Row],[SUPER]]</f>
        <v>MELINA</v>
      </c>
      <c r="L31">
        <v>8</v>
      </c>
      <c r="M31" s="1">
        <f t="shared" si="1"/>
        <v>0.28298245614035089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2"/>
        <v>RICHARD RODRIGUEZ</v>
      </c>
      <c r="AA31" s="15" t="s">
        <v>48</v>
      </c>
      <c r="AB31" s="3">
        <v>0.24278048780487804</v>
      </c>
    </row>
    <row r="32" spans="1:28" x14ac:dyDescent="0.25">
      <c r="A32" t="s">
        <v>4</v>
      </c>
      <c r="B32" t="str">
        <f t="shared" si="0"/>
        <v/>
      </c>
      <c r="E32">
        <f>D1_ABRIL[[#This Row],[RECUPERO]]/VLOOKUP(D1_ABRIL[[#This Row],[SUPER]],D2_ABRIL[#All],2,0)</f>
        <v>0</v>
      </c>
      <c r="F32" t="str">
        <f>D1_ABRIL[[#This Row],[SUPER]]</f>
        <v>MELINA</v>
      </c>
      <c r="L32">
        <v>9</v>
      </c>
      <c r="M32" s="1">
        <f t="shared" si="1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2"/>
        <v/>
      </c>
      <c r="AA32" s="15" t="s">
        <v>51</v>
      </c>
      <c r="AB32" s="3">
        <v>0.21614634146341463</v>
      </c>
    </row>
    <row r="33" spans="1:28" x14ac:dyDescent="0.25">
      <c r="A33" t="s">
        <v>2</v>
      </c>
      <c r="B33" t="str">
        <f t="shared" si="0"/>
        <v>GENESIS VICUNA</v>
      </c>
      <c r="C33" t="s">
        <v>12</v>
      </c>
      <c r="D33">
        <v>36100</v>
      </c>
      <c r="E33">
        <f>D1_ABRIL[[#This Row],[RECUPERO]]/VLOOKUP(D1_ABRIL[[#This Row],[SUPER]],D2_ABRIL[#All],2,0)</f>
        <v>0.6333333333333333</v>
      </c>
      <c r="F33" t="str">
        <f>D1_ABRIL[[#This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AA33" s="15" t="s">
        <v>172</v>
      </c>
      <c r="AB33" s="3">
        <v>0.2097560975609756</v>
      </c>
    </row>
    <row r="34" spans="1:28" x14ac:dyDescent="0.25">
      <c r="A34" t="s">
        <v>2</v>
      </c>
      <c r="B34" t="str">
        <f t="shared" si="0"/>
        <v>GIANFRANCO PINEDO</v>
      </c>
      <c r="C34" t="s">
        <v>13</v>
      </c>
      <c r="D34">
        <v>25015</v>
      </c>
      <c r="E34">
        <f>D1_ABRIL[[#This Row],[RECUPERO]]/VLOOKUP(D1_ABRIL[[#This Row],[SUPER]],D2_ABRIL[#All],2,0)</f>
        <v>0.43885964912280701</v>
      </c>
      <c r="F34" t="str">
        <f>D1_ABRIL[[#This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  <c r="AA34" s="15" t="s">
        <v>41</v>
      </c>
      <c r="AB34" s="3">
        <v>0.14487804878048779</v>
      </c>
    </row>
    <row r="35" spans="1:28" x14ac:dyDescent="0.25">
      <c r="A35" t="s">
        <v>2</v>
      </c>
      <c r="B35" t="str">
        <f t="shared" si="0"/>
        <v>JUAN ALANOCCA</v>
      </c>
      <c r="C35" t="s">
        <v>77</v>
      </c>
      <c r="D35">
        <v>15200</v>
      </c>
      <c r="E35">
        <f>D1_ABRIL[[#This Row],[RECUPERO]]/VLOOKUP(D1_ABRIL[[#This Row],[SUPER]],D2_ABRIL[#All],2,0)</f>
        <v>0.26666666666666666</v>
      </c>
      <c r="F35" t="str">
        <f>D1_ABRIL[[#This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AA35" s="15" t="s">
        <v>81</v>
      </c>
      <c r="AB35" s="3">
        <v>0.13846153846153847</v>
      </c>
    </row>
    <row r="36" spans="1:28" x14ac:dyDescent="0.25">
      <c r="A36" t="s">
        <v>2</v>
      </c>
      <c r="B36" t="str">
        <f t="shared" si="0"/>
        <v>LUIS VALLADARES</v>
      </c>
      <c r="C36" t="s">
        <v>29</v>
      </c>
      <c r="D36">
        <v>34858.75</v>
      </c>
      <c r="E36">
        <f>D1_ABRIL[[#This Row],[RECUPERO]]/VLOOKUP(D1_ABRIL[[#This Row],[SUPER]],D2_ABRIL[#All],2,0)</f>
        <v>0.6115570175438596</v>
      </c>
      <c r="F36" t="str">
        <f>D1_ABRIL[[#This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  <c r="AA36" s="15" t="s">
        <v>56</v>
      </c>
      <c r="AB36" s="4">
        <v>3.3219512195121953E-2</v>
      </c>
    </row>
    <row r="37" spans="1:28" x14ac:dyDescent="0.25">
      <c r="A37" t="s">
        <v>2</v>
      </c>
      <c r="B37" t="str">
        <f t="shared" si="0"/>
        <v>MARGARITA PIANCHACHI</v>
      </c>
      <c r="C37" t="s">
        <v>17</v>
      </c>
      <c r="D37">
        <v>59320</v>
      </c>
      <c r="E37">
        <f>D1_ABRIL[[#This Row],[RECUPERO]]/VLOOKUP(D1_ABRIL[[#This Row],[SUPER]],D2_ABRIL[#All],2,0)</f>
        <v>1.0407017543859649</v>
      </c>
      <c r="F37" t="str">
        <f>D1_ABRIL[[#This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</row>
    <row r="38" spans="1:28" x14ac:dyDescent="0.25">
      <c r="A38" t="s">
        <v>2</v>
      </c>
      <c r="B38" t="str">
        <f t="shared" si="0"/>
        <v>MILAGROS QUIO</v>
      </c>
      <c r="C38" t="s">
        <v>11</v>
      </c>
      <c r="D38">
        <v>18939</v>
      </c>
      <c r="E38">
        <f>D1_ABRIL[[#This Row],[RECUPERO]]/VLOOKUP(D1_ABRIL[[#This Row],[SUPER]],D2_ABRIL[#All],2,0)</f>
        <v>0.33226315789473682</v>
      </c>
      <c r="F38" t="str">
        <f>D1_ABRIL[[#This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</row>
    <row r="39" spans="1:28" x14ac:dyDescent="0.25">
      <c r="A39" t="s">
        <v>2</v>
      </c>
      <c r="B39" t="str">
        <f t="shared" si="0"/>
        <v>VERONICA TASAYCO</v>
      </c>
      <c r="C39" t="s">
        <v>10</v>
      </c>
      <c r="D39">
        <v>68299</v>
      </c>
      <c r="E39">
        <f>D1_ABRIL[[#This Row],[RECUPERO]]/VLOOKUP(D1_ABRIL[[#This Row],[SUPER]],D2_ABRIL[#All],2,0)</f>
        <v>1.1982280701754386</v>
      </c>
      <c r="F39" t="str">
        <f>D1_ABRIL[[#This Row],[SUPER]]</f>
        <v>JORGE</v>
      </c>
      <c r="L39">
        <v>1</v>
      </c>
      <c r="M39" s="1">
        <f t="shared" si="1"/>
        <v>0.6333333333333333</v>
      </c>
      <c r="N39" t="str" cm="1">
        <f t="array" ref="N39">IFERROR(_xlfn.IFS(M39&gt;100%,"&gt;100%",AND(M39&lt;100%,M39&gt;70%),"&gt;70%",AND(M39&lt;70%,M39&gt;40%),"&gt;40%",AND(M39&lt;40%,M39&gt;0%),"&gt;0%"),"")</f>
        <v>&gt;40%</v>
      </c>
      <c r="O39" t="str">
        <f t="shared" si="2"/>
        <v>GENESIS VICUNA</v>
      </c>
    </row>
    <row r="40" spans="1:28" x14ac:dyDescent="0.25">
      <c r="A40" t="s">
        <v>2</v>
      </c>
      <c r="B40" t="str">
        <f t="shared" si="0"/>
        <v/>
      </c>
      <c r="E40">
        <f>D1_ABRIL[[#This Row],[RECUPERO]]/VLOOKUP(D1_ABRIL[[#This Row],[SUPER]],D2_ABRIL[#All],2,0)</f>
        <v>0</v>
      </c>
      <c r="F40" t="str">
        <f>D1_ABRIL[[#This Row],[SUPER]]</f>
        <v>JORGE</v>
      </c>
      <c r="L40">
        <v>2</v>
      </c>
      <c r="M40" s="1">
        <f t="shared" si="1"/>
        <v>0.43885964912280701</v>
      </c>
      <c r="N40" t="str" cm="1">
        <f t="array" ref="N40">IFERROR(_xlfn.IFS(M40&gt;100%,"&gt;100%",AND(M40&lt;100%,M40&gt;70%),"&gt;70%",AND(M40&lt;70%,M40&gt;40%),"&gt;40%",AND(M40&lt;40%,M40&gt;0%),"&gt;0%"),"")</f>
        <v>&gt;40%</v>
      </c>
      <c r="O40" t="str">
        <f t="shared" si="2"/>
        <v>GIANFRANCO PINEDO</v>
      </c>
    </row>
    <row r="41" spans="1:28" x14ac:dyDescent="0.25">
      <c r="A41" t="s">
        <v>2</v>
      </c>
      <c r="B41" t="str">
        <f t="shared" si="0"/>
        <v/>
      </c>
      <c r="E41">
        <f>D1_ABRIL[[#This Row],[RECUPERO]]/VLOOKUP(D1_ABRIL[[#This Row],[SUPER]],D2_ABRIL[#All],2,0)</f>
        <v>0</v>
      </c>
      <c r="F41" t="str">
        <f>D1_ABRIL[[#This Row],[SUPER]]</f>
        <v>JORGE</v>
      </c>
      <c r="L41">
        <v>3</v>
      </c>
      <c r="M41" s="1">
        <f t="shared" si="1"/>
        <v>0.26666666666666666</v>
      </c>
      <c r="N41" t="str" cm="1">
        <f t="array" ref="N41">IFERROR(_xlfn.IFS(M41&gt;100%,"&gt;100%",AND(M41&lt;100%,M41&gt;70%),"&gt;70%",AND(M41&lt;70%,M41&gt;40%),"&gt;40%",AND(M41&lt;40%,M41&gt;0%),"&gt;0%"),"")</f>
        <v>&gt;0%</v>
      </c>
      <c r="O41" t="str">
        <f t="shared" si="2"/>
        <v>JUAN ALANOCCA</v>
      </c>
    </row>
    <row r="42" spans="1:28" x14ac:dyDescent="0.25">
      <c r="A42" t="s">
        <v>2</v>
      </c>
      <c r="B42" t="str">
        <f t="shared" si="0"/>
        <v/>
      </c>
      <c r="E42">
        <f>D1_ABRIL[[#This Row],[RECUPERO]]/VLOOKUP(D1_ABRIL[[#This Row],[SUPER]],D2_ABRIL[#All],2,0)</f>
        <v>0</v>
      </c>
      <c r="F42" t="str">
        <f>D1_ABRIL[[#This Row],[SUPER]]</f>
        <v>JORGE</v>
      </c>
      <c r="L42">
        <v>4</v>
      </c>
      <c r="M42" s="1">
        <f t="shared" si="1"/>
        <v>0.6115570175438596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2"/>
        <v>LUIS VALLADARES</v>
      </c>
    </row>
    <row r="43" spans="1:28" x14ac:dyDescent="0.25">
      <c r="A43" t="s">
        <v>2</v>
      </c>
      <c r="B43" t="str">
        <f t="shared" si="0"/>
        <v/>
      </c>
      <c r="E43">
        <f>D1_ABRIL[[#This Row],[RECUPERO]]/VLOOKUP(D1_ABRIL[[#This Row],[SUPER]],D2_ABRIL[#All],2,0)</f>
        <v>0</v>
      </c>
      <c r="F43" t="str">
        <f>D1_ABRIL[[#This Row],[SUPER]]</f>
        <v>JORGE</v>
      </c>
      <c r="L43">
        <v>5</v>
      </c>
      <c r="M43" s="1">
        <f t="shared" si="1"/>
        <v>1.0407017543859649</v>
      </c>
      <c r="N43" t="str" cm="1">
        <f t="array" ref="N43">IFERROR(_xlfn.IFS(M43&gt;100%,"&gt;100%",AND(M43&lt;100%,M43&gt;70%),"&gt;70%",AND(M43&lt;70%,M43&gt;40%),"&gt;40%",AND(M43&lt;40%,M43&gt;0%),"&gt;0%"),"")</f>
        <v>&gt;100%</v>
      </c>
      <c r="O43" t="str">
        <f t="shared" si="2"/>
        <v>MARGARITA PIANCHACHI</v>
      </c>
    </row>
    <row r="44" spans="1:28" x14ac:dyDescent="0.25">
      <c r="A44" t="s">
        <v>2</v>
      </c>
      <c r="B44" t="str">
        <f t="shared" si="0"/>
        <v/>
      </c>
      <c r="E44">
        <f>D1_ABRIL[[#This Row],[RECUPERO]]/VLOOKUP(D1_ABRIL[[#This Row],[SUPER]],D2_ABRIL[#All],2,0)</f>
        <v>0</v>
      </c>
      <c r="F44" t="str">
        <f>D1_ABRIL[[#This Row],[SUPER]]</f>
        <v>JORGE</v>
      </c>
      <c r="L44">
        <v>6</v>
      </c>
      <c r="M44" s="1">
        <f t="shared" si="1"/>
        <v>0.33226315789473682</v>
      </c>
      <c r="N44" t="str" cm="1">
        <f t="array" ref="N44">IFERROR(_xlfn.IFS(M44&gt;100%,"&gt;100%",AND(M44&lt;100%,M44&gt;70%),"&gt;70%",AND(M44&lt;70%,M44&gt;40%),"&gt;40%",AND(M44&lt;40%,M44&gt;0%),"&gt;0%"),"")</f>
        <v>&gt;0%</v>
      </c>
      <c r="O44" t="str">
        <f t="shared" si="2"/>
        <v>MILAGROS QUIO</v>
      </c>
    </row>
    <row r="45" spans="1:28" x14ac:dyDescent="0.25">
      <c r="A45" t="s">
        <v>2</v>
      </c>
      <c r="B45" t="str">
        <f t="shared" si="0"/>
        <v/>
      </c>
      <c r="E45">
        <f>D1_ABRIL[[#This Row],[RECUPERO]]/VLOOKUP(D1_ABRIL[[#This Row],[SUPER]],D2_ABRIL[#All],2,0)</f>
        <v>0</v>
      </c>
      <c r="F45" t="str">
        <f>D1_ABRIL[[#This Row],[SUPER]]</f>
        <v>JORGE</v>
      </c>
      <c r="L45">
        <v>7</v>
      </c>
      <c r="M45" s="1">
        <f t="shared" si="1"/>
        <v>1.1982280701754386</v>
      </c>
      <c r="N45" t="str" cm="1">
        <f t="array" ref="N45">IFERROR(_xlfn.IFS(M45&gt;100%,"&gt;100%",AND(M45&lt;100%,M45&gt;70%),"&gt;70%",AND(M45&lt;70%,M45&gt;40%),"&gt;40%",AND(M45&lt;40%,M45&gt;0%),"&gt;0%"),"")</f>
        <v>&gt;100%</v>
      </c>
      <c r="O45" t="str">
        <f t="shared" si="2"/>
        <v>VERONICA TASAYCO</v>
      </c>
    </row>
    <row r="46" spans="1:28" x14ac:dyDescent="0.25">
      <c r="A46" t="s">
        <v>2</v>
      </c>
      <c r="B46" t="str">
        <f t="shared" si="0"/>
        <v/>
      </c>
      <c r="E46">
        <f>D1_ABRIL[[#This Row],[RECUPERO]]/VLOOKUP(D1_ABRIL[[#This Row],[SUPER]],D2_ABRIL[#All],2,0)</f>
        <v>0</v>
      </c>
      <c r="F46" t="str">
        <f>D1_ABRIL[[#This Row],[SUPER]]</f>
        <v>JORGE</v>
      </c>
      <c r="L46">
        <v>8</v>
      </c>
      <c r="M46" s="1">
        <f t="shared" si="1"/>
        <v>0</v>
      </c>
      <c r="N46" t="str" cm="1">
        <f t="array" ref="N46">IFERROR(_xlfn.IFS(M46&gt;100%,"&gt;100%",AND(M46&lt;100%,M46&gt;70%),"&gt;70%",AND(M46&lt;70%,M46&gt;40%),"&gt;40%",AND(M46&lt;40%,M46&gt;0%),"&gt;0%"),"")</f>
        <v/>
      </c>
      <c r="O46" t="str">
        <f t="shared" si="2"/>
        <v/>
      </c>
    </row>
    <row r="47" spans="1:28" x14ac:dyDescent="0.25">
      <c r="A47" t="s">
        <v>2</v>
      </c>
      <c r="B47" t="str">
        <f t="shared" si="0"/>
        <v/>
      </c>
      <c r="E47">
        <f>D1_ABRIL[[#This Row],[RECUPERO]]/VLOOKUP(D1_ABRIL[[#This Row],[SUPER]],D2_ABRIL[#All],2,0)</f>
        <v>0</v>
      </c>
      <c r="F47" t="str">
        <f>D1_ABRIL[[#This Row],[SUPER]]</f>
        <v>JORGE</v>
      </c>
      <c r="L47">
        <v>9</v>
      </c>
      <c r="M47" s="1">
        <f t="shared" si="1"/>
        <v>0</v>
      </c>
      <c r="N47" t="str" cm="1">
        <f t="array" ref="N47">IFERROR(_xlfn.IFS(M47&gt;100%,"&gt;100%",AND(M47&lt;100%,M47&gt;70%),"&gt;70%",AND(M47&lt;70%,M47&gt;40%),"&gt;40%",AND(M47&lt;40%,M47&gt;0%),"&gt;0%"),"")</f>
        <v/>
      </c>
      <c r="O47" t="str">
        <f t="shared" si="2"/>
        <v/>
      </c>
    </row>
    <row r="48" spans="1:28" x14ac:dyDescent="0.25">
      <c r="A48" t="s">
        <v>5</v>
      </c>
      <c r="B48" t="str">
        <f t="shared" si="0"/>
        <v>ALEJANDRA QUISPE</v>
      </c>
      <c r="C48" t="s">
        <v>58</v>
      </c>
      <c r="D48">
        <v>41073</v>
      </c>
      <c r="E48">
        <f>D1_ABRIL[[#This Row],[RECUPERO]]/VLOOKUP(D1_ABRIL[[#This Row],[SUPER]],D2_ABRIL[#All],2,0)</f>
        <v>0.7205789473684211</v>
      </c>
      <c r="F48" t="str">
        <f>D1_ABRIL[[#This Row],[SUPER]]</f>
        <v>JORDAN</v>
      </c>
      <c r="L48">
        <v>10</v>
      </c>
      <c r="M48" s="1">
        <f t="shared" si="1"/>
        <v>0</v>
      </c>
      <c r="N48" t="str" cm="1">
        <f t="array" ref="N48">IFERROR(_xlfn.IFS(M48&gt;100%,"&gt;100%",AND(M48&lt;100%,M48&gt;70%),"&gt;70%",AND(M48&lt;70%,M48&gt;40%),"&gt;40%",AND(M48&lt;40%,M48&gt;0%),"&gt;0%"),"")</f>
        <v/>
      </c>
      <c r="O48" t="str">
        <f t="shared" si="2"/>
        <v/>
      </c>
    </row>
    <row r="49" spans="1:15" x14ac:dyDescent="0.25">
      <c r="A49" t="s">
        <v>5</v>
      </c>
      <c r="B49" t="str">
        <f t="shared" si="0"/>
        <v>ANTHONY VICENTE</v>
      </c>
      <c r="C49" t="s">
        <v>85</v>
      </c>
      <c r="D49">
        <v>26261</v>
      </c>
      <c r="E49">
        <f>D1_ABRIL[[#This Row],[RECUPERO]]/VLOOKUP(D1_ABRIL[[#This Row],[SUPER]],D2_ABRIL[#All],2,0)</f>
        <v>0.46071929824561403</v>
      </c>
      <c r="F49" t="str">
        <f>D1_ABRIL[[#This Row],[SUPER]]</f>
        <v>JORDAN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/>
      </c>
    </row>
    <row r="50" spans="1:15" x14ac:dyDescent="0.25">
      <c r="A50" t="s">
        <v>5</v>
      </c>
      <c r="B50" t="str">
        <f t="shared" si="0"/>
        <v>AURORA FAUSTOR</v>
      </c>
      <c r="C50" t="s">
        <v>67</v>
      </c>
      <c r="D50">
        <v>56440.2</v>
      </c>
      <c r="E50">
        <f>D1_ABRIL[[#This Row],[RECUPERO]]/VLOOKUP(D1_ABRIL[[#This Row],[SUPER]],D2_ABRIL[#All],2,0)</f>
        <v>0.99017894736842105</v>
      </c>
      <c r="F50" t="str">
        <f>D1_ABRIL[[#This Row],[SUPER]]</f>
        <v>JORDAN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</row>
    <row r="51" spans="1:15" x14ac:dyDescent="0.25">
      <c r="A51" t="s">
        <v>5</v>
      </c>
      <c r="B51" t="str">
        <f t="shared" si="0"/>
        <v>ERIKA VILLAR</v>
      </c>
      <c r="C51" t="s">
        <v>72</v>
      </c>
      <c r="D51">
        <v>37261.97</v>
      </c>
      <c r="E51">
        <f>D1_ABRIL[[#This Row],[RECUPERO]]/VLOOKUP(D1_ABRIL[[#This Row],[SUPER]],D2_ABRIL[#All],2,0)</f>
        <v>0.65371877192982453</v>
      </c>
      <c r="F51" t="str">
        <f>D1_ABRIL[[#This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</row>
    <row r="52" spans="1:15" x14ac:dyDescent="0.25">
      <c r="A52" t="s">
        <v>5</v>
      </c>
      <c r="B52" t="str">
        <f t="shared" si="0"/>
        <v>GILBERTO PURIZACA</v>
      </c>
      <c r="C52" t="s">
        <v>66</v>
      </c>
      <c r="D52">
        <v>35845</v>
      </c>
      <c r="E52">
        <f>D1_ABRIL[[#This Row],[RECUPERO]]/VLOOKUP(D1_ABRIL[[#This Row],[SUPER]],D2_ABRIL[#All],2,0)</f>
        <v>0.62885964912280701</v>
      </c>
      <c r="F52" t="str">
        <f>D1_ABRIL[[#This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</row>
    <row r="53" spans="1:15" x14ac:dyDescent="0.25">
      <c r="A53" t="s">
        <v>5</v>
      </c>
      <c r="B53" t="str">
        <f t="shared" si="0"/>
        <v>LUCERO JORDAN</v>
      </c>
      <c r="C53" t="s">
        <v>68</v>
      </c>
      <c r="D53">
        <v>59419</v>
      </c>
      <c r="E53">
        <f>D1_ABRIL[[#This Row],[RECUPERO]]/VLOOKUP(D1_ABRIL[[#This Row],[SUPER]],D2_ABRIL[#All],2,0)</f>
        <v>1.0424385964912282</v>
      </c>
      <c r="F53" t="str">
        <f>D1_ABRIL[[#This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</row>
    <row r="54" spans="1:15" x14ac:dyDescent="0.25">
      <c r="A54" t="s">
        <v>5</v>
      </c>
      <c r="B54" t="str">
        <f t="shared" si="0"/>
        <v>MERLY CORONEL</v>
      </c>
      <c r="C54" t="s">
        <v>70</v>
      </c>
      <c r="D54">
        <v>37843</v>
      </c>
      <c r="E54">
        <f>D1_ABRIL[[#This Row],[RECUPERO]]/VLOOKUP(D1_ABRIL[[#This Row],[SUPER]],D2_ABRIL[#All],2,0)</f>
        <v>0.66391228070175434</v>
      </c>
      <c r="F54" t="str">
        <f>D1_ABRIL[[#This Row],[SUPER]]</f>
        <v>JORDAN</v>
      </c>
      <c r="L54">
        <v>1</v>
      </c>
      <c r="M54" s="1">
        <f t="shared" si="1"/>
        <v>0.7205789473684211</v>
      </c>
      <c r="N54" t="str" cm="1">
        <f t="array" ref="N54">IFERROR(_xlfn.IFS(M54&gt;100%,"&gt;100%",AND(M54&lt;100%,M54&gt;70%),"&gt;70%",AND(M54&lt;70%,M54&gt;40%),"&gt;40%",AND(M54&lt;40%,M54&gt;0%),"&gt;0%"),"")</f>
        <v>&gt;70%</v>
      </c>
      <c r="O54" t="str">
        <f t="shared" si="2"/>
        <v>ALEJANDRA QUISPE</v>
      </c>
    </row>
    <row r="55" spans="1:15" x14ac:dyDescent="0.25">
      <c r="A55" t="s">
        <v>5</v>
      </c>
      <c r="B55" t="str">
        <f t="shared" si="0"/>
        <v>NATALIA MARIN</v>
      </c>
      <c r="C55" t="s">
        <v>79</v>
      </c>
      <c r="D55">
        <v>26900</v>
      </c>
      <c r="E55">
        <f>D1_ABRIL[[#This Row],[RECUPERO]]/VLOOKUP(D1_ABRIL[[#This Row],[SUPER]],D2_ABRIL[#All],2,0)</f>
        <v>0.47192982456140353</v>
      </c>
      <c r="F55" t="str">
        <f>D1_ABRIL[[#This Row],[SUPER]]</f>
        <v>JORDAN</v>
      </c>
      <c r="L55">
        <v>2</v>
      </c>
      <c r="M55" s="1">
        <f t="shared" si="1"/>
        <v>0.46071929824561403</v>
      </c>
      <c r="N55" t="str" cm="1">
        <f t="array" ref="N55">IFERROR(_xlfn.IFS(M55&gt;100%,"&gt;100%",AND(M55&lt;100%,M55&gt;70%),"&gt;70%",AND(M55&lt;70%,M55&gt;40%),"&gt;40%",AND(M55&lt;40%,M55&gt;0%),"&gt;0%"),"")</f>
        <v>&gt;40%</v>
      </c>
      <c r="O55" t="str">
        <f t="shared" si="2"/>
        <v>ANTHONY VICENTE</v>
      </c>
    </row>
    <row r="56" spans="1:15" x14ac:dyDescent="0.25">
      <c r="A56" t="s">
        <v>5</v>
      </c>
      <c r="B56" t="str">
        <f t="shared" si="0"/>
        <v/>
      </c>
      <c r="E56">
        <f>D1_ABRIL[[#This Row],[RECUPERO]]/VLOOKUP(D1_ABRIL[[#This Row],[SUPER]],D2_ABRIL[#All],2,0)</f>
        <v>0</v>
      </c>
      <c r="F56" t="str">
        <f>D1_ABRIL[[#This Row],[SUPER]]</f>
        <v>JORDAN</v>
      </c>
      <c r="L56">
        <v>3</v>
      </c>
      <c r="M56" s="1">
        <f t="shared" si="1"/>
        <v>0.99017894736842105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2"/>
        <v>AURORA FAUSTOR</v>
      </c>
    </row>
    <row r="57" spans="1:15" x14ac:dyDescent="0.25">
      <c r="A57" t="s">
        <v>5</v>
      </c>
      <c r="B57" t="str">
        <f t="shared" si="0"/>
        <v/>
      </c>
      <c r="E57">
        <f>D1_ABRIL[[#This Row],[RECUPERO]]/VLOOKUP(D1_ABRIL[[#This Row],[SUPER]],D2_ABRIL[#All],2,0)</f>
        <v>0</v>
      </c>
      <c r="F57" t="str">
        <f>D1_ABRIL[[#This Row],[SUPER]]</f>
        <v>JORDAN</v>
      </c>
      <c r="L57">
        <v>4</v>
      </c>
      <c r="M57" s="1">
        <f t="shared" si="1"/>
        <v>0.65371877192982453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2"/>
        <v>ERIKA VILLAR</v>
      </c>
    </row>
    <row r="58" spans="1:15" x14ac:dyDescent="0.25">
      <c r="A58" t="s">
        <v>5</v>
      </c>
      <c r="B58" t="str">
        <f t="shared" si="0"/>
        <v/>
      </c>
      <c r="E58">
        <f>D1_ABRIL[[#This Row],[RECUPERO]]/VLOOKUP(D1_ABRIL[[#This Row],[SUPER]],D2_ABRIL[#All],2,0)</f>
        <v>0</v>
      </c>
      <c r="F58" t="str">
        <f>D1_ABRIL[[#This Row],[SUPER]]</f>
        <v>JORDAN</v>
      </c>
      <c r="L58">
        <v>5</v>
      </c>
      <c r="M58" s="1">
        <f t="shared" si="1"/>
        <v>0.62885964912280701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2"/>
        <v>GILBERTO PURIZACA</v>
      </c>
    </row>
    <row r="59" spans="1:15" x14ac:dyDescent="0.25">
      <c r="A59" t="s">
        <v>5</v>
      </c>
      <c r="B59" t="str">
        <f t="shared" si="0"/>
        <v/>
      </c>
      <c r="E59">
        <f>D1_ABRIL[[#This Row],[RECUPERO]]/VLOOKUP(D1_ABRIL[[#This Row],[SUPER]],D2_ABRIL[#All],2,0)</f>
        <v>0</v>
      </c>
      <c r="F59" t="str">
        <f>D1_ABRIL[[#This Row],[SUPER]]</f>
        <v>JORDAN</v>
      </c>
      <c r="L59">
        <v>6</v>
      </c>
      <c r="M59" s="1">
        <f t="shared" si="1"/>
        <v>1.0424385964912282</v>
      </c>
      <c r="N59" t="str" cm="1">
        <f t="array" ref="N59">IFERROR(_xlfn.IFS(M59&gt;100%,"&gt;100%",AND(M59&lt;100%,M59&gt;70%),"&gt;70%",AND(M59&lt;70%,M59&gt;40%),"&gt;40%",AND(M59&lt;40%,M59&gt;0%),"&gt;0%"),"")</f>
        <v>&gt;100%</v>
      </c>
      <c r="O59" t="str">
        <f t="shared" si="2"/>
        <v>LUCERO JORDAN</v>
      </c>
    </row>
    <row r="60" spans="1:15" x14ac:dyDescent="0.25">
      <c r="A60" t="s">
        <v>5</v>
      </c>
      <c r="B60" t="str">
        <f t="shared" si="0"/>
        <v/>
      </c>
      <c r="E60">
        <f>D1_ABRIL[[#This Row],[RECUPERO]]/VLOOKUP(D1_ABRIL[[#This Row],[SUPER]],D2_ABRIL[#All],2,0)</f>
        <v>0</v>
      </c>
      <c r="F60" t="str">
        <f>D1_ABRIL[[#This Row],[SUPER]]</f>
        <v>JORDAN</v>
      </c>
      <c r="L60">
        <v>7</v>
      </c>
      <c r="M60" s="1">
        <f t="shared" si="1"/>
        <v>0.66391228070175434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MERLY CORONEL</v>
      </c>
    </row>
    <row r="61" spans="1:15" x14ac:dyDescent="0.25">
      <c r="A61" t="s">
        <v>5</v>
      </c>
      <c r="B61" t="str">
        <f t="shared" si="0"/>
        <v/>
      </c>
      <c r="E61">
        <f>D1_ABRIL[[#This Row],[RECUPERO]]/VLOOKUP(D1_ABRIL[[#This Row],[SUPER]],D2_ABRIL[#All],2,0)</f>
        <v>0</v>
      </c>
      <c r="F61" t="str">
        <f>D1_ABRIL[[#This Row],[SUPER]]</f>
        <v>JORDAN</v>
      </c>
      <c r="L61">
        <v>8</v>
      </c>
      <c r="M61" s="1">
        <f t="shared" si="1"/>
        <v>0.47192982456140353</v>
      </c>
      <c r="N61" t="str" cm="1">
        <f t="array" ref="N61">IFERROR(_xlfn.IFS(M61&gt;100%,"&gt;100%",AND(M61&lt;100%,M61&gt;70%),"&gt;70%",AND(M61&lt;70%,M61&gt;40%),"&gt;40%",AND(M61&lt;40%,M61&gt;0%),"&gt;0%"),"")</f>
        <v>&gt;40%</v>
      </c>
      <c r="O61" t="str">
        <f t="shared" si="2"/>
        <v>NATALIA MARIN</v>
      </c>
    </row>
    <row r="62" spans="1:15" x14ac:dyDescent="0.25">
      <c r="A62" t="s">
        <v>5</v>
      </c>
      <c r="B62" t="str">
        <f t="shared" si="0"/>
        <v/>
      </c>
      <c r="E62">
        <f>D1_ABRIL[[#This Row],[RECUPERO]]/VLOOKUP(D1_ABRIL[[#This Row],[SUPER]],D2_ABRIL[#All],2,0)</f>
        <v>0</v>
      </c>
      <c r="F62" t="str">
        <f>D1_ABRIL[[#This Row],[SUPER]]</f>
        <v>JORDAN</v>
      </c>
      <c r="L62">
        <v>9</v>
      </c>
      <c r="M62" s="1">
        <f t="shared" si="1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2"/>
        <v/>
      </c>
    </row>
    <row r="63" spans="1:15" x14ac:dyDescent="0.25">
      <c r="A63" t="s">
        <v>6</v>
      </c>
      <c r="B63" t="str">
        <f t="shared" si="0"/>
        <v>ALEIDITH GUEVARA</v>
      </c>
      <c r="C63" t="s">
        <v>18</v>
      </c>
      <c r="D63">
        <v>7953</v>
      </c>
      <c r="E63">
        <f>D1_ABRIL[[#This Row],[RECUPERO]]/VLOOKUP(D1_ABRIL[[#This Row],[SUPER]],D2_ABRIL[#All],2,0)</f>
        <v>0.30588461538461537</v>
      </c>
      <c r="F63" t="str">
        <f>D1_ABRIL[[#This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</row>
    <row r="64" spans="1:15" x14ac:dyDescent="0.25">
      <c r="A64" t="s">
        <v>6</v>
      </c>
      <c r="B64" t="str">
        <f t="shared" si="0"/>
        <v>DAVID SANCHEZ</v>
      </c>
      <c r="C64" t="s">
        <v>81</v>
      </c>
      <c r="D64">
        <v>3600</v>
      </c>
      <c r="E64">
        <f>D1_ABRIL[[#This Row],[RECUPERO]]/VLOOKUP(D1_ABRIL[[#This Row],[SUPER]],D2_ABRIL[#All],2,0)</f>
        <v>0.13846153846153847</v>
      </c>
      <c r="F64" t="str">
        <f>D1_ABRIL[[#This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</row>
    <row r="65" spans="1:15" x14ac:dyDescent="0.25">
      <c r="A65" t="s">
        <v>6</v>
      </c>
      <c r="B65" t="str">
        <f t="shared" si="0"/>
        <v>FRANK PACORA</v>
      </c>
      <c r="C65" t="s">
        <v>132</v>
      </c>
      <c r="D65">
        <v>7800</v>
      </c>
      <c r="E65">
        <f>D1_ABRIL[[#This Row],[RECUPERO]]/VLOOKUP(D1_ABRIL[[#This Row],[SUPER]],D2_ABRIL[#All],2,0)</f>
        <v>0.3</v>
      </c>
      <c r="F65" t="str">
        <f>D1_ABRIL[[#This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</row>
    <row r="66" spans="1:15" x14ac:dyDescent="0.25">
      <c r="A66" t="s">
        <v>6</v>
      </c>
      <c r="B66" t="str">
        <f t="shared" si="0"/>
        <v>JIMENA MEDINA</v>
      </c>
      <c r="C66" t="s">
        <v>37</v>
      </c>
      <c r="D66">
        <v>7290</v>
      </c>
      <c r="E66">
        <f>D1_ABRIL[[#This Row],[RECUPERO]]/VLOOKUP(D1_ABRIL[[#This Row],[SUPER]],D2_ABRIL[#All],2,0)</f>
        <v>0.2803846153846154</v>
      </c>
      <c r="F66" t="str">
        <f>D1_ABRIL[[#This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</row>
    <row r="67" spans="1:15" x14ac:dyDescent="0.25">
      <c r="A67" t="s">
        <v>6</v>
      </c>
      <c r="B67" t="str">
        <f t="shared" si="0"/>
        <v>JUAN LOZA</v>
      </c>
      <c r="C67" t="s">
        <v>35</v>
      </c>
      <c r="D67">
        <v>18641.11</v>
      </c>
      <c r="E67">
        <f>D1_ABRIL[[#This Row],[RECUPERO]]/VLOOKUP(D1_ABRIL[[#This Row],[SUPER]],D2_ABRIL[#All],2,0)</f>
        <v>0.71696576923076927</v>
      </c>
      <c r="F67" t="str">
        <f>D1_ABRIL[[#This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</row>
    <row r="68" spans="1:15" x14ac:dyDescent="0.25">
      <c r="A68" t="s">
        <v>6</v>
      </c>
      <c r="B68" t="str">
        <f t="shared" ref="B68:B122" si="3">TRIM(C68)</f>
        <v>LUIS CENTENO</v>
      </c>
      <c r="C68" t="s">
        <v>31</v>
      </c>
      <c r="D68">
        <v>21980</v>
      </c>
      <c r="E68">
        <f>D1_ABRIL[[#This Row],[RECUPERO]]/VLOOKUP(D1_ABRIL[[#This Row],[SUPER]],D2_ABRIL[#All],2,0)</f>
        <v>0.8453846153846154</v>
      </c>
      <c r="F68" t="str">
        <f>D1_ABRIL[[#This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</row>
    <row r="69" spans="1:15" x14ac:dyDescent="0.25">
      <c r="A69" t="s">
        <v>6</v>
      </c>
      <c r="B69" t="str">
        <f t="shared" si="3"/>
        <v>MARCO SARMIENTO</v>
      </c>
      <c r="C69" t="s">
        <v>140</v>
      </c>
      <c r="D69">
        <v>10464</v>
      </c>
      <c r="E69">
        <f>D1_ABRIL[[#This Row],[RECUPERO]]/VLOOKUP(D1_ABRIL[[#This Row],[SUPER]],D2_ABRIL[#All],2,0)</f>
        <v>0.40246153846153848</v>
      </c>
      <c r="F69" t="str">
        <f>D1_ABRIL[[#This Row],[SUPER]]</f>
        <v>KENNETH</v>
      </c>
      <c r="L69">
        <v>1</v>
      </c>
      <c r="M69" s="1">
        <f t="shared" si="1"/>
        <v>0.30588461538461537</v>
      </c>
      <c r="N69" t="str" cm="1">
        <f t="array" ref="N69">IFERROR(_xlfn.IFS(M69&gt;100%,"&gt;100%",AND(M69&lt;100%,M69&gt;70%),"&gt;70%",AND(M69&lt;70%,M69&gt;40%),"&gt;40%",AND(M69&lt;40%,M69&gt;0%),"&gt;0%"),"")</f>
        <v>&gt;0%</v>
      </c>
      <c r="O69" t="str">
        <f t="shared" si="2"/>
        <v>ALEIDITH GUEVARA</v>
      </c>
    </row>
    <row r="70" spans="1:15" x14ac:dyDescent="0.25">
      <c r="A70" t="s">
        <v>6</v>
      </c>
      <c r="B70" t="str">
        <f t="shared" si="3"/>
        <v>MEDALITH NESTARES</v>
      </c>
      <c r="C70" t="s">
        <v>36</v>
      </c>
      <c r="D70">
        <v>8041</v>
      </c>
      <c r="E70">
        <f>D1_ABRIL[[#This Row],[RECUPERO]]/VLOOKUP(D1_ABRIL[[#This Row],[SUPER]],D2_ABRIL[#All],2,0)</f>
        <v>0.3092692307692308</v>
      </c>
      <c r="F70" t="str">
        <f>D1_ABRIL[[#This Row],[SUPER]]</f>
        <v>KENNETH</v>
      </c>
      <c r="L70">
        <v>2</v>
      </c>
      <c r="M70" s="1">
        <f t="shared" si="1"/>
        <v>0.13846153846153847</v>
      </c>
      <c r="N70" t="str" cm="1">
        <f t="array" ref="N70">IFERROR(_xlfn.IFS(M70&gt;100%,"&gt;100%",AND(M70&lt;100%,M70&gt;70%),"&gt;70%",AND(M70&lt;70%,M70&gt;40%),"&gt;40%",AND(M70&lt;40%,M70&gt;0%),"&gt;0%"),"")</f>
        <v>&gt;0%</v>
      </c>
      <c r="O70" t="str">
        <f t="shared" si="2"/>
        <v>DAVID SANCHEZ</v>
      </c>
    </row>
    <row r="71" spans="1:15" x14ac:dyDescent="0.25">
      <c r="A71" t="s">
        <v>6</v>
      </c>
      <c r="B71" t="str">
        <f t="shared" si="3"/>
        <v>ROGGER RODRIGUEZ</v>
      </c>
      <c r="C71" t="s">
        <v>171</v>
      </c>
      <c r="D71">
        <v>6320</v>
      </c>
      <c r="E71">
        <f>D1_ABRIL[[#This Row],[RECUPERO]]/VLOOKUP(D1_ABRIL[[#This Row],[SUPER]],D2_ABRIL[#All],2,0)</f>
        <v>0.24307692307692308</v>
      </c>
      <c r="F71" t="str">
        <f>D1_ABRIL[[#This Row],[SUPER]]</f>
        <v>KENNETH</v>
      </c>
      <c r="L71">
        <v>3</v>
      </c>
      <c r="M71" s="1">
        <f t="shared" si="1"/>
        <v>0.3</v>
      </c>
      <c r="N71" t="str" cm="1">
        <f t="array" ref="N71">IFERROR(_xlfn.IFS(M71&gt;100%,"&gt;100%",AND(M71&lt;100%,M71&gt;70%),"&gt;70%",AND(M71&lt;70%,M71&gt;40%),"&gt;40%",AND(M71&lt;40%,M71&gt;0%),"&gt;0%"),"")</f>
        <v>&gt;0%</v>
      </c>
      <c r="O71" t="str">
        <f t="shared" si="2"/>
        <v>FRANK PACORA</v>
      </c>
    </row>
    <row r="72" spans="1:15" x14ac:dyDescent="0.25">
      <c r="A72" t="s">
        <v>6</v>
      </c>
      <c r="B72" t="str">
        <f t="shared" si="3"/>
        <v>STWUAR MACURI</v>
      </c>
      <c r="C72" t="s">
        <v>34</v>
      </c>
      <c r="D72">
        <v>19711</v>
      </c>
      <c r="E72">
        <f>D1_ABRIL[[#This Row],[RECUPERO]]/VLOOKUP(D1_ABRIL[[#This Row],[SUPER]],D2_ABRIL[#All],2,0)</f>
        <v>0.75811538461538464</v>
      </c>
      <c r="F72" t="str">
        <f>D1_ABRIL[[#This Row],[SUPER]]</f>
        <v>KENNETH</v>
      </c>
      <c r="L72">
        <v>4</v>
      </c>
      <c r="M72" s="1">
        <f t="shared" si="1"/>
        <v>0.2803846153846154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2"/>
        <v>JIMENA MEDINA</v>
      </c>
    </row>
    <row r="73" spans="1:15" x14ac:dyDescent="0.25">
      <c r="A73" t="s">
        <v>6</v>
      </c>
      <c r="B73" t="str">
        <f t="shared" si="3"/>
        <v/>
      </c>
      <c r="E73">
        <f>D1_ABRIL[[#This Row],[RECUPERO]]/VLOOKUP(D1_ABRIL[[#This Row],[SUPER]],D2_ABRIL[#All],2,0)</f>
        <v>0</v>
      </c>
      <c r="F73" t="str">
        <f>D1_ABRIL[[#This Row],[SUPER]]</f>
        <v>KENNETH</v>
      </c>
      <c r="L73">
        <v>5</v>
      </c>
      <c r="M73" s="1">
        <f t="shared" si="1"/>
        <v>0.71696576923076927</v>
      </c>
      <c r="N73" t="str" cm="1">
        <f t="array" ref="N73">IFERROR(_xlfn.IFS(M73&gt;100%,"&gt;100%",AND(M73&lt;100%,M73&gt;70%),"&gt;70%",AND(M73&lt;70%,M73&gt;40%),"&gt;40%",AND(M73&lt;40%,M73&gt;0%),"&gt;0%"),"")</f>
        <v>&gt;70%</v>
      </c>
      <c r="O73" t="str">
        <f t="shared" si="2"/>
        <v>JUAN LOZA</v>
      </c>
    </row>
    <row r="74" spans="1:15" x14ac:dyDescent="0.25">
      <c r="A74" t="s">
        <v>6</v>
      </c>
      <c r="B74" t="str">
        <f t="shared" si="3"/>
        <v/>
      </c>
      <c r="E74">
        <f>D1_ABRIL[[#This Row],[RECUPERO]]/VLOOKUP(D1_ABRIL[[#This Row],[SUPER]],D2_ABRIL[#All],2,0)</f>
        <v>0</v>
      </c>
      <c r="F74" t="str">
        <f>D1_ABRIL[[#This Row],[SUPER]]</f>
        <v>KENNETH</v>
      </c>
      <c r="L74">
        <v>6</v>
      </c>
      <c r="M74" s="1">
        <f t="shared" ref="M74:M128" si="4">E68</f>
        <v>0.8453846153846154</v>
      </c>
      <c r="N74" t="str" cm="1">
        <f t="array" ref="N74">IFERROR(_xlfn.IFS(M74&gt;100%,"&gt;100%",AND(M74&lt;100%,M74&gt;70%),"&gt;70%",AND(M74&lt;70%,M74&gt;40%),"&gt;40%",AND(M74&lt;40%,M74&gt;0%),"&gt;0%"),"")</f>
        <v>&gt;70%</v>
      </c>
      <c r="O74" t="str">
        <f t="shared" ref="O74:O128" si="5">B68</f>
        <v>LUIS CENTENO</v>
      </c>
    </row>
    <row r="75" spans="1:15" x14ac:dyDescent="0.25">
      <c r="A75" t="s">
        <v>6</v>
      </c>
      <c r="B75" t="str">
        <f t="shared" si="3"/>
        <v/>
      </c>
      <c r="E75">
        <f>D1_ABRIL[[#This Row],[RECUPERO]]/VLOOKUP(D1_ABRIL[[#This Row],[SUPER]],D2_ABRIL[#All],2,0)</f>
        <v>0</v>
      </c>
      <c r="F75" t="str">
        <f>D1_ABRIL[[#This Row],[SUPER]]</f>
        <v>KENNETH</v>
      </c>
      <c r="L75">
        <v>7</v>
      </c>
      <c r="M75" s="1">
        <f t="shared" si="4"/>
        <v>0.40246153846153848</v>
      </c>
      <c r="N75" t="str" cm="1">
        <f t="array" ref="N75">IFERROR(_xlfn.IFS(M75&gt;100%,"&gt;100%",AND(M75&lt;100%,M75&gt;70%),"&gt;70%",AND(M75&lt;70%,M75&gt;40%),"&gt;40%",AND(M75&lt;40%,M75&gt;0%),"&gt;0%"),"")</f>
        <v>&gt;40%</v>
      </c>
      <c r="O75" t="str">
        <f t="shared" si="5"/>
        <v>MARCO SARMIENTO</v>
      </c>
    </row>
    <row r="76" spans="1:15" x14ac:dyDescent="0.25">
      <c r="A76" t="s">
        <v>6</v>
      </c>
      <c r="B76" t="str">
        <f t="shared" si="3"/>
        <v/>
      </c>
      <c r="E76">
        <f>D1_ABRIL[[#This Row],[RECUPERO]]/VLOOKUP(D1_ABRIL[[#This Row],[SUPER]],D2_ABRIL[#All],2,0)</f>
        <v>0</v>
      </c>
      <c r="F76" t="str">
        <f>D1_ABRIL[[#This Row],[SUPER]]</f>
        <v>KENNETH</v>
      </c>
      <c r="L76">
        <v>8</v>
      </c>
      <c r="M76" s="1">
        <f t="shared" si="4"/>
        <v>0.3092692307692308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5"/>
        <v>MEDALITH NESTARES</v>
      </c>
    </row>
    <row r="77" spans="1:15" x14ac:dyDescent="0.25">
      <c r="A77" t="s">
        <v>6</v>
      </c>
      <c r="B77" t="str">
        <f t="shared" si="3"/>
        <v/>
      </c>
      <c r="E77">
        <f>D1_ABRIL[[#This Row],[RECUPERO]]/VLOOKUP(D1_ABRIL[[#This Row],[SUPER]],D2_ABRIL[#All],2,0)</f>
        <v>0</v>
      </c>
      <c r="F77" t="str">
        <f>D1_ABRIL[[#This Row],[SUPER]]</f>
        <v>KENNETH</v>
      </c>
      <c r="L77">
        <v>9</v>
      </c>
      <c r="M77" s="1">
        <f t="shared" si="4"/>
        <v>0.24307692307692308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5"/>
        <v>ROGGER RODRIGUEZ</v>
      </c>
    </row>
    <row r="78" spans="1:15" x14ac:dyDescent="0.25">
      <c r="A78" t="s">
        <v>166</v>
      </c>
      <c r="B78" t="str">
        <f t="shared" si="3"/>
        <v>ALEJANDRA AVILA</v>
      </c>
      <c r="C78" t="s">
        <v>21</v>
      </c>
      <c r="D78">
        <v>17728.099999999999</v>
      </c>
      <c r="E78">
        <f>D1_ABRIL[[#This Row],[RECUPERO]]/VLOOKUP(D1_ABRIL[[#This Row],[SUPER]],D2_ABRIL[#All],2,0)</f>
        <v>0.86478536585365851</v>
      </c>
      <c r="F78" t="str">
        <f>D1_ABRIL[[#This Row],[SUPER]]</f>
        <v>JOHAN</v>
      </c>
      <c r="L78">
        <v>10</v>
      </c>
      <c r="M78" s="1">
        <f t="shared" si="4"/>
        <v>0.75811538461538464</v>
      </c>
      <c r="N78" t="str" cm="1">
        <f t="array" ref="N78">IFERROR(_xlfn.IFS(M78&gt;100%,"&gt;100%",AND(M78&lt;100%,M78&gt;70%),"&gt;70%",AND(M78&lt;70%,M78&gt;40%),"&gt;40%",AND(M78&lt;40%,M78&gt;0%),"&gt;0%"),"")</f>
        <v>&gt;70%</v>
      </c>
      <c r="O78" t="str">
        <f t="shared" si="5"/>
        <v>STWUAR MACURI</v>
      </c>
    </row>
    <row r="79" spans="1:15" x14ac:dyDescent="0.25">
      <c r="A79" t="s">
        <v>166</v>
      </c>
      <c r="B79" t="str">
        <f t="shared" si="3"/>
        <v>ANDERSON RODRIGUEZ</v>
      </c>
      <c r="C79" t="s">
        <v>15</v>
      </c>
      <c r="D79">
        <v>17644</v>
      </c>
      <c r="E79">
        <f>D1_ABRIL[[#This Row],[RECUPERO]]/VLOOKUP(D1_ABRIL[[#This Row],[SUPER]],D2_ABRIL[#All],2,0)</f>
        <v>0.86068292682926828</v>
      </c>
      <c r="F79" t="str">
        <f>D1_ABRIL[[#This Row],[SUPER]]</f>
        <v>JOHAN</v>
      </c>
      <c r="L79">
        <v>11</v>
      </c>
      <c r="M79" s="1">
        <f t="shared" si="4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5"/>
        <v/>
      </c>
    </row>
    <row r="80" spans="1:15" x14ac:dyDescent="0.25">
      <c r="A80" t="s">
        <v>166</v>
      </c>
      <c r="B80" t="str">
        <f t="shared" si="3"/>
        <v>CARLOS CALAGUA</v>
      </c>
      <c r="C80" t="s">
        <v>129</v>
      </c>
      <c r="D80">
        <v>6061</v>
      </c>
      <c r="E80">
        <f>D1_ABRIL[[#This Row],[RECUPERO]]/VLOOKUP(D1_ABRIL[[#This Row],[SUPER]],D2_ABRIL[#All],2,0)</f>
        <v>0.29565853658536584</v>
      </c>
      <c r="F80" t="str">
        <f>D1_ABRIL[[#This Row],[SUPER]]</f>
        <v>JOHAN</v>
      </c>
      <c r="L80">
        <v>12</v>
      </c>
      <c r="M80" s="1">
        <f t="shared" si="4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5"/>
        <v/>
      </c>
    </row>
    <row r="81" spans="1:15" x14ac:dyDescent="0.25">
      <c r="A81" t="s">
        <v>166</v>
      </c>
      <c r="B81" t="str">
        <f t="shared" si="3"/>
        <v>CHRISTIAN ALVARADO</v>
      </c>
      <c r="C81" t="s">
        <v>41</v>
      </c>
      <c r="D81">
        <v>2970</v>
      </c>
      <c r="E81">
        <f>D1_ABRIL[[#This Row],[RECUPERO]]/VLOOKUP(D1_ABRIL[[#This Row],[SUPER]],D2_ABRIL[#All],2,0)</f>
        <v>0.14487804878048779</v>
      </c>
      <c r="F81" t="str">
        <f>D1_ABRIL[[#This Row],[SUPER]]</f>
        <v>JOHAN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</row>
    <row r="82" spans="1:15" x14ac:dyDescent="0.25">
      <c r="A82" t="s">
        <v>166</v>
      </c>
      <c r="B82" t="str">
        <f t="shared" si="3"/>
        <v>GIULIANA QUISPE</v>
      </c>
      <c r="C82" t="s">
        <v>71</v>
      </c>
      <c r="D82">
        <v>11476</v>
      </c>
      <c r="E82">
        <f>D1_ABRIL[[#This Row],[RECUPERO]]/VLOOKUP(D1_ABRIL[[#This Row],[SUPER]],D2_ABRIL[#All],2,0)</f>
        <v>0.55980487804878054</v>
      </c>
      <c r="F82" t="str">
        <f>D1_ABRIL[[#This Row],[SUPER]]</f>
        <v>JOHAN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</row>
    <row r="83" spans="1:15" x14ac:dyDescent="0.25">
      <c r="A83" t="s">
        <v>166</v>
      </c>
      <c r="B83" t="str">
        <f t="shared" si="3"/>
        <v>HAROLD FLORES</v>
      </c>
      <c r="C83" t="s">
        <v>42</v>
      </c>
      <c r="D83">
        <v>0</v>
      </c>
      <c r="E83">
        <f>D1_ABRIL[[#This Row],[RECUPERO]]/VLOOKUP(D1_ABRIL[[#This Row],[SUPER]],D2_ABRIL[#All],2,0)</f>
        <v>0</v>
      </c>
      <c r="F83" t="str">
        <f>D1_ABRIL[[#This Row],[SUPER]]</f>
        <v>JOHAN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</row>
    <row r="84" spans="1:15" x14ac:dyDescent="0.25">
      <c r="A84" t="s">
        <v>166</v>
      </c>
      <c r="B84" t="str">
        <f t="shared" si="3"/>
        <v>JHOVANA TORRES</v>
      </c>
      <c r="C84" t="s">
        <v>20</v>
      </c>
      <c r="D84">
        <v>14580</v>
      </c>
      <c r="E84">
        <f>D1_ABRIL[[#This Row],[RECUPERO]]/VLOOKUP(D1_ABRIL[[#This Row],[SUPER]],D2_ABRIL[#All],2,0)</f>
        <v>0.71121951219512192</v>
      </c>
      <c r="F84" t="str">
        <f>D1_ABRIL[[#This Row],[SUPER]]</f>
        <v>JOHAN</v>
      </c>
      <c r="L84">
        <v>1</v>
      </c>
      <c r="M84" s="1">
        <f t="shared" si="4"/>
        <v>0.86478536585365851</v>
      </c>
      <c r="N84" t="str" cm="1">
        <f t="array" ref="N84">IFERROR(_xlfn.IFS(M84&gt;100%,"&gt;100%",AND(M84&lt;100%,M84&gt;70%),"&gt;70%",AND(M84&lt;70%,M84&gt;40%),"&gt;40%",AND(M84&lt;40%,M84&gt;0%),"&gt;0%"),"")</f>
        <v>&gt;70%</v>
      </c>
      <c r="O84" t="str">
        <f t="shared" si="5"/>
        <v>ALEJANDRA AVILA</v>
      </c>
    </row>
    <row r="85" spans="1:15" x14ac:dyDescent="0.25">
      <c r="A85" t="s">
        <v>166</v>
      </c>
      <c r="B85" t="str">
        <f t="shared" si="3"/>
        <v>JOANA GIL</v>
      </c>
      <c r="C85" t="s">
        <v>133</v>
      </c>
      <c r="D85">
        <v>6397.5</v>
      </c>
      <c r="E85">
        <f>D1_ABRIL[[#This Row],[RECUPERO]]/VLOOKUP(D1_ABRIL[[#This Row],[SUPER]],D2_ABRIL[#All],2,0)</f>
        <v>0.31207317073170732</v>
      </c>
      <c r="F85" t="str">
        <f>D1_ABRIL[[#This Row],[SUPER]]</f>
        <v>JOHAN</v>
      </c>
      <c r="L85">
        <v>2</v>
      </c>
      <c r="M85" s="1">
        <f t="shared" si="4"/>
        <v>0.86068292682926828</v>
      </c>
      <c r="N85" t="str" cm="1">
        <f t="array" ref="N85">IFERROR(_xlfn.IFS(M85&gt;100%,"&gt;100%",AND(M85&lt;100%,M85&gt;70%),"&gt;70%",AND(M85&lt;70%,M85&gt;40%),"&gt;40%",AND(M85&lt;40%,M85&gt;0%),"&gt;0%"),"")</f>
        <v>&gt;70%</v>
      </c>
      <c r="O85" t="str">
        <f t="shared" si="5"/>
        <v>ANDERSON RODRIGUEZ</v>
      </c>
    </row>
    <row r="86" spans="1:15" x14ac:dyDescent="0.25">
      <c r="A86" t="s">
        <v>166</v>
      </c>
      <c r="B86" t="str">
        <f t="shared" si="3"/>
        <v>SARITA GARAY</v>
      </c>
      <c r="C86" t="s">
        <v>73</v>
      </c>
      <c r="D86">
        <v>7976</v>
      </c>
      <c r="E86">
        <f>D1_ABRIL[[#This Row],[RECUPERO]]/VLOOKUP(D1_ABRIL[[#This Row],[SUPER]],D2_ABRIL[#All],2,0)</f>
        <v>0.38907317073170733</v>
      </c>
      <c r="F86" t="str">
        <f>D1_ABRIL[[#This Row],[SUPER]]</f>
        <v>JOHAN</v>
      </c>
      <c r="L86">
        <v>3</v>
      </c>
      <c r="M86" s="1">
        <f t="shared" si="4"/>
        <v>0.29565853658536584</v>
      </c>
      <c r="N86" t="str" cm="1">
        <f t="array" ref="N86">IFERROR(_xlfn.IFS(M86&gt;100%,"&gt;100%",AND(M86&lt;100%,M86&gt;70%),"&gt;70%",AND(M86&lt;70%,M86&gt;40%),"&gt;40%",AND(M86&lt;40%,M86&gt;0%),"&gt;0%"),"")</f>
        <v>&gt;0%</v>
      </c>
      <c r="O86" t="str">
        <f t="shared" si="5"/>
        <v>CARLOS CALAGUA</v>
      </c>
    </row>
    <row r="87" spans="1:15" x14ac:dyDescent="0.25">
      <c r="A87" t="s">
        <v>166</v>
      </c>
      <c r="B87" t="str">
        <f t="shared" si="3"/>
        <v/>
      </c>
      <c r="E87">
        <f>D1_ABRIL[[#This Row],[RECUPERO]]/VLOOKUP(D1_ABRIL[[#This Row],[SUPER]],D2_ABRIL[#All],2,0)</f>
        <v>0</v>
      </c>
      <c r="F87" t="str">
        <f>D1_ABRIL[[#This Row],[SUPER]]</f>
        <v>JOHAN</v>
      </c>
      <c r="L87">
        <v>4</v>
      </c>
      <c r="M87" s="1">
        <f t="shared" si="4"/>
        <v>0.14487804878048779</v>
      </c>
      <c r="N87" t="str" cm="1">
        <f t="array" ref="N87">IFERROR(_xlfn.IFS(M87&gt;100%,"&gt;100%",AND(M87&lt;100%,M87&gt;70%),"&gt;70%",AND(M87&lt;70%,M87&gt;40%),"&gt;40%",AND(M87&lt;40%,M87&gt;0%),"&gt;0%"),"")</f>
        <v>&gt;0%</v>
      </c>
      <c r="O87" t="str">
        <f t="shared" si="5"/>
        <v>CHRISTIAN ALVARADO</v>
      </c>
    </row>
    <row r="88" spans="1:15" x14ac:dyDescent="0.25">
      <c r="A88" t="s">
        <v>166</v>
      </c>
      <c r="B88" t="str">
        <f t="shared" si="3"/>
        <v/>
      </c>
      <c r="E88">
        <f>D1_ABRIL[[#This Row],[RECUPERO]]/VLOOKUP(D1_ABRIL[[#This Row],[SUPER]],D2_ABRIL[#All],2,0)</f>
        <v>0</v>
      </c>
      <c r="F88" t="str">
        <f>D1_ABRIL[[#This Row],[SUPER]]</f>
        <v>JOHAN</v>
      </c>
      <c r="L88">
        <v>5</v>
      </c>
      <c r="M88" s="1">
        <f t="shared" si="4"/>
        <v>0.55980487804878054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5"/>
        <v>GIULIANA QUISPE</v>
      </c>
    </row>
    <row r="89" spans="1:15" x14ac:dyDescent="0.25">
      <c r="A89" t="s">
        <v>166</v>
      </c>
      <c r="B89" t="str">
        <f t="shared" si="3"/>
        <v/>
      </c>
      <c r="E89">
        <f>D1_ABRIL[[#This Row],[RECUPERO]]/VLOOKUP(D1_ABRIL[[#This Row],[SUPER]],D2_ABRIL[#All],2,0)</f>
        <v>0</v>
      </c>
      <c r="F89" t="str">
        <f>D1_ABRIL[[#This Row],[SUPER]]</f>
        <v>JOHAN</v>
      </c>
      <c r="L89">
        <v>6</v>
      </c>
      <c r="M89" s="1">
        <f t="shared" si="4"/>
        <v>0</v>
      </c>
      <c r="N89" t="str" cm="1">
        <f t="array" ref="N89">IFERROR(_xlfn.IFS(M89&gt;100%,"&gt;100%",AND(M89&lt;100%,M89&gt;70%),"&gt;70%",AND(M89&lt;70%,M89&gt;40%),"&gt;40%",AND(M89&lt;40%,M89&gt;0%),"&gt;0%"),"")</f>
        <v/>
      </c>
      <c r="O89" t="str">
        <f t="shared" si="5"/>
        <v>HAROLD FLORES</v>
      </c>
    </row>
    <row r="90" spans="1:15" x14ac:dyDescent="0.25">
      <c r="A90" t="s">
        <v>166</v>
      </c>
      <c r="B90" t="str">
        <f t="shared" si="3"/>
        <v/>
      </c>
      <c r="E90">
        <f>D1_ABRIL[[#This Row],[RECUPERO]]/VLOOKUP(D1_ABRIL[[#This Row],[SUPER]],D2_ABRIL[#All],2,0)</f>
        <v>0</v>
      </c>
      <c r="F90" t="str">
        <f>D1_ABRIL[[#This Row],[SUPER]]</f>
        <v>JOHAN</v>
      </c>
      <c r="L90">
        <v>7</v>
      </c>
      <c r="M90" s="1">
        <f t="shared" si="4"/>
        <v>0.71121951219512192</v>
      </c>
      <c r="N90" t="str" cm="1">
        <f t="array" ref="N90">IFERROR(_xlfn.IFS(M90&gt;100%,"&gt;100%",AND(M90&lt;100%,M90&gt;70%),"&gt;70%",AND(M90&lt;70%,M90&gt;40%),"&gt;40%",AND(M90&lt;40%,M90&gt;0%),"&gt;0%"),"")</f>
        <v>&gt;70%</v>
      </c>
      <c r="O90" t="str">
        <f t="shared" si="5"/>
        <v>JHOVANA TORRES</v>
      </c>
    </row>
    <row r="91" spans="1:15" x14ac:dyDescent="0.25">
      <c r="A91" t="s">
        <v>166</v>
      </c>
      <c r="B91" t="str">
        <f t="shared" si="3"/>
        <v/>
      </c>
      <c r="E91">
        <f>D1_ABRIL[[#This Row],[RECUPERO]]/VLOOKUP(D1_ABRIL[[#This Row],[SUPER]],D2_ABRIL[#All],2,0)</f>
        <v>0</v>
      </c>
      <c r="F91" t="str">
        <f>D1_ABRIL[[#This Row],[SUPER]]</f>
        <v>JOHAN</v>
      </c>
      <c r="L91">
        <v>8</v>
      </c>
      <c r="M91" s="1">
        <f t="shared" si="4"/>
        <v>0.31207317073170732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JOANA GIL</v>
      </c>
    </row>
    <row r="92" spans="1:15" x14ac:dyDescent="0.25">
      <c r="A92" t="s">
        <v>166</v>
      </c>
      <c r="B92" t="str">
        <f t="shared" si="3"/>
        <v/>
      </c>
      <c r="E92">
        <f>D1_ABRIL[[#This Row],[RECUPERO]]/VLOOKUP(D1_ABRIL[[#This Row],[SUPER]],D2_ABRIL[#All],2,0)</f>
        <v>0</v>
      </c>
      <c r="F92" t="str">
        <f>D1_ABRIL[[#This Row],[SUPER]]</f>
        <v>JOHAN</v>
      </c>
      <c r="L92">
        <v>9</v>
      </c>
      <c r="M92" s="1">
        <f t="shared" si="4"/>
        <v>0.38907317073170733</v>
      </c>
      <c r="N92" t="str" cm="1">
        <f t="array" ref="N92">IFERROR(_xlfn.IFS(M92&gt;100%,"&gt;100%",AND(M92&lt;100%,M92&gt;70%),"&gt;70%",AND(M92&lt;70%,M92&gt;40%),"&gt;40%",AND(M92&lt;40%,M92&gt;0%),"&gt;0%"),"")</f>
        <v>&gt;0%</v>
      </c>
      <c r="O92" t="str">
        <f t="shared" si="5"/>
        <v>SARITA GARAY</v>
      </c>
    </row>
    <row r="93" spans="1:15" x14ac:dyDescent="0.25">
      <c r="A93" t="s">
        <v>8</v>
      </c>
      <c r="B93" t="str">
        <f t="shared" si="3"/>
        <v>BRINA SOTO</v>
      </c>
      <c r="C93" t="s">
        <v>14</v>
      </c>
      <c r="D93">
        <v>6701</v>
      </c>
      <c r="E93">
        <f>D1_ABRIL[[#This Row],[RECUPERO]]/VLOOKUP(D1_ABRIL[[#This Row],[SUPER]],D2_ABRIL[#All],2,0)</f>
        <v>0.32687804878048782</v>
      </c>
      <c r="F93" t="str">
        <f>D1_ABRIL[[#This Row],[SUPER]]</f>
        <v>BRYAN</v>
      </c>
      <c r="L93">
        <v>10</v>
      </c>
      <c r="M93" s="1">
        <f t="shared" si="4"/>
        <v>0</v>
      </c>
      <c r="N93" t="str" cm="1">
        <f t="array" ref="N93">IFERROR(_xlfn.IFS(M93&gt;100%,"&gt;100%",AND(M93&lt;100%,M93&gt;70%),"&gt;70%",AND(M93&lt;70%,M93&gt;40%),"&gt;40%",AND(M93&lt;40%,M93&gt;0%),"&gt;0%"),"")</f>
        <v/>
      </c>
      <c r="O93" t="str">
        <f t="shared" si="5"/>
        <v/>
      </c>
    </row>
    <row r="94" spans="1:15" x14ac:dyDescent="0.25">
      <c r="A94" t="s">
        <v>8</v>
      </c>
      <c r="B94" t="str">
        <f t="shared" si="3"/>
        <v>EDSON MAMANI</v>
      </c>
      <c r="C94" t="s">
        <v>172</v>
      </c>
      <c r="D94">
        <v>4300</v>
      </c>
      <c r="E94">
        <f>D1_ABRIL[[#This Row],[RECUPERO]]/VLOOKUP(D1_ABRIL[[#This Row],[SUPER]],D2_ABRIL[#All],2,0)</f>
        <v>0.2097560975609756</v>
      </c>
      <c r="F94" t="str">
        <f>D1_ABRIL[[#This Row],[SUPER]]</f>
        <v>BRYAN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</row>
    <row r="95" spans="1:15" x14ac:dyDescent="0.25">
      <c r="A95" t="s">
        <v>8</v>
      </c>
      <c r="B95" t="str">
        <f t="shared" si="3"/>
        <v>FRANCO HUAMANI</v>
      </c>
      <c r="C95" t="s">
        <v>24</v>
      </c>
      <c r="D95">
        <v>16516</v>
      </c>
      <c r="E95">
        <f>D1_ABRIL[[#This Row],[RECUPERO]]/VLOOKUP(D1_ABRIL[[#This Row],[SUPER]],D2_ABRIL[#All],2,0)</f>
        <v>0.8056585365853659</v>
      </c>
      <c r="F95" t="str">
        <f>D1_ABRIL[[#This Row],[SUPER]]</f>
        <v>BRYAN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</row>
    <row r="96" spans="1:15" x14ac:dyDescent="0.25">
      <c r="A96" t="s">
        <v>8</v>
      </c>
      <c r="B96" t="str">
        <f t="shared" si="3"/>
        <v>GERALDINE ARROYO</v>
      </c>
      <c r="C96" t="s">
        <v>51</v>
      </c>
      <c r="D96">
        <v>4431</v>
      </c>
      <c r="E96">
        <f>D1_ABRIL[[#This Row],[RECUPERO]]/VLOOKUP(D1_ABRIL[[#This Row],[SUPER]],D2_ABRIL[#All],2,0)</f>
        <v>0.21614634146341463</v>
      </c>
      <c r="F96" t="str">
        <f>D1_ABRIL[[#This Row],[SUPER]]</f>
        <v>BRYAN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</row>
    <row r="97" spans="1:15" x14ac:dyDescent="0.25">
      <c r="A97" t="s">
        <v>8</v>
      </c>
      <c r="B97" t="str">
        <f t="shared" si="3"/>
        <v>ISABEL BEJARANO</v>
      </c>
      <c r="C97" t="s">
        <v>83</v>
      </c>
      <c r="D97">
        <v>14890</v>
      </c>
      <c r="E97">
        <f>D1_ABRIL[[#This Row],[RECUPERO]]/VLOOKUP(D1_ABRIL[[#This Row],[SUPER]],D2_ABRIL[#All],2,0)</f>
        <v>0.72634146341463413</v>
      </c>
      <c r="F97" t="str">
        <f>D1_ABRIL[[#This Row],[SUPER]]</f>
        <v>BRYAN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</row>
    <row r="98" spans="1:15" x14ac:dyDescent="0.25">
      <c r="A98" t="s">
        <v>8</v>
      </c>
      <c r="B98" t="str">
        <f t="shared" si="3"/>
        <v>LINDA TUESTA</v>
      </c>
      <c r="C98" t="s">
        <v>33</v>
      </c>
      <c r="D98">
        <v>5162.8</v>
      </c>
      <c r="E98">
        <f>D1_ABRIL[[#This Row],[RECUPERO]]/VLOOKUP(D1_ABRIL[[#This Row],[SUPER]],D2_ABRIL[#All],2,0)</f>
        <v>0.25184390243902438</v>
      </c>
      <c r="F98" t="str">
        <f>D1_ABRIL[[#This Row],[SUPER]]</f>
        <v>BRYAN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</row>
    <row r="99" spans="1:15" x14ac:dyDescent="0.25">
      <c r="A99" t="s">
        <v>8</v>
      </c>
      <c r="B99" t="str">
        <f t="shared" si="3"/>
        <v>URSULA CENTENO</v>
      </c>
      <c r="C99" t="s">
        <v>78</v>
      </c>
      <c r="D99">
        <v>19938</v>
      </c>
      <c r="E99">
        <f>D1_ABRIL[[#This Row],[RECUPERO]]/VLOOKUP(D1_ABRIL[[#This Row],[SUPER]],D2_ABRIL[#All],2,0)</f>
        <v>0.97258536585365851</v>
      </c>
      <c r="F99" t="str">
        <f>D1_ABRIL[[#This Row],[SUPER]]</f>
        <v>BRYAN</v>
      </c>
      <c r="L99">
        <v>1</v>
      </c>
      <c r="M99" s="1">
        <f t="shared" si="4"/>
        <v>0.32687804878048782</v>
      </c>
      <c r="N99" t="str" cm="1">
        <f t="array" ref="N99">IFERROR(_xlfn.IFS(M99&gt;100%,"&gt;100%",AND(M99&lt;100%,M99&gt;70%),"&gt;70%",AND(M99&lt;70%,M99&gt;40%),"&gt;40%",AND(M99&lt;40%,M99&gt;0%),"&gt;0%"),"")</f>
        <v>&gt;0%</v>
      </c>
      <c r="O99" t="str">
        <f t="shared" si="5"/>
        <v>BRINA SOTO</v>
      </c>
    </row>
    <row r="100" spans="1:15" x14ac:dyDescent="0.25">
      <c r="A100" t="s">
        <v>8</v>
      </c>
      <c r="B100" t="str">
        <f t="shared" si="3"/>
        <v>YENNY INGA</v>
      </c>
      <c r="C100" t="s">
        <v>39</v>
      </c>
      <c r="D100">
        <v>30316</v>
      </c>
      <c r="E100">
        <f>D1_ABRIL[[#This Row],[RECUPERO]]/VLOOKUP(D1_ABRIL[[#This Row],[SUPER]],D2_ABRIL[#All],2,0)</f>
        <v>1.4788292682926829</v>
      </c>
      <c r="F100" t="str">
        <f>D1_ABRIL[[#This Row],[SUPER]]</f>
        <v>BRYAN</v>
      </c>
      <c r="L100">
        <v>2</v>
      </c>
      <c r="M100" s="1">
        <f t="shared" si="4"/>
        <v>0.2097560975609756</v>
      </c>
      <c r="N100" t="str" cm="1">
        <f t="array" ref="N100">IFERROR(_xlfn.IFS(M100&gt;100%,"&gt;100%",AND(M100&lt;100%,M100&gt;70%),"&gt;70%",AND(M100&lt;70%,M100&gt;40%),"&gt;40%",AND(M100&lt;40%,M100&gt;0%),"&gt;0%"),"")</f>
        <v>&gt;0%</v>
      </c>
      <c r="O100" t="str">
        <f t="shared" si="5"/>
        <v>EDSON MAMANI</v>
      </c>
    </row>
    <row r="101" spans="1:15" x14ac:dyDescent="0.25">
      <c r="A101" t="s">
        <v>8</v>
      </c>
      <c r="B101" t="str">
        <f t="shared" si="3"/>
        <v>YEYMY HUERTA</v>
      </c>
      <c r="C101" t="s">
        <v>56</v>
      </c>
      <c r="D101">
        <v>681</v>
      </c>
      <c r="E101">
        <f>D1_ABRIL[[#This Row],[RECUPERO]]/VLOOKUP(D1_ABRIL[[#This Row],[SUPER]],D2_ABRIL[#All],2,0)</f>
        <v>3.3219512195121953E-2</v>
      </c>
      <c r="F101" t="str">
        <f>D1_ABRIL[[#This Row],[SUPER]]</f>
        <v>BRYAN</v>
      </c>
      <c r="L101">
        <v>3</v>
      </c>
      <c r="M101" s="1">
        <f t="shared" si="4"/>
        <v>0.8056585365853659</v>
      </c>
      <c r="N101" t="str" cm="1">
        <f t="array" ref="N101">IFERROR(_xlfn.IFS(M101&gt;100%,"&gt;100%",AND(M101&lt;100%,M101&gt;70%),"&gt;70%",AND(M101&lt;70%,M101&gt;40%),"&gt;40%",AND(M101&lt;40%,M101&gt;0%),"&gt;0%"),"")</f>
        <v>&gt;70%</v>
      </c>
      <c r="O101" t="str">
        <f t="shared" si="5"/>
        <v>FRANCO HUAMANI</v>
      </c>
    </row>
    <row r="102" spans="1:15" x14ac:dyDescent="0.25">
      <c r="A102" t="s">
        <v>8</v>
      </c>
      <c r="B102" t="str">
        <f t="shared" si="3"/>
        <v/>
      </c>
      <c r="E102">
        <f>D1_ABRIL[[#This Row],[RECUPERO]]/VLOOKUP(D1_ABRIL[[#This Row],[SUPER]],D2_ABRIL[#All],2,0)</f>
        <v>0</v>
      </c>
      <c r="F102" t="str">
        <f>D1_ABRIL[[#This Row],[SUPER]]</f>
        <v>BRYAN</v>
      </c>
      <c r="L102">
        <v>4</v>
      </c>
      <c r="M102" s="1">
        <f t="shared" si="4"/>
        <v>0.21614634146341463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5"/>
        <v>GERALDINE ARROYO</v>
      </c>
    </row>
    <row r="103" spans="1:15" x14ac:dyDescent="0.25">
      <c r="A103" t="s">
        <v>8</v>
      </c>
      <c r="B103" t="str">
        <f t="shared" si="3"/>
        <v/>
      </c>
      <c r="E103">
        <f>D1_ABRIL[[#This Row],[RECUPERO]]/VLOOKUP(D1_ABRIL[[#This Row],[SUPER]],D2_ABRIL[#All],2,0)</f>
        <v>0</v>
      </c>
      <c r="F103" t="str">
        <f>D1_ABRIL[[#This Row],[SUPER]]</f>
        <v>BRYAN</v>
      </c>
      <c r="L103">
        <v>5</v>
      </c>
      <c r="M103" s="1">
        <f t="shared" si="4"/>
        <v>0.72634146341463413</v>
      </c>
      <c r="N103" t="str" cm="1">
        <f t="array" ref="N103">IFERROR(_xlfn.IFS(M103&gt;100%,"&gt;100%",AND(M103&lt;100%,M103&gt;70%),"&gt;70%",AND(M103&lt;70%,M103&gt;40%),"&gt;40%",AND(M103&lt;40%,M103&gt;0%),"&gt;0%"),"")</f>
        <v>&gt;70%</v>
      </c>
      <c r="O103" t="str">
        <f t="shared" si="5"/>
        <v>ISABEL BEJARANO</v>
      </c>
    </row>
    <row r="104" spans="1:15" x14ac:dyDescent="0.25">
      <c r="A104" t="s">
        <v>8</v>
      </c>
      <c r="B104" t="str">
        <f t="shared" si="3"/>
        <v/>
      </c>
      <c r="E104">
        <f>D1_ABRIL[[#This Row],[RECUPERO]]/VLOOKUP(D1_ABRIL[[#This Row],[SUPER]],D2_ABRIL[#All],2,0)</f>
        <v>0</v>
      </c>
      <c r="F104" t="str">
        <f>D1_ABRIL[[#This Row],[SUPER]]</f>
        <v>BRYAN</v>
      </c>
      <c r="L104">
        <v>6</v>
      </c>
      <c r="M104" s="1">
        <f t="shared" si="4"/>
        <v>0.25184390243902438</v>
      </c>
      <c r="N104" t="str" cm="1">
        <f t="array" ref="N104">IFERROR(_xlfn.IFS(M104&gt;100%,"&gt;100%",AND(M104&lt;100%,M104&gt;70%),"&gt;70%",AND(M104&lt;70%,M104&gt;40%),"&gt;40%",AND(M104&lt;40%,M104&gt;0%),"&gt;0%"),"")</f>
        <v>&gt;0%</v>
      </c>
      <c r="O104" t="str">
        <f t="shared" si="5"/>
        <v>LINDA TUESTA</v>
      </c>
    </row>
    <row r="105" spans="1:15" x14ac:dyDescent="0.25">
      <c r="A105" t="s">
        <v>8</v>
      </c>
      <c r="B105" t="str">
        <f t="shared" si="3"/>
        <v/>
      </c>
      <c r="E105">
        <f>D1_ABRIL[[#This Row],[RECUPERO]]/VLOOKUP(D1_ABRIL[[#This Row],[SUPER]],D2_ABRIL[#All],2,0)</f>
        <v>0</v>
      </c>
      <c r="F105" t="str">
        <f>D1_ABRIL[[#This Row],[SUPER]]</f>
        <v>BRYAN</v>
      </c>
      <c r="L105">
        <v>7</v>
      </c>
      <c r="M105" s="1">
        <f t="shared" si="4"/>
        <v>0.97258536585365851</v>
      </c>
      <c r="N105" t="str" cm="1">
        <f t="array" ref="N105">IFERROR(_xlfn.IFS(M105&gt;100%,"&gt;100%",AND(M105&lt;100%,M105&gt;70%),"&gt;70%",AND(M105&lt;70%,M105&gt;40%),"&gt;40%",AND(M105&lt;40%,M105&gt;0%),"&gt;0%"),"")</f>
        <v>&gt;70%</v>
      </c>
      <c r="O105" t="str">
        <f t="shared" si="5"/>
        <v>URSULA CENTENO</v>
      </c>
    </row>
    <row r="106" spans="1:15" x14ac:dyDescent="0.25">
      <c r="A106" t="s">
        <v>8</v>
      </c>
      <c r="B106" t="str">
        <f t="shared" si="3"/>
        <v/>
      </c>
      <c r="E106">
        <f>D1_ABRIL[[#This Row],[RECUPERO]]/VLOOKUP(D1_ABRIL[[#This Row],[SUPER]],D2_ABRIL[#All],2,0)</f>
        <v>0</v>
      </c>
      <c r="F106" t="str">
        <f>D1_ABRIL[[#This Row],[SUPER]]</f>
        <v>BRYAN</v>
      </c>
      <c r="L106">
        <v>8</v>
      </c>
      <c r="M106" s="1">
        <f t="shared" si="4"/>
        <v>1.4788292682926829</v>
      </c>
      <c r="N106" t="str" cm="1">
        <f t="array" ref="N106">IFERROR(_xlfn.IFS(M106&gt;100%,"&gt;100%",AND(M106&lt;100%,M106&gt;70%),"&gt;70%",AND(M106&lt;70%,M106&gt;40%),"&gt;40%",AND(M106&lt;40%,M106&gt;0%),"&gt;0%"),"")</f>
        <v>&gt;100%</v>
      </c>
      <c r="O106" t="str">
        <f t="shared" si="5"/>
        <v>YENNY INGA</v>
      </c>
    </row>
    <row r="107" spans="1:15" x14ac:dyDescent="0.25">
      <c r="A107" t="s">
        <v>8</v>
      </c>
      <c r="B107" t="str">
        <f t="shared" si="3"/>
        <v/>
      </c>
      <c r="E107">
        <f>D1_ABRIL[[#This Row],[RECUPERO]]/VLOOKUP(D1_ABRIL[[#This Row],[SUPER]],D2_ABRIL[#All],2,0)</f>
        <v>0</v>
      </c>
      <c r="F107" t="str">
        <f>D1_ABRIL[[#This Row],[SUPER]]</f>
        <v>BRYAN</v>
      </c>
      <c r="L107">
        <v>9</v>
      </c>
      <c r="M107" s="1">
        <f t="shared" si="4"/>
        <v>3.3219512195121953E-2</v>
      </c>
      <c r="N107" t="str" cm="1">
        <f t="array" ref="N107">IFERROR(_xlfn.IFS(M107&gt;100%,"&gt;100%",AND(M107&lt;100%,M107&gt;70%),"&gt;70%",AND(M107&lt;70%,M107&gt;40%),"&gt;40%",AND(M107&lt;40%,M107&gt;0%),"&gt;0%"),"")</f>
        <v>&gt;0%</v>
      </c>
      <c r="O107" t="str">
        <f t="shared" si="5"/>
        <v>YEYMY HUERTA</v>
      </c>
    </row>
    <row r="108" spans="1:15" x14ac:dyDescent="0.25">
      <c r="A108" t="s">
        <v>165</v>
      </c>
      <c r="B108" t="str">
        <f t="shared" si="3"/>
        <v>CRISTINA TICONA</v>
      </c>
      <c r="C108" t="s">
        <v>61</v>
      </c>
      <c r="D108">
        <v>21531.5</v>
      </c>
      <c r="E108">
        <f>D1_ABRIL[[#This Row],[RECUPERO]]/VLOOKUP(D1_ABRIL[[#This Row],[SUPER]],D2_ABRIL[#All],2,0)</f>
        <v>1.0503170731707316</v>
      </c>
      <c r="F108" t="str">
        <f>D1_ABRIL[[#This Row],[SUPER]]</f>
        <v>GUSTAVO</v>
      </c>
      <c r="L108">
        <v>10</v>
      </c>
      <c r="M108" s="1">
        <f t="shared" si="4"/>
        <v>0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5"/>
        <v/>
      </c>
    </row>
    <row r="109" spans="1:15" x14ac:dyDescent="0.25">
      <c r="A109" t="s">
        <v>165</v>
      </c>
      <c r="B109" t="str">
        <f t="shared" si="3"/>
        <v>DANIEL ZAPATA</v>
      </c>
      <c r="C109" t="s">
        <v>80</v>
      </c>
      <c r="D109">
        <v>9714</v>
      </c>
      <c r="E109">
        <f>D1_ABRIL[[#This Row],[RECUPERO]]/VLOOKUP(D1_ABRIL[[#This Row],[SUPER]],D2_ABRIL[#All],2,0)</f>
        <v>0.47385365853658534</v>
      </c>
      <c r="F109" t="str">
        <f>D1_ABRIL[[#This Row],[SUPER]]</f>
        <v>GUSTAVO</v>
      </c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</row>
    <row r="110" spans="1:15" x14ac:dyDescent="0.25">
      <c r="A110" t="s">
        <v>165</v>
      </c>
      <c r="B110" t="str">
        <f t="shared" si="3"/>
        <v>FRANS TACSI</v>
      </c>
      <c r="C110" t="s">
        <v>16</v>
      </c>
      <c r="D110">
        <v>8117</v>
      </c>
      <c r="E110">
        <f>D1_ABRIL[[#This Row],[RECUPERO]]/VLOOKUP(D1_ABRIL[[#This Row],[SUPER]],D2_ABRIL[#All],2,0)</f>
        <v>0.39595121951219514</v>
      </c>
      <c r="F110" t="str">
        <f>D1_ABRIL[[#This Row],[SUPER]]</f>
        <v>GUSTAVO</v>
      </c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</row>
    <row r="111" spans="1:15" x14ac:dyDescent="0.25">
      <c r="A111" t="s">
        <v>165</v>
      </c>
      <c r="B111" t="str">
        <f t="shared" si="3"/>
        <v>GABRIELA APONTE</v>
      </c>
      <c r="C111" t="s">
        <v>27</v>
      </c>
      <c r="D111">
        <v>5890</v>
      </c>
      <c r="E111">
        <f>D1_ABRIL[[#This Row],[RECUPERO]]/VLOOKUP(D1_ABRIL[[#This Row],[SUPER]],D2_ABRIL[#All],2,0)</f>
        <v>0.28731707317073168</v>
      </c>
      <c r="F111" t="str">
        <f>D1_ABRIL[[#This Row],[SUPER]]</f>
        <v>GUSTAVO</v>
      </c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</row>
    <row r="112" spans="1:15" x14ac:dyDescent="0.25">
      <c r="A112" t="s">
        <v>165</v>
      </c>
      <c r="B112" t="str">
        <f t="shared" si="3"/>
        <v>GIANNINA AGUILAR</v>
      </c>
      <c r="C112" t="s">
        <v>32</v>
      </c>
      <c r="D112">
        <v>5817</v>
      </c>
      <c r="E112">
        <f>D1_ABRIL[[#This Row],[RECUPERO]]/VLOOKUP(D1_ABRIL[[#This Row],[SUPER]],D2_ABRIL[#All],2,0)</f>
        <v>0.28375609756097558</v>
      </c>
      <c r="F112" t="str">
        <f>D1_ABRIL[[#This Row],[SUPER]]</f>
        <v>GUSTAVO</v>
      </c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</row>
    <row r="113" spans="1:15" x14ac:dyDescent="0.25">
      <c r="A113" t="s">
        <v>165</v>
      </c>
      <c r="B113" t="str">
        <f t="shared" si="3"/>
        <v>HARLINGTON VIDAL</v>
      </c>
      <c r="C113" t="s">
        <v>170</v>
      </c>
      <c r="D113">
        <v>9600</v>
      </c>
      <c r="E113">
        <f>D1_ABRIL[[#This Row],[RECUPERO]]/VLOOKUP(D1_ABRIL[[#This Row],[SUPER]],D2_ABRIL[#All],2,0)</f>
        <v>0.4682926829268293</v>
      </c>
      <c r="F113" t="str">
        <f>D1_ABRIL[[#This Row],[SUPER]]</f>
        <v>GUSTAVO</v>
      </c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</row>
    <row r="114" spans="1:15" x14ac:dyDescent="0.25">
      <c r="A114" t="s">
        <v>165</v>
      </c>
      <c r="B114" t="str">
        <f t="shared" si="3"/>
        <v>NARDIA URPIS</v>
      </c>
      <c r="C114" t="s">
        <v>74</v>
      </c>
      <c r="D114">
        <v>5105.3</v>
      </c>
      <c r="E114">
        <f>D1_ABRIL[[#This Row],[RECUPERO]]/VLOOKUP(D1_ABRIL[[#This Row],[SUPER]],D2_ABRIL[#All],2,0)</f>
        <v>0.24903902439024392</v>
      </c>
      <c r="F114" t="str">
        <f>D1_ABRIL[[#This Row],[SUPER]]</f>
        <v>GUSTAVO</v>
      </c>
      <c r="L114">
        <v>1</v>
      </c>
      <c r="M114" s="1">
        <f t="shared" si="4"/>
        <v>1.0503170731707316</v>
      </c>
      <c r="N114" t="str" cm="1">
        <f t="array" ref="N114">IFERROR(_xlfn.IFS(M114&gt;100%,"&gt;100%",AND(M114&lt;100%,M114&gt;70%),"&gt;70%",AND(M114&lt;70%,M114&gt;40%),"&gt;40%",AND(M114&lt;40%,M114&gt;0%),"&gt;0%"),"")</f>
        <v>&gt;100%</v>
      </c>
      <c r="O114" t="str">
        <f t="shared" si="5"/>
        <v>CRISTINA TICONA</v>
      </c>
    </row>
    <row r="115" spans="1:15" x14ac:dyDescent="0.25">
      <c r="A115" t="s">
        <v>165</v>
      </c>
      <c r="B115" t="str">
        <f t="shared" si="3"/>
        <v>VERONICA HUARCA</v>
      </c>
      <c r="C115" t="s">
        <v>48</v>
      </c>
      <c r="D115">
        <v>4977</v>
      </c>
      <c r="E115">
        <f>D1_ABRIL[[#This Row],[RECUPERO]]/VLOOKUP(D1_ABRIL[[#This Row],[SUPER]],D2_ABRIL[#All],2,0)</f>
        <v>0.24278048780487804</v>
      </c>
      <c r="F115" t="str">
        <f>D1_ABRIL[[#This Row],[SUPER]]</f>
        <v>GUSTAVO</v>
      </c>
      <c r="L115">
        <v>2</v>
      </c>
      <c r="M115" s="1">
        <f t="shared" si="4"/>
        <v>0.47385365853658534</v>
      </c>
      <c r="N115" t="str" cm="1">
        <f t="array" ref="N115">IFERROR(_xlfn.IFS(M115&gt;100%,"&gt;100%",AND(M115&lt;100%,M115&gt;70%),"&gt;70%",AND(M115&lt;70%,M115&gt;40%),"&gt;40%",AND(M115&lt;40%,M115&gt;0%),"&gt;0%"),"")</f>
        <v>&gt;40%</v>
      </c>
      <c r="O115" t="str">
        <f t="shared" si="5"/>
        <v>DANIEL ZAPATA</v>
      </c>
    </row>
    <row r="116" spans="1:15" x14ac:dyDescent="0.25">
      <c r="A116" t="s">
        <v>165</v>
      </c>
      <c r="B116" t="str">
        <f t="shared" si="3"/>
        <v/>
      </c>
      <c r="E116">
        <f>D1_ABRIL[[#This Row],[RECUPERO]]/VLOOKUP(D1_ABRIL[[#This Row],[SUPER]],D2_ABRIL[#All],2,0)</f>
        <v>0</v>
      </c>
      <c r="F116" t="str">
        <f>D1_ABRIL[[#This Row],[SUPER]]</f>
        <v>GUSTAVO</v>
      </c>
      <c r="L116">
        <v>3</v>
      </c>
      <c r="M116" s="1">
        <f t="shared" si="4"/>
        <v>0.39595121951219514</v>
      </c>
      <c r="N116" t="str" cm="1">
        <f t="array" ref="N116">IFERROR(_xlfn.IFS(M116&gt;100%,"&gt;100%",AND(M116&lt;100%,M116&gt;70%),"&gt;70%",AND(M116&lt;70%,M116&gt;40%),"&gt;40%",AND(M116&lt;40%,M116&gt;0%),"&gt;0%"),"")</f>
        <v>&gt;0%</v>
      </c>
      <c r="O116" t="str">
        <f t="shared" si="5"/>
        <v>FRANS TACSI</v>
      </c>
    </row>
    <row r="117" spans="1:15" x14ac:dyDescent="0.25">
      <c r="A117" t="s">
        <v>165</v>
      </c>
      <c r="B117" t="str">
        <f t="shared" si="3"/>
        <v/>
      </c>
      <c r="E117">
        <f>D1_ABRIL[[#This Row],[RECUPERO]]/VLOOKUP(D1_ABRIL[[#This Row],[SUPER]],D2_ABRIL[#All],2,0)</f>
        <v>0</v>
      </c>
      <c r="F117" t="str">
        <f>D1_ABRIL[[#This Row],[SUPER]]</f>
        <v>GUSTAVO</v>
      </c>
      <c r="L117">
        <v>4</v>
      </c>
      <c r="M117" s="1">
        <f t="shared" si="4"/>
        <v>0.28731707317073168</v>
      </c>
      <c r="N117" t="str" cm="1">
        <f t="array" ref="N117">IFERROR(_xlfn.IFS(M117&gt;100%,"&gt;100%",AND(M117&lt;100%,M117&gt;70%),"&gt;70%",AND(M117&lt;70%,M117&gt;40%),"&gt;40%",AND(M117&lt;40%,M117&gt;0%),"&gt;0%"),"")</f>
        <v>&gt;0%</v>
      </c>
      <c r="O117" t="str">
        <f t="shared" si="5"/>
        <v>GABRIELA APONTE</v>
      </c>
    </row>
    <row r="118" spans="1:15" x14ac:dyDescent="0.25">
      <c r="A118" t="s">
        <v>165</v>
      </c>
      <c r="B118" t="str">
        <f t="shared" si="3"/>
        <v/>
      </c>
      <c r="E118">
        <f>D1_ABRIL[[#This Row],[RECUPERO]]/VLOOKUP(D1_ABRIL[[#This Row],[SUPER]],D2_ABRIL[#All],2,0)</f>
        <v>0</v>
      </c>
      <c r="F118" t="str">
        <f>D1_ABRIL[[#This Row],[SUPER]]</f>
        <v>GUSTAVO</v>
      </c>
      <c r="L118">
        <v>5</v>
      </c>
      <c r="M118" s="1">
        <f t="shared" si="4"/>
        <v>0.28375609756097558</v>
      </c>
      <c r="N118" t="str" cm="1">
        <f t="array" ref="N118">IFERROR(_xlfn.IFS(M118&gt;100%,"&gt;100%",AND(M118&lt;100%,M118&gt;70%),"&gt;70%",AND(M118&lt;70%,M118&gt;40%),"&gt;40%",AND(M118&lt;40%,M118&gt;0%),"&gt;0%"),"")</f>
        <v>&gt;0%</v>
      </c>
      <c r="O118" t="str">
        <f t="shared" si="5"/>
        <v>GIANNINA AGUILAR</v>
      </c>
    </row>
    <row r="119" spans="1:15" x14ac:dyDescent="0.25">
      <c r="A119" t="s">
        <v>165</v>
      </c>
      <c r="B119" t="str">
        <f t="shared" si="3"/>
        <v/>
      </c>
      <c r="E119">
        <f>D1_ABRIL[[#This Row],[RECUPERO]]/VLOOKUP(D1_ABRIL[[#This Row],[SUPER]],D2_ABRIL[#All],2,0)</f>
        <v>0</v>
      </c>
      <c r="F119" t="str">
        <f>D1_ABRIL[[#This Row],[SUPER]]</f>
        <v>GUSTAVO</v>
      </c>
      <c r="L119">
        <v>6</v>
      </c>
      <c r="M119" s="1">
        <f t="shared" si="4"/>
        <v>0.4682926829268293</v>
      </c>
      <c r="N119" t="str" cm="1">
        <f t="array" ref="N119">IFERROR(_xlfn.IFS(M119&gt;100%,"&gt;100%",AND(M119&lt;100%,M119&gt;70%),"&gt;70%",AND(M119&lt;70%,M119&gt;40%),"&gt;40%",AND(M119&lt;40%,M119&gt;0%),"&gt;0%"),"")</f>
        <v>&gt;40%</v>
      </c>
      <c r="O119" t="str">
        <f t="shared" si="5"/>
        <v>HARLINGTON VIDAL</v>
      </c>
    </row>
    <row r="120" spans="1:15" x14ac:dyDescent="0.25">
      <c r="A120" t="s">
        <v>165</v>
      </c>
      <c r="B120" t="str">
        <f t="shared" si="3"/>
        <v/>
      </c>
      <c r="E120">
        <f>D1_ABRIL[[#This Row],[RECUPERO]]/VLOOKUP(D1_ABRIL[[#This Row],[SUPER]],D2_ABRIL[#All],2,0)</f>
        <v>0</v>
      </c>
      <c r="F120" t="str">
        <f>D1_ABRIL[[#This Row],[SUPER]]</f>
        <v>GUSTAVO</v>
      </c>
      <c r="L120">
        <v>7</v>
      </c>
      <c r="M120" s="1">
        <f t="shared" si="4"/>
        <v>0.24903902439024392</v>
      </c>
      <c r="N120" t="str" cm="1">
        <f t="array" ref="N120">IFERROR(_xlfn.IFS(M120&gt;100%,"&gt;100%",AND(M120&lt;100%,M120&gt;70%),"&gt;70%",AND(M120&lt;70%,M120&gt;40%),"&gt;40%",AND(M120&lt;40%,M120&gt;0%),"&gt;0%"),"")</f>
        <v>&gt;0%</v>
      </c>
      <c r="O120" t="str">
        <f t="shared" si="5"/>
        <v>NARDIA URPIS</v>
      </c>
    </row>
    <row r="121" spans="1:15" x14ac:dyDescent="0.25">
      <c r="A121" t="s">
        <v>165</v>
      </c>
      <c r="B121" t="str">
        <f t="shared" si="3"/>
        <v/>
      </c>
      <c r="E121">
        <f>D1_ABRIL[[#This Row],[RECUPERO]]/VLOOKUP(D1_ABRIL[[#This Row],[SUPER]],D2_ABRIL[#All],2,0)</f>
        <v>0</v>
      </c>
      <c r="F121" t="str">
        <f>D1_ABRIL[[#This Row],[SUPER]]</f>
        <v>GUSTAVO</v>
      </c>
      <c r="L121">
        <v>8</v>
      </c>
      <c r="M121" s="1">
        <f t="shared" si="4"/>
        <v>0.24278048780487804</v>
      </c>
      <c r="N121" t="str" cm="1">
        <f t="array" ref="N121">IFERROR(_xlfn.IFS(M121&gt;100%,"&gt;100%",AND(M121&lt;100%,M121&gt;70%),"&gt;70%",AND(M121&lt;70%,M121&gt;40%),"&gt;40%",AND(M121&lt;40%,M121&gt;0%),"&gt;0%"),"")</f>
        <v>&gt;0%</v>
      </c>
      <c r="O121" t="str">
        <f t="shared" si="5"/>
        <v>VERONICA HUARCA</v>
      </c>
    </row>
    <row r="122" spans="1:15" x14ac:dyDescent="0.25">
      <c r="A122" t="s">
        <v>165</v>
      </c>
      <c r="B122" t="str">
        <f t="shared" si="3"/>
        <v/>
      </c>
      <c r="E122">
        <f>D1_ABRIL[[#This Row],[RECUPERO]]/VLOOKUP(D1_ABRIL[[#This Row],[SUPER]],D2_ABRIL[#All],2,0)</f>
        <v>0</v>
      </c>
      <c r="F122" t="str">
        <f>D1_ABRIL[[#This Row],[SUPER]]</f>
        <v>GUSTAVO</v>
      </c>
      <c r="L122">
        <v>9</v>
      </c>
      <c r="M122" s="1">
        <f t="shared" si="4"/>
        <v>0</v>
      </c>
      <c r="N122" t="str" cm="1">
        <f t="array" ref="N122">IFERROR(_xlfn.IFS(M122&gt;100%,"&gt;100%",AND(M122&lt;100%,M122&gt;70%),"&gt;70%",AND(M122&lt;70%,M122&gt;40%),"&gt;40%",AND(M122&lt;40%,M122&gt;0%),"&gt;0%"),"")</f>
        <v/>
      </c>
      <c r="O122" t="str">
        <f t="shared" si="5"/>
        <v/>
      </c>
    </row>
    <row r="123" spans="1:15" x14ac:dyDescent="0.25">
      <c r="L123">
        <v>10</v>
      </c>
      <c r="M123" s="1">
        <f t="shared" si="4"/>
        <v>0</v>
      </c>
      <c r="N123" t="str" cm="1">
        <f t="array" ref="N123">IFERROR(_xlfn.IFS(M123&gt;100%,"&gt;100%",AND(M123&lt;100%,M123&gt;70%),"&gt;70%",AND(M123&lt;70%,M123&gt;40%),"&gt;40%",AND(M123&lt;40%,M123&gt;0%),"&gt;0%"),"")</f>
        <v/>
      </c>
      <c r="O123" t="str">
        <f t="shared" si="5"/>
        <v/>
      </c>
    </row>
    <row r="124" spans="1:15" x14ac:dyDescent="0.25">
      <c r="L124">
        <v>11</v>
      </c>
      <c r="M124" s="1">
        <f t="shared" si="4"/>
        <v>0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5"/>
        <v/>
      </c>
    </row>
    <row r="125" spans="1:15" x14ac:dyDescent="0.25">
      <c r="L125">
        <v>12</v>
      </c>
      <c r="M125" s="1">
        <f t="shared" si="4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5"/>
        <v/>
      </c>
    </row>
    <row r="126" spans="1:15" x14ac:dyDescent="0.25">
      <c r="L126">
        <v>13</v>
      </c>
      <c r="M126" s="1">
        <f t="shared" si="4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5"/>
        <v/>
      </c>
    </row>
    <row r="127" spans="1:15" x14ac:dyDescent="0.25">
      <c r="L127">
        <v>14</v>
      </c>
      <c r="M127" s="1">
        <f t="shared" si="4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5"/>
        <v/>
      </c>
    </row>
    <row r="128" spans="1:15" x14ac:dyDescent="0.25">
      <c r="L128">
        <v>15</v>
      </c>
      <c r="M128" s="1">
        <f t="shared" si="4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5"/>
        <v/>
      </c>
    </row>
    <row r="129" spans="12:15" x14ac:dyDescent="0.25">
      <c r="L129" s="22">
        <v>1</v>
      </c>
      <c r="M129" s="23">
        <f>IFERROR(IF(VLOOKUP("&gt;100%",N9:O128,2,0)&lt;&gt;"",0,100.01%),100.01%)</f>
        <v>0</v>
      </c>
      <c r="N129" s="22" t="str" cm="1">
        <f t="array" ref="N129">IFERROR(_xlfn.IFS(M129&gt;100%,"&gt;100%",AND(M129&lt;100%,M129&gt;70%),"&gt;70%",AND(M129&lt;70%,M129&gt;40%),"&gt;40%",AND(M129&lt;40%,M129&gt;0%),"&gt;0%"),"")</f>
        <v/>
      </c>
      <c r="O129" s="22" t="str">
        <f>IF(DATAABRIL[[#This Row],[CLASIFICACIÓN]]="","","SIN APLICACIONES")</f>
        <v/>
      </c>
    </row>
    <row r="130" spans="12:15" x14ac:dyDescent="0.25">
      <c r="L130" s="22">
        <v>2</v>
      </c>
      <c r="M130" s="23">
        <f>IFERROR(IF(VLOOKUP("&gt;70%",N9:O128,2,0)&lt;&gt;"",0,70.01%),70.01%)</f>
        <v>0</v>
      </c>
      <c r="N130" s="22" t="str" cm="1">
        <f t="array" ref="N130">IFERROR(_xlfn.IFS(M130&gt;100%,"&gt;100%",AND(M130&lt;100%,M130&gt;70%),"&gt;70%",AND(M130&lt;70%,M130&gt;40%),"&gt;40%",AND(M130&lt;40%,M130&gt;0%),"&gt;0%"),"")</f>
        <v/>
      </c>
      <c r="O130" s="22" t="str">
        <f>IF(DATAABRIL[[#This Row],[CLASIFICACIÓN]]="","","SIN APLICACIONES")</f>
        <v/>
      </c>
    </row>
    <row r="131" spans="12:15" x14ac:dyDescent="0.25">
      <c r="L131" s="22">
        <v>3</v>
      </c>
      <c r="M131" s="23">
        <f>IFERROR(IF(VLOOKUP("&gt;40%",N9:O128,2,0)&lt;&gt;"",0,40.01%),40.01%)</f>
        <v>0</v>
      </c>
      <c r="N131" s="22" t="str" cm="1">
        <f t="array" ref="N131">IFERROR(_xlfn.IFS(M131&gt;100%,"&gt;100%",AND(M131&lt;100%,M131&gt;70%),"&gt;70%",AND(M131&lt;70%,M131&gt;40%),"&gt;40%",AND(M131&lt;40%,M131&gt;0%),"&gt;0%"),"")</f>
        <v/>
      </c>
      <c r="O131" s="22" t="str">
        <f>IF(DATAABRIL[[#This Row],[CLASIFICACIÓN]]="","","SIN APLICACIONES")</f>
        <v/>
      </c>
    </row>
  </sheetData>
  <mergeCells count="5">
    <mergeCell ref="R1:AA3"/>
    <mergeCell ref="R5:S5"/>
    <mergeCell ref="U5:V5"/>
    <mergeCell ref="X5:Y5"/>
    <mergeCell ref="AA5:AB5"/>
  </mergeCells>
  <conditionalFormatting pivot="1" sqref="S8:S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17">
    <cfRule type="colorScale" priority="8">
      <colorScale>
        <cfvo type="min"/>
        <cfvo type="max"/>
        <color rgb="FFFCFCFF"/>
        <color rgb="FF63BE7B"/>
      </colorScale>
    </cfRule>
  </conditionalFormatting>
  <conditionalFormatting pivot="1" sqref="AB8:AB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20">
    <cfRule type="colorScale" priority="7">
      <colorScale>
        <cfvo type="min"/>
        <cfvo type="max"/>
        <color rgb="FFFCFCFF"/>
        <color rgb="FFFFFF00"/>
      </colorScale>
    </cfRule>
  </conditionalFormatting>
  <conditionalFormatting pivot="1" sqref="Y8:Y20">
    <cfRule type="colorScale" priority="6">
      <colorScale>
        <cfvo type="min"/>
        <cfvo type="max"/>
        <color rgb="FFFCFCFF"/>
        <color rgb="FFFFC000"/>
      </colorScale>
    </cfRule>
  </conditionalFormatting>
  <conditionalFormatting pivot="1" sqref="AB8:AB36">
    <cfRule type="colorScale" priority="4">
      <colorScale>
        <cfvo type="min"/>
        <cfvo type="max"/>
        <color rgb="FFFCFCFF"/>
        <color rgb="FFF8696B"/>
      </colorScale>
    </cfRule>
  </conditionalFormatting>
  <conditionalFormatting sqref="R1:R85">
    <cfRule type="containsText" dxfId="293" priority="1" operator="containsText" text="SIN APLICACIONES">
      <formula>NOT(ISERROR(SEARCH("SIN APLICACIONES",R1)))</formula>
    </cfRule>
  </conditionalFormatting>
  <conditionalFormatting sqref="U1:U85">
    <cfRule type="containsText" dxfId="292" priority="2" operator="containsText" text="SIN APLICACIONES">
      <formula>NOT(ISERROR(SEARCH("SIN APLICACIONES",U1)))</formula>
    </cfRule>
  </conditionalFormatting>
  <conditionalFormatting sqref="X1:X85">
    <cfRule type="containsText" dxfId="291" priority="3" operator="containsText" text="SIN APLICACIONES">
      <formula>NOT(ISERROR(SEARCH("SIN APLICACIONES",X1)))</formula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AB131"/>
  <sheetViews>
    <sheetView topLeftCell="Q1" zoomScale="85" zoomScaleNormal="85" workbookViewId="0">
      <selection activeCell="X16" sqref="A1:AB16"/>
    </sheetView>
  </sheetViews>
  <sheetFormatPr baseColWidth="10" defaultRowHeight="15" x14ac:dyDescent="0.25"/>
  <cols>
    <col min="1" max="1" width="9.28515625" hidden="1" customWidth="1"/>
    <col min="2" max="3" width="22.7109375" hidden="1" customWidth="1"/>
    <col min="4" max="4" width="13.42578125" hidden="1" customWidth="1"/>
    <col min="5" max="5" width="12" hidden="1" customWidth="1"/>
    <col min="6" max="6" width="10.28515625" hidden="1" customWidth="1"/>
    <col min="7" max="7" width="0" hidden="1" customWidth="1"/>
    <col min="8" max="8" width="9.42578125" hidden="1" customWidth="1"/>
    <col min="9" max="9" width="8.140625" hidden="1" customWidth="1"/>
    <col min="10" max="11" width="0" hidden="1" customWidth="1"/>
    <col min="12" max="12" width="10" hidden="1" customWidth="1"/>
    <col min="13" max="13" width="11.140625" hidden="1" customWidth="1"/>
    <col min="14" max="14" width="19.85546875" hidden="1" customWidth="1"/>
    <col min="15" max="15" width="22.7109375" hidden="1" customWidth="1"/>
    <col min="16" max="16" width="0" hidden="1" customWidth="1"/>
    <col min="18" max="18" width="16.5703125" bestFit="1" customWidth="1"/>
    <col min="19" max="19" width="12.28515625" bestFit="1" customWidth="1"/>
    <col min="21" max="21" width="18.5703125" bestFit="1" customWidth="1"/>
    <col min="22" max="22" width="11.7109375" bestFit="1" customWidth="1"/>
    <col min="24" max="24" width="22.7109375" bestFit="1" customWidth="1"/>
    <col min="25" max="25" width="11.7109375" bestFit="1" customWidth="1"/>
    <col min="27" max="27" width="22.5703125" bestFit="1" customWidth="1"/>
    <col min="28" max="28" width="11.7109375" bestFit="1" customWidth="1"/>
  </cols>
  <sheetData>
    <row r="1" spans="1:28" ht="15.75" x14ac:dyDescent="0.25">
      <c r="R1" s="41" t="s">
        <v>185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28" ht="15.75" x14ac:dyDescent="0.25">
      <c r="A2" t="s">
        <v>110</v>
      </c>
      <c r="B2" t="s">
        <v>136</v>
      </c>
      <c r="C2" t="s">
        <v>0</v>
      </c>
      <c r="D2" t="s">
        <v>111</v>
      </c>
      <c r="E2" t="s">
        <v>1</v>
      </c>
      <c r="F2" t="s">
        <v>127</v>
      </c>
      <c r="H2" t="s">
        <v>110</v>
      </c>
      <c r="I2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19" t="str">
        <f>H14</f>
        <v>01/06</v>
      </c>
    </row>
    <row r="3" spans="1:28" ht="15.75" x14ac:dyDescent="0.25">
      <c r="A3" t="s">
        <v>3</v>
      </c>
      <c r="B3" t="str">
        <f>TRIM(C3)</f>
        <v>ALEJANDRO GONZALES</v>
      </c>
      <c r="C3" t="s">
        <v>139</v>
      </c>
      <c r="D3">
        <v>34711</v>
      </c>
      <c r="E3">
        <f>D1_MAYO[[#This Row],[RECUPERO]]/VLOOKUP(D1_MAYO[[#This Row],[SUPER]],D2_MAYO[#All],2,0)</f>
        <v>0.53401538461538467</v>
      </c>
      <c r="F3" t="str">
        <f>D1_MAYO[[#This Row],[SUPER]]</f>
        <v>SANDY</v>
      </c>
      <c r="H3" t="s">
        <v>8</v>
      </c>
      <c r="I3">
        <v>20000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20" t="str">
        <f>H15</f>
        <v>17:02</v>
      </c>
    </row>
    <row r="4" spans="1:28" x14ac:dyDescent="0.25">
      <c r="A4" t="s">
        <v>3</v>
      </c>
      <c r="B4" t="str">
        <f t="shared" ref="B4:B67" si="0">TRIM(C4)</f>
        <v>CHRISTIAN ALBUJAR</v>
      </c>
      <c r="C4" t="s">
        <v>53</v>
      </c>
      <c r="D4">
        <v>27635</v>
      </c>
      <c r="E4">
        <f>D1_MAYO[[#This Row],[RECUPERO]]/VLOOKUP(D1_MAYO[[#This Row],[SUPER]],D2_MAYO[#All],2,0)</f>
        <v>0.42515384615384616</v>
      </c>
      <c r="F4" t="str">
        <f>D1_MAYO[[#This Row],[SUPER]]</f>
        <v>SANDY</v>
      </c>
      <c r="H4" t="s">
        <v>166</v>
      </c>
      <c r="I4">
        <v>20000</v>
      </c>
    </row>
    <row r="5" spans="1:28" ht="21" x14ac:dyDescent="0.35">
      <c r="A5" t="s">
        <v>3</v>
      </c>
      <c r="B5" t="str">
        <f t="shared" si="0"/>
        <v>EVELY TENORIO</v>
      </c>
      <c r="C5" t="s">
        <v>22</v>
      </c>
      <c r="D5">
        <v>67766.75</v>
      </c>
      <c r="E5">
        <f>D1_MAYO[[#This Row],[RECUPERO]]/VLOOKUP(D1_MAYO[[#This Row],[SUPER]],D2_MAYO[#All],2,0)</f>
        <v>1.0425653846153846</v>
      </c>
      <c r="F5" t="str">
        <f>D1_MAYO[[#This Row],[SUPER]]</f>
        <v>SANDY</v>
      </c>
      <c r="H5" t="s">
        <v>5</v>
      </c>
      <c r="I5">
        <v>65000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t="s">
        <v>3</v>
      </c>
      <c r="B6" t="str">
        <f t="shared" si="0"/>
        <v>JENY LAZARO</v>
      </c>
      <c r="C6" t="s">
        <v>26</v>
      </c>
      <c r="D6">
        <v>31800</v>
      </c>
      <c r="E6">
        <f>D1_MAYO[[#This Row],[RECUPERO]]/VLOOKUP(D1_MAYO[[#This Row],[SUPER]],D2_MAYO[#All],2,0)</f>
        <v>0.48923076923076925</v>
      </c>
      <c r="F6" t="str">
        <f>D1_MAYO[[#This Row],[SUPER]]</f>
        <v>SANDY</v>
      </c>
      <c r="H6" t="s">
        <v>2</v>
      </c>
      <c r="I6">
        <v>65000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t="s">
        <v>3</v>
      </c>
      <c r="B7" t="str">
        <f t="shared" si="0"/>
        <v>LISELY MERA</v>
      </c>
      <c r="C7" t="s">
        <v>23</v>
      </c>
      <c r="D7">
        <v>103512.12</v>
      </c>
      <c r="E7">
        <f>D1_MAYO[[#This Row],[RECUPERO]]/VLOOKUP(D1_MAYO[[#This Row],[SUPER]],D2_MAYO[#All],2,0)</f>
        <v>1.5924941538461537</v>
      </c>
      <c r="F7" t="str">
        <f>D1_MAYO[[#This Row],[SUPER]]</f>
        <v>SANDY</v>
      </c>
      <c r="H7" t="s">
        <v>6</v>
      </c>
      <c r="I7">
        <v>26000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t="s">
        <v>3</v>
      </c>
      <c r="B8" t="str">
        <f t="shared" si="0"/>
        <v>MALORY MONTEBLANCO</v>
      </c>
      <c r="C8" t="s">
        <v>25</v>
      </c>
      <c r="D8">
        <v>30396</v>
      </c>
      <c r="E8">
        <f>D1_MAYO[[#This Row],[RECUPERO]]/VLOOKUP(D1_MAYO[[#This Row],[SUPER]],D2_MAYO[#All],2,0)</f>
        <v>0.46763076923076924</v>
      </c>
      <c r="F8" t="str">
        <f>D1_MAYO[[#This Row],[SUPER]]</f>
        <v>SANDY</v>
      </c>
      <c r="H8" t="s">
        <v>9</v>
      </c>
      <c r="I8">
        <v>20000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34</v>
      </c>
      <c r="S8" s="3">
        <v>1.8238461538461539</v>
      </c>
      <c r="U8" s="15" t="s">
        <v>66</v>
      </c>
      <c r="V8" s="2">
        <v>0.96973846153846155</v>
      </c>
      <c r="X8" s="15" t="s">
        <v>11</v>
      </c>
      <c r="Y8" s="2">
        <v>0.68829384615384614</v>
      </c>
      <c r="AA8" s="15" t="s">
        <v>78</v>
      </c>
      <c r="AB8" s="2">
        <v>0.39750000000000002</v>
      </c>
    </row>
    <row r="9" spans="1:28" x14ac:dyDescent="0.25">
      <c r="A9" t="s">
        <v>3</v>
      </c>
      <c r="B9" t="str">
        <f t="shared" si="0"/>
        <v>MICHAEL TAFUR</v>
      </c>
      <c r="C9" t="s">
        <v>134</v>
      </c>
      <c r="D9">
        <v>28500</v>
      </c>
      <c r="E9">
        <f>D1_MAYO[[#This Row],[RECUPERO]]/VLOOKUP(D1_MAYO[[#This Row],[SUPER]],D2_MAYO[#All],2,0)</f>
        <v>0.43846153846153846</v>
      </c>
      <c r="F9" t="str">
        <f>D1_MAYO[[#This Row],[SUPER]]</f>
        <v>SANDY</v>
      </c>
      <c r="H9" t="s">
        <v>4</v>
      </c>
      <c r="I9">
        <v>65000</v>
      </c>
      <c r="L9">
        <v>1</v>
      </c>
      <c r="M9" s="1">
        <f>E3</f>
        <v>0.53401538461538467</v>
      </c>
      <c r="N9" t="str" cm="1">
        <f t="array" ref="N9">IFERROR(_xlfn.IFS(M9&gt;100%,"&gt;100%",AND(M9&lt;100%,M9&gt;70%),"&gt;70%",AND(M9&lt;70%,M9&gt;40%),"&gt;40%",AND(M9&lt;40%,M9&gt;0%),"&gt;0%"),"")</f>
        <v>&gt;40%</v>
      </c>
      <c r="O9" t="str">
        <f>B3</f>
        <v>ALEJANDRO GONZALES</v>
      </c>
      <c r="R9" s="15" t="s">
        <v>80</v>
      </c>
      <c r="S9" s="3">
        <v>1.6751</v>
      </c>
      <c r="U9" s="15" t="s">
        <v>83</v>
      </c>
      <c r="V9" s="3">
        <v>0.90502499999999997</v>
      </c>
      <c r="X9" s="15" t="s">
        <v>61</v>
      </c>
      <c r="Y9" s="3">
        <v>0.68599230769230768</v>
      </c>
      <c r="AA9" s="15" t="s">
        <v>32</v>
      </c>
      <c r="AB9" s="3">
        <v>0.38940000000000002</v>
      </c>
    </row>
    <row r="10" spans="1:28" x14ac:dyDescent="0.25">
      <c r="A10" t="s">
        <v>3</v>
      </c>
      <c r="B10" t="str">
        <f t="shared" si="0"/>
        <v>ROCIO TERRONES</v>
      </c>
      <c r="C10" t="s">
        <v>128</v>
      </c>
      <c r="D10">
        <v>500</v>
      </c>
      <c r="E10">
        <f>D1_MAYO[[#This Row],[RECUPERO]]/VLOOKUP(D1_MAYO[[#This Row],[SUPER]],D2_MAYO[#All],2,0)</f>
        <v>7.6923076923076927E-3</v>
      </c>
      <c r="F10" t="str">
        <f>D1_MAYO[[#This Row],[SUPER]]</f>
        <v>SANDY</v>
      </c>
      <c r="H10" t="s">
        <v>3</v>
      </c>
      <c r="I10">
        <v>65000</v>
      </c>
      <c r="L10">
        <v>2</v>
      </c>
      <c r="M10" s="1">
        <f t="shared" ref="M10:M73" si="1">E4</f>
        <v>0.42515384615384616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ref="O10:O73" si="2">B4</f>
        <v>CHRISTIAN ALBUJAR</v>
      </c>
      <c r="R10" s="15" t="s">
        <v>23</v>
      </c>
      <c r="S10" s="3">
        <v>1.5924941538461537</v>
      </c>
      <c r="U10" s="15" t="s">
        <v>27</v>
      </c>
      <c r="V10" s="3">
        <v>0.89054999999999995</v>
      </c>
      <c r="X10" s="15" t="s">
        <v>19</v>
      </c>
      <c r="Y10" s="3">
        <v>0.67846153846153845</v>
      </c>
      <c r="AA10" s="15" t="s">
        <v>42</v>
      </c>
      <c r="AB10" s="3">
        <v>0.38747500000000001</v>
      </c>
    </row>
    <row r="11" spans="1:28" x14ac:dyDescent="0.25">
      <c r="A11" t="s">
        <v>3</v>
      </c>
      <c r="B11" t="str">
        <f t="shared" si="0"/>
        <v>VICTOR RAMIREZ</v>
      </c>
      <c r="C11" t="s">
        <v>76</v>
      </c>
      <c r="D11">
        <v>72761.570000000007</v>
      </c>
      <c r="E11">
        <f>D1_MAYO[[#This Row],[RECUPERO]]/VLOOKUP(D1_MAYO[[#This Row],[SUPER]],D2_MAYO[#All],2,0)</f>
        <v>1.1194087692307693</v>
      </c>
      <c r="F11" t="str">
        <f>D1_MAYO[[#This Row],[SUPER]]</f>
        <v>SANDY</v>
      </c>
      <c r="L11">
        <v>3</v>
      </c>
      <c r="M11" s="1">
        <f t="shared" si="1"/>
        <v>1.0425653846153846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2"/>
        <v>EVELY TENORIO</v>
      </c>
      <c r="R11" s="15" t="s">
        <v>14</v>
      </c>
      <c r="S11" s="3">
        <v>1.4653499999999999</v>
      </c>
      <c r="U11" s="15" t="s">
        <v>59</v>
      </c>
      <c r="V11" s="3">
        <v>0.81438430769230619</v>
      </c>
      <c r="X11" s="15" t="s">
        <v>29</v>
      </c>
      <c r="Y11" s="3">
        <v>0.66793846153846159</v>
      </c>
      <c r="AA11" s="15" t="s">
        <v>62</v>
      </c>
      <c r="AB11" s="3">
        <v>0.38682384615384613</v>
      </c>
    </row>
    <row r="12" spans="1:28" x14ac:dyDescent="0.25">
      <c r="A12" t="s">
        <v>3</v>
      </c>
      <c r="B12" t="str">
        <f t="shared" si="0"/>
        <v/>
      </c>
      <c r="E12">
        <f>D1_MAYO[[#This Row],[RECUPERO]]/VLOOKUP(D1_MAYO[[#This Row],[SUPER]],D2_MAYO[#All],2,0)</f>
        <v>0</v>
      </c>
      <c r="F12" t="str">
        <f>D1_MAYO[[#This Row],[SUPER]]</f>
        <v>SANDY</v>
      </c>
      <c r="L12">
        <v>4</v>
      </c>
      <c r="M12" s="1">
        <f t="shared" si="1"/>
        <v>0.48923076923076925</v>
      </c>
      <c r="N12" t="str" cm="1">
        <f t="array" ref="N12">IFERROR(_xlfn.IFS(M12&gt;100%,"&gt;100%",AND(M12&lt;100%,M12&gt;70%),"&gt;70%",AND(M12&lt;70%,M12&gt;40%),"&gt;40%",AND(M12&lt;40%,M12&gt;0%),"&gt;0%"),"")</f>
        <v>&gt;40%</v>
      </c>
      <c r="O12" t="str">
        <f t="shared" si="2"/>
        <v>JENY LAZARO</v>
      </c>
      <c r="R12" s="15" t="s">
        <v>57</v>
      </c>
      <c r="S12" s="3">
        <v>1.2592769230769232</v>
      </c>
      <c r="U12" s="15" t="s">
        <v>21</v>
      </c>
      <c r="V12" s="3">
        <v>0.80700000000000005</v>
      </c>
      <c r="X12" s="15" t="s">
        <v>17</v>
      </c>
      <c r="Y12" s="3">
        <v>0.65569230769230769</v>
      </c>
      <c r="AA12" s="15" t="s">
        <v>75</v>
      </c>
      <c r="AB12" s="3">
        <v>0.37940000000000002</v>
      </c>
    </row>
    <row r="13" spans="1:28" x14ac:dyDescent="0.25">
      <c r="A13" t="s">
        <v>3</v>
      </c>
      <c r="B13" t="str">
        <f t="shared" si="0"/>
        <v/>
      </c>
      <c r="E13">
        <f>D1_MAYO[[#This Row],[RECUPERO]]/VLOOKUP(D1_MAYO[[#This Row],[SUPER]],D2_MAYO[#All],2,0)</f>
        <v>0</v>
      </c>
      <c r="F13" t="str">
        <f>D1_MAYO[[#This Row],[SUPER]]</f>
        <v>SANDY</v>
      </c>
      <c r="H13" t="s">
        <v>107</v>
      </c>
      <c r="L13">
        <v>5</v>
      </c>
      <c r="M13" s="1">
        <f t="shared" si="1"/>
        <v>1.5924941538461537</v>
      </c>
      <c r="N13" t="str" cm="1">
        <f t="array" ref="N13">IFERROR(_xlfn.IFS(M13&gt;100%,"&gt;100%",AND(M13&lt;100%,M13&gt;70%),"&gt;70%",AND(M13&lt;70%,M13&gt;40%),"&gt;40%",AND(M13&lt;40%,M13&gt;0%),"&gt;0%"),"")</f>
        <v>&gt;100%</v>
      </c>
      <c r="O13" t="str">
        <f t="shared" si="2"/>
        <v>LISELY MERA</v>
      </c>
      <c r="R13" s="15" t="s">
        <v>68</v>
      </c>
      <c r="S13" s="3">
        <v>1.2213384615384615</v>
      </c>
      <c r="U13" s="15" t="s">
        <v>39</v>
      </c>
      <c r="V13" s="3">
        <v>0.76800000000000002</v>
      </c>
      <c r="X13" s="15" t="s">
        <v>140</v>
      </c>
      <c r="Y13" s="3">
        <v>0.64692307692307693</v>
      </c>
      <c r="AA13" s="15" t="s">
        <v>69</v>
      </c>
      <c r="AB13" s="3">
        <v>0.37126307692307692</v>
      </c>
    </row>
    <row r="14" spans="1:28" x14ac:dyDescent="0.25">
      <c r="A14" t="s">
        <v>3</v>
      </c>
      <c r="B14" t="str">
        <f t="shared" si="0"/>
        <v/>
      </c>
      <c r="E14">
        <f>D1_MAYO[[#This Row],[RECUPERO]]/VLOOKUP(D1_MAYO[[#This Row],[SUPER]],D2_MAYO[#All],2,0)</f>
        <v>0</v>
      </c>
      <c r="F14" t="str">
        <f>D1_MAYO[[#This Row],[SUPER]]</f>
        <v>SANDY</v>
      </c>
      <c r="H14" s="27" t="s">
        <v>179</v>
      </c>
      <c r="L14">
        <v>6</v>
      </c>
      <c r="M14" s="1">
        <f t="shared" si="1"/>
        <v>0.46763076923076924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2"/>
        <v>MALORY MONTEBLANCO</v>
      </c>
      <c r="R14" s="15" t="s">
        <v>76</v>
      </c>
      <c r="S14" s="3">
        <v>1.1194087692307693</v>
      </c>
      <c r="U14" s="15" t="s">
        <v>70</v>
      </c>
      <c r="V14" s="3">
        <v>0.76733846153846152</v>
      </c>
      <c r="X14" s="15" t="s">
        <v>24</v>
      </c>
      <c r="Y14" s="3">
        <v>0.64496500000000001</v>
      </c>
      <c r="AA14" s="15" t="s">
        <v>74</v>
      </c>
      <c r="AB14" s="3">
        <v>0.36037449999999999</v>
      </c>
    </row>
    <row r="15" spans="1:28" x14ac:dyDescent="0.25">
      <c r="A15" t="s">
        <v>3</v>
      </c>
      <c r="B15" t="str">
        <f t="shared" si="0"/>
        <v/>
      </c>
      <c r="E15">
        <f>D1_MAYO[[#This Row],[RECUPERO]]/VLOOKUP(D1_MAYO[[#This Row],[SUPER]],D2_MAYO[#All],2,0)</f>
        <v>0</v>
      </c>
      <c r="F15" t="str">
        <f>D1_MAYO[[#This Row],[SUPER]]</f>
        <v>SANDY</v>
      </c>
      <c r="H15" s="27" t="s">
        <v>180</v>
      </c>
      <c r="L15">
        <v>7</v>
      </c>
      <c r="M15" s="1">
        <f t="shared" si="1"/>
        <v>0.43846153846153846</v>
      </c>
      <c r="N15" t="str" cm="1">
        <f t="array" ref="N15">IFERROR(_xlfn.IFS(M15&gt;100%,"&gt;100%",AND(M15&lt;100%,M15&gt;70%),"&gt;70%",AND(M15&lt;70%,M15&gt;40%),"&gt;40%",AND(M15&lt;40%,M15&gt;0%),"&gt;0%"),"")</f>
        <v>&gt;40%</v>
      </c>
      <c r="O15" t="str">
        <f t="shared" si="2"/>
        <v>MICHAEL TAFUR</v>
      </c>
      <c r="R15" s="15" t="s">
        <v>132</v>
      </c>
      <c r="S15" s="3">
        <v>1.0759615384615384</v>
      </c>
      <c r="U15" s="15" t="s">
        <v>71</v>
      </c>
      <c r="V15" s="4">
        <v>0.72409999999999997</v>
      </c>
      <c r="X15" s="15" t="s">
        <v>73</v>
      </c>
      <c r="Y15" s="3">
        <v>0.59524650000000001</v>
      </c>
      <c r="AA15" s="15" t="s">
        <v>36</v>
      </c>
      <c r="AB15" s="3">
        <v>0.35930769230769233</v>
      </c>
    </row>
    <row r="16" spans="1:28" x14ac:dyDescent="0.25">
      <c r="A16" t="s">
        <v>3</v>
      </c>
      <c r="B16" t="str">
        <f t="shared" si="0"/>
        <v/>
      </c>
      <c r="E16">
        <f>D1_MAYO[[#This Row],[RECUPERO]]/VLOOKUP(D1_MAYO[[#This Row],[SUPER]],D2_MAYO[#All],2,0)</f>
        <v>0</v>
      </c>
      <c r="F16" t="str">
        <f>D1_MAYO[[#This Row],[SUPER]]</f>
        <v>SANDY</v>
      </c>
      <c r="L16">
        <v>8</v>
      </c>
      <c r="M16" s="1">
        <f t="shared" si="1"/>
        <v>7.6923076923076927E-3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2"/>
        <v>ROCIO TERRONES</v>
      </c>
      <c r="R16" s="15" t="s">
        <v>22</v>
      </c>
      <c r="S16" s="3">
        <v>1.0425653846153846</v>
      </c>
      <c r="X16" s="15" t="s">
        <v>67</v>
      </c>
      <c r="Y16" s="3">
        <v>0.57967999999999997</v>
      </c>
      <c r="AA16" s="15" t="s">
        <v>51</v>
      </c>
      <c r="AB16" s="3">
        <v>0.35515000000000002</v>
      </c>
    </row>
    <row r="17" spans="1:28" x14ac:dyDescent="0.25">
      <c r="A17" t="s">
        <v>3</v>
      </c>
      <c r="B17" t="str">
        <f t="shared" si="0"/>
        <v/>
      </c>
      <c r="E17">
        <f>D1_MAYO[[#This Row],[RECUPERO]]/VLOOKUP(D1_MAYO[[#This Row],[SUPER]],D2_MAYO[#All],2,0)</f>
        <v>0</v>
      </c>
      <c r="F17" t="str">
        <f>D1_MAYO[[#This Row],[SUPER]]</f>
        <v>SANDY</v>
      </c>
      <c r="L17">
        <v>9</v>
      </c>
      <c r="M17" s="1">
        <f t="shared" si="1"/>
        <v>1.1194087692307693</v>
      </c>
      <c r="N17" t="str" cm="1">
        <f t="array" ref="N17">IFERROR(_xlfn.IFS(M17&gt;100%,"&gt;100%",AND(M17&lt;100%,M17&gt;70%),"&gt;70%",AND(M17&lt;70%,M17&gt;40%),"&gt;40%",AND(M17&lt;40%,M17&gt;0%),"&gt;0%"),"")</f>
        <v>&gt;100%</v>
      </c>
      <c r="O17" t="str">
        <f t="shared" si="2"/>
        <v>VICTOR RAMIREZ</v>
      </c>
      <c r="R17" s="15" t="s">
        <v>20</v>
      </c>
      <c r="S17" s="4">
        <v>1.0128549999999998</v>
      </c>
      <c r="X17" s="15" t="s">
        <v>65</v>
      </c>
      <c r="Y17" s="3">
        <v>0.57552307692307692</v>
      </c>
      <c r="AA17" s="15" t="s">
        <v>129</v>
      </c>
      <c r="AB17" s="3">
        <v>0.25785000000000002</v>
      </c>
    </row>
    <row r="18" spans="1:28" x14ac:dyDescent="0.25">
      <c r="A18" t="s">
        <v>4</v>
      </c>
      <c r="B18" t="str">
        <f t="shared" si="0"/>
        <v>CINTHYA PAUCAR</v>
      </c>
      <c r="C18" t="s">
        <v>82</v>
      </c>
      <c r="D18">
        <v>1000</v>
      </c>
      <c r="E18">
        <f>D1_MAYO[[#This Row],[RECUPERO]]/VLOOKUP(D1_MAYO[[#This Row],[SUPER]],D2_MAYO[#All],2,0)</f>
        <v>1.5384615384615385E-2</v>
      </c>
      <c r="F18" t="str">
        <f>D1_MAYO[[#This Row],[SUPER]]</f>
        <v>MELINA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X18" s="15" t="s">
        <v>16</v>
      </c>
      <c r="Y18" s="3">
        <v>0.54335384615384619</v>
      </c>
      <c r="AA18" s="15" t="s">
        <v>10</v>
      </c>
      <c r="AB18" s="3">
        <v>0.25473076923076921</v>
      </c>
    </row>
    <row r="19" spans="1:28" x14ac:dyDescent="0.25">
      <c r="A19" t="s">
        <v>4</v>
      </c>
      <c r="B19" t="str">
        <f t="shared" si="0"/>
        <v>CRISTINA TICONA</v>
      </c>
      <c r="C19" t="s">
        <v>61</v>
      </c>
      <c r="D19">
        <v>44589.5</v>
      </c>
      <c r="E19">
        <f>D1_MAYO[[#This Row],[RECUPERO]]/VLOOKUP(D1_MAYO[[#This Row],[SUPER]],D2_MAYO[#All],2,0)</f>
        <v>0.68599230769230768</v>
      </c>
      <c r="F19" t="str">
        <f>D1_MAYO[[#This Row],[SUPER]]</f>
        <v>MELINA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X19" s="15" t="s">
        <v>58</v>
      </c>
      <c r="Y19" s="3">
        <v>0.54075384615384614</v>
      </c>
      <c r="AA19" s="15" t="s">
        <v>64</v>
      </c>
      <c r="AB19" s="3">
        <v>0.25306153846153845</v>
      </c>
    </row>
    <row r="20" spans="1:28" x14ac:dyDescent="0.25">
      <c r="A20" t="s">
        <v>4</v>
      </c>
      <c r="B20" t="str">
        <f t="shared" si="0"/>
        <v>JAIR MARTINEZ</v>
      </c>
      <c r="C20" t="s">
        <v>57</v>
      </c>
      <c r="D20">
        <v>81853</v>
      </c>
      <c r="E20">
        <f>D1_MAYO[[#This Row],[RECUPERO]]/VLOOKUP(D1_MAYO[[#This Row],[SUPER]],D2_MAYO[#All],2,0)</f>
        <v>1.2592769230769232</v>
      </c>
      <c r="F20" t="str">
        <f>D1_MAYO[[#This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X20" s="15" t="s">
        <v>139</v>
      </c>
      <c r="Y20" s="3">
        <v>0.53401538461538467</v>
      </c>
      <c r="AA20" s="15" t="s">
        <v>41</v>
      </c>
      <c r="AB20" s="3">
        <v>0.22819999999999999</v>
      </c>
    </row>
    <row r="21" spans="1:28" x14ac:dyDescent="0.25">
      <c r="A21" t="s">
        <v>4</v>
      </c>
      <c r="B21" t="str">
        <f t="shared" si="0"/>
        <v>JHONATAN CHAVEZ</v>
      </c>
      <c r="C21" t="s">
        <v>65</v>
      </c>
      <c r="D21">
        <v>37409</v>
      </c>
      <c r="E21">
        <f>D1_MAYO[[#This Row],[RECUPERO]]/VLOOKUP(D1_MAYO[[#This Row],[SUPER]],D2_MAYO[#All],2,0)</f>
        <v>0.57552307692307692</v>
      </c>
      <c r="F21" t="str">
        <f>D1_MAYO[[#This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X21" s="15" t="s">
        <v>31</v>
      </c>
      <c r="Y21" s="3">
        <v>0.53384615384615386</v>
      </c>
      <c r="AA21" s="15" t="s">
        <v>56</v>
      </c>
      <c r="AB21" s="3">
        <v>0.22220000000000001</v>
      </c>
    </row>
    <row r="22" spans="1:28" x14ac:dyDescent="0.25">
      <c r="A22" t="s">
        <v>4</v>
      </c>
      <c r="B22" t="str">
        <f t="shared" si="0"/>
        <v>MARIA TINTAYA</v>
      </c>
      <c r="C22" t="s">
        <v>75</v>
      </c>
      <c r="D22">
        <v>24661</v>
      </c>
      <c r="E22">
        <f>D1_MAYO[[#This Row],[RECUPERO]]/VLOOKUP(D1_MAYO[[#This Row],[SUPER]],D2_MAYO[#All],2,0)</f>
        <v>0.37940000000000002</v>
      </c>
      <c r="F22" t="str">
        <f>D1_MAYO[[#This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X22" s="15" t="s">
        <v>175</v>
      </c>
      <c r="Y22" s="3">
        <v>0.53285000000000005</v>
      </c>
      <c r="AA22" s="15" t="s">
        <v>49</v>
      </c>
      <c r="AB22" s="3">
        <v>0.18375</v>
      </c>
    </row>
    <row r="23" spans="1:28" x14ac:dyDescent="0.25">
      <c r="A23" t="s">
        <v>4</v>
      </c>
      <c r="B23" t="str">
        <f t="shared" si="0"/>
        <v>MELISSA GUERRERO</v>
      </c>
      <c r="C23" t="s">
        <v>62</v>
      </c>
      <c r="D23">
        <v>25143.55</v>
      </c>
      <c r="E23">
        <f>D1_MAYO[[#This Row],[RECUPERO]]/VLOOKUP(D1_MAYO[[#This Row],[SUPER]],D2_MAYO[#All],2,0)</f>
        <v>0.38682384615384613</v>
      </c>
      <c r="F23" t="str">
        <f>D1_MAYO[[#This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X23" s="15" t="s">
        <v>40</v>
      </c>
      <c r="Y23" s="3">
        <v>0.52564999999999995</v>
      </c>
      <c r="AA23" s="15" t="s">
        <v>35</v>
      </c>
      <c r="AB23" s="3">
        <v>0.16826923076923078</v>
      </c>
    </row>
    <row r="24" spans="1:28" x14ac:dyDescent="0.25">
      <c r="A24" t="s">
        <v>4</v>
      </c>
      <c r="B24" t="str">
        <f t="shared" si="0"/>
        <v>MICAELA PEREZ</v>
      </c>
      <c r="C24" t="s">
        <v>64</v>
      </c>
      <c r="D24">
        <v>16449</v>
      </c>
      <c r="E24">
        <f>D1_MAYO[[#This Row],[RECUPERO]]/VLOOKUP(D1_MAYO[[#This Row],[SUPER]],D2_MAYO[#All],2,0)</f>
        <v>0.25306153846153845</v>
      </c>
      <c r="F24" t="str">
        <f>D1_MAYO[[#This Row],[SUPER]]</f>
        <v>MELINA</v>
      </c>
      <c r="L24">
        <v>1</v>
      </c>
      <c r="M24" s="1">
        <f t="shared" si="1"/>
        <v>1.5384615384615385E-2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2"/>
        <v>CINTHYA PAUCAR</v>
      </c>
      <c r="X24" s="15" t="s">
        <v>77</v>
      </c>
      <c r="Y24" s="3">
        <v>0.5039146153846138</v>
      </c>
      <c r="AA24" s="15" t="s">
        <v>37</v>
      </c>
      <c r="AB24" s="3">
        <v>0.1515</v>
      </c>
    </row>
    <row r="25" spans="1:28" x14ac:dyDescent="0.25">
      <c r="A25" t="s">
        <v>4</v>
      </c>
      <c r="B25" t="str">
        <f t="shared" si="0"/>
        <v>PIERINA TESEN</v>
      </c>
      <c r="C25" t="s">
        <v>59</v>
      </c>
      <c r="D25">
        <v>52934.979999999901</v>
      </c>
      <c r="E25">
        <f>D1_MAYO[[#This Row],[RECUPERO]]/VLOOKUP(D1_MAYO[[#This Row],[SUPER]],D2_MAYO[#All],2,0)</f>
        <v>0.81438430769230619</v>
      </c>
      <c r="F25" t="str">
        <f>D1_MAYO[[#This Row],[SUPER]]</f>
        <v>MELINA</v>
      </c>
      <c r="L25">
        <v>2</v>
      </c>
      <c r="M25" s="1">
        <f t="shared" si="1"/>
        <v>0.68599230769230768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2"/>
        <v>CRISTINA TICONA</v>
      </c>
      <c r="X25" s="15" t="s">
        <v>12</v>
      </c>
      <c r="Y25" s="3">
        <v>0.48955384615384617</v>
      </c>
      <c r="AA25" s="15" t="s">
        <v>176</v>
      </c>
      <c r="AB25" s="3">
        <v>0.13</v>
      </c>
    </row>
    <row r="26" spans="1:28" x14ac:dyDescent="0.25">
      <c r="A26" t="s">
        <v>4</v>
      </c>
      <c r="B26" t="str">
        <f t="shared" si="0"/>
        <v/>
      </c>
      <c r="E26">
        <f>D1_MAYO[[#This Row],[RECUPERO]]/VLOOKUP(D1_MAYO[[#This Row],[SUPER]],D2_MAYO[#All],2,0)</f>
        <v>0</v>
      </c>
      <c r="F26" t="str">
        <f>D1_MAYO[[#This Row],[SUPER]]</f>
        <v>MELINA</v>
      </c>
      <c r="L26">
        <v>3</v>
      </c>
      <c r="M26" s="1">
        <f t="shared" si="1"/>
        <v>1.2592769230769232</v>
      </c>
      <c r="N26" t="str" cm="1">
        <f t="array" ref="N26">IFERROR(_xlfn.IFS(M26&gt;100%,"&gt;100%",AND(M26&lt;100%,M26&gt;70%),"&gt;70%",AND(M26&lt;70%,M26&gt;40%),"&gt;40%",AND(M26&lt;40%,M26&gt;0%),"&gt;0%"),"")</f>
        <v>&gt;100%</v>
      </c>
      <c r="O26" t="str">
        <f t="shared" si="2"/>
        <v>JAIR MARTINEZ</v>
      </c>
      <c r="X26" s="15" t="s">
        <v>26</v>
      </c>
      <c r="Y26" s="3">
        <v>0.48923076923076925</v>
      </c>
      <c r="AA26" s="15" t="s">
        <v>79</v>
      </c>
      <c r="AB26" s="3">
        <v>0.11615384615384615</v>
      </c>
    </row>
    <row r="27" spans="1:28" x14ac:dyDescent="0.25">
      <c r="A27" t="s">
        <v>4</v>
      </c>
      <c r="B27" t="str">
        <f t="shared" si="0"/>
        <v/>
      </c>
      <c r="E27">
        <f>D1_MAYO[[#This Row],[RECUPERO]]/VLOOKUP(D1_MAYO[[#This Row],[SUPER]],D2_MAYO[#All],2,0)</f>
        <v>0</v>
      </c>
      <c r="F27" t="str">
        <f>D1_MAYO[[#This Row],[SUPER]]</f>
        <v>MELINA</v>
      </c>
      <c r="L27">
        <v>4</v>
      </c>
      <c r="M27" s="1">
        <f t="shared" si="1"/>
        <v>0.57552307692307692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2"/>
        <v>JHONATAN CHAVEZ</v>
      </c>
      <c r="X27" s="15" t="s">
        <v>15</v>
      </c>
      <c r="Y27" s="3">
        <v>0.48</v>
      </c>
      <c r="AA27" s="15" t="s">
        <v>38</v>
      </c>
      <c r="AB27" s="3">
        <v>5.2499999999999998E-2</v>
      </c>
    </row>
    <row r="28" spans="1:28" x14ac:dyDescent="0.25">
      <c r="A28" t="s">
        <v>4</v>
      </c>
      <c r="B28" t="str">
        <f t="shared" si="0"/>
        <v/>
      </c>
      <c r="E28">
        <f>D1_MAYO[[#This Row],[RECUPERO]]/VLOOKUP(D1_MAYO[[#This Row],[SUPER]],D2_MAYO[#All],2,0)</f>
        <v>0</v>
      </c>
      <c r="F28" t="str">
        <f>D1_MAYO[[#This Row],[SUPER]]</f>
        <v>MELINA</v>
      </c>
      <c r="L28">
        <v>5</v>
      </c>
      <c r="M28" s="1">
        <f t="shared" si="1"/>
        <v>0.37940000000000002</v>
      </c>
      <c r="N28" t="str" cm="1">
        <f t="array" ref="N28">IFERROR(_xlfn.IFS(M28&gt;100%,"&gt;100%",AND(M28&lt;100%,M28&gt;70%),"&gt;70%",AND(M28&lt;70%,M28&gt;40%),"&gt;40%",AND(M28&lt;40%,M28&gt;0%),"&gt;0%"),"")</f>
        <v>&gt;0%</v>
      </c>
      <c r="O28" t="str">
        <f t="shared" si="2"/>
        <v>MARIA TINTAYA</v>
      </c>
      <c r="X28" s="15" t="s">
        <v>25</v>
      </c>
      <c r="Y28" s="3">
        <v>0.46763076923076924</v>
      </c>
      <c r="AA28" s="15" t="s">
        <v>50</v>
      </c>
      <c r="AB28" s="3">
        <v>4.576923076923077E-2</v>
      </c>
    </row>
    <row r="29" spans="1:28" x14ac:dyDescent="0.25">
      <c r="A29" t="s">
        <v>4</v>
      </c>
      <c r="B29" t="str">
        <f t="shared" si="0"/>
        <v/>
      </c>
      <c r="E29">
        <f>D1_MAYO[[#This Row],[RECUPERO]]/VLOOKUP(D1_MAYO[[#This Row],[SUPER]],D2_MAYO[#All],2,0)</f>
        <v>0</v>
      </c>
      <c r="F29" t="str">
        <f>D1_MAYO[[#This Row],[SUPER]]</f>
        <v>MELINA</v>
      </c>
      <c r="L29">
        <v>6</v>
      </c>
      <c r="M29" s="1">
        <f t="shared" si="1"/>
        <v>0.38682384615384613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2"/>
        <v>MELISSA GUERRERO</v>
      </c>
      <c r="X29" s="15" t="s">
        <v>13</v>
      </c>
      <c r="Y29" s="3">
        <v>0.4540769230769231</v>
      </c>
      <c r="AA29" s="15" t="s">
        <v>141</v>
      </c>
      <c r="AB29" s="3">
        <v>3.5000000000000003E-2</v>
      </c>
    </row>
    <row r="30" spans="1:28" x14ac:dyDescent="0.25">
      <c r="A30" t="s">
        <v>4</v>
      </c>
      <c r="B30" t="str">
        <f t="shared" si="0"/>
        <v/>
      </c>
      <c r="E30">
        <f>D1_MAYO[[#This Row],[RECUPERO]]/VLOOKUP(D1_MAYO[[#This Row],[SUPER]],D2_MAYO[#All],2,0)</f>
        <v>0</v>
      </c>
      <c r="F30" t="str">
        <f>D1_MAYO[[#This Row],[SUPER]]</f>
        <v>MELINA</v>
      </c>
      <c r="L30">
        <v>7</v>
      </c>
      <c r="M30" s="1">
        <f t="shared" si="1"/>
        <v>0.25306153846153845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2"/>
        <v>MICAELA PEREZ</v>
      </c>
      <c r="X30" s="15" t="s">
        <v>33</v>
      </c>
      <c r="Y30" s="3">
        <v>0.44011999999999996</v>
      </c>
      <c r="AA30" s="15" t="s">
        <v>82</v>
      </c>
      <c r="AB30" s="3">
        <v>1.5384615384615385E-2</v>
      </c>
    </row>
    <row r="31" spans="1:28" x14ac:dyDescent="0.25">
      <c r="A31" t="s">
        <v>4</v>
      </c>
      <c r="B31" t="str">
        <f t="shared" si="0"/>
        <v/>
      </c>
      <c r="E31">
        <f>D1_MAYO[[#This Row],[RECUPERO]]/VLOOKUP(D1_MAYO[[#This Row],[SUPER]],D2_MAYO[#All],2,0)</f>
        <v>0</v>
      </c>
      <c r="F31" t="str">
        <f>D1_MAYO[[#This Row],[SUPER]]</f>
        <v>MELINA</v>
      </c>
      <c r="L31">
        <v>8</v>
      </c>
      <c r="M31" s="1">
        <f t="shared" si="1"/>
        <v>0.81438430769230619</v>
      </c>
      <c r="N31" t="str" cm="1">
        <f t="array" ref="N31">IFERROR(_xlfn.IFS(M31&gt;100%,"&gt;100%",AND(M31&lt;100%,M31&gt;70%),"&gt;70%",AND(M31&lt;70%,M31&gt;40%),"&gt;40%",AND(M31&lt;40%,M31&gt;0%),"&gt;0%"),"")</f>
        <v>&gt;70%</v>
      </c>
      <c r="O31" t="str">
        <f t="shared" si="2"/>
        <v>PIERINA TESEN</v>
      </c>
      <c r="X31" s="15" t="s">
        <v>134</v>
      </c>
      <c r="Y31" s="3">
        <v>0.43846153846153846</v>
      </c>
      <c r="AA31" s="15" t="s">
        <v>44</v>
      </c>
      <c r="AB31" s="3">
        <v>1.2E-2</v>
      </c>
    </row>
    <row r="32" spans="1:28" x14ac:dyDescent="0.25">
      <c r="A32" t="s">
        <v>4</v>
      </c>
      <c r="B32" t="str">
        <f t="shared" si="0"/>
        <v/>
      </c>
      <c r="E32">
        <f>D1_MAYO[[#This Row],[RECUPERO]]/VLOOKUP(D1_MAYO[[#This Row],[SUPER]],D2_MAYO[#All],2,0)</f>
        <v>0</v>
      </c>
      <c r="F32" t="str">
        <f>D1_MAYO[[#This Row],[SUPER]]</f>
        <v>MELINA</v>
      </c>
      <c r="L32">
        <v>9</v>
      </c>
      <c r="M32" s="1">
        <f t="shared" si="1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2"/>
        <v/>
      </c>
      <c r="X32" s="15" t="s">
        <v>53</v>
      </c>
      <c r="Y32" s="3">
        <v>0.42515384615384616</v>
      </c>
      <c r="AA32" s="15" t="s">
        <v>84</v>
      </c>
      <c r="AB32" s="3">
        <v>0.01</v>
      </c>
    </row>
    <row r="33" spans="1:28" x14ac:dyDescent="0.25">
      <c r="A33" t="s">
        <v>2</v>
      </c>
      <c r="B33" t="str">
        <f t="shared" si="0"/>
        <v>FRANS TACSI</v>
      </c>
      <c r="C33" t="s">
        <v>16</v>
      </c>
      <c r="D33">
        <v>35318</v>
      </c>
      <c r="E33">
        <f>D1_MAYO[[#This Row],[RECUPERO]]/VLOOKUP(D1_MAYO[[#This Row],[SUPER]],D2_MAYO[#All],2,0)</f>
        <v>0.54335384615384619</v>
      </c>
      <c r="F33" t="str">
        <f>D1_MAYO[[#This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X33" s="15" t="s">
        <v>72</v>
      </c>
      <c r="Y33" s="3">
        <v>0.4150307692307692</v>
      </c>
      <c r="AA33" s="15" t="s">
        <v>128</v>
      </c>
      <c r="AB33" s="3">
        <v>7.6923076923076927E-3</v>
      </c>
    </row>
    <row r="34" spans="1:28" x14ac:dyDescent="0.25">
      <c r="A34" t="s">
        <v>2</v>
      </c>
      <c r="B34" t="str">
        <f t="shared" si="0"/>
        <v>GENESIS VICUNA</v>
      </c>
      <c r="C34" t="s">
        <v>12</v>
      </c>
      <c r="D34">
        <v>31821</v>
      </c>
      <c r="E34">
        <f>D1_MAYO[[#This Row],[RECUPERO]]/VLOOKUP(D1_MAYO[[#This Row],[SUPER]],D2_MAYO[#All],2,0)</f>
        <v>0.48955384615384617</v>
      </c>
      <c r="F34" t="str">
        <f>D1_MAYO[[#This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  <c r="X34" s="15" t="s">
        <v>81</v>
      </c>
      <c r="Y34" s="3">
        <v>0.41130769230769232</v>
      </c>
      <c r="AA34" s="15" t="s">
        <v>85</v>
      </c>
      <c r="AB34" s="4">
        <v>7.6923076923076927E-3</v>
      </c>
    </row>
    <row r="35" spans="1:28" x14ac:dyDescent="0.25">
      <c r="A35" t="s">
        <v>2</v>
      </c>
      <c r="B35" t="str">
        <f t="shared" si="0"/>
        <v>GIANFRANCO PINEDO</v>
      </c>
      <c r="C35" t="s">
        <v>13</v>
      </c>
      <c r="D35">
        <v>29515</v>
      </c>
      <c r="E35">
        <f>D1_MAYO[[#This Row],[RECUPERO]]/VLOOKUP(D1_MAYO[[#This Row],[SUPER]],D2_MAYO[#All],2,0)</f>
        <v>0.4540769230769231</v>
      </c>
      <c r="F35" t="str">
        <f>D1_MAYO[[#This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X35" s="15" t="s">
        <v>18</v>
      </c>
      <c r="Y35" s="4">
        <v>0.40192307692307694</v>
      </c>
    </row>
    <row r="36" spans="1:28" x14ac:dyDescent="0.25">
      <c r="A36" t="s">
        <v>2</v>
      </c>
      <c r="B36" t="str">
        <f t="shared" si="0"/>
        <v>JUAN ALANOCCA</v>
      </c>
      <c r="C36" t="s">
        <v>77</v>
      </c>
      <c r="D36">
        <v>32754.449999999899</v>
      </c>
      <c r="E36">
        <f>D1_MAYO[[#This Row],[RECUPERO]]/VLOOKUP(D1_MAYO[[#This Row],[SUPER]],D2_MAYO[#All],2,0)</f>
        <v>0.5039146153846138</v>
      </c>
      <c r="F36" t="str">
        <f>D1_MAYO[[#This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</row>
    <row r="37" spans="1:28" x14ac:dyDescent="0.25">
      <c r="A37" t="s">
        <v>2</v>
      </c>
      <c r="B37" t="str">
        <f t="shared" si="0"/>
        <v>LUIS VALLADARES</v>
      </c>
      <c r="C37" t="s">
        <v>29</v>
      </c>
      <c r="D37">
        <v>43416</v>
      </c>
      <c r="E37">
        <f>D1_MAYO[[#This Row],[RECUPERO]]/VLOOKUP(D1_MAYO[[#This Row],[SUPER]],D2_MAYO[#All],2,0)</f>
        <v>0.66793846153846159</v>
      </c>
      <c r="F37" t="str">
        <f>D1_MAYO[[#This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</row>
    <row r="38" spans="1:28" x14ac:dyDescent="0.25">
      <c r="A38" t="s">
        <v>2</v>
      </c>
      <c r="B38" t="str">
        <f t="shared" si="0"/>
        <v>MARGARITA PIANCHACHI</v>
      </c>
      <c r="C38" t="s">
        <v>17</v>
      </c>
      <c r="D38">
        <v>42620</v>
      </c>
      <c r="E38">
        <f>D1_MAYO[[#This Row],[RECUPERO]]/VLOOKUP(D1_MAYO[[#This Row],[SUPER]],D2_MAYO[#All],2,0)</f>
        <v>0.65569230769230769</v>
      </c>
      <c r="F38" t="str">
        <f>D1_MAYO[[#This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</row>
    <row r="39" spans="1:28" x14ac:dyDescent="0.25">
      <c r="A39" t="s">
        <v>2</v>
      </c>
      <c r="B39" t="str">
        <f t="shared" si="0"/>
        <v>MILAGROS QUIO</v>
      </c>
      <c r="C39" t="s">
        <v>11</v>
      </c>
      <c r="D39">
        <v>44739.1</v>
      </c>
      <c r="E39">
        <f>D1_MAYO[[#This Row],[RECUPERO]]/VLOOKUP(D1_MAYO[[#This Row],[SUPER]],D2_MAYO[#All],2,0)</f>
        <v>0.68829384615384614</v>
      </c>
      <c r="F39" t="str">
        <f>D1_MAYO[[#This Row],[SUPER]]</f>
        <v>JORGE</v>
      </c>
      <c r="L39">
        <v>1</v>
      </c>
      <c r="M39" s="1">
        <f t="shared" si="1"/>
        <v>0.54335384615384619</v>
      </c>
      <c r="N39" t="str" cm="1">
        <f t="array" ref="N39">IFERROR(_xlfn.IFS(M39&gt;100%,"&gt;100%",AND(M39&lt;100%,M39&gt;70%),"&gt;70%",AND(M39&lt;70%,M39&gt;40%),"&gt;40%",AND(M39&lt;40%,M39&gt;0%),"&gt;0%"),"")</f>
        <v>&gt;40%</v>
      </c>
      <c r="O39" t="str">
        <f t="shared" si="2"/>
        <v>FRANS TACSI</v>
      </c>
    </row>
    <row r="40" spans="1:28" x14ac:dyDescent="0.25">
      <c r="A40" t="s">
        <v>2</v>
      </c>
      <c r="B40" t="str">
        <f t="shared" si="0"/>
        <v>SOLMAIRA BRAVO</v>
      </c>
      <c r="C40" t="s">
        <v>86</v>
      </c>
      <c r="D40">
        <v>0</v>
      </c>
      <c r="E40">
        <f>D1_MAYO[[#This Row],[RECUPERO]]/VLOOKUP(D1_MAYO[[#This Row],[SUPER]],D2_MAYO[#All],2,0)</f>
        <v>0</v>
      </c>
      <c r="F40" t="str">
        <f>D1_MAYO[[#This Row],[SUPER]]</f>
        <v>JORGE</v>
      </c>
      <c r="L40">
        <v>2</v>
      </c>
      <c r="M40" s="1">
        <f t="shared" si="1"/>
        <v>0.48955384615384617</v>
      </c>
      <c r="N40" t="str" cm="1">
        <f t="array" ref="N40">IFERROR(_xlfn.IFS(M40&gt;100%,"&gt;100%",AND(M40&lt;100%,M40&gt;70%),"&gt;70%",AND(M40&lt;70%,M40&gt;40%),"&gt;40%",AND(M40&lt;40%,M40&gt;0%),"&gt;0%"),"")</f>
        <v>&gt;40%</v>
      </c>
      <c r="O40" t="str">
        <f t="shared" si="2"/>
        <v>GENESIS VICUNA</v>
      </c>
    </row>
    <row r="41" spans="1:28" x14ac:dyDescent="0.25">
      <c r="A41" t="s">
        <v>2</v>
      </c>
      <c r="B41" t="str">
        <f t="shared" si="0"/>
        <v>VERONICA TASAYCO</v>
      </c>
      <c r="C41" t="s">
        <v>10</v>
      </c>
      <c r="D41">
        <v>16557.5</v>
      </c>
      <c r="E41">
        <f>D1_MAYO[[#This Row],[RECUPERO]]/VLOOKUP(D1_MAYO[[#This Row],[SUPER]],D2_MAYO[#All],2,0)</f>
        <v>0.25473076923076921</v>
      </c>
      <c r="F41" t="str">
        <f>D1_MAYO[[#This Row],[SUPER]]</f>
        <v>JORGE</v>
      </c>
      <c r="L41">
        <v>3</v>
      </c>
      <c r="M41" s="1">
        <f t="shared" si="1"/>
        <v>0.4540769230769231</v>
      </c>
      <c r="N41" t="str" cm="1">
        <f t="array" ref="N41">IFERROR(_xlfn.IFS(M41&gt;100%,"&gt;100%",AND(M41&lt;100%,M41&gt;70%),"&gt;70%",AND(M41&lt;70%,M41&gt;40%),"&gt;40%",AND(M41&lt;40%,M41&gt;0%),"&gt;0%"),"")</f>
        <v>&gt;40%</v>
      </c>
      <c r="O41" t="str">
        <f t="shared" si="2"/>
        <v>GIANFRANCO PINEDO</v>
      </c>
    </row>
    <row r="42" spans="1:28" x14ac:dyDescent="0.25">
      <c r="A42" t="s">
        <v>2</v>
      </c>
      <c r="B42" t="str">
        <f t="shared" si="0"/>
        <v/>
      </c>
      <c r="E42">
        <f>D1_MAYO[[#This Row],[RECUPERO]]/VLOOKUP(D1_MAYO[[#This Row],[SUPER]],D2_MAYO[#All],2,0)</f>
        <v>0</v>
      </c>
      <c r="F42" t="str">
        <f>D1_MAYO[[#This Row],[SUPER]]</f>
        <v>JORGE</v>
      </c>
      <c r="L42">
        <v>4</v>
      </c>
      <c r="M42" s="1">
        <f t="shared" si="1"/>
        <v>0.5039146153846138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2"/>
        <v>JUAN ALANOCCA</v>
      </c>
    </row>
    <row r="43" spans="1:28" x14ac:dyDescent="0.25">
      <c r="A43" t="s">
        <v>2</v>
      </c>
      <c r="B43" t="str">
        <f t="shared" si="0"/>
        <v/>
      </c>
      <c r="E43">
        <f>D1_MAYO[[#This Row],[RECUPERO]]/VLOOKUP(D1_MAYO[[#This Row],[SUPER]],D2_MAYO[#All],2,0)</f>
        <v>0</v>
      </c>
      <c r="F43" t="str">
        <f>D1_MAYO[[#This Row],[SUPER]]</f>
        <v>JORGE</v>
      </c>
      <c r="L43">
        <v>5</v>
      </c>
      <c r="M43" s="1">
        <f t="shared" si="1"/>
        <v>0.66793846153846159</v>
      </c>
      <c r="N43" t="str" cm="1">
        <f t="array" ref="N43">IFERROR(_xlfn.IFS(M43&gt;100%,"&gt;100%",AND(M43&lt;100%,M43&gt;70%),"&gt;70%",AND(M43&lt;70%,M43&gt;40%),"&gt;40%",AND(M43&lt;40%,M43&gt;0%),"&gt;0%"),"")</f>
        <v>&gt;40%</v>
      </c>
      <c r="O43" t="str">
        <f t="shared" si="2"/>
        <v>LUIS VALLADARES</v>
      </c>
    </row>
    <row r="44" spans="1:28" x14ac:dyDescent="0.25">
      <c r="A44" t="s">
        <v>2</v>
      </c>
      <c r="B44" t="str">
        <f t="shared" si="0"/>
        <v/>
      </c>
      <c r="E44">
        <f>D1_MAYO[[#This Row],[RECUPERO]]/VLOOKUP(D1_MAYO[[#This Row],[SUPER]],D2_MAYO[#All],2,0)</f>
        <v>0</v>
      </c>
      <c r="F44" t="str">
        <f>D1_MAYO[[#This Row],[SUPER]]</f>
        <v>JORGE</v>
      </c>
      <c r="L44">
        <v>6</v>
      </c>
      <c r="M44" s="1">
        <f t="shared" si="1"/>
        <v>0.65569230769230769</v>
      </c>
      <c r="N44" t="str" cm="1">
        <f t="array" ref="N44">IFERROR(_xlfn.IFS(M44&gt;100%,"&gt;100%",AND(M44&lt;100%,M44&gt;70%),"&gt;70%",AND(M44&lt;70%,M44&gt;40%),"&gt;40%",AND(M44&lt;40%,M44&gt;0%),"&gt;0%"),"")</f>
        <v>&gt;40%</v>
      </c>
      <c r="O44" t="str">
        <f t="shared" si="2"/>
        <v>MARGARITA PIANCHACHI</v>
      </c>
    </row>
    <row r="45" spans="1:28" x14ac:dyDescent="0.25">
      <c r="A45" t="s">
        <v>2</v>
      </c>
      <c r="B45" t="str">
        <f t="shared" si="0"/>
        <v/>
      </c>
      <c r="E45">
        <f>D1_MAYO[[#This Row],[RECUPERO]]/VLOOKUP(D1_MAYO[[#This Row],[SUPER]],D2_MAYO[#All],2,0)</f>
        <v>0</v>
      </c>
      <c r="F45" t="str">
        <f>D1_MAYO[[#This Row],[SUPER]]</f>
        <v>JORGE</v>
      </c>
      <c r="L45">
        <v>7</v>
      </c>
      <c r="M45" s="1">
        <f t="shared" si="1"/>
        <v>0.68829384615384614</v>
      </c>
      <c r="N45" t="str" cm="1">
        <f t="array" ref="N45">IFERROR(_xlfn.IFS(M45&gt;100%,"&gt;100%",AND(M45&lt;100%,M45&gt;70%),"&gt;70%",AND(M45&lt;70%,M45&gt;40%),"&gt;40%",AND(M45&lt;40%,M45&gt;0%),"&gt;0%"),"")</f>
        <v>&gt;40%</v>
      </c>
      <c r="O45" t="str">
        <f t="shared" si="2"/>
        <v>MILAGROS QUIO</v>
      </c>
    </row>
    <row r="46" spans="1:28" x14ac:dyDescent="0.25">
      <c r="A46" t="s">
        <v>2</v>
      </c>
      <c r="B46" t="str">
        <f t="shared" si="0"/>
        <v/>
      </c>
      <c r="E46">
        <f>D1_MAYO[[#This Row],[RECUPERO]]/VLOOKUP(D1_MAYO[[#This Row],[SUPER]],D2_MAYO[#All],2,0)</f>
        <v>0</v>
      </c>
      <c r="F46" t="str">
        <f>D1_MAYO[[#This Row],[SUPER]]</f>
        <v>JORGE</v>
      </c>
      <c r="L46">
        <v>8</v>
      </c>
      <c r="M46" s="1">
        <f t="shared" si="1"/>
        <v>0</v>
      </c>
      <c r="N46" t="str" cm="1">
        <f t="array" ref="N46">IFERROR(_xlfn.IFS(M46&gt;100%,"&gt;100%",AND(M46&lt;100%,M46&gt;70%),"&gt;70%",AND(M46&lt;70%,M46&gt;40%),"&gt;40%",AND(M46&lt;40%,M46&gt;0%),"&gt;0%"),"")</f>
        <v/>
      </c>
      <c r="O46" t="str">
        <f t="shared" si="2"/>
        <v>SOLMAIRA BRAVO</v>
      </c>
    </row>
    <row r="47" spans="1:28" x14ac:dyDescent="0.25">
      <c r="A47" t="s">
        <v>2</v>
      </c>
      <c r="B47" t="str">
        <f t="shared" si="0"/>
        <v/>
      </c>
      <c r="E47">
        <f>D1_MAYO[[#This Row],[RECUPERO]]/VLOOKUP(D1_MAYO[[#This Row],[SUPER]],D2_MAYO[#All],2,0)</f>
        <v>0</v>
      </c>
      <c r="F47" t="str">
        <f>D1_MAYO[[#This Row],[SUPER]]</f>
        <v>JORGE</v>
      </c>
      <c r="L47">
        <v>9</v>
      </c>
      <c r="M47" s="1">
        <f t="shared" si="1"/>
        <v>0.25473076923076921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2"/>
        <v>VERONICA TASAYCO</v>
      </c>
    </row>
    <row r="48" spans="1:28" x14ac:dyDescent="0.25">
      <c r="A48" t="s">
        <v>5</v>
      </c>
      <c r="B48" t="str">
        <f t="shared" si="0"/>
        <v>ALEJANDRA QUISPE</v>
      </c>
      <c r="C48" t="s">
        <v>58</v>
      </c>
      <c r="D48">
        <v>35149</v>
      </c>
      <c r="E48">
        <f>D1_MAYO[[#This Row],[RECUPERO]]/VLOOKUP(D1_MAYO[[#This Row],[SUPER]],D2_MAYO[#All],2,0)</f>
        <v>0.54075384615384614</v>
      </c>
      <c r="F48" t="str">
        <f>D1_MAYO[[#This Row],[SUPER]]</f>
        <v>JORDAN</v>
      </c>
      <c r="L48">
        <v>10</v>
      </c>
      <c r="M48" s="1">
        <f t="shared" si="1"/>
        <v>0</v>
      </c>
      <c r="N48" t="str" cm="1">
        <f t="array" ref="N48">IFERROR(_xlfn.IFS(M48&gt;100%,"&gt;100%",AND(M48&lt;100%,M48&gt;70%),"&gt;70%",AND(M48&lt;70%,M48&gt;40%),"&gt;40%",AND(M48&lt;40%,M48&gt;0%),"&gt;0%"),"")</f>
        <v/>
      </c>
      <c r="O48" t="str">
        <f t="shared" si="2"/>
        <v/>
      </c>
    </row>
    <row r="49" spans="1:15" x14ac:dyDescent="0.25">
      <c r="A49" t="s">
        <v>5</v>
      </c>
      <c r="B49" t="str">
        <f t="shared" si="0"/>
        <v>ANTHONY TORRES</v>
      </c>
      <c r="C49" t="s">
        <v>69</v>
      </c>
      <c r="D49">
        <v>24132.1</v>
      </c>
      <c r="E49">
        <f>D1_MAYO[[#This Row],[RECUPERO]]/VLOOKUP(D1_MAYO[[#This Row],[SUPER]],D2_MAYO[#All],2,0)</f>
        <v>0.37126307692307692</v>
      </c>
      <c r="F49" t="str">
        <f>D1_MAYO[[#This Row],[SUPER]]</f>
        <v>JORDAN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/>
      </c>
    </row>
    <row r="50" spans="1:15" x14ac:dyDescent="0.25">
      <c r="A50" t="s">
        <v>5</v>
      </c>
      <c r="B50" t="str">
        <f t="shared" si="0"/>
        <v>ANTHONY VICENTE</v>
      </c>
      <c r="C50" t="s">
        <v>85</v>
      </c>
      <c r="D50">
        <v>500</v>
      </c>
      <c r="E50">
        <f>D1_MAYO[[#This Row],[RECUPERO]]/VLOOKUP(D1_MAYO[[#This Row],[SUPER]],D2_MAYO[#All],2,0)</f>
        <v>7.6923076923076927E-3</v>
      </c>
      <c r="F50" t="str">
        <f>D1_MAYO[[#This Row],[SUPER]]</f>
        <v>JORDAN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</row>
    <row r="51" spans="1:15" x14ac:dyDescent="0.25">
      <c r="A51" t="s">
        <v>5</v>
      </c>
      <c r="B51" t="str">
        <f t="shared" si="0"/>
        <v>AURORA FAUSTOR</v>
      </c>
      <c r="C51" t="s">
        <v>67</v>
      </c>
      <c r="D51">
        <v>37679.199999999997</v>
      </c>
      <c r="E51">
        <f>D1_MAYO[[#This Row],[RECUPERO]]/VLOOKUP(D1_MAYO[[#This Row],[SUPER]],D2_MAYO[#All],2,0)</f>
        <v>0.57967999999999997</v>
      </c>
      <c r="F51" t="str">
        <f>D1_MAYO[[#This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</row>
    <row r="52" spans="1:15" x14ac:dyDescent="0.25">
      <c r="A52" t="s">
        <v>5</v>
      </c>
      <c r="B52" t="str">
        <f t="shared" si="0"/>
        <v>ERIKA VILLAR</v>
      </c>
      <c r="C52" t="s">
        <v>72</v>
      </c>
      <c r="D52">
        <v>26977</v>
      </c>
      <c r="E52">
        <f>D1_MAYO[[#This Row],[RECUPERO]]/VLOOKUP(D1_MAYO[[#This Row],[SUPER]],D2_MAYO[#All],2,0)</f>
        <v>0.4150307692307692</v>
      </c>
      <c r="F52" t="str">
        <f>D1_MAYO[[#This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</row>
    <row r="53" spans="1:15" x14ac:dyDescent="0.25">
      <c r="A53" t="s">
        <v>5</v>
      </c>
      <c r="B53" t="str">
        <f t="shared" si="0"/>
        <v>GILBERTO PURIZACA</v>
      </c>
      <c r="C53" t="s">
        <v>66</v>
      </c>
      <c r="D53">
        <v>63033</v>
      </c>
      <c r="E53">
        <f>D1_MAYO[[#This Row],[RECUPERO]]/VLOOKUP(D1_MAYO[[#This Row],[SUPER]],D2_MAYO[#All],2,0)</f>
        <v>0.96973846153846155</v>
      </c>
      <c r="F53" t="str">
        <f>D1_MAYO[[#This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</row>
    <row r="54" spans="1:15" x14ac:dyDescent="0.25">
      <c r="A54" t="s">
        <v>5</v>
      </c>
      <c r="B54" t="str">
        <f t="shared" si="0"/>
        <v>LUCERO JORDAN</v>
      </c>
      <c r="C54" t="s">
        <v>68</v>
      </c>
      <c r="D54">
        <v>79387</v>
      </c>
      <c r="E54">
        <f>D1_MAYO[[#This Row],[RECUPERO]]/VLOOKUP(D1_MAYO[[#This Row],[SUPER]],D2_MAYO[#All],2,0)</f>
        <v>1.2213384615384615</v>
      </c>
      <c r="F54" t="str">
        <f>D1_MAYO[[#This Row],[SUPER]]</f>
        <v>JORDAN</v>
      </c>
      <c r="L54">
        <v>1</v>
      </c>
      <c r="M54" s="1">
        <f t="shared" si="1"/>
        <v>0.54075384615384614</v>
      </c>
      <c r="N54" t="str" cm="1">
        <f t="array" ref="N54">IFERROR(_xlfn.IFS(M54&gt;100%,"&gt;100%",AND(M54&lt;100%,M54&gt;70%),"&gt;70%",AND(M54&lt;70%,M54&gt;40%),"&gt;40%",AND(M54&lt;40%,M54&gt;0%),"&gt;0%"),"")</f>
        <v>&gt;40%</v>
      </c>
      <c r="O54" t="str">
        <f t="shared" si="2"/>
        <v>ALEJANDRA QUISPE</v>
      </c>
    </row>
    <row r="55" spans="1:15" x14ac:dyDescent="0.25">
      <c r="A55" t="s">
        <v>5</v>
      </c>
      <c r="B55" t="str">
        <f t="shared" si="0"/>
        <v>MERLY CORONEL</v>
      </c>
      <c r="C55" t="s">
        <v>70</v>
      </c>
      <c r="D55">
        <v>49877</v>
      </c>
      <c r="E55">
        <f>D1_MAYO[[#This Row],[RECUPERO]]/VLOOKUP(D1_MAYO[[#This Row],[SUPER]],D2_MAYO[#All],2,0)</f>
        <v>0.76733846153846152</v>
      </c>
      <c r="F55" t="str">
        <f>D1_MAYO[[#This Row],[SUPER]]</f>
        <v>JORDAN</v>
      </c>
      <c r="L55">
        <v>2</v>
      </c>
      <c r="M55" s="1">
        <f t="shared" si="1"/>
        <v>0.37126307692307692</v>
      </c>
      <c r="N55" t="str" cm="1">
        <f t="array" ref="N55">IFERROR(_xlfn.IFS(M55&gt;100%,"&gt;100%",AND(M55&lt;100%,M55&gt;70%),"&gt;70%",AND(M55&lt;70%,M55&gt;40%),"&gt;40%",AND(M55&lt;40%,M55&gt;0%),"&gt;0%"),"")</f>
        <v>&gt;0%</v>
      </c>
      <c r="O55" t="str">
        <f t="shared" si="2"/>
        <v>ANTHONY TORRES</v>
      </c>
    </row>
    <row r="56" spans="1:15" x14ac:dyDescent="0.25">
      <c r="A56" t="s">
        <v>5</v>
      </c>
      <c r="B56" t="str">
        <f t="shared" si="0"/>
        <v>NATALIA MARIN</v>
      </c>
      <c r="C56" t="s">
        <v>79</v>
      </c>
      <c r="D56">
        <v>7550</v>
      </c>
      <c r="E56">
        <f>D1_MAYO[[#This Row],[RECUPERO]]/VLOOKUP(D1_MAYO[[#This Row],[SUPER]],D2_MAYO[#All],2,0)</f>
        <v>0.11615384615384615</v>
      </c>
      <c r="F56" t="str">
        <f>D1_MAYO[[#This Row],[SUPER]]</f>
        <v>JORDAN</v>
      </c>
      <c r="L56">
        <v>3</v>
      </c>
      <c r="M56" s="1">
        <f t="shared" si="1"/>
        <v>7.6923076923076927E-3</v>
      </c>
      <c r="N56" t="str" cm="1">
        <f t="array" ref="N56">IFERROR(_xlfn.IFS(M56&gt;100%,"&gt;100%",AND(M56&lt;100%,M56&gt;70%),"&gt;70%",AND(M56&lt;70%,M56&gt;40%),"&gt;40%",AND(M56&lt;40%,M56&gt;0%),"&gt;0%"),"")</f>
        <v>&gt;0%</v>
      </c>
      <c r="O56" t="str">
        <f t="shared" si="2"/>
        <v>ANTHONY VICENTE</v>
      </c>
    </row>
    <row r="57" spans="1:15" x14ac:dyDescent="0.25">
      <c r="A57" t="s">
        <v>5</v>
      </c>
      <c r="B57" t="str">
        <f t="shared" si="0"/>
        <v/>
      </c>
      <c r="E57">
        <f>D1_MAYO[[#This Row],[RECUPERO]]/VLOOKUP(D1_MAYO[[#This Row],[SUPER]],D2_MAYO[#All],2,0)</f>
        <v>0</v>
      </c>
      <c r="F57" t="str">
        <f>D1_MAYO[[#This Row],[SUPER]]</f>
        <v>JORDAN</v>
      </c>
      <c r="L57">
        <v>4</v>
      </c>
      <c r="M57" s="1">
        <f t="shared" si="1"/>
        <v>0.57967999999999997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2"/>
        <v>AURORA FAUSTOR</v>
      </c>
    </row>
    <row r="58" spans="1:15" x14ac:dyDescent="0.25">
      <c r="A58" t="s">
        <v>5</v>
      </c>
      <c r="B58" t="str">
        <f t="shared" si="0"/>
        <v/>
      </c>
      <c r="E58">
        <f>D1_MAYO[[#This Row],[RECUPERO]]/VLOOKUP(D1_MAYO[[#This Row],[SUPER]],D2_MAYO[#All],2,0)</f>
        <v>0</v>
      </c>
      <c r="F58" t="str">
        <f>D1_MAYO[[#This Row],[SUPER]]</f>
        <v>JORDAN</v>
      </c>
      <c r="L58">
        <v>5</v>
      </c>
      <c r="M58" s="1">
        <f t="shared" si="1"/>
        <v>0.4150307692307692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2"/>
        <v>ERIKA VILLAR</v>
      </c>
    </row>
    <row r="59" spans="1:15" x14ac:dyDescent="0.25">
      <c r="A59" t="s">
        <v>5</v>
      </c>
      <c r="B59" t="str">
        <f t="shared" si="0"/>
        <v/>
      </c>
      <c r="E59">
        <f>D1_MAYO[[#This Row],[RECUPERO]]/VLOOKUP(D1_MAYO[[#This Row],[SUPER]],D2_MAYO[#All],2,0)</f>
        <v>0</v>
      </c>
      <c r="F59" t="str">
        <f>D1_MAYO[[#This Row],[SUPER]]</f>
        <v>JORDAN</v>
      </c>
      <c r="L59">
        <v>6</v>
      </c>
      <c r="M59" s="1">
        <f t="shared" si="1"/>
        <v>0.96973846153846155</v>
      </c>
      <c r="N59" t="str" cm="1">
        <f t="array" ref="N59">IFERROR(_xlfn.IFS(M59&gt;100%,"&gt;100%",AND(M59&lt;100%,M59&gt;70%),"&gt;70%",AND(M59&lt;70%,M59&gt;40%),"&gt;40%",AND(M59&lt;40%,M59&gt;0%),"&gt;0%"),"")</f>
        <v>&gt;70%</v>
      </c>
      <c r="O59" t="str">
        <f t="shared" si="2"/>
        <v>GILBERTO PURIZACA</v>
      </c>
    </row>
    <row r="60" spans="1:15" x14ac:dyDescent="0.25">
      <c r="A60" t="s">
        <v>5</v>
      </c>
      <c r="B60" t="str">
        <f t="shared" si="0"/>
        <v/>
      </c>
      <c r="E60">
        <f>D1_MAYO[[#This Row],[RECUPERO]]/VLOOKUP(D1_MAYO[[#This Row],[SUPER]],D2_MAYO[#All],2,0)</f>
        <v>0</v>
      </c>
      <c r="F60" t="str">
        <f>D1_MAYO[[#This Row],[SUPER]]</f>
        <v>JORDAN</v>
      </c>
      <c r="L60">
        <v>7</v>
      </c>
      <c r="M60" s="1">
        <f t="shared" si="1"/>
        <v>1.2213384615384615</v>
      </c>
      <c r="N60" t="str" cm="1">
        <f t="array" ref="N60">IFERROR(_xlfn.IFS(M60&gt;100%,"&gt;100%",AND(M60&lt;100%,M60&gt;70%),"&gt;70%",AND(M60&lt;70%,M60&gt;40%),"&gt;40%",AND(M60&lt;40%,M60&gt;0%),"&gt;0%"),"")</f>
        <v>&gt;100%</v>
      </c>
      <c r="O60" t="str">
        <f t="shared" si="2"/>
        <v>LUCERO JORDAN</v>
      </c>
    </row>
    <row r="61" spans="1:15" x14ac:dyDescent="0.25">
      <c r="A61" t="s">
        <v>5</v>
      </c>
      <c r="B61" t="str">
        <f t="shared" si="0"/>
        <v/>
      </c>
      <c r="E61">
        <f>D1_MAYO[[#This Row],[RECUPERO]]/VLOOKUP(D1_MAYO[[#This Row],[SUPER]],D2_MAYO[#All],2,0)</f>
        <v>0</v>
      </c>
      <c r="F61" t="str">
        <f>D1_MAYO[[#This Row],[SUPER]]</f>
        <v>JORDAN</v>
      </c>
      <c r="L61">
        <v>8</v>
      </c>
      <c r="M61" s="1">
        <f t="shared" si="1"/>
        <v>0.76733846153846152</v>
      </c>
      <c r="N61" t="str" cm="1">
        <f t="array" ref="N61">IFERROR(_xlfn.IFS(M61&gt;100%,"&gt;100%",AND(M61&lt;100%,M61&gt;70%),"&gt;70%",AND(M61&lt;70%,M61&gt;40%),"&gt;40%",AND(M61&lt;40%,M61&gt;0%),"&gt;0%"),"")</f>
        <v>&gt;70%</v>
      </c>
      <c r="O61" t="str">
        <f t="shared" si="2"/>
        <v>MERLY CORONEL</v>
      </c>
    </row>
    <row r="62" spans="1:15" x14ac:dyDescent="0.25">
      <c r="A62" t="s">
        <v>5</v>
      </c>
      <c r="B62" t="str">
        <f t="shared" si="0"/>
        <v/>
      </c>
      <c r="E62">
        <f>D1_MAYO[[#This Row],[RECUPERO]]/VLOOKUP(D1_MAYO[[#This Row],[SUPER]],D2_MAYO[#All],2,0)</f>
        <v>0</v>
      </c>
      <c r="F62" t="str">
        <f>D1_MAYO[[#This Row],[SUPER]]</f>
        <v>JORDAN</v>
      </c>
      <c r="L62">
        <v>9</v>
      </c>
      <c r="M62" s="1">
        <f t="shared" si="1"/>
        <v>0.11615384615384615</v>
      </c>
      <c r="N62" t="str" cm="1">
        <f t="array" ref="N62">IFERROR(_xlfn.IFS(M62&gt;100%,"&gt;100%",AND(M62&lt;100%,M62&gt;70%),"&gt;70%",AND(M62&lt;70%,M62&gt;40%),"&gt;40%",AND(M62&lt;40%,M62&gt;0%),"&gt;0%"),"")</f>
        <v>&gt;0%</v>
      </c>
      <c r="O62" t="str">
        <f t="shared" si="2"/>
        <v>NATALIA MARIN</v>
      </c>
    </row>
    <row r="63" spans="1:15" x14ac:dyDescent="0.25">
      <c r="A63" t="s">
        <v>6</v>
      </c>
      <c r="B63" t="str">
        <f t="shared" si="0"/>
        <v>ALEIDITH GUEVARA</v>
      </c>
      <c r="C63" t="s">
        <v>18</v>
      </c>
      <c r="D63">
        <v>10450</v>
      </c>
      <c r="E63">
        <f>D1_MAYO[[#This Row],[RECUPERO]]/VLOOKUP(D1_MAYO[[#This Row],[SUPER]],D2_MAYO[#All],2,0)</f>
        <v>0.40192307692307694</v>
      </c>
      <c r="F63" t="str">
        <f>D1_MAYO[[#This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</row>
    <row r="64" spans="1:15" x14ac:dyDescent="0.25">
      <c r="A64" t="s">
        <v>6</v>
      </c>
      <c r="B64" t="str">
        <f t="shared" si="0"/>
        <v>CARMEN PUMA</v>
      </c>
      <c r="C64" t="s">
        <v>19</v>
      </c>
      <c r="D64">
        <v>17640</v>
      </c>
      <c r="E64">
        <f>D1_MAYO[[#This Row],[RECUPERO]]/VLOOKUP(D1_MAYO[[#This Row],[SUPER]],D2_MAYO[#All],2,0)</f>
        <v>0.67846153846153845</v>
      </c>
      <c r="F64" t="str">
        <f>D1_MAYO[[#This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</row>
    <row r="65" spans="1:15" x14ac:dyDescent="0.25">
      <c r="A65" t="s">
        <v>6</v>
      </c>
      <c r="B65" t="str">
        <f t="shared" si="0"/>
        <v>DAVID SANCHEZ</v>
      </c>
      <c r="C65" t="s">
        <v>81</v>
      </c>
      <c r="D65">
        <v>10694</v>
      </c>
      <c r="E65">
        <f>D1_MAYO[[#This Row],[RECUPERO]]/VLOOKUP(D1_MAYO[[#This Row],[SUPER]],D2_MAYO[#All],2,0)</f>
        <v>0.41130769230769232</v>
      </c>
      <c r="F65" t="str">
        <f>D1_MAYO[[#This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</row>
    <row r="66" spans="1:15" x14ac:dyDescent="0.25">
      <c r="A66" t="s">
        <v>6</v>
      </c>
      <c r="B66" t="str">
        <f t="shared" si="0"/>
        <v>FRANK PACORA</v>
      </c>
      <c r="C66" t="s">
        <v>132</v>
      </c>
      <c r="D66">
        <v>27975</v>
      </c>
      <c r="E66">
        <f>D1_MAYO[[#This Row],[RECUPERO]]/VLOOKUP(D1_MAYO[[#This Row],[SUPER]],D2_MAYO[#All],2,0)</f>
        <v>1.0759615384615384</v>
      </c>
      <c r="F66" t="str">
        <f>D1_MAYO[[#This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</row>
    <row r="67" spans="1:15" x14ac:dyDescent="0.25">
      <c r="A67" t="s">
        <v>6</v>
      </c>
      <c r="B67" t="str">
        <f t="shared" si="0"/>
        <v>GINA HUAMANI</v>
      </c>
      <c r="C67" t="s">
        <v>44</v>
      </c>
      <c r="D67">
        <v>312</v>
      </c>
      <c r="E67">
        <f>D1_MAYO[[#This Row],[RECUPERO]]/VLOOKUP(D1_MAYO[[#This Row],[SUPER]],D2_MAYO[#All],2,0)</f>
        <v>1.2E-2</v>
      </c>
      <c r="F67" t="str">
        <f>D1_MAYO[[#This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</row>
    <row r="68" spans="1:15" x14ac:dyDescent="0.25">
      <c r="A68" t="s">
        <v>6</v>
      </c>
      <c r="B68" t="str">
        <f t="shared" ref="B68:B122" si="3">TRIM(C68)</f>
        <v>JIMENA MEDINA</v>
      </c>
      <c r="C68" t="s">
        <v>37</v>
      </c>
      <c r="D68">
        <v>3939</v>
      </c>
      <c r="E68">
        <f>D1_MAYO[[#This Row],[RECUPERO]]/VLOOKUP(D1_MAYO[[#This Row],[SUPER]],D2_MAYO[#All],2,0)</f>
        <v>0.1515</v>
      </c>
      <c r="F68" t="str">
        <f>D1_MAYO[[#This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</row>
    <row r="69" spans="1:15" x14ac:dyDescent="0.25">
      <c r="A69" t="s">
        <v>6</v>
      </c>
      <c r="B69" t="str">
        <f t="shared" si="3"/>
        <v>JUAN LOZA</v>
      </c>
      <c r="C69" t="s">
        <v>35</v>
      </c>
      <c r="D69">
        <v>4375</v>
      </c>
      <c r="E69">
        <f>D1_MAYO[[#This Row],[RECUPERO]]/VLOOKUP(D1_MAYO[[#This Row],[SUPER]],D2_MAYO[#All],2,0)</f>
        <v>0.16826923076923078</v>
      </c>
      <c r="F69" t="str">
        <f>D1_MAYO[[#This Row],[SUPER]]</f>
        <v>KENNETH</v>
      </c>
      <c r="L69">
        <v>1</v>
      </c>
      <c r="M69" s="1">
        <f t="shared" si="1"/>
        <v>0.40192307692307694</v>
      </c>
      <c r="N69" t="str" cm="1">
        <f t="array" ref="N69">IFERROR(_xlfn.IFS(M69&gt;100%,"&gt;100%",AND(M69&lt;100%,M69&gt;70%),"&gt;70%",AND(M69&lt;70%,M69&gt;40%),"&gt;40%",AND(M69&lt;40%,M69&gt;0%),"&gt;0%"),"")</f>
        <v>&gt;40%</v>
      </c>
      <c r="O69" t="str">
        <f t="shared" si="2"/>
        <v>ALEIDITH GUEVARA</v>
      </c>
    </row>
    <row r="70" spans="1:15" x14ac:dyDescent="0.25">
      <c r="A70" t="s">
        <v>6</v>
      </c>
      <c r="B70" t="str">
        <f t="shared" si="3"/>
        <v>KIARA CANEPA</v>
      </c>
      <c r="C70" t="s">
        <v>50</v>
      </c>
      <c r="D70">
        <v>1190</v>
      </c>
      <c r="E70">
        <f>D1_MAYO[[#This Row],[RECUPERO]]/VLOOKUP(D1_MAYO[[#This Row],[SUPER]],D2_MAYO[#All],2,0)</f>
        <v>4.576923076923077E-2</v>
      </c>
      <c r="F70" t="str">
        <f>D1_MAYO[[#This Row],[SUPER]]</f>
        <v>KENNETH</v>
      </c>
      <c r="L70">
        <v>2</v>
      </c>
      <c r="M70" s="1">
        <f t="shared" si="1"/>
        <v>0.67846153846153845</v>
      </c>
      <c r="N70" t="str" cm="1">
        <f t="array" ref="N70">IFERROR(_xlfn.IFS(M70&gt;100%,"&gt;100%",AND(M70&lt;100%,M70&gt;70%),"&gt;70%",AND(M70&lt;70%,M70&gt;40%),"&gt;40%",AND(M70&lt;40%,M70&gt;0%),"&gt;0%"),"")</f>
        <v>&gt;40%</v>
      </c>
      <c r="O70" t="str">
        <f t="shared" si="2"/>
        <v>CARMEN PUMA</v>
      </c>
    </row>
    <row r="71" spans="1:15" x14ac:dyDescent="0.25">
      <c r="A71" t="s">
        <v>6</v>
      </c>
      <c r="B71" t="str">
        <f t="shared" si="3"/>
        <v>LUIS CENTENO</v>
      </c>
      <c r="C71" t="s">
        <v>31</v>
      </c>
      <c r="D71">
        <v>13880</v>
      </c>
      <c r="E71">
        <f>D1_MAYO[[#This Row],[RECUPERO]]/VLOOKUP(D1_MAYO[[#This Row],[SUPER]],D2_MAYO[#All],2,0)</f>
        <v>0.53384615384615386</v>
      </c>
      <c r="F71" t="str">
        <f>D1_MAYO[[#This Row],[SUPER]]</f>
        <v>KENNETH</v>
      </c>
      <c r="L71">
        <v>3</v>
      </c>
      <c r="M71" s="1">
        <f t="shared" si="1"/>
        <v>0.41130769230769232</v>
      </c>
      <c r="N71" t="str" cm="1">
        <f t="array" ref="N71">IFERROR(_xlfn.IFS(M71&gt;100%,"&gt;100%",AND(M71&lt;100%,M71&gt;70%),"&gt;70%",AND(M71&lt;70%,M71&gt;40%),"&gt;40%",AND(M71&lt;40%,M71&gt;0%),"&gt;0%"),"")</f>
        <v>&gt;40%</v>
      </c>
      <c r="O71" t="str">
        <f t="shared" si="2"/>
        <v>DAVID SANCHEZ</v>
      </c>
    </row>
    <row r="72" spans="1:15" x14ac:dyDescent="0.25">
      <c r="A72" t="s">
        <v>6</v>
      </c>
      <c r="B72" t="str">
        <f t="shared" si="3"/>
        <v>MARCO SARMIENTO</v>
      </c>
      <c r="C72" t="s">
        <v>140</v>
      </c>
      <c r="D72">
        <v>16820</v>
      </c>
      <c r="E72">
        <f>D1_MAYO[[#This Row],[RECUPERO]]/VLOOKUP(D1_MAYO[[#This Row],[SUPER]],D2_MAYO[#All],2,0)</f>
        <v>0.64692307692307693</v>
      </c>
      <c r="F72" t="str">
        <f>D1_MAYO[[#This Row],[SUPER]]</f>
        <v>KENNETH</v>
      </c>
      <c r="L72">
        <v>4</v>
      </c>
      <c r="M72" s="1">
        <f t="shared" si="1"/>
        <v>1.0759615384615384</v>
      </c>
      <c r="N72" t="str" cm="1">
        <f t="array" ref="N72">IFERROR(_xlfn.IFS(M72&gt;100%,"&gt;100%",AND(M72&lt;100%,M72&gt;70%),"&gt;70%",AND(M72&lt;70%,M72&gt;40%),"&gt;40%",AND(M72&lt;40%,M72&gt;0%),"&gt;0%"),"")</f>
        <v>&gt;100%</v>
      </c>
      <c r="O72" t="str">
        <f t="shared" si="2"/>
        <v>FRANK PACORA</v>
      </c>
    </row>
    <row r="73" spans="1:15" x14ac:dyDescent="0.25">
      <c r="A73" t="s">
        <v>6</v>
      </c>
      <c r="B73" t="str">
        <f t="shared" si="3"/>
        <v>MEDALITH NESTARES</v>
      </c>
      <c r="C73" t="s">
        <v>36</v>
      </c>
      <c r="D73">
        <v>9342</v>
      </c>
      <c r="E73">
        <f>D1_MAYO[[#This Row],[RECUPERO]]/VLOOKUP(D1_MAYO[[#This Row],[SUPER]],D2_MAYO[#All],2,0)</f>
        <v>0.35930769230769233</v>
      </c>
      <c r="F73" t="str">
        <f>D1_MAYO[[#This Row],[SUPER]]</f>
        <v>KENNETH</v>
      </c>
      <c r="L73">
        <v>5</v>
      </c>
      <c r="M73" s="1">
        <f t="shared" si="1"/>
        <v>1.2E-2</v>
      </c>
      <c r="N73" t="str" cm="1">
        <f t="array" ref="N73">IFERROR(_xlfn.IFS(M73&gt;100%,"&gt;100%",AND(M73&lt;100%,M73&gt;70%),"&gt;70%",AND(M73&lt;70%,M73&gt;40%),"&gt;40%",AND(M73&lt;40%,M73&gt;0%),"&gt;0%"),"")</f>
        <v>&gt;0%</v>
      </c>
      <c r="O73" t="str">
        <f t="shared" si="2"/>
        <v>GINA HUAMANI</v>
      </c>
    </row>
    <row r="74" spans="1:15" x14ac:dyDescent="0.25">
      <c r="A74" t="s">
        <v>6</v>
      </c>
      <c r="B74" t="str">
        <f t="shared" si="3"/>
        <v>STWUAR MACURI</v>
      </c>
      <c r="C74" t="s">
        <v>34</v>
      </c>
      <c r="D74">
        <v>47420</v>
      </c>
      <c r="E74">
        <f>D1_MAYO[[#This Row],[RECUPERO]]/VLOOKUP(D1_MAYO[[#This Row],[SUPER]],D2_MAYO[#All],2,0)</f>
        <v>1.8238461538461539</v>
      </c>
      <c r="F74" t="str">
        <f>D1_MAYO[[#This Row],[SUPER]]</f>
        <v>KENNETH</v>
      </c>
      <c r="L74">
        <v>6</v>
      </c>
      <c r="M74" s="1">
        <f t="shared" ref="M74:M128" si="4">E68</f>
        <v>0.1515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ref="O74:O128" si="5">B68</f>
        <v>JIMENA MEDINA</v>
      </c>
    </row>
    <row r="75" spans="1:15" x14ac:dyDescent="0.25">
      <c r="A75" t="s">
        <v>6</v>
      </c>
      <c r="B75" t="str">
        <f t="shared" si="3"/>
        <v/>
      </c>
      <c r="E75">
        <f>D1_MAYO[[#This Row],[RECUPERO]]/VLOOKUP(D1_MAYO[[#This Row],[SUPER]],D2_MAYO[#All],2,0)</f>
        <v>0</v>
      </c>
      <c r="F75" t="str">
        <f>D1_MAYO[[#This Row],[SUPER]]</f>
        <v>KENNETH</v>
      </c>
      <c r="L75">
        <v>7</v>
      </c>
      <c r="M75" s="1">
        <f t="shared" si="4"/>
        <v>0.16826923076923078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5"/>
        <v>JUAN LOZA</v>
      </c>
    </row>
    <row r="76" spans="1:15" x14ac:dyDescent="0.25">
      <c r="A76" t="s">
        <v>6</v>
      </c>
      <c r="B76" t="str">
        <f t="shared" si="3"/>
        <v/>
      </c>
      <c r="E76">
        <f>D1_MAYO[[#This Row],[RECUPERO]]/VLOOKUP(D1_MAYO[[#This Row],[SUPER]],D2_MAYO[#All],2,0)</f>
        <v>0</v>
      </c>
      <c r="F76" t="str">
        <f>D1_MAYO[[#This Row],[SUPER]]</f>
        <v>KENNETH</v>
      </c>
      <c r="L76">
        <v>8</v>
      </c>
      <c r="M76" s="1">
        <f t="shared" si="4"/>
        <v>4.576923076923077E-2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5"/>
        <v>KIARA CANEPA</v>
      </c>
    </row>
    <row r="77" spans="1:15" x14ac:dyDescent="0.25">
      <c r="A77" t="s">
        <v>6</v>
      </c>
      <c r="B77" t="str">
        <f t="shared" si="3"/>
        <v/>
      </c>
      <c r="E77">
        <f>D1_MAYO[[#This Row],[RECUPERO]]/VLOOKUP(D1_MAYO[[#This Row],[SUPER]],D2_MAYO[#All],2,0)</f>
        <v>0</v>
      </c>
      <c r="F77" t="str">
        <f>D1_MAYO[[#This Row],[SUPER]]</f>
        <v>KENNETH</v>
      </c>
      <c r="L77">
        <v>9</v>
      </c>
      <c r="M77" s="1">
        <f t="shared" si="4"/>
        <v>0.53384615384615386</v>
      </c>
      <c r="N77" t="str" cm="1">
        <f t="array" ref="N77">IFERROR(_xlfn.IFS(M77&gt;100%,"&gt;100%",AND(M77&lt;100%,M77&gt;70%),"&gt;70%",AND(M77&lt;70%,M77&gt;40%),"&gt;40%",AND(M77&lt;40%,M77&gt;0%),"&gt;0%"),"")</f>
        <v>&gt;40%</v>
      </c>
      <c r="O77" t="str">
        <f t="shared" si="5"/>
        <v>LUIS CENTENO</v>
      </c>
    </row>
    <row r="78" spans="1:15" x14ac:dyDescent="0.25">
      <c r="A78" t="s">
        <v>166</v>
      </c>
      <c r="B78" t="str">
        <f t="shared" si="3"/>
        <v>ANDREA ALEJOS</v>
      </c>
      <c r="C78" t="s">
        <v>141</v>
      </c>
      <c r="D78">
        <v>700</v>
      </c>
      <c r="E78">
        <f>D1_MAYO[[#This Row],[RECUPERO]]/VLOOKUP(D1_MAYO[[#This Row],[SUPER]],D2_MAYO[#All],2,0)</f>
        <v>3.5000000000000003E-2</v>
      </c>
      <c r="F78" t="str">
        <f>D1_MAYO[[#This Row],[SUPER]]</f>
        <v>JOHAN</v>
      </c>
      <c r="L78">
        <v>10</v>
      </c>
      <c r="M78" s="1">
        <f t="shared" si="4"/>
        <v>0.64692307692307693</v>
      </c>
      <c r="N78" t="str" cm="1">
        <f t="array" ref="N78">IFERROR(_xlfn.IFS(M78&gt;100%,"&gt;100%",AND(M78&lt;100%,M78&gt;70%),"&gt;70%",AND(M78&lt;70%,M78&gt;40%),"&gt;40%",AND(M78&lt;40%,M78&gt;0%),"&gt;0%"),"")</f>
        <v>&gt;40%</v>
      </c>
      <c r="O78" t="str">
        <f t="shared" si="5"/>
        <v>MARCO SARMIENTO</v>
      </c>
    </row>
    <row r="79" spans="1:15" x14ac:dyDescent="0.25">
      <c r="A79" t="s">
        <v>166</v>
      </c>
      <c r="B79" t="str">
        <f t="shared" si="3"/>
        <v>DANIEL ZAPATA</v>
      </c>
      <c r="C79" t="s">
        <v>80</v>
      </c>
      <c r="D79">
        <v>33502</v>
      </c>
      <c r="E79">
        <f>D1_MAYO[[#This Row],[RECUPERO]]/VLOOKUP(D1_MAYO[[#This Row],[SUPER]],D2_MAYO[#All],2,0)</f>
        <v>1.6751</v>
      </c>
      <c r="F79" t="str">
        <f>D1_MAYO[[#This Row],[SUPER]]</f>
        <v>JOHAN</v>
      </c>
      <c r="L79">
        <v>11</v>
      </c>
      <c r="M79" s="1">
        <f t="shared" si="4"/>
        <v>0.35930769230769233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5"/>
        <v>MEDALITH NESTARES</v>
      </c>
    </row>
    <row r="80" spans="1:15" x14ac:dyDescent="0.25">
      <c r="A80" t="s">
        <v>166</v>
      </c>
      <c r="B80" t="str">
        <f t="shared" si="3"/>
        <v>GABRIELA APONTE</v>
      </c>
      <c r="C80" t="s">
        <v>27</v>
      </c>
      <c r="D80">
        <v>17811</v>
      </c>
      <c r="E80">
        <f>D1_MAYO[[#This Row],[RECUPERO]]/VLOOKUP(D1_MAYO[[#This Row],[SUPER]],D2_MAYO[#All],2,0)</f>
        <v>0.89054999999999995</v>
      </c>
      <c r="F80" t="str">
        <f>D1_MAYO[[#This Row],[SUPER]]</f>
        <v>JOHAN</v>
      </c>
      <c r="L80">
        <v>12</v>
      </c>
      <c r="M80" s="1">
        <f t="shared" si="4"/>
        <v>1.8238461538461539</v>
      </c>
      <c r="N80" t="str" cm="1">
        <f t="array" ref="N80">IFERROR(_xlfn.IFS(M80&gt;100%,"&gt;100%",AND(M80&lt;100%,M80&gt;70%),"&gt;70%",AND(M80&lt;70%,M80&gt;40%),"&gt;40%",AND(M80&lt;40%,M80&gt;0%),"&gt;0%"),"")</f>
        <v>&gt;100%</v>
      </c>
      <c r="O80" t="str">
        <f t="shared" si="5"/>
        <v>STWUAR MACURI</v>
      </c>
    </row>
    <row r="81" spans="1:15" x14ac:dyDescent="0.25">
      <c r="A81" t="s">
        <v>166</v>
      </c>
      <c r="B81" t="str">
        <f t="shared" si="3"/>
        <v>JHOVANA TORRES</v>
      </c>
      <c r="C81" t="s">
        <v>20</v>
      </c>
      <c r="D81">
        <v>20257.099999999999</v>
      </c>
      <c r="E81">
        <f>D1_MAYO[[#This Row],[RECUPERO]]/VLOOKUP(D1_MAYO[[#This Row],[SUPER]],D2_MAYO[#All],2,0)</f>
        <v>1.0128549999999998</v>
      </c>
      <c r="F81" t="str">
        <f>D1_MAYO[[#This Row],[SUPER]]</f>
        <v>JOHAN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</row>
    <row r="82" spans="1:15" x14ac:dyDescent="0.25">
      <c r="A82" t="s">
        <v>166</v>
      </c>
      <c r="B82" t="str">
        <f t="shared" si="3"/>
        <v>LINDA TUESTA</v>
      </c>
      <c r="C82" t="s">
        <v>33</v>
      </c>
      <c r="D82">
        <v>8802.4</v>
      </c>
      <c r="E82">
        <f>D1_MAYO[[#This Row],[RECUPERO]]/VLOOKUP(D1_MAYO[[#This Row],[SUPER]],D2_MAYO[#All],2,0)</f>
        <v>0.44011999999999996</v>
      </c>
      <c r="F82" t="str">
        <f>D1_MAYO[[#This Row],[SUPER]]</f>
        <v>JOHAN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</row>
    <row r="83" spans="1:15" x14ac:dyDescent="0.25">
      <c r="A83" t="s">
        <v>166</v>
      </c>
      <c r="B83" t="str">
        <f t="shared" si="3"/>
        <v>MARIA HUARCAYA</v>
      </c>
      <c r="C83" t="s">
        <v>38</v>
      </c>
      <c r="D83">
        <v>1050</v>
      </c>
      <c r="E83">
        <f>D1_MAYO[[#This Row],[RECUPERO]]/VLOOKUP(D1_MAYO[[#This Row],[SUPER]],D2_MAYO[#All],2,0)</f>
        <v>5.2499999999999998E-2</v>
      </c>
      <c r="F83" t="str">
        <f>D1_MAYO[[#This Row],[SUPER]]</f>
        <v>JOHAN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</row>
    <row r="84" spans="1:15" x14ac:dyDescent="0.25">
      <c r="A84" t="s">
        <v>166</v>
      </c>
      <c r="B84" t="str">
        <f t="shared" si="3"/>
        <v>NARDIA URPIS</v>
      </c>
      <c r="C84" t="s">
        <v>74</v>
      </c>
      <c r="D84">
        <v>7207.49</v>
      </c>
      <c r="E84">
        <f>D1_MAYO[[#This Row],[RECUPERO]]/VLOOKUP(D1_MAYO[[#This Row],[SUPER]],D2_MAYO[#All],2,0)</f>
        <v>0.36037449999999999</v>
      </c>
      <c r="F84" t="str">
        <f>D1_MAYO[[#This Row],[SUPER]]</f>
        <v>JOHAN</v>
      </c>
      <c r="L84">
        <v>1</v>
      </c>
      <c r="M84" s="1">
        <f t="shared" si="4"/>
        <v>3.5000000000000003E-2</v>
      </c>
      <c r="N84" t="str" cm="1">
        <f t="array" ref="N84">IFERROR(_xlfn.IFS(M84&gt;100%,"&gt;100%",AND(M84&lt;100%,M84&gt;70%),"&gt;70%",AND(M84&lt;70%,M84&gt;40%),"&gt;40%",AND(M84&lt;40%,M84&gt;0%),"&gt;0%"),"")</f>
        <v>&gt;0%</v>
      </c>
      <c r="O84" t="str">
        <f t="shared" si="5"/>
        <v>ANDREA ALEJOS</v>
      </c>
    </row>
    <row r="85" spans="1:15" x14ac:dyDescent="0.25">
      <c r="A85" t="s">
        <v>166</v>
      </c>
      <c r="B85" t="str">
        <f t="shared" si="3"/>
        <v>YENNY INGA</v>
      </c>
      <c r="C85" t="s">
        <v>39</v>
      </c>
      <c r="D85">
        <v>15360</v>
      </c>
      <c r="E85">
        <f>D1_MAYO[[#This Row],[RECUPERO]]/VLOOKUP(D1_MAYO[[#This Row],[SUPER]],D2_MAYO[#All],2,0)</f>
        <v>0.76800000000000002</v>
      </c>
      <c r="F85" t="str">
        <f>D1_MAYO[[#This Row],[SUPER]]</f>
        <v>JOHAN</v>
      </c>
      <c r="L85">
        <v>2</v>
      </c>
      <c r="M85" s="1">
        <f t="shared" si="4"/>
        <v>1.6751</v>
      </c>
      <c r="N85" t="str" cm="1">
        <f t="array" ref="N85">IFERROR(_xlfn.IFS(M85&gt;100%,"&gt;100%",AND(M85&lt;100%,M85&gt;70%),"&gt;70%",AND(M85&lt;70%,M85&gt;40%),"&gt;40%",AND(M85&lt;40%,M85&gt;0%),"&gt;0%"),"")</f>
        <v>&gt;100%</v>
      </c>
      <c r="O85" t="str">
        <f t="shared" si="5"/>
        <v>DANIEL ZAPATA</v>
      </c>
    </row>
    <row r="86" spans="1:15" x14ac:dyDescent="0.25">
      <c r="A86" t="s">
        <v>166</v>
      </c>
      <c r="B86" t="str">
        <f t="shared" si="3"/>
        <v>YEYMY HUERTA</v>
      </c>
      <c r="C86" t="s">
        <v>56</v>
      </c>
      <c r="D86">
        <v>4444</v>
      </c>
      <c r="E86">
        <f>D1_MAYO[[#This Row],[RECUPERO]]/VLOOKUP(D1_MAYO[[#This Row],[SUPER]],D2_MAYO[#All],2,0)</f>
        <v>0.22220000000000001</v>
      </c>
      <c r="F86" t="str">
        <f>D1_MAYO[[#This Row],[SUPER]]</f>
        <v>JOHAN</v>
      </c>
      <c r="L86">
        <v>3</v>
      </c>
      <c r="M86" s="1">
        <f t="shared" si="4"/>
        <v>0.89054999999999995</v>
      </c>
      <c r="N86" t="str" cm="1">
        <f t="array" ref="N86">IFERROR(_xlfn.IFS(M86&gt;100%,"&gt;100%",AND(M86&lt;100%,M86&gt;70%),"&gt;70%",AND(M86&lt;70%,M86&gt;40%),"&gt;40%",AND(M86&lt;40%,M86&gt;0%),"&gt;0%"),"")</f>
        <v>&gt;70%</v>
      </c>
      <c r="O86" t="str">
        <f t="shared" si="5"/>
        <v>GABRIELA APONTE</v>
      </c>
    </row>
    <row r="87" spans="1:15" x14ac:dyDescent="0.25">
      <c r="A87" t="s">
        <v>166</v>
      </c>
      <c r="B87" t="str">
        <f t="shared" si="3"/>
        <v/>
      </c>
      <c r="E87">
        <f>D1_MAYO[[#This Row],[RECUPERO]]/VLOOKUP(D1_MAYO[[#This Row],[SUPER]],D2_MAYO[#All],2,0)</f>
        <v>0</v>
      </c>
      <c r="F87" t="str">
        <f>D1_MAYO[[#This Row],[SUPER]]</f>
        <v>JOHAN</v>
      </c>
      <c r="L87">
        <v>4</v>
      </c>
      <c r="M87" s="1">
        <f t="shared" si="4"/>
        <v>1.0128549999999998</v>
      </c>
      <c r="N87" t="str" cm="1">
        <f t="array" ref="N87">IFERROR(_xlfn.IFS(M87&gt;100%,"&gt;100%",AND(M87&lt;100%,M87&gt;70%),"&gt;70%",AND(M87&lt;70%,M87&gt;40%),"&gt;40%",AND(M87&lt;40%,M87&gt;0%),"&gt;0%"),"")</f>
        <v>&gt;100%</v>
      </c>
      <c r="O87" t="str">
        <f t="shared" si="5"/>
        <v>JHOVANA TORRES</v>
      </c>
    </row>
    <row r="88" spans="1:15" x14ac:dyDescent="0.25">
      <c r="A88" t="s">
        <v>166</v>
      </c>
      <c r="B88" t="str">
        <f t="shared" si="3"/>
        <v/>
      </c>
      <c r="E88">
        <f>D1_MAYO[[#This Row],[RECUPERO]]/VLOOKUP(D1_MAYO[[#This Row],[SUPER]],D2_MAYO[#All],2,0)</f>
        <v>0</v>
      </c>
      <c r="F88" t="str">
        <f>D1_MAYO[[#This Row],[SUPER]]</f>
        <v>JOHAN</v>
      </c>
      <c r="L88">
        <v>5</v>
      </c>
      <c r="M88" s="1">
        <f t="shared" si="4"/>
        <v>0.44011999999999996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5"/>
        <v>LINDA TUESTA</v>
      </c>
    </row>
    <row r="89" spans="1:15" x14ac:dyDescent="0.25">
      <c r="A89" t="s">
        <v>166</v>
      </c>
      <c r="B89" t="str">
        <f t="shared" si="3"/>
        <v/>
      </c>
      <c r="E89">
        <f>D1_MAYO[[#This Row],[RECUPERO]]/VLOOKUP(D1_MAYO[[#This Row],[SUPER]],D2_MAYO[#All],2,0)</f>
        <v>0</v>
      </c>
      <c r="F89" t="str">
        <f>D1_MAYO[[#This Row],[SUPER]]</f>
        <v>JOHAN</v>
      </c>
      <c r="L89">
        <v>6</v>
      </c>
      <c r="M89" s="1">
        <f t="shared" si="4"/>
        <v>5.2499999999999998E-2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5"/>
        <v>MARIA HUARCAYA</v>
      </c>
    </row>
    <row r="90" spans="1:15" x14ac:dyDescent="0.25">
      <c r="A90" t="s">
        <v>166</v>
      </c>
      <c r="B90" t="str">
        <f t="shared" si="3"/>
        <v/>
      </c>
      <c r="E90">
        <f>D1_MAYO[[#This Row],[RECUPERO]]/VLOOKUP(D1_MAYO[[#This Row],[SUPER]],D2_MAYO[#All],2,0)</f>
        <v>0</v>
      </c>
      <c r="F90" t="str">
        <f>D1_MAYO[[#This Row],[SUPER]]</f>
        <v>JOHAN</v>
      </c>
      <c r="L90">
        <v>7</v>
      </c>
      <c r="M90" s="1">
        <f t="shared" si="4"/>
        <v>0.36037449999999999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5"/>
        <v>NARDIA URPIS</v>
      </c>
    </row>
    <row r="91" spans="1:15" x14ac:dyDescent="0.25">
      <c r="A91" t="s">
        <v>166</v>
      </c>
      <c r="B91" t="str">
        <f t="shared" si="3"/>
        <v/>
      </c>
      <c r="E91">
        <f>D1_MAYO[[#This Row],[RECUPERO]]/VLOOKUP(D1_MAYO[[#This Row],[SUPER]],D2_MAYO[#All],2,0)</f>
        <v>0</v>
      </c>
      <c r="F91" t="str">
        <f>D1_MAYO[[#This Row],[SUPER]]</f>
        <v>JOHAN</v>
      </c>
      <c r="L91">
        <v>8</v>
      </c>
      <c r="M91" s="1">
        <f t="shared" si="4"/>
        <v>0.76800000000000002</v>
      </c>
      <c r="N91" t="str" cm="1">
        <f t="array" ref="N91">IFERROR(_xlfn.IFS(M91&gt;100%,"&gt;100%",AND(M91&lt;100%,M91&gt;70%),"&gt;70%",AND(M91&lt;70%,M91&gt;40%),"&gt;40%",AND(M91&lt;40%,M91&gt;0%),"&gt;0%"),"")</f>
        <v>&gt;70%</v>
      </c>
      <c r="O91" t="str">
        <f t="shared" si="5"/>
        <v>YENNY INGA</v>
      </c>
    </row>
    <row r="92" spans="1:15" x14ac:dyDescent="0.25">
      <c r="A92" t="s">
        <v>166</v>
      </c>
      <c r="B92" t="str">
        <f t="shared" si="3"/>
        <v/>
      </c>
      <c r="E92">
        <f>D1_MAYO[[#This Row],[RECUPERO]]/VLOOKUP(D1_MAYO[[#This Row],[SUPER]],D2_MAYO[#All],2,0)</f>
        <v>0</v>
      </c>
      <c r="F92" t="str">
        <f>D1_MAYO[[#This Row],[SUPER]]</f>
        <v>JOHAN</v>
      </c>
      <c r="L92">
        <v>9</v>
      </c>
      <c r="M92" s="1">
        <f t="shared" si="4"/>
        <v>0.22220000000000001</v>
      </c>
      <c r="N92" t="str" cm="1">
        <f t="array" ref="N92">IFERROR(_xlfn.IFS(M92&gt;100%,"&gt;100%",AND(M92&lt;100%,M92&gt;70%),"&gt;70%",AND(M92&lt;70%,M92&gt;40%),"&gt;40%",AND(M92&lt;40%,M92&gt;0%),"&gt;0%"),"")</f>
        <v>&gt;0%</v>
      </c>
      <c r="O92" t="str">
        <f t="shared" si="5"/>
        <v>YEYMY HUERTA</v>
      </c>
    </row>
    <row r="93" spans="1:15" x14ac:dyDescent="0.25">
      <c r="A93" t="s">
        <v>8</v>
      </c>
      <c r="B93" t="str">
        <f t="shared" si="3"/>
        <v>ALEJANDRA AVILA</v>
      </c>
      <c r="C93" t="s">
        <v>21</v>
      </c>
      <c r="D93">
        <v>16140</v>
      </c>
      <c r="E93">
        <f>D1_MAYO[[#This Row],[RECUPERO]]/VLOOKUP(D1_MAYO[[#This Row],[SUPER]],D2_MAYO[#All],2,0)</f>
        <v>0.80700000000000005</v>
      </c>
      <c r="F93" t="str">
        <f>D1_MAYO[[#This Row],[SUPER]]</f>
        <v>BRYAN</v>
      </c>
      <c r="L93">
        <v>10</v>
      </c>
      <c r="M93" s="1">
        <f t="shared" si="4"/>
        <v>0</v>
      </c>
      <c r="N93" t="str" cm="1">
        <f t="array" ref="N93">IFERROR(_xlfn.IFS(M93&gt;100%,"&gt;100%",AND(M93&lt;100%,M93&gt;70%),"&gt;70%",AND(M93&lt;70%,M93&gt;40%),"&gt;40%",AND(M93&lt;40%,M93&gt;0%),"&gt;0%"),"")</f>
        <v/>
      </c>
      <c r="O93" t="str">
        <f t="shared" si="5"/>
        <v/>
      </c>
    </row>
    <row r="94" spans="1:15" x14ac:dyDescent="0.25">
      <c r="A94" t="s">
        <v>8</v>
      </c>
      <c r="B94" t="str">
        <f t="shared" si="3"/>
        <v>BRINA SOTO</v>
      </c>
      <c r="C94" t="s">
        <v>14</v>
      </c>
      <c r="D94">
        <v>29307</v>
      </c>
      <c r="E94">
        <f>D1_MAYO[[#This Row],[RECUPERO]]/VLOOKUP(D1_MAYO[[#This Row],[SUPER]],D2_MAYO[#All],2,0)</f>
        <v>1.4653499999999999</v>
      </c>
      <c r="F94" t="str">
        <f>D1_MAYO[[#This Row],[SUPER]]</f>
        <v>BRYAN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</row>
    <row r="95" spans="1:15" x14ac:dyDescent="0.25">
      <c r="A95" t="s">
        <v>8</v>
      </c>
      <c r="B95" t="str">
        <f t="shared" si="3"/>
        <v>CHRISTIAN ALVARADO</v>
      </c>
      <c r="C95" t="s">
        <v>41</v>
      </c>
      <c r="D95">
        <v>4564</v>
      </c>
      <c r="E95">
        <f>D1_MAYO[[#This Row],[RECUPERO]]/VLOOKUP(D1_MAYO[[#This Row],[SUPER]],D2_MAYO[#All],2,0)</f>
        <v>0.22819999999999999</v>
      </c>
      <c r="F95" t="str">
        <f>D1_MAYO[[#This Row],[SUPER]]</f>
        <v>BRYAN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</row>
    <row r="96" spans="1:15" x14ac:dyDescent="0.25">
      <c r="A96" t="s">
        <v>8</v>
      </c>
      <c r="B96" t="str">
        <f t="shared" si="3"/>
        <v>DARYL FERREL</v>
      </c>
      <c r="C96" t="s">
        <v>40</v>
      </c>
      <c r="D96">
        <v>10513</v>
      </c>
      <c r="E96">
        <f>D1_MAYO[[#This Row],[RECUPERO]]/VLOOKUP(D1_MAYO[[#This Row],[SUPER]],D2_MAYO[#All],2,0)</f>
        <v>0.52564999999999995</v>
      </c>
      <c r="F96" t="str">
        <f>D1_MAYO[[#This Row],[SUPER]]</f>
        <v>BRYAN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</row>
    <row r="97" spans="1:15" x14ac:dyDescent="0.25">
      <c r="A97" t="s">
        <v>8</v>
      </c>
      <c r="B97" t="str">
        <f t="shared" si="3"/>
        <v>FRANCO HUAMANI</v>
      </c>
      <c r="C97" t="s">
        <v>24</v>
      </c>
      <c r="D97">
        <v>12899.3</v>
      </c>
      <c r="E97">
        <f>D1_MAYO[[#This Row],[RECUPERO]]/VLOOKUP(D1_MAYO[[#This Row],[SUPER]],D2_MAYO[#All],2,0)</f>
        <v>0.64496500000000001</v>
      </c>
      <c r="F97" t="str">
        <f>D1_MAYO[[#This Row],[SUPER]]</f>
        <v>BRYAN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</row>
    <row r="98" spans="1:15" x14ac:dyDescent="0.25">
      <c r="A98" t="s">
        <v>8</v>
      </c>
      <c r="B98" t="str">
        <f t="shared" si="3"/>
        <v>HAROLD FLORES</v>
      </c>
      <c r="C98" t="s">
        <v>42</v>
      </c>
      <c r="D98">
        <v>7749.5</v>
      </c>
      <c r="E98">
        <f>D1_MAYO[[#This Row],[RECUPERO]]/VLOOKUP(D1_MAYO[[#This Row],[SUPER]],D2_MAYO[#All],2,0)</f>
        <v>0.38747500000000001</v>
      </c>
      <c r="F98" t="str">
        <f>D1_MAYO[[#This Row],[SUPER]]</f>
        <v>BRYAN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</row>
    <row r="99" spans="1:15" x14ac:dyDescent="0.25">
      <c r="A99" t="s">
        <v>8</v>
      </c>
      <c r="B99" t="str">
        <f t="shared" si="3"/>
        <v>ISABEL BEJARANO</v>
      </c>
      <c r="C99" t="s">
        <v>83</v>
      </c>
      <c r="D99">
        <v>18100.5</v>
      </c>
      <c r="E99">
        <f>D1_MAYO[[#This Row],[RECUPERO]]/VLOOKUP(D1_MAYO[[#This Row],[SUPER]],D2_MAYO[#All],2,0)</f>
        <v>0.90502499999999997</v>
      </c>
      <c r="F99" t="str">
        <f>D1_MAYO[[#This Row],[SUPER]]</f>
        <v>BRYAN</v>
      </c>
      <c r="L99">
        <v>1</v>
      </c>
      <c r="M99" s="1">
        <f t="shared" si="4"/>
        <v>0.80700000000000005</v>
      </c>
      <c r="N99" t="str" cm="1">
        <f t="array" ref="N99">IFERROR(_xlfn.IFS(M99&gt;100%,"&gt;100%",AND(M99&lt;100%,M99&gt;70%),"&gt;70%",AND(M99&lt;70%,M99&gt;40%),"&gt;40%",AND(M99&lt;40%,M99&gt;0%),"&gt;0%"),"")</f>
        <v>&gt;70%</v>
      </c>
      <c r="O99" t="str">
        <f t="shared" si="5"/>
        <v>ALEJANDRA AVILA</v>
      </c>
    </row>
    <row r="100" spans="1:15" x14ac:dyDescent="0.25">
      <c r="A100" t="s">
        <v>8</v>
      </c>
      <c r="B100" t="str">
        <f t="shared" si="3"/>
        <v>LIZETH RAMIREZ</v>
      </c>
      <c r="C100" t="s">
        <v>175</v>
      </c>
      <c r="D100">
        <v>10657</v>
      </c>
      <c r="E100">
        <f>D1_MAYO[[#This Row],[RECUPERO]]/VLOOKUP(D1_MAYO[[#This Row],[SUPER]],D2_MAYO[#All],2,0)</f>
        <v>0.53285000000000005</v>
      </c>
      <c r="F100" t="str">
        <f>D1_MAYO[[#This Row],[SUPER]]</f>
        <v>BRYAN</v>
      </c>
      <c r="L100">
        <v>2</v>
      </c>
      <c r="M100" s="1">
        <f t="shared" si="4"/>
        <v>1.4653499999999999</v>
      </c>
      <c r="N100" t="str" cm="1">
        <f t="array" ref="N100">IFERROR(_xlfn.IFS(M100&gt;100%,"&gt;100%",AND(M100&lt;100%,M100&gt;70%),"&gt;70%",AND(M100&lt;70%,M100&gt;40%),"&gt;40%",AND(M100&lt;40%,M100&gt;0%),"&gt;0%"),"")</f>
        <v>&gt;100%</v>
      </c>
      <c r="O100" t="str">
        <f t="shared" si="5"/>
        <v>BRINA SOTO</v>
      </c>
    </row>
    <row r="101" spans="1:15" x14ac:dyDescent="0.25">
      <c r="A101" t="s">
        <v>8</v>
      </c>
      <c r="B101" t="str">
        <f t="shared" si="3"/>
        <v>LYNDA PEREZ</v>
      </c>
      <c r="C101" t="s">
        <v>43</v>
      </c>
      <c r="D101">
        <v>14000</v>
      </c>
      <c r="E101">
        <f>D1_MAYO[[#This Row],[RECUPERO]]/VLOOKUP(D1_MAYO[[#This Row],[SUPER]],D2_MAYO[#All],2,0)</f>
        <v>0.7</v>
      </c>
      <c r="F101" t="str">
        <f>D1_MAYO[[#This Row],[SUPER]]</f>
        <v>BRYAN</v>
      </c>
      <c r="L101">
        <v>3</v>
      </c>
      <c r="M101" s="1">
        <f t="shared" si="4"/>
        <v>0.22819999999999999</v>
      </c>
      <c r="N101" t="str" cm="1">
        <f t="array" ref="N101">IFERROR(_xlfn.IFS(M101&gt;100%,"&gt;100%",AND(M101&lt;100%,M101&gt;70%),"&gt;70%",AND(M101&lt;70%,M101&gt;40%),"&gt;40%",AND(M101&lt;40%,M101&gt;0%),"&gt;0%"),"")</f>
        <v>&gt;0%</v>
      </c>
      <c r="O101" t="str">
        <f t="shared" si="5"/>
        <v>CHRISTIAN ALVARADO</v>
      </c>
    </row>
    <row r="102" spans="1:15" x14ac:dyDescent="0.25">
      <c r="A102" t="s">
        <v>8</v>
      </c>
      <c r="B102" t="str">
        <f t="shared" si="3"/>
        <v>VERONICA HUARCA</v>
      </c>
      <c r="C102" t="s">
        <v>48</v>
      </c>
      <c r="D102">
        <v>0</v>
      </c>
      <c r="E102">
        <f>D1_MAYO[[#This Row],[RECUPERO]]/VLOOKUP(D1_MAYO[[#This Row],[SUPER]],D2_MAYO[#All],2,0)</f>
        <v>0</v>
      </c>
      <c r="F102" t="str">
        <f>D1_MAYO[[#This Row],[SUPER]]</f>
        <v>BRYAN</v>
      </c>
      <c r="L102">
        <v>4</v>
      </c>
      <c r="M102" s="1">
        <f t="shared" si="4"/>
        <v>0.52564999999999995</v>
      </c>
      <c r="N102" t="str" cm="1">
        <f t="array" ref="N102">IFERROR(_xlfn.IFS(M102&gt;100%,"&gt;100%",AND(M102&lt;100%,M102&gt;70%),"&gt;70%",AND(M102&lt;70%,M102&gt;40%),"&gt;40%",AND(M102&lt;40%,M102&gt;0%),"&gt;0%"),"")</f>
        <v>&gt;40%</v>
      </c>
      <c r="O102" t="str">
        <f t="shared" si="5"/>
        <v>DARYL FERREL</v>
      </c>
    </row>
    <row r="103" spans="1:15" x14ac:dyDescent="0.25">
      <c r="A103" t="s">
        <v>8</v>
      </c>
      <c r="B103" t="str">
        <f t="shared" si="3"/>
        <v/>
      </c>
      <c r="E103">
        <f>D1_MAYO[[#This Row],[RECUPERO]]/VLOOKUP(D1_MAYO[[#This Row],[SUPER]],D2_MAYO[#All],2,0)</f>
        <v>0</v>
      </c>
      <c r="F103" t="str">
        <f>D1_MAYO[[#This Row],[SUPER]]</f>
        <v>BRYAN</v>
      </c>
      <c r="L103">
        <v>5</v>
      </c>
      <c r="M103" s="1">
        <f t="shared" si="4"/>
        <v>0.64496500000000001</v>
      </c>
      <c r="N103" t="str" cm="1">
        <f t="array" ref="N103">IFERROR(_xlfn.IFS(M103&gt;100%,"&gt;100%",AND(M103&lt;100%,M103&gt;70%),"&gt;70%",AND(M103&lt;70%,M103&gt;40%),"&gt;40%",AND(M103&lt;40%,M103&gt;0%),"&gt;0%"),"")</f>
        <v>&gt;40%</v>
      </c>
      <c r="O103" t="str">
        <f t="shared" si="5"/>
        <v>FRANCO HUAMANI</v>
      </c>
    </row>
    <row r="104" spans="1:15" x14ac:dyDescent="0.25">
      <c r="A104" t="s">
        <v>8</v>
      </c>
      <c r="B104" t="str">
        <f t="shared" si="3"/>
        <v/>
      </c>
      <c r="E104">
        <f>D1_MAYO[[#This Row],[RECUPERO]]/VLOOKUP(D1_MAYO[[#This Row],[SUPER]],D2_MAYO[#All],2,0)</f>
        <v>0</v>
      </c>
      <c r="F104" t="str">
        <f>D1_MAYO[[#This Row],[SUPER]]</f>
        <v>BRYAN</v>
      </c>
      <c r="L104">
        <v>6</v>
      </c>
      <c r="M104" s="1">
        <f t="shared" si="4"/>
        <v>0.38747500000000001</v>
      </c>
      <c r="N104" t="str" cm="1">
        <f t="array" ref="N104">IFERROR(_xlfn.IFS(M104&gt;100%,"&gt;100%",AND(M104&lt;100%,M104&gt;70%),"&gt;70%",AND(M104&lt;70%,M104&gt;40%),"&gt;40%",AND(M104&lt;40%,M104&gt;0%),"&gt;0%"),"")</f>
        <v>&gt;0%</v>
      </c>
      <c r="O104" t="str">
        <f t="shared" si="5"/>
        <v>HAROLD FLORES</v>
      </c>
    </row>
    <row r="105" spans="1:15" x14ac:dyDescent="0.25">
      <c r="A105" t="s">
        <v>8</v>
      </c>
      <c r="B105" t="str">
        <f t="shared" si="3"/>
        <v/>
      </c>
      <c r="E105">
        <f>D1_MAYO[[#This Row],[RECUPERO]]/VLOOKUP(D1_MAYO[[#This Row],[SUPER]],D2_MAYO[#All],2,0)</f>
        <v>0</v>
      </c>
      <c r="F105" t="str">
        <f>D1_MAYO[[#This Row],[SUPER]]</f>
        <v>BRYAN</v>
      </c>
      <c r="L105">
        <v>7</v>
      </c>
      <c r="M105" s="1">
        <f t="shared" si="4"/>
        <v>0.90502499999999997</v>
      </c>
      <c r="N105" t="str" cm="1">
        <f t="array" ref="N105">IFERROR(_xlfn.IFS(M105&gt;100%,"&gt;100%",AND(M105&lt;100%,M105&gt;70%),"&gt;70%",AND(M105&lt;70%,M105&gt;40%),"&gt;40%",AND(M105&lt;40%,M105&gt;0%),"&gt;0%"),"")</f>
        <v>&gt;70%</v>
      </c>
      <c r="O105" t="str">
        <f t="shared" si="5"/>
        <v>ISABEL BEJARANO</v>
      </c>
    </row>
    <row r="106" spans="1:15" x14ac:dyDescent="0.25">
      <c r="A106" t="s">
        <v>8</v>
      </c>
      <c r="B106" t="str">
        <f t="shared" si="3"/>
        <v/>
      </c>
      <c r="E106">
        <f>D1_MAYO[[#This Row],[RECUPERO]]/VLOOKUP(D1_MAYO[[#This Row],[SUPER]],D2_MAYO[#All],2,0)</f>
        <v>0</v>
      </c>
      <c r="F106" t="str">
        <f>D1_MAYO[[#This Row],[SUPER]]</f>
        <v>BRYAN</v>
      </c>
      <c r="L106">
        <v>8</v>
      </c>
      <c r="M106" s="1">
        <f t="shared" si="4"/>
        <v>0.53285000000000005</v>
      </c>
      <c r="N106" t="str" cm="1">
        <f t="array" ref="N106">IFERROR(_xlfn.IFS(M106&gt;100%,"&gt;100%",AND(M106&lt;100%,M106&gt;70%),"&gt;70%",AND(M106&lt;70%,M106&gt;40%),"&gt;40%",AND(M106&lt;40%,M106&gt;0%),"&gt;0%"),"")</f>
        <v>&gt;40%</v>
      </c>
      <c r="O106" t="str">
        <f t="shared" si="5"/>
        <v>LIZETH RAMIREZ</v>
      </c>
    </row>
    <row r="107" spans="1:15" x14ac:dyDescent="0.25">
      <c r="A107" t="s">
        <v>8</v>
      </c>
      <c r="B107" t="str">
        <f t="shared" si="3"/>
        <v/>
      </c>
      <c r="E107">
        <f>D1_MAYO[[#This Row],[RECUPERO]]/VLOOKUP(D1_MAYO[[#This Row],[SUPER]],D2_MAYO[#All],2,0)</f>
        <v>0</v>
      </c>
      <c r="F107" t="str">
        <f>D1_MAYO[[#This Row],[SUPER]]</f>
        <v>BRYAN</v>
      </c>
      <c r="L107">
        <v>9</v>
      </c>
      <c r="M107" s="1">
        <f t="shared" si="4"/>
        <v>0.7</v>
      </c>
      <c r="N107" t="str" cm="1">
        <f t="array" ref="N107">IFERROR(_xlfn.IFS(M107&gt;100%,"&gt;100%",AND(M107&lt;100%,M107&gt;70%),"&gt;70%",AND(M107&lt;70%,M107&gt;40%),"&gt;40%",AND(M107&lt;40%,M107&gt;0%),"&gt;0%"),"")</f>
        <v/>
      </c>
      <c r="O107" t="str">
        <f t="shared" si="5"/>
        <v>LYNDA PEREZ</v>
      </c>
    </row>
    <row r="108" spans="1:15" x14ac:dyDescent="0.25">
      <c r="A108" t="s">
        <v>9</v>
      </c>
      <c r="B108" t="str">
        <f t="shared" si="3"/>
        <v>ANDERSON RODRIGUEZ</v>
      </c>
      <c r="C108" t="s">
        <v>15</v>
      </c>
      <c r="D108">
        <v>9600</v>
      </c>
      <c r="E108">
        <f>D1_MAYO[[#This Row],[RECUPERO]]/VLOOKUP(D1_MAYO[[#This Row],[SUPER]],D2_MAYO[#All],2,0)</f>
        <v>0.48</v>
      </c>
      <c r="F108" t="str">
        <f>D1_MAYO[[#This Row],[SUPER]]</f>
        <v>LUIS</v>
      </c>
      <c r="L108">
        <v>10</v>
      </c>
      <c r="M108" s="1">
        <f t="shared" si="4"/>
        <v>0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5"/>
        <v>VERONICA HUARCA</v>
      </c>
    </row>
    <row r="109" spans="1:15" x14ac:dyDescent="0.25">
      <c r="A109" t="s">
        <v>9</v>
      </c>
      <c r="B109" t="str">
        <f t="shared" si="3"/>
        <v>CARLOS CALAGUA</v>
      </c>
      <c r="C109" t="s">
        <v>129</v>
      </c>
      <c r="D109">
        <v>5157</v>
      </c>
      <c r="E109">
        <f>D1_MAYO[[#This Row],[RECUPERO]]/VLOOKUP(D1_MAYO[[#This Row],[SUPER]],D2_MAYO[#All],2,0)</f>
        <v>0.25785000000000002</v>
      </c>
      <c r="F109" t="str">
        <f>D1_MAYO[[#This Row],[SUPER]]</f>
        <v>LUIS</v>
      </c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</row>
    <row r="110" spans="1:15" x14ac:dyDescent="0.25">
      <c r="A110" t="s">
        <v>9</v>
      </c>
      <c r="B110" t="str">
        <f t="shared" si="3"/>
        <v>GERALDINE ARROYO</v>
      </c>
      <c r="C110" t="s">
        <v>51</v>
      </c>
      <c r="D110">
        <v>7103</v>
      </c>
      <c r="E110">
        <f>D1_MAYO[[#This Row],[RECUPERO]]/VLOOKUP(D1_MAYO[[#This Row],[SUPER]],D2_MAYO[#All],2,0)</f>
        <v>0.35515000000000002</v>
      </c>
      <c r="F110" t="str">
        <f>D1_MAYO[[#This Row],[SUPER]]</f>
        <v>LUIS</v>
      </c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</row>
    <row r="111" spans="1:15" x14ac:dyDescent="0.25">
      <c r="A111" t="s">
        <v>9</v>
      </c>
      <c r="B111" t="str">
        <f t="shared" si="3"/>
        <v>GIANNINA AGUILAR</v>
      </c>
      <c r="C111" t="s">
        <v>32</v>
      </c>
      <c r="D111">
        <v>7788</v>
      </c>
      <c r="E111">
        <f>D1_MAYO[[#This Row],[RECUPERO]]/VLOOKUP(D1_MAYO[[#This Row],[SUPER]],D2_MAYO[#All],2,0)</f>
        <v>0.38940000000000002</v>
      </c>
      <c r="F111" t="str">
        <f>D1_MAYO[[#This Row],[SUPER]]</f>
        <v>LUIS</v>
      </c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</row>
    <row r="112" spans="1:15" x14ac:dyDescent="0.25">
      <c r="A112" t="s">
        <v>9</v>
      </c>
      <c r="B112" t="str">
        <f t="shared" si="3"/>
        <v>GIULIANA QUISPE</v>
      </c>
      <c r="C112" t="s">
        <v>71</v>
      </c>
      <c r="D112">
        <v>14482</v>
      </c>
      <c r="E112">
        <f>D1_MAYO[[#This Row],[RECUPERO]]/VLOOKUP(D1_MAYO[[#This Row],[SUPER]],D2_MAYO[#All],2,0)</f>
        <v>0.72409999999999997</v>
      </c>
      <c r="F112" t="str">
        <f>D1_MAYO[[#This Row],[SUPER]]</f>
        <v>LUIS</v>
      </c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</row>
    <row r="113" spans="1:15" x14ac:dyDescent="0.25">
      <c r="A113" t="s">
        <v>9</v>
      </c>
      <c r="B113" t="str">
        <f t="shared" si="3"/>
        <v>JANETH PORTOCARRERO</v>
      </c>
      <c r="C113" t="s">
        <v>49</v>
      </c>
      <c r="D113">
        <v>3675</v>
      </c>
      <c r="E113">
        <f>D1_MAYO[[#This Row],[RECUPERO]]/VLOOKUP(D1_MAYO[[#This Row],[SUPER]],D2_MAYO[#All],2,0)</f>
        <v>0.18375</v>
      </c>
      <c r="F113" t="str">
        <f>D1_MAYO[[#This Row],[SUPER]]</f>
        <v>LUIS</v>
      </c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</row>
    <row r="114" spans="1:15" x14ac:dyDescent="0.25">
      <c r="A114" t="s">
        <v>9</v>
      </c>
      <c r="B114" t="str">
        <f t="shared" si="3"/>
        <v>MIRYAM YAPU</v>
      </c>
      <c r="C114" t="s">
        <v>176</v>
      </c>
      <c r="D114">
        <v>2600</v>
      </c>
      <c r="E114">
        <f>D1_MAYO[[#This Row],[RECUPERO]]/VLOOKUP(D1_MAYO[[#This Row],[SUPER]],D2_MAYO[#All],2,0)</f>
        <v>0.13</v>
      </c>
      <c r="F114" t="str">
        <f>D1_MAYO[[#This Row],[SUPER]]</f>
        <v>LUIS</v>
      </c>
      <c r="L114">
        <v>1</v>
      </c>
      <c r="M114" s="1">
        <f t="shared" si="4"/>
        <v>0.48</v>
      </c>
      <c r="N114" t="str" cm="1">
        <f t="array" ref="N114">IFERROR(_xlfn.IFS(M114&gt;100%,"&gt;100%",AND(M114&lt;100%,M114&gt;70%),"&gt;70%",AND(M114&lt;70%,M114&gt;40%),"&gt;40%",AND(M114&lt;40%,M114&gt;0%),"&gt;0%"),"")</f>
        <v>&gt;40%</v>
      </c>
      <c r="O114" t="str">
        <f t="shared" si="5"/>
        <v>ANDERSON RODRIGUEZ</v>
      </c>
    </row>
    <row r="115" spans="1:15" x14ac:dyDescent="0.25">
      <c r="A115" t="s">
        <v>9</v>
      </c>
      <c r="B115" t="str">
        <f t="shared" si="3"/>
        <v>RAQUEL RICO</v>
      </c>
      <c r="C115" t="s">
        <v>84</v>
      </c>
      <c r="D115">
        <v>200</v>
      </c>
      <c r="E115">
        <f>D1_MAYO[[#This Row],[RECUPERO]]/VLOOKUP(D1_MAYO[[#This Row],[SUPER]],D2_MAYO[#All],2,0)</f>
        <v>0.01</v>
      </c>
      <c r="F115" t="str">
        <f>D1_MAYO[[#This Row],[SUPER]]</f>
        <v>LUIS</v>
      </c>
      <c r="L115">
        <v>2</v>
      </c>
      <c r="M115" s="1">
        <f t="shared" si="4"/>
        <v>0.25785000000000002</v>
      </c>
      <c r="N115" t="str" cm="1">
        <f t="array" ref="N115">IFERROR(_xlfn.IFS(M115&gt;100%,"&gt;100%",AND(M115&lt;100%,M115&gt;70%),"&gt;70%",AND(M115&lt;70%,M115&gt;40%),"&gt;40%",AND(M115&lt;40%,M115&gt;0%),"&gt;0%"),"")</f>
        <v>&gt;0%</v>
      </c>
      <c r="O115" t="str">
        <f t="shared" si="5"/>
        <v>CARLOS CALAGUA</v>
      </c>
    </row>
    <row r="116" spans="1:15" x14ac:dyDescent="0.25">
      <c r="A116" t="s">
        <v>9</v>
      </c>
      <c r="B116" t="str">
        <f t="shared" si="3"/>
        <v>SARITA GARAY</v>
      </c>
      <c r="C116" t="s">
        <v>73</v>
      </c>
      <c r="D116">
        <v>11904.93</v>
      </c>
      <c r="E116">
        <f>D1_MAYO[[#This Row],[RECUPERO]]/VLOOKUP(D1_MAYO[[#This Row],[SUPER]],D2_MAYO[#All],2,0)</f>
        <v>0.59524650000000001</v>
      </c>
      <c r="F116" t="str">
        <f>D1_MAYO[[#This Row],[SUPER]]</f>
        <v>LUIS</v>
      </c>
      <c r="L116">
        <v>3</v>
      </c>
      <c r="M116" s="1">
        <f t="shared" si="4"/>
        <v>0.35515000000000002</v>
      </c>
      <c r="N116" t="str" cm="1">
        <f t="array" ref="N116">IFERROR(_xlfn.IFS(M116&gt;100%,"&gt;100%",AND(M116&lt;100%,M116&gt;70%),"&gt;70%",AND(M116&lt;70%,M116&gt;40%),"&gt;40%",AND(M116&lt;40%,M116&gt;0%),"&gt;0%"),"")</f>
        <v>&gt;0%</v>
      </c>
      <c r="O116" t="str">
        <f t="shared" si="5"/>
        <v>GERALDINE ARROYO</v>
      </c>
    </row>
    <row r="117" spans="1:15" x14ac:dyDescent="0.25">
      <c r="A117" t="s">
        <v>9</v>
      </c>
      <c r="B117" t="str">
        <f t="shared" si="3"/>
        <v>URSULA CENTENO</v>
      </c>
      <c r="C117" t="s">
        <v>78</v>
      </c>
      <c r="D117">
        <v>7950</v>
      </c>
      <c r="E117">
        <f>D1_MAYO[[#This Row],[RECUPERO]]/VLOOKUP(D1_MAYO[[#This Row],[SUPER]],D2_MAYO[#All],2,0)</f>
        <v>0.39750000000000002</v>
      </c>
      <c r="F117" t="str">
        <f>D1_MAYO[[#This Row],[SUPER]]</f>
        <v>LUIS</v>
      </c>
      <c r="L117">
        <v>4</v>
      </c>
      <c r="M117" s="1">
        <f t="shared" si="4"/>
        <v>0.38940000000000002</v>
      </c>
      <c r="N117" t="str" cm="1">
        <f t="array" ref="N117">IFERROR(_xlfn.IFS(M117&gt;100%,"&gt;100%",AND(M117&lt;100%,M117&gt;70%),"&gt;70%",AND(M117&lt;70%,M117&gt;40%),"&gt;40%",AND(M117&lt;40%,M117&gt;0%),"&gt;0%"),"")</f>
        <v>&gt;0%</v>
      </c>
      <c r="O117" t="str">
        <f t="shared" si="5"/>
        <v>GIANNINA AGUILAR</v>
      </c>
    </row>
    <row r="118" spans="1:15" x14ac:dyDescent="0.25">
      <c r="A118" t="s">
        <v>9</v>
      </c>
      <c r="B118" t="str">
        <f t="shared" si="3"/>
        <v/>
      </c>
      <c r="E118">
        <f>D1_MAYO[[#This Row],[RECUPERO]]/VLOOKUP(D1_MAYO[[#This Row],[SUPER]],D2_MAYO[#All],2,0)</f>
        <v>0</v>
      </c>
      <c r="F118" t="str">
        <f>D1_MAYO[[#This Row],[SUPER]]</f>
        <v>LUIS</v>
      </c>
      <c r="L118">
        <v>5</v>
      </c>
      <c r="M118" s="1">
        <f t="shared" si="4"/>
        <v>0.72409999999999997</v>
      </c>
      <c r="N118" t="str" cm="1">
        <f t="array" ref="N118">IFERROR(_xlfn.IFS(M118&gt;100%,"&gt;100%",AND(M118&lt;100%,M118&gt;70%),"&gt;70%",AND(M118&lt;70%,M118&gt;40%),"&gt;40%",AND(M118&lt;40%,M118&gt;0%),"&gt;0%"),"")</f>
        <v>&gt;70%</v>
      </c>
      <c r="O118" t="str">
        <f t="shared" si="5"/>
        <v>GIULIANA QUISPE</v>
      </c>
    </row>
    <row r="119" spans="1:15" x14ac:dyDescent="0.25">
      <c r="A119" t="s">
        <v>9</v>
      </c>
      <c r="B119" t="str">
        <f t="shared" si="3"/>
        <v/>
      </c>
      <c r="E119">
        <f>D1_MAYO[[#This Row],[RECUPERO]]/VLOOKUP(D1_MAYO[[#This Row],[SUPER]],D2_MAYO[#All],2,0)</f>
        <v>0</v>
      </c>
      <c r="F119" t="str">
        <f>D1_MAYO[[#This Row],[SUPER]]</f>
        <v>LUIS</v>
      </c>
      <c r="L119">
        <v>6</v>
      </c>
      <c r="M119" s="1">
        <f t="shared" si="4"/>
        <v>0.18375</v>
      </c>
      <c r="N119" t="str" cm="1">
        <f t="array" ref="N119">IFERROR(_xlfn.IFS(M119&gt;100%,"&gt;100%",AND(M119&lt;100%,M119&gt;70%),"&gt;70%",AND(M119&lt;70%,M119&gt;40%),"&gt;40%",AND(M119&lt;40%,M119&gt;0%),"&gt;0%"),"")</f>
        <v>&gt;0%</v>
      </c>
      <c r="O119" t="str">
        <f t="shared" si="5"/>
        <v>JANETH PORTOCARRERO</v>
      </c>
    </row>
    <row r="120" spans="1:15" x14ac:dyDescent="0.25">
      <c r="A120" t="s">
        <v>9</v>
      </c>
      <c r="B120" t="str">
        <f t="shared" si="3"/>
        <v/>
      </c>
      <c r="E120">
        <f>D1_MAYO[[#This Row],[RECUPERO]]/VLOOKUP(D1_MAYO[[#This Row],[SUPER]],D2_MAYO[#All],2,0)</f>
        <v>0</v>
      </c>
      <c r="F120" t="str">
        <f>D1_MAYO[[#This Row],[SUPER]]</f>
        <v>LUIS</v>
      </c>
      <c r="L120">
        <v>7</v>
      </c>
      <c r="M120" s="1">
        <f t="shared" si="4"/>
        <v>0.13</v>
      </c>
      <c r="N120" t="str" cm="1">
        <f t="array" ref="N120">IFERROR(_xlfn.IFS(M120&gt;100%,"&gt;100%",AND(M120&lt;100%,M120&gt;70%),"&gt;70%",AND(M120&lt;70%,M120&gt;40%),"&gt;40%",AND(M120&lt;40%,M120&gt;0%),"&gt;0%"),"")</f>
        <v>&gt;0%</v>
      </c>
      <c r="O120" t="str">
        <f t="shared" si="5"/>
        <v>MIRYAM YAPU</v>
      </c>
    </row>
    <row r="121" spans="1:15" x14ac:dyDescent="0.25">
      <c r="A121" t="s">
        <v>9</v>
      </c>
      <c r="B121" t="str">
        <f t="shared" si="3"/>
        <v/>
      </c>
      <c r="E121">
        <f>D1_MAYO[[#This Row],[RECUPERO]]/VLOOKUP(D1_MAYO[[#This Row],[SUPER]],D2_MAYO[#All],2,0)</f>
        <v>0</v>
      </c>
      <c r="F121" t="str">
        <f>D1_MAYO[[#This Row],[SUPER]]</f>
        <v>LUIS</v>
      </c>
      <c r="L121">
        <v>8</v>
      </c>
      <c r="M121" s="1">
        <f t="shared" si="4"/>
        <v>0.01</v>
      </c>
      <c r="N121" t="str" cm="1">
        <f t="array" ref="N121">IFERROR(_xlfn.IFS(M121&gt;100%,"&gt;100%",AND(M121&lt;100%,M121&gt;70%),"&gt;70%",AND(M121&lt;70%,M121&gt;40%),"&gt;40%",AND(M121&lt;40%,M121&gt;0%),"&gt;0%"),"")</f>
        <v>&gt;0%</v>
      </c>
      <c r="O121" t="str">
        <f t="shared" si="5"/>
        <v>RAQUEL RICO</v>
      </c>
    </row>
    <row r="122" spans="1:15" x14ac:dyDescent="0.25">
      <c r="A122" t="s">
        <v>9</v>
      </c>
      <c r="B122" t="str">
        <f t="shared" si="3"/>
        <v/>
      </c>
      <c r="E122">
        <f>D1_MAYO[[#This Row],[RECUPERO]]/VLOOKUP(D1_MAYO[[#This Row],[SUPER]],D2_MAYO[#All],2,0)</f>
        <v>0</v>
      </c>
      <c r="F122" t="str">
        <f>D1_MAYO[[#This Row],[SUPER]]</f>
        <v>LUIS</v>
      </c>
      <c r="L122">
        <v>9</v>
      </c>
      <c r="M122" s="1">
        <f t="shared" si="4"/>
        <v>0.59524650000000001</v>
      </c>
      <c r="N122" t="str" cm="1">
        <f t="array" ref="N122">IFERROR(_xlfn.IFS(M122&gt;100%,"&gt;100%",AND(M122&lt;100%,M122&gt;70%),"&gt;70%",AND(M122&lt;70%,M122&gt;40%),"&gt;40%",AND(M122&lt;40%,M122&gt;0%),"&gt;0%"),"")</f>
        <v>&gt;40%</v>
      </c>
      <c r="O122" t="str">
        <f t="shared" si="5"/>
        <v>SARITA GARAY</v>
      </c>
    </row>
    <row r="123" spans="1:15" x14ac:dyDescent="0.25">
      <c r="L123">
        <v>10</v>
      </c>
      <c r="M123" s="1">
        <f t="shared" si="4"/>
        <v>0.39750000000000002</v>
      </c>
      <c r="N123" t="str" cm="1">
        <f t="array" ref="N123">IFERROR(_xlfn.IFS(M123&gt;100%,"&gt;100%",AND(M123&lt;100%,M123&gt;70%),"&gt;70%",AND(M123&lt;70%,M123&gt;40%),"&gt;40%",AND(M123&lt;40%,M123&gt;0%),"&gt;0%"),"")</f>
        <v>&gt;0%</v>
      </c>
      <c r="O123" t="str">
        <f t="shared" si="5"/>
        <v>URSULA CENTENO</v>
      </c>
    </row>
    <row r="124" spans="1:15" x14ac:dyDescent="0.25">
      <c r="L124">
        <v>11</v>
      </c>
      <c r="M124" s="1">
        <f t="shared" si="4"/>
        <v>0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5"/>
        <v/>
      </c>
    </row>
    <row r="125" spans="1:15" x14ac:dyDescent="0.25">
      <c r="L125">
        <v>12</v>
      </c>
      <c r="M125" s="1">
        <f t="shared" si="4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5"/>
        <v/>
      </c>
    </row>
    <row r="126" spans="1:15" x14ac:dyDescent="0.25">
      <c r="L126">
        <v>13</v>
      </c>
      <c r="M126" s="1">
        <f t="shared" si="4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5"/>
        <v/>
      </c>
    </row>
    <row r="127" spans="1:15" x14ac:dyDescent="0.25">
      <c r="L127">
        <v>14</v>
      </c>
      <c r="M127" s="1">
        <f t="shared" si="4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5"/>
        <v/>
      </c>
    </row>
    <row r="128" spans="1:15" x14ac:dyDescent="0.25">
      <c r="L128">
        <v>15</v>
      </c>
      <c r="M128" s="1">
        <f t="shared" si="4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5"/>
        <v/>
      </c>
    </row>
    <row r="129" spans="12:15" x14ac:dyDescent="0.25">
      <c r="L129" s="22">
        <v>1</v>
      </c>
      <c r="M129" s="23">
        <f>IFERROR(IF(VLOOKUP("&gt;100%",N9:O128,2,0)&lt;&gt;"",0,100.01%),100.01%)</f>
        <v>0</v>
      </c>
      <c r="N129" s="22" t="str" cm="1">
        <f t="array" ref="N129">IFERROR(_xlfn.IFS(M129&gt;100%,"&gt;100%",AND(M129&lt;100%,M129&gt;70%),"&gt;70%",AND(M129&lt;70%,M129&gt;40%),"&gt;40%",AND(M129&lt;40%,M129&gt;0%),"&gt;0%"),"")</f>
        <v/>
      </c>
      <c r="O129" s="22" t="str">
        <f>IF(DATAMAYO[[#This Row],[CLASIFICACIÓN]]="","","SIN APLICACIONES")</f>
        <v/>
      </c>
    </row>
    <row r="130" spans="12:15" x14ac:dyDescent="0.25">
      <c r="L130" s="22">
        <v>2</v>
      </c>
      <c r="M130" s="23">
        <f>IFERROR(IF(VLOOKUP("&gt;70%",N9:O128,2,0)&lt;&gt;"",0,70.01%),70.01%)</f>
        <v>0</v>
      </c>
      <c r="N130" s="22" t="str" cm="1">
        <f t="array" ref="N130">IFERROR(_xlfn.IFS(M130&gt;100%,"&gt;100%",AND(M130&lt;100%,M130&gt;70%),"&gt;70%",AND(M130&lt;70%,M130&gt;40%),"&gt;40%",AND(M130&lt;40%,M130&gt;0%),"&gt;0%"),"")</f>
        <v/>
      </c>
      <c r="O130" s="22" t="str">
        <f>IF(DATAMAYO[[#This Row],[CLASIFICACIÓN]]="","","SIN APLICACIONES")</f>
        <v/>
      </c>
    </row>
    <row r="131" spans="12:15" x14ac:dyDescent="0.25">
      <c r="L131" s="22">
        <v>3</v>
      </c>
      <c r="M131" s="23">
        <f>IFERROR(IF(VLOOKUP("&gt;40%",N9:O128,2,0)&lt;&gt;"",0,40.01%),40.01%)</f>
        <v>0</v>
      </c>
      <c r="N131" s="22" t="str" cm="1">
        <f t="array" ref="N131">IFERROR(_xlfn.IFS(M131&gt;100%,"&gt;100%",AND(M131&lt;100%,M131&gt;70%),"&gt;70%",AND(M131&lt;70%,M131&gt;40%),"&gt;40%",AND(M131&lt;40%,M131&gt;0%),"&gt;0%"),"")</f>
        <v/>
      </c>
      <c r="O131" s="22" t="str">
        <f>IF(DATAMAYO[[#This Row],[CLASIFICACIÓN]]="","","SIN APLICACIONES")</f>
        <v/>
      </c>
    </row>
  </sheetData>
  <mergeCells count="5">
    <mergeCell ref="R1:AA3"/>
    <mergeCell ref="R5:S5"/>
    <mergeCell ref="U5:V5"/>
    <mergeCell ref="X5:Y5"/>
    <mergeCell ref="AA5:AB5"/>
  </mergeCells>
  <conditionalFormatting pivot="1" sqref="S8:S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17">
    <cfRule type="colorScale" priority="8">
      <colorScale>
        <cfvo type="min"/>
        <cfvo type="max"/>
        <color rgb="FFFCFCFF"/>
        <color rgb="FF63BE7B"/>
      </colorScale>
    </cfRule>
  </conditionalFormatting>
  <conditionalFormatting pivot="1" sqref="AB8:AB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15">
    <cfRule type="colorScale" priority="7">
      <colorScale>
        <cfvo type="min"/>
        <cfvo type="max"/>
        <color rgb="FFFCFCFF"/>
        <color rgb="FFFFFF00"/>
      </colorScale>
    </cfRule>
  </conditionalFormatting>
  <conditionalFormatting pivot="1" sqref="Y8:Y35">
    <cfRule type="colorScale" priority="6">
      <colorScale>
        <cfvo type="min"/>
        <cfvo type="max"/>
        <color rgb="FFFCFCFF"/>
        <color rgb="FFFFC000"/>
      </colorScale>
    </cfRule>
  </conditionalFormatting>
  <conditionalFormatting pivot="1" sqref="AB8:AB34">
    <cfRule type="colorScale" priority="4">
      <colorScale>
        <cfvo type="min"/>
        <cfvo type="max"/>
        <color rgb="FFFCFCFF"/>
        <color rgb="FFF8696B"/>
      </colorScale>
    </cfRule>
  </conditionalFormatting>
  <conditionalFormatting sqref="R1:R85">
    <cfRule type="containsText" dxfId="266" priority="1" operator="containsText" text="SIN APLICACIONES">
      <formula>NOT(ISERROR(SEARCH("SIN APLICACIONES",R1)))</formula>
    </cfRule>
  </conditionalFormatting>
  <conditionalFormatting sqref="U1:U85">
    <cfRule type="containsText" dxfId="265" priority="2" operator="containsText" text="SIN APLICACIONES">
      <formula>NOT(ISERROR(SEARCH("SIN APLICACIONES",U1)))</formula>
    </cfRule>
  </conditionalFormatting>
  <conditionalFormatting sqref="X1:X85">
    <cfRule type="containsText" dxfId="264" priority="3" operator="containsText" text="SIN APLICACIONES">
      <formula>NOT(ISERROR(SEARCH("SIN APLICACIONES",X1)))</formula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AB131"/>
  <sheetViews>
    <sheetView topLeftCell="Q1" zoomScale="70" zoomScaleNormal="70" workbookViewId="0">
      <selection activeCell="X20" sqref="A1:AB20"/>
    </sheetView>
  </sheetViews>
  <sheetFormatPr baseColWidth="10" defaultRowHeight="15" x14ac:dyDescent="0.25"/>
  <cols>
    <col min="1" max="1" width="13" hidden="1" customWidth="1"/>
    <col min="2" max="3" width="27.28515625" hidden="1" customWidth="1"/>
    <col min="4" max="4" width="17.85546875" hidden="1" customWidth="1"/>
    <col min="5" max="5" width="16" hidden="1" customWidth="1"/>
    <col min="6" max="6" width="14.42578125" hidden="1" customWidth="1"/>
    <col min="7" max="7" width="11.42578125" hidden="1" customWidth="1"/>
    <col min="8" max="8" width="13" hidden="1" customWidth="1"/>
    <col min="9" max="9" width="11.42578125" hidden="1" customWidth="1"/>
    <col min="10" max="10" width="11.28515625" hidden="1" customWidth="1"/>
    <col min="11" max="11" width="11.42578125" hidden="1" customWidth="1"/>
    <col min="12" max="12" width="13.140625" hidden="1" customWidth="1"/>
    <col min="13" max="13" width="16" hidden="1" customWidth="1"/>
    <col min="14" max="14" width="26" hidden="1" customWidth="1"/>
    <col min="15" max="15" width="27.28515625" hidden="1" customWidth="1"/>
    <col min="16" max="16" width="11.42578125" hidden="1" customWidth="1"/>
    <col min="18" max="18" width="23" bestFit="1" customWidth="1"/>
    <col min="19" max="19" width="16" bestFit="1" customWidth="1"/>
    <col min="21" max="21" width="25.28515625" bestFit="1" customWidth="1"/>
    <col min="22" max="22" width="14.28515625" bestFit="1" customWidth="1"/>
    <col min="24" max="24" width="26.7109375" bestFit="1" customWidth="1"/>
    <col min="25" max="25" width="14.28515625" bestFit="1" customWidth="1"/>
    <col min="27" max="27" width="27.28515625" bestFit="1" customWidth="1"/>
    <col min="28" max="28" width="14.28515625" bestFit="1" customWidth="1"/>
  </cols>
  <sheetData>
    <row r="1" spans="1:28" ht="15.75" x14ac:dyDescent="0.25">
      <c r="R1" s="41" t="s">
        <v>143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28" ht="15.75" x14ac:dyDescent="0.25">
      <c r="A2" t="s">
        <v>110</v>
      </c>
      <c r="B2" t="s">
        <v>136</v>
      </c>
      <c r="C2" t="s">
        <v>0</v>
      </c>
      <c r="D2" t="s">
        <v>111</v>
      </c>
      <c r="E2" t="s">
        <v>1</v>
      </c>
      <c r="F2" t="s">
        <v>127</v>
      </c>
      <c r="H2" t="s">
        <v>110</v>
      </c>
      <c r="I2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19" t="str">
        <f>H14</f>
        <v>01/07</v>
      </c>
    </row>
    <row r="3" spans="1:28" ht="15.75" x14ac:dyDescent="0.25">
      <c r="A3" t="s">
        <v>3</v>
      </c>
      <c r="B3" t="str">
        <f>TRIM(C3)</f>
        <v>LISELY MERA</v>
      </c>
      <c r="C3" t="s">
        <v>23</v>
      </c>
      <c r="D3">
        <v>82199</v>
      </c>
      <c r="E3">
        <f>D1_JUNIO[[#This Row],[RECUPERO]]/VLOOKUP(D1_JUNIO[[#This Row],[SUPER]],D2_JUNIO[#All],2,0)</f>
        <v>1.2645999999999999</v>
      </c>
      <c r="F3" t="str">
        <f>D1_JUNIO[[#This Row],[SUPER]]</f>
        <v>SANDY</v>
      </c>
      <c r="H3" t="s">
        <v>3</v>
      </c>
      <c r="I3">
        <v>65000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20" t="str">
        <f>H15</f>
        <v>16:40</v>
      </c>
    </row>
    <row r="4" spans="1:28" x14ac:dyDescent="0.25">
      <c r="A4" t="s">
        <v>3</v>
      </c>
      <c r="B4" t="str">
        <f t="shared" ref="B4:B67" si="0">TRIM(C4)</f>
        <v>EVELY TENORIO</v>
      </c>
      <c r="C4" t="s">
        <v>22</v>
      </c>
      <c r="D4">
        <v>43932.800000000003</v>
      </c>
      <c r="E4">
        <f>D1_JUNIO[[#This Row],[RECUPERO]]/VLOOKUP(D1_JUNIO[[#This Row],[SUPER]],D2_JUNIO[#All],2,0)</f>
        <v>0.6758892307692308</v>
      </c>
      <c r="F4" t="str">
        <f>D1_JUNIO[[#This Row],[SUPER]]</f>
        <v>SANDY</v>
      </c>
      <c r="H4" t="s">
        <v>4</v>
      </c>
      <c r="I4">
        <v>65000</v>
      </c>
    </row>
    <row r="5" spans="1:28" ht="21" x14ac:dyDescent="0.35">
      <c r="A5" t="s">
        <v>3</v>
      </c>
      <c r="B5" t="str">
        <f t="shared" si="0"/>
        <v>JENNY LAZARO</v>
      </c>
      <c r="C5" t="s">
        <v>138</v>
      </c>
      <c r="D5">
        <v>42604</v>
      </c>
      <c r="E5">
        <f>D1_JUNIO[[#This Row],[RECUPERO]]/VLOOKUP(D1_JUNIO[[#This Row],[SUPER]],D2_JUNIO[#All],2,0)</f>
        <v>0.6554461538461539</v>
      </c>
      <c r="F5" t="str">
        <f>D1_JUNIO[[#This Row],[SUPER]]</f>
        <v>SANDY</v>
      </c>
      <c r="H5" t="s">
        <v>2</v>
      </c>
      <c r="I5">
        <v>65000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t="s">
        <v>3</v>
      </c>
      <c r="B6" t="str">
        <f t="shared" si="0"/>
        <v>MALORY MONTEBLANCO</v>
      </c>
      <c r="C6" t="s">
        <v>25</v>
      </c>
      <c r="D6">
        <v>41621</v>
      </c>
      <c r="E6">
        <f>D1_JUNIO[[#This Row],[RECUPERO]]/VLOOKUP(D1_JUNIO[[#This Row],[SUPER]],D2_JUNIO[#All],2,0)</f>
        <v>0.64032307692307688</v>
      </c>
      <c r="F6" t="str">
        <f>D1_JUNIO[[#This Row],[SUPER]]</f>
        <v>SANDY</v>
      </c>
      <c r="H6" t="s">
        <v>5</v>
      </c>
      <c r="I6">
        <v>65000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t="s">
        <v>3</v>
      </c>
      <c r="B7" t="str">
        <f t="shared" si="0"/>
        <v>VICTOR RAMIREZ</v>
      </c>
      <c r="C7" t="s">
        <v>76</v>
      </c>
      <c r="D7">
        <v>40145</v>
      </c>
      <c r="E7">
        <f>D1_JUNIO[[#This Row],[RECUPERO]]/VLOOKUP(D1_JUNIO[[#This Row],[SUPER]],D2_JUNIO[#All],2,0)</f>
        <v>0.61761538461538457</v>
      </c>
      <c r="F7" t="str">
        <f>D1_JUNIO[[#This Row],[SUPER]]</f>
        <v>SANDY</v>
      </c>
      <c r="H7" t="s">
        <v>6</v>
      </c>
      <c r="I7">
        <v>30500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t="s">
        <v>3</v>
      </c>
      <c r="B8" t="str">
        <f t="shared" si="0"/>
        <v>ALEJANDRO GONZALES</v>
      </c>
      <c r="C8" t="s">
        <v>139</v>
      </c>
      <c r="D8">
        <v>35399</v>
      </c>
      <c r="E8">
        <f>D1_JUNIO[[#This Row],[RECUPERO]]/VLOOKUP(D1_JUNIO[[#This Row],[SUPER]],D2_JUNIO[#All],2,0)</f>
        <v>0.54459999999999997</v>
      </c>
      <c r="F8" t="str">
        <f>D1_JUNIO[[#This Row],[SUPER]]</f>
        <v>SANDY</v>
      </c>
      <c r="H8" t="s">
        <v>7</v>
      </c>
      <c r="I8">
        <v>14999.999999999998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24</v>
      </c>
      <c r="S8" s="3">
        <v>1.6319999999999999</v>
      </c>
      <c r="U8" s="15" t="s">
        <v>15</v>
      </c>
      <c r="V8" s="2">
        <v>0.98487333333333338</v>
      </c>
      <c r="X8" s="15" t="s">
        <v>22</v>
      </c>
      <c r="Y8" s="2">
        <v>0.6758892307692308</v>
      </c>
      <c r="AA8" s="15" t="s">
        <v>62</v>
      </c>
      <c r="AB8" s="2">
        <v>0.3861230769230769</v>
      </c>
    </row>
    <row r="9" spans="1:28" x14ac:dyDescent="0.25">
      <c r="A9" t="s">
        <v>3</v>
      </c>
      <c r="B9" t="str">
        <f t="shared" si="0"/>
        <v>MICHAEL TAFUR</v>
      </c>
      <c r="C9" t="s">
        <v>134</v>
      </c>
      <c r="D9">
        <v>21650</v>
      </c>
      <c r="E9">
        <f>D1_JUNIO[[#This Row],[RECUPERO]]/VLOOKUP(D1_JUNIO[[#This Row],[SUPER]],D2_JUNIO[#All],2,0)</f>
        <v>0.3330769230769231</v>
      </c>
      <c r="F9" t="str">
        <f>D1_JUNIO[[#This Row],[SUPER]]</f>
        <v>SANDY</v>
      </c>
      <c r="H9" t="s">
        <v>8</v>
      </c>
      <c r="I9">
        <v>15000.000000000002</v>
      </c>
      <c r="L9">
        <v>1</v>
      </c>
      <c r="M9" s="1">
        <f>E3</f>
        <v>1.2645999999999999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>B3</f>
        <v>LISELY MERA</v>
      </c>
      <c r="R9" s="15" t="s">
        <v>59</v>
      </c>
      <c r="S9" s="3">
        <v>1.525855076923077</v>
      </c>
      <c r="U9" s="15" t="s">
        <v>78</v>
      </c>
      <c r="V9" s="3">
        <v>0.95943333333333336</v>
      </c>
      <c r="X9" s="15" t="s">
        <v>138</v>
      </c>
      <c r="Y9" s="3">
        <v>0.6554461538461539</v>
      </c>
      <c r="AA9" s="15" t="s">
        <v>34</v>
      </c>
      <c r="AB9" s="3">
        <v>0.38524590163934425</v>
      </c>
    </row>
    <row r="10" spans="1:28" x14ac:dyDescent="0.25">
      <c r="A10" t="s">
        <v>3</v>
      </c>
      <c r="B10" t="str">
        <f t="shared" si="0"/>
        <v>ANABEL SIHUE</v>
      </c>
      <c r="C10" t="s">
        <v>54</v>
      </c>
      <c r="D10">
        <v>14000</v>
      </c>
      <c r="E10">
        <f>D1_JUNIO[[#This Row],[RECUPERO]]/VLOOKUP(D1_JUNIO[[#This Row],[SUPER]],D2_JUNIO[#All],2,0)</f>
        <v>0.2153846153846154</v>
      </c>
      <c r="F10" t="str">
        <f>D1_JUNIO[[#This Row],[SUPER]]</f>
        <v>SANDY</v>
      </c>
      <c r="H10" t="s">
        <v>9</v>
      </c>
      <c r="I10">
        <v>15000</v>
      </c>
      <c r="L10">
        <v>2</v>
      </c>
      <c r="M10" s="1">
        <f t="shared" ref="M10:M73" si="1">E4</f>
        <v>0.6758892307692308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ref="O10:O73" si="2">B4</f>
        <v>EVELY TENORIO</v>
      </c>
      <c r="R10" s="15" t="s">
        <v>80</v>
      </c>
      <c r="S10" s="3">
        <v>1.4252666666666669</v>
      </c>
      <c r="U10" s="15" t="s">
        <v>65</v>
      </c>
      <c r="V10" s="3">
        <v>0.92958461538461534</v>
      </c>
      <c r="X10" s="15" t="s">
        <v>25</v>
      </c>
      <c r="Y10" s="3">
        <v>0.64032307692307688</v>
      </c>
      <c r="AA10" s="15" t="s">
        <v>55</v>
      </c>
      <c r="AB10" s="3">
        <v>0.38120000000000004</v>
      </c>
    </row>
    <row r="11" spans="1:28" x14ac:dyDescent="0.25">
      <c r="A11" t="s">
        <v>3</v>
      </c>
      <c r="B11" t="str">
        <f t="shared" si="0"/>
        <v>CHRISTIAN ALBUJAR</v>
      </c>
      <c r="C11" t="s">
        <v>53</v>
      </c>
      <c r="D11">
        <v>9848</v>
      </c>
      <c r="E11">
        <f>D1_JUNIO[[#This Row],[RECUPERO]]/VLOOKUP(D1_JUNIO[[#This Row],[SUPER]],D2_JUNIO[#All],2,0)</f>
        <v>0.15150769230769232</v>
      </c>
      <c r="F11" t="str">
        <f>D1_JUNIO[[#This Row],[SUPER]]</f>
        <v>SANDY</v>
      </c>
      <c r="L11">
        <v>3</v>
      </c>
      <c r="M11" s="1">
        <f t="shared" si="1"/>
        <v>0.6554461538461539</v>
      </c>
      <c r="N11" t="str" cm="1">
        <f t="array" ref="N11">IFERROR(_xlfn.IFS(M11&gt;100%,"&gt;100%",AND(M11&lt;100%,M11&gt;70%),"&gt;70%",AND(M11&lt;70%,M11&gt;40%),"&gt;40%",AND(M11&lt;40%,M11&gt;0%),"&gt;0%"),"")</f>
        <v>&gt;40%</v>
      </c>
      <c r="O11" t="str">
        <f t="shared" si="2"/>
        <v>JENNY LAZARO</v>
      </c>
      <c r="R11" s="15" t="s">
        <v>61</v>
      </c>
      <c r="S11" s="3">
        <v>1.4086712307692308</v>
      </c>
      <c r="U11" s="15" t="s">
        <v>11</v>
      </c>
      <c r="V11" s="3">
        <v>0.90316923076923072</v>
      </c>
      <c r="X11" s="15" t="s">
        <v>76</v>
      </c>
      <c r="Y11" s="3">
        <v>0.61761538461538457</v>
      </c>
      <c r="AA11" s="15" t="s">
        <v>37</v>
      </c>
      <c r="AB11" s="3">
        <v>0.37737704918032788</v>
      </c>
    </row>
    <row r="12" spans="1:28" x14ac:dyDescent="0.25">
      <c r="A12" t="s">
        <v>3</v>
      </c>
      <c r="B12" t="str">
        <f t="shared" si="0"/>
        <v/>
      </c>
      <c r="E12">
        <f>D1_JUNIO[[#This Row],[RECUPERO]]/VLOOKUP(D1_JUNIO[[#This Row],[SUPER]],D2_JUNIO[#All],2,0)</f>
        <v>0</v>
      </c>
      <c r="F12" t="str">
        <f>D1_JUNIO[[#This Row],[SUPER]]</f>
        <v>SANDY</v>
      </c>
      <c r="L12">
        <v>4</v>
      </c>
      <c r="M12" s="1">
        <f t="shared" si="1"/>
        <v>0.64032307692307688</v>
      </c>
      <c r="N12" t="str" cm="1">
        <f t="array" ref="N12">IFERROR(_xlfn.IFS(M12&gt;100%,"&gt;100%",AND(M12&lt;100%,M12&gt;70%),"&gt;70%",AND(M12&lt;70%,M12&gt;40%),"&gt;40%",AND(M12&lt;40%,M12&gt;0%),"&gt;0%"),"")</f>
        <v>&gt;40%</v>
      </c>
      <c r="O12" t="str">
        <f t="shared" si="2"/>
        <v>MALORY MONTEBLANCO</v>
      </c>
      <c r="R12" s="15" t="s">
        <v>75</v>
      </c>
      <c r="S12" s="3">
        <v>1.3104769230769231</v>
      </c>
      <c r="U12" s="15" t="s">
        <v>58</v>
      </c>
      <c r="V12" s="3">
        <v>0.87016923076923081</v>
      </c>
      <c r="X12" s="15" t="s">
        <v>79</v>
      </c>
      <c r="Y12" s="3">
        <v>0.59830769230769232</v>
      </c>
      <c r="AA12" s="15" t="s">
        <v>49</v>
      </c>
      <c r="AB12" s="3">
        <v>0.36593333333333333</v>
      </c>
    </row>
    <row r="13" spans="1:28" x14ac:dyDescent="0.25">
      <c r="A13" t="s">
        <v>3</v>
      </c>
      <c r="B13" t="str">
        <f t="shared" si="0"/>
        <v/>
      </c>
      <c r="E13">
        <f>D1_JUNIO[[#This Row],[RECUPERO]]/VLOOKUP(D1_JUNIO[[#This Row],[SUPER]],D2_JUNIO[#All],2,0)</f>
        <v>0</v>
      </c>
      <c r="F13" t="str">
        <f>D1_JUNIO[[#This Row],[SUPER]]</f>
        <v>SANDY</v>
      </c>
      <c r="H13" t="s">
        <v>107</v>
      </c>
      <c r="L13">
        <v>5</v>
      </c>
      <c r="M13" s="1">
        <f t="shared" si="1"/>
        <v>0.61761538461538457</v>
      </c>
      <c r="N13" t="str" cm="1">
        <f t="array" ref="N13">IFERROR(_xlfn.IFS(M13&gt;100%,"&gt;100%",AND(M13&lt;100%,M13&gt;70%),"&gt;70%",AND(M13&lt;70%,M13&gt;40%),"&gt;40%",AND(M13&lt;40%,M13&gt;0%),"&gt;0%"),"")</f>
        <v>&gt;40%</v>
      </c>
      <c r="O13" t="str">
        <f t="shared" si="2"/>
        <v>VICTOR RAMIREZ</v>
      </c>
      <c r="R13" s="15" t="s">
        <v>23</v>
      </c>
      <c r="S13" s="3">
        <v>1.2645999999999999</v>
      </c>
      <c r="U13" s="15" t="s">
        <v>14</v>
      </c>
      <c r="V13" s="3">
        <v>0.86429999999999985</v>
      </c>
      <c r="X13" s="15" t="s">
        <v>39</v>
      </c>
      <c r="Y13" s="3">
        <v>0.57720000000000005</v>
      </c>
      <c r="AA13" s="15" t="s">
        <v>129</v>
      </c>
      <c r="AB13" s="3">
        <v>0.35866666666666669</v>
      </c>
    </row>
    <row r="14" spans="1:28" x14ac:dyDescent="0.25">
      <c r="A14" t="s">
        <v>3</v>
      </c>
      <c r="B14" t="str">
        <f t="shared" si="0"/>
        <v/>
      </c>
      <c r="E14">
        <f>D1_JUNIO[[#This Row],[RECUPERO]]/VLOOKUP(D1_JUNIO[[#This Row],[SUPER]],D2_JUNIO[#All],2,0)</f>
        <v>0</v>
      </c>
      <c r="F14" t="str">
        <f>D1_JUNIO[[#This Row],[SUPER]]</f>
        <v>SANDY</v>
      </c>
      <c r="H14" s="27" t="s">
        <v>137</v>
      </c>
      <c r="L14">
        <v>6</v>
      </c>
      <c r="M14" s="1">
        <f t="shared" si="1"/>
        <v>0.54459999999999997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2"/>
        <v>ALEJANDRO GONZALES</v>
      </c>
      <c r="R14" s="15" t="s">
        <v>57</v>
      </c>
      <c r="S14" s="3">
        <v>1.1831230769230769</v>
      </c>
      <c r="U14" s="15" t="s">
        <v>10</v>
      </c>
      <c r="V14" s="3">
        <v>0.8567538461538462</v>
      </c>
      <c r="X14" s="15" t="s">
        <v>139</v>
      </c>
      <c r="Y14" s="3">
        <v>0.54459999999999997</v>
      </c>
      <c r="AA14" s="15" t="s">
        <v>81</v>
      </c>
      <c r="AB14" s="3">
        <v>0.35344262295081968</v>
      </c>
    </row>
    <row r="15" spans="1:28" x14ac:dyDescent="0.25">
      <c r="A15" t="s">
        <v>3</v>
      </c>
      <c r="B15" t="str">
        <f t="shared" si="0"/>
        <v/>
      </c>
      <c r="E15">
        <f>D1_JUNIO[[#This Row],[RECUPERO]]/VLOOKUP(D1_JUNIO[[#This Row],[SUPER]],D2_JUNIO[#All],2,0)</f>
        <v>0</v>
      </c>
      <c r="F15" t="str">
        <f>D1_JUNIO[[#This Row],[SUPER]]</f>
        <v>SANDY</v>
      </c>
      <c r="H15" s="27" t="s">
        <v>144</v>
      </c>
      <c r="L15">
        <v>7</v>
      </c>
      <c r="M15" s="1">
        <f t="shared" si="1"/>
        <v>0.3330769230769231</v>
      </c>
      <c r="N15" t="str" cm="1">
        <f t="array" ref="N15">IFERROR(_xlfn.IFS(M15&gt;100%,"&gt;100%",AND(M15&lt;100%,M15&gt;70%),"&gt;70%",AND(M15&lt;70%,M15&gt;40%),"&gt;40%",AND(M15&lt;40%,M15&gt;0%),"&gt;0%"),"")</f>
        <v>&gt;0%</v>
      </c>
      <c r="O15" t="str">
        <f t="shared" si="2"/>
        <v>MICHAEL TAFUR</v>
      </c>
      <c r="R15" s="15" t="s">
        <v>13</v>
      </c>
      <c r="S15" s="4">
        <v>1.0801807692307692</v>
      </c>
      <c r="U15" s="15" t="s">
        <v>27</v>
      </c>
      <c r="V15" s="3">
        <v>0.83660000000000012</v>
      </c>
      <c r="X15" s="15" t="s">
        <v>17</v>
      </c>
      <c r="Y15" s="3">
        <v>0.54201538461538457</v>
      </c>
      <c r="AA15" s="15" t="s">
        <v>133</v>
      </c>
      <c r="AB15" s="3">
        <v>0.34173333333333339</v>
      </c>
    </row>
    <row r="16" spans="1:28" x14ac:dyDescent="0.25">
      <c r="A16" t="s">
        <v>3</v>
      </c>
      <c r="B16" t="str">
        <f t="shared" si="0"/>
        <v/>
      </c>
      <c r="E16">
        <f>D1_JUNIO[[#This Row],[RECUPERO]]/VLOOKUP(D1_JUNIO[[#This Row],[SUPER]],D2_JUNIO[#All],2,0)</f>
        <v>0</v>
      </c>
      <c r="F16" t="str">
        <f>D1_JUNIO[[#This Row],[SUPER]]</f>
        <v>SANDY</v>
      </c>
      <c r="L16">
        <v>8</v>
      </c>
      <c r="M16" s="1">
        <f t="shared" si="1"/>
        <v>0.2153846153846154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2"/>
        <v>ANABEL SIHUE</v>
      </c>
      <c r="U16" s="15" t="s">
        <v>50</v>
      </c>
      <c r="V16" s="3">
        <v>0.819016393442623</v>
      </c>
      <c r="X16" s="15" t="s">
        <v>32</v>
      </c>
      <c r="Y16" s="3">
        <v>0.53271333333333337</v>
      </c>
      <c r="AA16" s="15" t="s">
        <v>134</v>
      </c>
      <c r="AB16" s="3">
        <v>0.3330769230769231</v>
      </c>
    </row>
    <row r="17" spans="1:28" x14ac:dyDescent="0.25">
      <c r="A17" t="s">
        <v>3</v>
      </c>
      <c r="B17" t="str">
        <f t="shared" si="0"/>
        <v/>
      </c>
      <c r="E17">
        <f>D1_JUNIO[[#This Row],[RECUPERO]]/VLOOKUP(D1_JUNIO[[#This Row],[SUPER]],D2_JUNIO[#All],2,0)</f>
        <v>0</v>
      </c>
      <c r="F17" t="str">
        <f>D1_JUNIO[[#This Row],[SUPER]]</f>
        <v>SANDY</v>
      </c>
      <c r="L17">
        <v>9</v>
      </c>
      <c r="M17" s="1">
        <f t="shared" si="1"/>
        <v>0.15150769230769232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2"/>
        <v>CHRISTIAN ALBUJAR</v>
      </c>
      <c r="U17" s="15" t="s">
        <v>132</v>
      </c>
      <c r="V17" s="3">
        <v>0.80760655737704923</v>
      </c>
      <c r="X17" s="15" t="s">
        <v>35</v>
      </c>
      <c r="Y17" s="3">
        <v>0.51557377049180331</v>
      </c>
      <c r="AA17" s="15" t="s">
        <v>43</v>
      </c>
      <c r="AB17" s="3">
        <v>0.32239999999999996</v>
      </c>
    </row>
    <row r="18" spans="1:28" x14ac:dyDescent="0.25">
      <c r="A18" t="s">
        <v>4</v>
      </c>
      <c r="B18" t="str">
        <f t="shared" si="0"/>
        <v>PIERINA TESEN</v>
      </c>
      <c r="C18" t="s">
        <v>59</v>
      </c>
      <c r="D18">
        <v>99180.58</v>
      </c>
      <c r="E18">
        <f>D1_JUNIO[[#This Row],[RECUPERO]]/VLOOKUP(D1_JUNIO[[#This Row],[SUPER]],D2_JUNIO[#All],2,0)</f>
        <v>1.525855076923077</v>
      </c>
      <c r="F18" t="str">
        <f>D1_JUNIO[[#This Row],[SUPER]]</f>
        <v>MELINA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U18" s="15" t="s">
        <v>41</v>
      </c>
      <c r="V18" s="3">
        <v>0.7861999999999999</v>
      </c>
      <c r="X18" s="15" t="s">
        <v>67</v>
      </c>
      <c r="Y18" s="3">
        <v>0.5121230769230769</v>
      </c>
      <c r="AA18" s="15" t="s">
        <v>44</v>
      </c>
      <c r="AB18" s="3">
        <v>0.32</v>
      </c>
    </row>
    <row r="19" spans="1:28" x14ac:dyDescent="0.25">
      <c r="A19" t="s">
        <v>4</v>
      </c>
      <c r="B19" t="str">
        <f t="shared" si="0"/>
        <v>CRISTINA TICONA</v>
      </c>
      <c r="C19" t="s">
        <v>61</v>
      </c>
      <c r="D19">
        <v>91563.63</v>
      </c>
      <c r="E19">
        <f>D1_JUNIO[[#This Row],[RECUPERO]]/VLOOKUP(D1_JUNIO[[#This Row],[SUPER]],D2_JUNIO[#All],2,0)</f>
        <v>1.4086712307692308</v>
      </c>
      <c r="F19" t="str">
        <f>D1_JUNIO[[#This Row],[SUPER]]</f>
        <v>MELINA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U19" s="15" t="s">
        <v>70</v>
      </c>
      <c r="V19" s="3">
        <v>0.77458461538461543</v>
      </c>
      <c r="X19" s="15" t="s">
        <v>12</v>
      </c>
      <c r="Y19" s="3">
        <v>0.50175384615384611</v>
      </c>
      <c r="AA19" s="15" t="s">
        <v>77</v>
      </c>
      <c r="AB19" s="3">
        <v>0.32</v>
      </c>
    </row>
    <row r="20" spans="1:28" x14ac:dyDescent="0.25">
      <c r="A20" t="s">
        <v>4</v>
      </c>
      <c r="B20" t="str">
        <f t="shared" si="0"/>
        <v>MARIA TINTAYA</v>
      </c>
      <c r="C20" t="s">
        <v>75</v>
      </c>
      <c r="D20">
        <v>85181</v>
      </c>
      <c r="E20">
        <f>D1_JUNIO[[#This Row],[RECUPERO]]/VLOOKUP(D1_JUNIO[[#This Row],[SUPER]],D2_JUNIO[#All],2,0)</f>
        <v>1.3104769230769231</v>
      </c>
      <c r="F20" t="str">
        <f>D1_JUNIO[[#This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U20" s="15" t="s">
        <v>83</v>
      </c>
      <c r="V20" s="3">
        <v>0.77326666666666655</v>
      </c>
      <c r="X20" s="15" t="s">
        <v>40</v>
      </c>
      <c r="Y20" s="3">
        <v>0.4940666666666666</v>
      </c>
      <c r="AA20" s="15" t="s">
        <v>51</v>
      </c>
      <c r="AB20" s="3">
        <v>0.30833333333333335</v>
      </c>
    </row>
    <row r="21" spans="1:28" x14ac:dyDescent="0.25">
      <c r="A21" t="s">
        <v>4</v>
      </c>
      <c r="B21" t="str">
        <f t="shared" si="0"/>
        <v>JAIR MARTINEZ</v>
      </c>
      <c r="C21" t="s">
        <v>57</v>
      </c>
      <c r="D21">
        <v>76903</v>
      </c>
      <c r="E21">
        <f>D1_JUNIO[[#This Row],[RECUPERO]]/VLOOKUP(D1_JUNIO[[#This Row],[SUPER]],D2_JUNIO[#All],2,0)</f>
        <v>1.1831230769230769</v>
      </c>
      <c r="F21" t="str">
        <f>D1_JUNIO[[#This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U21" s="15" t="s">
        <v>128</v>
      </c>
      <c r="V21" s="3">
        <v>0.75399999999999989</v>
      </c>
      <c r="X21" s="15" t="s">
        <v>56</v>
      </c>
      <c r="Y21" s="3">
        <v>0.48286666666666672</v>
      </c>
      <c r="AA21" s="15" t="s">
        <v>86</v>
      </c>
      <c r="AB21" s="3">
        <v>0.30121538461538461</v>
      </c>
    </row>
    <row r="22" spans="1:28" x14ac:dyDescent="0.25">
      <c r="A22" t="s">
        <v>4</v>
      </c>
      <c r="B22" t="str">
        <f t="shared" si="0"/>
        <v>JHONATAN CHAVEZ</v>
      </c>
      <c r="C22" t="s">
        <v>65</v>
      </c>
      <c r="D22">
        <v>60423</v>
      </c>
      <c r="E22">
        <f>D1_JUNIO[[#This Row],[RECUPERO]]/VLOOKUP(D1_JUNIO[[#This Row],[SUPER]],D2_JUNIO[#All],2,0)</f>
        <v>0.92958461538461534</v>
      </c>
      <c r="F22" t="str">
        <f>D1_JUNIO[[#This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U22" s="15" t="s">
        <v>72</v>
      </c>
      <c r="V22" s="4">
        <v>0.75239999999999996</v>
      </c>
      <c r="X22" s="15" t="s">
        <v>74</v>
      </c>
      <c r="Y22" s="3">
        <v>0.47706666666666675</v>
      </c>
      <c r="AA22" s="15" t="s">
        <v>85</v>
      </c>
      <c r="AB22" s="3">
        <v>0.28987692307692309</v>
      </c>
    </row>
    <row r="23" spans="1:28" x14ac:dyDescent="0.25">
      <c r="A23" t="s">
        <v>4</v>
      </c>
      <c r="B23" t="str">
        <f t="shared" si="0"/>
        <v>MELISSA GUERRERO</v>
      </c>
      <c r="C23" t="s">
        <v>62</v>
      </c>
      <c r="D23">
        <v>25098</v>
      </c>
      <c r="E23">
        <f>D1_JUNIO[[#This Row],[RECUPERO]]/VLOOKUP(D1_JUNIO[[#This Row],[SUPER]],D2_JUNIO[#All],2,0)</f>
        <v>0.3861230769230769</v>
      </c>
      <c r="F23" t="str">
        <f>D1_JUNIO[[#This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X23" s="15" t="s">
        <v>66</v>
      </c>
      <c r="Y23" s="3">
        <v>0.47669230769230769</v>
      </c>
      <c r="AA23" s="15" t="s">
        <v>36</v>
      </c>
      <c r="AB23" s="3">
        <v>0.26721311475409837</v>
      </c>
    </row>
    <row r="24" spans="1:28" x14ac:dyDescent="0.25">
      <c r="A24" t="s">
        <v>4</v>
      </c>
      <c r="B24" t="str">
        <f t="shared" si="0"/>
        <v>RICHARD RODRIGUEZ</v>
      </c>
      <c r="C24" t="s">
        <v>63</v>
      </c>
      <c r="D24">
        <v>13635</v>
      </c>
      <c r="E24">
        <f>D1_JUNIO[[#This Row],[RECUPERO]]/VLOOKUP(D1_JUNIO[[#This Row],[SUPER]],D2_JUNIO[#All],2,0)</f>
        <v>0.20976923076923076</v>
      </c>
      <c r="F24" t="str">
        <f>D1_JUNIO[[#This Row],[SUPER]]</f>
        <v>MELINA</v>
      </c>
      <c r="L24">
        <v>1</v>
      </c>
      <c r="M24" s="1">
        <f t="shared" si="1"/>
        <v>1.525855076923077</v>
      </c>
      <c r="N24" t="str" cm="1">
        <f t="array" ref="N24">IFERROR(_xlfn.IFS(M24&gt;100%,"&gt;100%",AND(M24&lt;100%,M24&gt;70%),"&gt;70%",AND(M24&lt;70%,M24&gt;40%),"&gt;40%",AND(M24&lt;40%,M24&gt;0%),"&gt;0%"),"")</f>
        <v>&gt;100%</v>
      </c>
      <c r="O24" t="str">
        <f t="shared" si="2"/>
        <v>PIERINA TESEN</v>
      </c>
      <c r="X24" s="15" t="s">
        <v>73</v>
      </c>
      <c r="Y24" s="3">
        <v>0.47320000000000001</v>
      </c>
      <c r="AA24" s="15" t="s">
        <v>16</v>
      </c>
      <c r="AB24" s="3">
        <v>0.25192307692307692</v>
      </c>
    </row>
    <row r="25" spans="1:28" x14ac:dyDescent="0.25">
      <c r="A25" t="s">
        <v>4</v>
      </c>
      <c r="B25" t="str">
        <f t="shared" si="0"/>
        <v>MICAELA PEREZ</v>
      </c>
      <c r="C25" t="s">
        <v>64</v>
      </c>
      <c r="D25">
        <v>7929</v>
      </c>
      <c r="E25">
        <f>D1_JUNIO[[#This Row],[RECUPERO]]/VLOOKUP(D1_JUNIO[[#This Row],[SUPER]],D2_JUNIO[#All],2,0)</f>
        <v>0.12198461538461539</v>
      </c>
      <c r="F25" t="str">
        <f>D1_JUNIO[[#This Row],[SUPER]]</f>
        <v>MELINA</v>
      </c>
      <c r="L25">
        <v>2</v>
      </c>
      <c r="M25" s="1">
        <f t="shared" si="1"/>
        <v>1.4086712307692308</v>
      </c>
      <c r="N25" t="str" cm="1">
        <f t="array" ref="N25">IFERROR(_xlfn.IFS(M25&gt;100%,"&gt;100%",AND(M25&lt;100%,M25&gt;70%),"&gt;70%",AND(M25&lt;70%,M25&gt;40%),"&gt;40%",AND(M25&lt;40%,M25&gt;0%),"&gt;0%"),"")</f>
        <v>&gt;100%</v>
      </c>
      <c r="O25" t="str">
        <f t="shared" si="2"/>
        <v>CRISTINA TICONA</v>
      </c>
      <c r="X25" s="15" t="s">
        <v>38</v>
      </c>
      <c r="Y25" s="3">
        <v>0.47153333333333342</v>
      </c>
      <c r="AA25" s="15" t="s">
        <v>48</v>
      </c>
      <c r="AB25" s="3">
        <v>0.24433333333333329</v>
      </c>
    </row>
    <row r="26" spans="1:28" x14ac:dyDescent="0.25">
      <c r="A26" t="s">
        <v>4</v>
      </c>
      <c r="B26" t="str">
        <f t="shared" si="0"/>
        <v>CINTHYA PAUCAR</v>
      </c>
      <c r="C26" t="s">
        <v>82</v>
      </c>
      <c r="D26">
        <v>7790</v>
      </c>
      <c r="E26">
        <f>D1_JUNIO[[#This Row],[RECUPERO]]/VLOOKUP(D1_JUNIO[[#This Row],[SUPER]],D2_JUNIO[#All],2,0)</f>
        <v>0.11984615384615385</v>
      </c>
      <c r="F26" t="str">
        <f>D1_JUNIO[[#This Row],[SUPER]]</f>
        <v>MELINA</v>
      </c>
      <c r="L26">
        <v>3</v>
      </c>
      <c r="M26" s="1">
        <f t="shared" si="1"/>
        <v>1.3104769230769231</v>
      </c>
      <c r="N26" t="str" cm="1">
        <f t="array" ref="N26">IFERROR(_xlfn.IFS(M26&gt;100%,"&gt;100%",AND(M26&lt;100%,M26&gt;70%),"&gt;70%",AND(M26&lt;70%,M26&gt;40%),"&gt;40%",AND(M26&lt;40%,M26&gt;0%),"&gt;0%"),"")</f>
        <v>&gt;100%</v>
      </c>
      <c r="O26" t="str">
        <f t="shared" si="2"/>
        <v>MARIA TINTAYA</v>
      </c>
      <c r="X26" s="15" t="s">
        <v>42</v>
      </c>
      <c r="Y26" s="3">
        <v>0.46813333333333329</v>
      </c>
      <c r="AA26" s="15" t="s">
        <v>54</v>
      </c>
      <c r="AB26" s="3">
        <v>0.2153846153846154</v>
      </c>
    </row>
    <row r="27" spans="1:28" x14ac:dyDescent="0.25">
      <c r="A27" t="s">
        <v>4</v>
      </c>
      <c r="B27" t="str">
        <f t="shared" si="0"/>
        <v/>
      </c>
      <c r="E27">
        <f>D1_JUNIO[[#This Row],[RECUPERO]]/VLOOKUP(D1_JUNIO[[#This Row],[SUPER]],D2_JUNIO[#All],2,0)</f>
        <v>0</v>
      </c>
      <c r="F27" t="str">
        <f>D1_JUNIO[[#This Row],[SUPER]]</f>
        <v>MELINA</v>
      </c>
      <c r="L27">
        <v>4</v>
      </c>
      <c r="M27" s="1">
        <f t="shared" si="1"/>
        <v>1.1831230769230769</v>
      </c>
      <c r="N27" t="str" cm="1">
        <f t="array" ref="N27">IFERROR(_xlfn.IFS(M27&gt;100%,"&gt;100%",AND(M27&lt;100%,M27&gt;70%),"&gt;70%",AND(M27&lt;70%,M27&gt;40%),"&gt;40%",AND(M27&lt;40%,M27&gt;0%),"&gt;0%"),"")</f>
        <v>&gt;100%</v>
      </c>
      <c r="O27" t="str">
        <f t="shared" si="2"/>
        <v>JAIR MARTINEZ</v>
      </c>
      <c r="X27" s="15" t="s">
        <v>19</v>
      </c>
      <c r="Y27" s="3">
        <v>0.44685245901639342</v>
      </c>
      <c r="AA27" s="15" t="s">
        <v>63</v>
      </c>
      <c r="AB27" s="3">
        <v>0.20976923076923076</v>
      </c>
    </row>
    <row r="28" spans="1:28" x14ac:dyDescent="0.25">
      <c r="A28" t="s">
        <v>4</v>
      </c>
      <c r="B28" t="str">
        <f t="shared" si="0"/>
        <v/>
      </c>
      <c r="E28">
        <f>D1_JUNIO[[#This Row],[RECUPERO]]/VLOOKUP(D1_JUNIO[[#This Row],[SUPER]],D2_JUNIO[#All],2,0)</f>
        <v>0</v>
      </c>
      <c r="F28" t="str">
        <f>D1_JUNIO[[#This Row],[SUPER]]</f>
        <v>MELINA</v>
      </c>
      <c r="L28">
        <v>5</v>
      </c>
      <c r="M28" s="1">
        <f t="shared" si="1"/>
        <v>0.92958461538461534</v>
      </c>
      <c r="N28" t="str" cm="1">
        <f t="array" ref="N28">IFERROR(_xlfn.IFS(M28&gt;100%,"&gt;100%",AND(M28&lt;100%,M28&gt;70%),"&gt;70%",AND(M28&lt;70%,M28&gt;40%),"&gt;40%",AND(M28&lt;40%,M28&gt;0%),"&gt;0%"),"")</f>
        <v>&gt;70%</v>
      </c>
      <c r="O28" t="str">
        <f t="shared" si="2"/>
        <v>JHONATAN CHAVEZ</v>
      </c>
      <c r="X28" s="15" t="s">
        <v>31</v>
      </c>
      <c r="Y28" s="3">
        <v>0.43803278688524588</v>
      </c>
      <c r="AA28" s="15" t="s">
        <v>84</v>
      </c>
      <c r="AB28" s="3">
        <v>0.20480000000000001</v>
      </c>
    </row>
    <row r="29" spans="1:28" x14ac:dyDescent="0.25">
      <c r="A29" t="s">
        <v>4</v>
      </c>
      <c r="B29" t="str">
        <f t="shared" si="0"/>
        <v/>
      </c>
      <c r="E29">
        <f>D1_JUNIO[[#This Row],[RECUPERO]]/VLOOKUP(D1_JUNIO[[#This Row],[SUPER]],D2_JUNIO[#All],2,0)</f>
        <v>0</v>
      </c>
      <c r="F29" t="str">
        <f>D1_JUNIO[[#This Row],[SUPER]]</f>
        <v>MELINA</v>
      </c>
      <c r="L29">
        <v>6</v>
      </c>
      <c r="M29" s="1">
        <f t="shared" si="1"/>
        <v>0.3861230769230769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2"/>
        <v>MELISSA GUERRERO</v>
      </c>
      <c r="X29" s="15" t="s">
        <v>68</v>
      </c>
      <c r="Y29" s="4">
        <v>0.42841538461538464</v>
      </c>
      <c r="AA29" s="15" t="s">
        <v>53</v>
      </c>
      <c r="AB29" s="3">
        <v>0.15150769230769232</v>
      </c>
    </row>
    <row r="30" spans="1:28" x14ac:dyDescent="0.25">
      <c r="A30" t="s">
        <v>4</v>
      </c>
      <c r="B30" t="str">
        <f t="shared" si="0"/>
        <v/>
      </c>
      <c r="E30">
        <f>D1_JUNIO[[#This Row],[RECUPERO]]/VLOOKUP(D1_JUNIO[[#This Row],[SUPER]],D2_JUNIO[#All],2,0)</f>
        <v>0</v>
      </c>
      <c r="F30" t="str">
        <f>D1_JUNIO[[#This Row],[SUPER]]</f>
        <v>MELINA</v>
      </c>
      <c r="L30">
        <v>7</v>
      </c>
      <c r="M30" s="1">
        <f t="shared" si="1"/>
        <v>0.20976923076923076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2"/>
        <v>RICHARD RODRIGUEZ</v>
      </c>
      <c r="AA30" s="15" t="s">
        <v>45</v>
      </c>
      <c r="AB30" s="3">
        <v>0.14546666666666666</v>
      </c>
    </row>
    <row r="31" spans="1:28" x14ac:dyDescent="0.25">
      <c r="A31" t="s">
        <v>4</v>
      </c>
      <c r="B31" t="str">
        <f t="shared" si="0"/>
        <v/>
      </c>
      <c r="E31">
        <f>D1_JUNIO[[#This Row],[RECUPERO]]/VLOOKUP(D1_JUNIO[[#This Row],[SUPER]],D2_JUNIO[#All],2,0)</f>
        <v>0</v>
      </c>
      <c r="F31" t="str">
        <f>D1_JUNIO[[#This Row],[SUPER]]</f>
        <v>MELINA</v>
      </c>
      <c r="L31">
        <v>8</v>
      </c>
      <c r="M31" s="1">
        <f t="shared" si="1"/>
        <v>0.12198461538461539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2"/>
        <v>MICAELA PEREZ</v>
      </c>
      <c r="AA31" s="15" t="s">
        <v>33</v>
      </c>
      <c r="AB31" s="3">
        <v>0.13400666666666669</v>
      </c>
    </row>
    <row r="32" spans="1:28" x14ac:dyDescent="0.25">
      <c r="A32" t="s">
        <v>4</v>
      </c>
      <c r="B32" t="str">
        <f t="shared" si="0"/>
        <v/>
      </c>
      <c r="E32">
        <f>D1_JUNIO[[#This Row],[RECUPERO]]/VLOOKUP(D1_JUNIO[[#This Row],[SUPER]],D2_JUNIO[#All],2,0)</f>
        <v>0</v>
      </c>
      <c r="F32" t="str">
        <f>D1_JUNIO[[#This Row],[SUPER]]</f>
        <v>MELINA</v>
      </c>
      <c r="L32">
        <v>9</v>
      </c>
      <c r="M32" s="1">
        <f t="shared" si="1"/>
        <v>0.11984615384615385</v>
      </c>
      <c r="N32" t="str" cm="1">
        <f t="array" ref="N32">IFERROR(_xlfn.IFS(M32&gt;100%,"&gt;100%",AND(M32&lt;100%,M32&gt;70%),"&gt;70%",AND(M32&lt;70%,M32&gt;40%),"&gt;40%",AND(M32&lt;40%,M32&gt;0%),"&gt;0%"),"")</f>
        <v>&gt;0%</v>
      </c>
      <c r="O32" t="str">
        <f t="shared" si="2"/>
        <v>CINTHYA PAUCAR</v>
      </c>
      <c r="AA32" s="15" t="s">
        <v>64</v>
      </c>
      <c r="AB32" s="3">
        <v>0.12198461538461539</v>
      </c>
    </row>
    <row r="33" spans="1:28" x14ac:dyDescent="0.25">
      <c r="A33" t="s">
        <v>2</v>
      </c>
      <c r="B33" t="str">
        <f t="shared" si="0"/>
        <v>GIANFRANCO PINEDO</v>
      </c>
      <c r="C33" t="s">
        <v>13</v>
      </c>
      <c r="D33">
        <v>70211.75</v>
      </c>
      <c r="E33">
        <f>D1_JUNIO[[#This Row],[RECUPERO]]/VLOOKUP(D1_JUNIO[[#This Row],[SUPER]],D2_JUNIO[#All],2,0)</f>
        <v>1.0801807692307692</v>
      </c>
      <c r="F33" t="str">
        <f>D1_JUNIO[[#This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AA33" s="15" t="s">
        <v>82</v>
      </c>
      <c r="AB33" s="3">
        <v>0.11984615384615385</v>
      </c>
    </row>
    <row r="34" spans="1:28" x14ac:dyDescent="0.25">
      <c r="A34" t="s">
        <v>2</v>
      </c>
      <c r="B34" t="str">
        <f t="shared" si="0"/>
        <v>MILAGROS QUIO</v>
      </c>
      <c r="C34" t="s">
        <v>11</v>
      </c>
      <c r="D34">
        <v>58706</v>
      </c>
      <c r="E34">
        <f>D1_JUNIO[[#This Row],[RECUPERO]]/VLOOKUP(D1_JUNIO[[#This Row],[SUPER]],D2_JUNIO[#All],2,0)</f>
        <v>0.90316923076923072</v>
      </c>
      <c r="F34" t="str">
        <f>D1_JUNIO[[#This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  <c r="AA34" s="15" t="s">
        <v>140</v>
      </c>
      <c r="AB34" s="3">
        <v>7.6131147540983601E-2</v>
      </c>
    </row>
    <row r="35" spans="1:28" x14ac:dyDescent="0.25">
      <c r="A35" t="s">
        <v>2</v>
      </c>
      <c r="B35" t="str">
        <f t="shared" si="0"/>
        <v>VERONICA TASAYCO</v>
      </c>
      <c r="C35" t="s">
        <v>10</v>
      </c>
      <c r="D35">
        <v>55689</v>
      </c>
      <c r="E35">
        <f>D1_JUNIO[[#This Row],[RECUPERO]]/VLOOKUP(D1_JUNIO[[#This Row],[SUPER]],D2_JUNIO[#All],2,0)</f>
        <v>0.8567538461538462</v>
      </c>
      <c r="F35" t="str">
        <f>D1_JUNIO[[#This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AA35" s="15" t="s">
        <v>141</v>
      </c>
      <c r="AB35" s="3">
        <v>5.0866666666666671E-2</v>
      </c>
    </row>
    <row r="36" spans="1:28" x14ac:dyDescent="0.25">
      <c r="A36" t="s">
        <v>2</v>
      </c>
      <c r="B36" t="str">
        <f t="shared" si="0"/>
        <v>MARGARITA PIANCHACHI</v>
      </c>
      <c r="C36" t="s">
        <v>17</v>
      </c>
      <c r="D36">
        <v>35231</v>
      </c>
      <c r="E36">
        <f>D1_JUNIO[[#This Row],[RECUPERO]]/VLOOKUP(D1_JUNIO[[#This Row],[SUPER]],D2_JUNIO[#All],2,0)</f>
        <v>0.54201538461538457</v>
      </c>
      <c r="F36" t="str">
        <f>D1_JUNIO[[#This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  <c r="AA36" s="15" t="s">
        <v>142</v>
      </c>
      <c r="AB36" s="3">
        <v>4.6666666666666669E-2</v>
      </c>
    </row>
    <row r="37" spans="1:28" x14ac:dyDescent="0.25">
      <c r="A37" t="s">
        <v>2</v>
      </c>
      <c r="B37" t="str">
        <f t="shared" si="0"/>
        <v>GENESIS VICUNA</v>
      </c>
      <c r="C37" t="s">
        <v>12</v>
      </c>
      <c r="D37">
        <v>32614</v>
      </c>
      <c r="E37">
        <f>D1_JUNIO[[#This Row],[RECUPERO]]/VLOOKUP(D1_JUNIO[[#This Row],[SUPER]],D2_JUNIO[#All],2,0)</f>
        <v>0.50175384615384611</v>
      </c>
      <c r="F37" t="str">
        <f>D1_JUNIO[[#This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  <c r="AA37" s="15" t="s">
        <v>30</v>
      </c>
      <c r="AB37" s="4">
        <v>2.3333333333333334E-2</v>
      </c>
    </row>
    <row r="38" spans="1:28" x14ac:dyDescent="0.25">
      <c r="A38" t="s">
        <v>2</v>
      </c>
      <c r="B38" t="str">
        <f t="shared" si="0"/>
        <v>JUAN ALANOCCA</v>
      </c>
      <c r="C38" t="s">
        <v>77</v>
      </c>
      <c r="D38">
        <v>20800</v>
      </c>
      <c r="E38">
        <f>D1_JUNIO[[#This Row],[RECUPERO]]/VLOOKUP(D1_JUNIO[[#This Row],[SUPER]],D2_JUNIO[#All],2,0)</f>
        <v>0.32</v>
      </c>
      <c r="F38" t="str">
        <f>D1_JUNIO[[#This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</row>
    <row r="39" spans="1:28" x14ac:dyDescent="0.25">
      <c r="A39" t="s">
        <v>2</v>
      </c>
      <c r="B39" t="str">
        <f t="shared" si="0"/>
        <v>SOLMAIRA BRAVO</v>
      </c>
      <c r="C39" t="s">
        <v>86</v>
      </c>
      <c r="D39">
        <v>19579</v>
      </c>
      <c r="E39">
        <f>D1_JUNIO[[#This Row],[RECUPERO]]/VLOOKUP(D1_JUNIO[[#This Row],[SUPER]],D2_JUNIO[#All],2,0)</f>
        <v>0.30121538461538461</v>
      </c>
      <c r="F39" t="str">
        <f>D1_JUNIO[[#This Row],[SUPER]]</f>
        <v>JORGE</v>
      </c>
      <c r="L39">
        <v>1</v>
      </c>
      <c r="M39" s="1">
        <f t="shared" si="1"/>
        <v>1.0801807692307692</v>
      </c>
      <c r="N39" t="str" cm="1">
        <f t="array" ref="N39">IFERROR(_xlfn.IFS(M39&gt;100%,"&gt;100%",AND(M39&lt;100%,M39&gt;70%),"&gt;70%",AND(M39&lt;70%,M39&gt;40%),"&gt;40%",AND(M39&lt;40%,M39&gt;0%),"&gt;0%"),"")</f>
        <v>&gt;100%</v>
      </c>
      <c r="O39" t="str">
        <f t="shared" si="2"/>
        <v>GIANFRANCO PINEDO</v>
      </c>
    </row>
    <row r="40" spans="1:28" x14ac:dyDescent="0.25">
      <c r="A40" t="s">
        <v>2</v>
      </c>
      <c r="B40" t="str">
        <f t="shared" si="0"/>
        <v>FRANS TACSI</v>
      </c>
      <c r="C40" t="s">
        <v>16</v>
      </c>
      <c r="D40">
        <v>16375</v>
      </c>
      <c r="E40">
        <f>D1_JUNIO[[#This Row],[RECUPERO]]/VLOOKUP(D1_JUNIO[[#This Row],[SUPER]],D2_JUNIO[#All],2,0)</f>
        <v>0.25192307692307692</v>
      </c>
      <c r="F40" t="str">
        <f>D1_JUNIO[[#This Row],[SUPER]]</f>
        <v>JORGE</v>
      </c>
      <c r="L40">
        <v>2</v>
      </c>
      <c r="M40" s="1">
        <f t="shared" si="1"/>
        <v>0.90316923076923072</v>
      </c>
      <c r="N40" t="str" cm="1">
        <f t="array" ref="N40">IFERROR(_xlfn.IFS(M40&gt;100%,"&gt;100%",AND(M40&lt;100%,M40&gt;70%),"&gt;70%",AND(M40&lt;70%,M40&gt;40%),"&gt;40%",AND(M40&lt;40%,M40&gt;0%),"&gt;0%"),"")</f>
        <v>&gt;70%</v>
      </c>
      <c r="O40" t="str">
        <f t="shared" si="2"/>
        <v>MILAGROS QUIO</v>
      </c>
    </row>
    <row r="41" spans="1:28" x14ac:dyDescent="0.25">
      <c r="A41" t="s">
        <v>2</v>
      </c>
      <c r="B41" t="str">
        <f t="shared" si="0"/>
        <v/>
      </c>
      <c r="E41">
        <f>D1_JUNIO[[#This Row],[RECUPERO]]/VLOOKUP(D1_JUNIO[[#This Row],[SUPER]],D2_JUNIO[#All],2,0)</f>
        <v>0</v>
      </c>
      <c r="F41" t="str">
        <f>D1_JUNIO[[#This Row],[SUPER]]</f>
        <v>JORGE</v>
      </c>
      <c r="L41">
        <v>3</v>
      </c>
      <c r="M41" s="1">
        <f t="shared" si="1"/>
        <v>0.8567538461538462</v>
      </c>
      <c r="N41" t="str" cm="1">
        <f t="array" ref="N41">IFERROR(_xlfn.IFS(M41&gt;100%,"&gt;100%",AND(M41&lt;100%,M41&gt;70%),"&gt;70%",AND(M41&lt;70%,M41&gt;40%),"&gt;40%",AND(M41&lt;40%,M41&gt;0%),"&gt;0%"),"")</f>
        <v>&gt;70%</v>
      </c>
      <c r="O41" t="str">
        <f t="shared" si="2"/>
        <v>VERONICA TASAYCO</v>
      </c>
    </row>
    <row r="42" spans="1:28" x14ac:dyDescent="0.25">
      <c r="A42" t="s">
        <v>2</v>
      </c>
      <c r="B42" t="str">
        <f t="shared" si="0"/>
        <v/>
      </c>
      <c r="E42">
        <f>D1_JUNIO[[#This Row],[RECUPERO]]/VLOOKUP(D1_JUNIO[[#This Row],[SUPER]],D2_JUNIO[#All],2,0)</f>
        <v>0</v>
      </c>
      <c r="F42" t="str">
        <f>D1_JUNIO[[#This Row],[SUPER]]</f>
        <v>JORGE</v>
      </c>
      <c r="L42">
        <v>4</v>
      </c>
      <c r="M42" s="1">
        <f t="shared" si="1"/>
        <v>0.54201538461538457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2"/>
        <v>MARGARITA PIANCHACHI</v>
      </c>
    </row>
    <row r="43" spans="1:28" x14ac:dyDescent="0.25">
      <c r="A43" t="s">
        <v>2</v>
      </c>
      <c r="B43" t="str">
        <f t="shared" si="0"/>
        <v/>
      </c>
      <c r="E43">
        <f>D1_JUNIO[[#This Row],[RECUPERO]]/VLOOKUP(D1_JUNIO[[#This Row],[SUPER]],D2_JUNIO[#All],2,0)</f>
        <v>0</v>
      </c>
      <c r="F43" t="str">
        <f>D1_JUNIO[[#This Row],[SUPER]]</f>
        <v>JORGE</v>
      </c>
      <c r="L43">
        <v>5</v>
      </c>
      <c r="M43" s="1">
        <f t="shared" si="1"/>
        <v>0.50175384615384611</v>
      </c>
      <c r="N43" t="str" cm="1">
        <f t="array" ref="N43">IFERROR(_xlfn.IFS(M43&gt;100%,"&gt;100%",AND(M43&lt;100%,M43&gt;70%),"&gt;70%",AND(M43&lt;70%,M43&gt;40%),"&gt;40%",AND(M43&lt;40%,M43&gt;0%),"&gt;0%"),"")</f>
        <v>&gt;40%</v>
      </c>
      <c r="O43" t="str">
        <f t="shared" si="2"/>
        <v>GENESIS VICUNA</v>
      </c>
    </row>
    <row r="44" spans="1:28" x14ac:dyDescent="0.25">
      <c r="A44" t="s">
        <v>2</v>
      </c>
      <c r="B44" t="str">
        <f t="shared" si="0"/>
        <v/>
      </c>
      <c r="E44">
        <f>D1_JUNIO[[#This Row],[RECUPERO]]/VLOOKUP(D1_JUNIO[[#This Row],[SUPER]],D2_JUNIO[#All],2,0)</f>
        <v>0</v>
      </c>
      <c r="F44" t="str">
        <f>D1_JUNIO[[#This Row],[SUPER]]</f>
        <v>JORGE</v>
      </c>
      <c r="L44">
        <v>6</v>
      </c>
      <c r="M44" s="1">
        <f t="shared" si="1"/>
        <v>0.32</v>
      </c>
      <c r="N44" t="str" cm="1">
        <f t="array" ref="N44">IFERROR(_xlfn.IFS(M44&gt;100%,"&gt;100%",AND(M44&lt;100%,M44&gt;70%),"&gt;70%",AND(M44&lt;70%,M44&gt;40%),"&gt;40%",AND(M44&lt;40%,M44&gt;0%),"&gt;0%"),"")</f>
        <v>&gt;0%</v>
      </c>
      <c r="O44" t="str">
        <f t="shared" si="2"/>
        <v>JUAN ALANOCCA</v>
      </c>
    </row>
    <row r="45" spans="1:28" x14ac:dyDescent="0.25">
      <c r="A45" t="s">
        <v>2</v>
      </c>
      <c r="B45" t="str">
        <f t="shared" si="0"/>
        <v/>
      </c>
      <c r="E45">
        <f>D1_JUNIO[[#This Row],[RECUPERO]]/VLOOKUP(D1_JUNIO[[#This Row],[SUPER]],D2_JUNIO[#All],2,0)</f>
        <v>0</v>
      </c>
      <c r="F45" t="str">
        <f>D1_JUNIO[[#This Row],[SUPER]]</f>
        <v>JORGE</v>
      </c>
      <c r="L45">
        <v>7</v>
      </c>
      <c r="M45" s="1">
        <f t="shared" si="1"/>
        <v>0.30121538461538461</v>
      </c>
      <c r="N45" t="str" cm="1">
        <f t="array" ref="N45">IFERROR(_xlfn.IFS(M45&gt;100%,"&gt;100%",AND(M45&lt;100%,M45&gt;70%),"&gt;70%",AND(M45&lt;70%,M45&gt;40%),"&gt;40%",AND(M45&lt;40%,M45&gt;0%),"&gt;0%"),"")</f>
        <v>&gt;0%</v>
      </c>
      <c r="O45" t="str">
        <f t="shared" si="2"/>
        <v>SOLMAIRA BRAVO</v>
      </c>
    </row>
    <row r="46" spans="1:28" x14ac:dyDescent="0.25">
      <c r="A46" t="s">
        <v>2</v>
      </c>
      <c r="B46" t="str">
        <f t="shared" si="0"/>
        <v/>
      </c>
      <c r="E46">
        <f>D1_JUNIO[[#This Row],[RECUPERO]]/VLOOKUP(D1_JUNIO[[#This Row],[SUPER]],D2_JUNIO[#All],2,0)</f>
        <v>0</v>
      </c>
      <c r="F46" t="str">
        <f>D1_JUNIO[[#This Row],[SUPER]]</f>
        <v>JORGE</v>
      </c>
      <c r="L46">
        <v>8</v>
      </c>
      <c r="M46" s="1">
        <f t="shared" si="1"/>
        <v>0.25192307692307692</v>
      </c>
      <c r="N46" t="str" cm="1">
        <f t="array" ref="N46">IFERROR(_xlfn.IFS(M46&gt;100%,"&gt;100%",AND(M46&lt;100%,M46&gt;70%),"&gt;70%",AND(M46&lt;70%,M46&gt;40%),"&gt;40%",AND(M46&lt;40%,M46&gt;0%),"&gt;0%"),"")</f>
        <v>&gt;0%</v>
      </c>
      <c r="O46" t="str">
        <f t="shared" si="2"/>
        <v>FRANS TACSI</v>
      </c>
    </row>
    <row r="47" spans="1:28" x14ac:dyDescent="0.25">
      <c r="A47" t="s">
        <v>2</v>
      </c>
      <c r="B47" t="str">
        <f t="shared" si="0"/>
        <v/>
      </c>
      <c r="E47">
        <f>D1_JUNIO[[#This Row],[RECUPERO]]/VLOOKUP(D1_JUNIO[[#This Row],[SUPER]],D2_JUNIO[#All],2,0)</f>
        <v>0</v>
      </c>
      <c r="F47" t="str">
        <f>D1_JUNIO[[#This Row],[SUPER]]</f>
        <v>JORGE</v>
      </c>
      <c r="L47">
        <v>9</v>
      </c>
      <c r="M47" s="1">
        <f t="shared" si="1"/>
        <v>0</v>
      </c>
      <c r="N47" t="str" cm="1">
        <f t="array" ref="N47">IFERROR(_xlfn.IFS(M47&gt;100%,"&gt;100%",AND(M47&lt;100%,M47&gt;70%),"&gt;70%",AND(M47&lt;70%,M47&gt;40%),"&gt;40%",AND(M47&lt;40%,M47&gt;0%),"&gt;0%"),"")</f>
        <v/>
      </c>
      <c r="O47" t="str">
        <f t="shared" si="2"/>
        <v/>
      </c>
    </row>
    <row r="48" spans="1:28" x14ac:dyDescent="0.25">
      <c r="A48" t="s">
        <v>5</v>
      </c>
      <c r="B48" t="str">
        <f t="shared" si="0"/>
        <v>ALEJANDRA QUISPE</v>
      </c>
      <c r="C48" t="s">
        <v>58</v>
      </c>
      <c r="D48">
        <v>56561</v>
      </c>
      <c r="E48">
        <f>D1_JUNIO[[#This Row],[RECUPERO]]/VLOOKUP(D1_JUNIO[[#This Row],[SUPER]],D2_JUNIO[#All],2,0)</f>
        <v>0.87016923076923081</v>
      </c>
      <c r="F48" t="str">
        <f>D1_JUNIO[[#This Row],[SUPER]]</f>
        <v>JORDAN</v>
      </c>
      <c r="L48">
        <v>10</v>
      </c>
      <c r="M48" s="1">
        <f t="shared" si="1"/>
        <v>0</v>
      </c>
      <c r="N48" t="str" cm="1">
        <f t="array" ref="N48">IFERROR(_xlfn.IFS(M48&gt;100%,"&gt;100%",AND(M48&lt;100%,M48&gt;70%),"&gt;70%",AND(M48&lt;70%,M48&gt;40%),"&gt;40%",AND(M48&lt;40%,M48&gt;0%),"&gt;0%"),"")</f>
        <v/>
      </c>
      <c r="O48" t="str">
        <f t="shared" si="2"/>
        <v/>
      </c>
    </row>
    <row r="49" spans="1:15" x14ac:dyDescent="0.25">
      <c r="A49" t="s">
        <v>5</v>
      </c>
      <c r="B49" t="str">
        <f t="shared" si="0"/>
        <v>MERLY CORONEL</v>
      </c>
      <c r="C49" t="s">
        <v>70</v>
      </c>
      <c r="D49">
        <v>50348</v>
      </c>
      <c r="E49">
        <f>D1_JUNIO[[#This Row],[RECUPERO]]/VLOOKUP(D1_JUNIO[[#This Row],[SUPER]],D2_JUNIO[#All],2,0)</f>
        <v>0.77458461538461543</v>
      </c>
      <c r="F49" t="str">
        <f>D1_JUNIO[[#This Row],[SUPER]]</f>
        <v>JORDAN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/>
      </c>
    </row>
    <row r="50" spans="1:15" x14ac:dyDescent="0.25">
      <c r="A50" t="s">
        <v>5</v>
      </c>
      <c r="B50" t="str">
        <f t="shared" si="0"/>
        <v>ERIKA VILLAR</v>
      </c>
      <c r="C50" t="s">
        <v>72</v>
      </c>
      <c r="D50">
        <v>48906</v>
      </c>
      <c r="E50">
        <f>D1_JUNIO[[#This Row],[RECUPERO]]/VLOOKUP(D1_JUNIO[[#This Row],[SUPER]],D2_JUNIO[#All],2,0)</f>
        <v>0.75239999999999996</v>
      </c>
      <c r="F50" t="str">
        <f>D1_JUNIO[[#This Row],[SUPER]]</f>
        <v>JORDAN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</row>
    <row r="51" spans="1:15" x14ac:dyDescent="0.25">
      <c r="A51" t="s">
        <v>5</v>
      </c>
      <c r="B51" t="str">
        <f t="shared" si="0"/>
        <v>NATALIA MARIN</v>
      </c>
      <c r="C51" t="s">
        <v>79</v>
      </c>
      <c r="D51">
        <v>38890</v>
      </c>
      <c r="E51">
        <f>D1_JUNIO[[#This Row],[RECUPERO]]/VLOOKUP(D1_JUNIO[[#This Row],[SUPER]],D2_JUNIO[#All],2,0)</f>
        <v>0.59830769230769232</v>
      </c>
      <c r="F51" t="str">
        <f>D1_JUNIO[[#This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</row>
    <row r="52" spans="1:15" x14ac:dyDescent="0.25">
      <c r="A52" t="s">
        <v>5</v>
      </c>
      <c r="B52" t="str">
        <f t="shared" si="0"/>
        <v>AURORA FAUSTOR</v>
      </c>
      <c r="C52" t="s">
        <v>67</v>
      </c>
      <c r="D52">
        <v>33288</v>
      </c>
      <c r="E52">
        <f>D1_JUNIO[[#This Row],[RECUPERO]]/VLOOKUP(D1_JUNIO[[#This Row],[SUPER]],D2_JUNIO[#All],2,0)</f>
        <v>0.5121230769230769</v>
      </c>
      <c r="F52" t="str">
        <f>D1_JUNIO[[#This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</row>
    <row r="53" spans="1:15" x14ac:dyDescent="0.25">
      <c r="A53" t="s">
        <v>5</v>
      </c>
      <c r="B53" t="str">
        <f t="shared" si="0"/>
        <v>GILBERTO PURIZACA</v>
      </c>
      <c r="C53" t="s">
        <v>66</v>
      </c>
      <c r="D53">
        <v>30985</v>
      </c>
      <c r="E53">
        <f>D1_JUNIO[[#This Row],[RECUPERO]]/VLOOKUP(D1_JUNIO[[#This Row],[SUPER]],D2_JUNIO[#All],2,0)</f>
        <v>0.47669230769230769</v>
      </c>
      <c r="F53" t="str">
        <f>D1_JUNIO[[#This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</row>
    <row r="54" spans="1:15" x14ac:dyDescent="0.25">
      <c r="A54" t="s">
        <v>5</v>
      </c>
      <c r="B54" t="str">
        <f t="shared" si="0"/>
        <v>LUCERO JORDAN</v>
      </c>
      <c r="C54" t="s">
        <v>68</v>
      </c>
      <c r="D54">
        <v>27847</v>
      </c>
      <c r="E54">
        <f>D1_JUNIO[[#This Row],[RECUPERO]]/VLOOKUP(D1_JUNIO[[#This Row],[SUPER]],D2_JUNIO[#All],2,0)</f>
        <v>0.42841538461538464</v>
      </c>
      <c r="F54" t="str">
        <f>D1_JUNIO[[#This Row],[SUPER]]</f>
        <v>JORDAN</v>
      </c>
      <c r="L54">
        <v>1</v>
      </c>
      <c r="M54" s="1">
        <f t="shared" si="1"/>
        <v>0.87016923076923081</v>
      </c>
      <c r="N54" t="str" cm="1">
        <f t="array" ref="N54">IFERROR(_xlfn.IFS(M54&gt;100%,"&gt;100%",AND(M54&lt;100%,M54&gt;70%),"&gt;70%",AND(M54&lt;70%,M54&gt;40%),"&gt;40%",AND(M54&lt;40%,M54&gt;0%),"&gt;0%"),"")</f>
        <v>&gt;70%</v>
      </c>
      <c r="O54" t="str">
        <f t="shared" si="2"/>
        <v>ALEJANDRA QUISPE</v>
      </c>
    </row>
    <row r="55" spans="1:15" x14ac:dyDescent="0.25">
      <c r="A55" t="s">
        <v>5</v>
      </c>
      <c r="B55" t="str">
        <f t="shared" si="0"/>
        <v>ANTHONY VICENTE</v>
      </c>
      <c r="C55" t="s">
        <v>85</v>
      </c>
      <c r="D55">
        <v>18842</v>
      </c>
      <c r="E55">
        <f>D1_JUNIO[[#This Row],[RECUPERO]]/VLOOKUP(D1_JUNIO[[#This Row],[SUPER]],D2_JUNIO[#All],2,0)</f>
        <v>0.28987692307692309</v>
      </c>
      <c r="F55" t="str">
        <f>D1_JUNIO[[#This Row],[SUPER]]</f>
        <v>JORDAN</v>
      </c>
      <c r="L55">
        <v>2</v>
      </c>
      <c r="M55" s="1">
        <f t="shared" si="1"/>
        <v>0.77458461538461543</v>
      </c>
      <c r="N55" t="str" cm="1">
        <f t="array" ref="N55">IFERROR(_xlfn.IFS(M55&gt;100%,"&gt;100%",AND(M55&lt;100%,M55&gt;70%),"&gt;70%",AND(M55&lt;70%,M55&gt;40%),"&gt;40%",AND(M55&lt;40%,M55&gt;0%),"&gt;0%"),"")</f>
        <v>&gt;70%</v>
      </c>
      <c r="O55" t="str">
        <f t="shared" si="2"/>
        <v>MERLY CORONEL</v>
      </c>
    </row>
    <row r="56" spans="1:15" x14ac:dyDescent="0.25">
      <c r="A56" t="s">
        <v>5</v>
      </c>
      <c r="B56" t="str">
        <f t="shared" si="0"/>
        <v/>
      </c>
      <c r="E56">
        <f>D1_JUNIO[[#This Row],[RECUPERO]]/VLOOKUP(D1_JUNIO[[#This Row],[SUPER]],D2_JUNIO[#All],2,0)</f>
        <v>0</v>
      </c>
      <c r="F56" t="str">
        <f>D1_JUNIO[[#This Row],[SUPER]]</f>
        <v>JORDAN</v>
      </c>
      <c r="L56">
        <v>3</v>
      </c>
      <c r="M56" s="1">
        <f t="shared" si="1"/>
        <v>0.75239999999999996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2"/>
        <v>ERIKA VILLAR</v>
      </c>
    </row>
    <row r="57" spans="1:15" x14ac:dyDescent="0.25">
      <c r="A57" t="s">
        <v>5</v>
      </c>
      <c r="B57" t="str">
        <f t="shared" si="0"/>
        <v/>
      </c>
      <c r="E57">
        <f>D1_JUNIO[[#This Row],[RECUPERO]]/VLOOKUP(D1_JUNIO[[#This Row],[SUPER]],D2_JUNIO[#All],2,0)</f>
        <v>0</v>
      </c>
      <c r="F57" t="str">
        <f>D1_JUNIO[[#This Row],[SUPER]]</f>
        <v>JORDAN</v>
      </c>
      <c r="L57">
        <v>4</v>
      </c>
      <c r="M57" s="1">
        <f t="shared" si="1"/>
        <v>0.59830769230769232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2"/>
        <v>NATALIA MARIN</v>
      </c>
    </row>
    <row r="58" spans="1:15" x14ac:dyDescent="0.25">
      <c r="A58" t="s">
        <v>5</v>
      </c>
      <c r="B58" t="str">
        <f t="shared" si="0"/>
        <v/>
      </c>
      <c r="E58">
        <f>D1_JUNIO[[#This Row],[RECUPERO]]/VLOOKUP(D1_JUNIO[[#This Row],[SUPER]],D2_JUNIO[#All],2,0)</f>
        <v>0</v>
      </c>
      <c r="F58" t="str">
        <f>D1_JUNIO[[#This Row],[SUPER]]</f>
        <v>JORDAN</v>
      </c>
      <c r="L58">
        <v>5</v>
      </c>
      <c r="M58" s="1">
        <f t="shared" si="1"/>
        <v>0.5121230769230769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2"/>
        <v>AURORA FAUSTOR</v>
      </c>
    </row>
    <row r="59" spans="1:15" x14ac:dyDescent="0.25">
      <c r="A59" t="s">
        <v>5</v>
      </c>
      <c r="B59" t="str">
        <f t="shared" si="0"/>
        <v/>
      </c>
      <c r="E59">
        <f>D1_JUNIO[[#This Row],[RECUPERO]]/VLOOKUP(D1_JUNIO[[#This Row],[SUPER]],D2_JUNIO[#All],2,0)</f>
        <v>0</v>
      </c>
      <c r="F59" t="str">
        <f>D1_JUNIO[[#This Row],[SUPER]]</f>
        <v>JORDAN</v>
      </c>
      <c r="L59">
        <v>6</v>
      </c>
      <c r="M59" s="1">
        <f t="shared" si="1"/>
        <v>0.47669230769230769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2"/>
        <v>GILBERTO PURIZACA</v>
      </c>
    </row>
    <row r="60" spans="1:15" x14ac:dyDescent="0.25">
      <c r="A60" t="s">
        <v>5</v>
      </c>
      <c r="B60" t="str">
        <f t="shared" si="0"/>
        <v/>
      </c>
      <c r="E60">
        <f>D1_JUNIO[[#This Row],[RECUPERO]]/VLOOKUP(D1_JUNIO[[#This Row],[SUPER]],D2_JUNIO[#All],2,0)</f>
        <v>0</v>
      </c>
      <c r="F60" t="str">
        <f>D1_JUNIO[[#This Row],[SUPER]]</f>
        <v>JORDAN</v>
      </c>
      <c r="L60">
        <v>7</v>
      </c>
      <c r="M60" s="1">
        <f t="shared" si="1"/>
        <v>0.42841538461538464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LUCERO JORDAN</v>
      </c>
    </row>
    <row r="61" spans="1:15" x14ac:dyDescent="0.25">
      <c r="A61" t="s">
        <v>5</v>
      </c>
      <c r="B61" t="str">
        <f t="shared" si="0"/>
        <v/>
      </c>
      <c r="E61">
        <f>D1_JUNIO[[#This Row],[RECUPERO]]/VLOOKUP(D1_JUNIO[[#This Row],[SUPER]],D2_JUNIO[#All],2,0)</f>
        <v>0</v>
      </c>
      <c r="F61" t="str">
        <f>D1_JUNIO[[#This Row],[SUPER]]</f>
        <v>JORDAN</v>
      </c>
      <c r="L61">
        <v>8</v>
      </c>
      <c r="M61" s="1">
        <f t="shared" si="1"/>
        <v>0.28987692307692309</v>
      </c>
      <c r="N61" t="str" cm="1">
        <f t="array" ref="N61">IFERROR(_xlfn.IFS(M61&gt;100%,"&gt;100%",AND(M61&lt;100%,M61&gt;70%),"&gt;70%",AND(M61&lt;70%,M61&gt;40%),"&gt;40%",AND(M61&lt;40%,M61&gt;0%),"&gt;0%"),"")</f>
        <v>&gt;0%</v>
      </c>
      <c r="O61" t="str">
        <f t="shared" si="2"/>
        <v>ANTHONY VICENTE</v>
      </c>
    </row>
    <row r="62" spans="1:15" x14ac:dyDescent="0.25">
      <c r="A62" t="s">
        <v>5</v>
      </c>
      <c r="B62" t="str">
        <f t="shared" si="0"/>
        <v/>
      </c>
      <c r="E62">
        <f>D1_JUNIO[[#This Row],[RECUPERO]]/VLOOKUP(D1_JUNIO[[#This Row],[SUPER]],D2_JUNIO[#All],2,0)</f>
        <v>0</v>
      </c>
      <c r="F62" t="str">
        <f>D1_JUNIO[[#This Row],[SUPER]]</f>
        <v>JORDAN</v>
      </c>
      <c r="L62">
        <v>9</v>
      </c>
      <c r="M62" s="1">
        <f t="shared" si="1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2"/>
        <v/>
      </c>
    </row>
    <row r="63" spans="1:15" x14ac:dyDescent="0.25">
      <c r="A63" t="s">
        <v>6</v>
      </c>
      <c r="B63" t="str">
        <f t="shared" si="0"/>
        <v>KIARA CANEPA</v>
      </c>
      <c r="C63" t="s">
        <v>50</v>
      </c>
      <c r="D63">
        <v>24980</v>
      </c>
      <c r="E63">
        <f>D1_JUNIO[[#This Row],[RECUPERO]]/VLOOKUP(D1_JUNIO[[#This Row],[SUPER]],D2_JUNIO[#All],2,0)</f>
        <v>0.819016393442623</v>
      </c>
      <c r="F63" t="str">
        <f>D1_JUNIO[[#This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</row>
    <row r="64" spans="1:15" x14ac:dyDescent="0.25">
      <c r="A64" t="s">
        <v>6</v>
      </c>
      <c r="B64" t="str">
        <f t="shared" si="0"/>
        <v>FRANK PACORA</v>
      </c>
      <c r="C64" t="s">
        <v>132</v>
      </c>
      <c r="D64">
        <v>24632</v>
      </c>
      <c r="E64">
        <f>D1_JUNIO[[#This Row],[RECUPERO]]/VLOOKUP(D1_JUNIO[[#This Row],[SUPER]],D2_JUNIO[#All],2,0)</f>
        <v>0.80760655737704923</v>
      </c>
      <c r="F64" t="str">
        <f>D1_JUNIO[[#This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</row>
    <row r="65" spans="1:15" x14ac:dyDescent="0.25">
      <c r="A65" t="s">
        <v>6</v>
      </c>
      <c r="B65" t="str">
        <f t="shared" si="0"/>
        <v>JUAN LOZA</v>
      </c>
      <c r="C65" t="s">
        <v>35</v>
      </c>
      <c r="D65">
        <v>15725</v>
      </c>
      <c r="E65">
        <f>D1_JUNIO[[#This Row],[RECUPERO]]/VLOOKUP(D1_JUNIO[[#This Row],[SUPER]],D2_JUNIO[#All],2,0)</f>
        <v>0.51557377049180331</v>
      </c>
      <c r="F65" t="str">
        <f>D1_JUNIO[[#This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</row>
    <row r="66" spans="1:15" x14ac:dyDescent="0.25">
      <c r="A66" t="s">
        <v>6</v>
      </c>
      <c r="B66" t="str">
        <f t="shared" si="0"/>
        <v>CARMEN PUMA</v>
      </c>
      <c r="C66" t="s">
        <v>19</v>
      </c>
      <c r="D66">
        <v>13629</v>
      </c>
      <c r="E66">
        <f>D1_JUNIO[[#This Row],[RECUPERO]]/VLOOKUP(D1_JUNIO[[#This Row],[SUPER]],D2_JUNIO[#All],2,0)</f>
        <v>0.44685245901639342</v>
      </c>
      <c r="F66" t="str">
        <f>D1_JUNIO[[#This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</row>
    <row r="67" spans="1:15" x14ac:dyDescent="0.25">
      <c r="A67" t="s">
        <v>6</v>
      </c>
      <c r="B67" t="str">
        <f t="shared" si="0"/>
        <v>LUIS CENTENO</v>
      </c>
      <c r="C67" t="s">
        <v>31</v>
      </c>
      <c r="D67">
        <v>13360</v>
      </c>
      <c r="E67">
        <f>D1_JUNIO[[#This Row],[RECUPERO]]/VLOOKUP(D1_JUNIO[[#This Row],[SUPER]],D2_JUNIO[#All],2,0)</f>
        <v>0.43803278688524588</v>
      </c>
      <c r="F67" t="str">
        <f>D1_JUNIO[[#This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</row>
    <row r="68" spans="1:15" x14ac:dyDescent="0.25">
      <c r="A68" t="s">
        <v>6</v>
      </c>
      <c r="B68" t="str">
        <f t="shared" ref="B68:B98" si="3">TRIM(C68)</f>
        <v>STWUAR MACURI</v>
      </c>
      <c r="C68" t="s">
        <v>34</v>
      </c>
      <c r="D68">
        <v>11750</v>
      </c>
      <c r="E68">
        <f>D1_JUNIO[[#This Row],[RECUPERO]]/VLOOKUP(D1_JUNIO[[#This Row],[SUPER]],D2_JUNIO[#All],2,0)</f>
        <v>0.38524590163934425</v>
      </c>
      <c r="F68" t="str">
        <f>D1_JUNIO[[#This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</row>
    <row r="69" spans="1:15" x14ac:dyDescent="0.25">
      <c r="A69" t="s">
        <v>6</v>
      </c>
      <c r="B69" t="str">
        <f t="shared" si="3"/>
        <v>JIMENA MEDINA</v>
      </c>
      <c r="C69" t="s">
        <v>37</v>
      </c>
      <c r="D69">
        <v>11510</v>
      </c>
      <c r="E69">
        <f>D1_JUNIO[[#This Row],[RECUPERO]]/VLOOKUP(D1_JUNIO[[#This Row],[SUPER]],D2_JUNIO[#All],2,0)</f>
        <v>0.37737704918032788</v>
      </c>
      <c r="F69" t="str">
        <f>D1_JUNIO[[#This Row],[SUPER]]</f>
        <v>KENNETH</v>
      </c>
      <c r="L69">
        <v>1</v>
      </c>
      <c r="M69" s="1">
        <f t="shared" si="1"/>
        <v>0.819016393442623</v>
      </c>
      <c r="N69" t="str" cm="1">
        <f t="array" ref="N69">IFERROR(_xlfn.IFS(M69&gt;100%,"&gt;100%",AND(M69&lt;100%,M69&gt;70%),"&gt;70%",AND(M69&lt;70%,M69&gt;40%),"&gt;40%",AND(M69&lt;40%,M69&gt;0%),"&gt;0%"),"")</f>
        <v>&gt;70%</v>
      </c>
      <c r="O69" t="str">
        <f t="shared" si="2"/>
        <v>KIARA CANEPA</v>
      </c>
    </row>
    <row r="70" spans="1:15" x14ac:dyDescent="0.25">
      <c r="A70" t="s">
        <v>6</v>
      </c>
      <c r="B70" t="str">
        <f t="shared" si="3"/>
        <v>DAVID SANCHEZ</v>
      </c>
      <c r="C70" t="s">
        <v>81</v>
      </c>
      <c r="D70">
        <v>10780</v>
      </c>
      <c r="E70">
        <f>D1_JUNIO[[#This Row],[RECUPERO]]/VLOOKUP(D1_JUNIO[[#This Row],[SUPER]],D2_JUNIO[#All],2,0)</f>
        <v>0.35344262295081968</v>
      </c>
      <c r="F70" t="str">
        <f>D1_JUNIO[[#This Row],[SUPER]]</f>
        <v>KENNETH</v>
      </c>
      <c r="L70">
        <v>2</v>
      </c>
      <c r="M70" s="1">
        <f t="shared" si="1"/>
        <v>0.80760655737704923</v>
      </c>
      <c r="N70" t="str" cm="1">
        <f t="array" ref="N70">IFERROR(_xlfn.IFS(M70&gt;100%,"&gt;100%",AND(M70&lt;100%,M70&gt;70%),"&gt;70%",AND(M70&lt;70%,M70&gt;40%),"&gt;40%",AND(M70&lt;40%,M70&gt;0%),"&gt;0%"),"")</f>
        <v>&gt;70%</v>
      </c>
      <c r="O70" t="str">
        <f t="shared" si="2"/>
        <v>FRANK PACORA</v>
      </c>
    </row>
    <row r="71" spans="1:15" x14ac:dyDescent="0.25">
      <c r="A71" t="s">
        <v>6</v>
      </c>
      <c r="B71" t="str">
        <f t="shared" si="3"/>
        <v>GINA HUAMANI</v>
      </c>
      <c r="C71" t="s">
        <v>44</v>
      </c>
      <c r="D71">
        <v>9760</v>
      </c>
      <c r="E71">
        <f>D1_JUNIO[[#This Row],[RECUPERO]]/VLOOKUP(D1_JUNIO[[#This Row],[SUPER]],D2_JUNIO[#All],2,0)</f>
        <v>0.32</v>
      </c>
      <c r="F71" t="str">
        <f>D1_JUNIO[[#This Row],[SUPER]]</f>
        <v>KENNETH</v>
      </c>
      <c r="L71">
        <v>3</v>
      </c>
      <c r="M71" s="1">
        <f t="shared" si="1"/>
        <v>0.51557377049180331</v>
      </c>
      <c r="N71" t="str" cm="1">
        <f t="array" ref="N71">IFERROR(_xlfn.IFS(M71&gt;100%,"&gt;100%",AND(M71&lt;100%,M71&gt;70%),"&gt;70%",AND(M71&lt;70%,M71&gt;40%),"&gt;40%",AND(M71&lt;40%,M71&gt;0%),"&gt;0%"),"")</f>
        <v>&gt;40%</v>
      </c>
      <c r="O71" t="str">
        <f t="shared" si="2"/>
        <v>JUAN LOZA</v>
      </c>
    </row>
    <row r="72" spans="1:15" x14ac:dyDescent="0.25">
      <c r="A72" t="s">
        <v>6</v>
      </c>
      <c r="B72" t="str">
        <f t="shared" si="3"/>
        <v>MEDALITH NESTARES</v>
      </c>
      <c r="C72" t="s">
        <v>36</v>
      </c>
      <c r="D72">
        <v>8150</v>
      </c>
      <c r="E72">
        <f>D1_JUNIO[[#This Row],[RECUPERO]]/VLOOKUP(D1_JUNIO[[#This Row],[SUPER]],D2_JUNIO[#All],2,0)</f>
        <v>0.26721311475409837</v>
      </c>
      <c r="F72" t="str">
        <f>D1_JUNIO[[#This Row],[SUPER]]</f>
        <v>KENNETH</v>
      </c>
      <c r="L72">
        <v>4</v>
      </c>
      <c r="M72" s="1">
        <f t="shared" si="1"/>
        <v>0.44685245901639342</v>
      </c>
      <c r="N72" t="str" cm="1">
        <f t="array" ref="N72">IFERROR(_xlfn.IFS(M72&gt;100%,"&gt;100%",AND(M72&lt;100%,M72&gt;70%),"&gt;70%",AND(M72&lt;70%,M72&gt;40%),"&gt;40%",AND(M72&lt;40%,M72&gt;0%),"&gt;0%"),"")</f>
        <v>&gt;40%</v>
      </c>
      <c r="O72" t="str">
        <f t="shared" si="2"/>
        <v>CARMEN PUMA</v>
      </c>
    </row>
    <row r="73" spans="1:15" x14ac:dyDescent="0.25">
      <c r="A73" t="s">
        <v>6</v>
      </c>
      <c r="B73" t="str">
        <f t="shared" si="3"/>
        <v>MARCO SARMIENTO</v>
      </c>
      <c r="C73" t="s">
        <v>140</v>
      </c>
      <c r="D73">
        <v>2322</v>
      </c>
      <c r="E73">
        <f>D1_JUNIO[[#This Row],[RECUPERO]]/VLOOKUP(D1_JUNIO[[#This Row],[SUPER]],D2_JUNIO[#All],2,0)</f>
        <v>7.6131147540983601E-2</v>
      </c>
      <c r="F73" t="str">
        <f>D1_JUNIO[[#This Row],[SUPER]]</f>
        <v>KENNETH</v>
      </c>
      <c r="L73">
        <v>5</v>
      </c>
      <c r="M73" s="1">
        <f t="shared" si="1"/>
        <v>0.43803278688524588</v>
      </c>
      <c r="N73" t="str" cm="1">
        <f t="array" ref="N73">IFERROR(_xlfn.IFS(M73&gt;100%,"&gt;100%",AND(M73&lt;100%,M73&gt;70%),"&gt;70%",AND(M73&lt;70%,M73&gt;40%),"&gt;40%",AND(M73&lt;40%,M73&gt;0%),"&gt;0%"),"")</f>
        <v>&gt;40%</v>
      </c>
      <c r="O73" t="str">
        <f t="shared" si="2"/>
        <v>LUIS CENTENO</v>
      </c>
    </row>
    <row r="74" spans="1:15" x14ac:dyDescent="0.25">
      <c r="A74" t="s">
        <v>6</v>
      </c>
      <c r="B74" t="str">
        <f t="shared" si="3"/>
        <v/>
      </c>
      <c r="E74">
        <f>D1_JUNIO[[#This Row],[RECUPERO]]/VLOOKUP(D1_JUNIO[[#This Row],[SUPER]],D2_JUNIO[#All],2,0)</f>
        <v>0</v>
      </c>
      <c r="F74" t="str">
        <f>D1_JUNIO[[#This Row],[SUPER]]</f>
        <v>KENNETH</v>
      </c>
      <c r="L74">
        <v>6</v>
      </c>
      <c r="M74" s="1">
        <f t="shared" ref="M74:M128" si="4">E68</f>
        <v>0.38524590163934425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ref="O74:O128" si="5">B68</f>
        <v>STWUAR MACURI</v>
      </c>
    </row>
    <row r="75" spans="1:15" x14ac:dyDescent="0.25">
      <c r="A75" t="s">
        <v>6</v>
      </c>
      <c r="B75" t="str">
        <f t="shared" si="3"/>
        <v/>
      </c>
      <c r="E75">
        <f>D1_JUNIO[[#This Row],[RECUPERO]]/VLOOKUP(D1_JUNIO[[#This Row],[SUPER]],D2_JUNIO[#All],2,0)</f>
        <v>0</v>
      </c>
      <c r="F75" t="str">
        <f>D1_JUNIO[[#This Row],[SUPER]]</f>
        <v>KENNETH</v>
      </c>
      <c r="L75">
        <v>7</v>
      </c>
      <c r="M75" s="1">
        <f t="shared" si="4"/>
        <v>0.37737704918032788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5"/>
        <v>JIMENA MEDINA</v>
      </c>
    </row>
    <row r="76" spans="1:15" x14ac:dyDescent="0.25">
      <c r="A76" t="s">
        <v>6</v>
      </c>
      <c r="B76" t="str">
        <f t="shared" si="3"/>
        <v/>
      </c>
      <c r="E76">
        <f>D1_JUNIO[[#This Row],[RECUPERO]]/VLOOKUP(D1_JUNIO[[#This Row],[SUPER]],D2_JUNIO[#All],2,0)</f>
        <v>0</v>
      </c>
      <c r="F76" t="str">
        <f>D1_JUNIO[[#This Row],[SUPER]]</f>
        <v>KENNETH</v>
      </c>
      <c r="L76">
        <v>8</v>
      </c>
      <c r="M76" s="1">
        <f t="shared" si="4"/>
        <v>0.35344262295081968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5"/>
        <v>DAVID SANCHEZ</v>
      </c>
    </row>
    <row r="77" spans="1:15" x14ac:dyDescent="0.25">
      <c r="A77" t="s">
        <v>6</v>
      </c>
      <c r="B77" t="str">
        <f t="shared" si="3"/>
        <v/>
      </c>
      <c r="E77">
        <f>D1_JUNIO[[#This Row],[RECUPERO]]/VLOOKUP(D1_JUNIO[[#This Row],[SUPER]],D2_JUNIO[#All],2,0)</f>
        <v>0</v>
      </c>
      <c r="F77" t="str">
        <f>D1_JUNIO[[#This Row],[SUPER]]</f>
        <v>KENNETH</v>
      </c>
      <c r="L77">
        <v>9</v>
      </c>
      <c r="M77" s="1">
        <f t="shared" si="4"/>
        <v>0.32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5"/>
        <v>GINA HUAMANI</v>
      </c>
    </row>
    <row r="78" spans="1:15" x14ac:dyDescent="0.25">
      <c r="A78" t="s">
        <v>7</v>
      </c>
      <c r="B78" t="str">
        <f t="shared" si="3"/>
        <v>DANIEL ZAPATA</v>
      </c>
      <c r="C78" t="s">
        <v>80</v>
      </c>
      <c r="D78">
        <v>21379</v>
      </c>
      <c r="E78">
        <f>D1_JUNIO[[#This Row],[RECUPERO]]/VLOOKUP(D1_JUNIO[[#This Row],[SUPER]],D2_JUNIO[#All],2,0)</f>
        <v>1.4252666666666669</v>
      </c>
      <c r="F78" t="str">
        <f>D1_JUNIO[[#This Row],[SUPER]]</f>
        <v>LEONOR</v>
      </c>
      <c r="L78">
        <v>10</v>
      </c>
      <c r="M78" s="1">
        <f t="shared" si="4"/>
        <v>0.26721311475409837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5"/>
        <v>MEDALITH NESTARES</v>
      </c>
    </row>
    <row r="79" spans="1:15" x14ac:dyDescent="0.25">
      <c r="A79" t="s">
        <v>7</v>
      </c>
      <c r="B79" t="str">
        <f t="shared" si="3"/>
        <v>GABRIELA APONTE</v>
      </c>
      <c r="C79" t="s">
        <v>27</v>
      </c>
      <c r="D79">
        <v>12549</v>
      </c>
      <c r="E79">
        <f>D1_JUNIO[[#This Row],[RECUPERO]]/VLOOKUP(D1_JUNIO[[#This Row],[SUPER]],D2_JUNIO[#All],2,0)</f>
        <v>0.83660000000000012</v>
      </c>
      <c r="F79" t="str">
        <f>D1_JUNIO[[#This Row],[SUPER]]</f>
        <v>LEONOR</v>
      </c>
      <c r="L79">
        <v>11</v>
      </c>
      <c r="M79" s="1">
        <f t="shared" si="4"/>
        <v>7.6131147540983601E-2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5"/>
        <v>MARCO SARMIENTO</v>
      </c>
    </row>
    <row r="80" spans="1:15" x14ac:dyDescent="0.25">
      <c r="A80" t="s">
        <v>7</v>
      </c>
      <c r="B80" t="str">
        <f t="shared" si="3"/>
        <v>YENNY INGA</v>
      </c>
      <c r="C80" t="s">
        <v>39</v>
      </c>
      <c r="D80">
        <v>8658</v>
      </c>
      <c r="E80">
        <f>D1_JUNIO[[#This Row],[RECUPERO]]/VLOOKUP(D1_JUNIO[[#This Row],[SUPER]],D2_JUNIO[#All],2,0)</f>
        <v>0.57720000000000005</v>
      </c>
      <c r="F80" t="str">
        <f>D1_JUNIO[[#This Row],[SUPER]]</f>
        <v>LEONOR</v>
      </c>
      <c r="L80">
        <v>12</v>
      </c>
      <c r="M80" s="1">
        <f t="shared" si="4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5"/>
        <v/>
      </c>
    </row>
    <row r="81" spans="1:15" x14ac:dyDescent="0.25">
      <c r="A81" t="s">
        <v>7</v>
      </c>
      <c r="B81" t="str">
        <f t="shared" si="3"/>
        <v>NARDIA URPIS</v>
      </c>
      <c r="C81" t="s">
        <v>74</v>
      </c>
      <c r="D81">
        <v>7156</v>
      </c>
      <c r="E81">
        <f>D1_JUNIO[[#This Row],[RECUPERO]]/VLOOKUP(D1_JUNIO[[#This Row],[SUPER]],D2_JUNIO[#All],2,0)</f>
        <v>0.47706666666666675</v>
      </c>
      <c r="F81" t="str">
        <f>D1_JUNIO[[#This Row],[SUPER]]</f>
        <v>LEONOR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</row>
    <row r="82" spans="1:15" x14ac:dyDescent="0.25">
      <c r="A82" t="s">
        <v>7</v>
      </c>
      <c r="B82" t="str">
        <f t="shared" si="3"/>
        <v>MARIA HUARCAYA</v>
      </c>
      <c r="C82" t="s">
        <v>38</v>
      </c>
      <c r="D82">
        <v>7073</v>
      </c>
      <c r="E82">
        <f>D1_JUNIO[[#This Row],[RECUPERO]]/VLOOKUP(D1_JUNIO[[#This Row],[SUPER]],D2_JUNIO[#All],2,0)</f>
        <v>0.47153333333333342</v>
      </c>
      <c r="F82" t="str">
        <f>D1_JUNIO[[#This Row],[SUPER]]</f>
        <v>LEONOR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</row>
    <row r="83" spans="1:15" x14ac:dyDescent="0.25">
      <c r="A83" t="s">
        <v>7</v>
      </c>
      <c r="B83" t="str">
        <f t="shared" si="3"/>
        <v>YEYMY HUERTA</v>
      </c>
      <c r="C83" t="s">
        <v>56</v>
      </c>
      <c r="D83">
        <v>7243</v>
      </c>
      <c r="E83">
        <f>D1_JUNIO[[#This Row],[RECUPERO]]/VLOOKUP(D1_JUNIO[[#This Row],[SUPER]],D2_JUNIO[#All],2,0)</f>
        <v>0.48286666666666672</v>
      </c>
      <c r="F83" t="str">
        <f>D1_JUNIO[[#This Row],[SUPER]]</f>
        <v>LEONOR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</row>
    <row r="84" spans="1:15" x14ac:dyDescent="0.25">
      <c r="A84" t="s">
        <v>7</v>
      </c>
      <c r="B84" t="str">
        <f t="shared" si="3"/>
        <v>MAYRA AVALOS</v>
      </c>
      <c r="C84" t="s">
        <v>55</v>
      </c>
      <c r="D84">
        <v>5718</v>
      </c>
      <c r="E84">
        <f>D1_JUNIO[[#This Row],[RECUPERO]]/VLOOKUP(D1_JUNIO[[#This Row],[SUPER]],D2_JUNIO[#All],2,0)</f>
        <v>0.38120000000000004</v>
      </c>
      <c r="F84" t="str">
        <f>D1_JUNIO[[#This Row],[SUPER]]</f>
        <v>LEONOR</v>
      </c>
      <c r="L84">
        <v>1</v>
      </c>
      <c r="M84" s="1">
        <f t="shared" si="4"/>
        <v>1.4252666666666669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5"/>
        <v>DANIEL ZAPATA</v>
      </c>
    </row>
    <row r="85" spans="1:15" x14ac:dyDescent="0.25">
      <c r="A85" t="s">
        <v>7</v>
      </c>
      <c r="B85" t="str">
        <f t="shared" si="3"/>
        <v>JOANA GIL</v>
      </c>
      <c r="C85" t="s">
        <v>133</v>
      </c>
      <c r="D85">
        <v>5126</v>
      </c>
      <c r="E85">
        <f>D1_JUNIO[[#This Row],[RECUPERO]]/VLOOKUP(D1_JUNIO[[#This Row],[SUPER]],D2_JUNIO[#All],2,0)</f>
        <v>0.34173333333333339</v>
      </c>
      <c r="F85" t="str">
        <f>D1_JUNIO[[#This Row],[SUPER]]</f>
        <v>LEONOR</v>
      </c>
      <c r="L85">
        <v>2</v>
      </c>
      <c r="M85" s="1">
        <f t="shared" si="4"/>
        <v>0.83660000000000012</v>
      </c>
      <c r="N85" t="str" cm="1">
        <f t="array" ref="N85">IFERROR(_xlfn.IFS(M85&gt;100%,"&gt;100%",AND(M85&lt;100%,M85&gt;70%),"&gt;70%",AND(M85&lt;70%,M85&gt;40%),"&gt;40%",AND(M85&lt;40%,M85&gt;0%),"&gt;0%"),"")</f>
        <v>&gt;70%</v>
      </c>
      <c r="O85" t="str">
        <f t="shared" si="5"/>
        <v>GABRIELA APONTE</v>
      </c>
    </row>
    <row r="86" spans="1:15" x14ac:dyDescent="0.25">
      <c r="A86" t="s">
        <v>7</v>
      </c>
      <c r="B86" t="str">
        <f t="shared" si="3"/>
        <v>LINDA TUESTA</v>
      </c>
      <c r="C86" t="s">
        <v>33</v>
      </c>
      <c r="D86">
        <v>2010.1</v>
      </c>
      <c r="E86">
        <f>D1_JUNIO[[#This Row],[RECUPERO]]/VLOOKUP(D1_JUNIO[[#This Row],[SUPER]],D2_JUNIO[#All],2,0)</f>
        <v>0.13400666666666669</v>
      </c>
      <c r="F86" t="str">
        <f>D1_JUNIO[[#This Row],[SUPER]]</f>
        <v>LEONOR</v>
      </c>
      <c r="L86">
        <v>3</v>
      </c>
      <c r="M86" s="1">
        <f t="shared" si="4"/>
        <v>0.57720000000000005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5"/>
        <v>YENNY INGA</v>
      </c>
    </row>
    <row r="87" spans="1:15" x14ac:dyDescent="0.25">
      <c r="A87" t="s">
        <v>7</v>
      </c>
      <c r="B87" t="str">
        <f t="shared" si="3"/>
        <v>ANDREA ALEJOS</v>
      </c>
      <c r="C87" t="s">
        <v>141</v>
      </c>
      <c r="D87">
        <v>763</v>
      </c>
      <c r="E87">
        <f>D1_JUNIO[[#This Row],[RECUPERO]]/VLOOKUP(D1_JUNIO[[#This Row],[SUPER]],D2_JUNIO[#All],2,0)</f>
        <v>5.0866666666666671E-2</v>
      </c>
      <c r="F87" t="str">
        <f>D1_JUNIO[[#This Row],[SUPER]]</f>
        <v>LEONOR</v>
      </c>
      <c r="L87">
        <v>4</v>
      </c>
      <c r="M87" s="1">
        <f t="shared" si="4"/>
        <v>0.47706666666666675</v>
      </c>
      <c r="N87" t="str" cm="1">
        <f t="array" ref="N87">IFERROR(_xlfn.IFS(M87&gt;100%,"&gt;100%",AND(M87&lt;100%,M87&gt;70%),"&gt;70%",AND(M87&lt;70%,M87&gt;40%),"&gt;40%",AND(M87&lt;40%,M87&gt;0%),"&gt;0%"),"")</f>
        <v>&gt;40%</v>
      </c>
      <c r="O87" t="str">
        <f t="shared" si="5"/>
        <v>NARDIA URPIS</v>
      </c>
    </row>
    <row r="88" spans="1:15" x14ac:dyDescent="0.25">
      <c r="A88" t="s">
        <v>7</v>
      </c>
      <c r="B88" t="str">
        <f t="shared" si="3"/>
        <v/>
      </c>
      <c r="E88">
        <f>D1_JUNIO[[#This Row],[RECUPERO]]/VLOOKUP(D1_JUNIO[[#This Row],[SUPER]],D2_JUNIO[#All],2,0)</f>
        <v>0</v>
      </c>
      <c r="F88" t="str">
        <f>D1_JUNIO[[#This Row],[SUPER]]</f>
        <v>LEONOR</v>
      </c>
      <c r="L88">
        <v>5</v>
      </c>
      <c r="M88" s="1">
        <f t="shared" si="4"/>
        <v>0.47153333333333342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5"/>
        <v>MARIA HUARCAYA</v>
      </c>
    </row>
    <row r="89" spans="1:15" x14ac:dyDescent="0.25">
      <c r="A89" t="s">
        <v>7</v>
      </c>
      <c r="B89" t="str">
        <f t="shared" si="3"/>
        <v/>
      </c>
      <c r="E89">
        <f>D1_JUNIO[[#This Row],[RECUPERO]]/VLOOKUP(D1_JUNIO[[#This Row],[SUPER]],D2_JUNIO[#All],2,0)</f>
        <v>0</v>
      </c>
      <c r="F89" t="str">
        <f>D1_JUNIO[[#This Row],[SUPER]]</f>
        <v>LEONOR</v>
      </c>
      <c r="L89">
        <v>6</v>
      </c>
      <c r="M89" s="1">
        <f t="shared" si="4"/>
        <v>0.48286666666666672</v>
      </c>
      <c r="N89" t="str" cm="1">
        <f t="array" ref="N89">IFERROR(_xlfn.IFS(M89&gt;100%,"&gt;100%",AND(M89&lt;100%,M89&gt;70%),"&gt;70%",AND(M89&lt;70%,M89&gt;40%),"&gt;40%",AND(M89&lt;40%,M89&gt;0%),"&gt;0%"),"")</f>
        <v>&gt;40%</v>
      </c>
      <c r="O89" t="str">
        <f t="shared" si="5"/>
        <v>YEYMY HUERTA</v>
      </c>
    </row>
    <row r="90" spans="1:15" x14ac:dyDescent="0.25">
      <c r="A90" t="s">
        <v>7</v>
      </c>
      <c r="B90" t="str">
        <f t="shared" si="3"/>
        <v/>
      </c>
      <c r="E90">
        <f>D1_JUNIO[[#This Row],[RECUPERO]]/VLOOKUP(D1_JUNIO[[#This Row],[SUPER]],D2_JUNIO[#All],2,0)</f>
        <v>0</v>
      </c>
      <c r="F90" t="str">
        <f>D1_JUNIO[[#This Row],[SUPER]]</f>
        <v>LEONOR</v>
      </c>
      <c r="L90">
        <v>7</v>
      </c>
      <c r="M90" s="1">
        <f t="shared" si="4"/>
        <v>0.38120000000000004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5"/>
        <v>MAYRA AVALOS</v>
      </c>
    </row>
    <row r="91" spans="1:15" x14ac:dyDescent="0.25">
      <c r="A91" t="s">
        <v>7</v>
      </c>
      <c r="B91" t="str">
        <f t="shared" si="3"/>
        <v/>
      </c>
      <c r="E91">
        <f>D1_JUNIO[[#This Row],[RECUPERO]]/VLOOKUP(D1_JUNIO[[#This Row],[SUPER]],D2_JUNIO[#All],2,0)</f>
        <v>0</v>
      </c>
      <c r="F91" t="str">
        <f>D1_JUNIO[[#This Row],[SUPER]]</f>
        <v>LEONOR</v>
      </c>
      <c r="L91">
        <v>8</v>
      </c>
      <c r="M91" s="1">
        <f t="shared" si="4"/>
        <v>0.34173333333333339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JOANA GIL</v>
      </c>
    </row>
    <row r="92" spans="1:15" x14ac:dyDescent="0.25">
      <c r="A92" t="s">
        <v>7</v>
      </c>
      <c r="B92" t="str">
        <f t="shared" si="3"/>
        <v/>
      </c>
      <c r="E92">
        <f>D1_JUNIO[[#This Row],[RECUPERO]]/VLOOKUP(D1_JUNIO[[#This Row],[SUPER]],D2_JUNIO[#All],2,0)</f>
        <v>0</v>
      </c>
      <c r="F92" t="str">
        <f>D1_JUNIO[[#This Row],[SUPER]]</f>
        <v>LEONOR</v>
      </c>
      <c r="L92">
        <v>9</v>
      </c>
      <c r="M92" s="1">
        <f t="shared" si="4"/>
        <v>0.13400666666666669</v>
      </c>
      <c r="N92" t="str" cm="1">
        <f t="array" ref="N92">IFERROR(_xlfn.IFS(M92&gt;100%,"&gt;100%",AND(M92&lt;100%,M92&gt;70%),"&gt;70%",AND(M92&lt;70%,M92&gt;40%),"&gt;40%",AND(M92&lt;40%,M92&gt;0%),"&gt;0%"),"")</f>
        <v>&gt;0%</v>
      </c>
      <c r="O92" t="str">
        <f t="shared" si="5"/>
        <v>LINDA TUESTA</v>
      </c>
    </row>
    <row r="93" spans="1:15" x14ac:dyDescent="0.25">
      <c r="A93" t="s">
        <v>8</v>
      </c>
      <c r="B93" t="str">
        <f t="shared" si="3"/>
        <v>FRANCO HUAMANI</v>
      </c>
      <c r="C93" t="s">
        <v>24</v>
      </c>
      <c r="D93">
        <v>24480</v>
      </c>
      <c r="E93">
        <f>D1_JUNIO[[#This Row],[RECUPERO]]/VLOOKUP(D1_JUNIO[[#This Row],[SUPER]],D2_JUNIO[#All],2,0)</f>
        <v>1.6319999999999999</v>
      </c>
      <c r="F93" t="str">
        <f>D1_JUNIO[[#This Row],[SUPER]]</f>
        <v>BRYAN</v>
      </c>
      <c r="L93">
        <v>10</v>
      </c>
      <c r="M93" s="1">
        <f t="shared" si="4"/>
        <v>5.0866666666666671E-2</v>
      </c>
      <c r="N93" t="str" cm="1">
        <f t="array" ref="N93">IFERROR(_xlfn.IFS(M93&gt;100%,"&gt;100%",AND(M93&lt;100%,M93&gt;70%),"&gt;70%",AND(M93&lt;70%,M93&gt;40%),"&gt;40%",AND(M93&lt;40%,M93&gt;0%),"&gt;0%"),"")</f>
        <v>&gt;0%</v>
      </c>
      <c r="O93" t="str">
        <f t="shared" si="5"/>
        <v>ANDREA ALEJOS</v>
      </c>
    </row>
    <row r="94" spans="1:15" x14ac:dyDescent="0.25">
      <c r="A94" t="s">
        <v>8</v>
      </c>
      <c r="B94" t="str">
        <f t="shared" si="3"/>
        <v>BRINA SOTO</v>
      </c>
      <c r="C94" t="s">
        <v>14</v>
      </c>
      <c r="D94">
        <v>12964.5</v>
      </c>
      <c r="E94">
        <f>D1_JUNIO[[#This Row],[RECUPERO]]/VLOOKUP(D1_JUNIO[[#This Row],[SUPER]],D2_JUNIO[#All],2,0)</f>
        <v>0.86429999999999985</v>
      </c>
      <c r="F94" t="str">
        <f>D1_JUNIO[[#This Row],[SUPER]]</f>
        <v>BRYAN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</row>
    <row r="95" spans="1:15" x14ac:dyDescent="0.25">
      <c r="A95" t="s">
        <v>8</v>
      </c>
      <c r="B95" t="str">
        <f t="shared" si="3"/>
        <v>CHRISTIAN ALVARADO</v>
      </c>
      <c r="C95" t="s">
        <v>41</v>
      </c>
      <c r="D95">
        <v>11793</v>
      </c>
      <c r="E95">
        <f>D1_JUNIO[[#This Row],[RECUPERO]]/VLOOKUP(D1_JUNIO[[#This Row],[SUPER]],D2_JUNIO[#All],2,0)</f>
        <v>0.7861999999999999</v>
      </c>
      <c r="F95" t="str">
        <f>D1_JUNIO[[#This Row],[SUPER]]</f>
        <v>BRYAN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</row>
    <row r="96" spans="1:15" x14ac:dyDescent="0.25">
      <c r="A96" t="s">
        <v>8</v>
      </c>
      <c r="B96" t="str">
        <f t="shared" si="3"/>
        <v>ROCIO TERRONES</v>
      </c>
      <c r="C96" t="s">
        <v>128</v>
      </c>
      <c r="D96">
        <v>11310</v>
      </c>
      <c r="E96">
        <f>D1_JUNIO[[#This Row],[RECUPERO]]/VLOOKUP(D1_JUNIO[[#This Row],[SUPER]],D2_JUNIO[#All],2,0)</f>
        <v>0.75399999999999989</v>
      </c>
      <c r="F96" t="str">
        <f>D1_JUNIO[[#This Row],[SUPER]]</f>
        <v>BRYAN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</row>
    <row r="97" spans="1:15" x14ac:dyDescent="0.25">
      <c r="A97" t="s">
        <v>8</v>
      </c>
      <c r="B97" t="str">
        <f t="shared" si="3"/>
        <v>ISABEL BEJARANO</v>
      </c>
      <c r="C97" t="s">
        <v>83</v>
      </c>
      <c r="D97">
        <v>11599</v>
      </c>
      <c r="E97">
        <f>D1_JUNIO[[#This Row],[RECUPERO]]/VLOOKUP(D1_JUNIO[[#This Row],[SUPER]],D2_JUNIO[#All],2,0)</f>
        <v>0.77326666666666655</v>
      </c>
      <c r="F97" t="str">
        <f>D1_JUNIO[[#This Row],[SUPER]]</f>
        <v>BRYAN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</row>
    <row r="98" spans="1:15" x14ac:dyDescent="0.25">
      <c r="A98" t="s">
        <v>8</v>
      </c>
      <c r="B98" t="str">
        <f t="shared" si="3"/>
        <v>DARYL FERREL</v>
      </c>
      <c r="C98" t="s">
        <v>40</v>
      </c>
      <c r="D98">
        <v>7411</v>
      </c>
      <c r="E98">
        <f>D1_JUNIO[[#This Row],[RECUPERO]]/VLOOKUP(D1_JUNIO[[#This Row],[SUPER]],D2_JUNIO[#All],2,0)</f>
        <v>0.4940666666666666</v>
      </c>
      <c r="F98" t="str">
        <f>D1_JUNIO[[#This Row],[SUPER]]</f>
        <v>BRYAN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</row>
    <row r="99" spans="1:15" x14ac:dyDescent="0.25">
      <c r="A99" t="s">
        <v>8</v>
      </c>
      <c r="B99" t="str">
        <f t="shared" ref="B99:B122" si="6">TRIM(C99)</f>
        <v>HAROLD FLORES</v>
      </c>
      <c r="C99" t="s">
        <v>42</v>
      </c>
      <c r="D99">
        <v>7022</v>
      </c>
      <c r="E99">
        <f>D1_JUNIO[[#This Row],[RECUPERO]]/VLOOKUP(D1_JUNIO[[#This Row],[SUPER]],D2_JUNIO[#All],2,0)</f>
        <v>0.46813333333333329</v>
      </c>
      <c r="F99" t="str">
        <f>D1_JUNIO[[#This Row],[SUPER]]</f>
        <v>BRYAN</v>
      </c>
      <c r="L99">
        <v>1</v>
      </c>
      <c r="M99" s="1">
        <f t="shared" si="4"/>
        <v>1.6319999999999999</v>
      </c>
      <c r="N99" t="str" cm="1">
        <f t="array" ref="N99">IFERROR(_xlfn.IFS(M99&gt;100%,"&gt;100%",AND(M99&lt;100%,M99&gt;70%),"&gt;70%",AND(M99&lt;70%,M99&gt;40%),"&gt;40%",AND(M99&lt;40%,M99&gt;0%),"&gt;0%"),"")</f>
        <v>&gt;100%</v>
      </c>
      <c r="O99" t="str">
        <f t="shared" si="5"/>
        <v>FRANCO HUAMANI</v>
      </c>
    </row>
    <row r="100" spans="1:15" x14ac:dyDescent="0.25">
      <c r="A100" t="s">
        <v>8</v>
      </c>
      <c r="B100" t="str">
        <f t="shared" si="6"/>
        <v>LYNDA PEREZ</v>
      </c>
      <c r="C100" t="s">
        <v>43</v>
      </c>
      <c r="D100">
        <v>4836</v>
      </c>
      <c r="E100">
        <f>D1_JUNIO[[#This Row],[RECUPERO]]/VLOOKUP(D1_JUNIO[[#This Row],[SUPER]],D2_JUNIO[#All],2,0)</f>
        <v>0.32239999999999996</v>
      </c>
      <c r="F100" t="str">
        <f>D1_JUNIO[[#This Row],[SUPER]]</f>
        <v>BRYAN</v>
      </c>
      <c r="L100">
        <v>2</v>
      </c>
      <c r="M100" s="1">
        <f t="shared" si="4"/>
        <v>0.86429999999999985</v>
      </c>
      <c r="N100" t="str" cm="1">
        <f t="array" ref="N100">IFERROR(_xlfn.IFS(M100&gt;100%,"&gt;100%",AND(M100&lt;100%,M100&gt;70%),"&gt;70%",AND(M100&lt;70%,M100&gt;40%),"&gt;40%",AND(M100&lt;40%,M100&gt;0%),"&gt;0%"),"")</f>
        <v>&gt;70%</v>
      </c>
      <c r="O100" t="str">
        <f t="shared" si="5"/>
        <v>BRINA SOTO</v>
      </c>
    </row>
    <row r="101" spans="1:15" x14ac:dyDescent="0.25">
      <c r="A101" t="s">
        <v>8</v>
      </c>
      <c r="B101" t="str">
        <f t="shared" si="6"/>
        <v>VERONICA HUARCA</v>
      </c>
      <c r="C101" t="s">
        <v>48</v>
      </c>
      <c r="D101">
        <v>3665</v>
      </c>
      <c r="E101">
        <f>D1_JUNIO[[#This Row],[RECUPERO]]/VLOOKUP(D1_JUNIO[[#This Row],[SUPER]],D2_JUNIO[#All],2,0)</f>
        <v>0.24433333333333329</v>
      </c>
      <c r="F101" t="str">
        <f>D1_JUNIO[[#This Row],[SUPER]]</f>
        <v>BRYAN</v>
      </c>
      <c r="L101">
        <v>3</v>
      </c>
      <c r="M101" s="1">
        <f t="shared" si="4"/>
        <v>0.7861999999999999</v>
      </c>
      <c r="N101" t="str" cm="1">
        <f t="array" ref="N101">IFERROR(_xlfn.IFS(M101&gt;100%,"&gt;100%",AND(M101&lt;100%,M101&gt;70%),"&gt;70%",AND(M101&lt;70%,M101&gt;40%),"&gt;40%",AND(M101&lt;40%,M101&gt;0%),"&gt;0%"),"")</f>
        <v>&gt;70%</v>
      </c>
      <c r="O101" t="str">
        <f t="shared" si="5"/>
        <v>CHRISTIAN ALVARADO</v>
      </c>
    </row>
    <row r="102" spans="1:15" x14ac:dyDescent="0.25">
      <c r="A102" t="s">
        <v>8</v>
      </c>
      <c r="B102" t="str">
        <f t="shared" si="6"/>
        <v>KATHLEEN FLORES</v>
      </c>
      <c r="C102" t="s">
        <v>45</v>
      </c>
      <c r="D102">
        <v>2182</v>
      </c>
      <c r="E102">
        <f>D1_JUNIO[[#This Row],[RECUPERO]]/VLOOKUP(D1_JUNIO[[#This Row],[SUPER]],D2_JUNIO[#All],2,0)</f>
        <v>0.14546666666666666</v>
      </c>
      <c r="F102" t="str">
        <f>D1_JUNIO[[#This Row],[SUPER]]</f>
        <v>BRYAN</v>
      </c>
      <c r="L102">
        <v>4</v>
      </c>
      <c r="M102" s="1">
        <f t="shared" si="4"/>
        <v>0.75399999999999989</v>
      </c>
      <c r="N102" t="str" cm="1">
        <f t="array" ref="N102">IFERROR(_xlfn.IFS(M102&gt;100%,"&gt;100%",AND(M102&lt;100%,M102&gt;70%),"&gt;70%",AND(M102&lt;70%,M102&gt;40%),"&gt;40%",AND(M102&lt;40%,M102&gt;0%),"&gt;0%"),"")</f>
        <v>&gt;70%</v>
      </c>
      <c r="O102" t="str">
        <f t="shared" si="5"/>
        <v>ROCIO TERRONES</v>
      </c>
    </row>
    <row r="103" spans="1:15" x14ac:dyDescent="0.25">
      <c r="A103" t="s">
        <v>8</v>
      </c>
      <c r="B103" t="str">
        <f t="shared" si="6"/>
        <v/>
      </c>
      <c r="E103">
        <f>D1_JUNIO[[#This Row],[RECUPERO]]/VLOOKUP(D1_JUNIO[[#This Row],[SUPER]],D2_JUNIO[#All],2,0)</f>
        <v>0</v>
      </c>
      <c r="F103" t="str">
        <f>D1_JUNIO[[#This Row],[SUPER]]</f>
        <v>BRYAN</v>
      </c>
      <c r="L103">
        <v>5</v>
      </c>
      <c r="M103" s="1">
        <f t="shared" si="4"/>
        <v>0.77326666666666655</v>
      </c>
      <c r="N103" t="str" cm="1">
        <f t="array" ref="N103">IFERROR(_xlfn.IFS(M103&gt;100%,"&gt;100%",AND(M103&lt;100%,M103&gt;70%),"&gt;70%",AND(M103&lt;70%,M103&gt;40%),"&gt;40%",AND(M103&lt;40%,M103&gt;0%),"&gt;0%"),"")</f>
        <v>&gt;70%</v>
      </c>
      <c r="O103" t="str">
        <f t="shared" si="5"/>
        <v>ISABEL BEJARANO</v>
      </c>
    </row>
    <row r="104" spans="1:15" x14ac:dyDescent="0.25">
      <c r="A104" t="s">
        <v>8</v>
      </c>
      <c r="B104" t="str">
        <f t="shared" si="6"/>
        <v/>
      </c>
      <c r="E104">
        <f>D1_JUNIO[[#This Row],[RECUPERO]]/VLOOKUP(D1_JUNIO[[#This Row],[SUPER]],D2_JUNIO[#All],2,0)</f>
        <v>0</v>
      </c>
      <c r="F104" t="str">
        <f>D1_JUNIO[[#This Row],[SUPER]]</f>
        <v>BRYAN</v>
      </c>
      <c r="L104">
        <v>6</v>
      </c>
      <c r="M104" s="1">
        <f t="shared" si="4"/>
        <v>0.4940666666666666</v>
      </c>
      <c r="N104" t="str" cm="1">
        <f t="array" ref="N104">IFERROR(_xlfn.IFS(M104&gt;100%,"&gt;100%",AND(M104&lt;100%,M104&gt;70%),"&gt;70%",AND(M104&lt;70%,M104&gt;40%),"&gt;40%",AND(M104&lt;40%,M104&gt;0%),"&gt;0%"),"")</f>
        <v>&gt;40%</v>
      </c>
      <c r="O104" t="str">
        <f t="shared" si="5"/>
        <v>DARYL FERREL</v>
      </c>
    </row>
    <row r="105" spans="1:15" x14ac:dyDescent="0.25">
      <c r="A105" t="s">
        <v>8</v>
      </c>
      <c r="B105" t="str">
        <f t="shared" si="6"/>
        <v/>
      </c>
      <c r="E105">
        <f>D1_JUNIO[[#This Row],[RECUPERO]]/VLOOKUP(D1_JUNIO[[#This Row],[SUPER]],D2_JUNIO[#All],2,0)</f>
        <v>0</v>
      </c>
      <c r="F105" t="str">
        <f>D1_JUNIO[[#This Row],[SUPER]]</f>
        <v>BRYAN</v>
      </c>
      <c r="L105">
        <v>7</v>
      </c>
      <c r="M105" s="1">
        <f t="shared" si="4"/>
        <v>0.46813333333333329</v>
      </c>
      <c r="N105" t="str" cm="1">
        <f t="array" ref="N105">IFERROR(_xlfn.IFS(M105&gt;100%,"&gt;100%",AND(M105&lt;100%,M105&gt;70%),"&gt;70%",AND(M105&lt;70%,M105&gt;40%),"&gt;40%",AND(M105&lt;40%,M105&gt;0%),"&gt;0%"),"")</f>
        <v>&gt;40%</v>
      </c>
      <c r="O105" t="str">
        <f t="shared" si="5"/>
        <v>HAROLD FLORES</v>
      </c>
    </row>
    <row r="106" spans="1:15" x14ac:dyDescent="0.25">
      <c r="A106" t="s">
        <v>8</v>
      </c>
      <c r="B106" t="str">
        <f t="shared" si="6"/>
        <v/>
      </c>
      <c r="E106">
        <f>D1_JUNIO[[#This Row],[RECUPERO]]/VLOOKUP(D1_JUNIO[[#This Row],[SUPER]],D2_JUNIO[#All],2,0)</f>
        <v>0</v>
      </c>
      <c r="F106" t="str">
        <f>D1_JUNIO[[#This Row],[SUPER]]</f>
        <v>BRYAN</v>
      </c>
      <c r="L106">
        <v>8</v>
      </c>
      <c r="M106" s="1">
        <f t="shared" si="4"/>
        <v>0.32239999999999996</v>
      </c>
      <c r="N106" t="str" cm="1">
        <f t="array" ref="N106">IFERROR(_xlfn.IFS(M106&gt;100%,"&gt;100%",AND(M106&lt;100%,M106&gt;70%),"&gt;70%",AND(M106&lt;70%,M106&gt;40%),"&gt;40%",AND(M106&lt;40%,M106&gt;0%),"&gt;0%"),"")</f>
        <v>&gt;0%</v>
      </c>
      <c r="O106" t="str">
        <f t="shared" si="5"/>
        <v>LYNDA PEREZ</v>
      </c>
    </row>
    <row r="107" spans="1:15" x14ac:dyDescent="0.25">
      <c r="A107" t="s">
        <v>8</v>
      </c>
      <c r="B107" t="str">
        <f t="shared" si="6"/>
        <v/>
      </c>
      <c r="E107">
        <f>D1_JUNIO[[#This Row],[RECUPERO]]/VLOOKUP(D1_JUNIO[[#This Row],[SUPER]],D2_JUNIO[#All],2,0)</f>
        <v>0</v>
      </c>
      <c r="F107" t="str">
        <f>D1_JUNIO[[#This Row],[SUPER]]</f>
        <v>BRYAN</v>
      </c>
      <c r="L107">
        <v>9</v>
      </c>
      <c r="M107" s="1">
        <f t="shared" si="4"/>
        <v>0.24433333333333329</v>
      </c>
      <c r="N107" t="str" cm="1">
        <f t="array" ref="N107">IFERROR(_xlfn.IFS(M107&gt;100%,"&gt;100%",AND(M107&lt;100%,M107&gt;70%),"&gt;70%",AND(M107&lt;70%,M107&gt;40%),"&gt;40%",AND(M107&lt;40%,M107&gt;0%),"&gt;0%"),"")</f>
        <v>&gt;0%</v>
      </c>
      <c r="O107" t="str">
        <f t="shared" si="5"/>
        <v>VERONICA HUARCA</v>
      </c>
    </row>
    <row r="108" spans="1:15" x14ac:dyDescent="0.25">
      <c r="A108" t="s">
        <v>9</v>
      </c>
      <c r="B108" t="str">
        <f t="shared" si="6"/>
        <v>ANDERSON RODRIGUEZ</v>
      </c>
      <c r="C108" t="s">
        <v>15</v>
      </c>
      <c r="D108">
        <v>14773.1</v>
      </c>
      <c r="E108">
        <f>D1_JUNIO[[#This Row],[RECUPERO]]/VLOOKUP(D1_JUNIO[[#This Row],[SUPER]],D2_JUNIO[#All],2,0)</f>
        <v>0.98487333333333338</v>
      </c>
      <c r="F108" t="str">
        <f>D1_JUNIO[[#This Row],[SUPER]]</f>
        <v>LUIS</v>
      </c>
      <c r="L108">
        <v>10</v>
      </c>
      <c r="M108" s="1">
        <f t="shared" si="4"/>
        <v>0.14546666666666666</v>
      </c>
      <c r="N108" t="str" cm="1">
        <f t="array" ref="N108">IFERROR(_xlfn.IFS(M108&gt;100%,"&gt;100%",AND(M108&lt;100%,M108&gt;70%),"&gt;70%",AND(M108&lt;70%,M108&gt;40%),"&gt;40%",AND(M108&lt;40%,M108&gt;0%),"&gt;0%"),"")</f>
        <v>&gt;0%</v>
      </c>
      <c r="O108" t="str">
        <f t="shared" si="5"/>
        <v>KATHLEEN FLORES</v>
      </c>
    </row>
    <row r="109" spans="1:15" x14ac:dyDescent="0.25">
      <c r="A109" t="s">
        <v>9</v>
      </c>
      <c r="B109" t="str">
        <f t="shared" si="6"/>
        <v>URSULA CENTENO</v>
      </c>
      <c r="C109" t="s">
        <v>78</v>
      </c>
      <c r="D109">
        <v>14391.5</v>
      </c>
      <c r="E109">
        <f>D1_JUNIO[[#This Row],[RECUPERO]]/VLOOKUP(D1_JUNIO[[#This Row],[SUPER]],D2_JUNIO[#All],2,0)</f>
        <v>0.95943333333333336</v>
      </c>
      <c r="F109" t="str">
        <f>D1_JUNIO[[#This Row],[SUPER]]</f>
        <v>LUIS</v>
      </c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</row>
    <row r="110" spans="1:15" x14ac:dyDescent="0.25">
      <c r="A110" t="s">
        <v>9</v>
      </c>
      <c r="B110" t="str">
        <f t="shared" si="6"/>
        <v>GIANNINA AGUILAR</v>
      </c>
      <c r="C110" t="s">
        <v>32</v>
      </c>
      <c r="D110">
        <v>7990.7</v>
      </c>
      <c r="E110">
        <f>D1_JUNIO[[#This Row],[RECUPERO]]/VLOOKUP(D1_JUNIO[[#This Row],[SUPER]],D2_JUNIO[#All],2,0)</f>
        <v>0.53271333333333337</v>
      </c>
      <c r="F110" t="str">
        <f>D1_JUNIO[[#This Row],[SUPER]]</f>
        <v>LUIS</v>
      </c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</row>
    <row r="111" spans="1:15" x14ac:dyDescent="0.25">
      <c r="A111" t="s">
        <v>9</v>
      </c>
      <c r="B111" t="str">
        <f t="shared" si="6"/>
        <v>SARITA GARAY</v>
      </c>
      <c r="C111" t="s">
        <v>73</v>
      </c>
      <c r="D111">
        <v>7098</v>
      </c>
      <c r="E111">
        <f>D1_JUNIO[[#This Row],[RECUPERO]]/VLOOKUP(D1_JUNIO[[#This Row],[SUPER]],D2_JUNIO[#All],2,0)</f>
        <v>0.47320000000000001</v>
      </c>
      <c r="F111" t="str">
        <f>D1_JUNIO[[#This Row],[SUPER]]</f>
        <v>LUIS</v>
      </c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</row>
    <row r="112" spans="1:15" x14ac:dyDescent="0.25">
      <c r="A112" t="s">
        <v>9</v>
      </c>
      <c r="B112" t="str">
        <f t="shared" si="6"/>
        <v>JANETH PORTOCARRERO</v>
      </c>
      <c r="C112" t="s">
        <v>49</v>
      </c>
      <c r="D112">
        <v>5489</v>
      </c>
      <c r="E112">
        <f>D1_JUNIO[[#This Row],[RECUPERO]]/VLOOKUP(D1_JUNIO[[#This Row],[SUPER]],D2_JUNIO[#All],2,0)</f>
        <v>0.36593333333333333</v>
      </c>
      <c r="F112" t="str">
        <f>D1_JUNIO[[#This Row],[SUPER]]</f>
        <v>LUIS</v>
      </c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</row>
    <row r="113" spans="1:15" x14ac:dyDescent="0.25">
      <c r="A113" t="s">
        <v>9</v>
      </c>
      <c r="B113" t="str">
        <f t="shared" si="6"/>
        <v>CARLOS CALAGUA</v>
      </c>
      <c r="C113" t="s">
        <v>129</v>
      </c>
      <c r="D113">
        <v>5380</v>
      </c>
      <c r="E113">
        <f>D1_JUNIO[[#This Row],[RECUPERO]]/VLOOKUP(D1_JUNIO[[#This Row],[SUPER]],D2_JUNIO[#All],2,0)</f>
        <v>0.35866666666666669</v>
      </c>
      <c r="F113" t="str">
        <f>D1_JUNIO[[#This Row],[SUPER]]</f>
        <v>LUIS</v>
      </c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</row>
    <row r="114" spans="1:15" x14ac:dyDescent="0.25">
      <c r="A114" t="s">
        <v>9</v>
      </c>
      <c r="B114" t="str">
        <f t="shared" si="6"/>
        <v>GERALDINE ARROYO</v>
      </c>
      <c r="C114" t="s">
        <v>51</v>
      </c>
      <c r="D114">
        <v>4625</v>
      </c>
      <c r="E114">
        <f>D1_JUNIO[[#This Row],[RECUPERO]]/VLOOKUP(D1_JUNIO[[#This Row],[SUPER]],D2_JUNIO[#All],2,0)</f>
        <v>0.30833333333333335</v>
      </c>
      <c r="F114" t="str">
        <f>D1_JUNIO[[#This Row],[SUPER]]</f>
        <v>LUIS</v>
      </c>
      <c r="L114">
        <v>1</v>
      </c>
      <c r="M114" s="1">
        <f t="shared" si="4"/>
        <v>0.98487333333333338</v>
      </c>
      <c r="N114" t="str" cm="1">
        <f t="array" ref="N114">IFERROR(_xlfn.IFS(M114&gt;100%,"&gt;100%",AND(M114&lt;100%,M114&gt;70%),"&gt;70%",AND(M114&lt;70%,M114&gt;40%),"&gt;40%",AND(M114&lt;40%,M114&gt;0%),"&gt;0%"),"")</f>
        <v>&gt;70%</v>
      </c>
      <c r="O114" t="str">
        <f t="shared" si="5"/>
        <v>ANDERSON RODRIGUEZ</v>
      </c>
    </row>
    <row r="115" spans="1:15" x14ac:dyDescent="0.25">
      <c r="A115" t="s">
        <v>9</v>
      </c>
      <c r="B115" t="str">
        <f t="shared" si="6"/>
        <v>RAQUEL RICO</v>
      </c>
      <c r="C115" t="s">
        <v>84</v>
      </c>
      <c r="D115">
        <v>3072</v>
      </c>
      <c r="E115">
        <f>D1_JUNIO[[#This Row],[RECUPERO]]/VLOOKUP(D1_JUNIO[[#This Row],[SUPER]],D2_JUNIO[#All],2,0)</f>
        <v>0.20480000000000001</v>
      </c>
      <c r="F115" t="str">
        <f>D1_JUNIO[[#This Row],[SUPER]]</f>
        <v>LUIS</v>
      </c>
      <c r="L115">
        <v>2</v>
      </c>
      <c r="M115" s="1">
        <f t="shared" si="4"/>
        <v>0.95943333333333336</v>
      </c>
      <c r="N115" t="str" cm="1">
        <f t="array" ref="N115">IFERROR(_xlfn.IFS(M115&gt;100%,"&gt;100%",AND(M115&lt;100%,M115&gt;70%),"&gt;70%",AND(M115&lt;70%,M115&gt;40%),"&gt;40%",AND(M115&lt;40%,M115&gt;0%),"&gt;0%"),"")</f>
        <v>&gt;70%</v>
      </c>
      <c r="O115" t="str">
        <f t="shared" si="5"/>
        <v>URSULA CENTENO</v>
      </c>
    </row>
    <row r="116" spans="1:15" x14ac:dyDescent="0.25">
      <c r="A116" t="s">
        <v>9</v>
      </c>
      <c r="B116" t="str">
        <f t="shared" si="6"/>
        <v>JOSUE VILCHEZ</v>
      </c>
      <c r="C116" t="s">
        <v>142</v>
      </c>
      <c r="D116">
        <v>700</v>
      </c>
      <c r="E116">
        <f>D1_JUNIO[[#This Row],[RECUPERO]]/VLOOKUP(D1_JUNIO[[#This Row],[SUPER]],D2_JUNIO[#All],2,0)</f>
        <v>4.6666666666666669E-2</v>
      </c>
      <c r="F116" t="str">
        <f>D1_JUNIO[[#This Row],[SUPER]]</f>
        <v>LUIS</v>
      </c>
      <c r="L116">
        <v>3</v>
      </c>
      <c r="M116" s="1">
        <f t="shared" si="4"/>
        <v>0.53271333333333337</v>
      </c>
      <c r="N116" t="str" cm="1">
        <f t="array" ref="N116">IFERROR(_xlfn.IFS(M116&gt;100%,"&gt;100%",AND(M116&lt;100%,M116&gt;70%),"&gt;70%",AND(M116&lt;70%,M116&gt;40%),"&gt;40%",AND(M116&lt;40%,M116&gt;0%),"&gt;0%"),"")</f>
        <v>&gt;40%</v>
      </c>
      <c r="O116" t="str">
        <f t="shared" si="5"/>
        <v>GIANNINA AGUILAR</v>
      </c>
    </row>
    <row r="117" spans="1:15" x14ac:dyDescent="0.25">
      <c r="A117" t="s">
        <v>9</v>
      </c>
      <c r="B117" t="str">
        <f t="shared" si="6"/>
        <v>TERRY ECHEVARRIA</v>
      </c>
      <c r="C117" t="s">
        <v>30</v>
      </c>
      <c r="D117">
        <v>350</v>
      </c>
      <c r="E117">
        <f>D1_JUNIO[[#This Row],[RECUPERO]]/VLOOKUP(D1_JUNIO[[#This Row],[SUPER]],D2_JUNIO[#All],2,0)</f>
        <v>2.3333333333333334E-2</v>
      </c>
      <c r="F117" t="str">
        <f>D1_JUNIO[[#This Row],[SUPER]]</f>
        <v>LUIS</v>
      </c>
      <c r="L117">
        <v>4</v>
      </c>
      <c r="M117" s="1">
        <f t="shared" si="4"/>
        <v>0.47320000000000001</v>
      </c>
      <c r="N117" t="str" cm="1">
        <f t="array" ref="N117">IFERROR(_xlfn.IFS(M117&gt;100%,"&gt;100%",AND(M117&lt;100%,M117&gt;70%),"&gt;70%",AND(M117&lt;70%,M117&gt;40%),"&gt;40%",AND(M117&lt;40%,M117&gt;0%),"&gt;0%"),"")</f>
        <v>&gt;40%</v>
      </c>
      <c r="O117" t="str">
        <f t="shared" si="5"/>
        <v>SARITA GARAY</v>
      </c>
    </row>
    <row r="118" spans="1:15" x14ac:dyDescent="0.25">
      <c r="A118" t="s">
        <v>9</v>
      </c>
      <c r="B118" t="str">
        <f t="shared" si="6"/>
        <v/>
      </c>
      <c r="E118">
        <f>D1_JUNIO[[#This Row],[RECUPERO]]/VLOOKUP(D1_JUNIO[[#This Row],[SUPER]],D2_JUNIO[#All],2,0)</f>
        <v>0</v>
      </c>
      <c r="F118" t="str">
        <f>D1_JUNIO[[#This Row],[SUPER]]</f>
        <v>LUIS</v>
      </c>
      <c r="L118">
        <v>5</v>
      </c>
      <c r="M118" s="1">
        <f t="shared" si="4"/>
        <v>0.36593333333333333</v>
      </c>
      <c r="N118" t="str" cm="1">
        <f t="array" ref="N118">IFERROR(_xlfn.IFS(M118&gt;100%,"&gt;100%",AND(M118&lt;100%,M118&gt;70%),"&gt;70%",AND(M118&lt;70%,M118&gt;40%),"&gt;40%",AND(M118&lt;40%,M118&gt;0%),"&gt;0%"),"")</f>
        <v>&gt;0%</v>
      </c>
      <c r="O118" t="str">
        <f t="shared" si="5"/>
        <v>JANETH PORTOCARRERO</v>
      </c>
    </row>
    <row r="119" spans="1:15" x14ac:dyDescent="0.25">
      <c r="A119" t="s">
        <v>9</v>
      </c>
      <c r="B119" t="str">
        <f t="shared" si="6"/>
        <v/>
      </c>
      <c r="E119">
        <f>D1_JUNIO[[#This Row],[RECUPERO]]/VLOOKUP(D1_JUNIO[[#This Row],[SUPER]],D2_JUNIO[#All],2,0)</f>
        <v>0</v>
      </c>
      <c r="F119" t="str">
        <f>D1_JUNIO[[#This Row],[SUPER]]</f>
        <v>LUIS</v>
      </c>
      <c r="L119">
        <v>6</v>
      </c>
      <c r="M119" s="1">
        <f t="shared" si="4"/>
        <v>0.35866666666666669</v>
      </c>
      <c r="N119" t="str" cm="1">
        <f t="array" ref="N119">IFERROR(_xlfn.IFS(M119&gt;100%,"&gt;100%",AND(M119&lt;100%,M119&gt;70%),"&gt;70%",AND(M119&lt;70%,M119&gt;40%),"&gt;40%",AND(M119&lt;40%,M119&gt;0%),"&gt;0%"),"")</f>
        <v>&gt;0%</v>
      </c>
      <c r="O119" t="str">
        <f t="shared" si="5"/>
        <v>CARLOS CALAGUA</v>
      </c>
    </row>
    <row r="120" spans="1:15" x14ac:dyDescent="0.25">
      <c r="A120" t="s">
        <v>9</v>
      </c>
      <c r="B120" t="str">
        <f t="shared" si="6"/>
        <v/>
      </c>
      <c r="E120">
        <f>D1_JUNIO[[#This Row],[RECUPERO]]/VLOOKUP(D1_JUNIO[[#This Row],[SUPER]],D2_JUNIO[#All],2,0)</f>
        <v>0</v>
      </c>
      <c r="F120" t="str">
        <f>D1_JUNIO[[#This Row],[SUPER]]</f>
        <v>LUIS</v>
      </c>
      <c r="L120">
        <v>7</v>
      </c>
      <c r="M120" s="1">
        <f t="shared" si="4"/>
        <v>0.30833333333333335</v>
      </c>
      <c r="N120" t="str" cm="1">
        <f t="array" ref="N120">IFERROR(_xlfn.IFS(M120&gt;100%,"&gt;100%",AND(M120&lt;100%,M120&gt;70%),"&gt;70%",AND(M120&lt;70%,M120&gt;40%),"&gt;40%",AND(M120&lt;40%,M120&gt;0%),"&gt;0%"),"")</f>
        <v>&gt;0%</v>
      </c>
      <c r="O120" t="str">
        <f t="shared" si="5"/>
        <v>GERALDINE ARROYO</v>
      </c>
    </row>
    <row r="121" spans="1:15" x14ac:dyDescent="0.25">
      <c r="A121" t="s">
        <v>9</v>
      </c>
      <c r="B121" t="str">
        <f t="shared" si="6"/>
        <v/>
      </c>
      <c r="E121">
        <f>D1_JUNIO[[#This Row],[RECUPERO]]/VLOOKUP(D1_JUNIO[[#This Row],[SUPER]],D2_JUNIO[#All],2,0)</f>
        <v>0</v>
      </c>
      <c r="F121" t="str">
        <f>D1_JUNIO[[#This Row],[SUPER]]</f>
        <v>LUIS</v>
      </c>
      <c r="L121">
        <v>8</v>
      </c>
      <c r="M121" s="1">
        <f t="shared" si="4"/>
        <v>0.20480000000000001</v>
      </c>
      <c r="N121" t="str" cm="1">
        <f t="array" ref="N121">IFERROR(_xlfn.IFS(M121&gt;100%,"&gt;100%",AND(M121&lt;100%,M121&gt;70%),"&gt;70%",AND(M121&lt;70%,M121&gt;40%),"&gt;40%",AND(M121&lt;40%,M121&gt;0%),"&gt;0%"),"")</f>
        <v>&gt;0%</v>
      </c>
      <c r="O121" t="str">
        <f t="shared" si="5"/>
        <v>RAQUEL RICO</v>
      </c>
    </row>
    <row r="122" spans="1:15" x14ac:dyDescent="0.25">
      <c r="A122" t="s">
        <v>9</v>
      </c>
      <c r="B122" t="str">
        <f t="shared" si="6"/>
        <v/>
      </c>
      <c r="E122">
        <f>D1_JUNIO[[#This Row],[RECUPERO]]/VLOOKUP(D1_JUNIO[[#This Row],[SUPER]],D2_JUNIO[#All],2,0)</f>
        <v>0</v>
      </c>
      <c r="F122" t="str">
        <f>D1_JUNIO[[#This Row],[SUPER]]</f>
        <v>LUIS</v>
      </c>
      <c r="L122">
        <v>9</v>
      </c>
      <c r="M122" s="1">
        <f t="shared" si="4"/>
        <v>4.6666666666666669E-2</v>
      </c>
      <c r="N122" t="str" cm="1">
        <f t="array" ref="N122">IFERROR(_xlfn.IFS(M122&gt;100%,"&gt;100%",AND(M122&lt;100%,M122&gt;70%),"&gt;70%",AND(M122&lt;70%,M122&gt;40%),"&gt;40%",AND(M122&lt;40%,M122&gt;0%),"&gt;0%"),"")</f>
        <v>&gt;0%</v>
      </c>
      <c r="O122" t="str">
        <f t="shared" si="5"/>
        <v>JOSUE VILCHEZ</v>
      </c>
    </row>
    <row r="123" spans="1:15" x14ac:dyDescent="0.25">
      <c r="L123">
        <v>10</v>
      </c>
      <c r="M123" s="1">
        <f t="shared" si="4"/>
        <v>2.3333333333333334E-2</v>
      </c>
      <c r="N123" t="str" cm="1">
        <f t="array" ref="N123">IFERROR(_xlfn.IFS(M123&gt;100%,"&gt;100%",AND(M123&lt;100%,M123&gt;70%),"&gt;70%",AND(M123&lt;70%,M123&gt;40%),"&gt;40%",AND(M123&lt;40%,M123&gt;0%),"&gt;0%"),"")</f>
        <v>&gt;0%</v>
      </c>
      <c r="O123" t="str">
        <f t="shared" si="5"/>
        <v>TERRY ECHEVARRIA</v>
      </c>
    </row>
    <row r="124" spans="1:15" x14ac:dyDescent="0.25">
      <c r="L124">
        <v>11</v>
      </c>
      <c r="M124" s="1">
        <f t="shared" si="4"/>
        <v>0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5"/>
        <v/>
      </c>
    </row>
    <row r="125" spans="1:15" x14ac:dyDescent="0.25">
      <c r="L125">
        <v>12</v>
      </c>
      <c r="M125" s="1">
        <f t="shared" si="4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5"/>
        <v/>
      </c>
    </row>
    <row r="126" spans="1:15" x14ac:dyDescent="0.25">
      <c r="L126">
        <v>13</v>
      </c>
      <c r="M126" s="1">
        <f t="shared" si="4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5"/>
        <v/>
      </c>
    </row>
    <row r="127" spans="1:15" x14ac:dyDescent="0.25">
      <c r="L127">
        <v>14</v>
      </c>
      <c r="M127" s="1">
        <f t="shared" si="4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5"/>
        <v/>
      </c>
    </row>
    <row r="128" spans="1:15" x14ac:dyDescent="0.25">
      <c r="L128">
        <v>15</v>
      </c>
      <c r="M128" s="1">
        <f t="shared" si="4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5"/>
        <v/>
      </c>
    </row>
    <row r="129" spans="12:15" x14ac:dyDescent="0.25">
      <c r="L129" s="22">
        <v>1</v>
      </c>
      <c r="M129" s="23">
        <f>IFERROR(IF(VLOOKUP("&gt;100%",N9:O128,2,0)&lt;&gt;"",0,100.01%),100.01%)</f>
        <v>0</v>
      </c>
      <c r="N129" s="22" t="str" cm="1">
        <f t="array" ref="N129">IFERROR(_xlfn.IFS(M129&gt;100%,"&gt;100%",AND(M129&lt;100%,M129&gt;70%),"&gt;70%",AND(M129&lt;70%,M129&gt;40%),"&gt;40%",AND(M129&lt;40%,M129&gt;0%),"&gt;0%"),"")</f>
        <v/>
      </c>
      <c r="O129" s="22" t="str">
        <f>IF(DATAJUNIO[[#This Row],[CLASIFICACIÓN]]="","","SIN APLICACIONES")</f>
        <v/>
      </c>
    </row>
    <row r="130" spans="12:15" x14ac:dyDescent="0.25">
      <c r="L130" s="22">
        <v>2</v>
      </c>
      <c r="M130" s="23">
        <f>IFERROR(IF(VLOOKUP("&gt;70%",N9:O128,2,0)&lt;&gt;"",0,70.01%),70.01%)</f>
        <v>0</v>
      </c>
      <c r="N130" s="22" t="str" cm="1">
        <f t="array" ref="N130">IFERROR(_xlfn.IFS(M130&gt;100%,"&gt;100%",AND(M130&lt;100%,M130&gt;70%),"&gt;70%",AND(M130&lt;70%,M130&gt;40%),"&gt;40%",AND(M130&lt;40%,M130&gt;0%),"&gt;0%"),"")</f>
        <v/>
      </c>
      <c r="O130" s="22" t="str">
        <f>IF(DATAJUNIO[[#This Row],[CLASIFICACIÓN]]="","","SIN APLICACIONES")</f>
        <v/>
      </c>
    </row>
    <row r="131" spans="12:15" x14ac:dyDescent="0.25">
      <c r="L131" s="22">
        <v>3</v>
      </c>
      <c r="M131" s="23">
        <f>IFERROR(IF(VLOOKUP("&gt;40%",N9:O128,2,0)&lt;&gt;"",0,40.01%),40.01%)</f>
        <v>0</v>
      </c>
      <c r="N131" s="22" t="str" cm="1">
        <f t="array" ref="N131">IFERROR(_xlfn.IFS(M131&gt;100%,"&gt;100%",AND(M131&lt;100%,M131&gt;70%),"&gt;70%",AND(M131&lt;70%,M131&gt;40%),"&gt;40%",AND(M131&lt;40%,M131&gt;0%),"&gt;0%"),"")</f>
        <v/>
      </c>
      <c r="O131" s="22" t="str">
        <f>IF(DATAJUNIO[[#This Row],[CLASIFICACIÓN]]="","","SIN APLICACIONES")</f>
        <v/>
      </c>
    </row>
  </sheetData>
  <sheetProtection formatCells="0" insertColumns="0" insertRows="0" deleteColumns="0" deleteRows="0" sort="0" autoFilter="0" pivotTables="0"/>
  <mergeCells count="5">
    <mergeCell ref="R1:AA3"/>
    <mergeCell ref="R5:S5"/>
    <mergeCell ref="U5:V5"/>
    <mergeCell ref="X5:Y5"/>
    <mergeCell ref="AA5:AB5"/>
  </mergeCells>
  <conditionalFormatting pivot="1" sqref="S8:S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15">
    <cfRule type="colorScale" priority="8">
      <colorScale>
        <cfvo type="min"/>
        <cfvo type="max"/>
        <color rgb="FFFCFCFF"/>
        <color rgb="FF63BE7B"/>
      </colorScale>
    </cfRule>
  </conditionalFormatting>
  <conditionalFormatting pivot="1" sqref="AB8:AB3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22">
    <cfRule type="colorScale" priority="7">
      <colorScale>
        <cfvo type="min"/>
        <cfvo type="max"/>
        <color rgb="FFFCFCFF"/>
        <color rgb="FFFFFF00"/>
      </colorScale>
    </cfRule>
  </conditionalFormatting>
  <conditionalFormatting pivot="1" sqref="Y8:Y29">
    <cfRule type="colorScale" priority="6">
      <colorScale>
        <cfvo type="min"/>
        <cfvo type="max"/>
        <color rgb="FFFCFCFF"/>
        <color rgb="FFFFC000"/>
      </colorScale>
    </cfRule>
  </conditionalFormatting>
  <conditionalFormatting pivot="1" sqref="AB8:AB37">
    <cfRule type="colorScale" priority="4">
      <colorScale>
        <cfvo type="min"/>
        <cfvo type="max"/>
        <color rgb="FFFCFCFF"/>
        <color rgb="FFF8696B"/>
      </colorScale>
    </cfRule>
  </conditionalFormatting>
  <conditionalFormatting sqref="R1:R85">
    <cfRule type="containsText" dxfId="239" priority="1" operator="containsText" text="SIN APLICACIONES">
      <formula>NOT(ISERROR(SEARCH("SIN APLICACIONES",R1)))</formula>
    </cfRule>
  </conditionalFormatting>
  <conditionalFormatting sqref="U1:U85">
    <cfRule type="containsText" dxfId="238" priority="2" operator="containsText" text="SIN APLICACIONES">
      <formula>NOT(ISERROR(SEARCH("SIN APLICACIONES",U1)))</formula>
    </cfRule>
  </conditionalFormatting>
  <conditionalFormatting sqref="X1:X85">
    <cfRule type="containsText" dxfId="237" priority="3" operator="containsText" text="SIN APLICACIONES">
      <formula>NOT(ISERROR(SEARCH("SIN APLICACIONES",X1)))</formula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B107"/>
  <sheetViews>
    <sheetView topLeftCell="Q1" zoomScale="85" zoomScaleNormal="85" workbookViewId="0">
      <selection activeCell="W13" sqref="A1:AB13"/>
    </sheetView>
  </sheetViews>
  <sheetFormatPr baseColWidth="10" defaultRowHeight="15" x14ac:dyDescent="0.25"/>
  <cols>
    <col min="1" max="1" width="9.42578125" hidden="1" customWidth="1"/>
    <col min="2" max="3" width="22.7109375" hidden="1" customWidth="1"/>
    <col min="4" max="4" width="13.42578125" hidden="1" customWidth="1"/>
    <col min="5" max="5" width="12.28515625" hidden="1" customWidth="1"/>
    <col min="6" max="6" width="10.42578125" hidden="1" customWidth="1"/>
    <col min="7" max="7" width="11.42578125" hidden="1" customWidth="1"/>
    <col min="8" max="8" width="9.7109375" hidden="1" customWidth="1"/>
    <col min="9" max="9" width="8.42578125" hidden="1" customWidth="1"/>
    <col min="10" max="10" width="14.42578125" hidden="1" customWidth="1"/>
    <col min="11" max="11" width="11.42578125" hidden="1" customWidth="1"/>
    <col min="12" max="12" width="10.85546875" hidden="1" customWidth="1"/>
    <col min="13" max="13" width="12.140625" style="1" hidden="1" customWidth="1"/>
    <col min="14" max="14" width="20.140625" style="1" hidden="1" customWidth="1"/>
    <col min="15" max="15" width="22.7109375" hidden="1" customWidth="1"/>
    <col min="16" max="16" width="12" hidden="1" customWidth="1"/>
    <col min="17" max="17" width="12" customWidth="1"/>
    <col min="18" max="18" width="19" bestFit="1" customWidth="1"/>
    <col min="19" max="19" width="12.28515625" bestFit="1" customWidth="1"/>
    <col min="21" max="21" width="22.7109375" bestFit="1" customWidth="1"/>
    <col min="22" max="22" width="11.7109375" bestFit="1" customWidth="1"/>
    <col min="24" max="24" width="21.7109375" bestFit="1" customWidth="1"/>
    <col min="25" max="25" width="11.7109375" bestFit="1" customWidth="1"/>
    <col min="27" max="27" width="20.140625" bestFit="1" customWidth="1"/>
    <col min="28" max="28" width="11.7109375" bestFit="1" customWidth="1"/>
  </cols>
  <sheetData>
    <row r="1" spans="1:28" ht="15" customHeight="1" x14ac:dyDescent="0.25">
      <c r="R1" s="45" t="s">
        <v>101</v>
      </c>
      <c r="S1" s="45"/>
      <c r="T1" s="45"/>
      <c r="U1" s="45"/>
      <c r="V1" s="45"/>
      <c r="W1" s="45"/>
      <c r="X1" s="45"/>
      <c r="Y1" s="45"/>
      <c r="Z1" s="45"/>
      <c r="AA1" s="45"/>
      <c r="AB1" s="18" t="s">
        <v>107</v>
      </c>
    </row>
    <row r="2" spans="1:28" ht="15" customHeight="1" x14ac:dyDescent="0.25">
      <c r="A2" s="24" t="s">
        <v>110</v>
      </c>
      <c r="B2" s="24" t="s">
        <v>136</v>
      </c>
      <c r="C2" s="24" t="s">
        <v>0</v>
      </c>
      <c r="D2" s="24" t="s">
        <v>111</v>
      </c>
      <c r="E2" s="25" t="s">
        <v>1</v>
      </c>
      <c r="F2" s="24" t="s">
        <v>127</v>
      </c>
      <c r="H2" t="s">
        <v>110</v>
      </c>
      <c r="I2" t="s">
        <v>104</v>
      </c>
      <c r="R2" s="45"/>
      <c r="S2" s="45"/>
      <c r="T2" s="45"/>
      <c r="U2" s="45"/>
      <c r="V2" s="45"/>
      <c r="W2" s="45"/>
      <c r="X2" s="45"/>
      <c r="Y2" s="45"/>
      <c r="Z2" s="45"/>
      <c r="AA2" s="45"/>
      <c r="AB2" s="19" t="str">
        <f>H14</f>
        <v>01/08</v>
      </c>
    </row>
    <row r="3" spans="1:28" ht="15" customHeight="1" x14ac:dyDescent="0.25">
      <c r="A3" s="26" t="s">
        <v>3</v>
      </c>
      <c r="B3" s="26" t="str">
        <f>TRIM(Tabla3[[#This Row],[ASESOR]])</f>
        <v>VICTOR RAMIREZ</v>
      </c>
      <c r="C3" s="26" t="s">
        <v>76</v>
      </c>
      <c r="D3" s="26">
        <v>136649.21</v>
      </c>
      <c r="E3">
        <f>Tabla3[[#This Row],[RECUPERO]]/VLOOKUP(Tabla3[[#This Row],[SUPER]],Tabla4[],2,0)</f>
        <v>2.1022955384615383</v>
      </c>
      <c r="F3" t="str">
        <f>Tabla3[[#This Row],[SUPER]]</f>
        <v>SANDY</v>
      </c>
      <c r="H3" t="s">
        <v>3</v>
      </c>
      <c r="I3">
        <v>65000</v>
      </c>
      <c r="R3" s="45"/>
      <c r="S3" s="45"/>
      <c r="T3" s="45"/>
      <c r="U3" s="45"/>
      <c r="V3" s="45"/>
      <c r="W3" s="45"/>
      <c r="X3" s="45"/>
      <c r="Y3" s="45"/>
      <c r="Z3" s="45"/>
      <c r="AA3" s="45"/>
      <c r="AB3" s="20" t="str">
        <f>H15</f>
        <v>16:27</v>
      </c>
    </row>
    <row r="4" spans="1:28" x14ac:dyDescent="0.25">
      <c r="A4" s="26" t="s">
        <v>3</v>
      </c>
      <c r="B4" s="26" t="str">
        <f>TRIM(Tabla3[[#This Row],[ASESOR]])</f>
        <v>LISELY MERA</v>
      </c>
      <c r="C4" s="26" t="s">
        <v>23</v>
      </c>
      <c r="D4" s="26">
        <v>95585</v>
      </c>
      <c r="E4">
        <f>Tabla3[[#This Row],[RECUPERO]]/VLOOKUP(Tabla3[[#This Row],[SUPER]],Tabla4[],2,0)</f>
        <v>1.4705384615384616</v>
      </c>
      <c r="F4" t="str">
        <f>Tabla3[[#This Row],[SUPER]]</f>
        <v>SANDY</v>
      </c>
      <c r="H4" t="s">
        <v>4</v>
      </c>
      <c r="I4">
        <v>65000</v>
      </c>
    </row>
    <row r="5" spans="1:28" ht="21" x14ac:dyDescent="0.35">
      <c r="A5" s="26" t="s">
        <v>3</v>
      </c>
      <c r="B5" s="26" t="str">
        <f>TRIM(Tabla3[[#This Row],[ASESOR]])</f>
        <v>EVELY TENORIO</v>
      </c>
      <c r="C5" s="26" t="s">
        <v>22</v>
      </c>
      <c r="D5" s="26">
        <v>81190.7</v>
      </c>
      <c r="E5">
        <f>Tabla3[[#This Row],[RECUPERO]]/VLOOKUP(Tabla3[[#This Row],[SUPER]],Tabla4[],2,0)</f>
        <v>1.2490876923076923</v>
      </c>
      <c r="F5" t="str">
        <f>Tabla3[[#This Row],[SUPER]]</f>
        <v>SANDY</v>
      </c>
      <c r="H5" t="s">
        <v>2</v>
      </c>
      <c r="I5">
        <v>54000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s="26" t="s">
        <v>3</v>
      </c>
      <c r="B6" s="26" t="str">
        <f>TRIM(Tabla3[[#This Row],[ASESOR]])</f>
        <v>MALORY MONTEBLANCO</v>
      </c>
      <c r="C6" s="26" t="s">
        <v>25</v>
      </c>
      <c r="D6" s="26">
        <v>46255</v>
      </c>
      <c r="E6">
        <f>Tabla3[[#This Row],[RECUPERO]]/VLOOKUP(Tabla3[[#This Row],[SUPER]],Tabla4[],2,0)</f>
        <v>0.71161538461538465</v>
      </c>
      <c r="F6" t="str">
        <f>Tabla3[[#This Row],[SUPER]]</f>
        <v>SANDY</v>
      </c>
      <c r="H6" t="s">
        <v>5</v>
      </c>
      <c r="I6">
        <v>54000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s="26" t="s">
        <v>3</v>
      </c>
      <c r="B7" s="26" t="str">
        <f>TRIM(Tabla3[[#This Row],[ASESOR]])</f>
        <v>FRANCO HUAMANI</v>
      </c>
      <c r="C7" s="26" t="s">
        <v>24</v>
      </c>
      <c r="D7" s="26">
        <v>45513</v>
      </c>
      <c r="E7">
        <f>Tabla3[[#This Row],[RECUPERO]]/VLOOKUP(Tabla3[[#This Row],[SUPER]],Tabla4[],2,0)</f>
        <v>0.70020000000000004</v>
      </c>
      <c r="F7" t="str">
        <f>Tabla3[[#This Row],[SUPER]]</f>
        <v>SANDY</v>
      </c>
      <c r="H7" t="s">
        <v>6</v>
      </c>
      <c r="I7">
        <v>26000</v>
      </c>
      <c r="N7"/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s="26" t="s">
        <v>3</v>
      </c>
      <c r="B8" s="26" t="str">
        <f>TRIM(Tabla3[[#This Row],[ASESOR]])</f>
        <v>JENY LAZARO</v>
      </c>
      <c r="C8" s="26" t="s">
        <v>26</v>
      </c>
      <c r="D8" s="26">
        <v>35355</v>
      </c>
      <c r="E8">
        <f>Tabla3[[#This Row],[RECUPERO]]/VLOOKUP(Tabla3[[#This Row],[SUPER]],Tabla4[],2,0)</f>
        <v>0.54392307692307695</v>
      </c>
      <c r="F8" t="str">
        <f>Tabla3[[#This Row],[SUPER]]</f>
        <v>SANDY</v>
      </c>
      <c r="H8" t="s">
        <v>7</v>
      </c>
      <c r="I8">
        <v>15500</v>
      </c>
      <c r="L8" s="12" t="s">
        <v>90</v>
      </c>
      <c r="M8" s="12" t="s">
        <v>88</v>
      </c>
      <c r="N8" s="13" t="s">
        <v>91</v>
      </c>
      <c r="O8" s="13" t="s">
        <v>89</v>
      </c>
      <c r="R8" s="6" t="s">
        <v>31</v>
      </c>
      <c r="S8" s="3">
        <v>2.5266153846153845</v>
      </c>
      <c r="U8" s="5" t="s">
        <v>10</v>
      </c>
      <c r="V8" s="2">
        <v>0.94387037037037036</v>
      </c>
      <c r="X8" s="5" t="s">
        <v>37</v>
      </c>
      <c r="Y8" s="2">
        <v>0.69415384615384612</v>
      </c>
      <c r="AA8" s="5" t="s">
        <v>28</v>
      </c>
      <c r="AB8" s="2">
        <v>0.39327661538461539</v>
      </c>
    </row>
    <row r="9" spans="1:28" x14ac:dyDescent="0.25">
      <c r="A9" s="26" t="s">
        <v>3</v>
      </c>
      <c r="B9" s="26" t="str">
        <f>TRIM(Tabla3[[#This Row],[ASESOR]])</f>
        <v>LUIS VALLADARES</v>
      </c>
      <c r="C9" s="26" t="s">
        <v>29</v>
      </c>
      <c r="D9" s="26">
        <v>28475</v>
      </c>
      <c r="E9">
        <f>Tabla3[[#This Row],[RECUPERO]]/VLOOKUP(Tabla3[[#This Row],[SUPER]],Tabla4[],2,0)</f>
        <v>0.43807692307692309</v>
      </c>
      <c r="F9" t="str">
        <f>Tabla3[[#This Row],[SUPER]]</f>
        <v>SANDY</v>
      </c>
      <c r="H9" t="s">
        <v>8</v>
      </c>
      <c r="I9">
        <v>15500</v>
      </c>
      <c r="L9">
        <v>1</v>
      </c>
      <c r="M9" s="1">
        <f>E3</f>
        <v>2.1022955384615383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>B3</f>
        <v>VICTOR RAMIREZ</v>
      </c>
      <c r="R9" s="6" t="s">
        <v>78</v>
      </c>
      <c r="S9" s="3">
        <v>2.1562692307692308</v>
      </c>
      <c r="U9" s="6" t="s">
        <v>62</v>
      </c>
      <c r="V9" s="3">
        <v>0.94044615384615382</v>
      </c>
      <c r="X9" s="6" t="s">
        <v>38</v>
      </c>
      <c r="Y9" s="3">
        <v>0.69242307692307692</v>
      </c>
      <c r="AA9" s="6" t="s">
        <v>68</v>
      </c>
      <c r="AB9" s="3">
        <v>0.37994444444444442</v>
      </c>
    </row>
    <row r="10" spans="1:28" x14ac:dyDescent="0.25">
      <c r="A10" s="26" t="s">
        <v>3</v>
      </c>
      <c r="B10" s="26" t="str">
        <f>TRIM(Tabla3[[#This Row],[ASESOR]])</f>
        <v>ERICK PORTILLA</v>
      </c>
      <c r="C10" s="26" t="s">
        <v>28</v>
      </c>
      <c r="D10" s="26">
        <v>25562.98</v>
      </c>
      <c r="E10">
        <f>Tabla3[[#This Row],[RECUPERO]]/VLOOKUP(Tabla3[[#This Row],[SUPER]],Tabla4[],2,0)</f>
        <v>0.39327661538461539</v>
      </c>
      <c r="F10" t="str">
        <f>Tabla3[[#This Row],[SUPER]]</f>
        <v>SANDY</v>
      </c>
      <c r="H10" t="s">
        <v>9</v>
      </c>
      <c r="I10">
        <v>15500</v>
      </c>
      <c r="L10">
        <v>2</v>
      </c>
      <c r="M10" s="1">
        <f t="shared" ref="M10:M73" si="0">E4</f>
        <v>1.4705384615384616</v>
      </c>
      <c r="N10" t="str" cm="1">
        <f t="array" ref="N10">IFERROR(_xlfn.IFS(M10&gt;100%,"&gt;100%",AND(M10&lt;100%,M10&gt;70%),"&gt;70%",AND(M10&lt;70%,M10&gt;40%),"&gt;40%",AND(M10&lt;40%,M10&gt;0%),"&gt;0%"),"")</f>
        <v>&gt;100%</v>
      </c>
      <c r="O10" t="str">
        <f t="shared" ref="O10:O73" si="1">B4</f>
        <v>LISELY MERA</v>
      </c>
      <c r="R10" s="6" t="s">
        <v>18</v>
      </c>
      <c r="S10" s="3">
        <v>2.116967741935484</v>
      </c>
      <c r="U10" s="6" t="s">
        <v>34</v>
      </c>
      <c r="V10" s="3">
        <v>0.85</v>
      </c>
      <c r="X10" s="6" t="s">
        <v>64</v>
      </c>
      <c r="Y10" s="3">
        <v>0.68861538461538463</v>
      </c>
      <c r="AA10" s="6" t="s">
        <v>14</v>
      </c>
      <c r="AB10" s="3">
        <v>0.37775925925925924</v>
      </c>
    </row>
    <row r="11" spans="1:28" x14ac:dyDescent="0.25">
      <c r="A11" s="26" t="s">
        <v>3</v>
      </c>
      <c r="B11" s="26" t="str">
        <f>TRIM(Tabla3[[#This Row],[ASESOR]])</f>
        <v>GABRIELA APONTE</v>
      </c>
      <c r="C11" s="26" t="s">
        <v>27</v>
      </c>
      <c r="D11" s="26">
        <v>16200</v>
      </c>
      <c r="E11">
        <f>Tabla3[[#This Row],[RECUPERO]]/VLOOKUP(Tabla3[[#This Row],[SUPER]],Tabla4[],2,0)</f>
        <v>0.24923076923076923</v>
      </c>
      <c r="F11" t="str">
        <f>Tabla3[[#This Row],[SUPER]]</f>
        <v>SANDY</v>
      </c>
      <c r="L11">
        <v>3</v>
      </c>
      <c r="M11" s="1">
        <f t="shared" si="0"/>
        <v>1.2490876923076923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1"/>
        <v>EVELY TENORIO</v>
      </c>
      <c r="R11" s="6" t="s">
        <v>76</v>
      </c>
      <c r="S11" s="3">
        <v>2.1022955384615383</v>
      </c>
      <c r="U11" s="6" t="s">
        <v>17</v>
      </c>
      <c r="V11" s="3">
        <v>0.84044444444444444</v>
      </c>
      <c r="X11" s="6" t="s">
        <v>19</v>
      </c>
      <c r="Y11" s="3">
        <v>0.64451612903225808</v>
      </c>
      <c r="AA11" s="6" t="s">
        <v>43</v>
      </c>
      <c r="AB11" s="3">
        <v>0.35909677419354841</v>
      </c>
    </row>
    <row r="12" spans="1:28" x14ac:dyDescent="0.25">
      <c r="A12" s="26" t="s">
        <v>3</v>
      </c>
      <c r="B12" s="26" t="str">
        <f>TRIM(Tabla3[[#This Row],[ASESOR]])</f>
        <v>TERRY ECHEVARRIA</v>
      </c>
      <c r="C12" s="26" t="s">
        <v>30</v>
      </c>
      <c r="D12" s="26">
        <v>8835</v>
      </c>
      <c r="E12">
        <f>Tabla3[[#This Row],[RECUPERO]]/VLOOKUP(Tabla3[[#This Row],[SUPER]],Tabla4[],2,0)</f>
        <v>0.13592307692307692</v>
      </c>
      <c r="F12" t="str">
        <f>Tabla3[[#This Row],[SUPER]]</f>
        <v>SANDY</v>
      </c>
      <c r="L12">
        <v>4</v>
      </c>
      <c r="M12" s="1">
        <f t="shared" si="0"/>
        <v>0.71161538461538465</v>
      </c>
      <c r="N12" t="str" cm="1">
        <f t="array" ref="N12">IFERROR(_xlfn.IFS(M12&gt;100%,"&gt;100%",AND(M12&lt;100%,M12&gt;70%),"&gt;70%",AND(M12&lt;70%,M12&gt;40%),"&gt;40%",AND(M12&lt;40%,M12&gt;0%),"&gt;0%"),"")</f>
        <v>&gt;70%</v>
      </c>
      <c r="O12" t="str">
        <f t="shared" si="1"/>
        <v>MALORY MONTEBLANCO</v>
      </c>
      <c r="R12" s="6" t="s">
        <v>59</v>
      </c>
      <c r="S12" s="3">
        <v>2.1010089230769227</v>
      </c>
      <c r="U12" s="6" t="s">
        <v>81</v>
      </c>
      <c r="V12" s="3">
        <v>0.81051612903225811</v>
      </c>
      <c r="X12" s="6" t="s">
        <v>40</v>
      </c>
      <c r="Y12" s="3">
        <v>0.59030769230769231</v>
      </c>
      <c r="AA12" s="6" t="s">
        <v>55</v>
      </c>
      <c r="AB12" s="3">
        <v>0.34296774193548385</v>
      </c>
    </row>
    <row r="13" spans="1:28" x14ac:dyDescent="0.25">
      <c r="A13" s="26" t="s">
        <v>3</v>
      </c>
      <c r="B13" s="26" t="str">
        <f>TRIM(Tabla3[[#This Row],[ASESOR]])</f>
        <v/>
      </c>
      <c r="C13" s="26" t="s">
        <v>131</v>
      </c>
      <c r="D13" s="26"/>
      <c r="E13">
        <f>Tabla3[[#This Row],[RECUPERO]]/VLOOKUP(Tabla3[[#This Row],[SUPER]],Tabla4[],2,0)</f>
        <v>0</v>
      </c>
      <c r="F13" t="str">
        <f>Tabla3[[#This Row],[SUPER]]</f>
        <v>SANDY</v>
      </c>
      <c r="H13" s="28" t="s">
        <v>107</v>
      </c>
      <c r="J13" s="21">
        <f ca="1">NOW()</f>
        <v>45972.660482523148</v>
      </c>
      <c r="L13">
        <v>5</v>
      </c>
      <c r="M13" s="1">
        <f t="shared" si="0"/>
        <v>0.70020000000000004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1"/>
        <v>FRANCO HUAMANI</v>
      </c>
      <c r="R13" s="6" t="s">
        <v>23</v>
      </c>
      <c r="S13" s="3">
        <v>1.4705384615384616</v>
      </c>
      <c r="U13" s="6" t="s">
        <v>44</v>
      </c>
      <c r="V13" s="3">
        <v>0.79687096774193544</v>
      </c>
      <c r="X13" s="6" t="s">
        <v>83</v>
      </c>
      <c r="Y13" s="3">
        <v>0.5776129032258065</v>
      </c>
      <c r="AA13" s="6" t="s">
        <v>13</v>
      </c>
      <c r="AB13" s="3">
        <v>0.3280925925925926</v>
      </c>
    </row>
    <row r="14" spans="1:28" x14ac:dyDescent="0.25">
      <c r="A14" s="26" t="s">
        <v>3</v>
      </c>
      <c r="B14" s="26" t="str">
        <f>TRIM(Tabla3[[#This Row],[ASESOR]])</f>
        <v/>
      </c>
      <c r="C14" s="26" t="s">
        <v>131</v>
      </c>
      <c r="D14" s="26"/>
      <c r="E14">
        <f>Tabla3[[#This Row],[RECUPERO]]/VLOOKUP(Tabla3[[#This Row],[SUPER]],Tabla4[],2,0)</f>
        <v>0</v>
      </c>
      <c r="F14" t="str">
        <f>Tabla3[[#This Row],[SUPER]]</f>
        <v>SANDY</v>
      </c>
      <c r="H14" s="27" t="s">
        <v>121</v>
      </c>
      <c r="J14">
        <f ca="1">DAY(J13)</f>
        <v>11</v>
      </c>
      <c r="L14">
        <v>6</v>
      </c>
      <c r="M14" s="1">
        <f t="shared" si="0"/>
        <v>0.54392307692307695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1"/>
        <v>JENY LAZARO</v>
      </c>
      <c r="R14" s="6" t="s">
        <v>75</v>
      </c>
      <c r="S14" s="3">
        <v>1.4679707692307693</v>
      </c>
      <c r="U14" s="6" t="s">
        <v>41</v>
      </c>
      <c r="V14" s="3">
        <v>0.79670967741935483</v>
      </c>
      <c r="X14" s="6" t="s">
        <v>61</v>
      </c>
      <c r="Y14" s="3">
        <v>0.57619538461538455</v>
      </c>
      <c r="AA14" s="6" t="s">
        <v>60</v>
      </c>
      <c r="AB14" s="3">
        <v>0.3228923076923077</v>
      </c>
    </row>
    <row r="15" spans="1:28" x14ac:dyDescent="0.25">
      <c r="A15" s="26" t="s">
        <v>4</v>
      </c>
      <c r="B15" s="26" t="str">
        <f>TRIM(Tabla3[[#This Row],[ASESOR]])</f>
        <v>PIERINA TESEN</v>
      </c>
      <c r="C15" s="26" t="s">
        <v>59</v>
      </c>
      <c r="D15" s="26">
        <v>136565.57999999999</v>
      </c>
      <c r="E15">
        <f>Tabla3[[#This Row],[RECUPERO]]/VLOOKUP(Tabla3[[#This Row],[SUPER]],Tabla4[],2,0)</f>
        <v>2.1010089230769227</v>
      </c>
      <c r="F15" t="str">
        <f>Tabla3[[#This Row],[SUPER]]</f>
        <v>MELINA</v>
      </c>
      <c r="H15" s="27" t="s">
        <v>117</v>
      </c>
      <c r="J15">
        <f ca="1">MONTH(J13)</f>
        <v>11</v>
      </c>
      <c r="L15">
        <v>7</v>
      </c>
      <c r="M15" s="1">
        <f t="shared" si="0"/>
        <v>0.43807692307692309</v>
      </c>
      <c r="N15" t="str" cm="1">
        <f t="array" ref="N15">IFERROR(_xlfn.IFS(M15&gt;100%,"&gt;100%",AND(M15&lt;100%,M15&gt;70%),"&gt;70%",AND(M15&lt;70%,M15&gt;40%),"&gt;40%",AND(M15&lt;40%,M15&gt;0%),"&gt;0%"),"")</f>
        <v>&gt;40%</v>
      </c>
      <c r="O15" t="str">
        <f t="shared" si="1"/>
        <v>LUIS VALLADARES</v>
      </c>
      <c r="R15" s="6" t="s">
        <v>35</v>
      </c>
      <c r="S15" s="3">
        <v>1.3675384615384616</v>
      </c>
      <c r="U15" s="6" t="s">
        <v>49</v>
      </c>
      <c r="V15" s="3">
        <v>0.77290322580645165</v>
      </c>
      <c r="X15" s="6" t="s">
        <v>42</v>
      </c>
      <c r="Y15" s="3">
        <v>0.57270967741935486</v>
      </c>
      <c r="AA15" s="6" t="s">
        <v>69</v>
      </c>
      <c r="AB15" s="3">
        <v>0.26178703703703704</v>
      </c>
    </row>
    <row r="16" spans="1:28" x14ac:dyDescent="0.25">
      <c r="A16" s="26" t="s">
        <v>4</v>
      </c>
      <c r="B16" s="26" t="str">
        <f>TRIM(Tabla3[[#This Row],[ASESOR]])</f>
        <v>MARIA TINTAYA</v>
      </c>
      <c r="C16" s="26" t="s">
        <v>75</v>
      </c>
      <c r="D16" s="26">
        <v>95418.1</v>
      </c>
      <c r="E16">
        <f>Tabla3[[#This Row],[RECUPERO]]/VLOOKUP(Tabla3[[#This Row],[SUPER]],Tabla4[],2,0)</f>
        <v>1.4679707692307693</v>
      </c>
      <c r="F16" t="str">
        <f>Tabla3[[#This Row],[SUPER]]</f>
        <v>MELINA</v>
      </c>
      <c r="J16" t="str">
        <f ca="1">_xlfn.CONCAT(IF(LEN(J14)=1,"0"&amp;J14,J14),"/",IF(LEN(J15)=1,"0"&amp;J15,J15))</f>
        <v>11/11</v>
      </c>
      <c r="L16">
        <v>8</v>
      </c>
      <c r="M16" s="1">
        <f t="shared" si="0"/>
        <v>0.39327661538461539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1"/>
        <v>ERICK PORTILLA</v>
      </c>
      <c r="R16" s="6" t="s">
        <v>16</v>
      </c>
      <c r="S16" s="3">
        <v>1.3431481481481482</v>
      </c>
      <c r="U16" s="6" t="s">
        <v>48</v>
      </c>
      <c r="V16" s="3">
        <v>0.7699677419354839</v>
      </c>
      <c r="X16" s="6" t="s">
        <v>12</v>
      </c>
      <c r="Y16" s="3">
        <v>0.56653703703703706</v>
      </c>
      <c r="AA16" s="6" t="s">
        <v>46</v>
      </c>
      <c r="AB16" s="3">
        <v>0.25387096774193546</v>
      </c>
    </row>
    <row r="17" spans="1:28" x14ac:dyDescent="0.25">
      <c r="A17" s="26" t="s">
        <v>4</v>
      </c>
      <c r="B17" s="26" t="str">
        <f>TRIM(Tabla3[[#This Row],[ASESOR]])</f>
        <v>ALEJANDRA QUISPE</v>
      </c>
      <c r="C17" s="26" t="s">
        <v>58</v>
      </c>
      <c r="D17" s="26">
        <v>73549</v>
      </c>
      <c r="E17">
        <f>Tabla3[[#This Row],[RECUPERO]]/VLOOKUP(Tabla3[[#This Row],[SUPER]],Tabla4[],2,0)</f>
        <v>1.1315230769230769</v>
      </c>
      <c r="F17" t="str">
        <f>Tabla3[[#This Row],[SUPER]]</f>
        <v>MELINA</v>
      </c>
      <c r="J17" t="str">
        <f ca="1">IF(_xlfn.CONCAT(IF(LEN(J14)=1,"0"&amp;J14,J14),"/",IF(LEN(J15)=1,"0"&amp;J15,J15))=H14,"✔","X")</f>
        <v>X</v>
      </c>
      <c r="L17">
        <v>9</v>
      </c>
      <c r="M17" s="1">
        <f t="shared" si="0"/>
        <v>0.24923076923076923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1"/>
        <v>GABRIELA APONTE</v>
      </c>
      <c r="R17" s="6" t="s">
        <v>73</v>
      </c>
      <c r="S17" s="3">
        <v>1.3217419354838709</v>
      </c>
      <c r="U17" s="6" t="s">
        <v>50</v>
      </c>
      <c r="V17" s="3">
        <v>0.76419354838709674</v>
      </c>
      <c r="X17" s="6" t="s">
        <v>70</v>
      </c>
      <c r="Y17" s="3">
        <v>0.54594444444444445</v>
      </c>
      <c r="AA17" s="6" t="s">
        <v>63</v>
      </c>
      <c r="AB17" s="3">
        <v>0.25064615384615385</v>
      </c>
    </row>
    <row r="18" spans="1:28" x14ac:dyDescent="0.25">
      <c r="A18" s="26" t="s">
        <v>4</v>
      </c>
      <c r="B18" s="26" t="str">
        <f>TRIM(Tabla3[[#This Row],[ASESOR]])</f>
        <v>MELISSA GUERRERO</v>
      </c>
      <c r="C18" s="26" t="s">
        <v>62</v>
      </c>
      <c r="D18" s="26">
        <v>61129</v>
      </c>
      <c r="E18">
        <f>Tabla3[[#This Row],[RECUPERO]]/VLOOKUP(Tabla3[[#This Row],[SUPER]],Tabla4[],2,0)</f>
        <v>0.94044615384615382</v>
      </c>
      <c r="F18" t="str">
        <f>Tabla3[[#This Row],[SUPER]]</f>
        <v>MELINA</v>
      </c>
      <c r="L18">
        <v>10</v>
      </c>
      <c r="M18" s="1">
        <f t="shared" si="0"/>
        <v>0.13592307692307692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1"/>
        <v>TERRY ECHEVARRIA</v>
      </c>
      <c r="R18" s="6" t="s">
        <v>33</v>
      </c>
      <c r="S18" s="3">
        <v>1.2695000000000001</v>
      </c>
      <c r="U18" s="6" t="s">
        <v>53</v>
      </c>
      <c r="V18" s="3">
        <v>0.73193548387096774</v>
      </c>
      <c r="X18" s="6" t="s">
        <v>26</v>
      </c>
      <c r="Y18" s="3">
        <v>0.54392307692307695</v>
      </c>
      <c r="AA18" s="6" t="s">
        <v>27</v>
      </c>
      <c r="AB18" s="3">
        <v>0.24923076923076923</v>
      </c>
    </row>
    <row r="19" spans="1:28" x14ac:dyDescent="0.25">
      <c r="A19" s="26" t="s">
        <v>4</v>
      </c>
      <c r="B19" s="26" t="str">
        <f>TRIM(Tabla3[[#This Row],[ASESOR]])</f>
        <v>MICAELA PEREZ</v>
      </c>
      <c r="C19" s="26" t="s">
        <v>64</v>
      </c>
      <c r="D19" s="26">
        <v>44760</v>
      </c>
      <c r="E19">
        <f>Tabla3[[#This Row],[RECUPERO]]/VLOOKUP(Tabla3[[#This Row],[SUPER]],Tabla4[],2,0)</f>
        <v>0.68861538461538463</v>
      </c>
      <c r="F19" t="str">
        <f>Tabla3[[#This Row],[SUPER]]</f>
        <v>MELINA</v>
      </c>
      <c r="L19">
        <v>11</v>
      </c>
      <c r="M19" s="1">
        <f t="shared" si="0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1"/>
        <v/>
      </c>
      <c r="R19" s="6" t="s">
        <v>22</v>
      </c>
      <c r="S19" s="3">
        <v>1.2490876923076923</v>
      </c>
      <c r="U19" s="6" t="s">
        <v>67</v>
      </c>
      <c r="V19" s="3">
        <v>0.72612962962962968</v>
      </c>
      <c r="X19" s="6" t="s">
        <v>84</v>
      </c>
      <c r="Y19" s="3">
        <v>0.54141935483870973</v>
      </c>
      <c r="AA19" s="6" t="s">
        <v>74</v>
      </c>
      <c r="AB19" s="3">
        <v>0.23148387096774192</v>
      </c>
    </row>
    <row r="20" spans="1:28" x14ac:dyDescent="0.25">
      <c r="A20" s="26" t="s">
        <v>4</v>
      </c>
      <c r="B20" s="26" t="str">
        <f>TRIM(Tabla3[[#This Row],[ASESOR]])</f>
        <v>CRISTINA TICONA</v>
      </c>
      <c r="C20" s="26" t="s">
        <v>61</v>
      </c>
      <c r="D20" s="26">
        <v>37452.699999999997</v>
      </c>
      <c r="E20">
        <f>Tabla3[[#This Row],[RECUPERO]]/VLOOKUP(Tabla3[[#This Row],[SUPER]],Tabla4[],2,0)</f>
        <v>0.57619538461538455</v>
      </c>
      <c r="F20" t="str">
        <f>Tabla3[[#This Row],[SUPER]]</f>
        <v>MELINA</v>
      </c>
      <c r="L20">
        <v>12</v>
      </c>
      <c r="M20" s="1">
        <f t="shared" si="0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1"/>
        <v/>
      </c>
      <c r="R20" s="6" t="s">
        <v>58</v>
      </c>
      <c r="S20" s="3">
        <v>1.1315230769230769</v>
      </c>
      <c r="U20" s="6" t="s">
        <v>25</v>
      </c>
      <c r="V20" s="3">
        <v>0.71161538461538465</v>
      </c>
      <c r="X20" s="6" t="s">
        <v>56</v>
      </c>
      <c r="Y20" s="3">
        <v>0.5263870967741936</v>
      </c>
      <c r="AA20" s="6" t="s">
        <v>20</v>
      </c>
      <c r="AB20" s="3">
        <v>0.23</v>
      </c>
    </row>
    <row r="21" spans="1:28" x14ac:dyDescent="0.25">
      <c r="A21" s="26" t="s">
        <v>4</v>
      </c>
      <c r="B21" s="26" t="str">
        <f>TRIM(Tabla3[[#This Row],[ASESOR]])</f>
        <v>JAIR MARTINEZ</v>
      </c>
      <c r="C21" s="26" t="s">
        <v>57</v>
      </c>
      <c r="D21" s="26">
        <v>32536</v>
      </c>
      <c r="E21">
        <f>Tabla3[[#This Row],[RECUPERO]]/VLOOKUP(Tabla3[[#This Row],[SUPER]],Tabla4[],2,0)</f>
        <v>0.50055384615384613</v>
      </c>
      <c r="F21" t="str">
        <f>Tabla3[[#This Row],[SUPER]]</f>
        <v>MELINA</v>
      </c>
      <c r="L21">
        <v>1</v>
      </c>
      <c r="M21" s="1">
        <f t="shared" si="0"/>
        <v>2.1010089230769227</v>
      </c>
      <c r="N21" t="str" cm="1">
        <f t="array" ref="N21">IFERROR(_xlfn.IFS(M21&gt;100%,"&gt;100%",AND(M21&lt;100%,M21&gt;70%),"&gt;70%",AND(M21&lt;70%,M21&gt;40%),"&gt;40%",AND(M21&lt;40%,M21&gt;0%),"&gt;0%"),"")</f>
        <v>&gt;100%</v>
      </c>
      <c r="O21" t="str">
        <f t="shared" si="1"/>
        <v>PIERINA TESEN</v>
      </c>
      <c r="R21" s="6" t="s">
        <v>21</v>
      </c>
      <c r="S21" s="3">
        <v>1.0683870967741935</v>
      </c>
      <c r="U21" s="7" t="s">
        <v>24</v>
      </c>
      <c r="V21" s="4">
        <v>0.70020000000000004</v>
      </c>
      <c r="X21" s="6" t="s">
        <v>66</v>
      </c>
      <c r="Y21" s="3">
        <v>0.50568518518518524</v>
      </c>
      <c r="AA21" s="6" t="s">
        <v>79</v>
      </c>
      <c r="AB21" s="3">
        <v>0.22816666666666666</v>
      </c>
    </row>
    <row r="22" spans="1:28" x14ac:dyDescent="0.25">
      <c r="A22" s="26" t="s">
        <v>4</v>
      </c>
      <c r="B22" s="26" t="str">
        <f>TRIM(Tabla3[[#This Row],[ASESOR]])</f>
        <v>JHONATAN CHAVEZ</v>
      </c>
      <c r="C22" s="26" t="s">
        <v>65</v>
      </c>
      <c r="D22" s="26">
        <v>31613</v>
      </c>
      <c r="E22">
        <f>Tabla3[[#This Row],[RECUPERO]]/VLOOKUP(Tabla3[[#This Row],[SUPER]],Tabla4[],2,0)</f>
        <v>0.48635384615384614</v>
      </c>
      <c r="F22" t="str">
        <f>Tabla3[[#This Row],[SUPER]]</f>
        <v>MELINA</v>
      </c>
      <c r="L22">
        <v>2</v>
      </c>
      <c r="M22" s="1">
        <f t="shared" si="0"/>
        <v>1.4679707692307693</v>
      </c>
      <c r="N22" t="str" cm="1">
        <f t="array" ref="N22">IFERROR(_xlfn.IFS(M22&gt;100%,"&gt;100%",AND(M22&lt;100%,M22&gt;70%),"&gt;70%",AND(M22&lt;70%,M22&gt;40%),"&gt;40%",AND(M22&lt;40%,M22&gt;0%),"&gt;0%"),"")</f>
        <v>&gt;100%</v>
      </c>
      <c r="O22" t="str">
        <f t="shared" si="1"/>
        <v>MARIA TINTAYA</v>
      </c>
      <c r="R22" s="6" t="s">
        <v>77</v>
      </c>
      <c r="S22" s="3">
        <v>1.0068387096774194</v>
      </c>
      <c r="X22" s="6" t="s">
        <v>51</v>
      </c>
      <c r="Y22" s="3">
        <v>0.50425806451612898</v>
      </c>
      <c r="AA22" s="6" t="s">
        <v>82</v>
      </c>
      <c r="AB22" s="3">
        <v>0.21612903225806451</v>
      </c>
    </row>
    <row r="23" spans="1:28" x14ac:dyDescent="0.25">
      <c r="A23" s="26" t="s">
        <v>4</v>
      </c>
      <c r="B23" s="26" t="str">
        <f>TRIM(Tabla3[[#This Row],[ASESOR]])</f>
        <v>ANALUCIA PONCE</v>
      </c>
      <c r="C23" s="26" t="s">
        <v>60</v>
      </c>
      <c r="D23" s="26">
        <v>20988</v>
      </c>
      <c r="E23">
        <f>Tabla3[[#This Row],[RECUPERO]]/VLOOKUP(Tabla3[[#This Row],[SUPER]],Tabla4[],2,0)</f>
        <v>0.3228923076923077</v>
      </c>
      <c r="F23" t="str">
        <f>Tabla3[[#This Row],[SUPER]]</f>
        <v>MELINA</v>
      </c>
      <c r="L23">
        <v>3</v>
      </c>
      <c r="M23" s="1">
        <f t="shared" si="0"/>
        <v>1.1315230769230769</v>
      </c>
      <c r="N23" t="str" cm="1">
        <f t="array" ref="N23">IFERROR(_xlfn.IFS(M23&gt;100%,"&gt;100%",AND(M23&lt;100%,M23&gt;70%),"&gt;70%",AND(M23&lt;70%,M23&gt;40%),"&gt;40%",AND(M23&lt;40%,M23&gt;0%),"&gt;0%"),"")</f>
        <v>&gt;100%</v>
      </c>
      <c r="O23" t="str">
        <f t="shared" si="1"/>
        <v>ALEJANDRA QUISPE</v>
      </c>
      <c r="R23" s="7" t="s">
        <v>36</v>
      </c>
      <c r="S23" s="4">
        <v>1.0028846153846154</v>
      </c>
      <c r="X23" s="6" t="s">
        <v>11</v>
      </c>
      <c r="Y23" s="3">
        <v>0.50240740740740741</v>
      </c>
      <c r="AA23" s="6" t="s">
        <v>80</v>
      </c>
      <c r="AB23" s="3">
        <v>0.17687692307692307</v>
      </c>
    </row>
    <row r="24" spans="1:28" x14ac:dyDescent="0.25">
      <c r="A24" s="26" t="s">
        <v>4</v>
      </c>
      <c r="B24" s="26" t="str">
        <f>TRIM(Tabla3[[#This Row],[ASESOR]])</f>
        <v>RICHARD RODRIGUEZ</v>
      </c>
      <c r="C24" s="26" t="s">
        <v>63</v>
      </c>
      <c r="D24" s="26">
        <v>16292</v>
      </c>
      <c r="E24">
        <f>Tabla3[[#This Row],[RECUPERO]]/VLOOKUP(Tabla3[[#This Row],[SUPER]],Tabla4[],2,0)</f>
        <v>0.25064615384615385</v>
      </c>
      <c r="F24" t="str">
        <f>Tabla3[[#This Row],[SUPER]]</f>
        <v>MELINA</v>
      </c>
      <c r="L24">
        <v>4</v>
      </c>
      <c r="M24" s="1">
        <f t="shared" si="0"/>
        <v>0.94044615384615382</v>
      </c>
      <c r="N24" t="str" cm="1">
        <f t="array" ref="N24">IFERROR(_xlfn.IFS(M24&gt;100%,"&gt;100%",AND(M24&lt;100%,M24&gt;70%),"&gt;70%",AND(M24&lt;70%,M24&gt;40%),"&gt;40%",AND(M24&lt;40%,M24&gt;0%),"&gt;0%"),"")</f>
        <v>&gt;70%</v>
      </c>
      <c r="O24" t="str">
        <f t="shared" si="1"/>
        <v>MELISSA GUERRERO</v>
      </c>
      <c r="X24" s="6" t="s">
        <v>57</v>
      </c>
      <c r="Y24" s="3">
        <v>0.50055384615384613</v>
      </c>
      <c r="AA24" s="6" t="s">
        <v>86</v>
      </c>
      <c r="AB24" s="3">
        <v>0.15901851851851853</v>
      </c>
    </row>
    <row r="25" spans="1:28" x14ac:dyDescent="0.25">
      <c r="A25" s="26" t="s">
        <v>4</v>
      </c>
      <c r="B25" s="26" t="str">
        <f>TRIM(Tabla3[[#This Row],[ASESOR]])</f>
        <v>DANIEL ZAPATA</v>
      </c>
      <c r="C25" s="26" t="s">
        <v>80</v>
      </c>
      <c r="D25" s="26">
        <v>11497</v>
      </c>
      <c r="E25">
        <f>Tabla3[[#This Row],[RECUPERO]]/VLOOKUP(Tabla3[[#This Row],[SUPER]],Tabla4[],2,0)</f>
        <v>0.17687692307692307</v>
      </c>
      <c r="F25" t="str">
        <f>Tabla3[[#This Row],[SUPER]]</f>
        <v>MELINA</v>
      </c>
      <c r="L25">
        <v>5</v>
      </c>
      <c r="M25" s="1">
        <f t="shared" si="0"/>
        <v>0.68861538461538463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1"/>
        <v>MICAELA PEREZ</v>
      </c>
      <c r="X25" s="6" t="s">
        <v>32</v>
      </c>
      <c r="Y25" s="3">
        <v>0.48896153846153845</v>
      </c>
      <c r="AA25" s="6" t="s">
        <v>45</v>
      </c>
      <c r="AB25" s="3">
        <v>0.15387096774193548</v>
      </c>
    </row>
    <row r="26" spans="1:28" x14ac:dyDescent="0.25">
      <c r="A26" s="26" t="s">
        <v>4</v>
      </c>
      <c r="B26" s="26" t="str">
        <f>TRIM(Tabla3[[#This Row],[ASESOR]])</f>
        <v/>
      </c>
      <c r="C26" s="26" t="s">
        <v>131</v>
      </c>
      <c r="D26" s="26"/>
      <c r="E26">
        <f>Tabla3[[#This Row],[RECUPERO]]/VLOOKUP(Tabla3[[#This Row],[SUPER]],Tabla4[],2,0)</f>
        <v>0</v>
      </c>
      <c r="F26" t="str">
        <f>Tabla3[[#This Row],[SUPER]]</f>
        <v>MELINA</v>
      </c>
      <c r="L26">
        <v>6</v>
      </c>
      <c r="M26" s="1">
        <f t="shared" si="0"/>
        <v>0.57619538461538455</v>
      </c>
      <c r="N26" t="str" cm="1">
        <f t="array" ref="N26">IFERROR(_xlfn.IFS(M26&gt;100%,"&gt;100%",AND(M26&lt;100%,M26&gt;70%),"&gt;70%",AND(M26&lt;70%,M26&gt;40%),"&gt;40%",AND(M26&lt;40%,M26&gt;0%),"&gt;0%"),"")</f>
        <v>&gt;40%</v>
      </c>
      <c r="O26" t="str">
        <f t="shared" si="1"/>
        <v>CRISTINA TICONA</v>
      </c>
      <c r="X26" s="6" t="s">
        <v>65</v>
      </c>
      <c r="Y26" s="3">
        <v>0.48635384615384614</v>
      </c>
      <c r="AA26" s="7" t="s">
        <v>30</v>
      </c>
      <c r="AB26" s="4">
        <v>0.13592307692307692</v>
      </c>
    </row>
    <row r="27" spans="1:28" x14ac:dyDescent="0.25">
      <c r="A27" s="26" t="s">
        <v>2</v>
      </c>
      <c r="B27" s="26" t="str">
        <f>TRIM(Tabla3[[#This Row],[ASESOR]])</f>
        <v>FRANS TACSI</v>
      </c>
      <c r="C27" s="26" t="s">
        <v>16</v>
      </c>
      <c r="D27" s="26">
        <v>72530</v>
      </c>
      <c r="E27">
        <f>Tabla3[[#This Row],[RECUPERO]]/VLOOKUP(Tabla3[[#This Row],[SUPER]],Tabla4[],2,0)</f>
        <v>1.3431481481481482</v>
      </c>
      <c r="F27" t="str">
        <f>Tabla3[[#This Row],[SUPER]]</f>
        <v>JORGE</v>
      </c>
      <c r="L27">
        <v>7</v>
      </c>
      <c r="M27" s="1">
        <f t="shared" si="0"/>
        <v>0.50055384615384613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1"/>
        <v>JAIR MARTINEZ</v>
      </c>
      <c r="X27" s="6" t="s">
        <v>54</v>
      </c>
      <c r="Y27" s="3">
        <v>0.4838064516129032</v>
      </c>
    </row>
    <row r="28" spans="1:28" x14ac:dyDescent="0.25">
      <c r="A28" s="26" t="s">
        <v>2</v>
      </c>
      <c r="B28" s="26" t="str">
        <f>TRIM(Tabla3[[#This Row],[ASESOR]])</f>
        <v>VERONICA TASAYCO</v>
      </c>
      <c r="C28" s="26" t="s">
        <v>10</v>
      </c>
      <c r="D28" s="26">
        <v>50969</v>
      </c>
      <c r="E28">
        <f>Tabla3[[#This Row],[RECUPERO]]/VLOOKUP(Tabla3[[#This Row],[SUPER]],Tabla4[],2,0)</f>
        <v>0.94387037037037036</v>
      </c>
      <c r="F28" t="str">
        <f>Tabla3[[#This Row],[SUPER]]</f>
        <v>JORGE</v>
      </c>
      <c r="L28">
        <v>8</v>
      </c>
      <c r="M28" s="1">
        <f t="shared" si="0"/>
        <v>0.48635384615384614</v>
      </c>
      <c r="N28" t="str" cm="1">
        <f t="array" ref="N28">IFERROR(_xlfn.IFS(M28&gt;100%,"&gt;100%",AND(M28&lt;100%,M28&gt;70%),"&gt;70%",AND(M28&lt;70%,M28&gt;40%),"&gt;40%",AND(M28&lt;40%,M28&gt;0%),"&gt;0%"),"")</f>
        <v>&gt;40%</v>
      </c>
      <c r="O28" t="str">
        <f t="shared" si="1"/>
        <v>JHONATAN CHAVEZ</v>
      </c>
      <c r="X28" s="6" t="s">
        <v>72</v>
      </c>
      <c r="Y28" s="3">
        <v>0.46605555555555556</v>
      </c>
    </row>
    <row r="29" spans="1:28" x14ac:dyDescent="0.25">
      <c r="A29" s="26" t="s">
        <v>2</v>
      </c>
      <c r="B29" s="26" t="str">
        <f>TRIM(Tabla3[[#This Row],[ASESOR]])</f>
        <v>MARGARITA PIANCHACHI</v>
      </c>
      <c r="C29" s="26" t="s">
        <v>17</v>
      </c>
      <c r="D29" s="26">
        <v>45384</v>
      </c>
      <c r="E29">
        <f>Tabla3[[#This Row],[RECUPERO]]/VLOOKUP(Tabla3[[#This Row],[SUPER]],Tabla4[],2,0)</f>
        <v>0.84044444444444444</v>
      </c>
      <c r="F29" t="str">
        <f>Tabla3[[#This Row],[SUPER]]</f>
        <v>JORGE</v>
      </c>
      <c r="L29">
        <v>9</v>
      </c>
      <c r="M29" s="1">
        <f t="shared" si="0"/>
        <v>0.3228923076923077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1"/>
        <v>ANALUCIA PONCE</v>
      </c>
      <c r="X29" s="6" t="s">
        <v>85</v>
      </c>
      <c r="Y29" s="3">
        <v>0.4457962962962963</v>
      </c>
    </row>
    <row r="30" spans="1:28" x14ac:dyDescent="0.25">
      <c r="A30" s="26" t="s">
        <v>2</v>
      </c>
      <c r="B30" s="26" t="str">
        <f>TRIM(Tabla3[[#This Row],[ASESOR]])</f>
        <v>GENESIS VICUNA</v>
      </c>
      <c r="C30" s="26" t="s">
        <v>12</v>
      </c>
      <c r="D30" s="26">
        <v>30593</v>
      </c>
      <c r="E30">
        <f>Tabla3[[#This Row],[RECUPERO]]/VLOOKUP(Tabla3[[#This Row],[SUPER]],Tabla4[],2,0)</f>
        <v>0.56653703703703706</v>
      </c>
      <c r="F30" t="str">
        <f>Tabla3[[#This Row],[SUPER]]</f>
        <v>JORGE</v>
      </c>
      <c r="L30">
        <v>10</v>
      </c>
      <c r="M30" s="1">
        <f t="shared" si="0"/>
        <v>0.25064615384615385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1"/>
        <v>RICHARD RODRIGUEZ</v>
      </c>
      <c r="X30" s="6" t="s">
        <v>29</v>
      </c>
      <c r="Y30" s="3">
        <v>0.43807692307692309</v>
      </c>
    </row>
    <row r="31" spans="1:28" x14ac:dyDescent="0.25">
      <c r="A31" s="26" t="s">
        <v>2</v>
      </c>
      <c r="B31" s="26" t="str">
        <f>TRIM(Tabla3[[#This Row],[ASESOR]])</f>
        <v>MILAGROS QUIO</v>
      </c>
      <c r="C31" s="26" t="s">
        <v>11</v>
      </c>
      <c r="D31" s="26">
        <v>27130</v>
      </c>
      <c r="E31">
        <f>Tabla3[[#This Row],[RECUPERO]]/VLOOKUP(Tabla3[[#This Row],[SUPER]],Tabla4[],2,0)</f>
        <v>0.50240740740740741</v>
      </c>
      <c r="F31" t="str">
        <f>Tabla3[[#This Row],[SUPER]]</f>
        <v>JORGE</v>
      </c>
      <c r="L31">
        <v>11</v>
      </c>
      <c r="M31" s="1">
        <f t="shared" si="0"/>
        <v>0.17687692307692307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1"/>
        <v>DANIEL ZAPATA</v>
      </c>
      <c r="X31" s="6" t="s">
        <v>39</v>
      </c>
      <c r="Y31" s="3">
        <v>0.43580769230769228</v>
      </c>
    </row>
    <row r="32" spans="1:28" x14ac:dyDescent="0.25">
      <c r="A32" s="26" t="s">
        <v>2</v>
      </c>
      <c r="B32" s="26" t="str">
        <f>TRIM(Tabla3[[#This Row],[ASESOR]])</f>
        <v>ANDERSON RODRIGUEZ</v>
      </c>
      <c r="C32" s="26" t="s">
        <v>15</v>
      </c>
      <c r="D32" s="26">
        <v>22638</v>
      </c>
      <c r="E32">
        <f>Tabla3[[#This Row],[RECUPERO]]/VLOOKUP(Tabla3[[#This Row],[SUPER]],Tabla4[],2,0)</f>
        <v>0.41922222222222222</v>
      </c>
      <c r="F32" t="str">
        <f>Tabla3[[#This Row],[SUPER]]</f>
        <v>JORGE</v>
      </c>
      <c r="L32">
        <v>12</v>
      </c>
      <c r="M32" s="1">
        <f t="shared" si="0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1"/>
        <v/>
      </c>
      <c r="X32" s="6" t="s">
        <v>15</v>
      </c>
      <c r="Y32" s="3">
        <v>0.41922222222222222</v>
      </c>
    </row>
    <row r="33" spans="1:25" x14ac:dyDescent="0.25">
      <c r="A33" s="26" t="s">
        <v>2</v>
      </c>
      <c r="B33" s="26" t="str">
        <f>TRIM(Tabla3[[#This Row],[ASESOR]])</f>
        <v>BRINA SOTO</v>
      </c>
      <c r="C33" s="26" t="s">
        <v>14</v>
      </c>
      <c r="D33" s="26">
        <v>20399</v>
      </c>
      <c r="E33">
        <f>Tabla3[[#This Row],[RECUPERO]]/VLOOKUP(Tabla3[[#This Row],[SUPER]],Tabla4[],2,0)</f>
        <v>0.37775925925925924</v>
      </c>
      <c r="F33" t="str">
        <f>Tabla3[[#This Row],[SUPER]]</f>
        <v>JORGE</v>
      </c>
      <c r="L33">
        <v>1</v>
      </c>
      <c r="M33" s="1">
        <f t="shared" si="0"/>
        <v>1.3431481481481482</v>
      </c>
      <c r="N33" t="str" cm="1">
        <f t="array" ref="N33">IFERROR(_xlfn.IFS(M33&gt;100%,"&gt;100%",AND(M33&lt;100%,M33&gt;70%),"&gt;70%",AND(M33&lt;70%,M33&gt;40%),"&gt;40%",AND(M33&lt;40%,M33&gt;0%),"&gt;0%"),"")</f>
        <v>&gt;100%</v>
      </c>
      <c r="O33" t="str">
        <f t="shared" si="1"/>
        <v>FRANS TACSI</v>
      </c>
      <c r="X33" s="7" t="s">
        <v>71</v>
      </c>
      <c r="Y33" s="4">
        <v>0.41438888888888886</v>
      </c>
    </row>
    <row r="34" spans="1:25" x14ac:dyDescent="0.25">
      <c r="A34" s="26" t="s">
        <v>2</v>
      </c>
      <c r="B34" s="26" t="str">
        <f>TRIM(Tabla3[[#This Row],[ASESOR]])</f>
        <v>GIANFRANCO PINEDO</v>
      </c>
      <c r="C34" s="26" t="s">
        <v>13</v>
      </c>
      <c r="D34" s="26">
        <v>17717</v>
      </c>
      <c r="E34">
        <f>Tabla3[[#This Row],[RECUPERO]]/VLOOKUP(Tabla3[[#This Row],[SUPER]],Tabla4[],2,0)</f>
        <v>0.3280925925925926</v>
      </c>
      <c r="F34" t="str">
        <f>Tabla3[[#This Row],[SUPER]]</f>
        <v>JORGE</v>
      </c>
      <c r="L34">
        <v>2</v>
      </c>
      <c r="M34" s="1">
        <f t="shared" si="0"/>
        <v>0.94387037037037036</v>
      </c>
      <c r="N34" t="str" cm="1">
        <f t="array" ref="N34">IFERROR(_xlfn.IFS(M34&gt;100%,"&gt;100%",AND(M34&lt;100%,M34&gt;70%),"&gt;70%",AND(M34&lt;70%,M34&gt;40%),"&gt;40%",AND(M34&lt;40%,M34&gt;0%),"&gt;0%"),"")</f>
        <v>&gt;70%</v>
      </c>
      <c r="O34" t="str">
        <f t="shared" si="1"/>
        <v>VERONICA TASAYCO</v>
      </c>
    </row>
    <row r="35" spans="1:25" x14ac:dyDescent="0.25">
      <c r="A35" s="26" t="s">
        <v>2</v>
      </c>
      <c r="B35" s="26" t="str">
        <f>TRIM(Tabla3[[#This Row],[ASESOR]])</f>
        <v>SOLMAIRA BRAVO</v>
      </c>
      <c r="C35" s="26" t="s">
        <v>86</v>
      </c>
      <c r="D35" s="26">
        <v>8587</v>
      </c>
      <c r="E35">
        <f>Tabla3[[#This Row],[RECUPERO]]/VLOOKUP(Tabla3[[#This Row],[SUPER]],Tabla4[],2,0)</f>
        <v>0.15901851851851853</v>
      </c>
      <c r="F35" t="str">
        <f>Tabla3[[#This Row],[SUPER]]</f>
        <v>JORGE</v>
      </c>
      <c r="L35">
        <v>3</v>
      </c>
      <c r="M35" s="1">
        <f t="shared" si="0"/>
        <v>0.84044444444444444</v>
      </c>
      <c r="N35" t="str" cm="1">
        <f t="array" ref="N35">IFERROR(_xlfn.IFS(M35&gt;100%,"&gt;100%",AND(M35&lt;100%,M35&gt;70%),"&gt;70%",AND(M35&lt;70%,M35&gt;40%),"&gt;40%",AND(M35&lt;40%,M35&gt;0%),"&gt;0%"),"")</f>
        <v>&gt;70%</v>
      </c>
      <c r="O35" t="str">
        <f t="shared" si="1"/>
        <v>MARGARITA PIANCHACHI</v>
      </c>
    </row>
    <row r="36" spans="1:25" x14ac:dyDescent="0.25">
      <c r="A36" s="26" t="s">
        <v>2</v>
      </c>
      <c r="B36" s="26" t="str">
        <f>TRIM(Tabla3[[#This Row],[ASESOR]])</f>
        <v/>
      </c>
      <c r="C36" s="26" t="s">
        <v>131</v>
      </c>
      <c r="D36" s="26"/>
      <c r="E36">
        <f>Tabla3[[#This Row],[RECUPERO]]/VLOOKUP(Tabla3[[#This Row],[SUPER]],Tabla4[],2,0)</f>
        <v>0</v>
      </c>
      <c r="F36" t="str">
        <f>Tabla3[[#This Row],[SUPER]]</f>
        <v>JORGE</v>
      </c>
      <c r="L36">
        <v>4</v>
      </c>
      <c r="M36" s="1">
        <f t="shared" si="0"/>
        <v>0.56653703703703706</v>
      </c>
      <c r="N36" t="str" cm="1">
        <f t="array" ref="N36">IFERROR(_xlfn.IFS(M36&gt;100%,"&gt;100%",AND(M36&lt;100%,M36&gt;70%),"&gt;70%",AND(M36&lt;70%,M36&gt;40%),"&gt;40%",AND(M36&lt;40%,M36&gt;0%),"&gt;0%"),"")</f>
        <v>&gt;40%</v>
      </c>
      <c r="O36" t="str">
        <f t="shared" si="1"/>
        <v>GENESIS VICUNA</v>
      </c>
    </row>
    <row r="37" spans="1:25" x14ac:dyDescent="0.25">
      <c r="A37" s="26" t="s">
        <v>2</v>
      </c>
      <c r="B37" s="26" t="str">
        <f>TRIM(Tabla3[[#This Row],[ASESOR]])</f>
        <v/>
      </c>
      <c r="C37" s="26" t="s">
        <v>131</v>
      </c>
      <c r="D37" s="26"/>
      <c r="E37">
        <f>Tabla3[[#This Row],[RECUPERO]]/VLOOKUP(Tabla3[[#This Row],[SUPER]],Tabla4[],2,0)</f>
        <v>0</v>
      </c>
      <c r="F37" t="str">
        <f>Tabla3[[#This Row],[SUPER]]</f>
        <v>JORGE</v>
      </c>
      <c r="L37">
        <v>5</v>
      </c>
      <c r="M37" s="1">
        <f t="shared" si="0"/>
        <v>0.50240740740740741</v>
      </c>
      <c r="N37" t="str" cm="1">
        <f t="array" ref="N37">IFERROR(_xlfn.IFS(M37&gt;100%,"&gt;100%",AND(M37&lt;100%,M37&gt;70%),"&gt;70%",AND(M37&lt;70%,M37&gt;40%),"&gt;40%",AND(M37&lt;40%,M37&gt;0%),"&gt;0%"),"")</f>
        <v>&gt;40%</v>
      </c>
      <c r="O37" t="str">
        <f t="shared" si="1"/>
        <v>MILAGROS QUIO</v>
      </c>
    </row>
    <row r="38" spans="1:25" x14ac:dyDescent="0.25">
      <c r="A38" s="26" t="s">
        <v>2</v>
      </c>
      <c r="B38" s="26" t="str">
        <f>TRIM(Tabla3[[#This Row],[ASESOR]])</f>
        <v/>
      </c>
      <c r="C38" s="26" t="s">
        <v>131</v>
      </c>
      <c r="D38" s="26"/>
      <c r="E38">
        <f>Tabla3[[#This Row],[RECUPERO]]/VLOOKUP(Tabla3[[#This Row],[SUPER]],Tabla4[],2,0)</f>
        <v>0</v>
      </c>
      <c r="F38" t="str">
        <f>Tabla3[[#This Row],[SUPER]]</f>
        <v>JORGE</v>
      </c>
      <c r="L38">
        <v>6</v>
      </c>
      <c r="M38" s="1">
        <f t="shared" si="0"/>
        <v>0.41922222222222222</v>
      </c>
      <c r="N38" t="str" cm="1">
        <f t="array" ref="N38">IFERROR(_xlfn.IFS(M38&gt;100%,"&gt;100%",AND(M38&lt;100%,M38&gt;70%),"&gt;70%",AND(M38&lt;70%,M38&gt;40%),"&gt;40%",AND(M38&lt;40%,M38&gt;0%),"&gt;0%"),"")</f>
        <v>&gt;40%</v>
      </c>
      <c r="O38" t="str">
        <f t="shared" si="1"/>
        <v>ANDERSON RODRIGUEZ</v>
      </c>
    </row>
    <row r="39" spans="1:25" x14ac:dyDescent="0.25">
      <c r="A39" s="26" t="s">
        <v>5</v>
      </c>
      <c r="B39" s="26" t="str">
        <f>TRIM(Tabla3[[#This Row],[ASESOR]])</f>
        <v>AURORA FAUSTOR</v>
      </c>
      <c r="C39" s="26" t="s">
        <v>67</v>
      </c>
      <c r="D39" s="26">
        <v>39211</v>
      </c>
      <c r="E39">
        <f>Tabla3[[#This Row],[RECUPERO]]/VLOOKUP(Tabla3[[#This Row],[SUPER]],Tabla4[],2,0)</f>
        <v>0.72612962962962968</v>
      </c>
      <c r="F39" t="str">
        <f>Tabla3[[#This Row],[SUPER]]</f>
        <v>JORDAN</v>
      </c>
      <c r="L39">
        <v>7</v>
      </c>
      <c r="M39" s="1">
        <f t="shared" si="0"/>
        <v>0.37775925925925924</v>
      </c>
      <c r="N39" t="str" cm="1">
        <f t="array" ref="N39">IFERROR(_xlfn.IFS(M39&gt;100%,"&gt;100%",AND(M39&lt;100%,M39&gt;70%),"&gt;70%",AND(M39&lt;70%,M39&gt;40%),"&gt;40%",AND(M39&lt;40%,M39&gt;0%),"&gt;0%"),"")</f>
        <v>&gt;0%</v>
      </c>
      <c r="O39" t="str">
        <f t="shared" si="1"/>
        <v>BRINA SOTO</v>
      </c>
    </row>
    <row r="40" spans="1:25" x14ac:dyDescent="0.25">
      <c r="A40" s="26" t="s">
        <v>5</v>
      </c>
      <c r="B40" s="26" t="str">
        <f>TRIM(Tabla3[[#This Row],[ASESOR]])</f>
        <v>MERLY CORONEL</v>
      </c>
      <c r="C40" s="26" t="s">
        <v>70</v>
      </c>
      <c r="D40" s="26">
        <v>29481</v>
      </c>
      <c r="E40">
        <f>Tabla3[[#This Row],[RECUPERO]]/VLOOKUP(Tabla3[[#This Row],[SUPER]],Tabla4[],2,0)</f>
        <v>0.54594444444444445</v>
      </c>
      <c r="F40" t="str">
        <f>Tabla3[[#This Row],[SUPER]]</f>
        <v>JORDAN</v>
      </c>
      <c r="L40">
        <v>8</v>
      </c>
      <c r="M40" s="1">
        <f t="shared" si="0"/>
        <v>0.3280925925925926</v>
      </c>
      <c r="N40" t="str" cm="1">
        <f t="array" ref="N40">IFERROR(_xlfn.IFS(M40&gt;100%,"&gt;100%",AND(M40&lt;100%,M40&gt;70%),"&gt;70%",AND(M40&lt;70%,M40&gt;40%),"&gt;40%",AND(M40&lt;40%,M40&gt;0%),"&gt;0%"),"")</f>
        <v>&gt;0%</v>
      </c>
      <c r="O40" t="str">
        <f t="shared" si="1"/>
        <v>GIANFRANCO PINEDO</v>
      </c>
    </row>
    <row r="41" spans="1:25" x14ac:dyDescent="0.25">
      <c r="A41" s="26" t="s">
        <v>5</v>
      </c>
      <c r="B41" s="26" t="str">
        <f>TRIM(Tabla3[[#This Row],[ASESOR]])</f>
        <v>GILBERTO PURIZACA</v>
      </c>
      <c r="C41" s="26" t="s">
        <v>66</v>
      </c>
      <c r="D41" s="26">
        <v>27307</v>
      </c>
      <c r="E41">
        <f>Tabla3[[#This Row],[RECUPERO]]/VLOOKUP(Tabla3[[#This Row],[SUPER]],Tabla4[],2,0)</f>
        <v>0.50568518518518524</v>
      </c>
      <c r="F41" t="str">
        <f>Tabla3[[#This Row],[SUPER]]</f>
        <v>JORDAN</v>
      </c>
      <c r="L41">
        <v>9</v>
      </c>
      <c r="M41" s="1">
        <f t="shared" si="0"/>
        <v>0.15901851851851853</v>
      </c>
      <c r="N41" t="str" cm="1">
        <f t="array" ref="N41">IFERROR(_xlfn.IFS(M41&gt;100%,"&gt;100%",AND(M41&lt;100%,M41&gt;70%),"&gt;70%",AND(M41&lt;70%,M41&gt;40%),"&gt;40%",AND(M41&lt;40%,M41&gt;0%),"&gt;0%"),"")</f>
        <v>&gt;0%</v>
      </c>
      <c r="O41" t="str">
        <f t="shared" si="1"/>
        <v>SOLMAIRA BRAVO</v>
      </c>
    </row>
    <row r="42" spans="1:25" x14ac:dyDescent="0.25">
      <c r="A42" s="26" t="s">
        <v>5</v>
      </c>
      <c r="B42" s="26" t="str">
        <f>TRIM(Tabla3[[#This Row],[ASESOR]])</f>
        <v>ERIKA VILLAR</v>
      </c>
      <c r="C42" s="26" t="s">
        <v>72</v>
      </c>
      <c r="D42" s="26">
        <v>25167</v>
      </c>
      <c r="E42">
        <f>Tabla3[[#This Row],[RECUPERO]]/VLOOKUP(Tabla3[[#This Row],[SUPER]],Tabla4[],2,0)</f>
        <v>0.46605555555555556</v>
      </c>
      <c r="F42" t="str">
        <f>Tabla3[[#This Row],[SUPER]]</f>
        <v>JORDAN</v>
      </c>
      <c r="L42">
        <v>10</v>
      </c>
      <c r="M42" s="1">
        <f t="shared" si="0"/>
        <v>0</v>
      </c>
      <c r="N42" t="str" cm="1">
        <f t="array" ref="N42">IFERROR(_xlfn.IFS(M42&gt;100%,"&gt;100%",AND(M42&lt;100%,M42&gt;70%),"&gt;70%",AND(M42&lt;70%,M42&gt;40%),"&gt;40%",AND(M42&lt;40%,M42&gt;0%),"&gt;0%"),"")</f>
        <v/>
      </c>
      <c r="O42" t="str">
        <f t="shared" si="1"/>
        <v/>
      </c>
    </row>
    <row r="43" spans="1:25" x14ac:dyDescent="0.25">
      <c r="A43" s="26" t="s">
        <v>5</v>
      </c>
      <c r="B43" s="26" t="str">
        <f>TRIM(Tabla3[[#This Row],[ASESOR]])</f>
        <v>ANTHONY VICENTE</v>
      </c>
      <c r="C43" s="26" t="s">
        <v>85</v>
      </c>
      <c r="D43" s="26">
        <v>24073</v>
      </c>
      <c r="E43">
        <f>Tabla3[[#This Row],[RECUPERO]]/VLOOKUP(Tabla3[[#This Row],[SUPER]],Tabla4[],2,0)</f>
        <v>0.4457962962962963</v>
      </c>
      <c r="F43" t="str">
        <f>Tabla3[[#This Row],[SUPER]]</f>
        <v>JORDAN</v>
      </c>
      <c r="L43">
        <v>11</v>
      </c>
      <c r="M43" s="1">
        <f t="shared" si="0"/>
        <v>0</v>
      </c>
      <c r="N43" t="str" cm="1">
        <f t="array" ref="N43">IFERROR(_xlfn.IFS(M43&gt;100%,"&gt;100%",AND(M43&lt;100%,M43&gt;70%),"&gt;70%",AND(M43&lt;70%,M43&gt;40%),"&gt;40%",AND(M43&lt;40%,M43&gt;0%),"&gt;0%"),"")</f>
        <v/>
      </c>
      <c r="O43" t="str">
        <f t="shared" si="1"/>
        <v/>
      </c>
    </row>
    <row r="44" spans="1:25" x14ac:dyDescent="0.25">
      <c r="A44" s="26" t="s">
        <v>5</v>
      </c>
      <c r="B44" s="26" t="str">
        <f>TRIM(Tabla3[[#This Row],[ASESOR]])</f>
        <v>GIULIANA QUISPE</v>
      </c>
      <c r="C44" s="26" t="s">
        <v>71</v>
      </c>
      <c r="D44" s="26">
        <v>22377</v>
      </c>
      <c r="E44">
        <f>Tabla3[[#This Row],[RECUPERO]]/VLOOKUP(Tabla3[[#This Row],[SUPER]],Tabla4[],2,0)</f>
        <v>0.41438888888888886</v>
      </c>
      <c r="F44" t="str">
        <f>Tabla3[[#This Row],[SUPER]]</f>
        <v>JORDAN</v>
      </c>
      <c r="L44">
        <v>12</v>
      </c>
      <c r="M44" s="1">
        <f t="shared" si="0"/>
        <v>0</v>
      </c>
      <c r="N44" t="str" cm="1">
        <f t="array" ref="N44">IFERROR(_xlfn.IFS(M44&gt;100%,"&gt;100%",AND(M44&lt;100%,M44&gt;70%),"&gt;70%",AND(M44&lt;70%,M44&gt;40%),"&gt;40%",AND(M44&lt;40%,M44&gt;0%),"&gt;0%"),"")</f>
        <v/>
      </c>
      <c r="O44" t="str">
        <f t="shared" si="1"/>
        <v/>
      </c>
    </row>
    <row r="45" spans="1:25" x14ac:dyDescent="0.25">
      <c r="A45" s="26" t="s">
        <v>5</v>
      </c>
      <c r="B45" s="26" t="str">
        <f>TRIM(Tabla3[[#This Row],[ASESOR]])</f>
        <v>LUCERO JORDAN</v>
      </c>
      <c r="C45" s="26" t="s">
        <v>68</v>
      </c>
      <c r="D45" s="26">
        <v>20517</v>
      </c>
      <c r="E45">
        <f>Tabla3[[#This Row],[RECUPERO]]/VLOOKUP(Tabla3[[#This Row],[SUPER]],Tabla4[],2,0)</f>
        <v>0.37994444444444442</v>
      </c>
      <c r="F45" t="str">
        <f>Tabla3[[#This Row],[SUPER]]</f>
        <v>JORDAN</v>
      </c>
      <c r="L45">
        <v>1</v>
      </c>
      <c r="M45" s="1">
        <f t="shared" si="0"/>
        <v>0.72612962962962968</v>
      </c>
      <c r="N45" t="str" cm="1">
        <f t="array" ref="N45">IFERROR(_xlfn.IFS(M45&gt;100%,"&gt;100%",AND(M45&lt;100%,M45&gt;70%),"&gt;70%",AND(M45&lt;70%,M45&gt;40%),"&gt;40%",AND(M45&lt;40%,M45&gt;0%),"&gt;0%"),"")</f>
        <v>&gt;70%</v>
      </c>
      <c r="O45" t="str">
        <f t="shared" si="1"/>
        <v>AURORA FAUSTOR</v>
      </c>
    </row>
    <row r="46" spans="1:25" x14ac:dyDescent="0.25">
      <c r="A46" s="26" t="s">
        <v>5</v>
      </c>
      <c r="B46" s="26" t="str">
        <f>TRIM(Tabla3[[#This Row],[ASESOR]])</f>
        <v>ANTHONY TORRES</v>
      </c>
      <c r="C46" s="26" t="s">
        <v>69</v>
      </c>
      <c r="D46" s="26">
        <v>14136.5</v>
      </c>
      <c r="E46">
        <f>Tabla3[[#This Row],[RECUPERO]]/VLOOKUP(Tabla3[[#This Row],[SUPER]],Tabla4[],2,0)</f>
        <v>0.26178703703703704</v>
      </c>
      <c r="F46" t="str">
        <f>Tabla3[[#This Row],[SUPER]]</f>
        <v>JORDAN</v>
      </c>
      <c r="L46">
        <v>2</v>
      </c>
      <c r="M46" s="1">
        <f t="shared" si="0"/>
        <v>0.54594444444444445</v>
      </c>
      <c r="N46" t="str" cm="1">
        <f t="array" ref="N46">IFERROR(_xlfn.IFS(M46&gt;100%,"&gt;100%",AND(M46&lt;100%,M46&gt;70%),"&gt;70%",AND(M46&lt;70%,M46&gt;40%),"&gt;40%",AND(M46&lt;40%,M46&gt;0%),"&gt;0%"),"")</f>
        <v>&gt;40%</v>
      </c>
      <c r="O46" t="str">
        <f t="shared" si="1"/>
        <v>MERLY CORONEL</v>
      </c>
    </row>
    <row r="47" spans="1:25" x14ac:dyDescent="0.25">
      <c r="A47" s="26" t="s">
        <v>5</v>
      </c>
      <c r="B47" s="26" t="str">
        <f>TRIM(Tabla3[[#This Row],[ASESOR]])</f>
        <v>NATALIA MARIN</v>
      </c>
      <c r="C47" s="26" t="s">
        <v>79</v>
      </c>
      <c r="D47" s="26">
        <v>12321</v>
      </c>
      <c r="E47">
        <f>Tabla3[[#This Row],[RECUPERO]]/VLOOKUP(Tabla3[[#This Row],[SUPER]],Tabla4[],2,0)</f>
        <v>0.22816666666666666</v>
      </c>
      <c r="F47" t="str">
        <f>Tabla3[[#This Row],[SUPER]]</f>
        <v>JORDAN</v>
      </c>
      <c r="L47">
        <v>3</v>
      </c>
      <c r="M47" s="1">
        <f t="shared" si="0"/>
        <v>0.50568518518518524</v>
      </c>
      <c r="N47" t="str" cm="1">
        <f t="array" ref="N47">IFERROR(_xlfn.IFS(M47&gt;100%,"&gt;100%",AND(M47&lt;100%,M47&gt;70%),"&gt;70%",AND(M47&lt;70%,M47&gt;40%),"&gt;40%",AND(M47&lt;40%,M47&gt;0%),"&gt;0%"),"")</f>
        <v>&gt;40%</v>
      </c>
      <c r="O47" t="str">
        <f t="shared" si="1"/>
        <v>GILBERTO PURIZACA</v>
      </c>
    </row>
    <row r="48" spans="1:25" x14ac:dyDescent="0.25">
      <c r="A48" s="26" t="s">
        <v>5</v>
      </c>
      <c r="B48" s="26" t="str">
        <f>TRIM(Tabla3[[#This Row],[ASESOR]])</f>
        <v/>
      </c>
      <c r="C48" s="26" t="s">
        <v>131</v>
      </c>
      <c r="D48" s="26"/>
      <c r="E48">
        <f>Tabla3[[#This Row],[RECUPERO]]/VLOOKUP(Tabla3[[#This Row],[SUPER]],Tabla4[],2,0)</f>
        <v>0</v>
      </c>
      <c r="F48" t="str">
        <f>Tabla3[[#This Row],[SUPER]]</f>
        <v>JORDAN</v>
      </c>
      <c r="L48">
        <v>4</v>
      </c>
      <c r="M48" s="1">
        <f t="shared" si="0"/>
        <v>0.46605555555555556</v>
      </c>
      <c r="N48" t="str" cm="1">
        <f t="array" ref="N48">IFERROR(_xlfn.IFS(M48&gt;100%,"&gt;100%",AND(M48&lt;100%,M48&gt;70%),"&gt;70%",AND(M48&lt;70%,M48&gt;40%),"&gt;40%",AND(M48&lt;40%,M48&gt;0%),"&gt;0%"),"")</f>
        <v>&gt;40%</v>
      </c>
      <c r="O48" t="str">
        <f t="shared" si="1"/>
        <v>ERIKA VILLAR</v>
      </c>
    </row>
    <row r="49" spans="1:15" x14ac:dyDescent="0.25">
      <c r="A49" s="26" t="s">
        <v>5</v>
      </c>
      <c r="B49" s="26" t="str">
        <f>TRIM(Tabla3[[#This Row],[ASESOR]])</f>
        <v/>
      </c>
      <c r="C49" s="26" t="s">
        <v>131</v>
      </c>
      <c r="D49" s="26"/>
      <c r="E49">
        <f>Tabla3[[#This Row],[RECUPERO]]/VLOOKUP(Tabla3[[#This Row],[SUPER]],Tabla4[],2,0)</f>
        <v>0</v>
      </c>
      <c r="F49" t="str">
        <f>Tabla3[[#This Row],[SUPER]]</f>
        <v>JORDAN</v>
      </c>
      <c r="L49">
        <v>5</v>
      </c>
      <c r="M49" s="1">
        <f t="shared" si="0"/>
        <v>0.4457962962962963</v>
      </c>
      <c r="N49" t="str" cm="1">
        <f t="array" ref="N49">IFERROR(_xlfn.IFS(M49&gt;100%,"&gt;100%",AND(M49&lt;100%,M49&gt;70%),"&gt;70%",AND(M49&lt;70%,M49&gt;40%),"&gt;40%",AND(M49&lt;40%,M49&gt;0%),"&gt;0%"),"")</f>
        <v>&gt;40%</v>
      </c>
      <c r="O49" t="str">
        <f t="shared" si="1"/>
        <v>ANTHONY VICENTE</v>
      </c>
    </row>
    <row r="50" spans="1:15" x14ac:dyDescent="0.25">
      <c r="A50" s="26" t="s">
        <v>5</v>
      </c>
      <c r="B50" s="26" t="str">
        <f>TRIM(Tabla3[[#This Row],[ASESOR]])</f>
        <v/>
      </c>
      <c r="C50" s="26" t="s">
        <v>131</v>
      </c>
      <c r="D50" s="26"/>
      <c r="E50">
        <f>Tabla3[[#This Row],[RECUPERO]]/VLOOKUP(Tabla3[[#This Row],[SUPER]],Tabla4[],2,0)</f>
        <v>0</v>
      </c>
      <c r="F50" t="str">
        <f>Tabla3[[#This Row],[SUPER]]</f>
        <v>JORDAN</v>
      </c>
      <c r="L50">
        <v>6</v>
      </c>
      <c r="M50" s="1">
        <f t="shared" si="0"/>
        <v>0.41438888888888886</v>
      </c>
      <c r="N50" t="str" cm="1">
        <f t="array" ref="N50">IFERROR(_xlfn.IFS(M50&gt;100%,"&gt;100%",AND(M50&lt;100%,M50&gt;70%),"&gt;70%",AND(M50&lt;70%,M50&gt;40%),"&gt;40%",AND(M50&lt;40%,M50&gt;0%),"&gt;0%"),"")</f>
        <v>&gt;40%</v>
      </c>
      <c r="O50" t="str">
        <f t="shared" si="1"/>
        <v>GIULIANA QUISPE</v>
      </c>
    </row>
    <row r="51" spans="1:15" x14ac:dyDescent="0.25">
      <c r="A51" s="26" t="s">
        <v>6</v>
      </c>
      <c r="B51" s="26" t="str">
        <f>TRIM(Tabla3[[#This Row],[ASESOR]])</f>
        <v>LUIS CENTENO</v>
      </c>
      <c r="C51" s="26" t="s">
        <v>31</v>
      </c>
      <c r="D51" s="26">
        <v>65692</v>
      </c>
      <c r="E51">
        <f>Tabla3[[#This Row],[RECUPERO]]/VLOOKUP(Tabla3[[#This Row],[SUPER]],Tabla4[],2,0)</f>
        <v>2.5266153846153845</v>
      </c>
      <c r="F51" t="str">
        <f>Tabla3[[#This Row],[SUPER]]</f>
        <v>KENNETH</v>
      </c>
      <c r="L51">
        <v>7</v>
      </c>
      <c r="M51" s="1">
        <f t="shared" si="0"/>
        <v>0.37994444444444442</v>
      </c>
      <c r="N51" t="str" cm="1">
        <f t="array" ref="N51">IFERROR(_xlfn.IFS(M51&gt;100%,"&gt;100%",AND(M51&lt;100%,M51&gt;70%),"&gt;70%",AND(M51&lt;70%,M51&gt;40%),"&gt;40%",AND(M51&lt;40%,M51&gt;0%),"&gt;0%"),"")</f>
        <v>&gt;0%</v>
      </c>
      <c r="O51" t="str">
        <f t="shared" si="1"/>
        <v>LUCERO JORDAN</v>
      </c>
    </row>
    <row r="52" spans="1:15" x14ac:dyDescent="0.25">
      <c r="A52" s="26" t="s">
        <v>6</v>
      </c>
      <c r="B52" s="26" t="str">
        <f>TRIM(Tabla3[[#This Row],[ASESOR]])</f>
        <v>URSULA CENTENO</v>
      </c>
      <c r="C52" s="26" t="s">
        <v>78</v>
      </c>
      <c r="D52" s="26">
        <v>56063</v>
      </c>
      <c r="E52">
        <f>Tabla3[[#This Row],[RECUPERO]]/VLOOKUP(Tabla3[[#This Row],[SUPER]],Tabla4[],2,0)</f>
        <v>2.1562692307692308</v>
      </c>
      <c r="F52" t="str">
        <f>Tabla3[[#This Row],[SUPER]]</f>
        <v>KENNETH</v>
      </c>
      <c r="L52">
        <v>8</v>
      </c>
      <c r="M52" s="1">
        <f t="shared" si="0"/>
        <v>0.26178703703703704</v>
      </c>
      <c r="N52" t="str" cm="1">
        <f t="array" ref="N52">IFERROR(_xlfn.IFS(M52&gt;100%,"&gt;100%",AND(M52&lt;100%,M52&gt;70%),"&gt;70%",AND(M52&lt;70%,M52&gt;40%),"&gt;40%",AND(M52&lt;40%,M52&gt;0%),"&gt;0%"),"")</f>
        <v>&gt;0%</v>
      </c>
      <c r="O52" t="str">
        <f t="shared" si="1"/>
        <v>ANTHONY TORRES</v>
      </c>
    </row>
    <row r="53" spans="1:15" x14ac:dyDescent="0.25">
      <c r="A53" s="26" t="s">
        <v>6</v>
      </c>
      <c r="B53" s="26" t="str">
        <f>TRIM(Tabla3[[#This Row],[ASESOR]])</f>
        <v>JUAN LOZA</v>
      </c>
      <c r="C53" s="26" t="s">
        <v>35</v>
      </c>
      <c r="D53" s="26">
        <v>35556</v>
      </c>
      <c r="E53">
        <f>Tabla3[[#This Row],[RECUPERO]]/VLOOKUP(Tabla3[[#This Row],[SUPER]],Tabla4[],2,0)</f>
        <v>1.3675384615384616</v>
      </c>
      <c r="F53" t="str">
        <f>Tabla3[[#This Row],[SUPER]]</f>
        <v>KENNETH</v>
      </c>
      <c r="L53">
        <v>9</v>
      </c>
      <c r="M53" s="1">
        <f t="shared" si="0"/>
        <v>0.22816666666666666</v>
      </c>
      <c r="N53" t="str" cm="1">
        <f t="array" ref="N53">IFERROR(_xlfn.IFS(M53&gt;100%,"&gt;100%",AND(M53&lt;100%,M53&gt;70%),"&gt;70%",AND(M53&lt;70%,M53&gt;40%),"&gt;40%",AND(M53&lt;40%,M53&gt;0%),"&gt;0%"),"")</f>
        <v>&gt;0%</v>
      </c>
      <c r="O53" t="str">
        <f t="shared" si="1"/>
        <v>NATALIA MARIN</v>
      </c>
    </row>
    <row r="54" spans="1:15" x14ac:dyDescent="0.25">
      <c r="A54" s="26" t="s">
        <v>6</v>
      </c>
      <c r="B54" s="26" t="str">
        <f>TRIM(Tabla3[[#This Row],[ASESOR]])</f>
        <v>LINDA TUESTA</v>
      </c>
      <c r="C54" s="26" t="s">
        <v>33</v>
      </c>
      <c r="D54" s="26">
        <v>33007</v>
      </c>
      <c r="E54">
        <f>Tabla3[[#This Row],[RECUPERO]]/VLOOKUP(Tabla3[[#This Row],[SUPER]],Tabla4[],2,0)</f>
        <v>1.2695000000000001</v>
      </c>
      <c r="F54" t="str">
        <f>Tabla3[[#This Row],[SUPER]]</f>
        <v>KENNETH</v>
      </c>
      <c r="L54">
        <v>10</v>
      </c>
      <c r="M54" s="1">
        <f t="shared" si="0"/>
        <v>0</v>
      </c>
      <c r="N54" t="str" cm="1">
        <f t="array" ref="N54">IFERROR(_xlfn.IFS(M54&gt;100%,"&gt;100%",AND(M54&lt;100%,M54&gt;70%),"&gt;70%",AND(M54&lt;70%,M54&gt;40%),"&gt;40%",AND(M54&lt;40%,M54&gt;0%),"&gt;0%"),"")</f>
        <v/>
      </c>
      <c r="O54" t="str">
        <f t="shared" si="1"/>
        <v/>
      </c>
    </row>
    <row r="55" spans="1:15" x14ac:dyDescent="0.25">
      <c r="A55" s="26" t="s">
        <v>6</v>
      </c>
      <c r="B55" s="26" t="str">
        <f>TRIM(Tabla3[[#This Row],[ASESOR]])</f>
        <v>MEDALITH NESTARES</v>
      </c>
      <c r="C55" s="26" t="s">
        <v>36</v>
      </c>
      <c r="D55" s="26">
        <v>26075</v>
      </c>
      <c r="E55">
        <f>Tabla3[[#This Row],[RECUPERO]]/VLOOKUP(Tabla3[[#This Row],[SUPER]],Tabla4[],2,0)</f>
        <v>1.0028846153846154</v>
      </c>
      <c r="F55" t="str">
        <f>Tabla3[[#This Row],[SUPER]]</f>
        <v>KENNETH</v>
      </c>
      <c r="L55">
        <v>11</v>
      </c>
      <c r="M55" s="1">
        <f t="shared" si="0"/>
        <v>0</v>
      </c>
      <c r="N55" t="str" cm="1">
        <f t="array" ref="N55">IFERROR(_xlfn.IFS(M55&gt;100%,"&gt;100%",AND(M55&lt;100%,M55&gt;70%),"&gt;70%",AND(M55&lt;70%,M55&gt;40%),"&gt;40%",AND(M55&lt;40%,M55&gt;0%),"&gt;0%"),"")</f>
        <v/>
      </c>
      <c r="O55" t="str">
        <f t="shared" si="1"/>
        <v/>
      </c>
    </row>
    <row r="56" spans="1:15" x14ac:dyDescent="0.25">
      <c r="A56" s="26" t="s">
        <v>6</v>
      </c>
      <c r="B56" s="26" t="str">
        <f>TRIM(Tabla3[[#This Row],[ASESOR]])</f>
        <v>STWUAR MACURI</v>
      </c>
      <c r="C56" s="26" t="s">
        <v>34</v>
      </c>
      <c r="D56" s="26">
        <v>22100</v>
      </c>
      <c r="E56">
        <f>Tabla3[[#This Row],[RECUPERO]]/VLOOKUP(Tabla3[[#This Row],[SUPER]],Tabla4[],2,0)</f>
        <v>0.85</v>
      </c>
      <c r="F56" t="str">
        <f>Tabla3[[#This Row],[SUPER]]</f>
        <v>KENNETH</v>
      </c>
      <c r="L56">
        <v>12</v>
      </c>
      <c r="M56" s="1">
        <f t="shared" si="0"/>
        <v>0</v>
      </c>
      <c r="N56" t="str" cm="1">
        <f t="array" ref="N56">IFERROR(_xlfn.IFS(M56&gt;100%,"&gt;100%",AND(M56&lt;100%,M56&gt;70%),"&gt;70%",AND(M56&lt;70%,M56&gt;40%),"&gt;40%",AND(M56&lt;40%,M56&gt;0%),"&gt;0%"),"")</f>
        <v/>
      </c>
      <c r="O56" t="str">
        <f t="shared" si="1"/>
        <v/>
      </c>
    </row>
    <row r="57" spans="1:15" x14ac:dyDescent="0.25">
      <c r="A57" s="26" t="s">
        <v>6</v>
      </c>
      <c r="B57" s="26" t="str">
        <f>TRIM(Tabla3[[#This Row],[ASESOR]])</f>
        <v>JIMENA MEDINA</v>
      </c>
      <c r="C57" s="26" t="s">
        <v>37</v>
      </c>
      <c r="D57" s="26">
        <v>18048</v>
      </c>
      <c r="E57">
        <f>Tabla3[[#This Row],[RECUPERO]]/VLOOKUP(Tabla3[[#This Row],[SUPER]],Tabla4[],2,0)</f>
        <v>0.69415384615384612</v>
      </c>
      <c r="F57" t="str">
        <f>Tabla3[[#This Row],[SUPER]]</f>
        <v>KENNETH</v>
      </c>
      <c r="L57">
        <v>1</v>
      </c>
      <c r="M57" s="1">
        <f t="shared" si="0"/>
        <v>2.5266153846153845</v>
      </c>
      <c r="N57" t="str" cm="1">
        <f t="array" ref="N57">IFERROR(_xlfn.IFS(M57&gt;100%,"&gt;100%",AND(M57&lt;100%,M57&gt;70%),"&gt;70%",AND(M57&lt;70%,M57&gt;40%),"&gt;40%",AND(M57&lt;40%,M57&gt;0%),"&gt;0%"),"")</f>
        <v>&gt;100%</v>
      </c>
      <c r="O57" t="str">
        <f t="shared" si="1"/>
        <v>LUIS CENTENO</v>
      </c>
    </row>
    <row r="58" spans="1:15" x14ac:dyDescent="0.25">
      <c r="A58" s="26" t="s">
        <v>6</v>
      </c>
      <c r="B58" s="26" t="str">
        <f>TRIM(Tabla3[[#This Row],[ASESOR]])</f>
        <v>MARIA HUARCAYA</v>
      </c>
      <c r="C58" s="26" t="s">
        <v>38</v>
      </c>
      <c r="D58" s="26">
        <v>18003</v>
      </c>
      <c r="E58">
        <f>Tabla3[[#This Row],[RECUPERO]]/VLOOKUP(Tabla3[[#This Row],[SUPER]],Tabla4[],2,0)</f>
        <v>0.69242307692307692</v>
      </c>
      <c r="F58" t="str">
        <f>Tabla3[[#This Row],[SUPER]]</f>
        <v>KENNETH</v>
      </c>
      <c r="L58">
        <v>2</v>
      </c>
      <c r="M58" s="1">
        <f t="shared" si="0"/>
        <v>2.1562692307692308</v>
      </c>
      <c r="N58" t="str" cm="1">
        <f t="array" ref="N58">IFERROR(_xlfn.IFS(M58&gt;100%,"&gt;100%",AND(M58&lt;100%,M58&gt;70%),"&gt;70%",AND(M58&lt;70%,M58&gt;40%),"&gt;40%",AND(M58&lt;40%,M58&gt;0%),"&gt;0%"),"")</f>
        <v>&gt;100%</v>
      </c>
      <c r="O58" t="str">
        <f t="shared" si="1"/>
        <v>URSULA CENTENO</v>
      </c>
    </row>
    <row r="59" spans="1:15" x14ac:dyDescent="0.25">
      <c r="A59" s="26" t="s">
        <v>6</v>
      </c>
      <c r="B59" s="26" t="str">
        <f>TRIM(Tabla3[[#This Row],[ASESOR]])</f>
        <v>DARYL FERREL</v>
      </c>
      <c r="C59" s="26" t="s">
        <v>40</v>
      </c>
      <c r="D59" s="26">
        <v>15348</v>
      </c>
      <c r="E59">
        <f>Tabla3[[#This Row],[RECUPERO]]/VLOOKUP(Tabla3[[#This Row],[SUPER]],Tabla4[],2,0)</f>
        <v>0.59030769230769231</v>
      </c>
      <c r="F59" t="str">
        <f>Tabla3[[#This Row],[SUPER]]</f>
        <v>KENNETH</v>
      </c>
      <c r="L59">
        <v>3</v>
      </c>
      <c r="M59" s="1">
        <f t="shared" si="0"/>
        <v>1.3675384615384616</v>
      </c>
      <c r="N59" t="str" cm="1">
        <f t="array" ref="N59">IFERROR(_xlfn.IFS(M59&gt;100%,"&gt;100%",AND(M59&lt;100%,M59&gt;70%),"&gt;70%",AND(M59&lt;70%,M59&gt;40%),"&gt;40%",AND(M59&lt;40%,M59&gt;0%),"&gt;0%"),"")</f>
        <v>&gt;100%</v>
      </c>
      <c r="O59" t="str">
        <f t="shared" si="1"/>
        <v>JUAN LOZA</v>
      </c>
    </row>
    <row r="60" spans="1:15" x14ac:dyDescent="0.25">
      <c r="A60" s="26" t="s">
        <v>6</v>
      </c>
      <c r="B60" s="26" t="str">
        <f>TRIM(Tabla3[[#This Row],[ASESOR]])</f>
        <v>GIANNINA AGUILAR</v>
      </c>
      <c r="C60" s="26" t="s">
        <v>32</v>
      </c>
      <c r="D60" s="26">
        <v>12713</v>
      </c>
      <c r="E60">
        <f>Tabla3[[#This Row],[RECUPERO]]/VLOOKUP(Tabla3[[#This Row],[SUPER]],Tabla4[],2,0)</f>
        <v>0.48896153846153845</v>
      </c>
      <c r="F60" t="str">
        <f>Tabla3[[#This Row],[SUPER]]</f>
        <v>KENNETH</v>
      </c>
      <c r="L60">
        <v>4</v>
      </c>
      <c r="M60" s="1">
        <f t="shared" si="0"/>
        <v>1.2695000000000001</v>
      </c>
      <c r="N60" t="str" cm="1">
        <f t="array" ref="N60">IFERROR(_xlfn.IFS(M60&gt;100%,"&gt;100%",AND(M60&lt;100%,M60&gt;70%),"&gt;70%",AND(M60&lt;70%,M60&gt;40%),"&gt;40%",AND(M60&lt;40%,M60&gt;0%),"&gt;0%"),"")</f>
        <v>&gt;100%</v>
      </c>
      <c r="O60" t="str">
        <f t="shared" si="1"/>
        <v>LINDA TUESTA</v>
      </c>
    </row>
    <row r="61" spans="1:15" x14ac:dyDescent="0.25">
      <c r="A61" s="26" t="s">
        <v>6</v>
      </c>
      <c r="B61" s="26" t="str">
        <f>TRIM(Tabla3[[#This Row],[ASESOR]])</f>
        <v>YENNY INGA</v>
      </c>
      <c r="C61" s="26" t="s">
        <v>39</v>
      </c>
      <c r="D61" s="26">
        <v>11331</v>
      </c>
      <c r="E61">
        <f>Tabla3[[#This Row],[RECUPERO]]/VLOOKUP(Tabla3[[#This Row],[SUPER]],Tabla4[],2,0)</f>
        <v>0.43580769230769228</v>
      </c>
      <c r="F61" t="str">
        <f>Tabla3[[#This Row],[SUPER]]</f>
        <v>KENNETH</v>
      </c>
      <c r="L61">
        <v>5</v>
      </c>
      <c r="M61" s="1">
        <f t="shared" si="0"/>
        <v>1.0028846153846154</v>
      </c>
      <c r="N61" t="str" cm="1">
        <f t="array" ref="N61">IFERROR(_xlfn.IFS(M61&gt;100%,"&gt;100%",AND(M61&lt;100%,M61&gt;70%),"&gt;70%",AND(M61&lt;70%,M61&gt;40%),"&gt;40%",AND(M61&lt;40%,M61&gt;0%),"&gt;0%"),"")</f>
        <v>&gt;100%</v>
      </c>
      <c r="O61" t="str">
        <f t="shared" si="1"/>
        <v>MEDALITH NESTARES</v>
      </c>
    </row>
    <row r="62" spans="1:15" x14ac:dyDescent="0.25">
      <c r="A62" s="26" t="s">
        <v>6</v>
      </c>
      <c r="B62" s="26" t="str">
        <f>TRIM(Tabla3[[#This Row],[ASESOR]])</f>
        <v/>
      </c>
      <c r="C62" s="26" t="s">
        <v>131</v>
      </c>
      <c r="D62" s="26"/>
      <c r="E62">
        <f>Tabla3[[#This Row],[RECUPERO]]/VLOOKUP(Tabla3[[#This Row],[SUPER]],Tabla4[],2,0)</f>
        <v>0</v>
      </c>
      <c r="F62" t="str">
        <f>Tabla3[[#This Row],[SUPER]]</f>
        <v>KENNETH</v>
      </c>
      <c r="L62">
        <v>6</v>
      </c>
      <c r="M62" s="1">
        <f t="shared" si="0"/>
        <v>0.85</v>
      </c>
      <c r="N62" t="str" cm="1">
        <f t="array" ref="N62">IFERROR(_xlfn.IFS(M62&gt;100%,"&gt;100%",AND(M62&lt;100%,M62&gt;70%),"&gt;70%",AND(M62&lt;70%,M62&gt;40%),"&gt;40%",AND(M62&lt;40%,M62&gt;0%),"&gt;0%"),"")</f>
        <v>&gt;70%</v>
      </c>
      <c r="O62" t="str">
        <f t="shared" si="1"/>
        <v>STWUAR MACURI</v>
      </c>
    </row>
    <row r="63" spans="1:15" x14ac:dyDescent="0.25">
      <c r="A63" s="26" t="s">
        <v>7</v>
      </c>
      <c r="B63" s="26" t="str">
        <f>TRIM(Tabla3[[#This Row],[ASESOR]])</f>
        <v>ALEIDITH GUEVARA</v>
      </c>
      <c r="C63" s="26" t="s">
        <v>18</v>
      </c>
      <c r="D63" s="26">
        <v>32813</v>
      </c>
      <c r="E63">
        <f>Tabla3[[#This Row],[RECUPERO]]/VLOOKUP(Tabla3[[#This Row],[SUPER]],Tabla4[],2,0)</f>
        <v>2.116967741935484</v>
      </c>
      <c r="F63" t="str">
        <f>Tabla3[[#This Row],[SUPER]]</f>
        <v>LEONOR</v>
      </c>
      <c r="L63">
        <v>7</v>
      </c>
      <c r="M63" s="1">
        <f t="shared" si="0"/>
        <v>0.69415384615384612</v>
      </c>
      <c r="N63" t="str" cm="1">
        <f t="array" ref="N63">IFERROR(_xlfn.IFS(M63&gt;100%,"&gt;100%",AND(M63&lt;100%,M63&gt;70%),"&gt;70%",AND(M63&lt;70%,M63&gt;40%),"&gt;40%",AND(M63&lt;40%,M63&gt;0%),"&gt;0%"),"")</f>
        <v>&gt;40%</v>
      </c>
      <c r="O63" t="str">
        <f t="shared" si="1"/>
        <v>JIMENA MEDINA</v>
      </c>
    </row>
    <row r="64" spans="1:15" x14ac:dyDescent="0.25">
      <c r="A64" s="26" t="s">
        <v>7</v>
      </c>
      <c r="B64" s="26" t="str">
        <f>TRIM(Tabla3[[#This Row],[ASESOR]])</f>
        <v>FRANK PACORA</v>
      </c>
      <c r="C64" s="26" t="s">
        <v>132</v>
      </c>
      <c r="D64" s="26">
        <v>26581</v>
      </c>
      <c r="E64">
        <f>Tabla3[[#This Row],[RECUPERO]]/VLOOKUP(Tabla3[[#This Row],[SUPER]],Tabla4[],2,0)</f>
        <v>1.7149032258064516</v>
      </c>
      <c r="F64" t="str">
        <f>Tabla3[[#This Row],[SUPER]]</f>
        <v>LEONOR</v>
      </c>
      <c r="L64">
        <v>8</v>
      </c>
      <c r="M64" s="1">
        <f t="shared" si="0"/>
        <v>0.69242307692307692</v>
      </c>
      <c r="N64" t="str" cm="1">
        <f t="array" ref="N64">IFERROR(_xlfn.IFS(M64&gt;100%,"&gt;100%",AND(M64&lt;100%,M64&gt;70%),"&gt;70%",AND(M64&lt;70%,M64&gt;40%),"&gt;40%",AND(M64&lt;40%,M64&gt;0%),"&gt;0%"),"")</f>
        <v>&gt;40%</v>
      </c>
      <c r="O64" t="str">
        <f t="shared" si="1"/>
        <v>MARIA HUARCAYA</v>
      </c>
    </row>
    <row r="65" spans="1:15" x14ac:dyDescent="0.25">
      <c r="A65" s="26" t="s">
        <v>7</v>
      </c>
      <c r="B65" s="26" t="str">
        <f>TRIM(Tabla3[[#This Row],[ASESOR]])</f>
        <v>ALEJANDRA AVILA</v>
      </c>
      <c r="C65" s="26" t="s">
        <v>21</v>
      </c>
      <c r="D65" s="26">
        <v>16560</v>
      </c>
      <c r="E65">
        <f>Tabla3[[#This Row],[RECUPERO]]/VLOOKUP(Tabla3[[#This Row],[SUPER]],Tabla4[],2,0)</f>
        <v>1.0683870967741935</v>
      </c>
      <c r="F65" t="str">
        <f>Tabla3[[#This Row],[SUPER]]</f>
        <v>LEONOR</v>
      </c>
      <c r="L65">
        <v>9</v>
      </c>
      <c r="M65" s="1">
        <f t="shared" si="0"/>
        <v>0.59030769230769231</v>
      </c>
      <c r="N65" t="str" cm="1">
        <f t="array" ref="N65">IFERROR(_xlfn.IFS(M65&gt;100%,"&gt;100%",AND(M65&lt;100%,M65&gt;70%),"&gt;70%",AND(M65&lt;70%,M65&gt;40%),"&gt;40%",AND(M65&lt;40%,M65&gt;0%),"&gt;0%"),"")</f>
        <v>&gt;40%</v>
      </c>
      <c r="O65" t="str">
        <f t="shared" si="1"/>
        <v>DARYL FERREL</v>
      </c>
    </row>
    <row r="66" spans="1:15" x14ac:dyDescent="0.25">
      <c r="A66" s="26" t="s">
        <v>7</v>
      </c>
      <c r="B66" s="26" t="str">
        <f>TRIM(Tabla3[[#This Row],[ASESOR]])</f>
        <v>ROCIO TERRONES</v>
      </c>
      <c r="C66" s="26" t="s">
        <v>128</v>
      </c>
      <c r="D66" s="26">
        <v>12541</v>
      </c>
      <c r="E66">
        <f>Tabla3[[#This Row],[RECUPERO]]/VLOOKUP(Tabla3[[#This Row],[SUPER]],Tabla4[],2,0)</f>
        <v>0.80909677419354842</v>
      </c>
      <c r="F66" t="str">
        <f>Tabla3[[#This Row],[SUPER]]</f>
        <v>LEONOR</v>
      </c>
      <c r="L66">
        <v>10</v>
      </c>
      <c r="M66" s="1">
        <f t="shared" si="0"/>
        <v>0.48896153846153845</v>
      </c>
      <c r="N66" t="str" cm="1">
        <f t="array" ref="N66">IFERROR(_xlfn.IFS(M66&gt;100%,"&gt;100%",AND(M66&lt;100%,M66&gt;70%),"&gt;70%",AND(M66&lt;70%,M66&gt;40%),"&gt;40%",AND(M66&lt;40%,M66&gt;0%),"&gt;0%"),"")</f>
        <v>&gt;40%</v>
      </c>
      <c r="O66" t="str">
        <f t="shared" si="1"/>
        <v>GIANNINA AGUILAR</v>
      </c>
    </row>
    <row r="67" spans="1:15" x14ac:dyDescent="0.25">
      <c r="A67" s="26" t="s">
        <v>7</v>
      </c>
      <c r="B67" s="26" t="str">
        <f>TRIM(Tabla3[[#This Row],[ASESOR]])</f>
        <v>CARLOS CALAGUA</v>
      </c>
      <c r="C67" s="26" t="s">
        <v>129</v>
      </c>
      <c r="D67" s="26">
        <v>10600</v>
      </c>
      <c r="E67">
        <f>Tabla3[[#This Row],[RECUPERO]]/VLOOKUP(Tabla3[[#This Row],[SUPER]],Tabla4[],2,0)</f>
        <v>0.68387096774193545</v>
      </c>
      <c r="F67" t="str">
        <f>Tabla3[[#This Row],[SUPER]]</f>
        <v>LEONOR</v>
      </c>
      <c r="L67">
        <v>11</v>
      </c>
      <c r="M67" s="1">
        <f t="shared" si="0"/>
        <v>0.43580769230769228</v>
      </c>
      <c r="N67" t="str" cm="1">
        <f t="array" ref="N67">IFERROR(_xlfn.IFS(M67&gt;100%,"&gt;100%",AND(M67&lt;100%,M67&gt;70%),"&gt;70%",AND(M67&lt;70%,M67&gt;40%),"&gt;40%",AND(M67&lt;40%,M67&gt;0%),"&gt;0%"),"")</f>
        <v>&gt;40%</v>
      </c>
      <c r="O67" t="str">
        <f t="shared" si="1"/>
        <v>YENNY INGA</v>
      </c>
    </row>
    <row r="68" spans="1:15" x14ac:dyDescent="0.25">
      <c r="A68" s="26" t="s">
        <v>7</v>
      </c>
      <c r="B68" s="26" t="str">
        <f>TRIM(Tabla3[[#This Row],[ASESOR]])</f>
        <v>CARMEN PUMA</v>
      </c>
      <c r="C68" s="26" t="s">
        <v>19</v>
      </c>
      <c r="D68" s="26">
        <v>9990</v>
      </c>
      <c r="E68">
        <f>Tabla3[[#This Row],[RECUPERO]]/VLOOKUP(Tabla3[[#This Row],[SUPER]],Tabla4[],2,0)</f>
        <v>0.64451612903225808</v>
      </c>
      <c r="F68" t="str">
        <f>Tabla3[[#This Row],[SUPER]]</f>
        <v>LEONOR</v>
      </c>
      <c r="L68">
        <v>12</v>
      </c>
      <c r="M68" s="1">
        <f t="shared" si="0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1"/>
        <v/>
      </c>
    </row>
    <row r="69" spans="1:15" x14ac:dyDescent="0.25">
      <c r="A69" s="26" t="s">
        <v>7</v>
      </c>
      <c r="B69" s="26" t="str">
        <f>TRIM(Tabla3[[#This Row],[ASESOR]])</f>
        <v>MARCOS SARMIENTO</v>
      </c>
      <c r="C69" s="26" t="s">
        <v>130</v>
      </c>
      <c r="D69" s="26">
        <v>8850</v>
      </c>
      <c r="E69">
        <f>Tabla3[[#This Row],[RECUPERO]]/VLOOKUP(Tabla3[[#This Row],[SUPER]],Tabla4[],2,0)</f>
        <v>0.57096774193548383</v>
      </c>
      <c r="F69" t="str">
        <f>Tabla3[[#This Row],[SUPER]]</f>
        <v>LEONOR</v>
      </c>
      <c r="L69">
        <v>1</v>
      </c>
      <c r="M69" s="1">
        <f t="shared" si="0"/>
        <v>2.116967741935484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1"/>
        <v>ALEIDITH GUEVARA</v>
      </c>
    </row>
    <row r="70" spans="1:15" x14ac:dyDescent="0.25">
      <c r="A70" s="26" t="s">
        <v>7</v>
      </c>
      <c r="B70" s="26" t="str">
        <f>TRIM(Tabla3[[#This Row],[ASESOR]])</f>
        <v>JOANA GIL</v>
      </c>
      <c r="C70" s="26" t="s">
        <v>133</v>
      </c>
      <c r="D70" s="26">
        <v>4680</v>
      </c>
      <c r="E70">
        <f>Tabla3[[#This Row],[RECUPERO]]/VLOOKUP(Tabla3[[#This Row],[SUPER]],Tabla4[],2,0)</f>
        <v>0.30193548387096775</v>
      </c>
      <c r="F70" t="str">
        <f>Tabla3[[#This Row],[SUPER]]</f>
        <v>LEONOR</v>
      </c>
      <c r="L70">
        <v>2</v>
      </c>
      <c r="M70" s="1">
        <f t="shared" si="0"/>
        <v>1.7149032258064516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1"/>
        <v>FRANK PACORA</v>
      </c>
    </row>
    <row r="71" spans="1:15" x14ac:dyDescent="0.25">
      <c r="A71" s="26" t="s">
        <v>7</v>
      </c>
      <c r="B71" s="26" t="str">
        <f>TRIM(Tabla3[[#This Row],[ASESOR]])</f>
        <v>MICHAEL TAFUR</v>
      </c>
      <c r="C71" s="26" t="s">
        <v>134</v>
      </c>
      <c r="D71" s="26">
        <v>4350</v>
      </c>
      <c r="E71">
        <f>Tabla3[[#This Row],[RECUPERO]]/VLOOKUP(Tabla3[[#This Row],[SUPER]],Tabla4[],2,0)</f>
        <v>0.28064516129032258</v>
      </c>
      <c r="F71" t="str">
        <f>Tabla3[[#This Row],[SUPER]]</f>
        <v>LEONOR</v>
      </c>
      <c r="L71">
        <v>3</v>
      </c>
      <c r="M71" s="1">
        <f t="shared" si="0"/>
        <v>1.0683870967741935</v>
      </c>
      <c r="N71" t="str" cm="1">
        <f t="array" ref="N71">IFERROR(_xlfn.IFS(M71&gt;100%,"&gt;100%",AND(M71&lt;100%,M71&gt;70%),"&gt;70%",AND(M71&lt;70%,M71&gt;40%),"&gt;40%",AND(M71&lt;40%,M71&gt;0%),"&gt;0%"),"")</f>
        <v>&gt;100%</v>
      </c>
      <c r="O71" t="str">
        <f t="shared" si="1"/>
        <v>ALEJANDRA AVILA</v>
      </c>
    </row>
    <row r="72" spans="1:15" x14ac:dyDescent="0.25">
      <c r="A72" s="26" t="s">
        <v>7</v>
      </c>
      <c r="B72" s="26" t="str">
        <f>TRIM(Tabla3[[#This Row],[ASESOR]])</f>
        <v>NARDIA URPIS</v>
      </c>
      <c r="C72" s="26" t="s">
        <v>74</v>
      </c>
      <c r="D72" s="26">
        <v>3588</v>
      </c>
      <c r="E72">
        <f>Tabla3[[#This Row],[RECUPERO]]/VLOOKUP(Tabla3[[#This Row],[SUPER]],Tabla4[],2,0)</f>
        <v>0.23148387096774192</v>
      </c>
      <c r="F72" t="str">
        <f>Tabla3[[#This Row],[SUPER]]</f>
        <v>LEONOR</v>
      </c>
      <c r="L72">
        <v>4</v>
      </c>
      <c r="M72" s="1">
        <f t="shared" si="0"/>
        <v>0.80909677419354842</v>
      </c>
      <c r="N72" t="str" cm="1">
        <f t="array" ref="N72">IFERROR(_xlfn.IFS(M72&gt;100%,"&gt;100%",AND(M72&lt;100%,M72&gt;70%),"&gt;70%",AND(M72&lt;70%,M72&gt;40%),"&gt;40%",AND(M72&lt;40%,M72&gt;0%),"&gt;0%"),"")</f>
        <v>&gt;70%</v>
      </c>
      <c r="O72" t="str">
        <f t="shared" si="1"/>
        <v>ROCIO TERRONES</v>
      </c>
    </row>
    <row r="73" spans="1:15" x14ac:dyDescent="0.25">
      <c r="A73" s="26" t="s">
        <v>7</v>
      </c>
      <c r="B73" s="26" t="str">
        <f>TRIM(Tabla3[[#This Row],[ASESOR]])</f>
        <v>JHOVANA TORRES</v>
      </c>
      <c r="C73" s="26" t="s">
        <v>20</v>
      </c>
      <c r="D73" s="26">
        <v>3565</v>
      </c>
      <c r="E73">
        <f>Tabla3[[#This Row],[RECUPERO]]/VLOOKUP(Tabla3[[#This Row],[SUPER]],Tabla4[],2,0)</f>
        <v>0.23</v>
      </c>
      <c r="F73" t="str">
        <f>Tabla3[[#This Row],[SUPER]]</f>
        <v>LEONOR</v>
      </c>
      <c r="L73">
        <v>5</v>
      </c>
      <c r="M73" s="1">
        <f t="shared" si="0"/>
        <v>0.68387096774193545</v>
      </c>
      <c r="N73" t="str" cm="1">
        <f t="array" ref="N73">IFERROR(_xlfn.IFS(M73&gt;100%,"&gt;100%",AND(M73&lt;100%,M73&gt;70%),"&gt;70%",AND(M73&lt;70%,M73&gt;40%),"&gt;40%",AND(M73&lt;40%,M73&gt;0%),"&gt;0%"),"")</f>
        <v>&gt;40%</v>
      </c>
      <c r="O73" t="str">
        <f t="shared" si="1"/>
        <v>CARLOS CALAGUA</v>
      </c>
    </row>
    <row r="74" spans="1:15" x14ac:dyDescent="0.25">
      <c r="A74" s="26" t="s">
        <v>7</v>
      </c>
      <c r="B74" s="26" t="str">
        <f>TRIM(Tabla3[[#This Row],[ASESOR]])</f>
        <v/>
      </c>
      <c r="C74" s="26" t="s">
        <v>131</v>
      </c>
      <c r="D74" s="26"/>
      <c r="E74">
        <f>Tabla3[[#This Row],[RECUPERO]]/VLOOKUP(Tabla3[[#This Row],[SUPER]],Tabla4[],2,0)</f>
        <v>0</v>
      </c>
      <c r="F74" t="str">
        <f>Tabla3[[#This Row],[SUPER]]</f>
        <v>LEONOR</v>
      </c>
      <c r="L74">
        <v>6</v>
      </c>
      <c r="M74" s="1">
        <f t="shared" ref="M74:M104" si="2">E68</f>
        <v>0.64451612903225808</v>
      </c>
      <c r="N74" t="str" cm="1">
        <f t="array" ref="N74">IFERROR(_xlfn.IFS(M74&gt;100%,"&gt;100%",AND(M74&lt;100%,M74&gt;70%),"&gt;70%",AND(M74&lt;70%,M74&gt;40%),"&gt;40%",AND(M74&lt;40%,M74&gt;0%),"&gt;0%"),"")</f>
        <v>&gt;40%</v>
      </c>
      <c r="O74" t="str">
        <f t="shared" ref="O74:O104" si="3">B68</f>
        <v>CARMEN PUMA</v>
      </c>
    </row>
    <row r="75" spans="1:15" x14ac:dyDescent="0.25">
      <c r="A75" s="26" t="s">
        <v>8</v>
      </c>
      <c r="B75" s="26" t="str">
        <f>TRIM(Tabla3[[#This Row],[ASESOR]])</f>
        <v>DAVID SANCHEZ</v>
      </c>
      <c r="C75" s="26" t="s">
        <v>81</v>
      </c>
      <c r="D75" s="26">
        <v>12563</v>
      </c>
      <c r="E75">
        <f>Tabla3[[#This Row],[RECUPERO]]/VLOOKUP(Tabla3[[#This Row],[SUPER]],Tabla4[],2,0)</f>
        <v>0.81051612903225811</v>
      </c>
      <c r="F75" t="str">
        <f>Tabla3[[#This Row],[SUPER]]</f>
        <v>BRYAN</v>
      </c>
      <c r="L75">
        <v>7</v>
      </c>
      <c r="M75" s="1">
        <f t="shared" si="2"/>
        <v>0.57096774193548383</v>
      </c>
      <c r="N75" t="str" cm="1">
        <f t="array" ref="N75">IFERROR(_xlfn.IFS(M75&gt;100%,"&gt;100%",AND(M75&lt;100%,M75&gt;70%),"&gt;70%",AND(M75&lt;70%,M75&gt;40%),"&gt;40%",AND(M75&lt;40%,M75&gt;0%),"&gt;0%"),"")</f>
        <v>&gt;40%</v>
      </c>
      <c r="O75" t="str">
        <f t="shared" si="3"/>
        <v>MARCOS SARMIENTO</v>
      </c>
    </row>
    <row r="76" spans="1:15" x14ac:dyDescent="0.25">
      <c r="A76" s="26" t="s">
        <v>8</v>
      </c>
      <c r="B76" s="26" t="str">
        <f>TRIM(Tabla3[[#This Row],[ASESOR]])</f>
        <v>GINA HUAMANI</v>
      </c>
      <c r="C76" s="26" t="s">
        <v>44</v>
      </c>
      <c r="D76" s="26">
        <v>12351.5</v>
      </c>
      <c r="E76">
        <f>Tabla3[[#This Row],[RECUPERO]]/VLOOKUP(Tabla3[[#This Row],[SUPER]],Tabla4[],2,0)</f>
        <v>0.79687096774193544</v>
      </c>
      <c r="F76" t="str">
        <f>Tabla3[[#This Row],[SUPER]]</f>
        <v>BRYAN</v>
      </c>
      <c r="L76">
        <v>8</v>
      </c>
      <c r="M76" s="1">
        <f t="shared" si="2"/>
        <v>0.30193548387096775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3"/>
        <v>JOANA GIL</v>
      </c>
    </row>
    <row r="77" spans="1:15" x14ac:dyDescent="0.25">
      <c r="A77" s="26" t="s">
        <v>8</v>
      </c>
      <c r="B77" s="26" t="str">
        <f>TRIM(Tabla3[[#This Row],[ASESOR]])</f>
        <v>CHRISTIAN ALVARADO</v>
      </c>
      <c r="C77" s="26" t="s">
        <v>41</v>
      </c>
      <c r="D77" s="26">
        <v>12349</v>
      </c>
      <c r="E77">
        <f>Tabla3[[#This Row],[RECUPERO]]/VLOOKUP(Tabla3[[#This Row],[SUPER]],Tabla4[],2,0)</f>
        <v>0.79670967741935483</v>
      </c>
      <c r="F77" t="str">
        <f>Tabla3[[#This Row],[SUPER]]</f>
        <v>BRYAN</v>
      </c>
      <c r="L77">
        <v>9</v>
      </c>
      <c r="M77" s="1">
        <f t="shared" si="2"/>
        <v>0.28064516129032258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3"/>
        <v>MICHAEL TAFUR</v>
      </c>
    </row>
    <row r="78" spans="1:15" x14ac:dyDescent="0.25">
      <c r="A78" s="26" t="s">
        <v>8</v>
      </c>
      <c r="B78" s="26" t="str">
        <f>TRIM(Tabla3[[#This Row],[ASESOR]])</f>
        <v>VERONICA HUARCA</v>
      </c>
      <c r="C78" s="26" t="s">
        <v>48</v>
      </c>
      <c r="D78" s="26">
        <v>11934.5</v>
      </c>
      <c r="E78">
        <f>Tabla3[[#This Row],[RECUPERO]]/VLOOKUP(Tabla3[[#This Row],[SUPER]],Tabla4[],2,0)</f>
        <v>0.7699677419354839</v>
      </c>
      <c r="F78" t="str">
        <f>Tabla3[[#This Row],[SUPER]]</f>
        <v>BRYAN</v>
      </c>
      <c r="L78">
        <v>10</v>
      </c>
      <c r="M78" s="1">
        <f t="shared" si="2"/>
        <v>0.23148387096774192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3"/>
        <v>NARDIA URPIS</v>
      </c>
    </row>
    <row r="79" spans="1:15" x14ac:dyDescent="0.25">
      <c r="A79" s="26" t="s">
        <v>8</v>
      </c>
      <c r="B79" s="26" t="str">
        <f>TRIM(Tabla3[[#This Row],[ASESOR]])</f>
        <v>ISABEL BEJARANO</v>
      </c>
      <c r="C79" s="26" t="s">
        <v>83</v>
      </c>
      <c r="D79" s="26">
        <v>8953</v>
      </c>
      <c r="E79">
        <f>Tabla3[[#This Row],[RECUPERO]]/VLOOKUP(Tabla3[[#This Row],[SUPER]],Tabla4[],2,0)</f>
        <v>0.5776129032258065</v>
      </c>
      <c r="F79" t="str">
        <f>Tabla3[[#This Row],[SUPER]]</f>
        <v>BRYAN</v>
      </c>
      <c r="L79">
        <v>11</v>
      </c>
      <c r="M79" s="1">
        <f t="shared" si="2"/>
        <v>0.23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3"/>
        <v>JHOVANA TORRES</v>
      </c>
    </row>
    <row r="80" spans="1:15" x14ac:dyDescent="0.25">
      <c r="A80" s="26" t="s">
        <v>8</v>
      </c>
      <c r="B80" s="26" t="str">
        <f>TRIM(Tabla3[[#This Row],[ASESOR]])</f>
        <v>HAROLD FLORES</v>
      </c>
      <c r="C80" s="26" t="s">
        <v>42</v>
      </c>
      <c r="D80" s="26">
        <v>8877</v>
      </c>
      <c r="E80">
        <f>Tabla3[[#This Row],[RECUPERO]]/VLOOKUP(Tabla3[[#This Row],[SUPER]],Tabla4[],2,0)</f>
        <v>0.57270967741935486</v>
      </c>
      <c r="F80" t="str">
        <f>Tabla3[[#This Row],[SUPER]]</f>
        <v>BRYAN</v>
      </c>
      <c r="L80">
        <v>12</v>
      </c>
      <c r="M80" s="1">
        <f t="shared" si="2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3"/>
        <v/>
      </c>
    </row>
    <row r="81" spans="1:15" x14ac:dyDescent="0.25">
      <c r="A81" s="26" t="s">
        <v>8</v>
      </c>
      <c r="B81" s="26" t="str">
        <f>TRIM(Tabla3[[#This Row],[ASESOR]])</f>
        <v>RAQUEL RICO</v>
      </c>
      <c r="C81" s="26" t="s">
        <v>84</v>
      </c>
      <c r="D81" s="26">
        <v>8392</v>
      </c>
      <c r="E81">
        <f>Tabla3[[#This Row],[RECUPERO]]/VLOOKUP(Tabla3[[#This Row],[SUPER]],Tabla4[],2,0)</f>
        <v>0.54141935483870973</v>
      </c>
      <c r="F81" t="str">
        <f>Tabla3[[#This Row],[SUPER]]</f>
        <v>BRYAN</v>
      </c>
      <c r="L81">
        <v>1</v>
      </c>
      <c r="M81" s="1">
        <f t="shared" si="2"/>
        <v>0.81051612903225811</v>
      </c>
      <c r="N81" t="str" cm="1">
        <f t="array" ref="N81">IFERROR(_xlfn.IFS(M81&gt;100%,"&gt;100%",AND(M81&lt;100%,M81&gt;70%),"&gt;70%",AND(M81&lt;70%,M81&gt;40%),"&gt;40%",AND(M81&lt;40%,M81&gt;0%),"&gt;0%"),"")</f>
        <v>&gt;70%</v>
      </c>
      <c r="O81" t="str">
        <f t="shared" si="3"/>
        <v>DAVID SANCHEZ</v>
      </c>
    </row>
    <row r="82" spans="1:15" x14ac:dyDescent="0.25">
      <c r="A82" s="26" t="s">
        <v>8</v>
      </c>
      <c r="B82" s="26" t="str">
        <f>TRIM(Tabla3[[#This Row],[ASESOR]])</f>
        <v>LYNDA PEREZ</v>
      </c>
      <c r="C82" s="26" t="s">
        <v>43</v>
      </c>
      <c r="D82" s="26">
        <v>5566</v>
      </c>
      <c r="E82">
        <f>Tabla3[[#This Row],[RECUPERO]]/VLOOKUP(Tabla3[[#This Row],[SUPER]],Tabla4[],2,0)</f>
        <v>0.35909677419354841</v>
      </c>
      <c r="F82" t="str">
        <f>Tabla3[[#This Row],[SUPER]]</f>
        <v>BRYAN</v>
      </c>
      <c r="L82">
        <v>2</v>
      </c>
      <c r="M82" s="1">
        <f t="shared" si="2"/>
        <v>0.79687096774193544</v>
      </c>
      <c r="N82" t="str" cm="1">
        <f t="array" ref="N82">IFERROR(_xlfn.IFS(M82&gt;100%,"&gt;100%",AND(M82&lt;100%,M82&gt;70%),"&gt;70%",AND(M82&lt;70%,M82&gt;40%),"&gt;40%",AND(M82&lt;40%,M82&gt;0%),"&gt;0%"),"")</f>
        <v>&gt;70%</v>
      </c>
      <c r="O82" t="str">
        <f t="shared" si="3"/>
        <v>GINA HUAMANI</v>
      </c>
    </row>
    <row r="83" spans="1:15" x14ac:dyDescent="0.25">
      <c r="A83" s="26" t="s">
        <v>8</v>
      </c>
      <c r="B83" s="26" t="str">
        <f>TRIM(Tabla3[[#This Row],[ASESOR]])</f>
        <v>KATYUSCA LEVANO</v>
      </c>
      <c r="C83" s="26" t="s">
        <v>46</v>
      </c>
      <c r="D83" s="26">
        <v>3935</v>
      </c>
      <c r="E83">
        <f>Tabla3[[#This Row],[RECUPERO]]/VLOOKUP(Tabla3[[#This Row],[SUPER]],Tabla4[],2,0)</f>
        <v>0.25387096774193546</v>
      </c>
      <c r="F83" t="str">
        <f>Tabla3[[#This Row],[SUPER]]</f>
        <v>BRYAN</v>
      </c>
      <c r="L83">
        <v>3</v>
      </c>
      <c r="M83" s="1">
        <f t="shared" si="2"/>
        <v>0.79670967741935483</v>
      </c>
      <c r="N83" t="str" cm="1">
        <f t="array" ref="N83">IFERROR(_xlfn.IFS(M83&gt;100%,"&gt;100%",AND(M83&lt;100%,M83&gt;70%),"&gt;70%",AND(M83&lt;70%,M83&gt;40%),"&gt;40%",AND(M83&lt;40%,M83&gt;0%),"&gt;0%"),"")</f>
        <v>&gt;70%</v>
      </c>
      <c r="O83" t="str">
        <f t="shared" si="3"/>
        <v>CHRISTIAN ALVARADO</v>
      </c>
    </row>
    <row r="84" spans="1:15" x14ac:dyDescent="0.25">
      <c r="A84" s="26" t="s">
        <v>8</v>
      </c>
      <c r="B84" s="26" t="str">
        <f>TRIM(Tabla3[[#This Row],[ASESOR]])</f>
        <v>KATHLEEN FLORES</v>
      </c>
      <c r="C84" s="26" t="s">
        <v>45</v>
      </c>
      <c r="D84" s="26">
        <v>2385</v>
      </c>
      <c r="E84">
        <f>Tabla3[[#This Row],[RECUPERO]]/VLOOKUP(Tabla3[[#This Row],[SUPER]],Tabla4[],2,0)</f>
        <v>0.15387096774193548</v>
      </c>
      <c r="F84" t="str">
        <f>Tabla3[[#This Row],[SUPER]]</f>
        <v>BRYAN</v>
      </c>
      <c r="L84">
        <v>4</v>
      </c>
      <c r="M84" s="1">
        <f t="shared" si="2"/>
        <v>0.7699677419354839</v>
      </c>
      <c r="N84" t="str" cm="1">
        <f t="array" ref="N84">IFERROR(_xlfn.IFS(M84&gt;100%,"&gt;100%",AND(M84&lt;100%,M84&gt;70%),"&gt;70%",AND(M84&lt;70%,M84&gt;40%),"&gt;40%",AND(M84&lt;40%,M84&gt;0%),"&gt;0%"),"")</f>
        <v>&gt;70%</v>
      </c>
      <c r="O84" t="str">
        <f t="shared" si="3"/>
        <v>VERONICA HUARCA</v>
      </c>
    </row>
    <row r="85" spans="1:15" x14ac:dyDescent="0.25">
      <c r="A85" s="26" t="s">
        <v>8</v>
      </c>
      <c r="B85" s="26" t="str">
        <f>TRIM(Tabla3[[#This Row],[ASESOR]])</f>
        <v>DARY VICHARRA</v>
      </c>
      <c r="C85" s="26" t="s">
        <v>47</v>
      </c>
      <c r="D85" s="26">
        <v>0</v>
      </c>
      <c r="E85">
        <f>Tabla3[[#This Row],[RECUPERO]]/VLOOKUP(Tabla3[[#This Row],[SUPER]],Tabla4[],2,0)</f>
        <v>0</v>
      </c>
      <c r="F85" t="str">
        <f>Tabla3[[#This Row],[SUPER]]</f>
        <v>BRYAN</v>
      </c>
      <c r="L85">
        <v>5</v>
      </c>
      <c r="M85" s="1">
        <f t="shared" si="2"/>
        <v>0.5776129032258065</v>
      </c>
      <c r="N85" t="str" cm="1">
        <f t="array" ref="N85">IFERROR(_xlfn.IFS(M85&gt;100%,"&gt;100%",AND(M85&lt;100%,M85&gt;70%),"&gt;70%",AND(M85&lt;70%,M85&gt;40%),"&gt;40%",AND(M85&lt;40%,M85&gt;0%),"&gt;0%"),"")</f>
        <v>&gt;40%</v>
      </c>
      <c r="O85" t="str">
        <f t="shared" si="3"/>
        <v>ISABEL BEJARANO</v>
      </c>
    </row>
    <row r="86" spans="1:15" x14ac:dyDescent="0.25">
      <c r="A86" s="26" t="s">
        <v>8</v>
      </c>
      <c r="B86" s="26" t="str">
        <f>TRIM(Tabla3[[#This Row],[ASESOR]])</f>
        <v/>
      </c>
      <c r="C86" s="26" t="s">
        <v>131</v>
      </c>
      <c r="D86" s="26"/>
      <c r="E86">
        <f>Tabla3[[#This Row],[RECUPERO]]/VLOOKUP(Tabla3[[#This Row],[SUPER]],Tabla4[],2,0)</f>
        <v>0</v>
      </c>
      <c r="F86" t="str">
        <f>Tabla3[[#This Row],[SUPER]]</f>
        <v>BRYAN</v>
      </c>
      <c r="L86">
        <v>6</v>
      </c>
      <c r="M86" s="1">
        <f t="shared" si="2"/>
        <v>0.57270967741935486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3"/>
        <v>HAROLD FLORES</v>
      </c>
    </row>
    <row r="87" spans="1:15" x14ac:dyDescent="0.25">
      <c r="A87" s="26" t="s">
        <v>9</v>
      </c>
      <c r="B87" s="26" t="str">
        <f>TRIM(Tabla3[[#This Row],[ASESOR]])</f>
        <v>SARITA GARAY</v>
      </c>
      <c r="C87" s="26" t="s">
        <v>73</v>
      </c>
      <c r="D87" s="26">
        <v>20487</v>
      </c>
      <c r="E87">
        <f>Tabla3[[#This Row],[RECUPERO]]/VLOOKUP(Tabla3[[#This Row],[SUPER]],Tabla4[],2,0)</f>
        <v>1.3217419354838709</v>
      </c>
      <c r="F87" t="str">
        <f>Tabla3[[#This Row],[SUPER]]</f>
        <v>LUIS</v>
      </c>
      <c r="L87">
        <v>7</v>
      </c>
      <c r="M87" s="1">
        <f t="shared" si="2"/>
        <v>0.54141935483870973</v>
      </c>
      <c r="N87" t="str" cm="1">
        <f t="array" ref="N87">IFERROR(_xlfn.IFS(M87&gt;100%,"&gt;100%",AND(M87&lt;100%,M87&gt;70%),"&gt;70%",AND(M87&lt;70%,M87&gt;40%),"&gt;40%",AND(M87&lt;40%,M87&gt;0%),"&gt;0%"),"")</f>
        <v>&gt;40%</v>
      </c>
      <c r="O87" t="str">
        <f t="shared" si="3"/>
        <v>RAQUEL RICO</v>
      </c>
    </row>
    <row r="88" spans="1:15" x14ac:dyDescent="0.25">
      <c r="A88" s="26" t="s">
        <v>9</v>
      </c>
      <c r="B88" s="26" t="str">
        <f>TRIM(Tabla3[[#This Row],[ASESOR]])</f>
        <v>JUAN ALANOCCA</v>
      </c>
      <c r="C88" s="26" t="s">
        <v>77</v>
      </c>
      <c r="D88" s="26">
        <v>15606</v>
      </c>
      <c r="E88">
        <f>Tabla3[[#This Row],[RECUPERO]]/VLOOKUP(Tabla3[[#This Row],[SUPER]],Tabla4[],2,0)</f>
        <v>1.0068387096774194</v>
      </c>
      <c r="F88" t="str">
        <f>Tabla3[[#This Row],[SUPER]]</f>
        <v>LUIS</v>
      </c>
      <c r="L88">
        <v>8</v>
      </c>
      <c r="M88" s="1">
        <f t="shared" si="2"/>
        <v>0.35909677419354841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3"/>
        <v>LYNDA PEREZ</v>
      </c>
    </row>
    <row r="89" spans="1:15" x14ac:dyDescent="0.25">
      <c r="A89" s="26" t="s">
        <v>9</v>
      </c>
      <c r="B89" s="26" t="str">
        <f>TRIM(Tabla3[[#This Row],[ASESOR]])</f>
        <v>JANETH PORTOCARRERO</v>
      </c>
      <c r="C89" s="26" t="s">
        <v>49</v>
      </c>
      <c r="D89" s="26">
        <v>11980</v>
      </c>
      <c r="E89">
        <f>Tabla3[[#This Row],[RECUPERO]]/VLOOKUP(Tabla3[[#This Row],[SUPER]],Tabla4[],2,0)</f>
        <v>0.77290322580645165</v>
      </c>
      <c r="F89" t="str">
        <f>Tabla3[[#This Row],[SUPER]]</f>
        <v>LUIS</v>
      </c>
      <c r="L89">
        <v>9</v>
      </c>
      <c r="M89" s="1">
        <f t="shared" si="2"/>
        <v>0.25387096774193546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3"/>
        <v>KATYUSCA LEVANO</v>
      </c>
    </row>
    <row r="90" spans="1:15" x14ac:dyDescent="0.25">
      <c r="A90" s="26" t="s">
        <v>9</v>
      </c>
      <c r="B90" s="26" t="str">
        <f>TRIM(Tabla3[[#This Row],[ASESOR]])</f>
        <v>KIARA CANEPA</v>
      </c>
      <c r="C90" s="26" t="s">
        <v>50</v>
      </c>
      <c r="D90" s="26">
        <v>11845</v>
      </c>
      <c r="E90">
        <f>Tabla3[[#This Row],[RECUPERO]]/VLOOKUP(Tabla3[[#This Row],[SUPER]],Tabla4[],2,0)</f>
        <v>0.76419354838709674</v>
      </c>
      <c r="F90" t="str">
        <f>Tabla3[[#This Row],[SUPER]]</f>
        <v>LUIS</v>
      </c>
      <c r="L90">
        <v>10</v>
      </c>
      <c r="M90" s="1">
        <f t="shared" si="2"/>
        <v>0.15387096774193548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3"/>
        <v>KATHLEEN FLORES</v>
      </c>
    </row>
    <row r="91" spans="1:15" x14ac:dyDescent="0.25">
      <c r="A91" s="26" t="s">
        <v>9</v>
      </c>
      <c r="B91" s="26" t="str">
        <f>TRIM(Tabla3[[#This Row],[ASESOR]])</f>
        <v>CHRISTIAN ALBUJAR</v>
      </c>
      <c r="C91" s="26" t="s">
        <v>53</v>
      </c>
      <c r="D91" s="26">
        <v>11345</v>
      </c>
      <c r="E91">
        <f>Tabla3[[#This Row],[RECUPERO]]/VLOOKUP(Tabla3[[#This Row],[SUPER]],Tabla4[],2,0)</f>
        <v>0.73193548387096774</v>
      </c>
      <c r="F91" t="str">
        <f>Tabla3[[#This Row],[SUPER]]</f>
        <v>LUIS</v>
      </c>
      <c r="L91">
        <v>11</v>
      </c>
      <c r="M91" s="1">
        <f t="shared" si="2"/>
        <v>0</v>
      </c>
      <c r="N91" t="str" cm="1">
        <f t="array" ref="N91">IFERROR(_xlfn.IFS(M91&gt;100%,"&gt;100%",AND(M91&lt;100%,M91&gt;70%),"&gt;70%",AND(M91&lt;70%,M91&gt;40%),"&gt;40%",AND(M91&lt;40%,M91&gt;0%),"&gt;0%"),"")</f>
        <v/>
      </c>
      <c r="O91" t="str">
        <f t="shared" si="3"/>
        <v>DARY VICHARRA</v>
      </c>
    </row>
    <row r="92" spans="1:15" x14ac:dyDescent="0.25">
      <c r="A92" s="26" t="s">
        <v>9</v>
      </c>
      <c r="B92" s="26" t="str">
        <f>TRIM(Tabla3[[#This Row],[ASESOR]])</f>
        <v>YEYMY HUERTA</v>
      </c>
      <c r="C92" s="26" t="s">
        <v>56</v>
      </c>
      <c r="D92" s="26">
        <v>8159</v>
      </c>
      <c r="E92">
        <f>Tabla3[[#This Row],[RECUPERO]]/VLOOKUP(Tabla3[[#This Row],[SUPER]],Tabla4[],2,0)</f>
        <v>0.5263870967741936</v>
      </c>
      <c r="F92" t="str">
        <f>Tabla3[[#This Row],[SUPER]]</f>
        <v>LUIS</v>
      </c>
      <c r="L92">
        <v>12</v>
      </c>
      <c r="M92" s="1">
        <f t="shared" si="2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3"/>
        <v/>
      </c>
    </row>
    <row r="93" spans="1:15" x14ac:dyDescent="0.25">
      <c r="A93" s="26" t="s">
        <v>9</v>
      </c>
      <c r="B93" s="26" t="str">
        <f>TRIM(Tabla3[[#This Row],[ASESOR]])</f>
        <v>GERALDINE ARROYO</v>
      </c>
      <c r="C93" s="26" t="s">
        <v>51</v>
      </c>
      <c r="D93" s="26">
        <v>7816</v>
      </c>
      <c r="E93">
        <f>Tabla3[[#This Row],[RECUPERO]]/VLOOKUP(Tabla3[[#This Row],[SUPER]],Tabla4[],2,0)</f>
        <v>0.50425806451612898</v>
      </c>
      <c r="F93" t="str">
        <f>Tabla3[[#This Row],[SUPER]]</f>
        <v>LUIS</v>
      </c>
      <c r="L93">
        <v>1</v>
      </c>
      <c r="M93" s="1">
        <f t="shared" si="2"/>
        <v>1.3217419354838709</v>
      </c>
      <c r="N93" t="str" cm="1">
        <f t="array" ref="N93">IFERROR(_xlfn.IFS(M93&gt;100%,"&gt;100%",AND(M93&lt;100%,M93&gt;70%),"&gt;70%",AND(M93&lt;70%,M93&gt;40%),"&gt;40%",AND(M93&lt;40%,M93&gt;0%),"&gt;0%"),"")</f>
        <v>&gt;100%</v>
      </c>
      <c r="O93" t="str">
        <f t="shared" si="3"/>
        <v>SARITA GARAY</v>
      </c>
    </row>
    <row r="94" spans="1:15" x14ac:dyDescent="0.25">
      <c r="A94" s="26" t="s">
        <v>9</v>
      </c>
      <c r="B94" s="26" t="str">
        <f>TRIM(Tabla3[[#This Row],[ASESOR]])</f>
        <v>ANABEL SIHUE</v>
      </c>
      <c r="C94" s="26" t="s">
        <v>54</v>
      </c>
      <c r="D94" s="26">
        <v>7499</v>
      </c>
      <c r="E94">
        <f>Tabla3[[#This Row],[RECUPERO]]/VLOOKUP(Tabla3[[#This Row],[SUPER]],Tabla4[],2,0)</f>
        <v>0.4838064516129032</v>
      </c>
      <c r="F94" t="str">
        <f>Tabla3[[#This Row],[SUPER]]</f>
        <v>LUIS</v>
      </c>
      <c r="L94">
        <v>2</v>
      </c>
      <c r="M94" s="1">
        <f t="shared" si="2"/>
        <v>1.0068387096774194</v>
      </c>
      <c r="N94" t="str" cm="1">
        <f t="array" ref="N94">IFERROR(_xlfn.IFS(M94&gt;100%,"&gt;100%",AND(M94&lt;100%,M94&gt;70%),"&gt;70%",AND(M94&lt;70%,M94&gt;40%),"&gt;40%",AND(M94&lt;40%,M94&gt;0%),"&gt;0%"),"")</f>
        <v>&gt;100%</v>
      </c>
      <c r="O94" t="str">
        <f t="shared" si="3"/>
        <v>JUAN ALANOCCA</v>
      </c>
    </row>
    <row r="95" spans="1:15" x14ac:dyDescent="0.25">
      <c r="A95" s="26" t="s">
        <v>9</v>
      </c>
      <c r="B95" s="26" t="str">
        <f>TRIM(Tabla3[[#This Row],[ASESOR]])</f>
        <v>MAYRA AVALOS</v>
      </c>
      <c r="C95" s="26" t="s">
        <v>55</v>
      </c>
      <c r="D95" s="26">
        <v>5316</v>
      </c>
      <c r="E95">
        <f>Tabla3[[#This Row],[RECUPERO]]/VLOOKUP(Tabla3[[#This Row],[SUPER]],Tabla4[],2,0)</f>
        <v>0.34296774193548385</v>
      </c>
      <c r="F95" t="str">
        <f>Tabla3[[#This Row],[SUPER]]</f>
        <v>LUIS</v>
      </c>
      <c r="L95">
        <v>3</v>
      </c>
      <c r="M95" s="1">
        <f t="shared" si="2"/>
        <v>0.77290322580645165</v>
      </c>
      <c r="N95" t="str" cm="1">
        <f t="array" ref="N95">IFERROR(_xlfn.IFS(M95&gt;100%,"&gt;100%",AND(M95&lt;100%,M95&gt;70%),"&gt;70%",AND(M95&lt;70%,M95&gt;40%),"&gt;40%",AND(M95&lt;40%,M95&gt;0%),"&gt;0%"),"")</f>
        <v>&gt;70%</v>
      </c>
      <c r="O95" t="str">
        <f t="shared" si="3"/>
        <v>JANETH PORTOCARRERO</v>
      </c>
    </row>
    <row r="96" spans="1:15" x14ac:dyDescent="0.25">
      <c r="A96" s="26" t="s">
        <v>9</v>
      </c>
      <c r="B96" s="26" t="str">
        <f>TRIM(Tabla3[[#This Row],[ASESOR]])</f>
        <v>CINTHYA PAUCAR</v>
      </c>
      <c r="C96" s="26" t="s">
        <v>82</v>
      </c>
      <c r="D96" s="26">
        <v>3350</v>
      </c>
      <c r="E96">
        <f>Tabla3[[#This Row],[RECUPERO]]/VLOOKUP(Tabla3[[#This Row],[SUPER]],Tabla4[],2,0)</f>
        <v>0.21612903225806451</v>
      </c>
      <c r="F96" t="str">
        <f>Tabla3[[#This Row],[SUPER]]</f>
        <v>LUIS</v>
      </c>
      <c r="L96">
        <v>4</v>
      </c>
      <c r="M96" s="1">
        <f t="shared" si="2"/>
        <v>0.76419354838709674</v>
      </c>
      <c r="N96" t="str" cm="1">
        <f t="array" ref="N96">IFERROR(_xlfn.IFS(M96&gt;100%,"&gt;100%",AND(M96&lt;100%,M96&gt;70%),"&gt;70%",AND(M96&lt;70%,M96&gt;40%),"&gt;40%",AND(M96&lt;40%,M96&gt;0%),"&gt;0%"),"")</f>
        <v>&gt;70%</v>
      </c>
      <c r="O96" t="str">
        <f t="shared" si="3"/>
        <v>KIARA CANEPA</v>
      </c>
    </row>
    <row r="97" spans="1:15" x14ac:dyDescent="0.25">
      <c r="A97" s="26" t="s">
        <v>9</v>
      </c>
      <c r="B97" s="26" t="str">
        <f>TRIM(Tabla3[[#This Row],[ASESOR]])</f>
        <v>MARCO QUISPE</v>
      </c>
      <c r="C97" s="26" t="s">
        <v>52</v>
      </c>
      <c r="D97" s="26">
        <v>0</v>
      </c>
      <c r="E97">
        <f>Tabla3[[#This Row],[RECUPERO]]/VLOOKUP(Tabla3[[#This Row],[SUPER]],Tabla4[],2,0)</f>
        <v>0</v>
      </c>
      <c r="F97" t="str">
        <f>Tabla3[[#This Row],[SUPER]]</f>
        <v>LUIS</v>
      </c>
      <c r="L97">
        <v>5</v>
      </c>
      <c r="M97" s="1">
        <f t="shared" si="2"/>
        <v>0.73193548387096774</v>
      </c>
      <c r="N97" t="str" cm="1">
        <f t="array" ref="N97">IFERROR(_xlfn.IFS(M97&gt;100%,"&gt;100%",AND(M97&lt;100%,M97&gt;70%),"&gt;70%",AND(M97&lt;70%,M97&gt;40%),"&gt;40%",AND(M97&lt;40%,M97&gt;0%),"&gt;0%"),"")</f>
        <v>&gt;70%</v>
      </c>
      <c r="O97" t="str">
        <f t="shared" si="3"/>
        <v>CHRISTIAN ALBUJAR</v>
      </c>
    </row>
    <row r="98" spans="1:15" x14ac:dyDescent="0.25">
      <c r="A98" s="26" t="s">
        <v>9</v>
      </c>
      <c r="B98" s="26" t="str">
        <f>TRIM(Tabla3[[#This Row],[ASESOR]])</f>
        <v/>
      </c>
      <c r="C98" s="26" t="s">
        <v>131</v>
      </c>
      <c r="D98" s="26"/>
      <c r="E98">
        <f>Tabla3[[#This Row],[RECUPERO]]/VLOOKUP(Tabla3[[#This Row],[SUPER]],Tabla4[],2,0)</f>
        <v>0</v>
      </c>
      <c r="F98" t="str">
        <f>Tabla3[[#This Row],[SUPER]]</f>
        <v>LUIS</v>
      </c>
      <c r="L98">
        <v>6</v>
      </c>
      <c r="M98" s="1">
        <f t="shared" si="2"/>
        <v>0.5263870967741936</v>
      </c>
      <c r="N98" t="str" cm="1">
        <f t="array" ref="N98">IFERROR(_xlfn.IFS(M98&gt;100%,"&gt;100%",AND(M98&lt;100%,M98&gt;70%),"&gt;70%",AND(M98&lt;70%,M98&gt;40%),"&gt;40%",AND(M98&lt;40%,M98&gt;0%),"&gt;0%"),"")</f>
        <v>&gt;40%</v>
      </c>
      <c r="O98" t="str">
        <f t="shared" si="3"/>
        <v>YEYMY HUERTA</v>
      </c>
    </row>
    <row r="99" spans="1:15" x14ac:dyDescent="0.25">
      <c r="L99">
        <v>7</v>
      </c>
      <c r="M99" s="1">
        <f t="shared" si="2"/>
        <v>0.50425806451612898</v>
      </c>
      <c r="N99" t="str" cm="1">
        <f t="array" ref="N99">IFERROR(_xlfn.IFS(M99&gt;100%,"&gt;100%",AND(M99&lt;100%,M99&gt;70%),"&gt;70%",AND(M99&lt;70%,M99&gt;40%),"&gt;40%",AND(M99&lt;40%,M99&gt;0%),"&gt;0%"),"")</f>
        <v>&gt;40%</v>
      </c>
      <c r="O99" t="str">
        <f t="shared" si="3"/>
        <v>GERALDINE ARROYO</v>
      </c>
    </row>
    <row r="100" spans="1:15" x14ac:dyDescent="0.25">
      <c r="L100">
        <v>8</v>
      </c>
      <c r="M100" s="1">
        <f t="shared" si="2"/>
        <v>0.4838064516129032</v>
      </c>
      <c r="N100" t="str" cm="1">
        <f t="array" ref="N100">IFERROR(_xlfn.IFS(M100&gt;100%,"&gt;100%",AND(M100&lt;100%,M100&gt;70%),"&gt;70%",AND(M100&lt;70%,M100&gt;40%),"&gt;40%",AND(M100&lt;40%,M100&gt;0%),"&gt;0%"),"")</f>
        <v>&gt;40%</v>
      </c>
      <c r="O100" t="str">
        <f t="shared" si="3"/>
        <v>ANABEL SIHUE</v>
      </c>
    </row>
    <row r="101" spans="1:15" x14ac:dyDescent="0.25">
      <c r="L101">
        <v>9</v>
      </c>
      <c r="M101" s="1">
        <f t="shared" si="2"/>
        <v>0.34296774193548385</v>
      </c>
      <c r="N101" t="str" cm="1">
        <f t="array" ref="N101">IFERROR(_xlfn.IFS(M101&gt;100%,"&gt;100%",AND(M101&lt;100%,M101&gt;70%),"&gt;70%",AND(M101&lt;70%,M101&gt;40%),"&gt;40%",AND(M101&lt;40%,M101&gt;0%),"&gt;0%"),"")</f>
        <v>&gt;0%</v>
      </c>
      <c r="O101" t="str">
        <f t="shared" si="3"/>
        <v>MAYRA AVALOS</v>
      </c>
    </row>
    <row r="102" spans="1:15" x14ac:dyDescent="0.25">
      <c r="L102">
        <v>10</v>
      </c>
      <c r="M102" s="1">
        <f t="shared" si="2"/>
        <v>0.21612903225806451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3"/>
        <v>CINTHYA PAUCAR</v>
      </c>
    </row>
    <row r="103" spans="1:15" x14ac:dyDescent="0.25">
      <c r="L103">
        <v>11</v>
      </c>
      <c r="M103" s="1">
        <f t="shared" si="2"/>
        <v>0</v>
      </c>
      <c r="N103" t="str" cm="1">
        <f t="array" ref="N103">IFERROR(_xlfn.IFS(M103&gt;100%,"&gt;100%",AND(M103&lt;100%,M103&gt;70%),"&gt;70%",AND(M103&lt;70%,M103&gt;40%),"&gt;40%",AND(M103&lt;40%,M103&gt;0%),"&gt;0%"),"")</f>
        <v/>
      </c>
      <c r="O103" t="str">
        <f t="shared" si="3"/>
        <v>MARCO QUISPE</v>
      </c>
    </row>
    <row r="104" spans="1:15" x14ac:dyDescent="0.25">
      <c r="L104">
        <v>12</v>
      </c>
      <c r="M104" s="1">
        <f t="shared" si="2"/>
        <v>0</v>
      </c>
      <c r="N104" t="str" cm="1">
        <f t="array" ref="N104">IFERROR(_xlfn.IFS(M104&gt;100%,"&gt;100%",AND(M104&lt;100%,M104&gt;70%),"&gt;70%",AND(M104&lt;70%,M104&gt;40%),"&gt;40%",AND(M104&lt;40%,M104&gt;0%),"&gt;0%"),"")</f>
        <v/>
      </c>
      <c r="O104" t="str">
        <f t="shared" si="3"/>
        <v/>
      </c>
    </row>
    <row r="105" spans="1:15" x14ac:dyDescent="0.25">
      <c r="L105" s="22">
        <v>1</v>
      </c>
      <c r="M105" s="23">
        <f>E100</f>
        <v>0</v>
      </c>
      <c r="N105" s="23" t="str" cm="1">
        <f t="array" ref="N105">IFERROR(_xlfn.IFS(M105&gt;100%,"&gt;100%",AND(M105&lt;100%,M105&gt;70%),"&gt;70%",AND(M105&lt;70%,M105&gt;40%),"&gt;40%",AND(M105&lt;40%,M105&gt;0%),"&gt;0%"),"")</f>
        <v/>
      </c>
      <c r="O105" s="22" t="str">
        <f>IF(DATAJULIO[[#This Row],[CLASIFICACIÓN]]="","","SIN APLICACIONES")</f>
        <v/>
      </c>
    </row>
    <row r="106" spans="1:15" x14ac:dyDescent="0.25">
      <c r="L106" s="22">
        <v>2</v>
      </c>
      <c r="M106" s="23">
        <f>E101</f>
        <v>0</v>
      </c>
      <c r="N106" s="23" t="str" cm="1">
        <f t="array" ref="N106">IFERROR(_xlfn.IFS(M106&gt;100%,"&gt;100%",AND(M106&lt;100%,M106&gt;70%),"&gt;70%",AND(M106&lt;70%,M106&gt;40%),"&gt;40%",AND(M106&lt;40%,M106&gt;0%),"&gt;0%"),"")</f>
        <v/>
      </c>
      <c r="O106" s="22" t="str">
        <f>IF(DATAJULIO[[#This Row],[CLASIFICACIÓN]]="","","SIN APLICACIONES")</f>
        <v/>
      </c>
    </row>
    <row r="107" spans="1:15" x14ac:dyDescent="0.25">
      <c r="L107" s="22">
        <v>3</v>
      </c>
      <c r="M107" s="23">
        <f>E102</f>
        <v>0</v>
      </c>
      <c r="N107" s="23" t="str" cm="1">
        <f t="array" ref="N107">IFERROR(_xlfn.IFS(M107&gt;100%,"&gt;100%",AND(M107&lt;100%,M107&gt;70%),"&gt;70%",AND(M107&lt;70%,M107&gt;40%),"&gt;40%",AND(M107&lt;40%,M107&gt;0%),"&gt;0%"),"")</f>
        <v/>
      </c>
      <c r="O107" s="22" t="str">
        <f>IF(DATAJULIO[[#This Row],[CLASIFICACIÓN]]="","","SIN APLICACIONES")</f>
        <v/>
      </c>
    </row>
  </sheetData>
  <sheetProtection formatCells="0" insertColumns="0" insertRows="0" deleteColumns="0" deleteRows="0" sort="0" autoFilter="0" pivotTables="0"/>
  <mergeCells count="5">
    <mergeCell ref="R5:S5"/>
    <mergeCell ref="U5:V5"/>
    <mergeCell ref="X5:Y5"/>
    <mergeCell ref="AA5:AB5"/>
    <mergeCell ref="R1:AA3"/>
  </mergeCells>
  <conditionalFormatting pivot="1" sqref="S8:S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23">
    <cfRule type="colorScale" priority="11">
      <colorScale>
        <cfvo type="min"/>
        <cfvo type="max"/>
        <color rgb="FFFCFCFF"/>
        <color rgb="FF63BE7B"/>
      </colorScale>
    </cfRule>
  </conditionalFormatting>
  <conditionalFormatting pivot="1" sqref="AB8:AB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21">
    <cfRule type="colorScale" priority="10">
      <colorScale>
        <cfvo type="min"/>
        <cfvo type="max"/>
        <color rgb="FFFCFCFF"/>
        <color rgb="FFFFFF00"/>
      </colorScale>
    </cfRule>
  </conditionalFormatting>
  <conditionalFormatting pivot="1" sqref="Y8:Y33">
    <cfRule type="colorScale" priority="9">
      <colorScale>
        <cfvo type="min"/>
        <cfvo type="max"/>
        <color rgb="FFFCFCFF"/>
        <color rgb="FFFFC000"/>
      </colorScale>
    </cfRule>
  </conditionalFormatting>
  <conditionalFormatting pivot="1" sqref="AB8:AB26">
    <cfRule type="colorScale" priority="7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AB107"/>
  <sheetViews>
    <sheetView topLeftCell="Q1" zoomScale="85" zoomScaleNormal="85" workbookViewId="0">
      <selection activeCell="U17" sqref="U17"/>
    </sheetView>
  </sheetViews>
  <sheetFormatPr baseColWidth="10" defaultRowHeight="15" x14ac:dyDescent="0.25"/>
  <cols>
    <col min="1" max="1" width="9.42578125" hidden="1" customWidth="1"/>
    <col min="2" max="3" width="22.7109375" hidden="1" customWidth="1"/>
    <col min="4" max="4" width="13.42578125" hidden="1" customWidth="1"/>
    <col min="5" max="5" width="12.28515625" hidden="1" customWidth="1"/>
    <col min="6" max="6" width="10.42578125" hidden="1" customWidth="1"/>
    <col min="7" max="7" width="11.42578125" hidden="1" customWidth="1"/>
    <col min="8" max="8" width="9.7109375" hidden="1" customWidth="1"/>
    <col min="9" max="9" width="8.42578125" hidden="1" customWidth="1"/>
    <col min="10" max="11" width="11.42578125" hidden="1" customWidth="1"/>
    <col min="12" max="12" width="10" hidden="1" customWidth="1"/>
    <col min="13" max="13" width="12.140625" hidden="1" customWidth="1"/>
    <col min="14" max="14" width="20.140625" hidden="1" customWidth="1"/>
    <col min="15" max="15" width="22.7109375" hidden="1" customWidth="1"/>
    <col min="16" max="16" width="11.42578125" hidden="1" customWidth="1"/>
    <col min="18" max="18" width="18" bestFit="1" customWidth="1"/>
    <col min="19" max="19" width="12.28515625" bestFit="1" customWidth="1"/>
    <col min="21" max="21" width="22.5703125" bestFit="1" customWidth="1"/>
    <col min="22" max="22" width="11.7109375" bestFit="1" customWidth="1"/>
    <col min="24" max="24" width="22.7109375" bestFit="1" customWidth="1"/>
    <col min="25" max="25" width="11.7109375" bestFit="1" customWidth="1"/>
    <col min="27" max="27" width="21.7109375" bestFit="1" customWidth="1"/>
    <col min="28" max="28" width="11.7109375" bestFit="1" customWidth="1"/>
  </cols>
  <sheetData>
    <row r="1" spans="1:28" ht="15.75" x14ac:dyDescent="0.25">
      <c r="R1" s="41" t="s">
        <v>102</v>
      </c>
      <c r="S1" s="42"/>
      <c r="T1" s="42"/>
      <c r="U1" s="42"/>
      <c r="V1" s="42"/>
      <c r="W1" s="42"/>
      <c r="X1" s="42"/>
      <c r="Y1" s="42"/>
      <c r="Z1" s="42"/>
      <c r="AA1" s="42"/>
      <c r="AB1" s="18" t="s">
        <v>107</v>
      </c>
    </row>
    <row r="2" spans="1:28" ht="15.75" x14ac:dyDescent="0.25">
      <c r="A2" s="24" t="s">
        <v>110</v>
      </c>
      <c r="B2" s="24" t="s">
        <v>136</v>
      </c>
      <c r="C2" s="24" t="s">
        <v>0</v>
      </c>
      <c r="D2" s="24" t="s">
        <v>111</v>
      </c>
      <c r="E2" s="25" t="s">
        <v>1</v>
      </c>
      <c r="F2" s="24" t="s">
        <v>127</v>
      </c>
      <c r="H2" t="s">
        <v>110</v>
      </c>
      <c r="I2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5"/>
      <c r="AB2" s="19" t="str">
        <f>H14</f>
        <v>01/09</v>
      </c>
    </row>
    <row r="3" spans="1:28" ht="15.75" x14ac:dyDescent="0.25">
      <c r="A3" s="26" t="s">
        <v>3</v>
      </c>
      <c r="B3" s="26" t="str">
        <f>TRIM(Tabla312[[#This Row],[ASESOR]])</f>
        <v>LISELY MERA</v>
      </c>
      <c r="C3" s="26" t="s">
        <v>23</v>
      </c>
      <c r="D3" s="26">
        <v>85152</v>
      </c>
      <c r="E3">
        <f>Tabla312[[#This Row],[RECUPERO]]/VLOOKUP(Tabla312[[#This Row],[SUPER]],Tabla413[],2,0)</f>
        <v>1.1826666666666668</v>
      </c>
      <c r="F3" t="str">
        <f>Tabla312[[#This Row],[SUPER]]</f>
        <v>SANDY</v>
      </c>
      <c r="H3" t="s">
        <v>3</v>
      </c>
      <c r="I3">
        <v>72000</v>
      </c>
      <c r="R3" s="47"/>
      <c r="S3" s="48"/>
      <c r="T3" s="48"/>
      <c r="U3" s="48"/>
      <c r="V3" s="48"/>
      <c r="W3" s="48"/>
      <c r="X3" s="48"/>
      <c r="Y3" s="48"/>
      <c r="Z3" s="48"/>
      <c r="AA3" s="48"/>
      <c r="AB3" s="20" t="str">
        <f>H15</f>
        <v>16:32</v>
      </c>
    </row>
    <row r="4" spans="1:28" x14ac:dyDescent="0.25">
      <c r="A4" s="26" t="s">
        <v>3</v>
      </c>
      <c r="B4" s="26" t="str">
        <f>TRIM(Tabla312[[#This Row],[ASESOR]])</f>
        <v>FRANCO HUAMANI</v>
      </c>
      <c r="C4" s="26" t="s">
        <v>24</v>
      </c>
      <c r="D4" s="26">
        <v>81565</v>
      </c>
      <c r="E4">
        <f>Tabla312[[#This Row],[RECUPERO]]/VLOOKUP(Tabla312[[#This Row],[SUPER]],Tabla413[],2,0)</f>
        <v>1.1328472222222221</v>
      </c>
      <c r="F4" t="str">
        <f>Tabla312[[#This Row],[SUPER]]</f>
        <v>SANDY</v>
      </c>
      <c r="H4" t="s">
        <v>4</v>
      </c>
      <c r="I4">
        <v>72000</v>
      </c>
    </row>
    <row r="5" spans="1:28" ht="21" x14ac:dyDescent="0.35">
      <c r="A5" s="26" t="s">
        <v>3</v>
      </c>
      <c r="B5" s="26" t="str">
        <f>TRIM(Tabla312[[#This Row],[ASESOR]])</f>
        <v>EVELY TENORIO</v>
      </c>
      <c r="C5" s="26" t="s">
        <v>22</v>
      </c>
      <c r="D5" s="26">
        <v>63897</v>
      </c>
      <c r="E5">
        <f>Tabla312[[#This Row],[RECUPERO]]/VLOOKUP(Tabla312[[#This Row],[SUPER]],Tabla413[],2,0)</f>
        <v>0.88745833333333335</v>
      </c>
      <c r="F5" t="str">
        <f>Tabla312[[#This Row],[SUPER]]</f>
        <v>SANDY</v>
      </c>
      <c r="H5" t="s">
        <v>2</v>
      </c>
      <c r="I5">
        <v>54000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s="26" t="s">
        <v>3</v>
      </c>
      <c r="B6" s="26" t="str">
        <f>TRIM(Tabla312[[#This Row],[ASESOR]])</f>
        <v>JENY LAZARO</v>
      </c>
      <c r="C6" s="26" t="s">
        <v>26</v>
      </c>
      <c r="D6" s="26">
        <v>57903</v>
      </c>
      <c r="E6">
        <f>Tabla312[[#This Row],[RECUPERO]]/VLOOKUP(Tabla312[[#This Row],[SUPER]],Tabla413[],2,0)</f>
        <v>0.8042083333333333</v>
      </c>
      <c r="F6" t="str">
        <f>Tabla312[[#This Row],[SUPER]]</f>
        <v>SANDY</v>
      </c>
      <c r="H6" t="s">
        <v>5</v>
      </c>
      <c r="I6">
        <v>54000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s="26" t="s">
        <v>3</v>
      </c>
      <c r="B7" s="26" t="str">
        <f>TRIM(Tabla312[[#This Row],[ASESOR]])</f>
        <v>MALORY MONTEBLANCO</v>
      </c>
      <c r="C7" s="26" t="s">
        <v>25</v>
      </c>
      <c r="D7" s="26">
        <v>57889</v>
      </c>
      <c r="E7">
        <f>Tabla312[[#This Row],[RECUPERO]]/VLOOKUP(Tabla312[[#This Row],[SUPER]],Tabla413[],2,0)</f>
        <v>0.80401388888888892</v>
      </c>
      <c r="F7" t="str">
        <f>Tabla312[[#This Row],[SUPER]]</f>
        <v>SANDY</v>
      </c>
      <c r="H7" t="s">
        <v>6</v>
      </c>
      <c r="I7">
        <v>26000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s="26" t="s">
        <v>3</v>
      </c>
      <c r="B8" s="26" t="str">
        <f>TRIM(Tabla312[[#This Row],[ASESOR]])</f>
        <v>LUIS VALLADARES</v>
      </c>
      <c r="C8" s="26" t="s">
        <v>29</v>
      </c>
      <c r="D8" s="26">
        <v>52544</v>
      </c>
      <c r="E8">
        <f>Tabla312[[#This Row],[RECUPERO]]/VLOOKUP(Tabla312[[#This Row],[SUPER]],Tabla413[],2,0)</f>
        <v>0.72977777777777775</v>
      </c>
      <c r="F8" t="str">
        <f>Tabla312[[#This Row],[SUPER]]</f>
        <v>SANDY</v>
      </c>
      <c r="H8" t="s">
        <v>7</v>
      </c>
      <c r="I8">
        <v>15500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31</v>
      </c>
      <c r="S8" s="3">
        <v>2.4919230769230771</v>
      </c>
      <c r="U8" s="15" t="s">
        <v>50</v>
      </c>
      <c r="V8" s="2">
        <v>0.95628499999999994</v>
      </c>
      <c r="X8" s="15" t="s">
        <v>66</v>
      </c>
      <c r="Y8" s="2">
        <v>0.68624074074074071</v>
      </c>
      <c r="AA8" s="15" t="s">
        <v>113</v>
      </c>
      <c r="AB8" s="2">
        <v>0.39924999999999999</v>
      </c>
    </row>
    <row r="9" spans="1:28" x14ac:dyDescent="0.25">
      <c r="A9" s="26" t="s">
        <v>3</v>
      </c>
      <c r="B9" s="26" t="str">
        <f>TRIM(Tabla312[[#This Row],[ASESOR]])</f>
        <v>GABRIELA APONTE</v>
      </c>
      <c r="C9" s="26" t="s">
        <v>27</v>
      </c>
      <c r="D9" s="26">
        <v>51818</v>
      </c>
      <c r="E9">
        <f>Tabla312[[#This Row],[RECUPERO]]/VLOOKUP(Tabla312[[#This Row],[SUPER]],Tabla413[],2,0)</f>
        <v>0.71969444444444441</v>
      </c>
      <c r="F9" t="str">
        <f>Tabla312[[#This Row],[SUPER]]</f>
        <v>SANDY</v>
      </c>
      <c r="H9" t="s">
        <v>8</v>
      </c>
      <c r="I9">
        <v>16000</v>
      </c>
      <c r="L9">
        <v>1</v>
      </c>
      <c r="M9" s="1">
        <f>E3</f>
        <v>1.1826666666666668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>B3</f>
        <v>LISELY MERA</v>
      </c>
      <c r="R9" s="15" t="s">
        <v>34</v>
      </c>
      <c r="S9" s="3">
        <v>1.8715592307692308</v>
      </c>
      <c r="U9" s="15" t="s">
        <v>10</v>
      </c>
      <c r="V9" s="3">
        <v>0.89207407407407402</v>
      </c>
      <c r="X9" s="15" t="s">
        <v>48</v>
      </c>
      <c r="Y9" s="3">
        <v>0.66062500000000002</v>
      </c>
      <c r="AA9" s="15" t="s">
        <v>30</v>
      </c>
      <c r="AB9" s="3">
        <v>0.39784722222222224</v>
      </c>
    </row>
    <row r="10" spans="1:28" x14ac:dyDescent="0.25">
      <c r="A10" s="26" t="s">
        <v>3</v>
      </c>
      <c r="B10" s="26" t="str">
        <f>TRIM(Tabla312[[#This Row],[ASESOR]])</f>
        <v>ERICK PORTILLA</v>
      </c>
      <c r="C10" s="26" t="s">
        <v>28</v>
      </c>
      <c r="D10" s="26">
        <v>31370</v>
      </c>
      <c r="E10">
        <f>Tabla312[[#This Row],[RECUPERO]]/VLOOKUP(Tabla312[[#This Row],[SUPER]],Tabla413[],2,0)</f>
        <v>0.43569444444444444</v>
      </c>
      <c r="F10" t="str">
        <f>Tabla312[[#This Row],[SUPER]]</f>
        <v>SANDY</v>
      </c>
      <c r="H10" t="s">
        <v>9</v>
      </c>
      <c r="I10">
        <v>16000</v>
      </c>
      <c r="L10">
        <v>2</v>
      </c>
      <c r="M10" s="1">
        <f t="shared" ref="M10:M73" si="0">E4</f>
        <v>1.1328472222222221</v>
      </c>
      <c r="N10" t="str" cm="1">
        <f t="array" ref="N10">IFERROR(_xlfn.IFS(M10&gt;100%,"&gt;100%",AND(M10&lt;100%,M10&gt;70%),"&gt;70%",AND(M10&lt;70%,M10&gt;40%),"&gt;40%",AND(M10&lt;40%,M10&gt;0%),"&gt;0%"),"")</f>
        <v>&gt;100%</v>
      </c>
      <c r="O10" t="str">
        <f t="shared" ref="O10:O73" si="1">B4</f>
        <v>FRANCO HUAMANI</v>
      </c>
      <c r="R10" s="15" t="s">
        <v>37</v>
      </c>
      <c r="S10" s="3">
        <v>1.6965384615384616</v>
      </c>
      <c r="U10" s="15" t="s">
        <v>22</v>
      </c>
      <c r="V10" s="3">
        <v>0.88745833333333335</v>
      </c>
      <c r="X10" s="15" t="s">
        <v>17</v>
      </c>
      <c r="Y10" s="3">
        <v>0.65103703703703708</v>
      </c>
      <c r="AA10" s="15" t="s">
        <v>13</v>
      </c>
      <c r="AB10" s="3">
        <v>0.38300000000000001</v>
      </c>
    </row>
    <row r="11" spans="1:28" x14ac:dyDescent="0.25">
      <c r="A11" s="26" t="s">
        <v>3</v>
      </c>
      <c r="B11" s="26" t="str">
        <f>TRIM(Tabla312[[#This Row],[ASESOR]])</f>
        <v>TERRY ECHEVARRIA</v>
      </c>
      <c r="C11" s="26" t="s">
        <v>30</v>
      </c>
      <c r="D11" s="26">
        <v>28645</v>
      </c>
      <c r="E11">
        <f>Tabla312[[#This Row],[RECUPERO]]/VLOOKUP(Tabla312[[#This Row],[SUPER]],Tabla413[],2,0)</f>
        <v>0.39784722222222224</v>
      </c>
      <c r="F11" t="str">
        <f>Tabla312[[#This Row],[SUPER]]</f>
        <v>SANDY</v>
      </c>
      <c r="L11">
        <v>3</v>
      </c>
      <c r="M11" s="1">
        <f t="shared" si="0"/>
        <v>0.88745833333333335</v>
      </c>
      <c r="N11" t="str" cm="1">
        <f t="array" ref="N11">IFERROR(_xlfn.IFS(M11&gt;100%,"&gt;100%",AND(M11&lt;100%,M11&gt;70%),"&gt;70%",AND(M11&lt;70%,M11&gt;40%),"&gt;40%",AND(M11&lt;40%,M11&gt;0%),"&gt;0%"),"")</f>
        <v>&gt;70%</v>
      </c>
      <c r="O11" t="str">
        <f t="shared" si="1"/>
        <v>EVELY TENORIO</v>
      </c>
      <c r="R11" s="15" t="s">
        <v>59</v>
      </c>
      <c r="S11" s="3">
        <v>1.4371805555555555</v>
      </c>
      <c r="U11" s="15" t="s">
        <v>42</v>
      </c>
      <c r="V11" s="3">
        <v>0.86550000000000005</v>
      </c>
      <c r="X11" s="15" t="s">
        <v>52</v>
      </c>
      <c r="Y11" s="3">
        <v>0.61562499999999998</v>
      </c>
      <c r="AA11" s="15" t="s">
        <v>65</v>
      </c>
      <c r="AB11" s="3">
        <v>0.36381944444444442</v>
      </c>
    </row>
    <row r="12" spans="1:28" x14ac:dyDescent="0.25">
      <c r="A12" s="26" t="s">
        <v>3</v>
      </c>
      <c r="B12" s="26" t="str">
        <f>TRIM(Tabla312[[#This Row],[ASESOR]])</f>
        <v>ROBERTO RODRIGUEZ</v>
      </c>
      <c r="C12" s="26" t="s">
        <v>125</v>
      </c>
      <c r="D12" s="26">
        <v>15450</v>
      </c>
      <c r="E12">
        <f>Tabla312[[#This Row],[RECUPERO]]/VLOOKUP(Tabla312[[#This Row],[SUPER]],Tabla413[],2,0)</f>
        <v>0.21458333333333332</v>
      </c>
      <c r="F12" t="str">
        <f>Tabla312[[#This Row],[SUPER]]</f>
        <v>SANDY</v>
      </c>
      <c r="L12">
        <v>4</v>
      </c>
      <c r="M12" s="1">
        <f t="shared" si="0"/>
        <v>0.8042083333333333</v>
      </c>
      <c r="N12" t="str" cm="1">
        <f t="array" ref="N12">IFERROR(_xlfn.IFS(M12&gt;100%,"&gt;100%",AND(M12&lt;100%,M12&gt;70%),"&gt;70%",AND(M12&lt;70%,M12&gt;40%),"&gt;40%",AND(M12&lt;40%,M12&gt;0%),"&gt;0%"),"")</f>
        <v>&gt;70%</v>
      </c>
      <c r="O12" t="str">
        <f t="shared" si="1"/>
        <v>JENY LAZARO</v>
      </c>
      <c r="R12" s="15" t="s">
        <v>19</v>
      </c>
      <c r="S12" s="3">
        <v>1.2225806451612904</v>
      </c>
      <c r="U12" s="15" t="s">
        <v>62</v>
      </c>
      <c r="V12" s="3">
        <v>0.85863888888888884</v>
      </c>
      <c r="X12" s="15" t="s">
        <v>70</v>
      </c>
      <c r="Y12" s="3">
        <v>0.59</v>
      </c>
      <c r="AA12" s="15" t="s">
        <v>12</v>
      </c>
      <c r="AB12" s="3">
        <v>0.36027777777777775</v>
      </c>
    </row>
    <row r="13" spans="1:28" x14ac:dyDescent="0.25">
      <c r="A13" s="26" t="s">
        <v>3</v>
      </c>
      <c r="B13" s="26" t="str">
        <f>TRIM(Tabla312[[#This Row],[ASESOR]])</f>
        <v/>
      </c>
      <c r="C13" s="26" t="s">
        <v>131</v>
      </c>
      <c r="D13" s="26"/>
      <c r="E13">
        <f>Tabla312[[#This Row],[RECUPERO]]/VLOOKUP(Tabla312[[#This Row],[SUPER]],Tabla413[],2,0)</f>
        <v>0</v>
      </c>
      <c r="F13" t="str">
        <f>Tabla312[[#This Row],[SUPER]]</f>
        <v>SANDY</v>
      </c>
      <c r="H13" s="28" t="s">
        <v>107</v>
      </c>
      <c r="L13">
        <v>5</v>
      </c>
      <c r="M13" s="1">
        <f t="shared" si="0"/>
        <v>0.80401388888888892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1"/>
        <v>MALORY MONTEBLANCO</v>
      </c>
      <c r="R13" s="15" t="s">
        <v>57</v>
      </c>
      <c r="S13" s="3">
        <v>1.2103055555555555</v>
      </c>
      <c r="U13" s="15" t="s">
        <v>44</v>
      </c>
      <c r="V13" s="3">
        <v>0.85631250000000003</v>
      </c>
      <c r="X13" s="15" t="s">
        <v>11</v>
      </c>
      <c r="Y13" s="3">
        <v>0.57211111111111113</v>
      </c>
      <c r="AA13" s="15" t="s">
        <v>36</v>
      </c>
      <c r="AB13" s="3">
        <v>0.35561538461538461</v>
      </c>
    </row>
    <row r="14" spans="1:28" x14ac:dyDescent="0.25">
      <c r="A14" s="26" t="s">
        <v>3</v>
      </c>
      <c r="B14" s="26" t="str">
        <f>TRIM(Tabla312[[#This Row],[ASESOR]])</f>
        <v/>
      </c>
      <c r="C14" s="26" t="s">
        <v>131</v>
      </c>
      <c r="D14" s="26"/>
      <c r="E14">
        <f>Tabla312[[#This Row],[RECUPERO]]/VLOOKUP(Tabla312[[#This Row],[SUPER]],Tabla413[],2,0)</f>
        <v>0</v>
      </c>
      <c r="F14" t="str">
        <f>Tabla312[[#This Row],[SUPER]]</f>
        <v>SANDY</v>
      </c>
      <c r="H14" s="27" t="s">
        <v>119</v>
      </c>
      <c r="L14">
        <v>6</v>
      </c>
      <c r="M14" s="1">
        <f t="shared" si="0"/>
        <v>0.72977777777777775</v>
      </c>
      <c r="N14" t="str" cm="1">
        <f t="array" ref="N14">IFERROR(_xlfn.IFS(M14&gt;100%,"&gt;100%",AND(M14&lt;100%,M14&gt;70%),"&gt;70%",AND(M14&lt;70%,M14&gt;40%),"&gt;40%",AND(M14&lt;40%,M14&gt;0%),"&gt;0%"),"")</f>
        <v>&gt;70%</v>
      </c>
      <c r="O14" t="str">
        <f t="shared" si="1"/>
        <v>LUIS VALLADARES</v>
      </c>
      <c r="R14" s="15" t="s">
        <v>23</v>
      </c>
      <c r="S14" s="3">
        <v>1.1826666666666668</v>
      </c>
      <c r="U14" s="15" t="s">
        <v>41</v>
      </c>
      <c r="V14" s="3">
        <v>0.85106250000000006</v>
      </c>
      <c r="X14" s="15" t="s">
        <v>40</v>
      </c>
      <c r="Y14" s="3">
        <v>0.56246153846153846</v>
      </c>
      <c r="AA14" s="15" t="s">
        <v>134</v>
      </c>
      <c r="AB14" s="3">
        <v>0.3496774193548387</v>
      </c>
    </row>
    <row r="15" spans="1:28" x14ac:dyDescent="0.25">
      <c r="A15" s="26" t="s">
        <v>4</v>
      </c>
      <c r="B15" s="26" t="str">
        <f>TRIM(Tabla312[[#This Row],[ASESOR]])</f>
        <v>PIERINA TESEN</v>
      </c>
      <c r="C15" s="26" t="s">
        <v>59</v>
      </c>
      <c r="D15" s="26">
        <v>103477</v>
      </c>
      <c r="E15">
        <f>Tabla312[[#This Row],[RECUPERO]]/VLOOKUP(Tabla312[[#This Row],[SUPER]],Tabla413[],2,0)</f>
        <v>1.4371805555555555</v>
      </c>
      <c r="F15" t="str">
        <f>Tabla312[[#This Row],[SUPER]]</f>
        <v>MELINA</v>
      </c>
      <c r="H15" s="27" t="s">
        <v>120</v>
      </c>
      <c r="L15">
        <v>7</v>
      </c>
      <c r="M15" s="1">
        <f t="shared" si="0"/>
        <v>0.71969444444444441</v>
      </c>
      <c r="N15" t="str" cm="1">
        <f t="array" ref="N15">IFERROR(_xlfn.IFS(M15&gt;100%,"&gt;100%",AND(M15&lt;100%,M15&gt;70%),"&gt;70%",AND(M15&lt;70%,M15&gt;40%),"&gt;40%",AND(M15&lt;40%,M15&gt;0%),"&gt;0%"),"")</f>
        <v>&gt;70%</v>
      </c>
      <c r="O15" t="str">
        <f t="shared" si="1"/>
        <v>GABRIELA APONTE</v>
      </c>
      <c r="R15" s="15" t="s">
        <v>35</v>
      </c>
      <c r="S15" s="3">
        <v>1.1698076923076923</v>
      </c>
      <c r="U15" s="15" t="s">
        <v>58</v>
      </c>
      <c r="V15" s="3">
        <v>0.81085416666666665</v>
      </c>
      <c r="X15" s="15" t="s">
        <v>45</v>
      </c>
      <c r="Y15" s="3">
        <v>0.56137499999999996</v>
      </c>
      <c r="AA15" s="15" t="s">
        <v>15</v>
      </c>
      <c r="AB15" s="3">
        <v>0.34772222222222221</v>
      </c>
    </row>
    <row r="16" spans="1:28" x14ac:dyDescent="0.25">
      <c r="A16" s="26" t="s">
        <v>4</v>
      </c>
      <c r="B16" s="26" t="str">
        <f>TRIM(Tabla312[[#This Row],[ASESOR]])</f>
        <v>JAIR MARTINEZ</v>
      </c>
      <c r="C16" s="26" t="s">
        <v>57</v>
      </c>
      <c r="D16" s="26">
        <v>87142</v>
      </c>
      <c r="E16">
        <f>Tabla312[[#This Row],[RECUPERO]]/VLOOKUP(Tabla312[[#This Row],[SUPER]],Tabla413[],2,0)</f>
        <v>1.2103055555555555</v>
      </c>
      <c r="F16" t="str">
        <f>Tabla312[[#This Row],[SUPER]]</f>
        <v>MELINA</v>
      </c>
      <c r="L16">
        <v>8</v>
      </c>
      <c r="M16" s="1">
        <f t="shared" si="0"/>
        <v>0.43569444444444444</v>
      </c>
      <c r="N16" t="str" cm="1">
        <f t="array" ref="N16">IFERROR(_xlfn.IFS(M16&gt;100%,"&gt;100%",AND(M16&lt;100%,M16&gt;70%),"&gt;70%",AND(M16&lt;70%,M16&gt;40%),"&gt;40%",AND(M16&lt;40%,M16&gt;0%),"&gt;0%"),"")</f>
        <v>&gt;40%</v>
      </c>
      <c r="O16" t="str">
        <f t="shared" si="1"/>
        <v>ERICK PORTILLA</v>
      </c>
      <c r="R16" s="15" t="s">
        <v>24</v>
      </c>
      <c r="S16" s="3">
        <v>1.1328472222222221</v>
      </c>
      <c r="U16" s="15" t="s">
        <v>26</v>
      </c>
      <c r="V16" s="3">
        <v>0.8042083333333333</v>
      </c>
      <c r="X16" s="15" t="s">
        <v>67</v>
      </c>
      <c r="Y16" s="3">
        <v>0.5502407407407407</v>
      </c>
      <c r="AA16" s="15" t="s">
        <v>63</v>
      </c>
      <c r="AB16" s="3">
        <v>0.31055555555555553</v>
      </c>
    </row>
    <row r="17" spans="1:28" x14ac:dyDescent="0.25">
      <c r="A17" s="26" t="s">
        <v>4</v>
      </c>
      <c r="B17" s="26" t="str">
        <f>TRIM(Tabla312[[#This Row],[ASESOR]])</f>
        <v>ANALUCIA PONCE</v>
      </c>
      <c r="C17" s="26" t="s">
        <v>60</v>
      </c>
      <c r="D17" s="26">
        <v>74298.100000000006</v>
      </c>
      <c r="E17">
        <f>Tabla312[[#This Row],[RECUPERO]]/VLOOKUP(Tabla312[[#This Row],[SUPER]],Tabla413[],2,0)</f>
        <v>1.0319180555555556</v>
      </c>
      <c r="F17" t="str">
        <f>Tabla312[[#This Row],[SUPER]]</f>
        <v>MELINA</v>
      </c>
      <c r="L17">
        <v>9</v>
      </c>
      <c r="M17" s="1">
        <f t="shared" si="0"/>
        <v>0.39784722222222224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1"/>
        <v>TERRY ECHEVARRIA</v>
      </c>
      <c r="R17" s="15" t="s">
        <v>60</v>
      </c>
      <c r="S17" s="3">
        <v>1.0319180555555556</v>
      </c>
      <c r="U17" s="15" t="s">
        <v>25</v>
      </c>
      <c r="V17" s="3">
        <v>0.80401388888888892</v>
      </c>
      <c r="X17" s="15" t="s">
        <v>16</v>
      </c>
      <c r="Y17" s="3">
        <v>0.54796296296296299</v>
      </c>
      <c r="AA17" s="15" t="s">
        <v>106</v>
      </c>
      <c r="AB17" s="3">
        <v>0.28125</v>
      </c>
    </row>
    <row r="18" spans="1:28" x14ac:dyDescent="0.25">
      <c r="A18" s="26" t="s">
        <v>4</v>
      </c>
      <c r="B18" s="26" t="str">
        <f>TRIM(Tabla312[[#This Row],[ASESOR]])</f>
        <v>MELISSA GUERRERO</v>
      </c>
      <c r="C18" s="26" t="s">
        <v>62</v>
      </c>
      <c r="D18" s="26">
        <v>61822</v>
      </c>
      <c r="E18">
        <f>Tabla312[[#This Row],[RECUPERO]]/VLOOKUP(Tabla312[[#This Row],[SUPER]],Tabla413[],2,0)</f>
        <v>0.85863888888888884</v>
      </c>
      <c r="F18" t="str">
        <f>Tabla312[[#This Row],[SUPER]]</f>
        <v>MELINA</v>
      </c>
      <c r="L18">
        <v>10</v>
      </c>
      <c r="M18" s="1">
        <f t="shared" si="0"/>
        <v>0.21458333333333332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1"/>
        <v>ROBERTO RODRIGUEZ</v>
      </c>
      <c r="R18" s="15" t="s">
        <v>18</v>
      </c>
      <c r="S18" s="3">
        <v>1.0103225806451612</v>
      </c>
      <c r="U18" s="15" t="s">
        <v>46</v>
      </c>
      <c r="V18" s="3">
        <v>0.78818750000000004</v>
      </c>
      <c r="X18" s="15" t="s">
        <v>64</v>
      </c>
      <c r="Y18" s="3">
        <v>0.52819444444444441</v>
      </c>
      <c r="AA18" s="15" t="s">
        <v>128</v>
      </c>
      <c r="AB18" s="3">
        <v>0.28006451612903227</v>
      </c>
    </row>
    <row r="19" spans="1:28" x14ac:dyDescent="0.25">
      <c r="A19" s="26" t="s">
        <v>4</v>
      </c>
      <c r="B19" s="26" t="str">
        <f>TRIM(Tabla312[[#This Row],[ASESOR]])</f>
        <v>ALEJANDRA QUISPE</v>
      </c>
      <c r="C19" s="26" t="s">
        <v>58</v>
      </c>
      <c r="D19" s="26">
        <v>58381.5</v>
      </c>
      <c r="E19">
        <f>Tabla312[[#This Row],[RECUPERO]]/VLOOKUP(Tabla312[[#This Row],[SUPER]],Tabla413[],2,0)</f>
        <v>0.81085416666666665</v>
      </c>
      <c r="F19" t="str">
        <f>Tabla312[[#This Row],[SUPER]]</f>
        <v>MELINA</v>
      </c>
      <c r="L19">
        <v>11</v>
      </c>
      <c r="M19" s="1">
        <f t="shared" si="0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1"/>
        <v/>
      </c>
      <c r="R19" s="15" t="s">
        <v>32</v>
      </c>
      <c r="S19" s="4">
        <v>1.0065884615384615</v>
      </c>
      <c r="U19" s="15" t="s">
        <v>49</v>
      </c>
      <c r="V19" s="3">
        <v>0.78743750000000001</v>
      </c>
      <c r="X19" s="15" t="s">
        <v>68</v>
      </c>
      <c r="Y19" s="3">
        <v>0.50892592592592589</v>
      </c>
      <c r="AA19" s="15" t="s">
        <v>118</v>
      </c>
      <c r="AB19" s="3">
        <v>0.27625</v>
      </c>
    </row>
    <row r="20" spans="1:28" x14ac:dyDescent="0.25">
      <c r="A20" s="26" t="s">
        <v>4</v>
      </c>
      <c r="B20" s="26" t="str">
        <f>TRIM(Tabla312[[#This Row],[ASESOR]])</f>
        <v>CRISTINA TICONA</v>
      </c>
      <c r="C20" s="26" t="s">
        <v>61</v>
      </c>
      <c r="D20" s="26">
        <v>53370</v>
      </c>
      <c r="E20">
        <f>Tabla312[[#This Row],[RECUPERO]]/VLOOKUP(Tabla312[[#This Row],[SUPER]],Tabla413[],2,0)</f>
        <v>0.74124999999999996</v>
      </c>
      <c r="F20" t="str">
        <f>Tabla312[[#This Row],[SUPER]]</f>
        <v>MELINA</v>
      </c>
      <c r="L20">
        <v>12</v>
      </c>
      <c r="M20" s="1">
        <f t="shared" si="0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1"/>
        <v/>
      </c>
      <c r="U20" s="15" t="s">
        <v>61</v>
      </c>
      <c r="V20" s="3">
        <v>0.74124999999999996</v>
      </c>
      <c r="X20" s="15" t="s">
        <v>38</v>
      </c>
      <c r="Y20" s="3">
        <v>0.50853846153846149</v>
      </c>
      <c r="AA20" s="15" t="s">
        <v>20</v>
      </c>
      <c r="AB20" s="3">
        <v>0.26838709677419353</v>
      </c>
    </row>
    <row r="21" spans="1:28" x14ac:dyDescent="0.25">
      <c r="A21" s="26" t="s">
        <v>4</v>
      </c>
      <c r="B21" s="26" t="str">
        <f>TRIM(Tabla312[[#This Row],[ASESOR]])</f>
        <v>MICAELA PEREZ</v>
      </c>
      <c r="C21" s="26" t="s">
        <v>64</v>
      </c>
      <c r="D21" s="26">
        <v>38030</v>
      </c>
      <c r="E21">
        <f>Tabla312[[#This Row],[RECUPERO]]/VLOOKUP(Tabla312[[#This Row],[SUPER]],Tabla413[],2,0)</f>
        <v>0.52819444444444441</v>
      </c>
      <c r="F21" t="str">
        <f>Tabla312[[#This Row],[SUPER]]</f>
        <v>MELINA</v>
      </c>
      <c r="L21">
        <v>1</v>
      </c>
      <c r="M21" s="1">
        <f t="shared" si="0"/>
        <v>1.4371805555555555</v>
      </c>
      <c r="N21" t="str" cm="1">
        <f t="array" ref="N21">IFERROR(_xlfn.IFS(M21&gt;100%,"&gt;100%",AND(M21&lt;100%,M21&gt;70%),"&gt;70%",AND(M21&lt;70%,M21&gt;40%),"&gt;40%",AND(M21&lt;40%,M21&gt;0%),"&gt;0%"),"")</f>
        <v>&gt;100%</v>
      </c>
      <c r="O21" t="str">
        <f t="shared" si="1"/>
        <v>PIERINA TESEN</v>
      </c>
      <c r="U21" s="15" t="s">
        <v>29</v>
      </c>
      <c r="V21" s="3">
        <v>0.72977777777777775</v>
      </c>
      <c r="X21" s="15" t="s">
        <v>33</v>
      </c>
      <c r="Y21" s="3">
        <v>0.50292307692307692</v>
      </c>
      <c r="AA21" s="15" t="s">
        <v>114</v>
      </c>
      <c r="AB21" s="3">
        <v>0.26250000000000001</v>
      </c>
    </row>
    <row r="22" spans="1:28" x14ac:dyDescent="0.25">
      <c r="A22" s="26" t="s">
        <v>4</v>
      </c>
      <c r="B22" s="26" t="str">
        <f>TRIM(Tabla312[[#This Row],[ASESOR]])</f>
        <v>JHONATAN CHAVEZ</v>
      </c>
      <c r="C22" s="26" t="s">
        <v>65</v>
      </c>
      <c r="D22" s="26">
        <v>26195</v>
      </c>
      <c r="E22">
        <f>Tabla312[[#This Row],[RECUPERO]]/VLOOKUP(Tabla312[[#This Row],[SUPER]],Tabla413[],2,0)</f>
        <v>0.36381944444444442</v>
      </c>
      <c r="F22" t="str">
        <f>Tabla312[[#This Row],[SUPER]]</f>
        <v>MELINA</v>
      </c>
      <c r="L22">
        <v>2</v>
      </c>
      <c r="M22" s="1">
        <f t="shared" si="0"/>
        <v>1.2103055555555555</v>
      </c>
      <c r="N22" t="str" cm="1">
        <f t="array" ref="N22">IFERROR(_xlfn.IFS(M22&gt;100%,"&gt;100%",AND(M22&lt;100%,M22&gt;70%),"&gt;70%",AND(M22&lt;70%,M22&gt;40%),"&gt;40%",AND(M22&lt;40%,M22&gt;0%),"&gt;0%"),"")</f>
        <v>&gt;100%</v>
      </c>
      <c r="O22" t="str">
        <f t="shared" si="1"/>
        <v>JAIR MARTINEZ</v>
      </c>
      <c r="U22" s="15" t="s">
        <v>51</v>
      </c>
      <c r="V22" s="3">
        <v>0.72962499999999997</v>
      </c>
      <c r="X22" s="15" t="s">
        <v>53</v>
      </c>
      <c r="Y22" s="3">
        <v>0.46249437500000001</v>
      </c>
      <c r="AA22" s="15" t="s">
        <v>72</v>
      </c>
      <c r="AB22" s="3">
        <v>0.24317722222222221</v>
      </c>
    </row>
    <row r="23" spans="1:28" x14ac:dyDescent="0.25">
      <c r="A23" s="26" t="s">
        <v>4</v>
      </c>
      <c r="B23" s="26" t="str">
        <f>TRIM(Tabla312[[#This Row],[ASESOR]])</f>
        <v>RICHARD RODRIGUEZ</v>
      </c>
      <c r="C23" s="26" t="s">
        <v>63</v>
      </c>
      <c r="D23" s="26">
        <v>22360</v>
      </c>
      <c r="E23">
        <f>Tabla312[[#This Row],[RECUPERO]]/VLOOKUP(Tabla312[[#This Row],[SUPER]],Tabla413[],2,0)</f>
        <v>0.31055555555555553</v>
      </c>
      <c r="F23" t="str">
        <f>Tabla312[[#This Row],[SUPER]]</f>
        <v>MELINA</v>
      </c>
      <c r="L23">
        <v>3</v>
      </c>
      <c r="M23" s="1">
        <f t="shared" si="0"/>
        <v>1.0319180555555556</v>
      </c>
      <c r="N23" t="str" cm="1">
        <f t="array" ref="N23">IFERROR(_xlfn.IFS(M23&gt;100%,"&gt;100%",AND(M23&lt;100%,M23&gt;70%),"&gt;70%",AND(M23&lt;70%,M23&gt;40%),"&gt;40%",AND(M23&lt;40%,M23&gt;0%),"&gt;0%"),"")</f>
        <v>&gt;100%</v>
      </c>
      <c r="O23" t="str">
        <f t="shared" si="1"/>
        <v>ANALUCIA PONCE</v>
      </c>
      <c r="U23" s="15" t="s">
        <v>69</v>
      </c>
      <c r="V23" s="3">
        <v>0.72839814814814818</v>
      </c>
      <c r="X23" s="15" t="s">
        <v>39</v>
      </c>
      <c r="Y23" s="3">
        <v>0.44034615384615383</v>
      </c>
      <c r="AA23" s="15" t="s">
        <v>56</v>
      </c>
      <c r="AB23" s="3">
        <v>0.2235</v>
      </c>
    </row>
    <row r="24" spans="1:28" x14ac:dyDescent="0.25">
      <c r="A24" s="26" t="s">
        <v>4</v>
      </c>
      <c r="B24" s="26" t="str">
        <f>TRIM(Tabla312[[#This Row],[ASESOR]])</f>
        <v>GERSON LAZARO</v>
      </c>
      <c r="C24" s="26" t="s">
        <v>109</v>
      </c>
      <c r="D24" s="26">
        <v>10000</v>
      </c>
      <c r="E24">
        <f>Tabla312[[#This Row],[RECUPERO]]/VLOOKUP(Tabla312[[#This Row],[SUPER]],Tabla413[],2,0)</f>
        <v>0.1388888888888889</v>
      </c>
      <c r="F24" t="str">
        <f>Tabla312[[#This Row],[SUPER]]</f>
        <v>MELINA</v>
      </c>
      <c r="L24">
        <v>4</v>
      </c>
      <c r="M24" s="1">
        <f t="shared" si="0"/>
        <v>0.85863888888888884</v>
      </c>
      <c r="N24" t="str" cm="1">
        <f t="array" ref="N24">IFERROR(_xlfn.IFS(M24&gt;100%,"&gt;100%",AND(M24&lt;100%,M24&gt;70%),"&gt;70%",AND(M24&lt;70%,M24&gt;40%),"&gt;40%",AND(M24&lt;40%,M24&gt;0%),"&gt;0%"),"")</f>
        <v>&gt;70%</v>
      </c>
      <c r="O24" t="str">
        <f t="shared" si="1"/>
        <v>MELISSA GUERRERO</v>
      </c>
      <c r="U24" s="15" t="s">
        <v>27</v>
      </c>
      <c r="V24" s="3">
        <v>0.71969444444444441</v>
      </c>
      <c r="X24" s="15" t="s">
        <v>28</v>
      </c>
      <c r="Y24" s="3">
        <v>0.43569444444444444</v>
      </c>
      <c r="AA24" s="15" t="s">
        <v>125</v>
      </c>
      <c r="AB24" s="3">
        <v>0.21458333333333332</v>
      </c>
    </row>
    <row r="25" spans="1:28" x14ac:dyDescent="0.25">
      <c r="A25" s="26" t="s">
        <v>4</v>
      </c>
      <c r="B25" s="26" t="str">
        <f>TRIM(Tabla312[[#This Row],[ASESOR]])</f>
        <v/>
      </c>
      <c r="C25" s="26" t="s">
        <v>131</v>
      </c>
      <c r="D25" s="26"/>
      <c r="E25">
        <f>Tabla312[[#This Row],[RECUPERO]]/VLOOKUP(Tabla312[[#This Row],[SUPER]],Tabla413[],2,0)</f>
        <v>0</v>
      </c>
      <c r="F25" t="str">
        <f>Tabla312[[#This Row],[SUPER]]</f>
        <v>MELINA</v>
      </c>
      <c r="L25">
        <v>5</v>
      </c>
      <c r="M25" s="1">
        <f t="shared" si="0"/>
        <v>0.81085416666666665</v>
      </c>
      <c r="N25" t="str" cm="1">
        <f t="array" ref="N25">IFERROR(_xlfn.IFS(M25&gt;100%,"&gt;100%",AND(M25&lt;100%,M25&gt;70%),"&gt;70%",AND(M25&lt;70%,M25&gt;40%),"&gt;40%",AND(M25&lt;40%,M25&gt;0%),"&gt;0%"),"")</f>
        <v>&gt;70%</v>
      </c>
      <c r="O25" t="str">
        <f t="shared" si="1"/>
        <v>ALEJANDRA QUISPE</v>
      </c>
      <c r="U25" s="15" t="s">
        <v>43</v>
      </c>
      <c r="V25" s="3">
        <v>0.70107874999999997</v>
      </c>
      <c r="X25" s="15" t="s">
        <v>55</v>
      </c>
      <c r="Y25" s="3">
        <v>0.43093749999999997</v>
      </c>
      <c r="AA25" s="15" t="s">
        <v>105</v>
      </c>
      <c r="AB25" s="3">
        <v>0.19027777777777777</v>
      </c>
    </row>
    <row r="26" spans="1:28" x14ac:dyDescent="0.25">
      <c r="A26" s="26" t="s">
        <v>4</v>
      </c>
      <c r="B26" s="26" t="str">
        <f>TRIM(Tabla312[[#This Row],[ASESOR]])</f>
        <v/>
      </c>
      <c r="C26" s="26" t="s">
        <v>131</v>
      </c>
      <c r="D26" s="26"/>
      <c r="E26">
        <f>Tabla312[[#This Row],[RECUPERO]]/VLOOKUP(Tabla312[[#This Row],[SUPER]],Tabla413[],2,0)</f>
        <v>0</v>
      </c>
      <c r="F26" t="str">
        <f>Tabla312[[#This Row],[SUPER]]</f>
        <v>MELINA</v>
      </c>
      <c r="L26">
        <v>6</v>
      </c>
      <c r="M26" s="1">
        <f t="shared" si="0"/>
        <v>0.74124999999999996</v>
      </c>
      <c r="N26" t="str" cm="1">
        <f t="array" ref="N26">IFERROR(_xlfn.IFS(M26&gt;100%,"&gt;100%",AND(M26&lt;100%,M26&gt;70%),"&gt;70%",AND(M26&lt;70%,M26&gt;40%),"&gt;40%",AND(M26&lt;40%,M26&gt;0%),"&gt;0%"),"")</f>
        <v>&gt;70%</v>
      </c>
      <c r="O26" t="str">
        <f t="shared" si="1"/>
        <v>CRISTINA TICONA</v>
      </c>
      <c r="U26" s="15" t="s">
        <v>132</v>
      </c>
      <c r="V26" s="4">
        <v>0.70012903225806455</v>
      </c>
      <c r="X26" s="15" t="s">
        <v>21</v>
      </c>
      <c r="Y26" s="3">
        <v>0.42645161290322581</v>
      </c>
      <c r="AA26" s="15" t="s">
        <v>130</v>
      </c>
      <c r="AB26" s="3">
        <v>0.18258064516129033</v>
      </c>
    </row>
    <row r="27" spans="1:28" x14ac:dyDescent="0.25">
      <c r="A27" s="26" t="s">
        <v>2</v>
      </c>
      <c r="B27" s="26" t="str">
        <f>TRIM(Tabla312[[#This Row],[ASESOR]])</f>
        <v>VERONICA TASAYCO</v>
      </c>
      <c r="C27" s="26" t="s">
        <v>10</v>
      </c>
      <c r="D27" s="26">
        <v>48172</v>
      </c>
      <c r="E27">
        <f>Tabla312[[#This Row],[RECUPERO]]/VLOOKUP(Tabla312[[#This Row],[SUPER]],Tabla413[],2,0)</f>
        <v>0.89207407407407402</v>
      </c>
      <c r="F27" t="str">
        <f>Tabla312[[#This Row],[SUPER]]</f>
        <v>JORGE</v>
      </c>
      <c r="L27">
        <v>7</v>
      </c>
      <c r="M27" s="1">
        <f t="shared" si="0"/>
        <v>0.52819444444444441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1"/>
        <v>MICAELA PEREZ</v>
      </c>
      <c r="X27" s="15" t="s">
        <v>54</v>
      </c>
      <c r="Y27" s="3">
        <v>0.40094375000000004</v>
      </c>
      <c r="AA27" s="15" t="s">
        <v>14</v>
      </c>
      <c r="AB27" s="3">
        <v>0.15062962962962964</v>
      </c>
    </row>
    <row r="28" spans="1:28" x14ac:dyDescent="0.25">
      <c r="A28" s="26" t="s">
        <v>2</v>
      </c>
      <c r="B28" s="26" t="str">
        <f>TRIM(Tabla312[[#This Row],[ASESOR]])</f>
        <v>MARGARITA PIANCHACHI</v>
      </c>
      <c r="C28" s="26" t="s">
        <v>17</v>
      </c>
      <c r="D28" s="26">
        <v>35156</v>
      </c>
      <c r="E28">
        <f>Tabla312[[#This Row],[RECUPERO]]/VLOOKUP(Tabla312[[#This Row],[SUPER]],Tabla413[],2,0)</f>
        <v>0.65103703703703708</v>
      </c>
      <c r="F28" t="str">
        <f>Tabla312[[#This Row],[SUPER]]</f>
        <v>JORGE</v>
      </c>
      <c r="L28">
        <v>8</v>
      </c>
      <c r="M28" s="1">
        <f t="shared" si="0"/>
        <v>0.36381944444444442</v>
      </c>
      <c r="N28" t="str" cm="1">
        <f t="array" ref="N28">IFERROR(_xlfn.IFS(M28&gt;100%,"&gt;100%",AND(M28&lt;100%,M28&gt;70%),"&gt;70%",AND(M28&lt;70%,M28&gt;40%),"&gt;40%",AND(M28&lt;40%,M28&gt;0%),"&gt;0%"),"")</f>
        <v>&gt;0%</v>
      </c>
      <c r="O28" t="str">
        <f t="shared" si="1"/>
        <v>JHONATAN CHAVEZ</v>
      </c>
      <c r="X28" s="15" t="s">
        <v>71</v>
      </c>
      <c r="Y28" s="4">
        <v>0.40081481481481479</v>
      </c>
      <c r="AA28" s="15" t="s">
        <v>109</v>
      </c>
      <c r="AB28" s="3">
        <v>0.1388888888888889</v>
      </c>
    </row>
    <row r="29" spans="1:28" x14ac:dyDescent="0.25">
      <c r="A29" s="26" t="s">
        <v>2</v>
      </c>
      <c r="B29" s="26" t="str">
        <f>TRIM(Tabla312[[#This Row],[ASESOR]])</f>
        <v>MILAGROS QUIO</v>
      </c>
      <c r="C29" s="26" t="s">
        <v>11</v>
      </c>
      <c r="D29" s="26">
        <v>30894</v>
      </c>
      <c r="E29">
        <f>Tabla312[[#This Row],[RECUPERO]]/VLOOKUP(Tabla312[[#This Row],[SUPER]],Tabla413[],2,0)</f>
        <v>0.57211111111111113</v>
      </c>
      <c r="F29" t="str">
        <f>Tabla312[[#This Row],[SUPER]]</f>
        <v>JORGE</v>
      </c>
      <c r="L29">
        <v>9</v>
      </c>
      <c r="M29" s="1">
        <f t="shared" si="0"/>
        <v>0.31055555555555553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1"/>
        <v>RICHARD RODRIGUEZ</v>
      </c>
      <c r="AA29" s="15" t="s">
        <v>73</v>
      </c>
      <c r="AB29" s="3">
        <v>0.11453703703703703</v>
      </c>
    </row>
    <row r="30" spans="1:28" x14ac:dyDescent="0.25">
      <c r="A30" s="26" t="s">
        <v>2</v>
      </c>
      <c r="B30" s="26" t="str">
        <f>TRIM(Tabla312[[#This Row],[ASESOR]])</f>
        <v>FRANS TACSI</v>
      </c>
      <c r="C30" s="26" t="s">
        <v>16</v>
      </c>
      <c r="D30" s="26">
        <v>29590</v>
      </c>
      <c r="E30">
        <f>Tabla312[[#This Row],[RECUPERO]]/VLOOKUP(Tabla312[[#This Row],[SUPER]],Tabla413[],2,0)</f>
        <v>0.54796296296296299</v>
      </c>
      <c r="F30" t="str">
        <f>Tabla312[[#This Row],[SUPER]]</f>
        <v>JORGE</v>
      </c>
      <c r="L30">
        <v>10</v>
      </c>
      <c r="M30" s="1">
        <f t="shared" si="0"/>
        <v>0.1388888888888889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1"/>
        <v>GERSON LAZARO</v>
      </c>
      <c r="AA30" s="15" t="s">
        <v>47</v>
      </c>
      <c r="AB30" s="3">
        <v>8.1125000000000003E-2</v>
      </c>
    </row>
    <row r="31" spans="1:28" x14ac:dyDescent="0.25">
      <c r="A31" s="26" t="s">
        <v>2</v>
      </c>
      <c r="B31" s="26" t="str">
        <f>TRIM(Tabla312[[#This Row],[ASESOR]])</f>
        <v>GIANFRANCO PINEDO</v>
      </c>
      <c r="C31" s="26" t="s">
        <v>13</v>
      </c>
      <c r="D31" s="26">
        <v>20682</v>
      </c>
      <c r="E31">
        <f>Tabla312[[#This Row],[RECUPERO]]/VLOOKUP(Tabla312[[#This Row],[SUPER]],Tabla413[],2,0)</f>
        <v>0.38300000000000001</v>
      </c>
      <c r="F31" t="str">
        <f>Tabla312[[#This Row],[SUPER]]</f>
        <v>JORGE</v>
      </c>
      <c r="L31">
        <v>11</v>
      </c>
      <c r="M31" s="1">
        <f t="shared" si="0"/>
        <v>0</v>
      </c>
      <c r="N31" t="str" cm="1">
        <f t="array" ref="N31">IFERROR(_xlfn.IFS(M31&gt;100%,"&gt;100%",AND(M31&lt;100%,M31&gt;70%),"&gt;70%",AND(M31&lt;70%,M31&gt;40%),"&gt;40%",AND(M31&lt;40%,M31&gt;0%),"&gt;0%"),"")</f>
        <v/>
      </c>
      <c r="O31" t="str">
        <f t="shared" si="1"/>
        <v/>
      </c>
      <c r="AA31" s="15" t="s">
        <v>116</v>
      </c>
      <c r="AB31" s="3">
        <v>7.6624999999999999E-2</v>
      </c>
    </row>
    <row r="32" spans="1:28" x14ac:dyDescent="0.25">
      <c r="A32" s="26" t="s">
        <v>2</v>
      </c>
      <c r="B32" s="26" t="str">
        <f>TRIM(Tabla312[[#This Row],[ASESOR]])</f>
        <v>GENESIS VICUNA</v>
      </c>
      <c r="C32" s="26" t="s">
        <v>12</v>
      </c>
      <c r="D32" s="26">
        <v>19455</v>
      </c>
      <c r="E32">
        <f>Tabla312[[#This Row],[RECUPERO]]/VLOOKUP(Tabla312[[#This Row],[SUPER]],Tabla413[],2,0)</f>
        <v>0.36027777777777775</v>
      </c>
      <c r="F32" t="str">
        <f>Tabla312[[#This Row],[SUPER]]</f>
        <v>JORGE</v>
      </c>
      <c r="L32">
        <v>12</v>
      </c>
      <c r="M32" s="1">
        <f t="shared" si="0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1"/>
        <v/>
      </c>
      <c r="AA32" s="15" t="s">
        <v>133</v>
      </c>
      <c r="AB32" s="3">
        <v>7.5483870967741937E-2</v>
      </c>
    </row>
    <row r="33" spans="1:28" x14ac:dyDescent="0.25">
      <c r="A33" s="26" t="s">
        <v>2</v>
      </c>
      <c r="B33" s="26" t="str">
        <f>TRIM(Tabla312[[#This Row],[ASESOR]])</f>
        <v>ANDERSON RODRIGUEZ</v>
      </c>
      <c r="C33" s="26" t="s">
        <v>15</v>
      </c>
      <c r="D33" s="26">
        <v>18777</v>
      </c>
      <c r="E33">
        <f>Tabla312[[#This Row],[RECUPERO]]/VLOOKUP(Tabla312[[#This Row],[SUPER]],Tabla413[],2,0)</f>
        <v>0.34772222222222221</v>
      </c>
      <c r="F33" t="str">
        <f>Tabla312[[#This Row],[SUPER]]</f>
        <v>JORGE</v>
      </c>
      <c r="L33">
        <v>1</v>
      </c>
      <c r="M33" s="1">
        <f t="shared" si="0"/>
        <v>0.89207407407407402</v>
      </c>
      <c r="N33" t="str" cm="1">
        <f t="array" ref="N33">IFERROR(_xlfn.IFS(M33&gt;100%,"&gt;100%",AND(M33&lt;100%,M33&gt;70%),"&gt;70%",AND(M33&lt;70%,M33&gt;40%),"&gt;40%",AND(M33&lt;40%,M33&gt;0%),"&gt;0%"),"")</f>
        <v>&gt;70%</v>
      </c>
      <c r="O33" t="str">
        <f t="shared" si="1"/>
        <v>VERONICA TASAYCO</v>
      </c>
      <c r="AA33" s="15" t="s">
        <v>129</v>
      </c>
      <c r="AB33" s="3">
        <v>6.4516129032258063E-2</v>
      </c>
    </row>
    <row r="34" spans="1:28" x14ac:dyDescent="0.25">
      <c r="A34" s="26" t="s">
        <v>2</v>
      </c>
      <c r="B34" s="26" t="str">
        <f>TRIM(Tabla312[[#This Row],[ASESOR]])</f>
        <v>MISHEL MORALES</v>
      </c>
      <c r="C34" s="26" t="s">
        <v>105</v>
      </c>
      <c r="D34" s="26">
        <v>10275</v>
      </c>
      <c r="E34">
        <f>Tabla312[[#This Row],[RECUPERO]]/VLOOKUP(Tabla312[[#This Row],[SUPER]],Tabla413[],2,0)</f>
        <v>0.19027777777777777</v>
      </c>
      <c r="F34" t="str">
        <f>Tabla312[[#This Row],[SUPER]]</f>
        <v>JORGE</v>
      </c>
      <c r="L34">
        <v>2</v>
      </c>
      <c r="M34" s="1">
        <f t="shared" si="0"/>
        <v>0.65103703703703708</v>
      </c>
      <c r="N34" t="str" cm="1">
        <f t="array" ref="N34">IFERROR(_xlfn.IFS(M34&gt;100%,"&gt;100%",AND(M34&lt;100%,M34&gt;70%),"&gt;70%",AND(M34&lt;70%,M34&gt;40%),"&gt;40%",AND(M34&lt;40%,M34&gt;0%),"&gt;0%"),"")</f>
        <v>&gt;40%</v>
      </c>
      <c r="O34" t="str">
        <f t="shared" si="1"/>
        <v>MARGARITA PIANCHACHI</v>
      </c>
      <c r="AA34" s="15" t="s">
        <v>112</v>
      </c>
      <c r="AB34" s="3">
        <v>3.0944444444444445E-2</v>
      </c>
    </row>
    <row r="35" spans="1:28" x14ac:dyDescent="0.25">
      <c r="A35" s="26" t="s">
        <v>2</v>
      </c>
      <c r="B35" s="26" t="str">
        <f>TRIM(Tabla312[[#This Row],[ASESOR]])</f>
        <v>BRINA SOTO</v>
      </c>
      <c r="C35" s="26" t="s">
        <v>14</v>
      </c>
      <c r="D35" s="26">
        <v>8134</v>
      </c>
      <c r="E35">
        <f>Tabla312[[#This Row],[RECUPERO]]/VLOOKUP(Tabla312[[#This Row],[SUPER]],Tabla413[],2,0)</f>
        <v>0.15062962962962964</v>
      </c>
      <c r="F35" t="str">
        <f>Tabla312[[#This Row],[SUPER]]</f>
        <v>JORGE</v>
      </c>
      <c r="L35">
        <v>3</v>
      </c>
      <c r="M35" s="1">
        <f t="shared" si="0"/>
        <v>0.57211111111111113</v>
      </c>
      <c r="N35" t="str" cm="1">
        <f t="array" ref="N35">IFERROR(_xlfn.IFS(M35&gt;100%,"&gt;100%",AND(M35&lt;100%,M35&gt;70%),"&gt;70%",AND(M35&lt;70%,M35&gt;40%),"&gt;40%",AND(M35&lt;40%,M35&gt;0%),"&gt;0%"),"")</f>
        <v>&gt;40%</v>
      </c>
      <c r="O35" t="str">
        <f t="shared" si="1"/>
        <v>MILAGROS QUIO</v>
      </c>
      <c r="AA35" s="15" t="s">
        <v>115</v>
      </c>
      <c r="AB35" s="4">
        <v>1.0961538461538462E-2</v>
      </c>
    </row>
    <row r="36" spans="1:28" x14ac:dyDescent="0.25">
      <c r="A36" s="26" t="s">
        <v>2</v>
      </c>
      <c r="B36" s="26" t="str">
        <f>TRIM(Tabla312[[#This Row],[ASESOR]])</f>
        <v/>
      </c>
      <c r="C36" s="26" t="s">
        <v>131</v>
      </c>
      <c r="D36" s="26"/>
      <c r="E36">
        <f>Tabla312[[#This Row],[RECUPERO]]/VLOOKUP(Tabla312[[#This Row],[SUPER]],Tabla413[],2,0)</f>
        <v>0</v>
      </c>
      <c r="F36" t="str">
        <f>Tabla312[[#This Row],[SUPER]]</f>
        <v>JORGE</v>
      </c>
      <c r="L36">
        <v>4</v>
      </c>
      <c r="M36" s="1">
        <f t="shared" si="0"/>
        <v>0.54796296296296299</v>
      </c>
      <c r="N36" t="str" cm="1">
        <f t="array" ref="N36">IFERROR(_xlfn.IFS(M36&gt;100%,"&gt;100%",AND(M36&lt;100%,M36&gt;70%),"&gt;70%",AND(M36&lt;70%,M36&gt;40%),"&gt;40%",AND(M36&lt;40%,M36&gt;0%),"&gt;0%"),"")</f>
        <v>&gt;40%</v>
      </c>
      <c r="O36" t="str">
        <f t="shared" si="1"/>
        <v>FRANS TACSI</v>
      </c>
    </row>
    <row r="37" spans="1:28" x14ac:dyDescent="0.25">
      <c r="A37" s="26" t="s">
        <v>2</v>
      </c>
      <c r="B37" s="26" t="str">
        <f>TRIM(Tabla312[[#This Row],[ASESOR]])</f>
        <v/>
      </c>
      <c r="C37" s="26" t="s">
        <v>131</v>
      </c>
      <c r="D37" s="26"/>
      <c r="E37">
        <f>Tabla312[[#This Row],[RECUPERO]]/VLOOKUP(Tabla312[[#This Row],[SUPER]],Tabla413[],2,0)</f>
        <v>0</v>
      </c>
      <c r="F37" t="str">
        <f>Tabla312[[#This Row],[SUPER]]</f>
        <v>JORGE</v>
      </c>
      <c r="L37">
        <v>5</v>
      </c>
      <c r="M37" s="1">
        <f t="shared" si="0"/>
        <v>0.38300000000000001</v>
      </c>
      <c r="N37" t="str" cm="1">
        <f t="array" ref="N37">IFERROR(_xlfn.IFS(M37&gt;100%,"&gt;100%",AND(M37&lt;100%,M37&gt;70%),"&gt;70%",AND(M37&lt;70%,M37&gt;40%),"&gt;40%",AND(M37&lt;40%,M37&gt;0%),"&gt;0%"),"")</f>
        <v>&gt;0%</v>
      </c>
      <c r="O37" t="str">
        <f t="shared" si="1"/>
        <v>GIANFRANCO PINEDO</v>
      </c>
    </row>
    <row r="38" spans="1:28" x14ac:dyDescent="0.25">
      <c r="A38" s="26" t="s">
        <v>2</v>
      </c>
      <c r="B38" s="26" t="str">
        <f>TRIM(Tabla312[[#This Row],[ASESOR]])</f>
        <v/>
      </c>
      <c r="C38" s="26" t="s">
        <v>131</v>
      </c>
      <c r="D38" s="26"/>
      <c r="E38">
        <f>Tabla312[[#This Row],[RECUPERO]]/VLOOKUP(Tabla312[[#This Row],[SUPER]],Tabla413[],2,0)</f>
        <v>0</v>
      </c>
      <c r="F38" t="str">
        <f>Tabla312[[#This Row],[SUPER]]</f>
        <v>JORGE</v>
      </c>
      <c r="L38">
        <v>6</v>
      </c>
      <c r="M38" s="1">
        <f t="shared" si="0"/>
        <v>0.36027777777777775</v>
      </c>
      <c r="N38" t="str" cm="1">
        <f t="array" ref="N38">IFERROR(_xlfn.IFS(M38&gt;100%,"&gt;100%",AND(M38&lt;100%,M38&gt;70%),"&gt;70%",AND(M38&lt;70%,M38&gt;40%),"&gt;40%",AND(M38&lt;40%,M38&gt;0%),"&gt;0%"),"")</f>
        <v>&gt;0%</v>
      </c>
      <c r="O38" t="str">
        <f t="shared" si="1"/>
        <v>GENESIS VICUNA</v>
      </c>
    </row>
    <row r="39" spans="1:28" x14ac:dyDescent="0.25">
      <c r="A39" s="26" t="s">
        <v>5</v>
      </c>
      <c r="B39" s="26" t="str">
        <f>TRIM(Tabla312[[#This Row],[ASESOR]])</f>
        <v>ANTHONY TORRES</v>
      </c>
      <c r="C39" s="26" t="s">
        <v>69</v>
      </c>
      <c r="D39" s="26">
        <v>39333.5</v>
      </c>
      <c r="E39">
        <f>Tabla312[[#This Row],[RECUPERO]]/VLOOKUP(Tabla312[[#This Row],[SUPER]],Tabla413[],2,0)</f>
        <v>0.72839814814814818</v>
      </c>
      <c r="F39" t="str">
        <f>Tabla312[[#This Row],[SUPER]]</f>
        <v>JORDAN</v>
      </c>
      <c r="L39">
        <v>7</v>
      </c>
      <c r="M39" s="1">
        <f t="shared" si="0"/>
        <v>0.34772222222222221</v>
      </c>
      <c r="N39" t="str" cm="1">
        <f t="array" ref="N39">IFERROR(_xlfn.IFS(M39&gt;100%,"&gt;100%",AND(M39&lt;100%,M39&gt;70%),"&gt;70%",AND(M39&lt;70%,M39&gt;40%),"&gt;40%",AND(M39&lt;40%,M39&gt;0%),"&gt;0%"),"")</f>
        <v>&gt;0%</v>
      </c>
      <c r="O39" t="str">
        <f t="shared" si="1"/>
        <v>ANDERSON RODRIGUEZ</v>
      </c>
    </row>
    <row r="40" spans="1:28" x14ac:dyDescent="0.25">
      <c r="A40" s="26" t="s">
        <v>5</v>
      </c>
      <c r="B40" s="26" t="str">
        <f>TRIM(Tabla312[[#This Row],[ASESOR]])</f>
        <v>GILBERTO PURIZACA</v>
      </c>
      <c r="C40" s="26" t="s">
        <v>66</v>
      </c>
      <c r="D40" s="26">
        <v>37057</v>
      </c>
      <c r="E40">
        <f>Tabla312[[#This Row],[RECUPERO]]/VLOOKUP(Tabla312[[#This Row],[SUPER]],Tabla413[],2,0)</f>
        <v>0.68624074074074071</v>
      </c>
      <c r="F40" t="str">
        <f>Tabla312[[#This Row],[SUPER]]</f>
        <v>JORDAN</v>
      </c>
      <c r="L40">
        <v>8</v>
      </c>
      <c r="M40" s="1">
        <f t="shared" si="0"/>
        <v>0.19027777777777777</v>
      </c>
      <c r="N40" t="str" cm="1">
        <f t="array" ref="N40">IFERROR(_xlfn.IFS(M40&gt;100%,"&gt;100%",AND(M40&lt;100%,M40&gt;70%),"&gt;70%",AND(M40&lt;70%,M40&gt;40%),"&gt;40%",AND(M40&lt;40%,M40&gt;0%),"&gt;0%"),"")</f>
        <v>&gt;0%</v>
      </c>
      <c r="O40" t="str">
        <f t="shared" si="1"/>
        <v>MISHEL MORALES</v>
      </c>
    </row>
    <row r="41" spans="1:28" x14ac:dyDescent="0.25">
      <c r="A41" s="26" t="s">
        <v>5</v>
      </c>
      <c r="B41" s="26" t="str">
        <f>TRIM(Tabla312[[#This Row],[ASESOR]])</f>
        <v>MERLY CORONEL</v>
      </c>
      <c r="C41" s="26" t="s">
        <v>70</v>
      </c>
      <c r="D41" s="26">
        <v>31860</v>
      </c>
      <c r="E41">
        <f>Tabla312[[#This Row],[RECUPERO]]/VLOOKUP(Tabla312[[#This Row],[SUPER]],Tabla413[],2,0)</f>
        <v>0.59</v>
      </c>
      <c r="F41" t="str">
        <f>Tabla312[[#This Row],[SUPER]]</f>
        <v>JORDAN</v>
      </c>
      <c r="L41">
        <v>9</v>
      </c>
      <c r="M41" s="1">
        <f t="shared" si="0"/>
        <v>0.15062962962962964</v>
      </c>
      <c r="N41" t="str" cm="1">
        <f t="array" ref="N41">IFERROR(_xlfn.IFS(M41&gt;100%,"&gt;100%",AND(M41&lt;100%,M41&gt;70%),"&gt;70%",AND(M41&lt;70%,M41&gt;40%),"&gt;40%",AND(M41&lt;40%,M41&gt;0%),"&gt;0%"),"")</f>
        <v>&gt;0%</v>
      </c>
      <c r="O41" t="str">
        <f t="shared" si="1"/>
        <v>BRINA SOTO</v>
      </c>
    </row>
    <row r="42" spans="1:28" x14ac:dyDescent="0.25">
      <c r="A42" s="26" t="s">
        <v>5</v>
      </c>
      <c r="B42" s="26" t="str">
        <f>TRIM(Tabla312[[#This Row],[ASESOR]])</f>
        <v>AURORA FAUSTOR</v>
      </c>
      <c r="C42" s="26" t="s">
        <v>67</v>
      </c>
      <c r="D42" s="26">
        <v>29713</v>
      </c>
      <c r="E42">
        <f>Tabla312[[#This Row],[RECUPERO]]/VLOOKUP(Tabla312[[#This Row],[SUPER]],Tabla413[],2,0)</f>
        <v>0.5502407407407407</v>
      </c>
      <c r="F42" t="str">
        <f>Tabla312[[#This Row],[SUPER]]</f>
        <v>JORDAN</v>
      </c>
      <c r="L42">
        <v>10</v>
      </c>
      <c r="M42" s="1">
        <f t="shared" si="0"/>
        <v>0</v>
      </c>
      <c r="N42" t="str" cm="1">
        <f t="array" ref="N42">IFERROR(_xlfn.IFS(M42&gt;100%,"&gt;100%",AND(M42&lt;100%,M42&gt;70%),"&gt;70%",AND(M42&lt;70%,M42&gt;40%),"&gt;40%",AND(M42&lt;40%,M42&gt;0%),"&gt;0%"),"")</f>
        <v/>
      </c>
      <c r="O42" t="str">
        <f t="shared" si="1"/>
        <v/>
      </c>
    </row>
    <row r="43" spans="1:28" x14ac:dyDescent="0.25">
      <c r="A43" s="26" t="s">
        <v>5</v>
      </c>
      <c r="B43" s="26" t="str">
        <f>TRIM(Tabla312[[#This Row],[ASESOR]])</f>
        <v>LUCERO JORDAN</v>
      </c>
      <c r="C43" s="26" t="s">
        <v>68</v>
      </c>
      <c r="D43" s="26">
        <v>27482</v>
      </c>
      <c r="E43">
        <f>Tabla312[[#This Row],[RECUPERO]]/VLOOKUP(Tabla312[[#This Row],[SUPER]],Tabla413[],2,0)</f>
        <v>0.50892592592592589</v>
      </c>
      <c r="F43" t="str">
        <f>Tabla312[[#This Row],[SUPER]]</f>
        <v>JORDAN</v>
      </c>
      <c r="L43">
        <v>11</v>
      </c>
      <c r="M43" s="1">
        <f t="shared" si="0"/>
        <v>0</v>
      </c>
      <c r="N43" t="str" cm="1">
        <f t="array" ref="N43">IFERROR(_xlfn.IFS(M43&gt;100%,"&gt;100%",AND(M43&lt;100%,M43&gt;70%),"&gt;70%",AND(M43&lt;70%,M43&gt;40%),"&gt;40%",AND(M43&lt;40%,M43&gt;0%),"&gt;0%"),"")</f>
        <v/>
      </c>
      <c r="O43" t="str">
        <f t="shared" si="1"/>
        <v/>
      </c>
    </row>
    <row r="44" spans="1:28" x14ac:dyDescent="0.25">
      <c r="A44" s="26" t="s">
        <v>5</v>
      </c>
      <c r="B44" s="26" t="str">
        <f>TRIM(Tabla312[[#This Row],[ASESOR]])</f>
        <v>GIULIANA QUISPE</v>
      </c>
      <c r="C44" s="26" t="s">
        <v>71</v>
      </c>
      <c r="D44" s="26">
        <v>21644</v>
      </c>
      <c r="E44">
        <f>Tabla312[[#This Row],[RECUPERO]]/VLOOKUP(Tabla312[[#This Row],[SUPER]],Tabla413[],2,0)</f>
        <v>0.40081481481481479</v>
      </c>
      <c r="F44" t="str">
        <f>Tabla312[[#This Row],[SUPER]]</f>
        <v>JORDAN</v>
      </c>
      <c r="L44">
        <v>12</v>
      </c>
      <c r="M44" s="1">
        <f t="shared" si="0"/>
        <v>0</v>
      </c>
      <c r="N44" t="str" cm="1">
        <f t="array" ref="N44">IFERROR(_xlfn.IFS(M44&gt;100%,"&gt;100%",AND(M44&lt;100%,M44&gt;70%),"&gt;70%",AND(M44&lt;70%,M44&gt;40%),"&gt;40%",AND(M44&lt;40%,M44&gt;0%),"&gt;0%"),"")</f>
        <v/>
      </c>
      <c r="O44" t="str">
        <f t="shared" si="1"/>
        <v/>
      </c>
    </row>
    <row r="45" spans="1:28" x14ac:dyDescent="0.25">
      <c r="A45" s="26" t="s">
        <v>5</v>
      </c>
      <c r="B45" s="26" t="str">
        <f>TRIM(Tabla312[[#This Row],[ASESOR]])</f>
        <v>ERIKA VILLAR</v>
      </c>
      <c r="C45" s="26" t="s">
        <v>72</v>
      </c>
      <c r="D45" s="26">
        <v>13131.57</v>
      </c>
      <c r="E45">
        <f>Tabla312[[#This Row],[RECUPERO]]/VLOOKUP(Tabla312[[#This Row],[SUPER]],Tabla413[],2,0)</f>
        <v>0.24317722222222221</v>
      </c>
      <c r="F45" t="str">
        <f>Tabla312[[#This Row],[SUPER]]</f>
        <v>JORDAN</v>
      </c>
      <c r="L45">
        <v>1</v>
      </c>
      <c r="M45" s="1">
        <f t="shared" si="0"/>
        <v>0.72839814814814818</v>
      </c>
      <c r="N45" t="str" cm="1">
        <f t="array" ref="N45">IFERROR(_xlfn.IFS(M45&gt;100%,"&gt;100%",AND(M45&lt;100%,M45&gt;70%),"&gt;70%",AND(M45&lt;70%,M45&gt;40%),"&gt;40%",AND(M45&lt;40%,M45&gt;0%),"&gt;0%"),"")</f>
        <v>&gt;70%</v>
      </c>
      <c r="O45" t="str">
        <f t="shared" si="1"/>
        <v>ANTHONY TORRES</v>
      </c>
    </row>
    <row r="46" spans="1:28" x14ac:dyDescent="0.25">
      <c r="A46" s="26" t="s">
        <v>5</v>
      </c>
      <c r="B46" s="26" t="str">
        <f>TRIM(Tabla312[[#This Row],[ASESOR]])</f>
        <v>SARITA GARAY</v>
      </c>
      <c r="C46" s="26" t="s">
        <v>73</v>
      </c>
      <c r="D46" s="26">
        <v>6185</v>
      </c>
      <c r="E46">
        <f>Tabla312[[#This Row],[RECUPERO]]/VLOOKUP(Tabla312[[#This Row],[SUPER]],Tabla413[],2,0)</f>
        <v>0.11453703703703703</v>
      </c>
      <c r="F46" t="str">
        <f>Tabla312[[#This Row],[SUPER]]</f>
        <v>JORDAN</v>
      </c>
      <c r="L46">
        <v>2</v>
      </c>
      <c r="M46" s="1">
        <f t="shared" si="0"/>
        <v>0.68624074074074071</v>
      </c>
      <c r="N46" t="str" cm="1">
        <f t="array" ref="N46">IFERROR(_xlfn.IFS(M46&gt;100%,"&gt;100%",AND(M46&lt;100%,M46&gt;70%),"&gt;70%",AND(M46&lt;70%,M46&gt;40%),"&gt;40%",AND(M46&lt;40%,M46&gt;0%),"&gt;0%"),"")</f>
        <v>&gt;40%</v>
      </c>
      <c r="O46" t="str">
        <f t="shared" si="1"/>
        <v>GILBERTO PURIZACA</v>
      </c>
    </row>
    <row r="47" spans="1:28" x14ac:dyDescent="0.25">
      <c r="A47" s="26" t="s">
        <v>5</v>
      </c>
      <c r="B47" s="26" t="str">
        <f>TRIM(Tabla312[[#This Row],[ASESOR]])</f>
        <v>JESSICA MELGAREJO</v>
      </c>
      <c r="C47" s="26" t="s">
        <v>112</v>
      </c>
      <c r="D47" s="26">
        <v>1671</v>
      </c>
      <c r="E47">
        <f>Tabla312[[#This Row],[RECUPERO]]/VLOOKUP(Tabla312[[#This Row],[SUPER]],Tabla413[],2,0)</f>
        <v>3.0944444444444445E-2</v>
      </c>
      <c r="F47" t="str">
        <f>Tabla312[[#This Row],[SUPER]]</f>
        <v>JORDAN</v>
      </c>
      <c r="L47">
        <v>3</v>
      </c>
      <c r="M47" s="1">
        <f t="shared" si="0"/>
        <v>0.59</v>
      </c>
      <c r="N47" t="str" cm="1">
        <f t="array" ref="N47">IFERROR(_xlfn.IFS(M47&gt;100%,"&gt;100%",AND(M47&lt;100%,M47&gt;70%),"&gt;70%",AND(M47&lt;70%,M47&gt;40%),"&gt;40%",AND(M47&lt;40%,M47&gt;0%),"&gt;0%"),"")</f>
        <v>&gt;40%</v>
      </c>
      <c r="O47" t="str">
        <f t="shared" si="1"/>
        <v>MERLY CORONEL</v>
      </c>
    </row>
    <row r="48" spans="1:28" x14ac:dyDescent="0.25">
      <c r="A48" s="26" t="s">
        <v>5</v>
      </c>
      <c r="B48" s="26" t="str">
        <f>TRIM(Tabla312[[#This Row],[ASESOR]])</f>
        <v/>
      </c>
      <c r="C48" s="26" t="s">
        <v>131</v>
      </c>
      <c r="D48" s="26"/>
      <c r="E48">
        <f>Tabla312[[#This Row],[RECUPERO]]/VLOOKUP(Tabla312[[#This Row],[SUPER]],Tabla413[],2,0)</f>
        <v>0</v>
      </c>
      <c r="F48" t="str">
        <f>Tabla312[[#This Row],[SUPER]]</f>
        <v>JORDAN</v>
      </c>
      <c r="L48">
        <v>4</v>
      </c>
      <c r="M48" s="1">
        <f t="shared" si="0"/>
        <v>0.5502407407407407</v>
      </c>
      <c r="N48" t="str" cm="1">
        <f t="array" ref="N48">IFERROR(_xlfn.IFS(M48&gt;100%,"&gt;100%",AND(M48&lt;100%,M48&gt;70%),"&gt;70%",AND(M48&lt;70%,M48&gt;40%),"&gt;40%",AND(M48&lt;40%,M48&gt;0%),"&gt;0%"),"")</f>
        <v>&gt;40%</v>
      </c>
      <c r="O48" t="str">
        <f t="shared" si="1"/>
        <v>AURORA FAUSTOR</v>
      </c>
    </row>
    <row r="49" spans="1:15" x14ac:dyDescent="0.25">
      <c r="A49" s="26" t="s">
        <v>5</v>
      </c>
      <c r="B49" s="26" t="str">
        <f>TRIM(Tabla312[[#This Row],[ASESOR]])</f>
        <v/>
      </c>
      <c r="C49" s="26" t="s">
        <v>131</v>
      </c>
      <c r="D49" s="26"/>
      <c r="E49">
        <f>Tabla312[[#This Row],[RECUPERO]]/VLOOKUP(Tabla312[[#This Row],[SUPER]],Tabla413[],2,0)</f>
        <v>0</v>
      </c>
      <c r="F49" t="str">
        <f>Tabla312[[#This Row],[SUPER]]</f>
        <v>JORDAN</v>
      </c>
      <c r="L49">
        <v>5</v>
      </c>
      <c r="M49" s="1">
        <f t="shared" si="0"/>
        <v>0.50892592592592589</v>
      </c>
      <c r="N49" t="str" cm="1">
        <f t="array" ref="N49">IFERROR(_xlfn.IFS(M49&gt;100%,"&gt;100%",AND(M49&lt;100%,M49&gt;70%),"&gt;70%",AND(M49&lt;70%,M49&gt;40%),"&gt;40%",AND(M49&lt;40%,M49&gt;0%),"&gt;0%"),"")</f>
        <v>&gt;40%</v>
      </c>
      <c r="O49" t="str">
        <f t="shared" si="1"/>
        <v>LUCERO JORDAN</v>
      </c>
    </row>
    <row r="50" spans="1:15" x14ac:dyDescent="0.25">
      <c r="A50" s="26" t="s">
        <v>5</v>
      </c>
      <c r="B50" s="26" t="str">
        <f>TRIM(Tabla312[[#This Row],[ASESOR]])</f>
        <v/>
      </c>
      <c r="C50" s="26" t="s">
        <v>131</v>
      </c>
      <c r="D50" s="26"/>
      <c r="E50">
        <f>Tabla312[[#This Row],[RECUPERO]]/VLOOKUP(Tabla312[[#This Row],[SUPER]],Tabla413[],2,0)</f>
        <v>0</v>
      </c>
      <c r="F50" t="str">
        <f>Tabla312[[#This Row],[SUPER]]</f>
        <v>JORDAN</v>
      </c>
      <c r="L50">
        <v>6</v>
      </c>
      <c r="M50" s="1">
        <f t="shared" si="0"/>
        <v>0.40081481481481479</v>
      </c>
      <c r="N50" t="str" cm="1">
        <f t="array" ref="N50">IFERROR(_xlfn.IFS(M50&gt;100%,"&gt;100%",AND(M50&lt;100%,M50&gt;70%),"&gt;70%",AND(M50&lt;70%,M50&gt;40%),"&gt;40%",AND(M50&lt;40%,M50&gt;0%),"&gt;0%"),"")</f>
        <v>&gt;40%</v>
      </c>
      <c r="O50" t="str">
        <f t="shared" si="1"/>
        <v>GIULIANA QUISPE</v>
      </c>
    </row>
    <row r="51" spans="1:15" x14ac:dyDescent="0.25">
      <c r="A51" s="26" t="s">
        <v>6</v>
      </c>
      <c r="B51" s="26" t="str">
        <f>TRIM(Tabla312[[#This Row],[ASESOR]])</f>
        <v>LUIS CENTENO</v>
      </c>
      <c r="C51" s="26" t="s">
        <v>31</v>
      </c>
      <c r="D51" s="26">
        <v>64790</v>
      </c>
      <c r="E51">
        <f>Tabla312[[#This Row],[RECUPERO]]/VLOOKUP(Tabla312[[#This Row],[SUPER]],Tabla413[],2,0)</f>
        <v>2.4919230769230771</v>
      </c>
      <c r="F51" t="str">
        <f>Tabla312[[#This Row],[SUPER]]</f>
        <v>KENNETH</v>
      </c>
      <c r="L51">
        <v>7</v>
      </c>
      <c r="M51" s="1">
        <f t="shared" si="0"/>
        <v>0.24317722222222221</v>
      </c>
      <c r="N51" t="str" cm="1">
        <f t="array" ref="N51">IFERROR(_xlfn.IFS(M51&gt;100%,"&gt;100%",AND(M51&lt;100%,M51&gt;70%),"&gt;70%",AND(M51&lt;70%,M51&gt;40%),"&gt;40%",AND(M51&lt;40%,M51&gt;0%),"&gt;0%"),"")</f>
        <v>&gt;0%</v>
      </c>
      <c r="O51" t="str">
        <f t="shared" si="1"/>
        <v>ERIKA VILLAR</v>
      </c>
    </row>
    <row r="52" spans="1:15" x14ac:dyDescent="0.25">
      <c r="A52" s="26" t="s">
        <v>6</v>
      </c>
      <c r="B52" s="26" t="str">
        <f>TRIM(Tabla312[[#This Row],[ASESOR]])</f>
        <v>STWUAR MACURI</v>
      </c>
      <c r="C52" s="26" t="s">
        <v>34</v>
      </c>
      <c r="D52" s="26">
        <v>48660.54</v>
      </c>
      <c r="E52">
        <f>Tabla312[[#This Row],[RECUPERO]]/VLOOKUP(Tabla312[[#This Row],[SUPER]],Tabla413[],2,0)</f>
        <v>1.8715592307692308</v>
      </c>
      <c r="F52" t="str">
        <f>Tabla312[[#This Row],[SUPER]]</f>
        <v>KENNETH</v>
      </c>
      <c r="L52">
        <v>8</v>
      </c>
      <c r="M52" s="1">
        <f t="shared" si="0"/>
        <v>0.11453703703703703</v>
      </c>
      <c r="N52" t="str" cm="1">
        <f t="array" ref="N52">IFERROR(_xlfn.IFS(M52&gt;100%,"&gt;100%",AND(M52&lt;100%,M52&gt;70%),"&gt;70%",AND(M52&lt;70%,M52&gt;40%),"&gt;40%",AND(M52&lt;40%,M52&gt;0%),"&gt;0%"),"")</f>
        <v>&gt;0%</v>
      </c>
      <c r="O52" t="str">
        <f t="shared" si="1"/>
        <v>SARITA GARAY</v>
      </c>
    </row>
    <row r="53" spans="1:15" x14ac:dyDescent="0.25">
      <c r="A53" s="26" t="s">
        <v>6</v>
      </c>
      <c r="B53" s="26" t="str">
        <f>TRIM(Tabla312[[#This Row],[ASESOR]])</f>
        <v>JIMENA MEDINA</v>
      </c>
      <c r="C53" s="26" t="s">
        <v>37</v>
      </c>
      <c r="D53" s="26">
        <v>44110</v>
      </c>
      <c r="E53">
        <f>Tabla312[[#This Row],[RECUPERO]]/VLOOKUP(Tabla312[[#This Row],[SUPER]],Tabla413[],2,0)</f>
        <v>1.6965384615384616</v>
      </c>
      <c r="F53" t="str">
        <f>Tabla312[[#This Row],[SUPER]]</f>
        <v>KENNETH</v>
      </c>
      <c r="L53">
        <v>9</v>
      </c>
      <c r="M53" s="1">
        <f t="shared" si="0"/>
        <v>3.0944444444444445E-2</v>
      </c>
      <c r="N53" t="str" cm="1">
        <f t="array" ref="N53">IFERROR(_xlfn.IFS(M53&gt;100%,"&gt;100%",AND(M53&lt;100%,M53&gt;70%),"&gt;70%",AND(M53&lt;70%,M53&gt;40%),"&gt;40%",AND(M53&lt;40%,M53&gt;0%),"&gt;0%"),"")</f>
        <v>&gt;0%</v>
      </c>
      <c r="O53" t="str">
        <f t="shared" si="1"/>
        <v>JESSICA MELGAREJO</v>
      </c>
    </row>
    <row r="54" spans="1:15" x14ac:dyDescent="0.25">
      <c r="A54" s="26" t="s">
        <v>6</v>
      </c>
      <c r="B54" s="26" t="str">
        <f>TRIM(Tabla312[[#This Row],[ASESOR]])</f>
        <v>JUAN LOZA</v>
      </c>
      <c r="C54" s="26" t="s">
        <v>35</v>
      </c>
      <c r="D54" s="26">
        <v>30415</v>
      </c>
      <c r="E54">
        <f>Tabla312[[#This Row],[RECUPERO]]/VLOOKUP(Tabla312[[#This Row],[SUPER]],Tabla413[],2,0)</f>
        <v>1.1698076923076923</v>
      </c>
      <c r="F54" t="str">
        <f>Tabla312[[#This Row],[SUPER]]</f>
        <v>KENNETH</v>
      </c>
      <c r="L54">
        <v>10</v>
      </c>
      <c r="M54" s="1">
        <f t="shared" si="0"/>
        <v>0</v>
      </c>
      <c r="N54" t="str" cm="1">
        <f t="array" ref="N54">IFERROR(_xlfn.IFS(M54&gt;100%,"&gt;100%",AND(M54&lt;100%,M54&gt;70%),"&gt;70%",AND(M54&lt;70%,M54&gt;40%),"&gt;40%",AND(M54&lt;40%,M54&gt;0%),"&gt;0%"),"")</f>
        <v/>
      </c>
      <c r="O54" t="str">
        <f t="shared" si="1"/>
        <v/>
      </c>
    </row>
    <row r="55" spans="1:15" x14ac:dyDescent="0.25">
      <c r="A55" s="26" t="s">
        <v>6</v>
      </c>
      <c r="B55" s="26" t="str">
        <f>TRIM(Tabla312[[#This Row],[ASESOR]])</f>
        <v>GIANNINA AGUILAR</v>
      </c>
      <c r="C55" s="26" t="s">
        <v>32</v>
      </c>
      <c r="D55" s="26">
        <v>26171.3</v>
      </c>
      <c r="E55">
        <f>Tabla312[[#This Row],[RECUPERO]]/VLOOKUP(Tabla312[[#This Row],[SUPER]],Tabla413[],2,0)</f>
        <v>1.0065884615384615</v>
      </c>
      <c r="F55" t="str">
        <f>Tabla312[[#This Row],[SUPER]]</f>
        <v>KENNETH</v>
      </c>
      <c r="L55">
        <v>11</v>
      </c>
      <c r="M55" s="1">
        <f t="shared" si="0"/>
        <v>0</v>
      </c>
      <c r="N55" t="str" cm="1">
        <f t="array" ref="N55">IFERROR(_xlfn.IFS(M55&gt;100%,"&gt;100%",AND(M55&lt;100%,M55&gt;70%),"&gt;70%",AND(M55&lt;70%,M55&gt;40%),"&gt;40%",AND(M55&lt;40%,M55&gt;0%),"&gt;0%"),"")</f>
        <v/>
      </c>
      <c r="O55" t="str">
        <f t="shared" si="1"/>
        <v/>
      </c>
    </row>
    <row r="56" spans="1:15" x14ac:dyDescent="0.25">
      <c r="A56" s="26" t="s">
        <v>6</v>
      </c>
      <c r="B56" s="26" t="str">
        <f>TRIM(Tabla312[[#This Row],[ASESOR]])</f>
        <v>DARYL FERREL</v>
      </c>
      <c r="C56" s="26" t="s">
        <v>40</v>
      </c>
      <c r="D56" s="26">
        <v>14624</v>
      </c>
      <c r="E56">
        <f>Tabla312[[#This Row],[RECUPERO]]/VLOOKUP(Tabla312[[#This Row],[SUPER]],Tabla413[],2,0)</f>
        <v>0.56246153846153846</v>
      </c>
      <c r="F56" t="str">
        <f>Tabla312[[#This Row],[SUPER]]</f>
        <v>KENNETH</v>
      </c>
      <c r="L56">
        <v>12</v>
      </c>
      <c r="M56" s="1">
        <f t="shared" si="0"/>
        <v>0</v>
      </c>
      <c r="N56" t="str" cm="1">
        <f t="array" ref="N56">IFERROR(_xlfn.IFS(M56&gt;100%,"&gt;100%",AND(M56&lt;100%,M56&gt;70%),"&gt;70%",AND(M56&lt;70%,M56&gt;40%),"&gt;40%",AND(M56&lt;40%,M56&gt;0%),"&gt;0%"),"")</f>
        <v/>
      </c>
      <c r="O56" t="str">
        <f t="shared" si="1"/>
        <v/>
      </c>
    </row>
    <row r="57" spans="1:15" x14ac:dyDescent="0.25">
      <c r="A57" s="26" t="s">
        <v>6</v>
      </c>
      <c r="B57" s="26" t="str">
        <f>TRIM(Tabla312[[#This Row],[ASESOR]])</f>
        <v>MARIA HUARCAYA</v>
      </c>
      <c r="C57" s="26" t="s">
        <v>38</v>
      </c>
      <c r="D57" s="26">
        <v>13222</v>
      </c>
      <c r="E57">
        <f>Tabla312[[#This Row],[RECUPERO]]/VLOOKUP(Tabla312[[#This Row],[SUPER]],Tabla413[],2,0)</f>
        <v>0.50853846153846149</v>
      </c>
      <c r="F57" t="str">
        <f>Tabla312[[#This Row],[SUPER]]</f>
        <v>KENNETH</v>
      </c>
      <c r="L57">
        <v>1</v>
      </c>
      <c r="M57" s="1">
        <f t="shared" si="0"/>
        <v>2.4919230769230771</v>
      </c>
      <c r="N57" t="str" cm="1">
        <f t="array" ref="N57">IFERROR(_xlfn.IFS(M57&gt;100%,"&gt;100%",AND(M57&lt;100%,M57&gt;70%),"&gt;70%",AND(M57&lt;70%,M57&gt;40%),"&gt;40%",AND(M57&lt;40%,M57&gt;0%),"&gt;0%"),"")</f>
        <v>&gt;100%</v>
      </c>
      <c r="O57" t="str">
        <f t="shared" si="1"/>
        <v>LUIS CENTENO</v>
      </c>
    </row>
    <row r="58" spans="1:15" x14ac:dyDescent="0.25">
      <c r="A58" s="26" t="s">
        <v>6</v>
      </c>
      <c r="B58" s="26" t="str">
        <f>TRIM(Tabla312[[#This Row],[ASESOR]])</f>
        <v>LINDA TUESTA</v>
      </c>
      <c r="C58" s="26" t="s">
        <v>33</v>
      </c>
      <c r="D58" s="26">
        <v>13076</v>
      </c>
      <c r="E58">
        <f>Tabla312[[#This Row],[RECUPERO]]/VLOOKUP(Tabla312[[#This Row],[SUPER]],Tabla413[],2,0)</f>
        <v>0.50292307692307692</v>
      </c>
      <c r="F58" t="str">
        <f>Tabla312[[#This Row],[SUPER]]</f>
        <v>KENNETH</v>
      </c>
      <c r="L58">
        <v>2</v>
      </c>
      <c r="M58" s="1">
        <f t="shared" si="0"/>
        <v>1.8715592307692308</v>
      </c>
      <c r="N58" t="str" cm="1">
        <f t="array" ref="N58">IFERROR(_xlfn.IFS(M58&gt;100%,"&gt;100%",AND(M58&lt;100%,M58&gt;70%),"&gt;70%",AND(M58&lt;70%,M58&gt;40%),"&gt;40%",AND(M58&lt;40%,M58&gt;0%),"&gt;0%"),"")</f>
        <v>&gt;100%</v>
      </c>
      <c r="O58" t="str">
        <f t="shared" si="1"/>
        <v>STWUAR MACURI</v>
      </c>
    </row>
    <row r="59" spans="1:15" x14ac:dyDescent="0.25">
      <c r="A59" s="26" t="s">
        <v>6</v>
      </c>
      <c r="B59" s="26" t="str">
        <f>TRIM(Tabla312[[#This Row],[ASESOR]])</f>
        <v>YENNY INGA</v>
      </c>
      <c r="C59" s="26" t="s">
        <v>39</v>
      </c>
      <c r="D59" s="26">
        <v>11449</v>
      </c>
      <c r="E59">
        <f>Tabla312[[#This Row],[RECUPERO]]/VLOOKUP(Tabla312[[#This Row],[SUPER]],Tabla413[],2,0)</f>
        <v>0.44034615384615383</v>
      </c>
      <c r="F59" t="str">
        <f>Tabla312[[#This Row],[SUPER]]</f>
        <v>KENNETH</v>
      </c>
      <c r="L59">
        <v>3</v>
      </c>
      <c r="M59" s="1">
        <f t="shared" si="0"/>
        <v>1.6965384615384616</v>
      </c>
      <c r="N59" t="str" cm="1">
        <f t="array" ref="N59">IFERROR(_xlfn.IFS(M59&gt;100%,"&gt;100%",AND(M59&lt;100%,M59&gt;70%),"&gt;70%",AND(M59&lt;70%,M59&gt;40%),"&gt;40%",AND(M59&lt;40%,M59&gt;0%),"&gt;0%"),"")</f>
        <v>&gt;100%</v>
      </c>
      <c r="O59" t="str">
        <f t="shared" si="1"/>
        <v>JIMENA MEDINA</v>
      </c>
    </row>
    <row r="60" spans="1:15" x14ac:dyDescent="0.25">
      <c r="A60" s="26" t="s">
        <v>6</v>
      </c>
      <c r="B60" s="26" t="str">
        <f>TRIM(Tabla312[[#This Row],[ASESOR]])</f>
        <v>MEDALITH NESTARES</v>
      </c>
      <c r="C60" s="26" t="s">
        <v>36</v>
      </c>
      <c r="D60" s="26">
        <v>9246</v>
      </c>
      <c r="E60">
        <f>Tabla312[[#This Row],[RECUPERO]]/VLOOKUP(Tabla312[[#This Row],[SUPER]],Tabla413[],2,0)</f>
        <v>0.35561538461538461</v>
      </c>
      <c r="F60" t="str">
        <f>Tabla312[[#This Row],[SUPER]]</f>
        <v>KENNETH</v>
      </c>
      <c r="L60">
        <v>4</v>
      </c>
      <c r="M60" s="1">
        <f t="shared" si="0"/>
        <v>1.1698076923076923</v>
      </c>
      <c r="N60" t="str" cm="1">
        <f t="array" ref="N60">IFERROR(_xlfn.IFS(M60&gt;100%,"&gt;100%",AND(M60&lt;100%,M60&gt;70%),"&gt;70%",AND(M60&lt;70%,M60&gt;40%),"&gt;40%",AND(M60&lt;40%,M60&gt;0%),"&gt;0%"),"")</f>
        <v>&gt;100%</v>
      </c>
      <c r="O60" t="str">
        <f t="shared" si="1"/>
        <v>JUAN LOZA</v>
      </c>
    </row>
    <row r="61" spans="1:15" x14ac:dyDescent="0.25">
      <c r="A61" s="26" t="s">
        <v>6</v>
      </c>
      <c r="B61" s="26" t="str">
        <f>TRIM(Tabla312[[#This Row],[ASESOR]])</f>
        <v>LUPITA HIDALGO</v>
      </c>
      <c r="C61" s="26" t="s">
        <v>115</v>
      </c>
      <c r="D61" s="26">
        <v>285</v>
      </c>
      <c r="E61">
        <f>Tabla312[[#This Row],[RECUPERO]]/VLOOKUP(Tabla312[[#This Row],[SUPER]],Tabla413[],2,0)</f>
        <v>1.0961538461538462E-2</v>
      </c>
      <c r="F61" t="str">
        <f>Tabla312[[#This Row],[SUPER]]</f>
        <v>KENNETH</v>
      </c>
      <c r="L61">
        <v>5</v>
      </c>
      <c r="M61" s="1">
        <f t="shared" si="0"/>
        <v>1.0065884615384615</v>
      </c>
      <c r="N61" t="str" cm="1">
        <f t="array" ref="N61">IFERROR(_xlfn.IFS(M61&gt;100%,"&gt;100%",AND(M61&lt;100%,M61&gt;70%),"&gt;70%",AND(M61&lt;70%,M61&gt;40%),"&gt;40%",AND(M61&lt;40%,M61&gt;0%),"&gt;0%"),"")</f>
        <v>&gt;100%</v>
      </c>
      <c r="O61" t="str">
        <f t="shared" si="1"/>
        <v>GIANNINA AGUILAR</v>
      </c>
    </row>
    <row r="62" spans="1:15" x14ac:dyDescent="0.25">
      <c r="A62" s="26" t="s">
        <v>6</v>
      </c>
      <c r="B62" s="26" t="str">
        <f>TRIM(Tabla312[[#This Row],[ASESOR]])</f>
        <v/>
      </c>
      <c r="C62" s="26" t="s">
        <v>131</v>
      </c>
      <c r="D62" s="26"/>
      <c r="E62">
        <f>Tabla312[[#This Row],[RECUPERO]]/VLOOKUP(Tabla312[[#This Row],[SUPER]],Tabla413[],2,0)</f>
        <v>0</v>
      </c>
      <c r="F62" t="str">
        <f>Tabla312[[#This Row],[SUPER]]</f>
        <v>KENNETH</v>
      </c>
      <c r="L62">
        <v>6</v>
      </c>
      <c r="M62" s="1">
        <f t="shared" si="0"/>
        <v>0.56246153846153846</v>
      </c>
      <c r="N62" t="str" cm="1">
        <f t="array" ref="N62">IFERROR(_xlfn.IFS(M62&gt;100%,"&gt;100%",AND(M62&lt;100%,M62&gt;70%),"&gt;70%",AND(M62&lt;70%,M62&gt;40%),"&gt;40%",AND(M62&lt;40%,M62&gt;0%),"&gt;0%"),"")</f>
        <v>&gt;40%</v>
      </c>
      <c r="O62" t="str">
        <f t="shared" si="1"/>
        <v>DARYL FERREL</v>
      </c>
    </row>
    <row r="63" spans="1:15" x14ac:dyDescent="0.25">
      <c r="A63" s="26" t="s">
        <v>7</v>
      </c>
      <c r="B63" s="26" t="str">
        <f>TRIM(Tabla312[[#This Row],[ASESOR]])</f>
        <v>CARMEN PUMA</v>
      </c>
      <c r="C63" s="26" t="s">
        <v>19</v>
      </c>
      <c r="D63" s="26">
        <v>18950</v>
      </c>
      <c r="E63">
        <f>Tabla312[[#This Row],[RECUPERO]]/VLOOKUP(Tabla312[[#This Row],[SUPER]],Tabla413[],2,0)</f>
        <v>1.2225806451612904</v>
      </c>
      <c r="F63" t="str">
        <f>Tabla312[[#This Row],[SUPER]]</f>
        <v>LEONOR</v>
      </c>
      <c r="L63">
        <v>7</v>
      </c>
      <c r="M63" s="1">
        <f t="shared" si="0"/>
        <v>0.50853846153846149</v>
      </c>
      <c r="N63" t="str" cm="1">
        <f t="array" ref="N63">IFERROR(_xlfn.IFS(M63&gt;100%,"&gt;100%",AND(M63&lt;100%,M63&gt;70%),"&gt;70%",AND(M63&lt;70%,M63&gt;40%),"&gt;40%",AND(M63&lt;40%,M63&gt;0%),"&gt;0%"),"")</f>
        <v>&gt;40%</v>
      </c>
      <c r="O63" t="str">
        <f t="shared" si="1"/>
        <v>MARIA HUARCAYA</v>
      </c>
    </row>
    <row r="64" spans="1:15" x14ac:dyDescent="0.25">
      <c r="A64" s="26" t="s">
        <v>7</v>
      </c>
      <c r="B64" s="26" t="str">
        <f>TRIM(Tabla312[[#This Row],[ASESOR]])</f>
        <v>ALEIDITH GUEVARA</v>
      </c>
      <c r="C64" s="26" t="s">
        <v>18</v>
      </c>
      <c r="D64" s="26">
        <v>15660</v>
      </c>
      <c r="E64">
        <f>Tabla312[[#This Row],[RECUPERO]]/VLOOKUP(Tabla312[[#This Row],[SUPER]],Tabla413[],2,0)</f>
        <v>1.0103225806451612</v>
      </c>
      <c r="F64" t="str">
        <f>Tabla312[[#This Row],[SUPER]]</f>
        <v>LEONOR</v>
      </c>
      <c r="L64">
        <v>8</v>
      </c>
      <c r="M64" s="1">
        <f t="shared" si="0"/>
        <v>0.50292307692307692</v>
      </c>
      <c r="N64" t="str" cm="1">
        <f t="array" ref="N64">IFERROR(_xlfn.IFS(M64&gt;100%,"&gt;100%",AND(M64&lt;100%,M64&gt;70%),"&gt;70%",AND(M64&lt;70%,M64&gt;40%),"&gt;40%",AND(M64&lt;40%,M64&gt;0%),"&gt;0%"),"")</f>
        <v>&gt;40%</v>
      </c>
      <c r="O64" t="str">
        <f t="shared" si="1"/>
        <v>LINDA TUESTA</v>
      </c>
    </row>
    <row r="65" spans="1:15" x14ac:dyDescent="0.25">
      <c r="A65" s="26" t="s">
        <v>7</v>
      </c>
      <c r="B65" s="26" t="str">
        <f>TRIM(Tabla312[[#This Row],[ASESOR]])</f>
        <v>FRANK PACORA</v>
      </c>
      <c r="C65" s="26" t="s">
        <v>132</v>
      </c>
      <c r="D65" s="26">
        <v>10852</v>
      </c>
      <c r="E65">
        <f>Tabla312[[#This Row],[RECUPERO]]/VLOOKUP(Tabla312[[#This Row],[SUPER]],Tabla413[],2,0)</f>
        <v>0.70012903225806455</v>
      </c>
      <c r="F65" t="str">
        <f>Tabla312[[#This Row],[SUPER]]</f>
        <v>LEONOR</v>
      </c>
      <c r="L65">
        <v>9</v>
      </c>
      <c r="M65" s="1">
        <f t="shared" si="0"/>
        <v>0.44034615384615383</v>
      </c>
      <c r="N65" t="str" cm="1">
        <f t="array" ref="N65">IFERROR(_xlfn.IFS(M65&gt;100%,"&gt;100%",AND(M65&lt;100%,M65&gt;70%),"&gt;70%",AND(M65&lt;70%,M65&gt;40%),"&gt;40%",AND(M65&lt;40%,M65&gt;0%),"&gt;0%"),"")</f>
        <v>&gt;40%</v>
      </c>
      <c r="O65" t="str">
        <f t="shared" si="1"/>
        <v>YENNY INGA</v>
      </c>
    </row>
    <row r="66" spans="1:15" x14ac:dyDescent="0.25">
      <c r="A66" s="26" t="s">
        <v>7</v>
      </c>
      <c r="B66" s="26" t="str">
        <f>TRIM(Tabla312[[#This Row],[ASESOR]])</f>
        <v>ALEJANDRA AVILA</v>
      </c>
      <c r="C66" s="26" t="s">
        <v>21</v>
      </c>
      <c r="D66" s="26">
        <v>6610</v>
      </c>
      <c r="E66">
        <f>Tabla312[[#This Row],[RECUPERO]]/VLOOKUP(Tabla312[[#This Row],[SUPER]],Tabla413[],2,0)</f>
        <v>0.42645161290322581</v>
      </c>
      <c r="F66" t="str">
        <f>Tabla312[[#This Row],[SUPER]]</f>
        <v>LEONOR</v>
      </c>
      <c r="L66">
        <v>10</v>
      </c>
      <c r="M66" s="1">
        <f t="shared" si="0"/>
        <v>0.35561538461538461</v>
      </c>
      <c r="N66" t="str" cm="1">
        <f t="array" ref="N66">IFERROR(_xlfn.IFS(M66&gt;100%,"&gt;100%",AND(M66&lt;100%,M66&gt;70%),"&gt;70%",AND(M66&lt;70%,M66&gt;40%),"&gt;40%",AND(M66&lt;40%,M66&gt;0%),"&gt;0%"),"")</f>
        <v>&gt;0%</v>
      </c>
      <c r="O66" t="str">
        <f t="shared" si="1"/>
        <v>MEDALITH NESTARES</v>
      </c>
    </row>
    <row r="67" spans="1:15" x14ac:dyDescent="0.25">
      <c r="A67" s="26" t="s">
        <v>7</v>
      </c>
      <c r="B67" s="26" t="str">
        <f>TRIM(Tabla312[[#This Row],[ASESOR]])</f>
        <v>MICHAEL TAFUR</v>
      </c>
      <c r="C67" s="26" t="s">
        <v>134</v>
      </c>
      <c r="D67" s="26">
        <v>5420</v>
      </c>
      <c r="E67">
        <f>Tabla312[[#This Row],[RECUPERO]]/VLOOKUP(Tabla312[[#This Row],[SUPER]],Tabla413[],2,0)</f>
        <v>0.3496774193548387</v>
      </c>
      <c r="F67" t="str">
        <f>Tabla312[[#This Row],[SUPER]]</f>
        <v>LEONOR</v>
      </c>
      <c r="L67">
        <v>11</v>
      </c>
      <c r="M67" s="1">
        <f t="shared" si="0"/>
        <v>1.0961538461538462E-2</v>
      </c>
      <c r="N67" t="str" cm="1">
        <f t="array" ref="N67">IFERROR(_xlfn.IFS(M67&gt;100%,"&gt;100%",AND(M67&lt;100%,M67&gt;70%),"&gt;70%",AND(M67&lt;70%,M67&gt;40%),"&gt;40%",AND(M67&lt;40%,M67&gt;0%),"&gt;0%"),"")</f>
        <v>&gt;0%</v>
      </c>
      <c r="O67" t="str">
        <f t="shared" si="1"/>
        <v>LUPITA HIDALGO</v>
      </c>
    </row>
    <row r="68" spans="1:15" x14ac:dyDescent="0.25">
      <c r="A68" s="26" t="s">
        <v>7</v>
      </c>
      <c r="B68" s="26" t="str">
        <f>TRIM(Tabla312[[#This Row],[ASESOR]])</f>
        <v>ROCIO TERRONES</v>
      </c>
      <c r="C68" s="26" t="s">
        <v>128</v>
      </c>
      <c r="D68" s="26">
        <v>4341</v>
      </c>
      <c r="E68">
        <f>Tabla312[[#This Row],[RECUPERO]]/VLOOKUP(Tabla312[[#This Row],[SUPER]],Tabla413[],2,0)</f>
        <v>0.28006451612903227</v>
      </c>
      <c r="F68" t="str">
        <f>Tabla312[[#This Row],[SUPER]]</f>
        <v>LEONOR</v>
      </c>
      <c r="L68">
        <v>12</v>
      </c>
      <c r="M68" s="1">
        <f t="shared" si="0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1"/>
        <v/>
      </c>
    </row>
    <row r="69" spans="1:15" x14ac:dyDescent="0.25">
      <c r="A69" s="26" t="s">
        <v>7</v>
      </c>
      <c r="B69" s="26" t="str">
        <f>TRIM(Tabla312[[#This Row],[ASESOR]])</f>
        <v>JHOVANA TORRES</v>
      </c>
      <c r="C69" s="26" t="s">
        <v>20</v>
      </c>
      <c r="D69" s="26">
        <v>4160</v>
      </c>
      <c r="E69">
        <f>Tabla312[[#This Row],[RECUPERO]]/VLOOKUP(Tabla312[[#This Row],[SUPER]],Tabla413[],2,0)</f>
        <v>0.26838709677419353</v>
      </c>
      <c r="F69" t="str">
        <f>Tabla312[[#This Row],[SUPER]]</f>
        <v>LEONOR</v>
      </c>
      <c r="L69">
        <v>1</v>
      </c>
      <c r="M69" s="1">
        <f t="shared" si="0"/>
        <v>1.2225806451612904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1"/>
        <v>CARMEN PUMA</v>
      </c>
    </row>
    <row r="70" spans="1:15" x14ac:dyDescent="0.25">
      <c r="A70" s="26" t="s">
        <v>7</v>
      </c>
      <c r="B70" s="26" t="str">
        <f>TRIM(Tabla312[[#This Row],[ASESOR]])</f>
        <v>MARCOS SARMIENTO</v>
      </c>
      <c r="C70" s="26" t="s">
        <v>130</v>
      </c>
      <c r="D70" s="26">
        <v>2830</v>
      </c>
      <c r="E70">
        <f>Tabla312[[#This Row],[RECUPERO]]/VLOOKUP(Tabla312[[#This Row],[SUPER]],Tabla413[],2,0)</f>
        <v>0.18258064516129033</v>
      </c>
      <c r="F70" t="str">
        <f>Tabla312[[#This Row],[SUPER]]</f>
        <v>LEONOR</v>
      </c>
      <c r="L70">
        <v>2</v>
      </c>
      <c r="M70" s="1">
        <f t="shared" si="0"/>
        <v>1.0103225806451612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1"/>
        <v>ALEIDITH GUEVARA</v>
      </c>
    </row>
    <row r="71" spans="1:15" x14ac:dyDescent="0.25">
      <c r="A71" s="26" t="s">
        <v>7</v>
      </c>
      <c r="B71" s="26" t="str">
        <f>TRIM(Tabla312[[#This Row],[ASESOR]])</f>
        <v>JOANA GIL</v>
      </c>
      <c r="C71" s="26" t="s">
        <v>133</v>
      </c>
      <c r="D71" s="26">
        <v>1170</v>
      </c>
      <c r="E71">
        <f>Tabla312[[#This Row],[RECUPERO]]/VLOOKUP(Tabla312[[#This Row],[SUPER]],Tabla413[],2,0)</f>
        <v>7.5483870967741937E-2</v>
      </c>
      <c r="F71" t="str">
        <f>Tabla312[[#This Row],[SUPER]]</f>
        <v>LEONOR</v>
      </c>
      <c r="L71">
        <v>3</v>
      </c>
      <c r="M71" s="1">
        <f t="shared" si="0"/>
        <v>0.70012903225806455</v>
      </c>
      <c r="N71" t="str" cm="1">
        <f t="array" ref="N71">IFERROR(_xlfn.IFS(M71&gt;100%,"&gt;100%",AND(M71&lt;100%,M71&gt;70%),"&gt;70%",AND(M71&lt;70%,M71&gt;40%),"&gt;40%",AND(M71&lt;40%,M71&gt;0%),"&gt;0%"),"")</f>
        <v>&gt;70%</v>
      </c>
      <c r="O71" t="str">
        <f t="shared" si="1"/>
        <v>FRANK PACORA</v>
      </c>
    </row>
    <row r="72" spans="1:15" x14ac:dyDescent="0.25">
      <c r="A72" s="26" t="s">
        <v>7</v>
      </c>
      <c r="B72" s="26" t="str">
        <f>TRIM(Tabla312[[#This Row],[ASESOR]])</f>
        <v>CARLOS CALAGUA</v>
      </c>
      <c r="C72" s="26" t="s">
        <v>129</v>
      </c>
      <c r="D72" s="26">
        <v>1000</v>
      </c>
      <c r="E72">
        <f>Tabla312[[#This Row],[RECUPERO]]/VLOOKUP(Tabla312[[#This Row],[SUPER]],Tabla413[],2,0)</f>
        <v>6.4516129032258063E-2</v>
      </c>
      <c r="F72" t="str">
        <f>Tabla312[[#This Row],[SUPER]]</f>
        <v>LEONOR</v>
      </c>
      <c r="L72">
        <v>4</v>
      </c>
      <c r="M72" s="1">
        <f t="shared" si="0"/>
        <v>0.42645161290322581</v>
      </c>
      <c r="N72" t="str" cm="1">
        <f t="array" ref="N72">IFERROR(_xlfn.IFS(M72&gt;100%,"&gt;100%",AND(M72&lt;100%,M72&gt;70%),"&gt;70%",AND(M72&lt;70%,M72&gt;40%),"&gt;40%",AND(M72&lt;40%,M72&gt;0%),"&gt;0%"),"")</f>
        <v>&gt;40%</v>
      </c>
      <c r="O72" t="str">
        <f t="shared" si="1"/>
        <v>ALEJANDRA AVILA</v>
      </c>
    </row>
    <row r="73" spans="1:15" x14ac:dyDescent="0.25">
      <c r="A73" s="26" t="s">
        <v>7</v>
      </c>
      <c r="B73" s="26" t="str">
        <f>TRIM(Tabla312[[#This Row],[ASESOR]])</f>
        <v/>
      </c>
      <c r="C73" s="26" t="s">
        <v>131</v>
      </c>
      <c r="D73" s="26"/>
      <c r="E73">
        <f>Tabla312[[#This Row],[RECUPERO]]/VLOOKUP(Tabla312[[#This Row],[SUPER]],Tabla413[],2,0)</f>
        <v>0</v>
      </c>
      <c r="F73" t="str">
        <f>Tabla312[[#This Row],[SUPER]]</f>
        <v>LEONOR</v>
      </c>
      <c r="L73">
        <v>5</v>
      </c>
      <c r="M73" s="1">
        <f t="shared" si="0"/>
        <v>0.3496774193548387</v>
      </c>
      <c r="N73" t="str" cm="1">
        <f t="array" ref="N73">IFERROR(_xlfn.IFS(M73&gt;100%,"&gt;100%",AND(M73&lt;100%,M73&gt;70%),"&gt;70%",AND(M73&lt;70%,M73&gt;40%),"&gt;40%",AND(M73&lt;40%,M73&gt;0%),"&gt;0%"),"")</f>
        <v>&gt;0%</v>
      </c>
      <c r="O73" t="str">
        <f t="shared" si="1"/>
        <v>MICHAEL TAFUR</v>
      </c>
    </row>
    <row r="74" spans="1:15" x14ac:dyDescent="0.25">
      <c r="A74" s="26" t="s">
        <v>7</v>
      </c>
      <c r="B74" s="26" t="str">
        <f>TRIM(Tabla312[[#This Row],[ASESOR]])</f>
        <v/>
      </c>
      <c r="C74" s="26" t="s">
        <v>131</v>
      </c>
      <c r="D74" s="26"/>
      <c r="E74">
        <f>Tabla312[[#This Row],[RECUPERO]]/VLOOKUP(Tabla312[[#This Row],[SUPER]],Tabla413[],2,0)</f>
        <v>0</v>
      </c>
      <c r="F74" t="str">
        <f>Tabla312[[#This Row],[SUPER]]</f>
        <v>LEONOR</v>
      </c>
      <c r="L74">
        <v>6</v>
      </c>
      <c r="M74" s="1">
        <f t="shared" ref="M74:M104" si="2">E68</f>
        <v>0.28006451612903227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ref="O74:O104" si="3">B68</f>
        <v>ROCIO TERRONES</v>
      </c>
    </row>
    <row r="75" spans="1:15" x14ac:dyDescent="0.25">
      <c r="A75" s="26" t="s">
        <v>8</v>
      </c>
      <c r="B75" s="26" t="str">
        <f>TRIM(Tabla312[[#This Row],[ASESOR]])</f>
        <v>HAROLD FLORES</v>
      </c>
      <c r="C75" s="26" t="s">
        <v>42</v>
      </c>
      <c r="D75" s="35">
        <v>13848</v>
      </c>
      <c r="E75">
        <f>Tabla312[[#This Row],[RECUPERO]]/VLOOKUP(Tabla312[[#This Row],[SUPER]],Tabla413[],2,0)</f>
        <v>0.86550000000000005</v>
      </c>
      <c r="F75" t="str">
        <f>Tabla312[[#This Row],[SUPER]]</f>
        <v>BRYAN</v>
      </c>
      <c r="L75">
        <v>7</v>
      </c>
      <c r="M75" s="1">
        <f t="shared" si="2"/>
        <v>0.26838709677419353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3"/>
        <v>JHOVANA TORRES</v>
      </c>
    </row>
    <row r="76" spans="1:15" x14ac:dyDescent="0.25">
      <c r="A76" s="26" t="s">
        <v>8</v>
      </c>
      <c r="B76" s="26" t="str">
        <f>TRIM(Tabla312[[#This Row],[ASESOR]])</f>
        <v>GINA HUAMANI</v>
      </c>
      <c r="C76" s="26" t="s">
        <v>44</v>
      </c>
      <c r="D76" s="35">
        <v>13701</v>
      </c>
      <c r="E76">
        <f>Tabla312[[#This Row],[RECUPERO]]/VLOOKUP(Tabla312[[#This Row],[SUPER]],Tabla413[],2,0)</f>
        <v>0.85631250000000003</v>
      </c>
      <c r="F76" t="str">
        <f>Tabla312[[#This Row],[SUPER]]</f>
        <v>BRYAN</v>
      </c>
      <c r="L76">
        <v>8</v>
      </c>
      <c r="M76" s="1">
        <f t="shared" si="2"/>
        <v>0.18258064516129033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3"/>
        <v>MARCOS SARMIENTO</v>
      </c>
    </row>
    <row r="77" spans="1:15" x14ac:dyDescent="0.25">
      <c r="A77" s="26" t="s">
        <v>8</v>
      </c>
      <c r="B77" s="26" t="str">
        <f>TRIM(Tabla312[[#This Row],[ASESOR]])</f>
        <v>CHRISTIAN ALVARADO</v>
      </c>
      <c r="C77" s="26" t="s">
        <v>41</v>
      </c>
      <c r="D77" s="35">
        <v>13617</v>
      </c>
      <c r="E77">
        <f>Tabla312[[#This Row],[RECUPERO]]/VLOOKUP(Tabla312[[#This Row],[SUPER]],Tabla413[],2,0)</f>
        <v>0.85106250000000006</v>
      </c>
      <c r="F77" t="str">
        <f>Tabla312[[#This Row],[SUPER]]</f>
        <v>BRYAN</v>
      </c>
      <c r="L77">
        <v>9</v>
      </c>
      <c r="M77" s="1">
        <f t="shared" si="2"/>
        <v>7.5483870967741937E-2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3"/>
        <v>JOANA GIL</v>
      </c>
    </row>
    <row r="78" spans="1:15" x14ac:dyDescent="0.25">
      <c r="A78" s="26" t="s">
        <v>8</v>
      </c>
      <c r="B78" s="26" t="str">
        <f>TRIM(Tabla312[[#This Row],[ASESOR]])</f>
        <v>KATYUSCA LEVANO</v>
      </c>
      <c r="C78" s="26" t="s">
        <v>46</v>
      </c>
      <c r="D78" s="35">
        <v>12611</v>
      </c>
      <c r="E78">
        <f>Tabla312[[#This Row],[RECUPERO]]/VLOOKUP(Tabla312[[#This Row],[SUPER]],Tabla413[],2,0)</f>
        <v>0.78818750000000004</v>
      </c>
      <c r="F78" t="str">
        <f>Tabla312[[#This Row],[SUPER]]</f>
        <v>BRYAN</v>
      </c>
      <c r="L78">
        <v>10</v>
      </c>
      <c r="M78" s="1">
        <f t="shared" si="2"/>
        <v>6.4516129032258063E-2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3"/>
        <v>CARLOS CALAGUA</v>
      </c>
    </row>
    <row r="79" spans="1:15" x14ac:dyDescent="0.25">
      <c r="A79" s="26" t="s">
        <v>8</v>
      </c>
      <c r="B79" s="26" t="str">
        <f>TRIM(Tabla312[[#This Row],[ASESOR]])</f>
        <v>LYNDA PEREZ</v>
      </c>
      <c r="C79" s="26" t="s">
        <v>43</v>
      </c>
      <c r="D79" s="35">
        <v>11217.26</v>
      </c>
      <c r="E79">
        <f>Tabla312[[#This Row],[RECUPERO]]/VLOOKUP(Tabla312[[#This Row],[SUPER]],Tabla413[],2,0)</f>
        <v>0.70107874999999997</v>
      </c>
      <c r="F79" t="str">
        <f>Tabla312[[#This Row],[SUPER]]</f>
        <v>BRYAN</v>
      </c>
      <c r="L79">
        <v>11</v>
      </c>
      <c r="M79" s="1">
        <f t="shared" si="2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3"/>
        <v/>
      </c>
    </row>
    <row r="80" spans="1:15" x14ac:dyDescent="0.25">
      <c r="A80" s="26" t="s">
        <v>8</v>
      </c>
      <c r="B80" s="26" t="str">
        <f>TRIM(Tabla312[[#This Row],[ASESOR]])</f>
        <v>VERONICA HUARCA</v>
      </c>
      <c r="C80" s="26" t="s">
        <v>48</v>
      </c>
      <c r="D80" s="35">
        <v>10570</v>
      </c>
      <c r="E80">
        <f>Tabla312[[#This Row],[RECUPERO]]/VLOOKUP(Tabla312[[#This Row],[SUPER]],Tabla413[],2,0)</f>
        <v>0.66062500000000002</v>
      </c>
      <c r="F80" t="str">
        <f>Tabla312[[#This Row],[SUPER]]</f>
        <v>BRYAN</v>
      </c>
      <c r="L80">
        <v>12</v>
      </c>
      <c r="M80" s="1">
        <f t="shared" si="2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3"/>
        <v/>
      </c>
    </row>
    <row r="81" spans="1:15" x14ac:dyDescent="0.25">
      <c r="A81" s="26" t="s">
        <v>8</v>
      </c>
      <c r="B81" s="26" t="str">
        <f>TRIM(Tabla312[[#This Row],[ASESOR]])</f>
        <v>KATHLEEN FLORES</v>
      </c>
      <c r="C81" s="26" t="s">
        <v>45</v>
      </c>
      <c r="D81" s="35">
        <v>8982</v>
      </c>
      <c r="E81">
        <f>Tabla312[[#This Row],[RECUPERO]]/VLOOKUP(Tabla312[[#This Row],[SUPER]],Tabla413[],2,0)</f>
        <v>0.56137499999999996</v>
      </c>
      <c r="F81" t="str">
        <f>Tabla312[[#This Row],[SUPER]]</f>
        <v>BRYAN</v>
      </c>
      <c r="L81">
        <v>1</v>
      </c>
      <c r="M81" s="1">
        <f t="shared" si="2"/>
        <v>0.86550000000000005</v>
      </c>
      <c r="N81" t="str" cm="1">
        <f t="array" ref="N81">IFERROR(_xlfn.IFS(M81&gt;100%,"&gt;100%",AND(M81&lt;100%,M81&gt;70%),"&gt;70%",AND(M81&lt;70%,M81&gt;40%),"&gt;40%",AND(M81&lt;40%,M81&gt;0%),"&gt;0%"),"")</f>
        <v>&gt;70%</v>
      </c>
      <c r="O81" t="str">
        <f t="shared" si="3"/>
        <v>HAROLD FLORES</v>
      </c>
    </row>
    <row r="82" spans="1:15" x14ac:dyDescent="0.25">
      <c r="A82" s="26" t="s">
        <v>8</v>
      </c>
      <c r="B82" s="26" t="str">
        <f>TRIM(Tabla312[[#This Row],[ASESOR]])</f>
        <v>NOEMI CHUQUILIN</v>
      </c>
      <c r="C82" s="26" t="s">
        <v>113</v>
      </c>
      <c r="D82" s="35">
        <v>6388</v>
      </c>
      <c r="E82">
        <f>Tabla312[[#This Row],[RECUPERO]]/VLOOKUP(Tabla312[[#This Row],[SUPER]],Tabla413[],2,0)</f>
        <v>0.39924999999999999</v>
      </c>
      <c r="F82" t="str">
        <f>Tabla312[[#This Row],[SUPER]]</f>
        <v>BRYAN</v>
      </c>
      <c r="L82">
        <v>2</v>
      </c>
      <c r="M82" s="1">
        <f t="shared" si="2"/>
        <v>0.85631250000000003</v>
      </c>
      <c r="N82" t="str" cm="1">
        <f t="array" ref="N82">IFERROR(_xlfn.IFS(M82&gt;100%,"&gt;100%",AND(M82&lt;100%,M82&gt;70%),"&gt;70%",AND(M82&lt;70%,M82&gt;40%),"&gt;40%",AND(M82&lt;40%,M82&gt;0%),"&gt;0%"),"")</f>
        <v>&gt;70%</v>
      </c>
      <c r="O82" t="str">
        <f t="shared" si="3"/>
        <v>GINA HUAMANI</v>
      </c>
    </row>
    <row r="83" spans="1:15" x14ac:dyDescent="0.25">
      <c r="A83" s="26" t="s">
        <v>8</v>
      </c>
      <c r="B83" s="26" t="str">
        <f>TRIM(Tabla312[[#This Row],[ASESOR]])</f>
        <v>ANGELO SUAREZ</v>
      </c>
      <c r="C83" s="26" t="s">
        <v>106</v>
      </c>
      <c r="D83" s="35">
        <v>4500</v>
      </c>
      <c r="E83">
        <f>Tabla312[[#This Row],[RECUPERO]]/VLOOKUP(Tabla312[[#This Row],[SUPER]],Tabla413[],2,0)</f>
        <v>0.28125</v>
      </c>
      <c r="F83" t="str">
        <f>Tabla312[[#This Row],[SUPER]]</f>
        <v>BRYAN</v>
      </c>
      <c r="L83">
        <v>3</v>
      </c>
      <c r="M83" s="1">
        <f t="shared" si="2"/>
        <v>0.85106250000000006</v>
      </c>
      <c r="N83" t="str" cm="1">
        <f t="array" ref="N83">IFERROR(_xlfn.IFS(M83&gt;100%,"&gt;100%",AND(M83&lt;100%,M83&gt;70%),"&gt;70%",AND(M83&lt;70%,M83&gt;40%),"&gt;40%",AND(M83&lt;40%,M83&gt;0%),"&gt;0%"),"")</f>
        <v>&gt;70%</v>
      </c>
      <c r="O83" t="str">
        <f t="shared" si="3"/>
        <v>CHRISTIAN ALVARADO</v>
      </c>
    </row>
    <row r="84" spans="1:15" x14ac:dyDescent="0.25">
      <c r="A84" s="26" t="s">
        <v>8</v>
      </c>
      <c r="B84" s="26" t="str">
        <f>TRIM(Tabla312[[#This Row],[ASESOR]])</f>
        <v>JHOHAN CONTRERAS</v>
      </c>
      <c r="C84" s="26" t="s">
        <v>114</v>
      </c>
      <c r="D84" s="35">
        <v>4200</v>
      </c>
      <c r="E84">
        <f>Tabla312[[#This Row],[RECUPERO]]/VLOOKUP(Tabla312[[#This Row],[SUPER]],Tabla413[],2,0)</f>
        <v>0.26250000000000001</v>
      </c>
      <c r="F84" t="str">
        <f>Tabla312[[#This Row],[SUPER]]</f>
        <v>BRYAN</v>
      </c>
      <c r="L84">
        <v>4</v>
      </c>
      <c r="M84" s="1">
        <f t="shared" si="2"/>
        <v>0.78818750000000004</v>
      </c>
      <c r="N84" t="str" cm="1">
        <f t="array" ref="N84">IFERROR(_xlfn.IFS(M84&gt;100%,"&gt;100%",AND(M84&lt;100%,M84&gt;70%),"&gt;70%",AND(M84&lt;70%,M84&gt;40%),"&gt;40%",AND(M84&lt;40%,M84&gt;0%),"&gt;0%"),"")</f>
        <v>&gt;70%</v>
      </c>
      <c r="O84" t="str">
        <f t="shared" si="3"/>
        <v>KATYUSCA LEVANO</v>
      </c>
    </row>
    <row r="85" spans="1:15" x14ac:dyDescent="0.25">
      <c r="A85" s="26" t="s">
        <v>8</v>
      </c>
      <c r="B85" s="26" t="str">
        <f>TRIM(Tabla312[[#This Row],[ASESOR]])</f>
        <v>DARY VICHARRA</v>
      </c>
      <c r="C85" s="26" t="s">
        <v>47</v>
      </c>
      <c r="D85" s="35">
        <v>1298</v>
      </c>
      <c r="E85">
        <f>Tabla312[[#This Row],[RECUPERO]]/VLOOKUP(Tabla312[[#This Row],[SUPER]],Tabla413[],2,0)</f>
        <v>8.1125000000000003E-2</v>
      </c>
      <c r="F85" t="str">
        <f>Tabla312[[#This Row],[SUPER]]</f>
        <v>BRYAN</v>
      </c>
      <c r="L85">
        <v>5</v>
      </c>
      <c r="M85" s="1">
        <f t="shared" si="2"/>
        <v>0.70107874999999997</v>
      </c>
      <c r="N85" t="str" cm="1">
        <f t="array" ref="N85">IFERROR(_xlfn.IFS(M85&gt;100%,"&gt;100%",AND(M85&lt;100%,M85&gt;70%),"&gt;70%",AND(M85&lt;70%,M85&gt;40%),"&gt;40%",AND(M85&lt;40%,M85&gt;0%),"&gt;0%"),"")</f>
        <v>&gt;70%</v>
      </c>
      <c r="O85" t="str">
        <f t="shared" si="3"/>
        <v>LYNDA PEREZ</v>
      </c>
    </row>
    <row r="86" spans="1:15" x14ac:dyDescent="0.25">
      <c r="A86" s="26" t="s">
        <v>8</v>
      </c>
      <c r="B86" s="26" t="str">
        <f>TRIM(Tabla312[[#This Row],[ASESOR]])</f>
        <v/>
      </c>
      <c r="C86" s="26" t="s">
        <v>131</v>
      </c>
      <c r="D86" s="26"/>
      <c r="E86">
        <f>Tabla312[[#This Row],[RECUPERO]]/VLOOKUP(Tabla312[[#This Row],[SUPER]],Tabla413[],2,0)</f>
        <v>0</v>
      </c>
      <c r="F86" t="str">
        <f>Tabla312[[#This Row],[SUPER]]</f>
        <v>BRYAN</v>
      </c>
      <c r="L86">
        <v>6</v>
      </c>
      <c r="M86" s="1">
        <f t="shared" si="2"/>
        <v>0.66062500000000002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3"/>
        <v>VERONICA HUARCA</v>
      </c>
    </row>
    <row r="87" spans="1:15" x14ac:dyDescent="0.25">
      <c r="A87" s="26" t="s">
        <v>9</v>
      </c>
      <c r="B87" s="26" t="str">
        <f>TRIM(Tabla312[[#This Row],[ASESOR]])</f>
        <v>KIARA CANEPA</v>
      </c>
      <c r="C87" s="26" t="s">
        <v>50</v>
      </c>
      <c r="D87" s="26">
        <v>15300.56</v>
      </c>
      <c r="E87">
        <f>Tabla312[[#This Row],[RECUPERO]]/VLOOKUP(Tabla312[[#This Row],[SUPER]],Tabla413[],2,0)</f>
        <v>0.95628499999999994</v>
      </c>
      <c r="F87" t="str">
        <f>Tabla312[[#This Row],[SUPER]]</f>
        <v>LUIS</v>
      </c>
      <c r="L87">
        <v>7</v>
      </c>
      <c r="M87" s="1">
        <f t="shared" si="2"/>
        <v>0.56137499999999996</v>
      </c>
      <c r="N87" t="str" cm="1">
        <f t="array" ref="N87">IFERROR(_xlfn.IFS(M87&gt;100%,"&gt;100%",AND(M87&lt;100%,M87&gt;70%),"&gt;70%",AND(M87&lt;70%,M87&gt;40%),"&gt;40%",AND(M87&lt;40%,M87&gt;0%),"&gt;0%"),"")</f>
        <v>&gt;40%</v>
      </c>
      <c r="O87" t="str">
        <f t="shared" si="3"/>
        <v>KATHLEEN FLORES</v>
      </c>
    </row>
    <row r="88" spans="1:15" x14ac:dyDescent="0.25">
      <c r="A88" s="26" t="s">
        <v>9</v>
      </c>
      <c r="B88" s="26" t="str">
        <f>TRIM(Tabla312[[#This Row],[ASESOR]])</f>
        <v>JANETH PORTOCARRERO</v>
      </c>
      <c r="C88" s="26" t="s">
        <v>49</v>
      </c>
      <c r="D88" s="26">
        <v>12599</v>
      </c>
      <c r="E88">
        <f>Tabla312[[#This Row],[RECUPERO]]/VLOOKUP(Tabla312[[#This Row],[SUPER]],Tabla413[],2,0)</f>
        <v>0.78743750000000001</v>
      </c>
      <c r="F88" t="str">
        <f>Tabla312[[#This Row],[SUPER]]</f>
        <v>LUIS</v>
      </c>
      <c r="L88">
        <v>8</v>
      </c>
      <c r="M88" s="1">
        <f t="shared" si="2"/>
        <v>0.39924999999999999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3"/>
        <v>NOEMI CHUQUILIN</v>
      </c>
    </row>
    <row r="89" spans="1:15" x14ac:dyDescent="0.25">
      <c r="A89" s="26" t="s">
        <v>9</v>
      </c>
      <c r="B89" s="26" t="str">
        <f>TRIM(Tabla312[[#This Row],[ASESOR]])</f>
        <v>GERALDINE ARROYO</v>
      </c>
      <c r="C89" s="26" t="s">
        <v>51</v>
      </c>
      <c r="D89" s="26">
        <v>11674</v>
      </c>
      <c r="E89">
        <f>Tabla312[[#This Row],[RECUPERO]]/VLOOKUP(Tabla312[[#This Row],[SUPER]],Tabla413[],2,0)</f>
        <v>0.72962499999999997</v>
      </c>
      <c r="F89" t="str">
        <f>Tabla312[[#This Row],[SUPER]]</f>
        <v>LUIS</v>
      </c>
      <c r="L89">
        <v>9</v>
      </c>
      <c r="M89" s="1">
        <f t="shared" si="2"/>
        <v>0.28125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3"/>
        <v>ANGELO SUAREZ</v>
      </c>
    </row>
    <row r="90" spans="1:15" x14ac:dyDescent="0.25">
      <c r="A90" s="26" t="s">
        <v>9</v>
      </c>
      <c r="B90" s="26" t="str">
        <f>TRIM(Tabla312[[#This Row],[ASESOR]])</f>
        <v>MARCO QUISPE</v>
      </c>
      <c r="C90" s="26" t="s">
        <v>52</v>
      </c>
      <c r="D90" s="26">
        <v>9850</v>
      </c>
      <c r="E90">
        <f>Tabla312[[#This Row],[RECUPERO]]/VLOOKUP(Tabla312[[#This Row],[SUPER]],Tabla413[],2,0)</f>
        <v>0.61562499999999998</v>
      </c>
      <c r="F90" t="str">
        <f>Tabla312[[#This Row],[SUPER]]</f>
        <v>LUIS</v>
      </c>
      <c r="L90">
        <v>10</v>
      </c>
      <c r="M90" s="1">
        <f t="shared" si="2"/>
        <v>0.26250000000000001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3"/>
        <v>JHOHAN CONTRERAS</v>
      </c>
    </row>
    <row r="91" spans="1:15" x14ac:dyDescent="0.25">
      <c r="A91" s="26" t="s">
        <v>9</v>
      </c>
      <c r="B91" s="26" t="str">
        <f>TRIM(Tabla312[[#This Row],[ASESOR]])</f>
        <v>CHRISTIAN ALBUJAR</v>
      </c>
      <c r="C91" s="26" t="s">
        <v>53</v>
      </c>
      <c r="D91" s="26">
        <v>7399.91</v>
      </c>
      <c r="E91">
        <f>Tabla312[[#This Row],[RECUPERO]]/VLOOKUP(Tabla312[[#This Row],[SUPER]],Tabla413[],2,0)</f>
        <v>0.46249437500000001</v>
      </c>
      <c r="F91" t="str">
        <f>Tabla312[[#This Row],[SUPER]]</f>
        <v>LUIS</v>
      </c>
      <c r="L91">
        <v>11</v>
      </c>
      <c r="M91" s="1">
        <f t="shared" si="2"/>
        <v>8.1125000000000003E-2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3"/>
        <v>DARY VICHARRA</v>
      </c>
    </row>
    <row r="92" spans="1:15" x14ac:dyDescent="0.25">
      <c r="A92" s="26" t="s">
        <v>9</v>
      </c>
      <c r="B92" s="26" t="str">
        <f>TRIM(Tabla312[[#This Row],[ASESOR]])</f>
        <v>MAYRA AVALOS</v>
      </c>
      <c r="C92" s="26" t="s">
        <v>55</v>
      </c>
      <c r="D92" s="26">
        <v>6895</v>
      </c>
      <c r="E92">
        <f>Tabla312[[#This Row],[RECUPERO]]/VLOOKUP(Tabla312[[#This Row],[SUPER]],Tabla413[],2,0)</f>
        <v>0.43093749999999997</v>
      </c>
      <c r="F92" t="str">
        <f>Tabla312[[#This Row],[SUPER]]</f>
        <v>LUIS</v>
      </c>
      <c r="L92">
        <v>12</v>
      </c>
      <c r="M92" s="1">
        <f t="shared" si="2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3"/>
        <v/>
      </c>
    </row>
    <row r="93" spans="1:15" x14ac:dyDescent="0.25">
      <c r="A93" s="26" t="s">
        <v>9</v>
      </c>
      <c r="B93" s="26" t="str">
        <f>TRIM(Tabla312[[#This Row],[ASESOR]])</f>
        <v>ANABEL SIHUE</v>
      </c>
      <c r="C93" s="26" t="s">
        <v>54</v>
      </c>
      <c r="D93" s="26">
        <v>6415.1</v>
      </c>
      <c r="E93">
        <f>Tabla312[[#This Row],[RECUPERO]]/VLOOKUP(Tabla312[[#This Row],[SUPER]],Tabla413[],2,0)</f>
        <v>0.40094375000000004</v>
      </c>
      <c r="F93" t="str">
        <f>Tabla312[[#This Row],[SUPER]]</f>
        <v>LUIS</v>
      </c>
      <c r="L93">
        <v>1</v>
      </c>
      <c r="M93" s="1">
        <f t="shared" si="2"/>
        <v>0.95628499999999994</v>
      </c>
      <c r="N93" t="str" cm="1">
        <f t="array" ref="N93">IFERROR(_xlfn.IFS(M93&gt;100%,"&gt;100%",AND(M93&lt;100%,M93&gt;70%),"&gt;70%",AND(M93&lt;70%,M93&gt;40%),"&gt;40%",AND(M93&lt;40%,M93&gt;0%),"&gt;0%"),"")</f>
        <v>&gt;70%</v>
      </c>
      <c r="O93" t="str">
        <f t="shared" si="3"/>
        <v>KIARA CANEPA</v>
      </c>
    </row>
    <row r="94" spans="1:15" x14ac:dyDescent="0.25">
      <c r="A94" s="26" t="s">
        <v>9</v>
      </c>
      <c r="B94" s="26" t="str">
        <f>TRIM(Tabla312[[#This Row],[ASESOR]])</f>
        <v>LUIS RUIZ</v>
      </c>
      <c r="C94" s="26" t="s">
        <v>118</v>
      </c>
      <c r="D94" s="26">
        <v>4420</v>
      </c>
      <c r="E94">
        <f>Tabla312[[#This Row],[RECUPERO]]/VLOOKUP(Tabla312[[#This Row],[SUPER]],Tabla413[],2,0)</f>
        <v>0.27625</v>
      </c>
      <c r="F94" t="str">
        <f>Tabla312[[#This Row],[SUPER]]</f>
        <v>LUIS</v>
      </c>
      <c r="L94">
        <v>2</v>
      </c>
      <c r="M94" s="1">
        <f t="shared" si="2"/>
        <v>0.78743750000000001</v>
      </c>
      <c r="N94" t="str" cm="1">
        <f t="array" ref="N94">IFERROR(_xlfn.IFS(M94&gt;100%,"&gt;100%",AND(M94&lt;100%,M94&gt;70%),"&gt;70%",AND(M94&lt;70%,M94&gt;40%),"&gt;40%",AND(M94&lt;40%,M94&gt;0%),"&gt;0%"),"")</f>
        <v>&gt;70%</v>
      </c>
      <c r="O94" t="str">
        <f t="shared" si="3"/>
        <v>JANETH PORTOCARRERO</v>
      </c>
    </row>
    <row r="95" spans="1:15" x14ac:dyDescent="0.25">
      <c r="A95" s="26" t="s">
        <v>9</v>
      </c>
      <c r="B95" s="26" t="str">
        <f>TRIM(Tabla312[[#This Row],[ASESOR]])</f>
        <v>YEYMY HUERTA</v>
      </c>
      <c r="C95" s="26" t="s">
        <v>56</v>
      </c>
      <c r="D95" s="26">
        <v>3576</v>
      </c>
      <c r="E95">
        <f>Tabla312[[#This Row],[RECUPERO]]/VLOOKUP(Tabla312[[#This Row],[SUPER]],Tabla413[],2,0)</f>
        <v>0.2235</v>
      </c>
      <c r="F95" t="str">
        <f>Tabla312[[#This Row],[SUPER]]</f>
        <v>LUIS</v>
      </c>
      <c r="L95">
        <v>3</v>
      </c>
      <c r="M95" s="1">
        <f t="shared" si="2"/>
        <v>0.72962499999999997</v>
      </c>
      <c r="N95" t="str" cm="1">
        <f t="array" ref="N95">IFERROR(_xlfn.IFS(M95&gt;100%,"&gt;100%",AND(M95&lt;100%,M95&gt;70%),"&gt;70%",AND(M95&lt;70%,M95&gt;40%),"&gt;40%",AND(M95&lt;40%,M95&gt;0%),"&gt;0%"),"")</f>
        <v>&gt;70%</v>
      </c>
      <c r="O95" t="str">
        <f t="shared" si="3"/>
        <v>GERALDINE ARROYO</v>
      </c>
    </row>
    <row r="96" spans="1:15" x14ac:dyDescent="0.25">
      <c r="A96" s="26" t="s">
        <v>9</v>
      </c>
      <c r="B96" s="26" t="str">
        <f>TRIM(Tabla312[[#This Row],[ASESOR]])</f>
        <v>JAIME TUMIALAN</v>
      </c>
      <c r="C96" s="26" t="s">
        <v>116</v>
      </c>
      <c r="D96" s="26">
        <v>1226</v>
      </c>
      <c r="E96">
        <f>Tabla312[[#This Row],[RECUPERO]]/VLOOKUP(Tabla312[[#This Row],[SUPER]],Tabla413[],2,0)</f>
        <v>7.6624999999999999E-2</v>
      </c>
      <c r="F96" t="str">
        <f>Tabla312[[#This Row],[SUPER]]</f>
        <v>LUIS</v>
      </c>
      <c r="L96">
        <v>4</v>
      </c>
      <c r="M96" s="1">
        <f t="shared" si="2"/>
        <v>0.61562499999999998</v>
      </c>
      <c r="N96" t="str" cm="1">
        <f t="array" ref="N96">IFERROR(_xlfn.IFS(M96&gt;100%,"&gt;100%",AND(M96&lt;100%,M96&gt;70%),"&gt;70%",AND(M96&lt;70%,M96&gt;40%),"&gt;40%",AND(M96&lt;40%,M96&gt;0%),"&gt;0%"),"")</f>
        <v>&gt;40%</v>
      </c>
      <c r="O96" t="str">
        <f t="shared" si="3"/>
        <v>MARCO QUISPE</v>
      </c>
    </row>
    <row r="97" spans="1:15" x14ac:dyDescent="0.25">
      <c r="A97" s="26" t="s">
        <v>9</v>
      </c>
      <c r="B97" s="26" t="str">
        <f>TRIM(Tabla312[[#This Row],[ASESOR]])</f>
        <v/>
      </c>
      <c r="C97" s="26" t="s">
        <v>131</v>
      </c>
      <c r="D97" s="26"/>
      <c r="E97">
        <f>Tabla312[[#This Row],[RECUPERO]]/VLOOKUP(Tabla312[[#This Row],[SUPER]],Tabla413[],2,0)</f>
        <v>0</v>
      </c>
      <c r="F97" t="str">
        <f>Tabla312[[#This Row],[SUPER]]</f>
        <v>LUIS</v>
      </c>
      <c r="L97">
        <v>5</v>
      </c>
      <c r="M97" s="1">
        <f t="shared" si="2"/>
        <v>0.46249437500000001</v>
      </c>
      <c r="N97" t="str" cm="1">
        <f t="array" ref="N97">IFERROR(_xlfn.IFS(M97&gt;100%,"&gt;100%",AND(M97&lt;100%,M97&gt;70%),"&gt;70%",AND(M97&lt;70%,M97&gt;40%),"&gt;40%",AND(M97&lt;40%,M97&gt;0%),"&gt;0%"),"")</f>
        <v>&gt;40%</v>
      </c>
      <c r="O97" t="str">
        <f t="shared" si="3"/>
        <v>CHRISTIAN ALBUJAR</v>
      </c>
    </row>
    <row r="98" spans="1:15" x14ac:dyDescent="0.25">
      <c r="A98" s="26" t="s">
        <v>9</v>
      </c>
      <c r="B98" s="26" t="str">
        <f>TRIM(Tabla312[[#This Row],[ASESOR]])</f>
        <v/>
      </c>
      <c r="C98" s="26" t="s">
        <v>131</v>
      </c>
      <c r="D98" s="26"/>
      <c r="E98">
        <f>Tabla312[[#This Row],[RECUPERO]]/VLOOKUP(Tabla312[[#This Row],[SUPER]],Tabla413[],2,0)</f>
        <v>0</v>
      </c>
      <c r="F98" t="str">
        <f>Tabla312[[#This Row],[SUPER]]</f>
        <v>LUIS</v>
      </c>
      <c r="L98">
        <v>6</v>
      </c>
      <c r="M98" s="1">
        <f t="shared" si="2"/>
        <v>0.43093749999999997</v>
      </c>
      <c r="N98" t="str" cm="1">
        <f t="array" ref="N98">IFERROR(_xlfn.IFS(M98&gt;100%,"&gt;100%",AND(M98&lt;100%,M98&gt;70%),"&gt;70%",AND(M98&lt;70%,M98&gt;40%),"&gt;40%",AND(M98&lt;40%,M98&gt;0%),"&gt;0%"),"")</f>
        <v>&gt;40%</v>
      </c>
      <c r="O98" t="str">
        <f t="shared" si="3"/>
        <v>MAYRA AVALOS</v>
      </c>
    </row>
    <row r="99" spans="1:15" x14ac:dyDescent="0.25">
      <c r="L99">
        <v>7</v>
      </c>
      <c r="M99" s="1">
        <f t="shared" si="2"/>
        <v>0.40094375000000004</v>
      </c>
      <c r="N99" t="str" cm="1">
        <f t="array" ref="N99">IFERROR(_xlfn.IFS(M99&gt;100%,"&gt;100%",AND(M99&lt;100%,M99&gt;70%),"&gt;70%",AND(M99&lt;70%,M99&gt;40%),"&gt;40%",AND(M99&lt;40%,M99&gt;0%),"&gt;0%"),"")</f>
        <v>&gt;40%</v>
      </c>
      <c r="O99" t="str">
        <f t="shared" si="3"/>
        <v>ANABEL SIHUE</v>
      </c>
    </row>
    <row r="100" spans="1:15" x14ac:dyDescent="0.25">
      <c r="L100">
        <v>8</v>
      </c>
      <c r="M100" s="1">
        <f t="shared" si="2"/>
        <v>0.27625</v>
      </c>
      <c r="N100" t="str" cm="1">
        <f t="array" ref="N100">IFERROR(_xlfn.IFS(M100&gt;100%,"&gt;100%",AND(M100&lt;100%,M100&gt;70%),"&gt;70%",AND(M100&lt;70%,M100&gt;40%),"&gt;40%",AND(M100&lt;40%,M100&gt;0%),"&gt;0%"),"")</f>
        <v>&gt;0%</v>
      </c>
      <c r="O100" t="str">
        <f t="shared" si="3"/>
        <v>LUIS RUIZ</v>
      </c>
    </row>
    <row r="101" spans="1:15" x14ac:dyDescent="0.25">
      <c r="L101">
        <v>9</v>
      </c>
      <c r="M101" s="1">
        <f t="shared" si="2"/>
        <v>0.2235</v>
      </c>
      <c r="N101" t="str" cm="1">
        <f t="array" ref="N101">IFERROR(_xlfn.IFS(M101&gt;100%,"&gt;100%",AND(M101&lt;100%,M101&gt;70%),"&gt;70%",AND(M101&lt;70%,M101&gt;40%),"&gt;40%",AND(M101&lt;40%,M101&gt;0%),"&gt;0%"),"")</f>
        <v>&gt;0%</v>
      </c>
      <c r="O101" t="str">
        <f t="shared" si="3"/>
        <v>YEYMY HUERTA</v>
      </c>
    </row>
    <row r="102" spans="1:15" x14ac:dyDescent="0.25">
      <c r="L102">
        <v>10</v>
      </c>
      <c r="M102" s="1">
        <f t="shared" si="2"/>
        <v>7.6624999999999999E-2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3"/>
        <v>JAIME TUMIALAN</v>
      </c>
    </row>
    <row r="103" spans="1:15" x14ac:dyDescent="0.25">
      <c r="L103">
        <v>11</v>
      </c>
      <c r="M103" s="1">
        <f t="shared" si="2"/>
        <v>0</v>
      </c>
      <c r="N103" t="str" cm="1">
        <f t="array" ref="N103">IFERROR(_xlfn.IFS(M103&gt;100%,"&gt;100%",AND(M103&lt;100%,M103&gt;70%),"&gt;70%",AND(M103&lt;70%,M103&gt;40%),"&gt;40%",AND(M103&lt;40%,M103&gt;0%),"&gt;0%"),"")</f>
        <v/>
      </c>
      <c r="O103" t="str">
        <f t="shared" si="3"/>
        <v/>
      </c>
    </row>
    <row r="104" spans="1:15" x14ac:dyDescent="0.25">
      <c r="L104">
        <v>12</v>
      </c>
      <c r="M104" s="1">
        <f t="shared" si="2"/>
        <v>0</v>
      </c>
      <c r="N104" t="str" cm="1">
        <f t="array" ref="N104">IFERROR(_xlfn.IFS(M104&gt;100%,"&gt;100%",AND(M104&lt;100%,M104&gt;70%),"&gt;70%",AND(M104&lt;70%,M104&gt;40%),"&gt;40%",AND(M104&lt;40%,M104&gt;0%),"&gt;0%"),"")</f>
        <v/>
      </c>
      <c r="O104" t="str">
        <f t="shared" si="3"/>
        <v/>
      </c>
    </row>
    <row r="105" spans="1:15" x14ac:dyDescent="0.25">
      <c r="L105" s="22">
        <v>1</v>
      </c>
      <c r="M105" s="23">
        <f>IFERROR(IF(VLOOKUP("&gt;100%",N9:O104,2,0)&lt;&gt;"",0,100.01%),100.01%)</f>
        <v>0</v>
      </c>
      <c r="N105" s="22" t="str" cm="1">
        <f t="array" ref="N105">IFERROR(_xlfn.IFS(M105&gt;100%,"&gt;100%",AND(M105&lt;100%,M105&gt;70%),"&gt;70%",AND(M105&lt;70%,M105&gt;40%),"&gt;40%",AND(M105&lt;40%,M105&gt;0%),"&gt;0%"),"")</f>
        <v/>
      </c>
      <c r="O105" s="22" t="str">
        <f>IF(DATAAGOSTO[[#This Row],[CLASIFICACIÓN]]="","","SIN APLICACIONES")</f>
        <v/>
      </c>
    </row>
    <row r="106" spans="1:15" x14ac:dyDescent="0.25">
      <c r="L106" s="22">
        <v>2</v>
      </c>
      <c r="M106" s="23">
        <f>IFERROR(IF(VLOOKUP("&gt;70%",N9:O104,2,0)&lt;&gt;"",0,70.01%),70.01%)</f>
        <v>0</v>
      </c>
      <c r="N106" s="22" t="str" cm="1">
        <f t="array" ref="N106">IFERROR(_xlfn.IFS(M106&gt;100%,"&gt;100%",AND(M106&lt;100%,M106&gt;70%),"&gt;70%",AND(M106&lt;70%,M106&gt;40%),"&gt;40%",AND(M106&lt;40%,M106&gt;0%),"&gt;0%"),"")</f>
        <v/>
      </c>
      <c r="O106" s="22" t="str">
        <f>IF(DATAAGOSTO[[#This Row],[CLASIFICACIÓN]]="","","SIN APLICACIONES")</f>
        <v/>
      </c>
    </row>
    <row r="107" spans="1:15" x14ac:dyDescent="0.25">
      <c r="L107" s="22">
        <v>3</v>
      </c>
      <c r="M107" s="23">
        <f>IFERROR(IF(VLOOKUP("&gt;40%",N9:O104,2,0)&lt;&gt;"",0,40.01%),40.01%)</f>
        <v>0</v>
      </c>
      <c r="N107" s="22" t="str" cm="1">
        <f t="array" ref="N107">IFERROR(_xlfn.IFS(M107&gt;100%,"&gt;100%",AND(M107&lt;100%,M107&gt;70%),"&gt;70%",AND(M107&lt;70%,M107&gt;40%),"&gt;40%",AND(M107&lt;40%,M107&gt;0%),"&gt;0%"),"")</f>
        <v/>
      </c>
      <c r="O107" s="22" t="str">
        <f>IF(DATAAGOSTO[[#This Row],[CLASIFICACIÓN]]="","","SIN APLICACIONES")</f>
        <v/>
      </c>
    </row>
  </sheetData>
  <sheetProtection formatCells="0" insertColumns="0" insertRows="0" deleteColumns="0" deleteRows="0" sort="0" autoFilter="0" pivotTables="0"/>
  <mergeCells count="5">
    <mergeCell ref="R1:AA3"/>
    <mergeCell ref="R5:S5"/>
    <mergeCell ref="U5:V5"/>
    <mergeCell ref="X5:Y5"/>
    <mergeCell ref="AA5:AB5"/>
  </mergeCells>
  <conditionalFormatting pivot="1" sqref="S8:S1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19">
    <cfRule type="colorScale" priority="8">
      <colorScale>
        <cfvo type="min"/>
        <cfvo type="max"/>
        <color rgb="FFFCFCFF"/>
        <color rgb="FF63BE7B"/>
      </colorScale>
    </cfRule>
  </conditionalFormatting>
  <conditionalFormatting pivot="1" sqref="AB8:AB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26">
    <cfRule type="colorScale" priority="7">
      <colorScale>
        <cfvo type="min"/>
        <cfvo type="max"/>
        <color rgb="FFFCFCFF"/>
        <color rgb="FFFFFF00"/>
      </colorScale>
    </cfRule>
  </conditionalFormatting>
  <conditionalFormatting pivot="1" sqref="Y8:Y28">
    <cfRule type="colorScale" priority="6">
      <colorScale>
        <cfvo type="min"/>
        <cfvo type="max"/>
        <color rgb="FFFCFCFF"/>
        <color rgb="FFFFC000"/>
      </colorScale>
    </cfRule>
  </conditionalFormatting>
  <conditionalFormatting pivot="1" sqref="AB8:AB35">
    <cfRule type="colorScale" priority="4">
      <colorScale>
        <cfvo type="min"/>
        <cfvo type="max"/>
        <color rgb="FFFCFCFF"/>
        <color rgb="FFF8696B"/>
      </colorScale>
    </cfRule>
  </conditionalFormatting>
  <conditionalFormatting sqref="R1:R57">
    <cfRule type="containsText" dxfId="165" priority="1" operator="containsText" text="SIN APLICACIONES">
      <formula>NOT(ISERROR(SEARCH("SIN APLICACIONES",R1)))</formula>
    </cfRule>
  </conditionalFormatting>
  <conditionalFormatting sqref="U1:U57">
    <cfRule type="containsText" dxfId="164" priority="2" operator="containsText" text="SIN APLICACIONES">
      <formula>NOT(ISERROR(SEARCH("SIN APLICACIONES",U1)))</formula>
    </cfRule>
  </conditionalFormatting>
  <conditionalFormatting sqref="X1:X57">
    <cfRule type="containsText" dxfId="163" priority="3" operator="containsText" text="SIN APLICACIONES">
      <formula>NOT(ISERROR(SEARCH("SIN APLICACIONES",X1)))</formula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BC107"/>
  <sheetViews>
    <sheetView topLeftCell="Q1" zoomScale="85" zoomScaleNormal="85" workbookViewId="0">
      <selection activeCell="V19" sqref="V19"/>
    </sheetView>
  </sheetViews>
  <sheetFormatPr baseColWidth="10" defaultRowHeight="15" x14ac:dyDescent="0.25"/>
  <cols>
    <col min="1" max="1" width="10.7109375" hidden="1" customWidth="1"/>
    <col min="2" max="3" width="30.28515625" hidden="1" customWidth="1"/>
    <col min="4" max="4" width="14.5703125" hidden="1" customWidth="1"/>
    <col min="5" max="5" width="14.85546875" hidden="1" customWidth="1"/>
    <col min="6" max="6" width="11.140625" hidden="1" customWidth="1"/>
    <col min="7" max="7" width="12.28515625" hidden="1" customWidth="1"/>
    <col min="8" max="8" width="10.7109375" hidden="1" customWidth="1"/>
    <col min="9" max="9" width="8.140625" hidden="1" customWidth="1"/>
    <col min="10" max="10" width="14.42578125" hidden="1" customWidth="1"/>
    <col min="11" max="11" width="17.140625" hidden="1" customWidth="1"/>
    <col min="12" max="12" width="10" hidden="1" customWidth="1"/>
    <col min="13" max="13" width="12.140625" hidden="1" customWidth="1"/>
    <col min="14" max="14" width="20.140625" hidden="1" customWidth="1"/>
    <col min="15" max="15" width="22.7109375" hidden="1" customWidth="1"/>
    <col min="16" max="16" width="11.42578125" hidden="1" customWidth="1"/>
    <col min="18" max="18" width="22.7109375" bestFit="1" customWidth="1"/>
    <col min="19" max="19" width="12.28515625" bestFit="1" customWidth="1"/>
    <col min="20" max="20" width="12" customWidth="1"/>
    <col min="21" max="21" width="18.42578125" bestFit="1" customWidth="1"/>
    <col min="22" max="22" width="11.7109375" bestFit="1" customWidth="1"/>
    <col min="23" max="23" width="12" customWidth="1"/>
    <col min="24" max="24" width="18.140625" bestFit="1" customWidth="1"/>
    <col min="25" max="25" width="11.7109375" bestFit="1" customWidth="1"/>
    <col min="26" max="26" width="12" customWidth="1"/>
    <col min="27" max="27" width="22.5703125" bestFit="1" customWidth="1"/>
    <col min="28" max="28" width="11.7109375" bestFit="1" customWidth="1"/>
    <col min="29" max="29" width="2.7109375" bestFit="1" customWidth="1"/>
    <col min="31" max="31" width="21.7109375" bestFit="1" customWidth="1"/>
    <col min="32" max="32" width="10.28515625" bestFit="1" customWidth="1"/>
    <col min="33" max="33" width="13.140625" bestFit="1" customWidth="1"/>
    <col min="34" max="34" width="14.140625" bestFit="1" customWidth="1"/>
    <col min="35" max="35" width="15" bestFit="1" customWidth="1"/>
    <col min="36" max="36" width="20.28515625" customWidth="1"/>
    <col min="37" max="37" width="21" bestFit="1" customWidth="1"/>
    <col min="38" max="38" width="10.28515625" bestFit="1" customWidth="1"/>
    <col min="39" max="39" width="12.5703125" bestFit="1" customWidth="1"/>
    <col min="42" max="42" width="26.42578125" bestFit="1" customWidth="1"/>
    <col min="43" max="47" width="12.140625" bestFit="1" customWidth="1"/>
    <col min="48" max="48" width="12.5703125" customWidth="1"/>
    <col min="49" max="49" width="12.140625" bestFit="1" customWidth="1"/>
    <col min="51" max="51" width="26.42578125" bestFit="1" customWidth="1"/>
    <col min="52" max="52" width="12.140625" bestFit="1" customWidth="1"/>
    <col min="53" max="53" width="13.5703125" bestFit="1" customWidth="1"/>
    <col min="54" max="54" width="15.85546875" bestFit="1" customWidth="1"/>
    <col min="55" max="55" width="15.42578125" bestFit="1" customWidth="1"/>
  </cols>
  <sheetData>
    <row r="1" spans="1:55" ht="15" customHeight="1" x14ac:dyDescent="0.25">
      <c r="R1" s="41" t="s">
        <v>122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55" ht="15.75" x14ac:dyDescent="0.25">
      <c r="A2" s="24" t="s">
        <v>110</v>
      </c>
      <c r="B2" s="24" t="s">
        <v>136</v>
      </c>
      <c r="C2" s="24" t="s">
        <v>0</v>
      </c>
      <c r="D2" s="24" t="s">
        <v>111</v>
      </c>
      <c r="E2" s="25" t="s">
        <v>1</v>
      </c>
      <c r="F2" s="24" t="s">
        <v>127</v>
      </c>
      <c r="H2" t="s">
        <v>110</v>
      </c>
      <c r="I2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39" t="str">
        <f>H14</f>
        <v>01/10</v>
      </c>
      <c r="AI2" t="s">
        <v>148</v>
      </c>
    </row>
    <row r="3" spans="1:55" ht="15.75" x14ac:dyDescent="0.25">
      <c r="A3" s="26" t="s">
        <v>3</v>
      </c>
      <c r="B3" s="26" t="str">
        <f>TRIM(DATA_SETIEMBRE[[#This Row],[ASESOR]])</f>
        <v>NOEMI CHUQUILIN</v>
      </c>
      <c r="C3" s="26" t="s">
        <v>113</v>
      </c>
      <c r="D3" s="26">
        <v>4400</v>
      </c>
      <c r="E3">
        <v>0.35952809523809526</v>
      </c>
      <c r="F3" t="str">
        <f>DATA_SETIEMBRE[[#This Row],[SUPER]]</f>
        <v>SANDY</v>
      </c>
      <c r="H3" t="s">
        <v>3</v>
      </c>
      <c r="I3">
        <v>14000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40" t="str">
        <f>H15</f>
        <v>16:32</v>
      </c>
      <c r="AI3" t="s">
        <v>149</v>
      </c>
    </row>
    <row r="4" spans="1:55" x14ac:dyDescent="0.25">
      <c r="A4" s="26" t="s">
        <v>3</v>
      </c>
      <c r="B4" s="26" t="str">
        <f>TRIM(DATA_SETIEMBRE[[#This Row],[ASESOR]])</f>
        <v>GINA HUAMANI</v>
      </c>
      <c r="C4" s="26" t="s">
        <v>44</v>
      </c>
      <c r="D4" s="26">
        <v>3000</v>
      </c>
      <c r="E4">
        <v>0.81679878364389236</v>
      </c>
      <c r="F4" t="str">
        <f>DATA_SETIEMBRE[[#This Row],[SUPER]]</f>
        <v>SANDY</v>
      </c>
      <c r="H4" t="s">
        <v>4</v>
      </c>
      <c r="I4">
        <v>14000</v>
      </c>
    </row>
    <row r="5" spans="1:55" ht="21" x14ac:dyDescent="0.35">
      <c r="A5" s="26" t="s">
        <v>3</v>
      </c>
      <c r="B5" s="26" t="str">
        <f>TRIM(DATA_SETIEMBRE[[#This Row],[ASESOR]])</f>
        <v>VERONICA HUARCA</v>
      </c>
      <c r="C5" s="26" t="s">
        <v>48</v>
      </c>
      <c r="D5" s="26">
        <v>2500</v>
      </c>
      <c r="E5">
        <v>0.45125297619047616</v>
      </c>
      <c r="F5" t="str">
        <f>DATA_SETIEMBRE[[#This Row],[SUPER]]</f>
        <v>SANDY</v>
      </c>
      <c r="H5" t="s">
        <v>2</v>
      </c>
      <c r="I5">
        <v>38000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  <c r="AE5" s="57" t="s">
        <v>124</v>
      </c>
      <c r="AF5" s="58"/>
      <c r="AG5" s="58"/>
      <c r="AH5" s="58"/>
      <c r="AI5" s="58"/>
      <c r="AK5" s="59" t="s">
        <v>150</v>
      </c>
      <c r="AL5" s="59"/>
      <c r="AM5" s="59"/>
      <c r="AP5" s="57" t="s">
        <v>189</v>
      </c>
      <c r="AQ5" s="58"/>
      <c r="AR5" s="58"/>
      <c r="AS5" s="58"/>
      <c r="AT5" s="58"/>
      <c r="AU5" s="58"/>
      <c r="AV5" s="58"/>
      <c r="AW5" s="58"/>
      <c r="AY5" s="57" t="s">
        <v>195</v>
      </c>
      <c r="AZ5" s="58"/>
      <c r="BA5" s="58"/>
      <c r="BB5" s="58"/>
      <c r="BC5" s="58"/>
    </row>
    <row r="6" spans="1:55" x14ac:dyDescent="0.25">
      <c r="A6" s="26" t="s">
        <v>3</v>
      </c>
      <c r="B6" s="26" t="str">
        <f>TRIM(DATA_SETIEMBRE[[#This Row],[ASESOR]])</f>
        <v>GABRIELA APONTE</v>
      </c>
      <c r="C6" s="26" t="s">
        <v>27</v>
      </c>
      <c r="D6" s="26">
        <v>1300</v>
      </c>
      <c r="E6">
        <v>0.30714285714285716</v>
      </c>
      <c r="F6" t="str">
        <f>DATA_SETIEMBRE[[#This Row],[SUPER]]</f>
        <v>SANDY</v>
      </c>
      <c r="H6" t="s">
        <v>5</v>
      </c>
      <c r="I6">
        <v>38000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  <c r="AE6" s="29" t="s">
        <v>0</v>
      </c>
      <c r="AF6" s="30" t="s">
        <v>152</v>
      </c>
      <c r="AG6" s="31" t="s">
        <v>145</v>
      </c>
      <c r="AH6" s="34" t="s">
        <v>123</v>
      </c>
      <c r="AI6" s="34" t="s">
        <v>126</v>
      </c>
      <c r="AK6" s="29" t="s">
        <v>0</v>
      </c>
      <c r="AL6" s="30" t="s">
        <v>145</v>
      </c>
      <c r="AM6" s="29" t="s">
        <v>147</v>
      </c>
      <c r="AP6" s="29" t="s">
        <v>0</v>
      </c>
      <c r="AQ6" s="30" t="s">
        <v>187</v>
      </c>
      <c r="AR6" s="30" t="s">
        <v>188</v>
      </c>
      <c r="AS6" s="30" t="s">
        <v>153</v>
      </c>
      <c r="AT6" s="30" t="s">
        <v>152</v>
      </c>
      <c r="AU6" s="30" t="s">
        <v>145</v>
      </c>
      <c r="AV6" s="31" t="s">
        <v>147</v>
      </c>
      <c r="AW6" s="34" t="s">
        <v>186</v>
      </c>
      <c r="AY6" s="29" t="s">
        <v>0</v>
      </c>
      <c r="AZ6" s="30" t="s">
        <v>152</v>
      </c>
      <c r="BA6" s="30" t="s">
        <v>145</v>
      </c>
      <c r="BB6" s="31" t="s">
        <v>147</v>
      </c>
      <c r="BC6" s="34" t="s">
        <v>186</v>
      </c>
    </row>
    <row r="7" spans="1:55" x14ac:dyDescent="0.25">
      <c r="A7" s="26" t="s">
        <v>3</v>
      </c>
      <c r="B7" s="26" t="str">
        <f>TRIM(DATA_SETIEMBRE[[#This Row],[ASESOR]])</f>
        <v>ROBERTO RODRIGUEZ</v>
      </c>
      <c r="C7" s="26" t="s">
        <v>125</v>
      </c>
      <c r="D7" s="26">
        <v>1000</v>
      </c>
      <c r="E7">
        <v>9.0277777777777769E-3</v>
      </c>
      <c r="F7" t="str">
        <f>DATA_SETIEMBRE[[#This Row],[SUPER]]</f>
        <v>SANDY</v>
      </c>
      <c r="H7" t="s">
        <v>6</v>
      </c>
      <c r="I7">
        <v>92000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  <c r="AE7" s="15" t="s">
        <v>190</v>
      </c>
      <c r="AF7" s="32" t="str">
        <f ca="1">IFERROR(VLOOKUP($AE7,INDIRECT(AF$6&amp;"!$B:$E"),4,0),"SIN DATOS")</f>
        <v>SIN DATOS</v>
      </c>
      <c r="AG7" s="33" t="str">
        <f ca="1">IFERROR(VLOOKUP($AE7,INDIRECT(AG$6&amp;"!$B:$E"),4,0),"SIN DATOS")</f>
        <v>SIN DATOS</v>
      </c>
      <c r="AH7" s="4" t="e">
        <f ca="1">SUM(VLOOKUP($AE7,INDIRECT(AF$6&amp;"!$B:$D"),3,0),VLOOKUP(AE7,INDIRECT(AG$6&amp;"!$B:$D"),3,0),$AI7)/SUM(VLOOKUP(VLOOKUP($AE7,INDIRECT(AF$6&amp;"!$B:$F"),5,0),INDIRECT(AF$6&amp;"!$H:$I"),2,0),VLOOKUP(VLOOKUP($AE7,INDIRECT(AG$6&amp;"!$B:$F"),5,0),INDIRECT(AG$6&amp;"!$H:$I"),2,0))</f>
        <v>#REF!</v>
      </c>
      <c r="AI7" s="11">
        <v>0</v>
      </c>
      <c r="AK7" t="s">
        <v>74</v>
      </c>
      <c r="AL7" s="37" t="str">
        <f ca="1">IFERROR(VLOOKUP($AK7,INDIRECT(AL$6&amp;"!$B:$F"),5,0),"SIN DATOS")</f>
        <v>SIN DATOS</v>
      </c>
      <c r="AM7" s="37" t="str">
        <f ca="1">IFERROR(VLOOKUP($AK7,INDIRECT(AM$6&amp;"!$B:$F"),5,0),"SIN DATOS")</f>
        <v>SIN DATOS</v>
      </c>
      <c r="AP7" t="s">
        <v>31</v>
      </c>
      <c r="AQ7" s="32" t="str">
        <f t="shared" ref="AQ7:AV15" ca="1" si="0">IFERROR(VLOOKUP($AP7,INDIRECT(AQ$6&amp;"!$B:$E"),4,0),"SIN DATOS")</f>
        <v>SIN DATOS</v>
      </c>
      <c r="AR7" s="32" t="str">
        <f t="shared" ca="1" si="0"/>
        <v>SIN DATOS</v>
      </c>
      <c r="AS7" s="32" t="str">
        <f t="shared" ca="1" si="0"/>
        <v>SIN DATOS</v>
      </c>
      <c r="AT7" s="32" t="str">
        <f t="shared" ca="1" si="0"/>
        <v>SIN DATOS</v>
      </c>
      <c r="AU7" s="32" t="str">
        <f t="shared" ca="1" si="0"/>
        <v>SIN DATOS</v>
      </c>
      <c r="AV7" s="32" t="str">
        <f t="shared" ca="1" si="0"/>
        <v>SIN DATOS</v>
      </c>
      <c r="AW7" s="4" t="e">
        <f t="shared" ref="AW7:AW15" ca="1" si="1">AVERAGE(AQ7:AV7)</f>
        <v>#DIV/0!</v>
      </c>
      <c r="AY7" t="s">
        <v>31</v>
      </c>
      <c r="AZ7" s="32" t="str">
        <f t="shared" ref="AZ7:BB15" ca="1" si="2">IFERROR(VLOOKUP($AY7,INDIRECT(AZ$6&amp;"!$B:$E"),4,0),"SIN DATOS")</f>
        <v>SIN DATOS</v>
      </c>
      <c r="BA7" s="32" t="str">
        <f t="shared" ca="1" si="2"/>
        <v>SIN DATOS</v>
      </c>
      <c r="BB7" s="32" t="str">
        <f t="shared" ca="1" si="2"/>
        <v>SIN DATOS</v>
      </c>
      <c r="BC7" s="4" t="e">
        <f t="shared" ref="BC7:BC15" ca="1" si="3">AVERAGE(AZ7:BB7)</f>
        <v>#DIV/0!</v>
      </c>
    </row>
    <row r="8" spans="1:55" x14ac:dyDescent="0.25">
      <c r="A8" s="26" t="s">
        <v>3</v>
      </c>
      <c r="B8" s="26" t="str">
        <f>TRIM(DATA_SETIEMBRE[[#This Row],[ASESOR]])</f>
        <v>LYNDA PEREZ</v>
      </c>
      <c r="C8" s="26" t="s">
        <v>43</v>
      </c>
      <c r="D8" s="26">
        <v>600</v>
      </c>
      <c r="E8">
        <v>0.43556766917293233</v>
      </c>
      <c r="F8" t="str">
        <f>DATA_SETIEMBRE[[#This Row],[SUPER]]</f>
        <v>SANDY</v>
      </c>
      <c r="H8" t="s">
        <v>7</v>
      </c>
      <c r="I8">
        <v>92000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19</v>
      </c>
      <c r="S8" s="3">
        <v>2.0817818740399385</v>
      </c>
      <c r="U8" s="15" t="s">
        <v>10</v>
      </c>
      <c r="V8" s="2">
        <v>0.82049582289055978</v>
      </c>
      <c r="X8" s="15" t="s">
        <v>81</v>
      </c>
      <c r="Y8" s="2">
        <v>0.69074999999999998</v>
      </c>
      <c r="AA8" s="15" t="s">
        <v>75</v>
      </c>
      <c r="AB8" s="2">
        <v>0.3943840579710145</v>
      </c>
      <c r="AE8" s="1"/>
      <c r="AF8" s="1"/>
      <c r="AG8" s="1"/>
      <c r="AH8" s="1"/>
      <c r="AI8" s="1"/>
      <c r="AP8" t="s">
        <v>75</v>
      </c>
      <c r="AQ8" s="32" t="str">
        <f t="shared" ca="1" si="0"/>
        <v>SIN DATOS</v>
      </c>
      <c r="AR8" s="32" t="str">
        <f t="shared" ca="1" si="0"/>
        <v>SIN DATOS</v>
      </c>
      <c r="AS8" s="32" t="str">
        <f t="shared" ca="1" si="0"/>
        <v>SIN DATOS</v>
      </c>
      <c r="AT8" s="32" t="str">
        <f t="shared" ca="1" si="0"/>
        <v>SIN DATOS</v>
      </c>
      <c r="AU8" s="32" t="str">
        <f t="shared" ca="1" si="0"/>
        <v>SIN DATOS</v>
      </c>
      <c r="AV8" s="32" t="str">
        <f t="shared" ca="1" si="0"/>
        <v>SIN DATOS</v>
      </c>
      <c r="AW8" s="4" t="e">
        <f t="shared" ca="1" si="1"/>
        <v>#DIV/0!</v>
      </c>
      <c r="AY8" t="s">
        <v>78</v>
      </c>
      <c r="AZ8" s="32" t="str">
        <f t="shared" ca="1" si="2"/>
        <v>SIN DATOS</v>
      </c>
      <c r="BA8" s="32" t="str">
        <f t="shared" ca="1" si="2"/>
        <v>SIN DATOS</v>
      </c>
      <c r="BB8" s="32" t="str">
        <f t="shared" ca="1" si="2"/>
        <v>SIN DATOS</v>
      </c>
      <c r="BC8" s="4" t="e">
        <f t="shared" ca="1" si="3"/>
        <v>#DIV/0!</v>
      </c>
    </row>
    <row r="9" spans="1:55" x14ac:dyDescent="0.25">
      <c r="A9" s="26" t="s">
        <v>3</v>
      </c>
      <c r="B9" s="26" t="str">
        <f>TRIM(DATA_SETIEMBRE[[#This Row],[ASESOR]])</f>
        <v>YEYMI HUERTA</v>
      </c>
      <c r="C9" s="26" t="s">
        <v>191</v>
      </c>
      <c r="D9" s="26">
        <v>600</v>
      </c>
      <c r="E9">
        <v>0.22208035714285712</v>
      </c>
      <c r="F9" t="str">
        <f>DATA_SETIEMBRE[[#This Row],[SUPER]]</f>
        <v>SANDY</v>
      </c>
      <c r="H9" t="s">
        <v>8</v>
      </c>
      <c r="I9">
        <v>75000</v>
      </c>
      <c r="L9">
        <v>1</v>
      </c>
      <c r="M9" s="1">
        <f>E3</f>
        <v>0.35952809523809526</v>
      </c>
      <c r="N9" t="str" cm="1">
        <f t="array" ref="N9">IFERROR(_xlfn.IFS(M9&gt;100%,"&gt;100%",AND(M9&lt;100%,M9&gt;70%),"&gt;70%",AND(M9&lt;70%,M9&gt;40%),"&gt;40%",AND(M9&lt;40%,M9&gt;0%),"&gt;0%"),"")</f>
        <v>&gt;0%</v>
      </c>
      <c r="O9" t="str">
        <f>B3</f>
        <v>NOEMI CHUQUILIN</v>
      </c>
      <c r="R9" s="15" t="s">
        <v>17</v>
      </c>
      <c r="S9" s="3">
        <v>1.3480216241085807</v>
      </c>
      <c r="U9" s="15" t="s">
        <v>44</v>
      </c>
      <c r="V9" s="4">
        <v>0.81679878364389236</v>
      </c>
      <c r="X9" s="15" t="s">
        <v>62</v>
      </c>
      <c r="Y9" s="3">
        <v>0.62773809523809521</v>
      </c>
      <c r="AA9" s="15" t="s">
        <v>16</v>
      </c>
      <c r="AB9" s="3">
        <v>0.38990058479532164</v>
      </c>
      <c r="AE9" s="1"/>
      <c r="AF9" s="1"/>
      <c r="AG9" s="1"/>
      <c r="AH9" s="1"/>
      <c r="AI9" s="1"/>
      <c r="AP9" t="s">
        <v>78</v>
      </c>
      <c r="AQ9" s="32" t="str">
        <f t="shared" ca="1" si="0"/>
        <v>SIN DATOS</v>
      </c>
      <c r="AR9" s="32" t="str">
        <f t="shared" ca="1" si="0"/>
        <v>SIN DATOS</v>
      </c>
      <c r="AS9" s="32" t="str">
        <f t="shared" ca="1" si="0"/>
        <v>SIN DATOS</v>
      </c>
      <c r="AT9" s="32" t="str">
        <f t="shared" ca="1" si="0"/>
        <v>SIN DATOS</v>
      </c>
      <c r="AU9" s="32" t="str">
        <f t="shared" ca="1" si="0"/>
        <v>SIN DATOS</v>
      </c>
      <c r="AV9" s="32" t="str">
        <f t="shared" ca="1" si="0"/>
        <v>SIN DATOS</v>
      </c>
      <c r="AW9" s="4" t="e">
        <f t="shared" ca="1" si="1"/>
        <v>#DIV/0!</v>
      </c>
      <c r="AY9" t="s">
        <v>17</v>
      </c>
      <c r="AZ9" s="32" t="str">
        <f t="shared" ca="1" si="2"/>
        <v>SIN DATOS</v>
      </c>
      <c r="BA9" s="32" t="str">
        <f t="shared" ca="1" si="2"/>
        <v>SIN DATOS</v>
      </c>
      <c r="BB9" s="32" t="str">
        <f t="shared" ca="1" si="2"/>
        <v>SIN DATOS</v>
      </c>
      <c r="BC9" s="4" t="e">
        <f t="shared" ca="1" si="3"/>
        <v>#DIV/0!</v>
      </c>
    </row>
    <row r="10" spans="1:55" x14ac:dyDescent="0.25">
      <c r="A10" s="26" t="s">
        <v>3</v>
      </c>
      <c r="B10" s="26" t="str">
        <f>TRIM(DATA_SETIEMBRE[[#This Row],[ASESOR]])</f>
        <v>LUIS RUIZ</v>
      </c>
      <c r="C10" s="26" t="s">
        <v>118</v>
      </c>
      <c r="D10" s="26">
        <v>350</v>
      </c>
      <c r="E10">
        <v>0.10535714285714286</v>
      </c>
      <c r="F10" t="str">
        <f>DATA_SETIEMBRE[[#This Row],[SUPER]]</f>
        <v>SANDY</v>
      </c>
      <c r="H10" t="s">
        <v>9</v>
      </c>
      <c r="I10">
        <v>21000</v>
      </c>
      <c r="L10">
        <v>2</v>
      </c>
      <c r="M10" s="1">
        <f t="shared" ref="M10:M73" si="4">E4</f>
        <v>0.81679878364389236</v>
      </c>
      <c r="N10" t="str" cm="1">
        <f t="array" ref="N10">IFERROR(_xlfn.IFS(M10&gt;100%,"&gt;100%",AND(M10&lt;100%,M10&gt;70%),"&gt;70%",AND(M10&lt;70%,M10&gt;40%),"&gt;40%",AND(M10&lt;40%,M10&gt;0%),"&gt;0%"),"")</f>
        <v>&gt;70%</v>
      </c>
      <c r="O10" t="str">
        <f t="shared" ref="O10:O73" si="5">B4</f>
        <v>GINA HUAMANI</v>
      </c>
      <c r="R10" s="15" t="s">
        <v>71</v>
      </c>
      <c r="S10" s="4">
        <v>1.1413533834586467</v>
      </c>
      <c r="X10" s="15" t="s">
        <v>20</v>
      </c>
      <c r="Y10" s="3">
        <v>0.56846165202627885</v>
      </c>
      <c r="AA10" s="15" t="s">
        <v>26</v>
      </c>
      <c r="AB10" s="3">
        <v>0.37089849624060151</v>
      </c>
      <c r="AF10" s="1"/>
      <c r="AG10" s="1"/>
      <c r="AH10" s="1"/>
      <c r="AI10" s="1"/>
      <c r="AP10" s="15" t="s">
        <v>22</v>
      </c>
      <c r="AQ10" s="32" t="str">
        <f t="shared" ca="1" si="0"/>
        <v>SIN DATOS</v>
      </c>
      <c r="AR10" s="32" t="str">
        <f t="shared" ca="1" si="0"/>
        <v>SIN DATOS</v>
      </c>
      <c r="AS10" s="32" t="str">
        <f t="shared" ca="1" si="0"/>
        <v>SIN DATOS</v>
      </c>
      <c r="AT10" s="32" t="str">
        <f t="shared" ca="1" si="0"/>
        <v>SIN DATOS</v>
      </c>
      <c r="AU10" s="32" t="str">
        <f t="shared" ca="1" si="0"/>
        <v>SIN DATOS</v>
      </c>
      <c r="AV10" s="32" t="str">
        <f t="shared" ca="1" si="0"/>
        <v>SIN DATOS</v>
      </c>
      <c r="AW10" s="4" t="e">
        <f t="shared" ca="1" si="1"/>
        <v>#DIV/0!</v>
      </c>
      <c r="AY10" t="s">
        <v>75</v>
      </c>
      <c r="AZ10" s="32" t="str">
        <f t="shared" ca="1" si="2"/>
        <v>SIN DATOS</v>
      </c>
      <c r="BA10" s="32" t="str">
        <f t="shared" ca="1" si="2"/>
        <v>SIN DATOS</v>
      </c>
      <c r="BB10" s="32" t="str">
        <f t="shared" ca="1" si="2"/>
        <v>SIN DATOS</v>
      </c>
      <c r="BC10" s="4" t="e">
        <f t="shared" ca="1" si="3"/>
        <v>#DIV/0!</v>
      </c>
    </row>
    <row r="11" spans="1:55" x14ac:dyDescent="0.25">
      <c r="A11" s="26" t="s">
        <v>3</v>
      </c>
      <c r="B11" s="26" t="str">
        <f>TRIM(DATA_SETIEMBRE[[#This Row],[ASESOR]])</f>
        <v>MICHAEL TAFUR</v>
      </c>
      <c r="C11" s="26" t="s">
        <v>134</v>
      </c>
      <c r="D11" s="26">
        <v>310</v>
      </c>
      <c r="E11">
        <v>0.34277265745007685</v>
      </c>
      <c r="F11" t="str">
        <f>DATA_SETIEMBRE[[#This Row],[SUPER]]</f>
        <v>SANDY</v>
      </c>
      <c r="L11">
        <v>3</v>
      </c>
      <c r="M11" s="1">
        <f t="shared" si="4"/>
        <v>0.45125297619047616</v>
      </c>
      <c r="N11" t="str" cm="1">
        <f t="array" ref="N11">IFERROR(_xlfn.IFS(M11&gt;100%,"&gt;100%",AND(M11&lt;100%,M11&gt;70%),"&gt;70%",AND(M11&lt;70%,M11&gt;40%),"&gt;40%",AND(M11&lt;40%,M11&gt;0%),"&gt;0%"),"")</f>
        <v>&gt;40%</v>
      </c>
      <c r="O11" t="str">
        <f t="shared" si="5"/>
        <v>VERONICA HUARCA</v>
      </c>
      <c r="X11" s="15" t="s">
        <v>22</v>
      </c>
      <c r="Y11" s="3">
        <v>0.56550672877846786</v>
      </c>
      <c r="AA11" s="15" t="s">
        <v>78</v>
      </c>
      <c r="AB11" s="3">
        <v>0.36327076000690134</v>
      </c>
      <c r="AF11" s="1"/>
      <c r="AG11" s="1"/>
      <c r="AH11" s="1"/>
      <c r="AI11" s="1"/>
      <c r="AP11" t="s">
        <v>17</v>
      </c>
      <c r="AQ11" s="32" t="str">
        <f t="shared" ca="1" si="0"/>
        <v>SIN DATOS</v>
      </c>
      <c r="AR11" s="32" t="str">
        <f t="shared" ca="1" si="0"/>
        <v>SIN DATOS</v>
      </c>
      <c r="AS11" s="32" t="str">
        <f t="shared" ca="1" si="0"/>
        <v>SIN DATOS</v>
      </c>
      <c r="AT11" s="32" t="str">
        <f t="shared" ca="1" si="0"/>
        <v>SIN DATOS</v>
      </c>
      <c r="AU11" s="32" t="str">
        <f t="shared" ca="1" si="0"/>
        <v>SIN DATOS</v>
      </c>
      <c r="AV11" s="32" t="str">
        <f t="shared" ca="1" si="0"/>
        <v>SIN DATOS</v>
      </c>
      <c r="AW11" s="4" t="e">
        <f t="shared" ca="1" si="1"/>
        <v>#DIV/0!</v>
      </c>
      <c r="AY11" s="15" t="s">
        <v>22</v>
      </c>
      <c r="AZ11" s="32" t="str">
        <f t="shared" ca="1" si="2"/>
        <v>SIN DATOS</v>
      </c>
      <c r="BA11" s="32" t="str">
        <f t="shared" ca="1" si="2"/>
        <v>SIN DATOS</v>
      </c>
      <c r="BB11" s="32" t="str">
        <f t="shared" ca="1" si="2"/>
        <v>SIN DATOS</v>
      </c>
      <c r="BC11" s="4" t="e">
        <f t="shared" ca="1" si="3"/>
        <v>#DIV/0!</v>
      </c>
    </row>
    <row r="12" spans="1:55" x14ac:dyDescent="0.25">
      <c r="A12" s="26" t="s">
        <v>3</v>
      </c>
      <c r="B12" s="26" t="str">
        <f>TRIM(DATA_SETIEMBRE[[#This Row],[ASESOR]])</f>
        <v>JOANA GIL</v>
      </c>
      <c r="C12" s="26" t="s">
        <v>133</v>
      </c>
      <c r="D12" s="26">
        <v>300</v>
      </c>
      <c r="E12">
        <v>2.1428571428571429E-2</v>
      </c>
      <c r="F12" t="str">
        <f>DATA_SETIEMBRE[[#This Row],[SUPER]]</f>
        <v>SANDY</v>
      </c>
      <c r="L12">
        <v>4</v>
      </c>
      <c r="M12" s="1">
        <f t="shared" si="4"/>
        <v>0.30714285714285716</v>
      </c>
      <c r="N12" t="str" cm="1">
        <f t="array" ref="N12">IFERROR(_xlfn.IFS(M12&gt;100%,"&gt;100%",AND(M12&lt;100%,M12&gt;70%),"&gt;70%",AND(M12&lt;70%,M12&gt;40%),"&gt;40%",AND(M12&lt;40%,M12&gt;0%),"&gt;0%"),"")</f>
        <v>&gt;0%</v>
      </c>
      <c r="O12" t="str">
        <f t="shared" si="5"/>
        <v>GABRIELA APONTE</v>
      </c>
      <c r="X12" s="15" t="s">
        <v>105</v>
      </c>
      <c r="Y12" s="3">
        <v>0.56430659983291553</v>
      </c>
      <c r="AA12" s="15" t="s">
        <v>113</v>
      </c>
      <c r="AB12" s="3">
        <v>0.35952809523809526</v>
      </c>
      <c r="AF12" s="1"/>
      <c r="AG12" s="1"/>
      <c r="AH12" s="1"/>
      <c r="AI12" s="1"/>
      <c r="AP12" t="s">
        <v>67</v>
      </c>
      <c r="AQ12" s="32" t="str">
        <f t="shared" ca="1" si="0"/>
        <v>SIN DATOS</v>
      </c>
      <c r="AR12" s="32" t="str">
        <f t="shared" ca="1" si="0"/>
        <v>SIN DATOS</v>
      </c>
      <c r="AS12" s="32" t="str">
        <f t="shared" ca="1" si="0"/>
        <v>SIN DATOS</v>
      </c>
      <c r="AT12" s="32" t="str">
        <f t="shared" ca="1" si="0"/>
        <v>SIN DATOS</v>
      </c>
      <c r="AU12" s="32" t="str">
        <f t="shared" ca="1" si="0"/>
        <v>SIN DATOS</v>
      </c>
      <c r="AV12" s="32" t="str">
        <f t="shared" ca="1" si="0"/>
        <v>SIN DATOS</v>
      </c>
      <c r="AW12" s="4" t="e">
        <f t="shared" ca="1" si="1"/>
        <v>#DIV/0!</v>
      </c>
      <c r="AY12" t="s">
        <v>67</v>
      </c>
      <c r="AZ12" s="32" t="str">
        <f t="shared" ca="1" si="2"/>
        <v>SIN DATOS</v>
      </c>
      <c r="BA12" s="32" t="str">
        <f t="shared" ca="1" si="2"/>
        <v>SIN DATOS</v>
      </c>
      <c r="BB12" s="32" t="str">
        <f t="shared" ca="1" si="2"/>
        <v>SIN DATOS</v>
      </c>
      <c r="BC12" s="4" t="e">
        <f t="shared" ca="1" si="3"/>
        <v>#DIV/0!</v>
      </c>
    </row>
    <row r="13" spans="1:55" x14ac:dyDescent="0.25">
      <c r="A13" s="26" t="s">
        <v>3</v>
      </c>
      <c r="B13" s="26" t="str">
        <f>TRIM(DATA_SETIEMBRE[[#This Row],[ASESOR]])</f>
        <v>GIANNINA AGUILAR</v>
      </c>
      <c r="C13" s="26" t="s">
        <v>32</v>
      </c>
      <c r="D13" s="26">
        <v>200</v>
      </c>
      <c r="E13">
        <v>0.19295238095238093</v>
      </c>
      <c r="F13" t="str">
        <f>DATA_SETIEMBRE[[#This Row],[SUPER]]</f>
        <v>SANDY</v>
      </c>
      <c r="H13" s="28" t="s">
        <v>107</v>
      </c>
      <c r="L13">
        <v>5</v>
      </c>
      <c r="M13" s="1">
        <f t="shared" si="4"/>
        <v>9.0277777777777769E-3</v>
      </c>
      <c r="N13" t="str" cm="1">
        <f t="array" ref="N13">IFERROR(_xlfn.IFS(M13&gt;100%,"&gt;100%",AND(M13&lt;100%,M13&gt;70%),"&gt;70%",AND(M13&lt;70%,M13&gt;40%),"&gt;40%",AND(M13&lt;40%,M13&gt;0%),"&gt;0%"),"")</f>
        <v>&gt;0%</v>
      </c>
      <c r="O13" t="str">
        <f t="shared" si="5"/>
        <v>ROBERTO RODRIGUEZ</v>
      </c>
      <c r="X13" s="15" t="s">
        <v>76</v>
      </c>
      <c r="Y13" s="3">
        <v>0.53083666666666662</v>
      </c>
      <c r="AA13" s="15" t="s">
        <v>72</v>
      </c>
      <c r="AB13" s="3">
        <v>0.3571723753829017</v>
      </c>
      <c r="AF13" s="1"/>
      <c r="AG13" s="1"/>
      <c r="AH13" s="1"/>
      <c r="AI13" s="1"/>
      <c r="AP13" t="s">
        <v>29</v>
      </c>
      <c r="AQ13" s="32" t="str">
        <f t="shared" ca="1" si="0"/>
        <v>SIN DATOS</v>
      </c>
      <c r="AR13" s="32" t="str">
        <f t="shared" ca="1" si="0"/>
        <v>SIN DATOS</v>
      </c>
      <c r="AS13" s="32" t="str">
        <f t="shared" ca="1" si="0"/>
        <v>SIN DATOS</v>
      </c>
      <c r="AT13" s="32" t="str">
        <f t="shared" ca="1" si="0"/>
        <v>SIN DATOS</v>
      </c>
      <c r="AU13" s="32" t="str">
        <f t="shared" ca="1" si="0"/>
        <v>SIN DATOS</v>
      </c>
      <c r="AV13" s="32" t="str">
        <f t="shared" ca="1" si="0"/>
        <v>SIN DATOS</v>
      </c>
      <c r="AW13" s="4" t="e">
        <f t="shared" ca="1" si="1"/>
        <v>#DIV/0!</v>
      </c>
      <c r="AY13" t="s">
        <v>29</v>
      </c>
      <c r="AZ13" s="32" t="str">
        <f t="shared" ca="1" si="2"/>
        <v>SIN DATOS</v>
      </c>
      <c r="BA13" s="32" t="str">
        <f t="shared" ca="1" si="2"/>
        <v>SIN DATOS</v>
      </c>
      <c r="BB13" s="32" t="str">
        <f t="shared" ca="1" si="2"/>
        <v>SIN DATOS</v>
      </c>
      <c r="BC13" s="4" t="e">
        <f t="shared" ca="1" si="3"/>
        <v>#DIV/0!</v>
      </c>
    </row>
    <row r="14" spans="1:55" x14ac:dyDescent="0.25">
      <c r="A14" s="26" t="s">
        <v>3</v>
      </c>
      <c r="B14" s="26" t="str">
        <f>TRIM(DATA_SETIEMBRE[[#This Row],[ASESOR]])</f>
        <v>LINDA TUESTA</v>
      </c>
      <c r="C14" s="26" t="s">
        <v>33</v>
      </c>
      <c r="D14" s="26">
        <v>100</v>
      </c>
      <c r="E14">
        <v>0.27316252168883748</v>
      </c>
      <c r="F14" t="str">
        <f>DATA_SETIEMBRE[[#This Row],[SUPER]]</f>
        <v>SANDY</v>
      </c>
      <c r="H14" s="27" t="s">
        <v>194</v>
      </c>
      <c r="L14">
        <v>6</v>
      </c>
      <c r="M14" s="1">
        <f t="shared" si="4"/>
        <v>0.43556766917293233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5"/>
        <v>LYNDA PEREZ</v>
      </c>
      <c r="X14" s="15" t="s">
        <v>31</v>
      </c>
      <c r="Y14" s="3">
        <v>0.47635235873965848</v>
      </c>
      <c r="AA14" s="15" t="s">
        <v>77</v>
      </c>
      <c r="AB14" s="3">
        <v>0.35550491718426497</v>
      </c>
      <c r="AF14" s="1"/>
      <c r="AG14" s="1"/>
      <c r="AH14" s="1"/>
      <c r="AI14" s="1"/>
      <c r="AP14" t="s">
        <v>36</v>
      </c>
      <c r="AQ14" s="32" t="str">
        <f t="shared" ca="1" si="0"/>
        <v>SIN DATOS</v>
      </c>
      <c r="AR14" s="32" t="str">
        <f t="shared" ca="1" si="0"/>
        <v>SIN DATOS</v>
      </c>
      <c r="AS14" s="32" t="str">
        <f t="shared" ca="1" si="0"/>
        <v>SIN DATOS</v>
      </c>
      <c r="AT14" s="32" t="str">
        <f t="shared" ca="1" si="0"/>
        <v>SIN DATOS</v>
      </c>
      <c r="AU14" s="32" t="str">
        <f t="shared" ca="1" si="0"/>
        <v>SIN DATOS</v>
      </c>
      <c r="AV14" s="32" t="str">
        <f t="shared" ca="1" si="0"/>
        <v>SIN DATOS</v>
      </c>
      <c r="AW14" s="4" t="e">
        <f t="shared" ca="1" si="1"/>
        <v>#DIV/0!</v>
      </c>
      <c r="AY14" t="s">
        <v>36</v>
      </c>
      <c r="AZ14" s="32" t="str">
        <f t="shared" ca="1" si="2"/>
        <v>SIN DATOS</v>
      </c>
      <c r="BA14" s="32" t="str">
        <f t="shared" ca="1" si="2"/>
        <v>SIN DATOS</v>
      </c>
      <c r="BB14" s="32" t="str">
        <f t="shared" ca="1" si="2"/>
        <v>SIN DATOS</v>
      </c>
      <c r="BC14" s="4" t="e">
        <f t="shared" ca="1" si="3"/>
        <v>#DIV/0!</v>
      </c>
    </row>
    <row r="15" spans="1:55" x14ac:dyDescent="0.25">
      <c r="A15" s="26" t="s">
        <v>4</v>
      </c>
      <c r="B15" s="26" t="str">
        <f>TRIM(DATA_SETIEMBRE[[#This Row],[ASESOR]])</f>
        <v>CARLOS CALAGUA</v>
      </c>
      <c r="C15" s="26" t="s">
        <v>129</v>
      </c>
      <c r="D15" s="26">
        <v>4550</v>
      </c>
      <c r="E15">
        <v>0.47100000000000003</v>
      </c>
      <c r="F15" t="str">
        <f>DATA_SETIEMBRE[[#This Row],[SUPER]]</f>
        <v>MELINA</v>
      </c>
      <c r="H15" s="27" t="s">
        <v>120</v>
      </c>
      <c r="L15">
        <v>7</v>
      </c>
      <c r="M15" s="1">
        <f t="shared" si="4"/>
        <v>0.22208035714285712</v>
      </c>
      <c r="N15" t="str" cm="1">
        <f t="array" ref="N15">IFERROR(_xlfn.IFS(M15&gt;100%,"&gt;100%",AND(M15&lt;100%,M15&gt;70%),"&gt;70%",AND(M15&lt;70%,M15&gt;40%),"&gt;40%",AND(M15&lt;40%,M15&gt;0%),"&gt;0%"),"")</f>
        <v>&gt;0%</v>
      </c>
      <c r="O15" t="str">
        <f t="shared" si="5"/>
        <v>YEYMI HUERTA</v>
      </c>
      <c r="X15" s="15" t="s">
        <v>34</v>
      </c>
      <c r="Y15" s="3">
        <v>0.47371980676328507</v>
      </c>
      <c r="AA15" s="15" t="s">
        <v>128</v>
      </c>
      <c r="AB15" s="3">
        <v>0.34570938215102975</v>
      </c>
      <c r="AF15" s="1"/>
      <c r="AG15" s="1"/>
      <c r="AH15" s="1"/>
      <c r="AI15" s="1"/>
      <c r="AP15" t="s">
        <v>115</v>
      </c>
      <c r="AQ15" s="32" t="str">
        <f t="shared" ca="1" si="0"/>
        <v>SIN DATOS</v>
      </c>
      <c r="AR15" s="32" t="str">
        <f t="shared" ca="1" si="0"/>
        <v>SIN DATOS</v>
      </c>
      <c r="AS15" s="32" t="str">
        <f t="shared" ca="1" si="0"/>
        <v>SIN DATOS</v>
      </c>
      <c r="AT15" s="32" t="str">
        <f t="shared" ca="1" si="0"/>
        <v>SIN DATOS</v>
      </c>
      <c r="AU15" s="32" t="str">
        <f t="shared" ca="1" si="0"/>
        <v>SIN DATOS</v>
      </c>
      <c r="AV15" s="32" t="str">
        <f t="shared" ca="1" si="0"/>
        <v>SIN DATOS</v>
      </c>
      <c r="AW15" s="4" t="e">
        <f t="shared" ca="1" si="1"/>
        <v>#DIV/0!</v>
      </c>
      <c r="AY15" t="s">
        <v>115</v>
      </c>
      <c r="AZ15" s="32" t="str">
        <f t="shared" ca="1" si="2"/>
        <v>SIN DATOS</v>
      </c>
      <c r="BA15" s="32" t="str">
        <f t="shared" ca="1" si="2"/>
        <v>SIN DATOS</v>
      </c>
      <c r="BB15" s="32" t="str">
        <f t="shared" ca="1" si="2"/>
        <v>SIN DATOS</v>
      </c>
      <c r="BC15" s="4" t="e">
        <f t="shared" ca="1" si="3"/>
        <v>#DIV/0!</v>
      </c>
    </row>
    <row r="16" spans="1:55" x14ac:dyDescent="0.25">
      <c r="A16" s="26" t="s">
        <v>4</v>
      </c>
      <c r="B16" s="26" t="str">
        <f>TRIM(DATA_SETIEMBRE[[#This Row],[ASESOR]])</f>
        <v>MAYRA AVALOS</v>
      </c>
      <c r="C16" s="26" t="s">
        <v>55</v>
      </c>
      <c r="D16" s="26">
        <v>3200</v>
      </c>
      <c r="E16">
        <v>0.27189285714285716</v>
      </c>
      <c r="F16" t="str">
        <f>DATA_SETIEMBRE[[#This Row],[SUPER]]</f>
        <v>MELINA</v>
      </c>
      <c r="L16">
        <v>8</v>
      </c>
      <c r="M16" s="1">
        <f t="shared" si="4"/>
        <v>0.10535714285714286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5"/>
        <v>LUIS RUIZ</v>
      </c>
      <c r="X16" s="15" t="s">
        <v>129</v>
      </c>
      <c r="Y16" s="3">
        <v>0.47100000000000003</v>
      </c>
      <c r="AA16" s="15" t="s">
        <v>53</v>
      </c>
      <c r="AB16" s="3">
        <v>0.34351428571428572</v>
      </c>
      <c r="AF16" s="1"/>
      <c r="AG16" s="1"/>
      <c r="AH16" s="1"/>
      <c r="AI16" s="1"/>
    </row>
    <row r="17" spans="1:41" x14ac:dyDescent="0.25">
      <c r="A17" s="26" t="s">
        <v>4</v>
      </c>
      <c r="B17" s="26" t="str">
        <f>TRIM(DATA_SETIEMBRE[[#This Row],[ASESOR]])</f>
        <v>MARCO SARMIENTO</v>
      </c>
      <c r="C17" s="26" t="s">
        <v>140</v>
      </c>
      <c r="D17" s="26">
        <v>3000</v>
      </c>
      <c r="E17">
        <v>0.13589601282308156</v>
      </c>
      <c r="F17" t="str">
        <f>DATA_SETIEMBRE[[#This Row],[SUPER]]</f>
        <v>MELINA</v>
      </c>
      <c r="L17">
        <v>9</v>
      </c>
      <c r="M17" s="1">
        <f t="shared" si="4"/>
        <v>0.34277265745007685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5"/>
        <v>MICHAEL TAFUR</v>
      </c>
      <c r="X17" s="15" t="s">
        <v>24</v>
      </c>
      <c r="Y17" s="3">
        <v>0.45580158730158732</v>
      </c>
      <c r="AA17" s="15" t="s">
        <v>134</v>
      </c>
      <c r="AB17" s="3">
        <v>0.34277265745007685</v>
      </c>
      <c r="AF17" s="1"/>
      <c r="AG17" s="1"/>
      <c r="AH17" s="1"/>
      <c r="AI17" s="1"/>
    </row>
    <row r="18" spans="1:41" x14ac:dyDescent="0.25">
      <c r="A18" s="26" t="s">
        <v>4</v>
      </c>
      <c r="B18" s="26" t="str">
        <f>TRIM(DATA_SETIEMBRE[[#This Row],[ASESOR]])</f>
        <v>YENNY INGA</v>
      </c>
      <c r="C18" s="26" t="s">
        <v>39</v>
      </c>
      <c r="D18" s="26">
        <v>2300</v>
      </c>
      <c r="E18">
        <v>0.1077058993637941</v>
      </c>
      <c r="F18" t="str">
        <f>DATA_SETIEMBRE[[#This Row],[SUPER]]</f>
        <v>MELINA</v>
      </c>
      <c r="L18">
        <v>10</v>
      </c>
      <c r="M18" s="1">
        <f t="shared" si="4"/>
        <v>2.1428571428571429E-2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5"/>
        <v>JOANA GIL</v>
      </c>
      <c r="X18" s="15" t="s">
        <v>48</v>
      </c>
      <c r="Y18" s="3">
        <v>0.45125297619047616</v>
      </c>
      <c r="AA18" s="15" t="s">
        <v>46</v>
      </c>
      <c r="AB18" s="3">
        <v>0.33199238095238093</v>
      </c>
      <c r="AF18" s="1"/>
      <c r="AG18" s="1"/>
      <c r="AH18" s="1"/>
      <c r="AI18" s="1"/>
    </row>
    <row r="19" spans="1:41" x14ac:dyDescent="0.25">
      <c r="A19" s="26" t="s">
        <v>4</v>
      </c>
      <c r="B19" s="26" t="str">
        <f>TRIM(DATA_SETIEMBRE[[#This Row],[ASESOR]])</f>
        <v>DARYL FERREL</v>
      </c>
      <c r="C19" s="26" t="s">
        <v>40</v>
      </c>
      <c r="D19" s="26">
        <v>1000</v>
      </c>
      <c r="E19">
        <v>7.1428571428571425E-2</v>
      </c>
      <c r="F19" t="str">
        <f>DATA_SETIEMBRE[[#This Row],[SUPER]]</f>
        <v>MELINA</v>
      </c>
      <c r="L19">
        <v>11</v>
      </c>
      <c r="M19" s="1">
        <f t="shared" si="4"/>
        <v>0.19295238095238093</v>
      </c>
      <c r="N19" t="str" cm="1">
        <f t="array" ref="N19">IFERROR(_xlfn.IFS(M19&gt;100%,"&gt;100%",AND(M19&lt;100%,M19&gt;70%),"&gt;70%",AND(M19&lt;70%,M19&gt;40%),"&gt;40%",AND(M19&lt;40%,M19&gt;0%),"&gt;0%"),"")</f>
        <v>&gt;0%</v>
      </c>
      <c r="O19" t="str">
        <f t="shared" si="5"/>
        <v>GIANNINA AGUILAR</v>
      </c>
      <c r="X19" s="15" t="s">
        <v>43</v>
      </c>
      <c r="Y19" s="3">
        <v>0.43556766917293233</v>
      </c>
      <c r="AA19" s="15" t="s">
        <v>192</v>
      </c>
      <c r="AB19" s="3">
        <v>0.3307056530214425</v>
      </c>
      <c r="AF19" s="1"/>
      <c r="AG19" s="1"/>
      <c r="AH19" s="1"/>
      <c r="AI19" s="1"/>
    </row>
    <row r="20" spans="1:41" x14ac:dyDescent="0.25">
      <c r="A20" s="26" t="s">
        <v>4</v>
      </c>
      <c r="B20" s="26" t="str">
        <f>TRIM(DATA_SETIEMBRE[[#This Row],[ASESOR]])</f>
        <v>HAROLD FLORES</v>
      </c>
      <c r="C20" s="26" t="s">
        <v>42</v>
      </c>
      <c r="D20" s="26">
        <v>705</v>
      </c>
      <c r="E20">
        <v>0.32879464285714288</v>
      </c>
      <c r="F20" t="str">
        <f>DATA_SETIEMBRE[[#This Row],[SUPER]]</f>
        <v>MELINA</v>
      </c>
      <c r="L20">
        <v>12</v>
      </c>
      <c r="M20" s="1">
        <f t="shared" si="4"/>
        <v>0.27316252168883748</v>
      </c>
      <c r="N20" t="str" cm="1">
        <f t="array" ref="N20">IFERROR(_xlfn.IFS(M20&gt;100%,"&gt;100%",AND(M20&lt;100%,M20&gt;70%),"&gt;70%",AND(M20&lt;70%,M20&gt;40%),"&gt;40%",AND(M20&lt;40%,M20&gt;0%),"&gt;0%"),"")</f>
        <v>&gt;0%</v>
      </c>
      <c r="O20" t="str">
        <f t="shared" si="5"/>
        <v>LINDA TUESTA</v>
      </c>
      <c r="X20" s="15" t="s">
        <v>37</v>
      </c>
      <c r="Y20" s="3">
        <v>0.41784422594948911</v>
      </c>
      <c r="AA20" s="15" t="s">
        <v>42</v>
      </c>
      <c r="AB20" s="3">
        <v>0.32879464285714288</v>
      </c>
      <c r="AF20" s="1"/>
      <c r="AG20" s="1"/>
      <c r="AH20" s="1"/>
      <c r="AI20" s="1"/>
      <c r="AJ20" s="36"/>
      <c r="AK20" s="36"/>
      <c r="AL20" s="36"/>
      <c r="AM20" s="36"/>
      <c r="AN20" s="36"/>
      <c r="AO20" s="36"/>
    </row>
    <row r="21" spans="1:41" x14ac:dyDescent="0.25">
      <c r="A21" s="26" t="s">
        <v>4</v>
      </c>
      <c r="B21" s="26" t="str">
        <f>TRIM(DATA_SETIEMBRE[[#This Row],[ASESOR]])</f>
        <v>JANETH PORTOCARRERO</v>
      </c>
      <c r="C21" s="26" t="s">
        <v>49</v>
      </c>
      <c r="D21" s="26">
        <v>585</v>
      </c>
      <c r="E21">
        <v>0.18733928571428571</v>
      </c>
      <c r="F21" t="str">
        <f>DATA_SETIEMBRE[[#This Row],[SUPER]]</f>
        <v>MELINA</v>
      </c>
      <c r="L21">
        <v>1</v>
      </c>
      <c r="M21" s="1">
        <f t="shared" si="4"/>
        <v>0.47100000000000003</v>
      </c>
      <c r="N21" t="str" cm="1">
        <f t="array" ref="N21">IFERROR(_xlfn.IFS(M21&gt;100%,"&gt;100%",AND(M21&lt;100%,M21&gt;70%),"&gt;70%",AND(M21&lt;70%,M21&gt;40%),"&gt;40%",AND(M21&lt;40%,M21&gt;0%),"&gt;0%"),"")</f>
        <v>&gt;40%</v>
      </c>
      <c r="O21" t="str">
        <f t="shared" si="5"/>
        <v>CARLOS CALAGUA</v>
      </c>
      <c r="X21" s="15" t="s">
        <v>29</v>
      </c>
      <c r="Y21" s="4">
        <v>0.41306357832988266</v>
      </c>
      <c r="AA21" s="15" t="s">
        <v>68</v>
      </c>
      <c r="AB21" s="3">
        <v>0.32621804511278196</v>
      </c>
      <c r="AF21" s="1"/>
      <c r="AG21" s="1"/>
      <c r="AH21" s="1"/>
      <c r="AI21" s="1"/>
    </row>
    <row r="22" spans="1:41" x14ac:dyDescent="0.25">
      <c r="A22" s="26" t="s">
        <v>4</v>
      </c>
      <c r="B22" s="26" t="str">
        <f>TRIM(DATA_SETIEMBRE[[#This Row],[ASESOR]])</f>
        <v>GIULIANA QUISPE</v>
      </c>
      <c r="C22" s="26" t="s">
        <v>71</v>
      </c>
      <c r="D22" s="26">
        <v>400</v>
      </c>
      <c r="E22">
        <v>1.1413533834586467</v>
      </c>
      <c r="F22" t="str">
        <f>DATA_SETIEMBRE[[#This Row],[SUPER]]</f>
        <v>MELINA</v>
      </c>
      <c r="L22">
        <v>2</v>
      </c>
      <c r="M22" s="1">
        <f t="shared" si="4"/>
        <v>0.27189285714285716</v>
      </c>
      <c r="N22" t="str" cm="1">
        <f t="array" ref="N22">IFERROR(_xlfn.IFS(M22&gt;100%,"&gt;100%",AND(M22&lt;100%,M22&gt;70%),"&gt;70%",AND(M22&lt;70%,M22&gt;40%),"&gt;40%",AND(M22&lt;40%,M22&gt;0%),"&gt;0%"),"")</f>
        <v>&gt;0%</v>
      </c>
      <c r="O22" t="str">
        <f t="shared" si="5"/>
        <v>MAYRA AVALOS</v>
      </c>
      <c r="AA22" s="15" t="s">
        <v>27</v>
      </c>
      <c r="AB22" s="3">
        <v>0.30714285714285716</v>
      </c>
      <c r="AF22" s="1"/>
      <c r="AG22" s="1"/>
      <c r="AH22" s="1"/>
      <c r="AI22" s="1"/>
    </row>
    <row r="23" spans="1:41" x14ac:dyDescent="0.25">
      <c r="A23" s="26" t="s">
        <v>4</v>
      </c>
      <c r="B23" s="26" t="str">
        <f>TRIM(DATA_SETIEMBRE[[#This Row],[ASESOR]])</f>
        <v>CHRISTIAN ALBUJAR</v>
      </c>
      <c r="C23" s="26" t="s">
        <v>53</v>
      </c>
      <c r="D23" s="26">
        <v>0</v>
      </c>
      <c r="E23">
        <v>0.34351428571428572</v>
      </c>
      <c r="F23" t="str">
        <f>DATA_SETIEMBRE[[#This Row],[SUPER]]</f>
        <v>MELINA</v>
      </c>
      <c r="L23">
        <v>3</v>
      </c>
      <c r="M23" s="1">
        <f t="shared" si="4"/>
        <v>0.13589601282308156</v>
      </c>
      <c r="N23" t="str" cm="1">
        <f t="array" ref="N23">IFERROR(_xlfn.IFS(M23&gt;100%,"&gt;100%",AND(M23&lt;100%,M23&gt;70%),"&gt;70%",AND(M23&lt;70%,M23&gt;40%),"&gt;40%",AND(M23&lt;40%,M23&gt;0%),"&gt;0%"),"")</f>
        <v>&gt;0%</v>
      </c>
      <c r="O23" t="str">
        <f t="shared" si="5"/>
        <v>MARCO SARMIENTO</v>
      </c>
      <c r="AA23" s="15" t="s">
        <v>51</v>
      </c>
      <c r="AB23" s="3">
        <v>0.29801190476190476</v>
      </c>
      <c r="AF23" s="1"/>
      <c r="AG23" s="1"/>
      <c r="AH23" s="1"/>
      <c r="AI23" s="1"/>
    </row>
    <row r="24" spans="1:41" x14ac:dyDescent="0.25">
      <c r="A24" s="26" t="s">
        <v>4</v>
      </c>
      <c r="B24" s="26" t="str">
        <f>TRIM(DATA_SETIEMBRE[[#This Row],[ASESOR]])</f>
        <v>GERSON LAZARO</v>
      </c>
      <c r="C24" s="26" t="s">
        <v>109</v>
      </c>
      <c r="D24" s="26">
        <v>0</v>
      </c>
      <c r="E24">
        <v>0.24011111111111111</v>
      </c>
      <c r="F24" t="str">
        <f>DATA_SETIEMBRE[[#This Row],[SUPER]]</f>
        <v>MELINA</v>
      </c>
      <c r="L24">
        <v>4</v>
      </c>
      <c r="M24" s="1">
        <f t="shared" si="4"/>
        <v>0.1077058993637941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5"/>
        <v>YENNY INGA</v>
      </c>
      <c r="AA24" s="15" t="s">
        <v>59</v>
      </c>
      <c r="AB24" s="3">
        <v>0.2923047619047619</v>
      </c>
      <c r="AF24" s="1"/>
      <c r="AG24" s="1"/>
      <c r="AH24" s="1"/>
      <c r="AI24" s="1"/>
    </row>
    <row r="25" spans="1:41" x14ac:dyDescent="0.25">
      <c r="A25" s="26" t="s">
        <v>4</v>
      </c>
      <c r="B25" s="26" t="str">
        <f>TRIM(DATA_SETIEMBRE[[#This Row],[ASESOR]])</f>
        <v>JACQUELINE COLLAHUACHO</v>
      </c>
      <c r="C25" s="26" t="s">
        <v>151</v>
      </c>
      <c r="D25" s="26">
        <v>0</v>
      </c>
      <c r="E25">
        <v>0</v>
      </c>
      <c r="F25" t="str">
        <f>DATA_SETIEMBRE[[#This Row],[SUPER]]</f>
        <v>MELINA</v>
      </c>
      <c r="L25">
        <v>5</v>
      </c>
      <c r="M25" s="1">
        <f t="shared" si="4"/>
        <v>7.1428571428571425E-2</v>
      </c>
      <c r="N25" t="str" cm="1">
        <f t="array" ref="N25">IFERROR(_xlfn.IFS(M25&gt;100%,"&gt;100%",AND(M25&lt;100%,M25&gt;70%),"&gt;70%",AND(M25&lt;70%,M25&gt;40%),"&gt;40%",AND(M25&lt;40%,M25&gt;0%),"&gt;0%"),"")</f>
        <v>&gt;0%</v>
      </c>
      <c r="O25" t="str">
        <f t="shared" si="5"/>
        <v>DARYL FERREL</v>
      </c>
      <c r="AA25" s="15" t="s">
        <v>65</v>
      </c>
      <c r="AB25" s="3">
        <v>0.281984126984127</v>
      </c>
      <c r="AF25" s="1"/>
      <c r="AG25" s="1"/>
      <c r="AH25" s="1"/>
      <c r="AI25" s="1"/>
    </row>
    <row r="26" spans="1:41" x14ac:dyDescent="0.25">
      <c r="A26" s="26" t="s">
        <v>4</v>
      </c>
      <c r="B26" s="26" t="str">
        <f>TRIM(DATA_SETIEMBRE[[#This Row],[ASESOR]])</f>
        <v>NARDIA URPIS</v>
      </c>
      <c r="C26" s="26" t="s">
        <v>74</v>
      </c>
      <c r="D26" s="26">
        <v>0</v>
      </c>
      <c r="E26">
        <v>0.17168202764976959</v>
      </c>
      <c r="F26" t="str">
        <f>DATA_SETIEMBRE[[#This Row],[SUPER]]</f>
        <v>MELINA</v>
      </c>
      <c r="L26">
        <v>6</v>
      </c>
      <c r="M26" s="1">
        <f t="shared" si="4"/>
        <v>0.32879464285714288</v>
      </c>
      <c r="N26" t="str" cm="1">
        <f t="array" ref="N26">IFERROR(_xlfn.IFS(M26&gt;100%,"&gt;100%",AND(M26&lt;100%,M26&gt;70%),"&gt;70%",AND(M26&lt;70%,M26&gt;40%),"&gt;40%",AND(M26&lt;40%,M26&gt;0%),"&gt;0%"),"")</f>
        <v>&gt;0%</v>
      </c>
      <c r="O26" t="str">
        <f t="shared" si="5"/>
        <v>HAROLD FLORES</v>
      </c>
      <c r="AA26" s="15" t="s">
        <v>28</v>
      </c>
      <c r="AB26" s="3">
        <v>0.27368421052631581</v>
      </c>
      <c r="AF26" s="1"/>
      <c r="AG26" s="1"/>
      <c r="AH26" s="1"/>
      <c r="AI26" s="1"/>
    </row>
    <row r="27" spans="1:41" x14ac:dyDescent="0.25">
      <c r="A27" s="26" t="s">
        <v>2</v>
      </c>
      <c r="B27" s="26" t="str">
        <f>TRIM(DATA_SETIEMBRE[[#This Row],[ASESOR]])</f>
        <v>GENESIS VICUÑA</v>
      </c>
      <c r="C27" s="26" t="s">
        <v>192</v>
      </c>
      <c r="D27" s="26">
        <v>10600</v>
      </c>
      <c r="E27">
        <v>0.3307056530214425</v>
      </c>
      <c r="F27" t="str">
        <f>DATA_SETIEMBRE[[#This Row],[SUPER]]</f>
        <v>JORGE</v>
      </c>
      <c r="L27">
        <v>7</v>
      </c>
      <c r="M27" s="1">
        <f t="shared" si="4"/>
        <v>0.18733928571428571</v>
      </c>
      <c r="N27" t="str" cm="1">
        <f t="array" ref="N27">IFERROR(_xlfn.IFS(M27&gt;100%,"&gt;100%",AND(M27&lt;100%,M27&gt;70%),"&gt;70%",AND(M27&lt;70%,M27&gt;40%),"&gt;40%",AND(M27&lt;40%,M27&gt;0%),"&gt;0%"),"")</f>
        <v>&gt;0%</v>
      </c>
      <c r="O27" t="str">
        <f t="shared" si="5"/>
        <v>JANETH PORTOCARRERO</v>
      </c>
      <c r="AA27" s="15" t="s">
        <v>33</v>
      </c>
      <c r="AB27" s="3">
        <v>0.27316252168883748</v>
      </c>
      <c r="AF27" s="1"/>
      <c r="AG27" s="1"/>
      <c r="AH27" s="1"/>
      <c r="AI27" s="1"/>
    </row>
    <row r="28" spans="1:41" x14ac:dyDescent="0.25">
      <c r="A28" s="26" t="s">
        <v>2</v>
      </c>
      <c r="B28" s="26" t="str">
        <f>TRIM(DATA_SETIEMBRE[[#This Row],[ASESOR]])</f>
        <v>MISHEL MORALES</v>
      </c>
      <c r="C28" s="26" t="s">
        <v>105</v>
      </c>
      <c r="D28" s="26">
        <v>6000</v>
      </c>
      <c r="E28">
        <v>0.56430659983291553</v>
      </c>
      <c r="F28" t="str">
        <f>DATA_SETIEMBRE[[#This Row],[SUPER]]</f>
        <v>JORGE</v>
      </c>
      <c r="L28">
        <v>8</v>
      </c>
      <c r="M28" s="1">
        <f t="shared" si="4"/>
        <v>1.1413533834586467</v>
      </c>
      <c r="N28" t="str" cm="1">
        <f t="array" ref="N28">IFERROR(_xlfn.IFS(M28&gt;100%,"&gt;100%",AND(M28&lt;100%,M28&gt;70%),"&gt;70%",AND(M28&lt;70%,M28&gt;40%),"&gt;40%",AND(M28&lt;40%,M28&gt;0%),"&gt;0%"),"")</f>
        <v>&gt;100%</v>
      </c>
      <c r="O28" t="str">
        <f t="shared" si="5"/>
        <v>GIULIANA QUISPE</v>
      </c>
      <c r="AA28" s="15" t="s">
        <v>55</v>
      </c>
      <c r="AB28" s="3">
        <v>0.27189285714285716</v>
      </c>
      <c r="AF28" s="1"/>
      <c r="AG28" s="1"/>
      <c r="AH28" s="1"/>
      <c r="AI28" s="1"/>
    </row>
    <row r="29" spans="1:41" x14ac:dyDescent="0.25">
      <c r="A29" s="26" t="s">
        <v>2</v>
      </c>
      <c r="B29" s="26" t="str">
        <f>TRIM(DATA_SETIEMBRE[[#This Row],[ASESOR]])</f>
        <v>CHRISTIAN ALVARADO</v>
      </c>
      <c r="C29" s="26" t="s">
        <v>41</v>
      </c>
      <c r="D29" s="26">
        <v>655</v>
      </c>
      <c r="E29">
        <v>0.11535714285714285</v>
      </c>
      <c r="F29" t="str">
        <f>DATA_SETIEMBRE[[#This Row],[SUPER]]</f>
        <v>JORGE</v>
      </c>
      <c r="L29">
        <v>9</v>
      </c>
      <c r="M29" s="1">
        <f t="shared" si="4"/>
        <v>0.34351428571428572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5"/>
        <v>CHRISTIAN ALBUJAR</v>
      </c>
      <c r="AA29" s="15" t="s">
        <v>140</v>
      </c>
      <c r="AB29" s="3">
        <v>0.27179202564616312</v>
      </c>
      <c r="AF29" s="1"/>
      <c r="AG29" s="1"/>
      <c r="AH29" s="1"/>
      <c r="AI29" s="1"/>
    </row>
    <row r="30" spans="1:41" x14ac:dyDescent="0.25">
      <c r="A30" s="26" t="s">
        <v>2</v>
      </c>
      <c r="B30" s="26" t="str">
        <f>TRIM(DATA_SETIEMBRE[[#This Row],[ASESOR]])</f>
        <v>GILBERTO PURIZACA</v>
      </c>
      <c r="C30" s="26" t="s">
        <v>66</v>
      </c>
      <c r="D30" s="26">
        <v>600</v>
      </c>
      <c r="E30">
        <v>0.19250905040378724</v>
      </c>
      <c r="F30" t="str">
        <f>DATA_SETIEMBRE[[#This Row],[SUPER]]</f>
        <v>JORGE</v>
      </c>
      <c r="L30">
        <v>10</v>
      </c>
      <c r="M30" s="1">
        <f t="shared" si="4"/>
        <v>0.24011111111111111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5"/>
        <v>GERSON LAZARO</v>
      </c>
      <c r="AA30" s="15" t="s">
        <v>50</v>
      </c>
      <c r="AB30" s="3">
        <v>0.26240139751552793</v>
      </c>
      <c r="AF30" s="1"/>
      <c r="AG30" s="1"/>
      <c r="AH30" s="1"/>
      <c r="AI30" s="1"/>
    </row>
    <row r="31" spans="1:41" x14ac:dyDescent="0.25">
      <c r="A31" s="26" t="s">
        <v>2</v>
      </c>
      <c r="B31" s="26" t="str">
        <f>TRIM(DATA_SETIEMBRE[[#This Row],[ASESOR]])</f>
        <v>MARIA HUARCAYA</v>
      </c>
      <c r="C31" s="26" t="s">
        <v>38</v>
      </c>
      <c r="D31" s="26">
        <v>278.5</v>
      </c>
      <c r="E31">
        <v>0.24866093117408905</v>
      </c>
      <c r="F31" t="str">
        <f>DATA_SETIEMBRE[[#This Row],[SUPER]]</f>
        <v>JORGE</v>
      </c>
      <c r="L31">
        <v>11</v>
      </c>
      <c r="M31" s="1">
        <f t="shared" si="4"/>
        <v>0</v>
      </c>
      <c r="N31" t="str" cm="1">
        <f t="array" ref="N31">IFERROR(_xlfn.IFS(M31&gt;100%,"&gt;100%",AND(M31&lt;100%,M31&gt;70%),"&gt;70%",AND(M31&lt;70%,M31&gt;40%),"&gt;40%",AND(M31&lt;40%,M31&gt;0%),"&gt;0%"),"")</f>
        <v/>
      </c>
      <c r="O31" t="str">
        <f t="shared" si="5"/>
        <v>JACQUELINE COLLAHUACHO</v>
      </c>
      <c r="AA31" s="15" t="s">
        <v>25</v>
      </c>
      <c r="AB31" s="3">
        <v>0.26066960317460319</v>
      </c>
      <c r="AF31" s="1"/>
      <c r="AG31" s="1"/>
      <c r="AH31" s="1"/>
      <c r="AI31" s="1"/>
    </row>
    <row r="32" spans="1:41" x14ac:dyDescent="0.25">
      <c r="A32" s="26" t="s">
        <v>2</v>
      </c>
      <c r="B32" s="26" t="str">
        <f>TRIM(DATA_SETIEMBRE[[#This Row],[ASESOR]])</f>
        <v>JHONATAN CHAVEZ</v>
      </c>
      <c r="C32" s="26" t="s">
        <v>65</v>
      </c>
      <c r="D32" s="26">
        <v>270</v>
      </c>
      <c r="E32">
        <v>0.281984126984127</v>
      </c>
      <c r="F32" t="str">
        <f>DATA_SETIEMBRE[[#This Row],[SUPER]]</f>
        <v>JORGE</v>
      </c>
      <c r="L32">
        <v>12</v>
      </c>
      <c r="M32" s="1">
        <f t="shared" si="4"/>
        <v>0.17168202764976959</v>
      </c>
      <c r="N32" t="str" cm="1">
        <f t="array" ref="N32">IFERROR(_xlfn.IFS(M32&gt;100%,"&gt;100%",AND(M32&lt;100%,M32&gt;70%),"&gt;70%",AND(M32&lt;70%,M32&gt;40%),"&gt;40%",AND(M32&lt;40%,M32&gt;0%),"&gt;0%"),"")</f>
        <v>&gt;0%</v>
      </c>
      <c r="O32" t="str">
        <f t="shared" si="5"/>
        <v>NARDIA URPIS</v>
      </c>
      <c r="AA32" s="15" t="s">
        <v>38</v>
      </c>
      <c r="AB32" s="3">
        <v>0.24866093117408905</v>
      </c>
      <c r="AF32" s="1"/>
      <c r="AG32" s="1"/>
      <c r="AH32" s="1"/>
      <c r="AI32" s="1"/>
    </row>
    <row r="33" spans="1:28" x14ac:dyDescent="0.25">
      <c r="A33" s="26" t="s">
        <v>2</v>
      </c>
      <c r="B33" s="26" t="str">
        <f>TRIM(DATA_SETIEMBRE[[#This Row],[ASESOR]])</f>
        <v>ANDERSON RODRIGUEZ</v>
      </c>
      <c r="C33" s="26" t="s">
        <v>15</v>
      </c>
      <c r="D33" s="26">
        <v>0</v>
      </c>
      <c r="E33">
        <v>6.2013729977116704E-2</v>
      </c>
      <c r="F33" t="str">
        <f>DATA_SETIEMBRE[[#This Row],[SUPER]]</f>
        <v>JORGE</v>
      </c>
      <c r="L33">
        <v>1</v>
      </c>
      <c r="M33" s="1">
        <f t="shared" si="4"/>
        <v>0.3307056530214425</v>
      </c>
      <c r="N33" t="str" cm="1">
        <f t="array" ref="N33">IFERROR(_xlfn.IFS(M33&gt;100%,"&gt;100%",AND(M33&lt;100%,M33&gt;70%),"&gt;70%",AND(M33&lt;70%,M33&gt;40%),"&gt;40%",AND(M33&lt;40%,M33&gt;0%),"&gt;0%"),"")</f>
        <v>&gt;0%</v>
      </c>
      <c r="O33" t="str">
        <f t="shared" si="5"/>
        <v>GENESIS VICUÑA</v>
      </c>
      <c r="AA33" s="15" t="s">
        <v>109</v>
      </c>
      <c r="AB33" s="3">
        <v>0.24011111111111111</v>
      </c>
    </row>
    <row r="34" spans="1:28" x14ac:dyDescent="0.25">
      <c r="A34" s="26" t="s">
        <v>2</v>
      </c>
      <c r="B34" s="26" t="str">
        <f>TRIM(DATA_SETIEMBRE[[#This Row],[ASESOR]])</f>
        <v>FRANS TACSI</v>
      </c>
      <c r="C34" s="26" t="s">
        <v>16</v>
      </c>
      <c r="D34" s="26">
        <v>0</v>
      </c>
      <c r="E34">
        <v>0.38990058479532164</v>
      </c>
      <c r="F34" t="str">
        <f>DATA_SETIEMBRE[[#This Row],[SUPER]]</f>
        <v>JORGE</v>
      </c>
      <c r="L34">
        <v>2</v>
      </c>
      <c r="M34" s="1">
        <f t="shared" si="4"/>
        <v>0.56430659983291553</v>
      </c>
      <c r="N34" t="str" cm="1">
        <f t="array" ref="N34">IFERROR(_xlfn.IFS(M34&gt;100%,"&gt;100%",AND(M34&lt;100%,M34&gt;70%),"&gt;70%",AND(M34&lt;70%,M34&gt;40%),"&gt;40%",AND(M34&lt;40%,M34&gt;0%),"&gt;0%"),"")</f>
        <v>&gt;40%</v>
      </c>
      <c r="O34" t="str">
        <f t="shared" si="5"/>
        <v>MISHEL MORALES</v>
      </c>
      <c r="AA34" s="15" t="s">
        <v>191</v>
      </c>
      <c r="AB34" s="3">
        <v>0.22208035714285712</v>
      </c>
    </row>
    <row r="35" spans="1:28" x14ac:dyDescent="0.25">
      <c r="A35" s="26" t="s">
        <v>2</v>
      </c>
      <c r="B35" s="26" t="str">
        <f>TRIM(DATA_SETIEMBRE[[#This Row],[ASESOR]])</f>
        <v/>
      </c>
      <c r="C35" s="26"/>
      <c r="D35" s="26"/>
      <c r="F35" t="str">
        <f>DATA_SETIEMBRE[[#This Row],[SUPER]]</f>
        <v>JORGE</v>
      </c>
      <c r="L35">
        <v>3</v>
      </c>
      <c r="M35" s="1">
        <f t="shared" si="4"/>
        <v>0.11535714285714285</v>
      </c>
      <c r="N35" t="str" cm="1">
        <f t="array" ref="N35">IFERROR(_xlfn.IFS(M35&gt;100%,"&gt;100%",AND(M35&lt;100%,M35&gt;70%),"&gt;70%",AND(M35&lt;70%,M35&gt;40%),"&gt;40%",AND(M35&lt;40%,M35&gt;0%),"&gt;0%"),"")</f>
        <v>&gt;0%</v>
      </c>
      <c r="O35" t="str">
        <f t="shared" si="5"/>
        <v>CHRISTIAN ALVARADO</v>
      </c>
      <c r="AA35" s="15" t="s">
        <v>115</v>
      </c>
      <c r="AB35" s="3">
        <v>0.20126501035196689</v>
      </c>
    </row>
    <row r="36" spans="1:28" x14ac:dyDescent="0.25">
      <c r="A36" s="26" t="s">
        <v>2</v>
      </c>
      <c r="B36" s="26" t="str">
        <f>TRIM(DATA_SETIEMBRE[[#This Row],[ASESOR]])</f>
        <v/>
      </c>
      <c r="C36" s="26"/>
      <c r="D36" s="26"/>
      <c r="F36" t="str">
        <f>DATA_SETIEMBRE[[#This Row],[SUPER]]</f>
        <v>JORGE</v>
      </c>
      <c r="L36">
        <v>4</v>
      </c>
      <c r="M36" s="1">
        <f t="shared" si="4"/>
        <v>0.19250905040378724</v>
      </c>
      <c r="N36" t="str" cm="1">
        <f t="array" ref="N36">IFERROR(_xlfn.IFS(M36&gt;100%,"&gt;100%",AND(M36&lt;100%,M36&gt;70%),"&gt;70%",AND(M36&lt;70%,M36&gt;40%),"&gt;40%",AND(M36&lt;40%,M36&gt;0%),"&gt;0%"),"")</f>
        <v>&gt;0%</v>
      </c>
      <c r="O36" t="str">
        <f t="shared" si="5"/>
        <v>GILBERTO PURIZACA</v>
      </c>
      <c r="AA36" s="15" t="s">
        <v>146</v>
      </c>
      <c r="AB36" s="3">
        <v>0.19295428571428572</v>
      </c>
    </row>
    <row r="37" spans="1:28" x14ac:dyDescent="0.25">
      <c r="A37" s="26" t="s">
        <v>2</v>
      </c>
      <c r="B37" s="26" t="str">
        <f>TRIM(DATA_SETIEMBRE[[#This Row],[ASESOR]])</f>
        <v/>
      </c>
      <c r="C37" s="26"/>
      <c r="D37" s="26"/>
      <c r="F37" t="str">
        <f>DATA_SETIEMBRE[[#This Row],[SUPER]]</f>
        <v>JORGE</v>
      </c>
      <c r="L37">
        <v>5</v>
      </c>
      <c r="M37" s="1">
        <f t="shared" si="4"/>
        <v>0.24866093117408905</v>
      </c>
      <c r="N37" t="str" cm="1">
        <f t="array" ref="N37">IFERROR(_xlfn.IFS(M37&gt;100%,"&gt;100%",AND(M37&lt;100%,M37&gt;70%),"&gt;70%",AND(M37&lt;70%,M37&gt;40%),"&gt;40%",AND(M37&lt;40%,M37&gt;0%),"&gt;0%"),"")</f>
        <v>&gt;0%</v>
      </c>
      <c r="O37" t="str">
        <f t="shared" si="5"/>
        <v>MARIA HUARCAYA</v>
      </c>
      <c r="AA37" s="15" t="s">
        <v>32</v>
      </c>
      <c r="AB37" s="3">
        <v>0.19295238095238093</v>
      </c>
    </row>
    <row r="38" spans="1:28" x14ac:dyDescent="0.25">
      <c r="A38" s="26" t="s">
        <v>2</v>
      </c>
      <c r="B38" s="26" t="str">
        <f>TRIM(DATA_SETIEMBRE[[#This Row],[ASESOR]])</f>
        <v/>
      </c>
      <c r="C38" s="26"/>
      <c r="D38" s="26"/>
      <c r="F38" t="str">
        <f>DATA_SETIEMBRE[[#This Row],[SUPER]]</f>
        <v>JORGE</v>
      </c>
      <c r="L38">
        <v>6</v>
      </c>
      <c r="M38" s="1">
        <f t="shared" si="4"/>
        <v>0.281984126984127</v>
      </c>
      <c r="N38" t="str" cm="1">
        <f t="array" ref="N38">IFERROR(_xlfn.IFS(M38&gt;100%,"&gt;100%",AND(M38&lt;100%,M38&gt;70%),"&gt;70%",AND(M38&lt;70%,M38&gt;40%),"&gt;40%",AND(M38&lt;40%,M38&gt;0%),"&gt;0%"),"")</f>
        <v>&gt;0%</v>
      </c>
      <c r="O38" t="str">
        <f t="shared" si="5"/>
        <v>JHONATAN CHAVEZ</v>
      </c>
      <c r="AA38" s="15" t="s">
        <v>66</v>
      </c>
      <c r="AB38" s="3">
        <v>0.19250905040378724</v>
      </c>
    </row>
    <row r="39" spans="1:28" x14ac:dyDescent="0.25">
      <c r="A39" s="26" t="s">
        <v>5</v>
      </c>
      <c r="B39" s="26" t="str">
        <f>TRIM(DATA_SETIEMBRE[[#This Row],[ASESOR]])</f>
        <v>ROCIO TERRONES</v>
      </c>
      <c r="C39" s="26" t="s">
        <v>128</v>
      </c>
      <c r="D39" s="26">
        <v>12780</v>
      </c>
      <c r="E39">
        <v>0.34570938215102975</v>
      </c>
      <c r="F39" t="str">
        <f>DATA_SETIEMBRE[[#This Row],[SUPER]]</f>
        <v>JORDAN</v>
      </c>
      <c r="L39">
        <v>7</v>
      </c>
      <c r="M39" s="1">
        <f t="shared" si="4"/>
        <v>6.2013729977116704E-2</v>
      </c>
      <c r="N39" t="str" cm="1">
        <f t="array" ref="N39">IFERROR(_xlfn.IFS(M39&gt;100%,"&gt;100%",AND(M39&lt;100%,M39&gt;70%),"&gt;70%",AND(M39&lt;70%,M39&gt;40%),"&gt;40%",AND(M39&lt;40%,M39&gt;0%),"&gt;0%"),"")</f>
        <v>&gt;0%</v>
      </c>
      <c r="O39" t="str">
        <f t="shared" si="5"/>
        <v>ANDERSON RODRIGUEZ</v>
      </c>
      <c r="AA39" s="15" t="s">
        <v>21</v>
      </c>
      <c r="AB39" s="3">
        <v>0.19236829997699562</v>
      </c>
    </row>
    <row r="40" spans="1:28" x14ac:dyDescent="0.25">
      <c r="A40" s="26" t="s">
        <v>5</v>
      </c>
      <c r="B40" s="26" t="str">
        <f>TRIM(DATA_SETIEMBRE[[#This Row],[ASESOR]])</f>
        <v>LUCERO JORDAN</v>
      </c>
      <c r="C40" s="26" t="s">
        <v>68</v>
      </c>
      <c r="D40" s="26">
        <v>4950</v>
      </c>
      <c r="E40">
        <v>0.32621804511278196</v>
      </c>
      <c r="F40" t="str">
        <f>DATA_SETIEMBRE[[#This Row],[SUPER]]</f>
        <v>JORDAN</v>
      </c>
      <c r="L40">
        <v>8</v>
      </c>
      <c r="M40" s="1">
        <f t="shared" si="4"/>
        <v>0.38990058479532164</v>
      </c>
      <c r="N40" t="str" cm="1">
        <f t="array" ref="N40">IFERROR(_xlfn.IFS(M40&gt;100%,"&gt;100%",AND(M40&lt;100%,M40&gt;70%),"&gt;70%",AND(M40&lt;70%,M40&gt;40%),"&gt;40%",AND(M40&lt;40%,M40&gt;0%),"&gt;0%"),"")</f>
        <v>&gt;0%</v>
      </c>
      <c r="O40" t="str">
        <f t="shared" si="5"/>
        <v>FRANS TACSI</v>
      </c>
      <c r="AA40" s="15" t="s">
        <v>49</v>
      </c>
      <c r="AB40" s="3">
        <v>0.18733928571428571</v>
      </c>
    </row>
    <row r="41" spans="1:28" x14ac:dyDescent="0.25">
      <c r="A41" s="26" t="s">
        <v>5</v>
      </c>
      <c r="B41" s="26" t="str">
        <f>TRIM(DATA_SETIEMBRE[[#This Row],[ASESOR]])</f>
        <v>ERIKA VILLAR</v>
      </c>
      <c r="C41" s="26" t="s">
        <v>72</v>
      </c>
      <c r="D41" s="26">
        <v>3634</v>
      </c>
      <c r="E41">
        <v>0.3571723753829017</v>
      </c>
      <c r="F41" t="str">
        <f>DATA_SETIEMBRE[[#This Row],[SUPER]]</f>
        <v>JORDAN</v>
      </c>
      <c r="L41">
        <v>9</v>
      </c>
      <c r="M41" s="1">
        <f t="shared" si="4"/>
        <v>0</v>
      </c>
      <c r="N41" t="str" cm="1">
        <f t="array" ref="N41">IFERROR(_xlfn.IFS(M41&gt;100%,"&gt;100%",AND(M41&lt;100%,M41&gt;70%),"&gt;70%",AND(M41&lt;70%,M41&gt;40%),"&gt;40%",AND(M41&lt;40%,M41&gt;0%),"&gt;0%"),"")</f>
        <v/>
      </c>
      <c r="O41" t="str">
        <f t="shared" si="5"/>
        <v/>
      </c>
      <c r="AA41" s="15" t="s">
        <v>60</v>
      </c>
      <c r="AB41" s="3">
        <v>0.18137060041407868</v>
      </c>
    </row>
    <row r="42" spans="1:28" x14ac:dyDescent="0.25">
      <c r="A42" s="26" t="s">
        <v>5</v>
      </c>
      <c r="B42" s="26" t="str">
        <f>TRIM(DATA_SETIEMBRE[[#This Row],[ASESOR]])</f>
        <v>MERLY CORONEL</v>
      </c>
      <c r="C42" s="26" t="s">
        <v>70</v>
      </c>
      <c r="D42" s="26">
        <v>1042</v>
      </c>
      <c r="E42">
        <v>0.12586020607073239</v>
      </c>
      <c r="F42" t="str">
        <f>DATA_SETIEMBRE[[#This Row],[SUPER]]</f>
        <v>JORDAN</v>
      </c>
      <c r="L42">
        <v>10</v>
      </c>
      <c r="M42" s="1">
        <f t="shared" si="4"/>
        <v>0</v>
      </c>
      <c r="N42" t="str" cm="1">
        <f t="array" ref="N42">IFERROR(_xlfn.IFS(M42&gt;100%,"&gt;100%",AND(M42&lt;100%,M42&gt;70%),"&gt;70%",AND(M42&lt;70%,M42&gt;40%),"&gt;40%",AND(M42&lt;40%,M42&gt;0%),"&gt;0%"),"")</f>
        <v/>
      </c>
      <c r="O42" t="str">
        <f t="shared" si="5"/>
        <v/>
      </c>
      <c r="AA42" s="15" t="s">
        <v>11</v>
      </c>
      <c r="AB42" s="3">
        <v>0.17898763515067864</v>
      </c>
    </row>
    <row r="43" spans="1:28" x14ac:dyDescent="0.25">
      <c r="A43" s="26" t="s">
        <v>5</v>
      </c>
      <c r="B43" s="26" t="str">
        <f>TRIM(DATA_SETIEMBRE[[#This Row],[ASESOR]])</f>
        <v>JENY LAZARO</v>
      </c>
      <c r="C43" s="26" t="s">
        <v>26</v>
      </c>
      <c r="D43" s="26">
        <v>600</v>
      </c>
      <c r="E43">
        <v>0.37089849624060151</v>
      </c>
      <c r="F43" t="str">
        <f>DATA_SETIEMBRE[[#This Row],[SUPER]]</f>
        <v>JORDAN</v>
      </c>
      <c r="L43">
        <v>11</v>
      </c>
      <c r="M43" s="1">
        <f t="shared" si="4"/>
        <v>0</v>
      </c>
      <c r="N43" t="str" cm="1">
        <f t="array" ref="N43">IFERROR(_xlfn.IFS(M43&gt;100%,"&gt;100%",AND(M43&lt;100%,M43&gt;70%),"&gt;70%",AND(M43&lt;70%,M43&gt;40%),"&gt;40%",AND(M43&lt;40%,M43&gt;0%),"&gt;0%"),"")</f>
        <v/>
      </c>
      <c r="O43" t="str">
        <f t="shared" si="5"/>
        <v/>
      </c>
      <c r="AA43" s="15" t="s">
        <v>74</v>
      </c>
      <c r="AB43" s="3">
        <v>0.17168202764976959</v>
      </c>
    </row>
    <row r="44" spans="1:28" x14ac:dyDescent="0.25">
      <c r="A44" s="26" t="s">
        <v>5</v>
      </c>
      <c r="B44" s="26" t="str">
        <f>TRIM(DATA_SETIEMBRE[[#This Row],[ASESOR]])</f>
        <v>NATALIA MARIN</v>
      </c>
      <c r="C44" s="26" t="s">
        <v>79</v>
      </c>
      <c r="D44" s="26">
        <v>600</v>
      </c>
      <c r="E44">
        <v>0.11663157894736842</v>
      </c>
      <c r="F44" t="str">
        <f>DATA_SETIEMBRE[[#This Row],[SUPER]]</f>
        <v>JORDAN</v>
      </c>
      <c r="L44">
        <v>12</v>
      </c>
      <c r="M44" s="1">
        <f t="shared" si="4"/>
        <v>0</v>
      </c>
      <c r="N44" t="str" cm="1">
        <f t="array" ref="N44">IFERROR(_xlfn.IFS(M44&gt;100%,"&gt;100%",AND(M44&lt;100%,M44&gt;70%),"&gt;70%",AND(M44&lt;70%,M44&gt;40%),"&gt;40%",AND(M44&lt;40%,M44&gt;0%),"&gt;0%"),"")</f>
        <v/>
      </c>
      <c r="O44" t="str">
        <f t="shared" si="5"/>
        <v/>
      </c>
      <c r="AA44" s="15" t="s">
        <v>61</v>
      </c>
      <c r="AB44" s="3">
        <v>0.15187619047619047</v>
      </c>
    </row>
    <row r="45" spans="1:28" x14ac:dyDescent="0.25">
      <c r="A45" s="26" t="s">
        <v>5</v>
      </c>
      <c r="B45" s="26" t="str">
        <f>TRIM(DATA_SETIEMBRE[[#This Row],[ASESOR]])</f>
        <v>JESSICA MELGAREJO</v>
      </c>
      <c r="C45" s="26" t="s">
        <v>112</v>
      </c>
      <c r="D45" s="26">
        <v>0</v>
      </c>
      <c r="E45">
        <v>5.4464912280701758E-2</v>
      </c>
      <c r="F45" t="str">
        <f>DATA_SETIEMBRE[[#This Row],[SUPER]]</f>
        <v>JORDAN</v>
      </c>
      <c r="L45">
        <v>1</v>
      </c>
      <c r="M45" s="1">
        <f t="shared" si="4"/>
        <v>0.34570938215102975</v>
      </c>
      <c r="N45" t="str" cm="1">
        <f t="array" ref="N45">IFERROR(_xlfn.IFS(M45&gt;100%,"&gt;100%",AND(M45&lt;100%,M45&gt;70%),"&gt;70%",AND(M45&lt;70%,M45&gt;40%),"&gt;40%",AND(M45&lt;40%,M45&gt;0%),"&gt;0%"),"")</f>
        <v>&gt;0%</v>
      </c>
      <c r="O45" t="str">
        <f t="shared" si="5"/>
        <v>ROCIO TERRONES</v>
      </c>
      <c r="AA45" s="15" t="s">
        <v>106</v>
      </c>
      <c r="AB45" s="3">
        <v>0.15089999999999998</v>
      </c>
    </row>
    <row r="46" spans="1:28" x14ac:dyDescent="0.25">
      <c r="A46" s="26" t="s">
        <v>5</v>
      </c>
      <c r="B46" s="26" t="str">
        <f>TRIM(DATA_SETIEMBRE[[#This Row],[ASESOR]])</f>
        <v>ERICK PORTILLA</v>
      </c>
      <c r="C46" s="26" t="s">
        <v>28</v>
      </c>
      <c r="D46" s="26">
        <v>0</v>
      </c>
      <c r="E46">
        <v>0.27368421052631581</v>
      </c>
      <c r="F46" t="str">
        <f>DATA_SETIEMBRE[[#This Row],[SUPER]]</f>
        <v>JORDAN</v>
      </c>
      <c r="L46">
        <v>2</v>
      </c>
      <c r="M46" s="1">
        <f t="shared" si="4"/>
        <v>0.32621804511278196</v>
      </c>
      <c r="N46" t="str" cm="1">
        <f t="array" ref="N46">IFERROR(_xlfn.IFS(M46&gt;100%,"&gt;100%",AND(M46&lt;100%,M46&gt;70%),"&gt;70%",AND(M46&lt;70%,M46&gt;40%),"&gt;40%",AND(M46&lt;40%,M46&gt;0%),"&gt;0%"),"")</f>
        <v>&gt;0%</v>
      </c>
      <c r="O46" t="str">
        <f t="shared" si="5"/>
        <v>LUCERO JORDAN</v>
      </c>
      <c r="AA46" s="15" t="s">
        <v>116</v>
      </c>
      <c r="AB46" s="3">
        <v>0.14103571428571429</v>
      </c>
    </row>
    <row r="47" spans="1:28" x14ac:dyDescent="0.25">
      <c r="A47" s="26" t="s">
        <v>5</v>
      </c>
      <c r="B47" s="26" t="str">
        <f>TRIM(DATA_SETIEMBRE[[#This Row],[ASESOR]])</f>
        <v/>
      </c>
      <c r="C47" s="26"/>
      <c r="D47" s="26"/>
      <c r="F47" t="str">
        <f>DATA_SETIEMBRE[[#This Row],[SUPER]]</f>
        <v>JORDAN</v>
      </c>
      <c r="L47">
        <v>3</v>
      </c>
      <c r="M47" s="1">
        <f t="shared" si="4"/>
        <v>0.3571723753829017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5"/>
        <v>ERIKA VILLAR</v>
      </c>
      <c r="AA47" s="15" t="s">
        <v>58</v>
      </c>
      <c r="AB47" s="3">
        <v>0.13895229468599032</v>
      </c>
    </row>
    <row r="48" spans="1:28" x14ac:dyDescent="0.25">
      <c r="A48" s="26" t="s">
        <v>5</v>
      </c>
      <c r="B48" s="26" t="str">
        <f>TRIM(DATA_SETIEMBRE[[#This Row],[ASESOR]])</f>
        <v/>
      </c>
      <c r="C48" s="26"/>
      <c r="D48" s="26"/>
      <c r="F48" t="str">
        <f>DATA_SETIEMBRE[[#This Row],[SUPER]]</f>
        <v>JORDAN</v>
      </c>
      <c r="L48">
        <v>4</v>
      </c>
      <c r="M48" s="1">
        <f t="shared" si="4"/>
        <v>0.12586020607073239</v>
      </c>
      <c r="N48" t="str" cm="1">
        <f t="array" ref="N48">IFERROR(_xlfn.IFS(M48&gt;100%,"&gt;100%",AND(M48&lt;100%,M48&gt;70%),"&gt;70%",AND(M48&lt;70%,M48&gt;40%),"&gt;40%",AND(M48&lt;40%,M48&gt;0%),"&gt;0%"),"")</f>
        <v>&gt;0%</v>
      </c>
      <c r="O48" t="str">
        <f t="shared" si="5"/>
        <v>MERLY CORONEL</v>
      </c>
      <c r="AA48" s="15" t="s">
        <v>69</v>
      </c>
      <c r="AB48" s="3">
        <v>0.13285001150218542</v>
      </c>
    </row>
    <row r="49" spans="1:28" x14ac:dyDescent="0.25">
      <c r="A49" s="26" t="s">
        <v>5</v>
      </c>
      <c r="B49" s="26" t="str">
        <f>TRIM(DATA_SETIEMBRE[[#This Row],[ASESOR]])</f>
        <v/>
      </c>
      <c r="C49" s="26"/>
      <c r="D49" s="26"/>
      <c r="F49" t="str">
        <f>DATA_SETIEMBRE[[#This Row],[SUPER]]</f>
        <v>JORDAN</v>
      </c>
      <c r="L49">
        <v>5</v>
      </c>
      <c r="M49" s="1">
        <f t="shared" si="4"/>
        <v>0.37089849624060151</v>
      </c>
      <c r="N49" t="str" cm="1">
        <f t="array" ref="N49">IFERROR(_xlfn.IFS(M49&gt;100%,"&gt;100%",AND(M49&lt;100%,M49&gt;70%),"&gt;70%",AND(M49&lt;70%,M49&gt;40%),"&gt;40%",AND(M49&lt;40%,M49&gt;0%),"&gt;0%"),"")</f>
        <v>&gt;0%</v>
      </c>
      <c r="O49" t="str">
        <f t="shared" si="5"/>
        <v>JENY LAZARO</v>
      </c>
      <c r="AA49" s="15" t="s">
        <v>70</v>
      </c>
      <c r="AB49" s="3">
        <v>0.12586020607073239</v>
      </c>
    </row>
    <row r="50" spans="1:28" x14ac:dyDescent="0.25">
      <c r="A50" s="26" t="s">
        <v>5</v>
      </c>
      <c r="B50" s="26" t="str">
        <f>TRIM(DATA_SETIEMBRE[[#This Row],[ASESOR]])</f>
        <v/>
      </c>
      <c r="C50" s="26"/>
      <c r="D50" s="26"/>
      <c r="F50" t="str">
        <f>DATA_SETIEMBRE[[#This Row],[SUPER]]</f>
        <v>JORDAN</v>
      </c>
      <c r="L50">
        <v>6</v>
      </c>
      <c r="M50" s="1">
        <f t="shared" si="4"/>
        <v>0.11663157894736842</v>
      </c>
      <c r="N50" t="str" cm="1">
        <f t="array" ref="N50">IFERROR(_xlfn.IFS(M50&gt;100%,"&gt;100%",AND(M50&lt;100%,M50&gt;70%),"&gt;70%",AND(M50&lt;70%,M50&gt;40%),"&gt;40%",AND(M50&lt;40%,M50&gt;0%),"&gt;0%"),"")</f>
        <v>&gt;0%</v>
      </c>
      <c r="O50" t="str">
        <f t="shared" si="5"/>
        <v>NATALIA MARIN</v>
      </c>
      <c r="AA50" s="15" t="s">
        <v>36</v>
      </c>
      <c r="AB50" s="3">
        <v>0.11831455729625065</v>
      </c>
    </row>
    <row r="51" spans="1:28" x14ac:dyDescent="0.25">
      <c r="A51" s="26" t="s">
        <v>6</v>
      </c>
      <c r="B51" s="26" t="str">
        <f>TRIM(DATA_SETIEMBRE[[#This Row],[ASESOR]])</f>
        <v>LUPITA HIDALGO</v>
      </c>
      <c r="C51" s="26" t="s">
        <v>115</v>
      </c>
      <c r="D51" s="26">
        <v>5150</v>
      </c>
      <c r="E51">
        <v>0.20126501035196689</v>
      </c>
      <c r="F51" t="str">
        <f>DATA_SETIEMBRE[[#This Row],[SUPER]]</f>
        <v>KENNETH</v>
      </c>
      <c r="L51">
        <v>7</v>
      </c>
      <c r="M51" s="1">
        <f t="shared" si="4"/>
        <v>5.4464912280701758E-2</v>
      </c>
      <c r="N51" t="str" cm="1">
        <f t="array" ref="N51">IFERROR(_xlfn.IFS(M51&gt;100%,"&gt;100%",AND(M51&lt;100%,M51&gt;70%),"&gt;70%",AND(M51&lt;70%,M51&gt;40%),"&gt;40%",AND(M51&lt;40%,M51&gt;0%),"&gt;0%"),"")</f>
        <v>&gt;0%</v>
      </c>
      <c r="O51" t="str">
        <f t="shared" si="5"/>
        <v>JESSICA MELGAREJO</v>
      </c>
      <c r="AA51" s="15" t="s">
        <v>79</v>
      </c>
      <c r="AB51" s="3">
        <v>0.11663157894736842</v>
      </c>
    </row>
    <row r="52" spans="1:28" x14ac:dyDescent="0.25">
      <c r="A52" s="26" t="s">
        <v>6</v>
      </c>
      <c r="B52" s="26" t="str">
        <f>TRIM(DATA_SETIEMBRE[[#This Row],[ASESOR]])</f>
        <v>MARIA TINTAYA</v>
      </c>
      <c r="C52" s="26" t="s">
        <v>75</v>
      </c>
      <c r="D52" s="26">
        <v>4500</v>
      </c>
      <c r="E52">
        <v>0.3943840579710145</v>
      </c>
      <c r="F52" t="str">
        <f>DATA_SETIEMBRE[[#This Row],[SUPER]]</f>
        <v>KENNETH</v>
      </c>
      <c r="L52">
        <v>8</v>
      </c>
      <c r="M52" s="1">
        <f t="shared" si="4"/>
        <v>0.27368421052631581</v>
      </c>
      <c r="N52" t="str" cm="1">
        <f t="array" ref="N52">IFERROR(_xlfn.IFS(M52&gt;100%,"&gt;100%",AND(M52&lt;100%,M52&gt;70%),"&gt;70%",AND(M52&lt;70%,M52&gt;40%),"&gt;40%",AND(M52&lt;40%,M52&gt;0%),"&gt;0%"),"")</f>
        <v>&gt;0%</v>
      </c>
      <c r="O52" t="str">
        <f t="shared" si="5"/>
        <v>ERICK PORTILLA</v>
      </c>
      <c r="AA52" s="15" t="s">
        <v>41</v>
      </c>
      <c r="AB52" s="3">
        <v>0.11535714285714285</v>
      </c>
    </row>
    <row r="53" spans="1:28" x14ac:dyDescent="0.25">
      <c r="A53" s="26" t="s">
        <v>6</v>
      </c>
      <c r="B53" s="26" t="str">
        <f>TRIM(DATA_SETIEMBRE[[#This Row],[ASESOR]])</f>
        <v>URSULA CENTENO</v>
      </c>
      <c r="C53" s="26" t="s">
        <v>78</v>
      </c>
      <c r="D53" s="26">
        <v>3500</v>
      </c>
      <c r="E53">
        <v>0.36327076000690134</v>
      </c>
      <c r="F53" t="str">
        <f>DATA_SETIEMBRE[[#This Row],[SUPER]]</f>
        <v>KENNETH</v>
      </c>
      <c r="L53">
        <v>9</v>
      </c>
      <c r="M53" s="1">
        <f t="shared" si="4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5"/>
        <v/>
      </c>
      <c r="AA53" s="15" t="s">
        <v>39</v>
      </c>
      <c r="AB53" s="3">
        <v>0.1077058993637941</v>
      </c>
    </row>
    <row r="54" spans="1:28" x14ac:dyDescent="0.25">
      <c r="A54" s="26" t="s">
        <v>6</v>
      </c>
      <c r="B54" s="26" t="str">
        <f>TRIM(DATA_SETIEMBRE[[#This Row],[ASESOR]])</f>
        <v>EVELY TENORIO</v>
      </c>
      <c r="C54" s="26" t="s">
        <v>22</v>
      </c>
      <c r="D54" s="26">
        <v>800</v>
      </c>
      <c r="E54">
        <v>0.56550672877846786</v>
      </c>
      <c r="F54" t="str">
        <f>DATA_SETIEMBRE[[#This Row],[SUPER]]</f>
        <v>KENNETH</v>
      </c>
      <c r="L54">
        <v>10</v>
      </c>
      <c r="M54" s="1">
        <f t="shared" si="4"/>
        <v>0</v>
      </c>
      <c r="N54" t="str" cm="1">
        <f t="array" ref="N54">IFERROR(_xlfn.IFS(M54&gt;100%,"&gt;100%",AND(M54&lt;100%,M54&gt;70%),"&gt;70%",AND(M54&lt;70%,M54&gt;40%),"&gt;40%",AND(M54&lt;40%,M54&gt;0%),"&gt;0%"),"")</f>
        <v/>
      </c>
      <c r="O54" t="str">
        <f t="shared" si="5"/>
        <v/>
      </c>
      <c r="AA54" s="15" t="s">
        <v>118</v>
      </c>
      <c r="AB54" s="3">
        <v>0.10535714285714286</v>
      </c>
    </row>
    <row r="55" spans="1:28" x14ac:dyDescent="0.25">
      <c r="A55" s="26" t="s">
        <v>6</v>
      </c>
      <c r="B55" s="26" t="str">
        <f>TRIM(DATA_SETIEMBRE[[#This Row],[ASESOR]])</f>
        <v>LUIS CENTENO</v>
      </c>
      <c r="C55" s="26" t="s">
        <v>31</v>
      </c>
      <c r="D55" s="26">
        <v>0</v>
      </c>
      <c r="E55">
        <v>0.47635235873965848</v>
      </c>
      <c r="F55" t="str">
        <f>DATA_SETIEMBRE[[#This Row],[SUPER]]</f>
        <v>KENNETH</v>
      </c>
      <c r="L55">
        <v>11</v>
      </c>
      <c r="M55" s="1">
        <f t="shared" si="4"/>
        <v>0</v>
      </c>
      <c r="N55" t="str" cm="1">
        <f t="array" ref="N55">IFERROR(_xlfn.IFS(M55&gt;100%,"&gt;100%",AND(M55&lt;100%,M55&gt;70%),"&gt;70%",AND(M55&lt;70%,M55&gt;40%),"&gt;40%",AND(M55&lt;40%,M55&gt;0%),"&gt;0%"),"")</f>
        <v/>
      </c>
      <c r="O55" t="str">
        <f t="shared" si="5"/>
        <v/>
      </c>
      <c r="AA55" s="15" t="s">
        <v>132</v>
      </c>
      <c r="AB55" s="3">
        <v>8.6870709382151023E-2</v>
      </c>
    </row>
    <row r="56" spans="1:28" x14ac:dyDescent="0.25">
      <c r="A56" s="26" t="s">
        <v>6</v>
      </c>
      <c r="B56" s="26" t="str">
        <f>TRIM(DATA_SETIEMBRE[[#This Row],[ASESOR]])</f>
        <v>MARGARITA PIANCHACHI</v>
      </c>
      <c r="C56" s="26" t="s">
        <v>17</v>
      </c>
      <c r="D56" s="26">
        <v>0</v>
      </c>
      <c r="E56">
        <v>1.3480216241085807</v>
      </c>
      <c r="F56" t="str">
        <f>DATA_SETIEMBRE[[#This Row],[SUPER]]</f>
        <v>KENNETH</v>
      </c>
      <c r="L56">
        <v>12</v>
      </c>
      <c r="M56" s="1">
        <f t="shared" si="4"/>
        <v>0</v>
      </c>
      <c r="N56" t="str" cm="1">
        <f t="array" ref="N56">IFERROR(_xlfn.IFS(M56&gt;100%,"&gt;100%",AND(M56&lt;100%,M56&gt;70%),"&gt;70%",AND(M56&lt;70%,M56&gt;40%),"&gt;40%",AND(M56&lt;40%,M56&gt;0%),"&gt;0%"),"")</f>
        <v/>
      </c>
      <c r="O56" t="str">
        <f t="shared" si="5"/>
        <v/>
      </c>
      <c r="AA56" s="15" t="s">
        <v>80</v>
      </c>
      <c r="AB56" s="3">
        <v>8.5714285714285715E-2</v>
      </c>
    </row>
    <row r="57" spans="1:28" x14ac:dyDescent="0.25">
      <c r="A57" s="26" t="s">
        <v>6</v>
      </c>
      <c r="B57" s="26" t="str">
        <f>TRIM(DATA_SETIEMBRE[[#This Row],[ASESOR]])</f>
        <v>LUIS VALLADARES</v>
      </c>
      <c r="C57" s="26" t="s">
        <v>29</v>
      </c>
      <c r="D57" s="26">
        <v>0</v>
      </c>
      <c r="E57">
        <v>0.41306357832988266</v>
      </c>
      <c r="F57" t="str">
        <f>DATA_SETIEMBRE[[#This Row],[SUPER]]</f>
        <v>KENNETH</v>
      </c>
      <c r="L57">
        <v>1</v>
      </c>
      <c r="M57" s="1">
        <f t="shared" si="4"/>
        <v>0.20126501035196689</v>
      </c>
      <c r="N57" t="str" cm="1">
        <f t="array" ref="N57">IFERROR(_xlfn.IFS(M57&gt;100%,"&gt;100%",AND(M57&lt;100%,M57&gt;70%),"&gt;70%",AND(M57&lt;70%,M57&gt;40%),"&gt;40%",AND(M57&lt;40%,M57&gt;0%),"&gt;0%"),"")</f>
        <v>&gt;0%</v>
      </c>
      <c r="O57" t="str">
        <f t="shared" si="5"/>
        <v>LUPITA HIDALGO</v>
      </c>
      <c r="AA57" s="15" t="s">
        <v>40</v>
      </c>
      <c r="AB57" s="3">
        <v>7.1428571428571425E-2</v>
      </c>
    </row>
    <row r="58" spans="1:28" x14ac:dyDescent="0.25">
      <c r="A58" s="26" t="s">
        <v>6</v>
      </c>
      <c r="B58" s="26" t="str">
        <f>TRIM(DATA_SETIEMBRE[[#This Row],[ASESOR]])</f>
        <v>MEDALITH NESTARES</v>
      </c>
      <c r="C58" s="26" t="s">
        <v>36</v>
      </c>
      <c r="D58" s="26">
        <v>0</v>
      </c>
      <c r="E58">
        <v>0.11831455729625065</v>
      </c>
      <c r="F58" t="str">
        <f>DATA_SETIEMBRE[[#This Row],[SUPER]]</f>
        <v>KENNETH</v>
      </c>
      <c r="L58">
        <v>2</v>
      </c>
      <c r="M58" s="1">
        <f t="shared" si="4"/>
        <v>0.3943840579710145</v>
      </c>
      <c r="N58" t="str" cm="1">
        <f t="array" ref="N58">IFERROR(_xlfn.IFS(M58&gt;100%,"&gt;100%",AND(M58&lt;100%,M58&gt;70%),"&gt;70%",AND(M58&lt;70%,M58&gt;40%),"&gt;40%",AND(M58&lt;40%,M58&gt;0%),"&gt;0%"),"")</f>
        <v>&gt;0%</v>
      </c>
      <c r="O58" t="str">
        <f t="shared" si="5"/>
        <v>MARIA TINTAYA</v>
      </c>
      <c r="AA58" s="15" t="s">
        <v>15</v>
      </c>
      <c r="AB58" s="3">
        <v>6.2013729977116704E-2</v>
      </c>
    </row>
    <row r="59" spans="1:28" x14ac:dyDescent="0.25">
      <c r="A59" s="26" t="s">
        <v>6</v>
      </c>
      <c r="B59" s="26" t="str">
        <f>TRIM(DATA_SETIEMBRE[[#This Row],[ASESOR]])</f>
        <v/>
      </c>
      <c r="C59" s="26"/>
      <c r="D59" s="26"/>
      <c r="F59" t="str">
        <f>DATA_SETIEMBRE[[#This Row],[SUPER]]</f>
        <v>KENNETH</v>
      </c>
      <c r="L59">
        <v>3</v>
      </c>
      <c r="M59" s="1">
        <f t="shared" si="4"/>
        <v>0.36327076000690134</v>
      </c>
      <c r="N59" t="str" cm="1">
        <f t="array" ref="N59">IFERROR(_xlfn.IFS(M59&gt;100%,"&gt;100%",AND(M59&lt;100%,M59&gt;70%),"&gt;70%",AND(M59&lt;70%,M59&gt;40%),"&gt;40%",AND(M59&lt;40%,M59&gt;0%),"&gt;0%"),"")</f>
        <v>&gt;0%</v>
      </c>
      <c r="O59" t="str">
        <f t="shared" si="5"/>
        <v>URSULA CENTENO</v>
      </c>
      <c r="AA59" s="15" t="s">
        <v>54</v>
      </c>
      <c r="AB59" s="3">
        <v>5.8071428571428572E-2</v>
      </c>
    </row>
    <row r="60" spans="1:28" x14ac:dyDescent="0.25">
      <c r="A60" s="26" t="s">
        <v>6</v>
      </c>
      <c r="B60" s="26" t="str">
        <f>TRIM(DATA_SETIEMBRE[[#This Row],[ASESOR]])</f>
        <v/>
      </c>
      <c r="C60" s="26"/>
      <c r="D60" s="26"/>
      <c r="F60" t="str">
        <f>DATA_SETIEMBRE[[#This Row],[SUPER]]</f>
        <v>KENNETH</v>
      </c>
      <c r="L60">
        <v>4</v>
      </c>
      <c r="M60" s="1">
        <f t="shared" si="4"/>
        <v>0.56550672877846786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5"/>
        <v>EVELY TENORIO</v>
      </c>
      <c r="AA60" s="15" t="s">
        <v>112</v>
      </c>
      <c r="AB60" s="3">
        <v>5.4464912280701758E-2</v>
      </c>
    </row>
    <row r="61" spans="1:28" x14ac:dyDescent="0.25">
      <c r="A61" s="26" t="s">
        <v>6</v>
      </c>
      <c r="B61" s="26" t="str">
        <f>TRIM(DATA_SETIEMBRE[[#This Row],[ASESOR]])</f>
        <v/>
      </c>
      <c r="C61" s="26"/>
      <c r="D61" s="26"/>
      <c r="F61" t="str">
        <f>DATA_SETIEMBRE[[#This Row],[SUPER]]</f>
        <v>KENNETH</v>
      </c>
      <c r="L61">
        <v>5</v>
      </c>
      <c r="M61" s="1">
        <f t="shared" si="4"/>
        <v>0.47635235873965848</v>
      </c>
      <c r="N61" t="str" cm="1">
        <f t="array" ref="N61">IFERROR(_xlfn.IFS(M61&gt;100%,"&gt;100%",AND(M61&lt;100%,M61&gt;70%),"&gt;70%",AND(M61&lt;70%,M61&gt;40%),"&gt;40%",AND(M61&lt;40%,M61&gt;0%),"&gt;0%"),"")</f>
        <v>&gt;40%</v>
      </c>
      <c r="O61" t="str">
        <f t="shared" si="5"/>
        <v>LUIS CENTENO</v>
      </c>
      <c r="AA61" s="15" t="s">
        <v>133</v>
      </c>
      <c r="AB61" s="3">
        <v>2.1428571428571429E-2</v>
      </c>
    </row>
    <row r="62" spans="1:28" x14ac:dyDescent="0.25">
      <c r="A62" s="26" t="s">
        <v>6</v>
      </c>
      <c r="B62" s="26" t="str">
        <f>TRIM(DATA_SETIEMBRE[[#This Row],[ASESOR]])</f>
        <v/>
      </c>
      <c r="C62" s="26"/>
      <c r="D62" s="26"/>
      <c r="F62" t="str">
        <f>DATA_SETIEMBRE[[#This Row],[SUPER]]</f>
        <v>KENNETH</v>
      </c>
      <c r="L62">
        <v>6</v>
      </c>
      <c r="M62" s="1">
        <f t="shared" si="4"/>
        <v>1.3480216241085807</v>
      </c>
      <c r="N62" t="str" cm="1">
        <f t="array" ref="N62">IFERROR(_xlfn.IFS(M62&gt;100%,"&gt;100%",AND(M62&lt;100%,M62&gt;70%),"&gt;70%",AND(M62&lt;70%,M62&gt;40%),"&gt;40%",AND(M62&lt;40%,M62&gt;0%),"&gt;0%"),"")</f>
        <v>&gt;100%</v>
      </c>
      <c r="O62" t="str">
        <f t="shared" si="5"/>
        <v>MARGARITA PIANCHACHI</v>
      </c>
      <c r="AA62" s="15" t="s">
        <v>125</v>
      </c>
      <c r="AB62" s="3">
        <v>9.0277777777777769E-3</v>
      </c>
    </row>
    <row r="63" spans="1:28" x14ac:dyDescent="0.25">
      <c r="A63" s="26" t="s">
        <v>7</v>
      </c>
      <c r="B63" s="26" t="str">
        <f>TRIM(DATA_SETIEMBRE[[#This Row],[ASESOR]])</f>
        <v/>
      </c>
      <c r="C63" s="26"/>
      <c r="D63" s="26"/>
      <c r="F63" t="str">
        <f>DATA_SETIEMBRE[[#This Row],[SUPER]]</f>
        <v>LEONOR</v>
      </c>
      <c r="L63">
        <v>7</v>
      </c>
      <c r="M63" s="1">
        <f t="shared" si="4"/>
        <v>0.41306357832988266</v>
      </c>
      <c r="N63" t="str" cm="1">
        <f t="array" ref="N63">IFERROR(_xlfn.IFS(M63&gt;100%,"&gt;100%",AND(M63&lt;100%,M63&gt;70%),"&gt;70%",AND(M63&lt;70%,M63&gt;40%),"&gt;40%",AND(M63&lt;40%,M63&gt;0%),"&gt;0%"),"")</f>
        <v>&gt;40%</v>
      </c>
      <c r="O63" t="str">
        <f t="shared" si="5"/>
        <v>LUIS VALLADARES</v>
      </c>
      <c r="AA63" s="15" t="s">
        <v>18</v>
      </c>
      <c r="AB63" s="4">
        <v>7.6086956521739134E-3</v>
      </c>
    </row>
    <row r="64" spans="1:28" x14ac:dyDescent="0.25">
      <c r="A64" s="26" t="s">
        <v>7</v>
      </c>
      <c r="B64" s="26" t="str">
        <f>TRIM(DATA_SETIEMBRE[[#This Row],[ASESOR]])</f>
        <v>ANALUCIA PONCE</v>
      </c>
      <c r="C64" s="26" t="s">
        <v>60</v>
      </c>
      <c r="D64" s="38">
        <v>5300</v>
      </c>
      <c r="E64">
        <v>0.18137060041407868</v>
      </c>
      <c r="F64" t="str">
        <f>DATA_SETIEMBRE[[#This Row],[SUPER]]</f>
        <v>LEONOR</v>
      </c>
      <c r="L64">
        <v>8</v>
      </c>
      <c r="M64" s="1">
        <f t="shared" si="4"/>
        <v>0.11831455729625065</v>
      </c>
      <c r="N64" t="str" cm="1">
        <f t="array" ref="N64">IFERROR(_xlfn.IFS(M64&gt;100%,"&gt;100%",AND(M64&lt;100%,M64&gt;70%),"&gt;70%",AND(M64&lt;70%,M64&gt;40%),"&gt;40%",AND(M64&lt;40%,M64&gt;0%),"&gt;0%"),"")</f>
        <v>&gt;0%</v>
      </c>
      <c r="O64" t="str">
        <f t="shared" si="5"/>
        <v>MEDALITH NESTARES</v>
      </c>
    </row>
    <row r="65" spans="1:15" x14ac:dyDescent="0.25">
      <c r="A65" s="26" t="s">
        <v>7</v>
      </c>
      <c r="B65" s="26" t="str">
        <f>TRIM(DATA_SETIEMBRE[[#This Row],[ASESOR]])</f>
        <v>ANTHONY TORRES</v>
      </c>
      <c r="C65" s="26" t="s">
        <v>69</v>
      </c>
      <c r="D65" s="38">
        <v>3600</v>
      </c>
      <c r="E65">
        <v>0.13285001150218542</v>
      </c>
      <c r="F65" t="str">
        <f>DATA_SETIEMBRE[[#This Row],[SUPER]]</f>
        <v>LEONOR</v>
      </c>
      <c r="L65">
        <v>9</v>
      </c>
      <c r="M65" s="1">
        <f t="shared" si="4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5"/>
        <v/>
      </c>
    </row>
    <row r="66" spans="1:15" x14ac:dyDescent="0.25">
      <c r="A66" s="26" t="s">
        <v>7</v>
      </c>
      <c r="B66" s="26" t="str">
        <f>TRIM(DATA_SETIEMBRE[[#This Row],[ASESOR]])</f>
        <v>FRANK PACORA</v>
      </c>
      <c r="C66" s="26" t="s">
        <v>132</v>
      </c>
      <c r="D66" s="38">
        <v>3150</v>
      </c>
      <c r="E66">
        <v>8.6870709382151023E-2</v>
      </c>
      <c r="F66" t="str">
        <f>DATA_SETIEMBRE[[#This Row],[SUPER]]</f>
        <v>LEONOR</v>
      </c>
      <c r="L66">
        <v>10</v>
      </c>
      <c r="M66" s="1">
        <f t="shared" si="4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5"/>
        <v/>
      </c>
    </row>
    <row r="67" spans="1:15" x14ac:dyDescent="0.25">
      <c r="A67" s="26" t="s">
        <v>7</v>
      </c>
      <c r="B67" s="26" t="str">
        <f>TRIM(DATA_SETIEMBRE[[#This Row],[ASESOR]])</f>
        <v>MILAGROS QUIO</v>
      </c>
      <c r="C67" s="26" t="s">
        <v>11</v>
      </c>
      <c r="D67" s="38">
        <v>620</v>
      </c>
      <c r="E67">
        <v>0.17898763515067864</v>
      </c>
      <c r="F67" t="str">
        <f>DATA_SETIEMBRE[[#This Row],[SUPER]]</f>
        <v>LEONOR</v>
      </c>
      <c r="L67">
        <v>11</v>
      </c>
      <c r="M67" s="1">
        <f t="shared" si="4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5"/>
        <v/>
      </c>
    </row>
    <row r="68" spans="1:15" x14ac:dyDescent="0.25">
      <c r="A68" s="26" t="s">
        <v>7</v>
      </c>
      <c r="B68" s="26" t="str">
        <f>TRIM(DATA_SETIEMBRE[[#This Row],[ASESOR]])</f>
        <v>JHOVANA TORRES</v>
      </c>
      <c r="C68" s="26" t="s">
        <v>20</v>
      </c>
      <c r="D68" s="38">
        <v>600</v>
      </c>
      <c r="E68">
        <v>0.56846165202627885</v>
      </c>
      <c r="F68" t="str">
        <f>DATA_SETIEMBRE[[#This Row],[SUPER]]</f>
        <v>LEONOR</v>
      </c>
      <c r="L68">
        <v>12</v>
      </c>
      <c r="M68" s="1">
        <f t="shared" si="4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5"/>
        <v/>
      </c>
    </row>
    <row r="69" spans="1:15" x14ac:dyDescent="0.25">
      <c r="A69" s="26" t="s">
        <v>7</v>
      </c>
      <c r="B69" s="26" t="str">
        <f>TRIM(DATA_SETIEMBRE[[#This Row],[ASESOR]])</f>
        <v>ALEJANDRA QUISPE</v>
      </c>
      <c r="C69" s="26" t="s">
        <v>58</v>
      </c>
      <c r="D69" s="38">
        <v>600</v>
      </c>
      <c r="E69">
        <v>0.13895229468599032</v>
      </c>
      <c r="F69" t="str">
        <f>DATA_SETIEMBRE[[#This Row],[SUPER]]</f>
        <v>LEONOR</v>
      </c>
      <c r="L69">
        <v>1</v>
      </c>
      <c r="M69" s="1">
        <f t="shared" si="4"/>
        <v>0</v>
      </c>
      <c r="N69" t="str" cm="1">
        <f t="array" ref="N69">IFERROR(_xlfn.IFS(M69&gt;100%,"&gt;100%",AND(M69&lt;100%,M69&gt;70%),"&gt;70%",AND(M69&lt;70%,M69&gt;40%),"&gt;40%",AND(M69&lt;40%,M69&gt;0%),"&gt;0%"),"")</f>
        <v/>
      </c>
      <c r="O69" t="str">
        <f t="shared" si="5"/>
        <v/>
      </c>
    </row>
    <row r="70" spans="1:15" x14ac:dyDescent="0.25">
      <c r="A70" s="26" t="s">
        <v>7</v>
      </c>
      <c r="B70" s="26" t="str">
        <f>TRIM(DATA_SETIEMBRE[[#This Row],[ASESOR]])</f>
        <v>ALEIDITH GUEVARA</v>
      </c>
      <c r="C70" s="26" t="s">
        <v>18</v>
      </c>
      <c r="D70" s="38">
        <v>500</v>
      </c>
      <c r="E70">
        <v>7.6086956521739134E-3</v>
      </c>
      <c r="F70" t="str">
        <f>DATA_SETIEMBRE[[#This Row],[SUPER]]</f>
        <v>LEONOR</v>
      </c>
      <c r="L70">
        <v>2</v>
      </c>
      <c r="M70" s="1">
        <f t="shared" si="4"/>
        <v>0.18137060041407868</v>
      </c>
      <c r="N70" t="str" cm="1">
        <f t="array" ref="N70">IFERROR(_xlfn.IFS(M70&gt;100%,"&gt;100%",AND(M70&lt;100%,M70&gt;70%),"&gt;70%",AND(M70&lt;70%,M70&gt;40%),"&gt;40%",AND(M70&lt;40%,M70&gt;0%),"&gt;0%"),"")</f>
        <v>&gt;0%</v>
      </c>
      <c r="O70" t="str">
        <f t="shared" si="5"/>
        <v>ANALUCIA PONCE</v>
      </c>
    </row>
    <row r="71" spans="1:15" x14ac:dyDescent="0.25">
      <c r="A71" s="26" t="s">
        <v>7</v>
      </c>
      <c r="B71" s="26" t="str">
        <f>TRIM(DATA_SETIEMBRE[[#This Row],[ASESOR]])</f>
        <v>MARCO SARMIENTO</v>
      </c>
      <c r="C71" s="26" t="s">
        <v>140</v>
      </c>
      <c r="D71" s="38">
        <v>90</v>
      </c>
      <c r="E71">
        <v>0.13589601282308156</v>
      </c>
      <c r="F71" t="str">
        <f>DATA_SETIEMBRE[[#This Row],[SUPER]]</f>
        <v>LEONOR</v>
      </c>
      <c r="L71">
        <v>3</v>
      </c>
      <c r="M71" s="1">
        <f t="shared" si="4"/>
        <v>0.13285001150218542</v>
      </c>
      <c r="N71" t="str" cm="1">
        <f t="array" ref="N71">IFERROR(_xlfn.IFS(M71&gt;100%,"&gt;100%",AND(M71&lt;100%,M71&gt;70%),"&gt;70%",AND(M71&lt;70%,M71&gt;40%),"&gt;40%",AND(M71&lt;40%,M71&gt;0%),"&gt;0%"),"")</f>
        <v>&gt;0%</v>
      </c>
      <c r="O71" t="str">
        <f t="shared" si="5"/>
        <v>ANTHONY TORRES</v>
      </c>
    </row>
    <row r="72" spans="1:15" x14ac:dyDescent="0.25">
      <c r="A72" s="26" t="s">
        <v>7</v>
      </c>
      <c r="B72" s="26" t="str">
        <f>TRIM(DATA_SETIEMBRE[[#This Row],[ASESOR]])</f>
        <v>CARMEN PUMA</v>
      </c>
      <c r="C72" s="26" t="s">
        <v>19</v>
      </c>
      <c r="D72" s="38">
        <v>0</v>
      </c>
      <c r="E72">
        <v>1.0408909370199693</v>
      </c>
      <c r="F72" t="str">
        <f>DATA_SETIEMBRE[[#This Row],[SUPER]]</f>
        <v>LEONOR</v>
      </c>
      <c r="L72">
        <v>4</v>
      </c>
      <c r="M72" s="1">
        <f t="shared" si="4"/>
        <v>8.6870709382151023E-2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5"/>
        <v>FRANK PACORA</v>
      </c>
    </row>
    <row r="73" spans="1:15" x14ac:dyDescent="0.25">
      <c r="A73" s="26" t="s">
        <v>7</v>
      </c>
      <c r="B73" s="26" t="str">
        <f>TRIM(DATA_SETIEMBRE[[#This Row],[ASESOR]])</f>
        <v>ALEJANDRA AVILA</v>
      </c>
      <c r="C73" s="26" t="s">
        <v>21</v>
      </c>
      <c r="D73" s="38">
        <v>0</v>
      </c>
      <c r="E73">
        <v>0.19236829997699562</v>
      </c>
      <c r="F73" t="str">
        <f>DATA_SETIEMBRE[[#This Row],[SUPER]]</f>
        <v>LEONOR</v>
      </c>
      <c r="L73">
        <v>5</v>
      </c>
      <c r="M73" s="1">
        <f t="shared" si="4"/>
        <v>0.17898763515067864</v>
      </c>
      <c r="N73" t="str" cm="1">
        <f t="array" ref="N73">IFERROR(_xlfn.IFS(M73&gt;100%,"&gt;100%",AND(M73&lt;100%,M73&gt;70%),"&gt;70%",AND(M73&lt;70%,M73&gt;40%),"&gt;40%",AND(M73&lt;40%,M73&gt;0%),"&gt;0%"),"")</f>
        <v>&gt;0%</v>
      </c>
      <c r="O73" t="str">
        <f t="shared" si="5"/>
        <v>MILAGROS QUIO</v>
      </c>
    </row>
    <row r="74" spans="1:15" x14ac:dyDescent="0.25">
      <c r="A74" s="26" t="s">
        <v>7</v>
      </c>
      <c r="B74" s="26" t="str">
        <f>TRIM(DATA_SETIEMBRE[[#This Row],[ASESOR]])</f>
        <v/>
      </c>
      <c r="C74" s="26"/>
      <c r="D74" s="26"/>
      <c r="F74" t="str">
        <f>DATA_SETIEMBRE[[#This Row],[SUPER]]</f>
        <v>LEONOR</v>
      </c>
      <c r="L74">
        <v>6</v>
      </c>
      <c r="M74" s="1">
        <f t="shared" ref="M74:M104" si="6">E68</f>
        <v>0.56846165202627885</v>
      </c>
      <c r="N74" t="str" cm="1">
        <f t="array" ref="N74">IFERROR(_xlfn.IFS(M74&gt;100%,"&gt;100%",AND(M74&lt;100%,M74&gt;70%),"&gt;70%",AND(M74&lt;70%,M74&gt;40%),"&gt;40%",AND(M74&lt;40%,M74&gt;0%),"&gt;0%"),"")</f>
        <v>&gt;40%</v>
      </c>
      <c r="O74" t="str">
        <f t="shared" ref="O74:O104" si="7">B68</f>
        <v>JHOVANA TORRES</v>
      </c>
    </row>
    <row r="75" spans="1:15" x14ac:dyDescent="0.25">
      <c r="A75" s="26" t="s">
        <v>8</v>
      </c>
      <c r="B75" s="26" t="str">
        <f>TRIM(DATA_SETIEMBRE[[#This Row],[ASESOR]])</f>
        <v>DAVID SANCHEZ</v>
      </c>
      <c r="C75" s="26" t="s">
        <v>81</v>
      </c>
      <c r="D75" s="35">
        <v>27900</v>
      </c>
      <c r="E75">
        <v>0.69074999999999998</v>
      </c>
      <c r="F75" t="str">
        <f>DATA_SETIEMBRE[[#This Row],[SUPER]]</f>
        <v>BRYAN</v>
      </c>
      <c r="L75">
        <v>7</v>
      </c>
      <c r="M75" s="1">
        <f t="shared" si="6"/>
        <v>0.13895229468599032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7"/>
        <v>ALEJANDRA QUISPE</v>
      </c>
    </row>
    <row r="76" spans="1:15" x14ac:dyDescent="0.25">
      <c r="A76" s="26" t="s">
        <v>8</v>
      </c>
      <c r="B76" s="26" t="str">
        <f>TRIM(DATA_SETIEMBRE[[#This Row],[ASESOR]])</f>
        <v>CRISTINA TICONA</v>
      </c>
      <c r="C76" s="26" t="s">
        <v>61</v>
      </c>
      <c r="D76" s="35">
        <v>3832</v>
      </c>
      <c r="E76">
        <v>0.15187619047619047</v>
      </c>
      <c r="F76" t="str">
        <f>DATA_SETIEMBRE[[#This Row],[SUPER]]</f>
        <v>BRYAN</v>
      </c>
      <c r="L76">
        <v>8</v>
      </c>
      <c r="M76" s="1">
        <f t="shared" si="6"/>
        <v>7.6086956521739134E-3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7"/>
        <v>ALEIDITH GUEVARA</v>
      </c>
    </row>
    <row r="77" spans="1:15" x14ac:dyDescent="0.25">
      <c r="A77" s="26" t="s">
        <v>8</v>
      </c>
      <c r="B77" s="26" t="str">
        <f>TRIM(DATA_SETIEMBRE[[#This Row],[ASESOR]])</f>
        <v>VERONICA TASAYCO</v>
      </c>
      <c r="C77" s="26" t="s">
        <v>10</v>
      </c>
      <c r="D77" s="35">
        <v>2700</v>
      </c>
      <c r="E77">
        <v>0.82049582289055978</v>
      </c>
      <c r="F77" t="str">
        <f>DATA_SETIEMBRE[[#This Row],[SUPER]]</f>
        <v>BRYAN</v>
      </c>
      <c r="L77">
        <v>9</v>
      </c>
      <c r="M77" s="1">
        <f t="shared" si="6"/>
        <v>0.13589601282308156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7"/>
        <v>MARCO SARMIENTO</v>
      </c>
    </row>
    <row r="78" spans="1:15" x14ac:dyDescent="0.25">
      <c r="A78" s="26" t="s">
        <v>8</v>
      </c>
      <c r="B78" s="26" t="str">
        <f>TRIM(DATA_SETIEMBRE[[#This Row],[ASESOR]])</f>
        <v>MELISSA GUERRERO</v>
      </c>
      <c r="C78" s="26" t="s">
        <v>62</v>
      </c>
      <c r="D78" s="35">
        <v>2000</v>
      </c>
      <c r="E78">
        <v>0.62773809523809521</v>
      </c>
      <c r="F78" t="str">
        <f>DATA_SETIEMBRE[[#This Row],[SUPER]]</f>
        <v>BRYAN</v>
      </c>
      <c r="L78">
        <v>10</v>
      </c>
      <c r="M78" s="1">
        <f t="shared" si="6"/>
        <v>1.0408909370199693</v>
      </c>
      <c r="N78" t="str" cm="1">
        <f t="array" ref="N78">IFERROR(_xlfn.IFS(M78&gt;100%,"&gt;100%",AND(M78&lt;100%,M78&gt;70%),"&gt;70%",AND(M78&lt;70%,M78&gt;40%),"&gt;40%",AND(M78&lt;40%,M78&gt;0%),"&gt;0%"),"")</f>
        <v>&gt;100%</v>
      </c>
      <c r="O78" t="str">
        <f t="shared" si="7"/>
        <v>CARMEN PUMA</v>
      </c>
    </row>
    <row r="79" spans="1:15" x14ac:dyDescent="0.25">
      <c r="A79" s="26" t="s">
        <v>8</v>
      </c>
      <c r="B79" s="26" t="str">
        <f>TRIM(DATA_SETIEMBRE[[#This Row],[ASESOR]])</f>
        <v>PIERINA TESEN</v>
      </c>
      <c r="C79" s="26" t="s">
        <v>59</v>
      </c>
      <c r="D79" s="35">
        <v>1800</v>
      </c>
      <c r="E79">
        <v>0.2923047619047619</v>
      </c>
      <c r="F79" t="str">
        <f>DATA_SETIEMBRE[[#This Row],[SUPER]]</f>
        <v>BRYAN</v>
      </c>
      <c r="L79">
        <v>11</v>
      </c>
      <c r="M79" s="1">
        <f t="shared" si="6"/>
        <v>0.19236829997699562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7"/>
        <v>ALEJANDRA AVILA</v>
      </c>
    </row>
    <row r="80" spans="1:15" x14ac:dyDescent="0.25">
      <c r="A80" s="26" t="s">
        <v>8</v>
      </c>
      <c r="B80" s="26" t="str">
        <f>TRIM(DATA_SETIEMBRE[[#This Row],[ASESOR]])</f>
        <v>VICTOR RAMIREZ</v>
      </c>
      <c r="C80" s="26" t="s">
        <v>76</v>
      </c>
      <c r="D80" s="35">
        <v>1700</v>
      </c>
      <c r="E80">
        <v>0.53083666666666662</v>
      </c>
      <c r="F80" t="str">
        <f>DATA_SETIEMBRE[[#This Row],[SUPER]]</f>
        <v>BRYAN</v>
      </c>
      <c r="L80">
        <v>12</v>
      </c>
      <c r="M80" s="1">
        <f t="shared" si="6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7"/>
        <v/>
      </c>
    </row>
    <row r="81" spans="1:15" x14ac:dyDescent="0.25">
      <c r="A81" s="26" t="s">
        <v>8</v>
      </c>
      <c r="B81" s="26" t="str">
        <f>TRIM(DATA_SETIEMBRE[[#This Row],[ASESOR]])</f>
        <v>ROSA ROJAS</v>
      </c>
      <c r="C81" s="26" t="s">
        <v>146</v>
      </c>
      <c r="D81" s="35">
        <v>1143</v>
      </c>
      <c r="E81">
        <v>0.19295428571428572</v>
      </c>
      <c r="F81" t="str">
        <f>DATA_SETIEMBRE[[#This Row],[SUPER]]</f>
        <v>BRYAN</v>
      </c>
      <c r="L81">
        <v>1</v>
      </c>
      <c r="M81" s="1">
        <f t="shared" si="6"/>
        <v>0.69074999999999998</v>
      </c>
      <c r="N81" t="str" cm="1">
        <f t="array" ref="N81">IFERROR(_xlfn.IFS(M81&gt;100%,"&gt;100%",AND(M81&lt;100%,M81&gt;70%),"&gt;70%",AND(M81&lt;70%,M81&gt;40%),"&gt;40%",AND(M81&lt;40%,M81&gt;0%),"&gt;0%"),"")</f>
        <v>&gt;40%</v>
      </c>
      <c r="O81" t="str">
        <f t="shared" si="7"/>
        <v>DAVID SANCHEZ</v>
      </c>
    </row>
    <row r="82" spans="1:15" x14ac:dyDescent="0.25">
      <c r="A82" s="26" t="s">
        <v>8</v>
      </c>
      <c r="B82" s="26" t="str">
        <f>TRIM(DATA_SETIEMBRE[[#This Row],[ASESOR]])</f>
        <v>ANGELO SUAREZ</v>
      </c>
      <c r="C82" s="26" t="s">
        <v>106</v>
      </c>
      <c r="D82" s="35">
        <v>816</v>
      </c>
      <c r="E82">
        <v>0.15089999999999998</v>
      </c>
      <c r="F82" t="str">
        <f>DATA_SETIEMBRE[[#This Row],[SUPER]]</f>
        <v>BRYAN</v>
      </c>
      <c r="L82">
        <v>2</v>
      </c>
      <c r="M82" s="1">
        <f t="shared" si="6"/>
        <v>0.15187619047619047</v>
      </c>
      <c r="N82" t="str" cm="1">
        <f t="array" ref="N82">IFERROR(_xlfn.IFS(M82&gt;100%,"&gt;100%",AND(M82&lt;100%,M82&gt;70%),"&gt;70%",AND(M82&lt;70%,M82&gt;40%),"&gt;40%",AND(M82&lt;40%,M82&gt;0%),"&gt;0%"),"")</f>
        <v>&gt;0%</v>
      </c>
      <c r="O82" t="str">
        <f t="shared" si="7"/>
        <v>CRISTINA TICONA</v>
      </c>
    </row>
    <row r="83" spans="1:15" x14ac:dyDescent="0.25">
      <c r="A83" s="26" t="s">
        <v>8</v>
      </c>
      <c r="B83" s="26" t="str">
        <f>TRIM(DATA_SETIEMBRE[[#This Row],[ASESOR]])</f>
        <v>KATYUSCA LEVANO</v>
      </c>
      <c r="C83" s="26" t="s">
        <v>46</v>
      </c>
      <c r="D83" s="35">
        <v>450</v>
      </c>
      <c r="E83">
        <v>0.33199238095238093</v>
      </c>
      <c r="F83" t="str">
        <f>DATA_SETIEMBRE[[#This Row],[SUPER]]</f>
        <v>BRYAN</v>
      </c>
      <c r="L83">
        <v>3</v>
      </c>
      <c r="M83" s="1">
        <f t="shared" si="6"/>
        <v>0.82049582289055978</v>
      </c>
      <c r="N83" t="str" cm="1">
        <f t="array" ref="N83">IFERROR(_xlfn.IFS(M83&gt;100%,"&gt;100%",AND(M83&lt;100%,M83&gt;70%),"&gt;70%",AND(M83&lt;70%,M83&gt;40%),"&gt;40%",AND(M83&lt;40%,M83&gt;0%),"&gt;0%"),"")</f>
        <v>&gt;70%</v>
      </c>
      <c r="O83" t="str">
        <f t="shared" si="7"/>
        <v>VERONICA TASAYCO</v>
      </c>
    </row>
    <row r="84" spans="1:15" x14ac:dyDescent="0.25">
      <c r="A84" s="26" t="s">
        <v>8</v>
      </c>
      <c r="B84" s="26" t="str">
        <f>TRIM(DATA_SETIEMBRE[[#This Row],[ASESOR]])</f>
        <v>MALORY MONTEBLANCO</v>
      </c>
      <c r="C84" s="26" t="s">
        <v>25</v>
      </c>
      <c r="D84" s="35">
        <v>0</v>
      </c>
      <c r="E84">
        <v>0.26066960317460319</v>
      </c>
      <c r="F84" t="str">
        <f>DATA_SETIEMBRE[[#This Row],[SUPER]]</f>
        <v>BRYAN</v>
      </c>
      <c r="L84">
        <v>4</v>
      </c>
      <c r="M84" s="1">
        <f t="shared" si="6"/>
        <v>0.62773809523809521</v>
      </c>
      <c r="N84" t="str" cm="1">
        <f t="array" ref="N84">IFERROR(_xlfn.IFS(M84&gt;100%,"&gt;100%",AND(M84&lt;100%,M84&gt;70%),"&gt;70%",AND(M84&lt;70%,M84&gt;40%),"&gt;40%",AND(M84&lt;40%,M84&gt;0%),"&gt;0%"),"")</f>
        <v>&gt;40%</v>
      </c>
      <c r="O84" t="str">
        <f t="shared" si="7"/>
        <v>MELISSA GUERRERO</v>
      </c>
    </row>
    <row r="85" spans="1:15" x14ac:dyDescent="0.25">
      <c r="A85" s="26" t="s">
        <v>8</v>
      </c>
      <c r="B85" s="26" t="str">
        <f>TRIM(DATA_SETIEMBRE[[#This Row],[ASESOR]])</f>
        <v/>
      </c>
      <c r="C85" s="26"/>
      <c r="D85" s="35"/>
      <c r="F85" t="str">
        <f>DATA_SETIEMBRE[[#This Row],[SUPER]]</f>
        <v>BRYAN</v>
      </c>
      <c r="L85">
        <v>5</v>
      </c>
      <c r="M85" s="1">
        <f t="shared" si="6"/>
        <v>0.2923047619047619</v>
      </c>
      <c r="N85" t="str" cm="1">
        <f t="array" ref="N85">IFERROR(_xlfn.IFS(M85&gt;100%,"&gt;100%",AND(M85&lt;100%,M85&gt;70%),"&gt;70%",AND(M85&lt;70%,M85&gt;40%),"&gt;40%",AND(M85&lt;40%,M85&gt;0%),"&gt;0%"),"")</f>
        <v>&gt;0%</v>
      </c>
      <c r="O85" t="str">
        <f t="shared" si="7"/>
        <v>PIERINA TESEN</v>
      </c>
    </row>
    <row r="86" spans="1:15" x14ac:dyDescent="0.25">
      <c r="A86" s="26" t="s">
        <v>8</v>
      </c>
      <c r="B86" s="26" t="str">
        <f>TRIM(DATA_SETIEMBRE[[#This Row],[ASESOR]])</f>
        <v/>
      </c>
      <c r="C86" s="26"/>
      <c r="D86" s="26"/>
      <c r="F86" t="str">
        <f>DATA_SETIEMBRE[[#This Row],[SUPER]]</f>
        <v>BRYAN</v>
      </c>
      <c r="L86">
        <v>6</v>
      </c>
      <c r="M86" s="1">
        <f t="shared" si="6"/>
        <v>0.53083666666666662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7"/>
        <v>VICTOR RAMIREZ</v>
      </c>
    </row>
    <row r="87" spans="1:15" x14ac:dyDescent="0.25">
      <c r="A87" s="26" t="s">
        <v>9</v>
      </c>
      <c r="B87" s="26" t="str">
        <f>TRIM(DATA_SETIEMBRE[[#This Row],[ASESOR]])</f>
        <v>FRANCO HUAMANI</v>
      </c>
      <c r="C87" s="26" t="s">
        <v>24</v>
      </c>
      <c r="D87" s="35">
        <v>6584</v>
      </c>
      <c r="E87">
        <v>0.45580158730158732</v>
      </c>
      <c r="F87" t="str">
        <f>DATA_SETIEMBRE[[#This Row],[SUPER]]</f>
        <v>LUIS</v>
      </c>
      <c r="L87">
        <v>7</v>
      </c>
      <c r="M87" s="1">
        <f t="shared" si="6"/>
        <v>0.19295428571428572</v>
      </c>
      <c r="N87" t="str" cm="1">
        <f t="array" ref="N87">IFERROR(_xlfn.IFS(M87&gt;100%,"&gt;100%",AND(M87&lt;100%,M87&gt;70%),"&gt;70%",AND(M87&lt;70%,M87&gt;40%),"&gt;40%",AND(M87&lt;40%,M87&gt;0%),"&gt;0%"),"")</f>
        <v>&gt;0%</v>
      </c>
      <c r="O87" t="str">
        <f t="shared" si="7"/>
        <v>ROSA ROJAS</v>
      </c>
    </row>
    <row r="88" spans="1:15" x14ac:dyDescent="0.25">
      <c r="A88" s="26" t="s">
        <v>9</v>
      </c>
      <c r="B88" s="26" t="str">
        <f>TRIM(DATA_SETIEMBRE[[#This Row],[ASESOR]])</f>
        <v>KIARA CANEPA</v>
      </c>
      <c r="C88" s="26" t="s">
        <v>50</v>
      </c>
      <c r="D88" s="35">
        <v>3186</v>
      </c>
      <c r="E88">
        <v>0.26240139751552793</v>
      </c>
      <c r="F88" t="str">
        <f>DATA_SETIEMBRE[[#This Row],[SUPER]]</f>
        <v>LUIS</v>
      </c>
      <c r="L88">
        <v>8</v>
      </c>
      <c r="M88" s="1">
        <f t="shared" si="6"/>
        <v>0.15089999999999998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7"/>
        <v>ANGELO SUAREZ</v>
      </c>
    </row>
    <row r="89" spans="1:15" x14ac:dyDescent="0.25">
      <c r="A89" s="26" t="s">
        <v>9</v>
      </c>
      <c r="B89" s="26" t="str">
        <f>TRIM(DATA_SETIEMBRE[[#This Row],[ASESOR]])</f>
        <v>JUAN ALANOCCA</v>
      </c>
      <c r="C89" s="26" t="s">
        <v>77</v>
      </c>
      <c r="D89" s="35">
        <v>2469</v>
      </c>
      <c r="E89">
        <v>0.35550491718426497</v>
      </c>
      <c r="F89" t="str">
        <f>DATA_SETIEMBRE[[#This Row],[SUPER]]</f>
        <v>LUIS</v>
      </c>
      <c r="L89">
        <v>9</v>
      </c>
      <c r="M89" s="1">
        <f t="shared" si="6"/>
        <v>0.33199238095238093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7"/>
        <v>KATYUSCA LEVANO</v>
      </c>
    </row>
    <row r="90" spans="1:15" x14ac:dyDescent="0.25">
      <c r="A90" s="26" t="s">
        <v>9</v>
      </c>
      <c r="B90" s="26" t="str">
        <f>TRIM(DATA_SETIEMBRE[[#This Row],[ASESOR]])</f>
        <v>GERALDINE ARROYO</v>
      </c>
      <c r="C90" s="26" t="s">
        <v>51</v>
      </c>
      <c r="D90" s="35">
        <v>1730</v>
      </c>
      <c r="E90">
        <v>0.29801190476190476</v>
      </c>
      <c r="F90" t="str">
        <f>DATA_SETIEMBRE[[#This Row],[SUPER]]</f>
        <v>LUIS</v>
      </c>
      <c r="L90">
        <v>10</v>
      </c>
      <c r="M90" s="1">
        <f t="shared" si="6"/>
        <v>0.26066960317460319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7"/>
        <v>MALORY MONTEBLANCO</v>
      </c>
    </row>
    <row r="91" spans="1:15" x14ac:dyDescent="0.25">
      <c r="A91" s="26" t="s">
        <v>9</v>
      </c>
      <c r="B91" s="26" t="str">
        <f>TRIM(DATA_SETIEMBRE[[#This Row],[ASESOR]])</f>
        <v>STWUAR MACURI</v>
      </c>
      <c r="C91" s="26" t="s">
        <v>34</v>
      </c>
      <c r="D91" s="35">
        <v>1350</v>
      </c>
      <c r="E91">
        <v>0.47371980676328507</v>
      </c>
      <c r="F91" t="str">
        <f>DATA_SETIEMBRE[[#This Row],[SUPER]]</f>
        <v>LUIS</v>
      </c>
      <c r="L91">
        <v>11</v>
      </c>
      <c r="M91" s="1">
        <f t="shared" si="6"/>
        <v>0</v>
      </c>
      <c r="N91" t="str" cm="1">
        <f t="array" ref="N91">IFERROR(_xlfn.IFS(M91&gt;100%,"&gt;100%",AND(M91&lt;100%,M91&gt;70%),"&gt;70%",AND(M91&lt;70%,M91&gt;40%),"&gt;40%",AND(M91&lt;40%,M91&gt;0%),"&gt;0%"),"")</f>
        <v/>
      </c>
      <c r="O91" t="str">
        <f t="shared" si="7"/>
        <v/>
      </c>
    </row>
    <row r="92" spans="1:15" x14ac:dyDescent="0.25">
      <c r="A92" s="26" t="s">
        <v>9</v>
      </c>
      <c r="B92" s="26" t="str">
        <f>TRIM(DATA_SETIEMBRE[[#This Row],[ASESOR]])</f>
        <v>CARMEN PUMA</v>
      </c>
      <c r="C92" s="26" t="s">
        <v>19</v>
      </c>
      <c r="D92" s="26">
        <v>820</v>
      </c>
      <c r="E92">
        <v>1.0408909370199693</v>
      </c>
      <c r="F92" t="str">
        <f>DATA_SETIEMBRE[[#This Row],[SUPER]]</f>
        <v>LUIS</v>
      </c>
      <c r="L92">
        <v>12</v>
      </c>
      <c r="M92" s="1">
        <f t="shared" si="6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7"/>
        <v/>
      </c>
    </row>
    <row r="93" spans="1:15" x14ac:dyDescent="0.25">
      <c r="A93" s="26" t="s">
        <v>9</v>
      </c>
      <c r="B93" s="26" t="str">
        <f>TRIM(DATA_SETIEMBRE[[#This Row],[ASESOR]])</f>
        <v>ANABEL SIHUE</v>
      </c>
      <c r="C93" s="26" t="s">
        <v>54</v>
      </c>
      <c r="D93" s="26">
        <v>700</v>
      </c>
      <c r="E93">
        <v>5.8071428571428572E-2</v>
      </c>
      <c r="F93" t="str">
        <f>DATA_SETIEMBRE[[#This Row],[SUPER]]</f>
        <v>LUIS</v>
      </c>
      <c r="L93">
        <v>1</v>
      </c>
      <c r="M93" s="1">
        <f t="shared" si="6"/>
        <v>0.45580158730158732</v>
      </c>
      <c r="N93" t="str" cm="1">
        <f t="array" ref="N93">IFERROR(_xlfn.IFS(M93&gt;100%,"&gt;100%",AND(M93&lt;100%,M93&gt;70%),"&gt;70%",AND(M93&lt;70%,M93&gt;40%),"&gt;40%",AND(M93&lt;40%,M93&gt;0%),"&gt;0%"),"")</f>
        <v>&gt;40%</v>
      </c>
      <c r="O93" t="str">
        <f t="shared" si="7"/>
        <v>FRANCO HUAMANI</v>
      </c>
    </row>
    <row r="94" spans="1:15" x14ac:dyDescent="0.25">
      <c r="A94" s="26" t="s">
        <v>9</v>
      </c>
      <c r="B94" s="26" t="str">
        <f>TRIM(DATA_SETIEMBRE[[#This Row],[ASESOR]])</f>
        <v>DANIEL ZAPATA</v>
      </c>
      <c r="C94" s="26" t="s">
        <v>80</v>
      </c>
      <c r="D94" s="26">
        <v>240</v>
      </c>
      <c r="E94">
        <v>8.5714285714285715E-2</v>
      </c>
      <c r="F94" t="str">
        <f>DATA_SETIEMBRE[[#This Row],[SUPER]]</f>
        <v>LUIS</v>
      </c>
      <c r="L94">
        <v>2</v>
      </c>
      <c r="M94" s="1">
        <f t="shared" si="6"/>
        <v>0.26240139751552793</v>
      </c>
      <c r="N94" t="str" cm="1">
        <f t="array" ref="N94">IFERROR(_xlfn.IFS(M94&gt;100%,"&gt;100%",AND(M94&lt;100%,M94&gt;70%),"&gt;70%",AND(M94&lt;70%,M94&gt;40%),"&gt;40%",AND(M94&lt;40%,M94&gt;0%),"&gt;0%"),"")</f>
        <v>&gt;0%</v>
      </c>
      <c r="O94" t="str">
        <f t="shared" si="7"/>
        <v>KIARA CANEPA</v>
      </c>
    </row>
    <row r="95" spans="1:15" x14ac:dyDescent="0.25">
      <c r="A95" s="26" t="s">
        <v>9</v>
      </c>
      <c r="B95" s="26" t="str">
        <f>TRIM(DATA_SETIEMBRE[[#This Row],[ASESOR]])</f>
        <v>JIMENA MEDINA</v>
      </c>
      <c r="C95" s="26" t="s">
        <v>37</v>
      </c>
      <c r="D95" s="26">
        <v>221.5</v>
      </c>
      <c r="E95">
        <v>0.41784422594948911</v>
      </c>
      <c r="F95" t="str">
        <f>DATA_SETIEMBRE[[#This Row],[SUPER]]</f>
        <v>LUIS</v>
      </c>
      <c r="L95">
        <v>3</v>
      </c>
      <c r="M95" s="1">
        <f t="shared" si="6"/>
        <v>0.35550491718426497</v>
      </c>
      <c r="N95" t="str" cm="1">
        <f t="array" ref="N95">IFERROR(_xlfn.IFS(M95&gt;100%,"&gt;100%",AND(M95&lt;100%,M95&gt;70%),"&gt;70%",AND(M95&lt;70%,M95&gt;40%),"&gt;40%",AND(M95&lt;40%,M95&gt;0%),"&gt;0%"),"")</f>
        <v>&gt;0%</v>
      </c>
      <c r="O95" t="str">
        <f t="shared" si="7"/>
        <v>JUAN ALANOCCA</v>
      </c>
    </row>
    <row r="96" spans="1:15" x14ac:dyDescent="0.25">
      <c r="A96" s="26" t="s">
        <v>9</v>
      </c>
      <c r="B96" s="26" t="str">
        <f>TRIM(DATA_SETIEMBRE[[#This Row],[ASESOR]])</f>
        <v>JAIME TUMIALAN</v>
      </c>
      <c r="C96" s="26" t="s">
        <v>116</v>
      </c>
      <c r="D96" s="26">
        <v>0</v>
      </c>
      <c r="E96">
        <v>0.14103571428571429</v>
      </c>
      <c r="F96" t="str">
        <f>DATA_SETIEMBRE[[#This Row],[SUPER]]</f>
        <v>LUIS</v>
      </c>
      <c r="L96">
        <v>4</v>
      </c>
      <c r="M96" s="1">
        <f t="shared" si="6"/>
        <v>0.29801190476190476</v>
      </c>
      <c r="N96" t="str" cm="1">
        <f t="array" ref="N96">IFERROR(_xlfn.IFS(M96&gt;100%,"&gt;100%",AND(M96&lt;100%,M96&gt;70%),"&gt;70%",AND(M96&lt;70%,M96&gt;40%),"&gt;40%",AND(M96&lt;40%,M96&gt;0%),"&gt;0%"),"")</f>
        <v>&gt;0%</v>
      </c>
      <c r="O96" t="str">
        <f t="shared" si="7"/>
        <v>GERALDINE ARROYO</v>
      </c>
    </row>
    <row r="97" spans="1:15" x14ac:dyDescent="0.25">
      <c r="A97" s="26" t="s">
        <v>9</v>
      </c>
      <c r="B97" s="26" t="str">
        <f>TRIM(DATA_SETIEMBRE[[#This Row],[ASESOR]])</f>
        <v/>
      </c>
      <c r="C97" s="26"/>
      <c r="D97" s="26"/>
      <c r="F97" t="str">
        <f>DATA_SETIEMBRE[[#This Row],[SUPER]]</f>
        <v>LUIS</v>
      </c>
      <c r="L97">
        <v>5</v>
      </c>
      <c r="M97" s="1">
        <f t="shared" si="6"/>
        <v>0.47371980676328507</v>
      </c>
      <c r="N97" t="str" cm="1">
        <f t="array" ref="N97">IFERROR(_xlfn.IFS(M97&gt;100%,"&gt;100%",AND(M97&lt;100%,M97&gt;70%),"&gt;70%",AND(M97&lt;70%,M97&gt;40%),"&gt;40%",AND(M97&lt;40%,M97&gt;0%),"&gt;0%"),"")</f>
        <v>&gt;40%</v>
      </c>
      <c r="O97" t="str">
        <f t="shared" si="7"/>
        <v>STWUAR MACURI</v>
      </c>
    </row>
    <row r="98" spans="1:15" x14ac:dyDescent="0.25">
      <c r="A98" s="26" t="s">
        <v>9</v>
      </c>
      <c r="B98" s="26" t="str">
        <f>TRIM(DATA_SETIEMBRE[[#This Row],[ASESOR]])</f>
        <v/>
      </c>
      <c r="C98" s="26"/>
      <c r="D98" s="26"/>
      <c r="F98" t="str">
        <f>DATA_SETIEMBRE[[#This Row],[SUPER]]</f>
        <v>LUIS</v>
      </c>
      <c r="L98">
        <v>6</v>
      </c>
      <c r="M98" s="1">
        <f t="shared" si="6"/>
        <v>1.0408909370199693</v>
      </c>
      <c r="N98" t="str" cm="1">
        <f t="array" ref="N98">IFERROR(_xlfn.IFS(M98&gt;100%,"&gt;100%",AND(M98&lt;100%,M98&gt;70%),"&gt;70%",AND(M98&lt;70%,M98&gt;40%),"&gt;40%",AND(M98&lt;40%,M98&gt;0%),"&gt;0%"),"")</f>
        <v>&gt;100%</v>
      </c>
      <c r="O98" t="str">
        <f t="shared" si="7"/>
        <v>CARMEN PUMA</v>
      </c>
    </row>
    <row r="99" spans="1:15" x14ac:dyDescent="0.25">
      <c r="L99">
        <v>7</v>
      </c>
      <c r="M99" s="1">
        <f t="shared" si="6"/>
        <v>5.8071428571428572E-2</v>
      </c>
      <c r="N99" t="str" cm="1">
        <f t="array" ref="N99">IFERROR(_xlfn.IFS(M99&gt;100%,"&gt;100%",AND(M99&lt;100%,M99&gt;70%),"&gt;70%",AND(M99&lt;70%,M99&gt;40%),"&gt;40%",AND(M99&lt;40%,M99&gt;0%),"&gt;0%"),"")</f>
        <v>&gt;0%</v>
      </c>
      <c r="O99" t="str">
        <f t="shared" si="7"/>
        <v>ANABEL SIHUE</v>
      </c>
    </row>
    <row r="100" spans="1:15" x14ac:dyDescent="0.25">
      <c r="L100">
        <v>8</v>
      </c>
      <c r="M100" s="1">
        <f t="shared" si="6"/>
        <v>8.5714285714285715E-2</v>
      </c>
      <c r="N100" t="str" cm="1">
        <f t="array" ref="N100">IFERROR(_xlfn.IFS(M100&gt;100%,"&gt;100%",AND(M100&lt;100%,M100&gt;70%),"&gt;70%",AND(M100&lt;70%,M100&gt;40%),"&gt;40%",AND(M100&lt;40%,M100&gt;0%),"&gt;0%"),"")</f>
        <v>&gt;0%</v>
      </c>
      <c r="O100" t="str">
        <f t="shared" si="7"/>
        <v>DANIEL ZAPATA</v>
      </c>
    </row>
    <row r="101" spans="1:15" x14ac:dyDescent="0.25">
      <c r="L101">
        <v>9</v>
      </c>
      <c r="M101" s="1">
        <f t="shared" si="6"/>
        <v>0.41784422594948911</v>
      </c>
      <c r="N101" t="str" cm="1">
        <f t="array" ref="N101">IFERROR(_xlfn.IFS(M101&gt;100%,"&gt;100%",AND(M101&lt;100%,M101&gt;70%),"&gt;70%",AND(M101&lt;70%,M101&gt;40%),"&gt;40%",AND(M101&lt;40%,M101&gt;0%),"&gt;0%"),"")</f>
        <v>&gt;40%</v>
      </c>
      <c r="O101" t="str">
        <f t="shared" si="7"/>
        <v>JIMENA MEDINA</v>
      </c>
    </row>
    <row r="102" spans="1:15" x14ac:dyDescent="0.25">
      <c r="L102">
        <v>10</v>
      </c>
      <c r="M102" s="1">
        <f t="shared" si="6"/>
        <v>0.14103571428571429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7"/>
        <v>JAIME TUMIALAN</v>
      </c>
    </row>
    <row r="103" spans="1:15" x14ac:dyDescent="0.25">
      <c r="L103">
        <v>11</v>
      </c>
      <c r="M103" s="1">
        <f t="shared" si="6"/>
        <v>0</v>
      </c>
      <c r="N103" t="str" cm="1">
        <f t="array" ref="N103">IFERROR(_xlfn.IFS(M103&gt;100%,"&gt;100%",AND(M103&lt;100%,M103&gt;70%),"&gt;70%",AND(M103&lt;70%,M103&gt;40%),"&gt;40%",AND(M103&lt;40%,M103&gt;0%),"&gt;0%"),"")</f>
        <v/>
      </c>
      <c r="O103" t="str">
        <f t="shared" si="7"/>
        <v/>
      </c>
    </row>
    <row r="104" spans="1:15" x14ac:dyDescent="0.25">
      <c r="L104">
        <v>12</v>
      </c>
      <c r="M104" s="1">
        <f t="shared" si="6"/>
        <v>0</v>
      </c>
      <c r="N104" t="str" cm="1">
        <f t="array" ref="N104">IFERROR(_xlfn.IFS(M104&gt;100%,"&gt;100%",AND(M104&lt;100%,M104&gt;70%),"&gt;70%",AND(M104&lt;70%,M104&gt;40%),"&gt;40%",AND(M104&lt;40%,M104&gt;0%),"&gt;0%"),"")</f>
        <v/>
      </c>
      <c r="O104" t="str">
        <f t="shared" si="7"/>
        <v/>
      </c>
    </row>
    <row r="105" spans="1:15" x14ac:dyDescent="0.25">
      <c r="L105" s="22">
        <v>1</v>
      </c>
      <c r="M105" s="23">
        <f>IFERROR(IF(VLOOKUP("&gt;100%",N9:O104,2,0)&lt;&gt;"",0,100.01%),100.01%)</f>
        <v>0</v>
      </c>
      <c r="N105" s="22" t="str" cm="1">
        <f t="array" ref="N105">IFERROR(_xlfn.IFS(M105&gt;100%,"&gt;100%",AND(M105&lt;100%,M105&gt;70%),"&gt;70%",AND(M105&lt;70%,M105&gt;40%),"&gt;40%",AND(M105&lt;40%,M105&gt;0%),"&gt;0%"),"")</f>
        <v/>
      </c>
      <c r="O105" s="22" t="str">
        <f>IF(DATASETIEMBRE[[#This Row],[CLASIFICACIÓN]]="","","SIN APLICACIONES")</f>
        <v/>
      </c>
    </row>
    <row r="106" spans="1:15" x14ac:dyDescent="0.25">
      <c r="L106" s="22">
        <v>2</v>
      </c>
      <c r="M106" s="23">
        <f>IFERROR(IF(VLOOKUP("&gt;70%",N9:O104,2,0)&lt;&gt;"",0,70.01%),70.01%)</f>
        <v>0</v>
      </c>
      <c r="N106" s="22" t="str" cm="1">
        <f t="array" ref="N106">IFERROR(_xlfn.IFS(M106&gt;100%,"&gt;100%",AND(M106&lt;100%,M106&gt;70%),"&gt;70%",AND(M106&lt;70%,M106&gt;40%),"&gt;40%",AND(M106&lt;40%,M106&gt;0%),"&gt;0%"),"")</f>
        <v/>
      </c>
      <c r="O106" s="22" t="str">
        <f>IF(DATASETIEMBRE[[#This Row],[CLASIFICACIÓN]]="","","SIN APLICACIONES")</f>
        <v/>
      </c>
    </row>
    <row r="107" spans="1:15" x14ac:dyDescent="0.25">
      <c r="L107" s="22">
        <v>3</v>
      </c>
      <c r="M107" s="23">
        <f>IFERROR(IF(VLOOKUP("&gt;40%",N9:O104,2,0)&lt;&gt;"",0,40.01%),40.01%)</f>
        <v>0</v>
      </c>
      <c r="N107" s="22" t="str" cm="1">
        <f t="array" ref="N107">IFERROR(_xlfn.IFS(M107&gt;100%,"&gt;100%",AND(M107&lt;100%,M107&gt;70%),"&gt;70%",AND(M107&lt;70%,M107&gt;40%),"&gt;40%",AND(M107&lt;40%,M107&gt;0%),"&gt;0%"),"")</f>
        <v/>
      </c>
      <c r="O107" s="22" t="str">
        <f>IF(DATASETIEMBRE[[#This Row],[CLASIFICACIÓN]]="","","SIN APLICACIONES")</f>
        <v/>
      </c>
    </row>
  </sheetData>
  <sheetProtection formatCells="0" insertColumns="0" insertRows="0" deleteColumns="0" deleteRows="0" sort="0" autoFilter="0" pivotTables="0"/>
  <autoFilter ref="AY6:BC15" xr:uid="{C43AC382-896C-48E3-967E-003D8C3BB4E1}">
    <sortState xmlns:xlrd2="http://schemas.microsoft.com/office/spreadsheetml/2017/richdata2" ref="AY7:BC15">
      <sortCondition descending="1" ref="BC6:BC15"/>
    </sortState>
  </autoFilter>
  <mergeCells count="9">
    <mergeCell ref="AY5:BC5"/>
    <mergeCell ref="AP5:AW5"/>
    <mergeCell ref="AK5:AM5"/>
    <mergeCell ref="R1:AA3"/>
    <mergeCell ref="R5:S5"/>
    <mergeCell ref="U5:V5"/>
    <mergeCell ref="X5:Y5"/>
    <mergeCell ref="AA5:AB5"/>
    <mergeCell ref="AE5:AI5"/>
  </mergeCells>
  <phoneticPr fontId="8" type="noConversion"/>
  <conditionalFormatting pivot="1" sqref="S8:S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10">
    <cfRule type="colorScale" priority="22">
      <colorScale>
        <cfvo type="min"/>
        <cfvo type="max"/>
        <color rgb="FFFCFCFF"/>
        <color rgb="FF63BE7B"/>
      </colorScale>
    </cfRule>
  </conditionalFormatting>
  <conditionalFormatting pivot="1" sqref="AB8:AB63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9">
    <cfRule type="colorScale" priority="21">
      <colorScale>
        <cfvo type="min"/>
        <cfvo type="max"/>
        <color rgb="FFFCFCFF"/>
        <color rgb="FFFFFF00"/>
      </colorScale>
    </cfRule>
  </conditionalFormatting>
  <conditionalFormatting pivot="1" sqref="Y8:Y21">
    <cfRule type="colorScale" priority="20">
      <colorScale>
        <cfvo type="min"/>
        <cfvo type="max"/>
        <color rgb="FFFCFCFF"/>
        <color rgb="FFFFC000"/>
      </colorScale>
    </cfRule>
  </conditionalFormatting>
  <conditionalFormatting pivot="1" sqref="AB8:AB63">
    <cfRule type="colorScale" priority="18">
      <colorScale>
        <cfvo type="min"/>
        <cfvo type="max"/>
        <color rgb="FFFCFCFF"/>
        <color rgb="FFF8696B"/>
      </colorScale>
    </cfRule>
  </conditionalFormatting>
  <conditionalFormatting sqref="AC1:AC1048576">
    <cfRule type="containsText" dxfId="119" priority="12" operator="containsText" text="X">
      <formula>NOT(ISERROR(SEARCH("X",AC1)))</formula>
    </cfRule>
    <cfRule type="containsText" dxfId="118" priority="13" operator="containsText" text="✔">
      <formula>NOT(ISERROR(SEARCH("✔",AC1)))</formula>
    </cfRule>
  </conditionalFormatting>
  <conditionalFormatting sqref="R1:R1048576">
    <cfRule type="containsText" dxfId="117" priority="9" operator="containsText" text="SIN APLICACIONES">
      <formula>NOT(ISERROR(SEARCH("SIN APLICACIONES",R1)))</formula>
    </cfRule>
  </conditionalFormatting>
  <conditionalFormatting sqref="U1:U1048576">
    <cfRule type="containsText" dxfId="116" priority="10" operator="containsText" text="SIN APLICACIONES">
      <formula>NOT(ISERROR(SEARCH("SIN APLICACIONES",U1)))</formula>
    </cfRule>
  </conditionalFormatting>
  <conditionalFormatting sqref="X1:X1048576">
    <cfRule type="containsText" dxfId="115" priority="11" operator="containsText" text="SIN APLICACIONES">
      <formula>NOT(ISERROR(SEARCH("SIN APLICACIONES",X1)))</formula>
    </cfRule>
  </conditionalFormatting>
  <conditionalFormatting sqref="AQ7:AV15">
    <cfRule type="duplicateValues" dxfId="114" priority="4"/>
  </conditionalFormatting>
  <conditionalFormatting sqref="AZ7:BB15">
    <cfRule type="duplicateValues" dxfId="113" priority="24"/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AB131"/>
  <sheetViews>
    <sheetView topLeftCell="Q1" zoomScale="85" zoomScaleNormal="85" workbookViewId="0">
      <selection activeCell="U19" sqref="U19:V19"/>
      <pivotSelection pane="bottomRight" showHeader="1" extendable="1" axis="axisRow" start="11" max="20" activeRow="18" activeCol="20" previousRow="18" previousCol="20" click="1" r:id="rId2">
        <pivotArea dataOnly="0" fieldPosition="0">
          <references count="1">
            <reference field="3" count="1">
              <x v="63"/>
            </reference>
          </references>
        </pivotArea>
      </pivotSelection>
    </sheetView>
  </sheetViews>
  <sheetFormatPr baseColWidth="10" defaultRowHeight="15" x14ac:dyDescent="0.25"/>
  <cols>
    <col min="1" max="1" width="0" hidden="1" customWidth="1"/>
    <col min="2" max="2" width="15.28515625" hidden="1" customWidth="1"/>
    <col min="3" max="3" width="0" hidden="1" customWidth="1"/>
    <col min="4" max="4" width="13.28515625" hidden="1" customWidth="1"/>
    <col min="5" max="5" width="11.85546875" hidden="1" customWidth="1"/>
    <col min="6" max="7" width="0" hidden="1" customWidth="1"/>
    <col min="8" max="8" width="11.7109375" hidden="1" customWidth="1"/>
    <col min="9" max="16" width="0" hidden="1" customWidth="1"/>
    <col min="18" max="18" width="20.140625" bestFit="1" customWidth="1"/>
    <col min="19" max="19" width="12.28515625" bestFit="1" customWidth="1"/>
    <col min="21" max="21" width="21.7109375" bestFit="1" customWidth="1"/>
    <col min="22" max="22" width="11.7109375" bestFit="1" customWidth="1"/>
    <col min="24" max="24" width="25.28515625" bestFit="1" customWidth="1"/>
    <col min="25" max="25" width="11.7109375" bestFit="1" customWidth="1"/>
    <col min="27" max="27" width="20.140625" bestFit="1" customWidth="1"/>
    <col min="28" max="28" width="11.7109375" bestFit="1" customWidth="1"/>
  </cols>
  <sheetData>
    <row r="1" spans="1:28" ht="15.75" x14ac:dyDescent="0.25">
      <c r="R1" s="41" t="s">
        <v>196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28" ht="15.75" x14ac:dyDescent="0.25">
      <c r="A2" t="s">
        <v>110</v>
      </c>
      <c r="B2" t="s">
        <v>135</v>
      </c>
      <c r="C2" t="s">
        <v>0</v>
      </c>
      <c r="D2" t="s">
        <v>111</v>
      </c>
      <c r="E2" t="s">
        <v>1</v>
      </c>
      <c r="F2" t="s">
        <v>127</v>
      </c>
      <c r="H2" s="16" t="s">
        <v>103</v>
      </c>
      <c r="I2" s="16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39" t="str">
        <f>H12</f>
        <v>03/11</v>
      </c>
    </row>
    <row r="3" spans="1:28" ht="15.75" x14ac:dyDescent="0.25">
      <c r="A3" t="s">
        <v>3</v>
      </c>
      <c r="B3" t="s">
        <v>23</v>
      </c>
      <c r="C3" t="s">
        <v>23</v>
      </c>
      <c r="D3">
        <v>58265</v>
      </c>
      <c r="E3">
        <v>2.6484090909090909</v>
      </c>
      <c r="F3" t="str">
        <f>Tabla41[[#This Row],[SUPER]]</f>
        <v>SANDY</v>
      </c>
      <c r="H3" s="17" t="s">
        <v>3</v>
      </c>
      <c r="I3">
        <v>55000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40" t="str">
        <f>H13</f>
        <v>16:05</v>
      </c>
    </row>
    <row r="4" spans="1:28" x14ac:dyDescent="0.25">
      <c r="A4" t="s">
        <v>3</v>
      </c>
      <c r="B4" t="s">
        <v>44</v>
      </c>
      <c r="C4" t="s">
        <v>44</v>
      </c>
      <c r="D4">
        <v>24680</v>
      </c>
      <c r="E4">
        <v>1.1218181818181818</v>
      </c>
      <c r="F4" t="str">
        <f>Tabla41[[#This Row],[SUPER]]</f>
        <v>SANDY</v>
      </c>
      <c r="H4" s="17" t="s">
        <v>4</v>
      </c>
      <c r="I4">
        <v>55000</v>
      </c>
    </row>
    <row r="5" spans="1:28" ht="21" x14ac:dyDescent="0.35">
      <c r="A5" t="s">
        <v>3</v>
      </c>
      <c r="B5" t="s">
        <v>48</v>
      </c>
      <c r="C5" t="s">
        <v>48</v>
      </c>
      <c r="D5">
        <v>23753.200000000001</v>
      </c>
      <c r="E5">
        <v>1.079690909090909</v>
      </c>
      <c r="F5" t="str">
        <f>Tabla41[[#This Row],[SUPER]]</f>
        <v>SANDY</v>
      </c>
      <c r="H5" s="17" t="s">
        <v>2</v>
      </c>
      <c r="I5">
        <v>14000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</row>
    <row r="6" spans="1:28" x14ac:dyDescent="0.25">
      <c r="A6" t="s">
        <v>3</v>
      </c>
      <c r="B6" t="s">
        <v>43</v>
      </c>
      <c r="C6" t="s">
        <v>43</v>
      </c>
      <c r="D6">
        <v>22255</v>
      </c>
      <c r="E6">
        <v>1.011590909090909</v>
      </c>
      <c r="F6" t="str">
        <f>Tabla41[[#This Row],[SUPER]]</f>
        <v>SANDY</v>
      </c>
      <c r="H6" s="17" t="s">
        <v>5</v>
      </c>
      <c r="I6">
        <v>13000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</row>
    <row r="7" spans="1:28" x14ac:dyDescent="0.25">
      <c r="A7" t="s">
        <v>3</v>
      </c>
      <c r="B7" t="s">
        <v>125</v>
      </c>
      <c r="C7" t="s">
        <v>125</v>
      </c>
      <c r="D7">
        <v>20697</v>
      </c>
      <c r="E7">
        <v>0.94077272727272732</v>
      </c>
      <c r="F7" t="str">
        <f>Tabla41[[#This Row],[SUPER]]</f>
        <v>SANDY</v>
      </c>
      <c r="H7" s="17" t="s">
        <v>6</v>
      </c>
      <c r="I7">
        <v>63000</v>
      </c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</row>
    <row r="8" spans="1:28" x14ac:dyDescent="0.25">
      <c r="A8" t="s">
        <v>3</v>
      </c>
      <c r="B8" t="s">
        <v>113</v>
      </c>
      <c r="C8" t="s">
        <v>113</v>
      </c>
      <c r="D8">
        <v>18798</v>
      </c>
      <c r="E8">
        <v>0.85445454545454547</v>
      </c>
      <c r="F8" t="str">
        <f>Tabla41[[#This Row],[SUPER]]</f>
        <v>SANDY</v>
      </c>
      <c r="H8" s="17" t="s">
        <v>7</v>
      </c>
      <c r="I8">
        <v>13000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23</v>
      </c>
      <c r="S8" s="3">
        <v>2.6484090909090909</v>
      </c>
      <c r="U8" s="15" t="s">
        <v>105</v>
      </c>
      <c r="V8" s="2">
        <v>0.99562499999999998</v>
      </c>
      <c r="X8" s="15" t="s">
        <v>133</v>
      </c>
      <c r="Y8" s="2">
        <v>0.69650000000000001</v>
      </c>
      <c r="AA8" s="15" t="s">
        <v>54</v>
      </c>
      <c r="AB8" s="2">
        <v>0.38526086956521738</v>
      </c>
    </row>
    <row r="9" spans="1:28" x14ac:dyDescent="0.25">
      <c r="A9" t="s">
        <v>3</v>
      </c>
      <c r="B9" t="s">
        <v>33</v>
      </c>
      <c r="C9" t="s">
        <v>33</v>
      </c>
      <c r="D9">
        <v>16760</v>
      </c>
      <c r="E9">
        <v>0.76181818181818184</v>
      </c>
      <c r="F9" t="str">
        <f>Tabla41[[#This Row],[SUPER]]</f>
        <v>SANDY</v>
      </c>
      <c r="L9">
        <v>1</v>
      </c>
      <c r="M9" s="1">
        <f t="shared" ref="M9:M72" si="0">E3</f>
        <v>2.6484090909090909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 t="shared" ref="O9:O72" si="1">B3</f>
        <v>LISELY MERA</v>
      </c>
      <c r="R9" s="15" t="s">
        <v>40</v>
      </c>
      <c r="S9" s="3">
        <v>2.2401818181818181</v>
      </c>
      <c r="U9" s="15" t="s">
        <v>15</v>
      </c>
      <c r="V9" s="3">
        <v>0.96356249999999999</v>
      </c>
      <c r="X9" s="15" t="s">
        <v>55</v>
      </c>
      <c r="Y9" s="3">
        <v>0.67336363636363639</v>
      </c>
      <c r="AA9" s="15" t="s">
        <v>28</v>
      </c>
      <c r="AB9" s="3">
        <v>0.36471874999999998</v>
      </c>
    </row>
    <row r="10" spans="1:28" x14ac:dyDescent="0.25">
      <c r="A10" t="s">
        <v>3</v>
      </c>
      <c r="B10" t="s">
        <v>133</v>
      </c>
      <c r="C10" t="s">
        <v>133</v>
      </c>
      <c r="D10">
        <v>15323</v>
      </c>
      <c r="E10">
        <v>0.69650000000000001</v>
      </c>
      <c r="F10" t="str">
        <f>Tabla41[[#This Row],[SUPER]]</f>
        <v>SANDY</v>
      </c>
      <c r="L10">
        <v>2</v>
      </c>
      <c r="M10" s="1">
        <f t="shared" si="0"/>
        <v>1.1218181818181818</v>
      </c>
      <c r="N10" t="str" cm="1">
        <f t="array" ref="N10">IFERROR(_xlfn.IFS(M10&gt;100%,"&gt;100%",AND(M10&lt;100%,M10&gt;70%),"&gt;70%",AND(M10&lt;70%,M10&gt;40%),"&gt;40%",AND(M10&lt;40%,M10&gt;0%),"&gt;0%"),"")</f>
        <v>&gt;100%</v>
      </c>
      <c r="O10" t="str">
        <f t="shared" si="1"/>
        <v>GINA HUAMANI</v>
      </c>
      <c r="R10" s="15" t="s">
        <v>75</v>
      </c>
      <c r="S10" s="3">
        <v>1.9579811320754716</v>
      </c>
      <c r="U10" s="15" t="s">
        <v>78</v>
      </c>
      <c r="V10" s="3">
        <v>0.95771698113207548</v>
      </c>
      <c r="X10" s="15" t="s">
        <v>77</v>
      </c>
      <c r="Y10" s="3">
        <v>0.65221739130434786</v>
      </c>
      <c r="AA10" s="15" t="s">
        <v>132</v>
      </c>
      <c r="AB10" s="3">
        <v>0.34173584905660376</v>
      </c>
    </row>
    <row r="11" spans="1:28" x14ac:dyDescent="0.25">
      <c r="A11" t="s">
        <v>3</v>
      </c>
      <c r="B11" t="s">
        <v>53</v>
      </c>
      <c r="C11" t="s">
        <v>53</v>
      </c>
      <c r="D11">
        <v>9994.4</v>
      </c>
      <c r="E11">
        <v>0.45429090909090908</v>
      </c>
      <c r="F11" t="str">
        <f>Tabla41[[#This Row],[SUPER]]</f>
        <v>SANDY</v>
      </c>
      <c r="H11" t="s">
        <v>108</v>
      </c>
      <c r="L11">
        <v>3</v>
      </c>
      <c r="M11" s="1">
        <f t="shared" si="0"/>
        <v>1.079690909090909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1"/>
        <v>VERONICA HUARCA</v>
      </c>
      <c r="R11" s="15" t="s">
        <v>80</v>
      </c>
      <c r="S11" s="3">
        <v>1.7717391304347827</v>
      </c>
      <c r="U11" s="15" t="s">
        <v>38</v>
      </c>
      <c r="V11" s="3">
        <v>0.95709374999999997</v>
      </c>
      <c r="X11" s="15" t="s">
        <v>42</v>
      </c>
      <c r="Y11" s="3">
        <v>0.64928571428571424</v>
      </c>
      <c r="AA11" s="15" t="s">
        <v>41</v>
      </c>
      <c r="AB11" s="3">
        <v>0.3354375</v>
      </c>
    </row>
    <row r="12" spans="1:28" x14ac:dyDescent="0.25">
      <c r="A12" t="s">
        <v>3</v>
      </c>
      <c r="B12" t="s">
        <v>118</v>
      </c>
      <c r="C12" t="s">
        <v>118</v>
      </c>
      <c r="D12">
        <v>7120</v>
      </c>
      <c r="E12">
        <v>0.32363636363636361</v>
      </c>
      <c r="F12" t="str">
        <f>Tabla41[[#This Row],[SUPER]]</f>
        <v>SANDY</v>
      </c>
      <c r="H12" t="s">
        <v>198</v>
      </c>
      <c r="L12">
        <v>4</v>
      </c>
      <c r="M12" s="1">
        <f t="shared" si="0"/>
        <v>1.011590909090909</v>
      </c>
      <c r="N12" t="str" cm="1">
        <f t="array" ref="N12">IFERROR(_xlfn.IFS(M12&gt;100%,"&gt;100%",AND(M12&lt;100%,M12&gt;70%),"&gt;70%",AND(M12&lt;70%,M12&gt;40%),"&gt;40%",AND(M12&lt;40%,M12&gt;0%),"&gt;0%"),"")</f>
        <v>&gt;100%</v>
      </c>
      <c r="O12" t="str">
        <f t="shared" si="1"/>
        <v>LYNDA PEREZ</v>
      </c>
      <c r="R12" s="15" t="s">
        <v>61</v>
      </c>
      <c r="S12" s="3">
        <v>1.6813142857142858</v>
      </c>
      <c r="U12" s="15" t="s">
        <v>16</v>
      </c>
      <c r="V12" s="3">
        <v>0.95665624999999999</v>
      </c>
      <c r="X12" s="15" t="s">
        <v>128</v>
      </c>
      <c r="Y12" s="3">
        <v>0.60309374999999998</v>
      </c>
      <c r="AA12" s="15" t="s">
        <v>118</v>
      </c>
      <c r="AB12" s="3">
        <v>0.32363636363636361</v>
      </c>
    </row>
    <row r="13" spans="1:28" x14ac:dyDescent="0.25">
      <c r="A13" t="s">
        <v>3</v>
      </c>
      <c r="B13" t="s">
        <v>131</v>
      </c>
      <c r="E13">
        <v>0</v>
      </c>
      <c r="F13" t="str">
        <f>Tabla41[[#This Row],[SUPER]]</f>
        <v>SANDY</v>
      </c>
      <c r="H13" t="s">
        <v>199</v>
      </c>
      <c r="J13" s="21">
        <f ca="1">NOW()</f>
        <v>45972.660482407409</v>
      </c>
      <c r="L13">
        <v>5</v>
      </c>
      <c r="M13" s="1">
        <f t="shared" si="0"/>
        <v>0.94077272727272732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1"/>
        <v>ROBERTO RODRIGUEZ</v>
      </c>
      <c r="R13" s="15" t="s">
        <v>72</v>
      </c>
      <c r="S13" s="3">
        <v>1.5539156250000001</v>
      </c>
      <c r="U13" s="15" t="s">
        <v>68</v>
      </c>
      <c r="V13" s="3">
        <v>0.94443750000000004</v>
      </c>
      <c r="X13" s="15" t="s">
        <v>60</v>
      </c>
      <c r="Y13" s="3">
        <v>0.55169811320754714</v>
      </c>
      <c r="AA13" s="15" t="s">
        <v>57</v>
      </c>
      <c r="AB13" s="3">
        <v>0.28318571428571426</v>
      </c>
    </row>
    <row r="14" spans="1:28" x14ac:dyDescent="0.25">
      <c r="A14" t="s">
        <v>3</v>
      </c>
      <c r="B14" t="s">
        <v>131</v>
      </c>
      <c r="E14">
        <v>0</v>
      </c>
      <c r="F14" t="str">
        <f>Tabla41[[#This Row],[SUPER]]</f>
        <v>SANDY</v>
      </c>
      <c r="J14">
        <f ca="1">DAY(J13)</f>
        <v>11</v>
      </c>
      <c r="L14">
        <v>6</v>
      </c>
      <c r="M14" s="1">
        <f t="shared" si="0"/>
        <v>0.85445454545454547</v>
      </c>
      <c r="N14" t="str" cm="1">
        <f t="array" ref="N14">IFERROR(_xlfn.IFS(M14&gt;100%,"&gt;100%",AND(M14&lt;100%,M14&gt;70%),"&gt;70%",AND(M14&lt;70%,M14&gt;40%),"&gt;40%",AND(M14&lt;40%,M14&gt;0%),"&gt;0%"),"")</f>
        <v>&gt;70%</v>
      </c>
      <c r="O14" t="str">
        <f t="shared" si="1"/>
        <v>NOEMI CHUQUILIN</v>
      </c>
      <c r="R14" s="15" t="s">
        <v>19</v>
      </c>
      <c r="S14" s="3">
        <v>1.4431739130434782</v>
      </c>
      <c r="U14" s="15" t="s">
        <v>125</v>
      </c>
      <c r="V14" s="3">
        <v>0.94077272727272732</v>
      </c>
      <c r="X14" s="15" t="s">
        <v>71</v>
      </c>
      <c r="Y14" s="3">
        <v>0.53572727272727272</v>
      </c>
      <c r="AA14" s="15" t="s">
        <v>36</v>
      </c>
      <c r="AB14" s="3">
        <v>0.27422641509433965</v>
      </c>
    </row>
    <row r="15" spans="1:28" x14ac:dyDescent="0.25">
      <c r="A15" t="s">
        <v>3</v>
      </c>
      <c r="B15" t="s">
        <v>131</v>
      </c>
      <c r="E15">
        <v>0</v>
      </c>
      <c r="F15" t="str">
        <f>Tabla41[[#This Row],[SUPER]]</f>
        <v>SANDY</v>
      </c>
      <c r="J15">
        <f ca="1">MONTH(J13)</f>
        <v>11</v>
      </c>
      <c r="L15">
        <v>7</v>
      </c>
      <c r="M15" s="1">
        <f t="shared" si="0"/>
        <v>0.76181818181818184</v>
      </c>
      <c r="N15" t="str" cm="1">
        <f t="array" ref="N15">IFERROR(_xlfn.IFS(M15&gt;100%,"&gt;100%",AND(M15&lt;100%,M15&gt;70%),"&gt;70%",AND(M15&lt;70%,M15&gt;40%),"&gt;40%",AND(M15&lt;40%,M15&gt;0%),"&gt;0%"),"")</f>
        <v>&gt;70%</v>
      </c>
      <c r="O15" t="str">
        <f t="shared" si="1"/>
        <v>LINDA TUESTA</v>
      </c>
      <c r="R15" s="15" t="s">
        <v>65</v>
      </c>
      <c r="S15" s="3">
        <v>1.3979375000000001</v>
      </c>
      <c r="U15" s="15" t="s">
        <v>76</v>
      </c>
      <c r="V15" s="3">
        <v>0.91550585714285715</v>
      </c>
      <c r="X15" s="15" t="s">
        <v>21</v>
      </c>
      <c r="Y15" s="3">
        <v>0.53179245283018872</v>
      </c>
      <c r="AA15" s="15" t="s">
        <v>116</v>
      </c>
      <c r="AB15" s="3">
        <v>0.2713913043478261</v>
      </c>
    </row>
    <row r="16" spans="1:28" x14ac:dyDescent="0.25">
      <c r="A16" t="s">
        <v>3</v>
      </c>
      <c r="B16" t="s">
        <v>131</v>
      </c>
      <c r="E16">
        <v>0</v>
      </c>
      <c r="F16" t="str">
        <f>Tabla41[[#This Row],[SUPER]]</f>
        <v>SANDY</v>
      </c>
      <c r="J16" t="str">
        <f ca="1">_xlfn.CONCAT(IF(LEN(J14)=1,"0"&amp;J14,J14),"/",IF(LEN(J15)=1,"0"&amp;J15,J15))</f>
        <v>11/11</v>
      </c>
      <c r="L16">
        <v>8</v>
      </c>
      <c r="M16" s="1">
        <f t="shared" si="0"/>
        <v>0.69650000000000001</v>
      </c>
      <c r="N16" t="str" cm="1">
        <f t="array" ref="N16">IFERROR(_xlfn.IFS(M16&gt;100%,"&gt;100%",AND(M16&lt;100%,M16&gt;70%),"&gt;70%",AND(M16&lt;70%,M16&gt;40%),"&gt;40%",AND(M16&lt;40%,M16&gt;0%),"&gt;0%"),"")</f>
        <v>&gt;40%</v>
      </c>
      <c r="O16" t="str">
        <f t="shared" si="1"/>
        <v>JOANA GIL</v>
      </c>
      <c r="R16" s="15" t="s">
        <v>69</v>
      </c>
      <c r="S16" s="3">
        <v>1.3928301886792454</v>
      </c>
      <c r="U16" s="15" t="s">
        <v>79</v>
      </c>
      <c r="V16" s="3">
        <v>0.89687499999999998</v>
      </c>
      <c r="X16" s="15" t="s">
        <v>74</v>
      </c>
      <c r="Y16" s="3">
        <v>0.53149999999999997</v>
      </c>
      <c r="AA16" s="15" t="s">
        <v>18</v>
      </c>
      <c r="AB16" s="3">
        <v>0.26792452830188679</v>
      </c>
    </row>
    <row r="17" spans="1:28" x14ac:dyDescent="0.25">
      <c r="A17" t="s">
        <v>3</v>
      </c>
      <c r="B17" t="s">
        <v>131</v>
      </c>
      <c r="E17">
        <v>0</v>
      </c>
      <c r="F17" t="str">
        <f>Tabla41[[#This Row],[SUPER]]</f>
        <v>SANDY</v>
      </c>
      <c r="J17" t="str">
        <f ca="1">IF(_xlfn.CONCAT(IF(LEN(J14)=1,"0"&amp;J14,J14),"/",IF(LEN(J15)=1,"0"&amp;J15,J15))=H12,"✔","X")</f>
        <v>X</v>
      </c>
      <c r="L17">
        <v>9</v>
      </c>
      <c r="M17" s="1">
        <f t="shared" si="0"/>
        <v>0.45429090909090908</v>
      </c>
      <c r="N17" t="str" cm="1">
        <f t="array" ref="N17">IFERROR(_xlfn.IFS(M17&gt;100%,"&gt;100%",AND(M17&lt;100%,M17&gt;70%),"&gt;70%",AND(M17&lt;70%,M17&gt;40%),"&gt;40%",AND(M17&lt;40%,M17&gt;0%),"&gt;0%"),"")</f>
        <v>&gt;40%</v>
      </c>
      <c r="O17" t="str">
        <f t="shared" si="1"/>
        <v>CHRISTIAN ALBUJAR</v>
      </c>
      <c r="R17" s="15" t="s">
        <v>81</v>
      </c>
      <c r="S17" s="3">
        <v>1.3407150000000001</v>
      </c>
      <c r="U17" s="15" t="s">
        <v>112</v>
      </c>
      <c r="V17" s="3">
        <v>0.88634374999999999</v>
      </c>
      <c r="X17" s="15" t="s">
        <v>25</v>
      </c>
      <c r="Y17" s="3">
        <v>0.51529999999999998</v>
      </c>
      <c r="AA17" s="15" t="s">
        <v>20</v>
      </c>
      <c r="AB17" s="3">
        <v>0.26111320754716982</v>
      </c>
    </row>
    <row r="18" spans="1:28" x14ac:dyDescent="0.25">
      <c r="A18" t="s">
        <v>4</v>
      </c>
      <c r="B18" t="s">
        <v>40</v>
      </c>
      <c r="C18" t="s">
        <v>40</v>
      </c>
      <c r="D18">
        <v>49284</v>
      </c>
      <c r="E18">
        <v>2.2401818181818181</v>
      </c>
      <c r="F18" t="str">
        <f>Tabla41[[#This Row],[SUPER]]</f>
        <v>MELINA</v>
      </c>
      <c r="L18">
        <v>10</v>
      </c>
      <c r="M18" s="1">
        <f t="shared" si="0"/>
        <v>0.32363636363636361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1"/>
        <v>LUIS RUIZ</v>
      </c>
      <c r="R18" s="15" t="s">
        <v>34</v>
      </c>
      <c r="S18" s="3">
        <v>1.2923913043478261</v>
      </c>
      <c r="U18" s="15" t="s">
        <v>10</v>
      </c>
      <c r="V18" s="3">
        <v>0.86799999999999999</v>
      </c>
      <c r="X18" s="15" t="s">
        <v>11</v>
      </c>
      <c r="Y18" s="3">
        <v>0.47098113207547171</v>
      </c>
      <c r="AA18" s="15" t="s">
        <v>29</v>
      </c>
      <c r="AB18" s="3">
        <v>0.19549056603773585</v>
      </c>
    </row>
    <row r="19" spans="1:28" x14ac:dyDescent="0.25">
      <c r="A19" t="s">
        <v>4</v>
      </c>
      <c r="B19" t="s">
        <v>109</v>
      </c>
      <c r="C19" t="s">
        <v>109</v>
      </c>
      <c r="D19">
        <v>26162</v>
      </c>
      <c r="E19">
        <v>1.1891818181818181</v>
      </c>
      <c r="F19" t="str">
        <f>Tabla41[[#This Row],[SUPER]]</f>
        <v>MELINA</v>
      </c>
      <c r="L19">
        <v>11</v>
      </c>
      <c r="M19" s="1">
        <f t="shared" si="0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1"/>
        <v/>
      </c>
      <c r="R19" s="15" t="s">
        <v>109</v>
      </c>
      <c r="S19" s="3">
        <v>1.1891818181818181</v>
      </c>
      <c r="U19" s="15" t="s">
        <v>192</v>
      </c>
      <c r="V19" s="3">
        <v>0.86759375000000005</v>
      </c>
      <c r="X19" s="15" t="s">
        <v>53</v>
      </c>
      <c r="Y19" s="3">
        <v>0.45429090909090908</v>
      </c>
      <c r="AA19" s="15" t="s">
        <v>50</v>
      </c>
      <c r="AB19" s="3">
        <v>0.16347826086956521</v>
      </c>
    </row>
    <row r="20" spans="1:28" x14ac:dyDescent="0.25">
      <c r="A20" t="s">
        <v>4</v>
      </c>
      <c r="B20" t="s">
        <v>35</v>
      </c>
      <c r="C20" t="s">
        <v>35</v>
      </c>
      <c r="D20">
        <v>17692</v>
      </c>
      <c r="E20">
        <v>0.80418181818181822</v>
      </c>
      <c r="F20" t="str">
        <f>Tabla41[[#This Row],[SUPER]]</f>
        <v>MELINA</v>
      </c>
      <c r="L20">
        <v>12</v>
      </c>
      <c r="M20" s="1">
        <f t="shared" si="0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1"/>
        <v/>
      </c>
      <c r="R20" s="15" t="s">
        <v>13</v>
      </c>
      <c r="S20" s="3">
        <v>1.1452608695652173</v>
      </c>
      <c r="U20" s="15" t="s">
        <v>113</v>
      </c>
      <c r="V20" s="3">
        <v>0.85445454545454547</v>
      </c>
      <c r="X20" s="15" t="s">
        <v>58</v>
      </c>
      <c r="Y20" s="3">
        <v>0.45182075471698113</v>
      </c>
      <c r="AA20" s="15" t="s">
        <v>31</v>
      </c>
      <c r="AB20" s="3">
        <v>0.14150943396226415</v>
      </c>
    </row>
    <row r="21" spans="1:28" x14ac:dyDescent="0.25">
      <c r="A21" t="s">
        <v>4</v>
      </c>
      <c r="B21" t="s">
        <v>55</v>
      </c>
      <c r="C21" t="s">
        <v>55</v>
      </c>
      <c r="D21">
        <v>14814</v>
      </c>
      <c r="E21">
        <v>0.67336363636363639</v>
      </c>
      <c r="F21" t="str">
        <f>Tabla41[[#This Row],[SUPER]]</f>
        <v>MELINA</v>
      </c>
      <c r="L21">
        <v>13</v>
      </c>
      <c r="M21" s="1">
        <f t="shared" si="0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1"/>
        <v/>
      </c>
      <c r="R21" s="15" t="s">
        <v>22</v>
      </c>
      <c r="S21" s="3">
        <v>1.1283018867924528</v>
      </c>
      <c r="U21" s="15" t="s">
        <v>67</v>
      </c>
      <c r="V21" s="3">
        <v>0.84499999999999997</v>
      </c>
      <c r="X21" s="15" t="s">
        <v>193</v>
      </c>
      <c r="Y21" s="3">
        <v>0.44704545454545452</v>
      </c>
      <c r="AA21" s="15" t="s">
        <v>70</v>
      </c>
      <c r="AB21" s="4">
        <v>0.13746875</v>
      </c>
    </row>
    <row r="22" spans="1:28" x14ac:dyDescent="0.25">
      <c r="A22" t="s">
        <v>4</v>
      </c>
      <c r="B22" t="s">
        <v>71</v>
      </c>
      <c r="C22" t="s">
        <v>71</v>
      </c>
      <c r="D22">
        <v>11786</v>
      </c>
      <c r="E22">
        <v>0.53572727272727272</v>
      </c>
      <c r="F22" t="str">
        <f>Tabla41[[#This Row],[SUPER]]</f>
        <v>MELINA</v>
      </c>
      <c r="L22">
        <v>14</v>
      </c>
      <c r="M22" s="1">
        <f t="shared" si="0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1"/>
        <v/>
      </c>
      <c r="R22" s="15" t="s">
        <v>44</v>
      </c>
      <c r="S22" s="3">
        <v>1.1218181818181818</v>
      </c>
      <c r="U22" s="15" t="s">
        <v>26</v>
      </c>
      <c r="V22" s="3">
        <v>0.80615625000000002</v>
      </c>
      <c r="X22" s="15" t="s">
        <v>73</v>
      </c>
      <c r="Y22" s="3">
        <v>0.44046875000000002</v>
      </c>
    </row>
    <row r="23" spans="1:28" x14ac:dyDescent="0.25">
      <c r="A23" t="s">
        <v>4</v>
      </c>
      <c r="B23" t="s">
        <v>74</v>
      </c>
      <c r="C23" t="s">
        <v>74</v>
      </c>
      <c r="D23">
        <v>11693</v>
      </c>
      <c r="E23">
        <v>0.53149999999999997</v>
      </c>
      <c r="F23" t="str">
        <f>Tabla41[[#This Row],[SUPER]]</f>
        <v>MELINA</v>
      </c>
      <c r="L23">
        <v>15</v>
      </c>
      <c r="M23" s="1">
        <f t="shared" si="0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1"/>
        <v/>
      </c>
      <c r="R23" s="15" t="s">
        <v>48</v>
      </c>
      <c r="S23" s="3">
        <v>1.079690909090909</v>
      </c>
      <c r="U23" s="15" t="s">
        <v>35</v>
      </c>
      <c r="V23" s="3">
        <v>0.80418181818181822</v>
      </c>
      <c r="X23" s="15" t="s">
        <v>151</v>
      </c>
      <c r="Y23" s="3">
        <v>0.4249090909090909</v>
      </c>
    </row>
    <row r="24" spans="1:28" x14ac:dyDescent="0.25">
      <c r="A24" t="s">
        <v>4</v>
      </c>
      <c r="B24" t="s">
        <v>193</v>
      </c>
      <c r="C24" t="s">
        <v>193</v>
      </c>
      <c r="D24">
        <v>9835</v>
      </c>
      <c r="E24">
        <v>0.44704545454545452</v>
      </c>
      <c r="F24" t="str">
        <f>Tabla41[[#This Row],[SUPER]]</f>
        <v>MELINA</v>
      </c>
      <c r="L24">
        <v>1</v>
      </c>
      <c r="M24" s="1">
        <f t="shared" si="0"/>
        <v>2.2401818181818181</v>
      </c>
      <c r="N24" t="str" cm="1">
        <f t="array" ref="N24">IFERROR(_xlfn.IFS(M24&gt;100%,"&gt;100%",AND(M24&lt;100%,M24&gt;70%),"&gt;70%",AND(M24&lt;70%,M24&gt;40%),"&gt;40%",AND(M24&lt;40%,M24&gt;0%),"&gt;0%"),"")</f>
        <v>&gt;100%</v>
      </c>
      <c r="O24" t="str">
        <f t="shared" si="1"/>
        <v>DARYL FERREL</v>
      </c>
      <c r="R24" s="15" t="s">
        <v>24</v>
      </c>
      <c r="S24" s="3">
        <v>1.0704347826086957</v>
      </c>
      <c r="U24" s="15" t="s">
        <v>27</v>
      </c>
      <c r="V24" s="3">
        <v>0.7658571428571429</v>
      </c>
      <c r="X24" s="15" t="s">
        <v>49</v>
      </c>
      <c r="Y24" s="3">
        <v>0.42295454545454547</v>
      </c>
    </row>
    <row r="25" spans="1:28" x14ac:dyDescent="0.25">
      <c r="A25" t="s">
        <v>4</v>
      </c>
      <c r="B25" t="s">
        <v>151</v>
      </c>
      <c r="C25" t="s">
        <v>151</v>
      </c>
      <c r="D25">
        <v>9348</v>
      </c>
      <c r="E25">
        <v>0.4249090909090909</v>
      </c>
      <c r="F25" t="str">
        <f>Tabla41[[#This Row],[SUPER]]</f>
        <v>MELINA</v>
      </c>
      <c r="L25">
        <v>2</v>
      </c>
      <c r="M25" s="1">
        <f t="shared" si="0"/>
        <v>1.1891818181818181</v>
      </c>
      <c r="N25" t="str" cm="1">
        <f t="array" ref="N25">IFERROR(_xlfn.IFS(M25&gt;100%,"&gt;100%",AND(M25&lt;100%,M25&gt;70%),"&gt;70%",AND(M25&lt;70%,M25&gt;40%),"&gt;40%",AND(M25&lt;40%,M25&gt;0%),"&gt;0%"),"")</f>
        <v>&gt;100%</v>
      </c>
      <c r="O25" t="str">
        <f t="shared" si="1"/>
        <v>GERSON LAZARO</v>
      </c>
      <c r="R25" s="15" t="s">
        <v>43</v>
      </c>
      <c r="S25" s="4">
        <v>1.011590909090909</v>
      </c>
      <c r="U25" s="15" t="s">
        <v>33</v>
      </c>
      <c r="V25" s="3">
        <v>0.76181818181818184</v>
      </c>
      <c r="X25" s="15" t="s">
        <v>129</v>
      </c>
      <c r="Y25" s="4">
        <v>0.42222727272727273</v>
      </c>
    </row>
    <row r="26" spans="1:28" x14ac:dyDescent="0.25">
      <c r="A26" t="s">
        <v>4</v>
      </c>
      <c r="B26" t="s">
        <v>49</v>
      </c>
      <c r="C26" t="s">
        <v>49</v>
      </c>
      <c r="D26">
        <v>9305</v>
      </c>
      <c r="E26">
        <v>0.42295454545454547</v>
      </c>
      <c r="F26" t="str">
        <f>Tabla41[[#This Row],[SUPER]]</f>
        <v>MELINA</v>
      </c>
      <c r="L26">
        <v>3</v>
      </c>
      <c r="M26" s="1">
        <f t="shared" si="0"/>
        <v>0.80418181818181822</v>
      </c>
      <c r="N26" t="str" cm="1">
        <f t="array" ref="N26">IFERROR(_xlfn.IFS(M26&gt;100%,"&gt;100%",AND(M26&lt;100%,M26&gt;70%),"&gt;70%",AND(M26&lt;70%,M26&gt;40%),"&gt;40%",AND(M26&lt;40%,M26&gt;0%),"&gt;0%"),"")</f>
        <v>&gt;70%</v>
      </c>
      <c r="O26" t="str">
        <f t="shared" si="1"/>
        <v>JUAN LOZA</v>
      </c>
      <c r="U26" s="15" t="s">
        <v>51</v>
      </c>
      <c r="V26" s="3">
        <v>0.73760869565217391</v>
      </c>
    </row>
    <row r="27" spans="1:28" x14ac:dyDescent="0.25">
      <c r="A27" t="s">
        <v>4</v>
      </c>
      <c r="B27" t="s">
        <v>129</v>
      </c>
      <c r="C27" t="s">
        <v>129</v>
      </c>
      <c r="D27">
        <v>9289</v>
      </c>
      <c r="E27">
        <v>0.42222727272727273</v>
      </c>
      <c r="F27" t="str">
        <f>Tabla41[[#This Row],[SUPER]]</f>
        <v>MELINA</v>
      </c>
      <c r="L27">
        <v>4</v>
      </c>
      <c r="M27" s="1">
        <f t="shared" si="0"/>
        <v>0.67336363636363639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1"/>
        <v>MAYRA AVALOS</v>
      </c>
      <c r="U27" s="15" t="s">
        <v>115</v>
      </c>
      <c r="V27" s="4">
        <v>0.73509433962264148</v>
      </c>
    </row>
    <row r="28" spans="1:28" x14ac:dyDescent="0.25">
      <c r="A28" t="s">
        <v>4</v>
      </c>
      <c r="B28" t="s">
        <v>131</v>
      </c>
      <c r="E28">
        <v>0</v>
      </c>
      <c r="F28" t="str">
        <f>Tabla41[[#This Row],[SUPER]]</f>
        <v>MELINA</v>
      </c>
      <c r="L28">
        <v>5</v>
      </c>
      <c r="M28" s="1">
        <f t="shared" si="0"/>
        <v>0.53572727272727272</v>
      </c>
      <c r="N28" t="str" cm="1">
        <f t="array" ref="N28">IFERROR(_xlfn.IFS(M28&gt;100%,"&gt;100%",AND(M28&lt;100%,M28&gt;70%),"&gt;70%",AND(M28&lt;70%,M28&gt;40%),"&gt;40%",AND(M28&lt;40%,M28&gt;0%),"&gt;0%"),"")</f>
        <v>&gt;40%</v>
      </c>
      <c r="O28" t="str">
        <f t="shared" si="1"/>
        <v>GIULIANA QUISPE</v>
      </c>
    </row>
    <row r="29" spans="1:28" x14ac:dyDescent="0.25">
      <c r="A29" t="s">
        <v>4</v>
      </c>
      <c r="B29" t="s">
        <v>131</v>
      </c>
      <c r="E29">
        <v>0</v>
      </c>
      <c r="F29" t="str">
        <f>Tabla41[[#This Row],[SUPER]]</f>
        <v>MELINA</v>
      </c>
      <c r="L29">
        <v>6</v>
      </c>
      <c r="M29" s="1">
        <f t="shared" si="0"/>
        <v>0.53149999999999997</v>
      </c>
      <c r="N29" t="str" cm="1">
        <f t="array" ref="N29">IFERROR(_xlfn.IFS(M29&gt;100%,"&gt;100%",AND(M29&lt;100%,M29&gt;70%),"&gt;70%",AND(M29&lt;70%,M29&gt;40%),"&gt;40%",AND(M29&lt;40%,M29&gt;0%),"&gt;0%"),"")</f>
        <v>&gt;40%</v>
      </c>
      <c r="O29" t="str">
        <f t="shared" si="1"/>
        <v>NARDIA URPIS</v>
      </c>
    </row>
    <row r="30" spans="1:28" x14ac:dyDescent="0.25">
      <c r="A30" t="s">
        <v>4</v>
      </c>
      <c r="B30" t="s">
        <v>131</v>
      </c>
      <c r="E30">
        <v>0</v>
      </c>
      <c r="F30" t="str">
        <f>Tabla41[[#This Row],[SUPER]]</f>
        <v>MELINA</v>
      </c>
      <c r="L30">
        <v>7</v>
      </c>
      <c r="M30" s="1">
        <f t="shared" si="0"/>
        <v>0.44704545454545452</v>
      </c>
      <c r="N30" t="str" cm="1">
        <f t="array" ref="N30">IFERROR(_xlfn.IFS(M30&gt;100%,"&gt;100%",AND(M30&lt;100%,M30&gt;70%),"&gt;70%",AND(M30&lt;70%,M30&gt;40%),"&gt;40%",AND(M30&lt;40%,M30&gt;0%),"&gt;0%"),"")</f>
        <v>&gt;40%</v>
      </c>
      <c r="O30" t="str">
        <f t="shared" si="1"/>
        <v>ANGELO SUAREZ</v>
      </c>
    </row>
    <row r="31" spans="1:28" x14ac:dyDescent="0.25">
      <c r="A31" t="s">
        <v>4</v>
      </c>
      <c r="B31" t="s">
        <v>131</v>
      </c>
      <c r="E31">
        <v>0</v>
      </c>
      <c r="F31" t="str">
        <f>Tabla41[[#This Row],[SUPER]]</f>
        <v>MELINA</v>
      </c>
      <c r="L31">
        <v>8</v>
      </c>
      <c r="M31" s="1">
        <f t="shared" si="0"/>
        <v>0.4249090909090909</v>
      </c>
      <c r="N31" t="str" cm="1">
        <f t="array" ref="N31">IFERROR(_xlfn.IFS(M31&gt;100%,"&gt;100%",AND(M31&lt;100%,M31&gt;70%),"&gt;70%",AND(M31&lt;70%,M31&gt;40%),"&gt;40%",AND(M31&lt;40%,M31&gt;0%),"&gt;0%"),"")</f>
        <v>&gt;40%</v>
      </c>
      <c r="O31" t="str">
        <f t="shared" si="1"/>
        <v>JACQUELINE COLLAHUACHO</v>
      </c>
    </row>
    <row r="32" spans="1:28" x14ac:dyDescent="0.25">
      <c r="A32" t="s">
        <v>4</v>
      </c>
      <c r="B32" t="s">
        <v>131</v>
      </c>
      <c r="E32">
        <v>0</v>
      </c>
      <c r="F32" t="str">
        <f>Tabla41[[#This Row],[SUPER]]</f>
        <v>MELINA</v>
      </c>
      <c r="L32">
        <v>9</v>
      </c>
      <c r="M32" s="1">
        <f t="shared" si="0"/>
        <v>0.42295454545454547</v>
      </c>
      <c r="N32" t="str" cm="1">
        <f t="array" ref="N32">IFERROR(_xlfn.IFS(M32&gt;100%,"&gt;100%",AND(M32&lt;100%,M32&gt;70%),"&gt;70%",AND(M32&lt;70%,M32&gt;40%),"&gt;40%",AND(M32&lt;40%,M32&gt;0%),"&gt;0%"),"")</f>
        <v>&gt;40%</v>
      </c>
      <c r="O32" t="str">
        <f t="shared" si="1"/>
        <v>JANETH PORTOCARRERO</v>
      </c>
    </row>
    <row r="33" spans="1:15" x14ac:dyDescent="0.25">
      <c r="A33" t="s">
        <v>2</v>
      </c>
      <c r="B33" t="s">
        <v>65</v>
      </c>
      <c r="C33" t="s">
        <v>65</v>
      </c>
      <c r="D33">
        <v>44734</v>
      </c>
      <c r="E33">
        <v>1.3979375000000001</v>
      </c>
      <c r="F33" t="str">
        <f>Tabla41[[#This Row],[SUPER]]</f>
        <v>JORGE</v>
      </c>
      <c r="L33">
        <v>10</v>
      </c>
      <c r="M33" s="1">
        <f t="shared" si="0"/>
        <v>0.42222727272727273</v>
      </c>
      <c r="N33" t="str" cm="1">
        <f t="array" ref="N33">IFERROR(_xlfn.IFS(M33&gt;100%,"&gt;100%",AND(M33&lt;100%,M33&gt;70%),"&gt;70%",AND(M33&lt;70%,M33&gt;40%),"&gt;40%",AND(M33&lt;40%,M33&gt;0%),"&gt;0%"),"")</f>
        <v>&gt;40%</v>
      </c>
      <c r="O33" t="str">
        <f t="shared" si="1"/>
        <v>CARLOS CALAGUA</v>
      </c>
    </row>
    <row r="34" spans="1:15" x14ac:dyDescent="0.25">
      <c r="A34" t="s">
        <v>2</v>
      </c>
      <c r="B34" t="s">
        <v>105</v>
      </c>
      <c r="C34" t="s">
        <v>105</v>
      </c>
      <c r="D34">
        <v>31860</v>
      </c>
      <c r="E34">
        <v>0.99562499999999998</v>
      </c>
      <c r="F34" t="str">
        <f>Tabla41[[#This Row],[SUPER]]</f>
        <v>JORGE</v>
      </c>
      <c r="L34">
        <v>11</v>
      </c>
      <c r="M34" s="1">
        <f t="shared" si="0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1"/>
        <v/>
      </c>
    </row>
    <row r="35" spans="1:15" x14ac:dyDescent="0.25">
      <c r="A35" t="s">
        <v>2</v>
      </c>
      <c r="B35" t="s">
        <v>16</v>
      </c>
      <c r="C35" t="s">
        <v>16</v>
      </c>
      <c r="D35">
        <v>30613</v>
      </c>
      <c r="E35">
        <v>0.95665624999999999</v>
      </c>
      <c r="F35" t="str">
        <f>Tabla41[[#This Row],[SUPER]]</f>
        <v>JORGE</v>
      </c>
      <c r="L35">
        <v>12</v>
      </c>
      <c r="M35" s="1">
        <f t="shared" si="0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1"/>
        <v/>
      </c>
    </row>
    <row r="36" spans="1:15" x14ac:dyDescent="0.25">
      <c r="A36" t="s">
        <v>2</v>
      </c>
      <c r="B36" t="s">
        <v>15</v>
      </c>
      <c r="C36" t="s">
        <v>15</v>
      </c>
      <c r="D36">
        <v>30834</v>
      </c>
      <c r="E36">
        <v>0.96356249999999999</v>
      </c>
      <c r="F36" t="str">
        <f>Tabla41[[#This Row],[SUPER]]</f>
        <v>JORGE</v>
      </c>
      <c r="L36">
        <v>13</v>
      </c>
      <c r="M36" s="1">
        <f t="shared" si="0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1"/>
        <v/>
      </c>
    </row>
    <row r="37" spans="1:15" x14ac:dyDescent="0.25">
      <c r="A37" t="s">
        <v>2</v>
      </c>
      <c r="B37" t="s">
        <v>38</v>
      </c>
      <c r="C37" t="s">
        <v>38</v>
      </c>
      <c r="D37">
        <v>30627</v>
      </c>
      <c r="E37">
        <v>0.95709374999999997</v>
      </c>
      <c r="F37" t="str">
        <f>Tabla41[[#This Row],[SUPER]]</f>
        <v>JORGE</v>
      </c>
      <c r="L37">
        <v>14</v>
      </c>
      <c r="M37" s="1">
        <f t="shared" si="0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1"/>
        <v/>
      </c>
    </row>
    <row r="38" spans="1:15" x14ac:dyDescent="0.25">
      <c r="A38" t="s">
        <v>2</v>
      </c>
      <c r="B38" t="s">
        <v>192</v>
      </c>
      <c r="C38" t="s">
        <v>192</v>
      </c>
      <c r="D38">
        <v>27763</v>
      </c>
      <c r="E38">
        <v>0.86759375000000005</v>
      </c>
      <c r="F38" t="str">
        <f>Tabla41[[#This Row],[SUPER]]</f>
        <v>JORGE</v>
      </c>
      <c r="L38">
        <v>15</v>
      </c>
      <c r="M38" s="1">
        <f t="shared" si="0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1"/>
        <v/>
      </c>
    </row>
    <row r="39" spans="1:15" x14ac:dyDescent="0.25">
      <c r="A39" t="s">
        <v>2</v>
      </c>
      <c r="B39" t="s">
        <v>73</v>
      </c>
      <c r="C39" t="s">
        <v>73</v>
      </c>
      <c r="D39">
        <v>14095</v>
      </c>
      <c r="E39">
        <v>0.44046875000000002</v>
      </c>
      <c r="F39" t="str">
        <f>Tabla41[[#This Row],[SUPER]]</f>
        <v>JORGE</v>
      </c>
      <c r="L39">
        <v>1</v>
      </c>
      <c r="M39" s="1">
        <f t="shared" si="0"/>
        <v>1.3979375000000001</v>
      </c>
      <c r="N39" t="str" cm="1">
        <f t="array" ref="N39">IFERROR(_xlfn.IFS(M39&gt;100%,"&gt;100%",AND(M39&lt;100%,M39&gt;70%),"&gt;70%",AND(M39&lt;70%,M39&gt;40%),"&gt;40%",AND(M39&lt;40%,M39&gt;0%),"&gt;0%"),"")</f>
        <v>&gt;100%</v>
      </c>
      <c r="O39" t="str">
        <f t="shared" si="1"/>
        <v>JHONATAN CHAVEZ</v>
      </c>
    </row>
    <row r="40" spans="1:15" x14ac:dyDescent="0.25">
      <c r="A40" t="s">
        <v>2</v>
      </c>
      <c r="B40" t="s">
        <v>41</v>
      </c>
      <c r="C40" t="s">
        <v>41</v>
      </c>
      <c r="D40">
        <v>10734</v>
      </c>
      <c r="E40">
        <v>0.3354375</v>
      </c>
      <c r="F40" t="str">
        <f>Tabla41[[#This Row],[SUPER]]</f>
        <v>JORGE</v>
      </c>
      <c r="L40">
        <v>2</v>
      </c>
      <c r="M40" s="1">
        <f t="shared" si="0"/>
        <v>0.99562499999999998</v>
      </c>
      <c r="N40" t="str" cm="1">
        <f t="array" ref="N40">IFERROR(_xlfn.IFS(M40&gt;100%,"&gt;100%",AND(M40&lt;100%,M40&gt;70%),"&gt;70%",AND(M40&lt;70%,M40&gt;40%),"&gt;40%",AND(M40&lt;40%,M40&gt;0%),"&gt;0%"),"")</f>
        <v>&gt;70%</v>
      </c>
      <c r="O40" t="str">
        <f t="shared" si="1"/>
        <v>MISHEL MORALES</v>
      </c>
    </row>
    <row r="41" spans="1:15" x14ac:dyDescent="0.25">
      <c r="A41" t="s">
        <v>2</v>
      </c>
      <c r="B41" t="s">
        <v>131</v>
      </c>
      <c r="E41">
        <v>0</v>
      </c>
      <c r="F41" t="str">
        <f>Tabla41[[#This Row],[SUPER]]</f>
        <v>JORGE</v>
      </c>
      <c r="L41">
        <v>3</v>
      </c>
      <c r="M41" s="1">
        <f t="shared" si="0"/>
        <v>0.95665624999999999</v>
      </c>
      <c r="N41" t="str" cm="1">
        <f t="array" ref="N41">IFERROR(_xlfn.IFS(M41&gt;100%,"&gt;100%",AND(M41&lt;100%,M41&gt;70%),"&gt;70%",AND(M41&lt;70%,M41&gt;40%),"&gt;40%",AND(M41&lt;40%,M41&gt;0%),"&gt;0%"),"")</f>
        <v>&gt;70%</v>
      </c>
      <c r="O41" t="str">
        <f t="shared" si="1"/>
        <v>FRANS TACSI</v>
      </c>
    </row>
    <row r="42" spans="1:15" x14ac:dyDescent="0.25">
      <c r="A42" t="s">
        <v>2</v>
      </c>
      <c r="B42" t="s">
        <v>131</v>
      </c>
      <c r="E42">
        <v>0</v>
      </c>
      <c r="F42" t="str">
        <f>Tabla41[[#This Row],[SUPER]]</f>
        <v>JORGE</v>
      </c>
      <c r="L42">
        <v>4</v>
      </c>
      <c r="M42" s="1">
        <f t="shared" si="0"/>
        <v>0.96356249999999999</v>
      </c>
      <c r="N42" t="str" cm="1">
        <f t="array" ref="N42">IFERROR(_xlfn.IFS(M42&gt;100%,"&gt;100%",AND(M42&lt;100%,M42&gt;70%),"&gt;70%",AND(M42&lt;70%,M42&gt;40%),"&gt;40%",AND(M42&lt;40%,M42&gt;0%),"&gt;0%"),"")</f>
        <v>&gt;70%</v>
      </c>
      <c r="O42" t="str">
        <f t="shared" si="1"/>
        <v>ANDERSON RODRIGUEZ</v>
      </c>
    </row>
    <row r="43" spans="1:15" x14ac:dyDescent="0.25">
      <c r="A43" t="s">
        <v>2</v>
      </c>
      <c r="B43" t="s">
        <v>131</v>
      </c>
      <c r="E43">
        <v>0</v>
      </c>
      <c r="F43" t="str">
        <f>Tabla41[[#This Row],[SUPER]]</f>
        <v>JORGE</v>
      </c>
      <c r="L43">
        <v>5</v>
      </c>
      <c r="M43" s="1">
        <f t="shared" si="0"/>
        <v>0.95709374999999997</v>
      </c>
      <c r="N43" t="str" cm="1">
        <f t="array" ref="N43">IFERROR(_xlfn.IFS(M43&gt;100%,"&gt;100%",AND(M43&lt;100%,M43&gt;70%),"&gt;70%",AND(M43&lt;70%,M43&gt;40%),"&gt;40%",AND(M43&lt;40%,M43&gt;0%),"&gt;0%"),"")</f>
        <v>&gt;70%</v>
      </c>
      <c r="O43" t="str">
        <f t="shared" si="1"/>
        <v>MARIA HUARCAYA</v>
      </c>
    </row>
    <row r="44" spans="1:15" x14ac:dyDescent="0.25">
      <c r="A44" t="s">
        <v>2</v>
      </c>
      <c r="B44" t="s">
        <v>131</v>
      </c>
      <c r="E44">
        <v>0</v>
      </c>
      <c r="F44" t="str">
        <f>Tabla41[[#This Row],[SUPER]]</f>
        <v>JORGE</v>
      </c>
      <c r="L44">
        <v>6</v>
      </c>
      <c r="M44" s="1">
        <f t="shared" si="0"/>
        <v>0.86759375000000005</v>
      </c>
      <c r="N44" t="str" cm="1">
        <f t="array" ref="N44">IFERROR(_xlfn.IFS(M44&gt;100%,"&gt;100%",AND(M44&lt;100%,M44&gt;70%),"&gt;70%",AND(M44&lt;70%,M44&gt;40%),"&gt;40%",AND(M44&lt;40%,M44&gt;0%),"&gt;0%"),"")</f>
        <v>&gt;70%</v>
      </c>
      <c r="O44" t="str">
        <f t="shared" si="1"/>
        <v>GENESIS VICUÑA</v>
      </c>
    </row>
    <row r="45" spans="1:15" x14ac:dyDescent="0.25">
      <c r="A45" t="s">
        <v>2</v>
      </c>
      <c r="B45" t="s">
        <v>131</v>
      </c>
      <c r="E45">
        <v>0</v>
      </c>
      <c r="F45" t="str">
        <f>Tabla41[[#This Row],[SUPER]]</f>
        <v>JORGE</v>
      </c>
      <c r="L45">
        <v>7</v>
      </c>
      <c r="M45" s="1">
        <f t="shared" si="0"/>
        <v>0.44046875000000002</v>
      </c>
      <c r="N45" t="str" cm="1">
        <f t="array" ref="N45">IFERROR(_xlfn.IFS(M45&gt;100%,"&gt;100%",AND(M45&lt;100%,M45&gt;70%),"&gt;70%",AND(M45&lt;70%,M45&gt;40%),"&gt;40%",AND(M45&lt;40%,M45&gt;0%),"&gt;0%"),"")</f>
        <v>&gt;40%</v>
      </c>
      <c r="O45" t="str">
        <f t="shared" si="1"/>
        <v>SARITA GARAY</v>
      </c>
    </row>
    <row r="46" spans="1:15" x14ac:dyDescent="0.25">
      <c r="A46" t="s">
        <v>2</v>
      </c>
      <c r="B46" t="s">
        <v>131</v>
      </c>
      <c r="E46">
        <v>0</v>
      </c>
      <c r="F46" t="str">
        <f>Tabla41[[#This Row],[SUPER]]</f>
        <v>JORGE</v>
      </c>
      <c r="L46">
        <v>8</v>
      </c>
      <c r="M46" s="1">
        <f t="shared" si="0"/>
        <v>0.3354375</v>
      </c>
      <c r="N46" t="str" cm="1">
        <f t="array" ref="N46">IFERROR(_xlfn.IFS(M46&gt;100%,"&gt;100%",AND(M46&lt;100%,M46&gt;70%),"&gt;70%",AND(M46&lt;70%,M46&gt;40%),"&gt;40%",AND(M46&lt;40%,M46&gt;0%),"&gt;0%"),"")</f>
        <v>&gt;0%</v>
      </c>
      <c r="O46" t="str">
        <f t="shared" si="1"/>
        <v>CHRISTIAN ALVARADO</v>
      </c>
    </row>
    <row r="47" spans="1:15" x14ac:dyDescent="0.25">
      <c r="A47" t="s">
        <v>2</v>
      </c>
      <c r="B47" t="s">
        <v>131</v>
      </c>
      <c r="E47">
        <v>0</v>
      </c>
      <c r="F47" t="str">
        <f>Tabla41[[#This Row],[SUPER]]</f>
        <v>JORGE</v>
      </c>
      <c r="L47">
        <v>9</v>
      </c>
      <c r="M47" s="1">
        <f t="shared" si="0"/>
        <v>0</v>
      </c>
      <c r="N47" t="str" cm="1">
        <f t="array" ref="N47">IFERROR(_xlfn.IFS(M47&gt;100%,"&gt;100%",AND(M47&lt;100%,M47&gt;70%),"&gt;70%",AND(M47&lt;70%,M47&gt;40%),"&gt;40%",AND(M47&lt;40%,M47&gt;0%),"&gt;0%"),"")</f>
        <v/>
      </c>
      <c r="O47" t="str">
        <f t="shared" si="1"/>
        <v/>
      </c>
    </row>
    <row r="48" spans="1:15" x14ac:dyDescent="0.25">
      <c r="A48" t="s">
        <v>5</v>
      </c>
      <c r="B48" t="s">
        <v>72</v>
      </c>
      <c r="C48" t="s">
        <v>72</v>
      </c>
      <c r="D48">
        <v>49725.3</v>
      </c>
      <c r="E48">
        <v>1.5539156250000001</v>
      </c>
      <c r="F48" t="str">
        <f>Tabla41[[#This Row],[SUPER]]</f>
        <v>JORDAN</v>
      </c>
      <c r="L48">
        <v>10</v>
      </c>
      <c r="M48" s="1">
        <f t="shared" si="0"/>
        <v>0</v>
      </c>
      <c r="N48" t="str" cm="1">
        <f t="array" ref="N48">IFERROR(_xlfn.IFS(M48&gt;100%,"&gt;100%",AND(M48&lt;100%,M48&gt;70%),"&gt;70%",AND(M48&lt;70%,M48&gt;40%),"&gt;40%",AND(M48&lt;40%,M48&gt;0%),"&gt;0%"),"")</f>
        <v/>
      </c>
      <c r="O48" t="str">
        <f t="shared" si="1"/>
        <v/>
      </c>
    </row>
    <row r="49" spans="1:15" x14ac:dyDescent="0.25">
      <c r="A49" t="s">
        <v>5</v>
      </c>
      <c r="B49" t="s">
        <v>68</v>
      </c>
      <c r="C49" t="s">
        <v>68</v>
      </c>
      <c r="D49">
        <v>30222</v>
      </c>
      <c r="E49">
        <v>0.94443750000000004</v>
      </c>
      <c r="F49" t="str">
        <f>Tabla41[[#This Row],[SUPER]]</f>
        <v>JORDAN</v>
      </c>
      <c r="L49">
        <v>11</v>
      </c>
      <c r="M49" s="1">
        <f t="shared" si="0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1"/>
        <v/>
      </c>
    </row>
    <row r="50" spans="1:15" x14ac:dyDescent="0.25">
      <c r="A50" t="s">
        <v>5</v>
      </c>
      <c r="B50" t="s">
        <v>79</v>
      </c>
      <c r="C50" t="s">
        <v>79</v>
      </c>
      <c r="D50">
        <v>28700</v>
      </c>
      <c r="E50">
        <v>0.89687499999999998</v>
      </c>
      <c r="F50" t="str">
        <f>Tabla41[[#This Row],[SUPER]]</f>
        <v>JORDAN</v>
      </c>
      <c r="L50">
        <v>12</v>
      </c>
      <c r="M50" s="1">
        <f t="shared" si="0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1"/>
        <v/>
      </c>
    </row>
    <row r="51" spans="1:15" x14ac:dyDescent="0.25">
      <c r="A51" t="s">
        <v>5</v>
      </c>
      <c r="B51" t="s">
        <v>112</v>
      </c>
      <c r="C51" t="s">
        <v>112</v>
      </c>
      <c r="D51">
        <v>28363</v>
      </c>
      <c r="E51">
        <v>0.88634374999999999</v>
      </c>
      <c r="F51" t="str">
        <f>Tabla41[[#This Row],[SUPER]]</f>
        <v>JORDAN</v>
      </c>
      <c r="L51">
        <v>13</v>
      </c>
      <c r="M51" s="1">
        <f t="shared" si="0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1"/>
        <v/>
      </c>
    </row>
    <row r="52" spans="1:15" x14ac:dyDescent="0.25">
      <c r="A52" t="s">
        <v>5</v>
      </c>
      <c r="B52" t="s">
        <v>26</v>
      </c>
      <c r="C52" t="s">
        <v>26</v>
      </c>
      <c r="D52">
        <v>25797</v>
      </c>
      <c r="E52">
        <v>0.80615625000000002</v>
      </c>
      <c r="F52" t="str">
        <f>Tabla41[[#This Row],[SUPER]]</f>
        <v>JORDAN</v>
      </c>
      <c r="L52">
        <v>14</v>
      </c>
      <c r="M52" s="1">
        <f t="shared" si="0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1"/>
        <v/>
      </c>
    </row>
    <row r="53" spans="1:15" x14ac:dyDescent="0.25">
      <c r="A53" t="s">
        <v>5</v>
      </c>
      <c r="B53" t="s">
        <v>128</v>
      </c>
      <c r="C53" t="s">
        <v>128</v>
      </c>
      <c r="D53">
        <v>19299</v>
      </c>
      <c r="E53">
        <v>0.60309374999999998</v>
      </c>
      <c r="F53" t="str">
        <f>Tabla41[[#This Row],[SUPER]]</f>
        <v>JORDAN</v>
      </c>
      <c r="L53">
        <v>15</v>
      </c>
      <c r="M53" s="1">
        <f t="shared" si="0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1"/>
        <v/>
      </c>
    </row>
    <row r="54" spans="1:15" x14ac:dyDescent="0.25">
      <c r="A54" t="s">
        <v>5</v>
      </c>
      <c r="B54" t="s">
        <v>28</v>
      </c>
      <c r="C54" t="s">
        <v>28</v>
      </c>
      <c r="D54">
        <v>11671</v>
      </c>
      <c r="E54">
        <v>0.36471874999999998</v>
      </c>
      <c r="F54" t="str">
        <f>Tabla41[[#This Row],[SUPER]]</f>
        <v>JORDAN</v>
      </c>
      <c r="L54">
        <v>1</v>
      </c>
      <c r="M54" s="1">
        <f t="shared" si="0"/>
        <v>1.5539156250000001</v>
      </c>
      <c r="N54" t="str" cm="1">
        <f t="array" ref="N54">IFERROR(_xlfn.IFS(M54&gt;100%,"&gt;100%",AND(M54&lt;100%,M54&gt;70%),"&gt;70%",AND(M54&lt;70%,M54&gt;40%),"&gt;40%",AND(M54&lt;40%,M54&gt;0%),"&gt;0%"),"")</f>
        <v>&gt;100%</v>
      </c>
      <c r="O54" t="str">
        <f t="shared" si="1"/>
        <v>ERIKA VILLAR</v>
      </c>
    </row>
    <row r="55" spans="1:15" x14ac:dyDescent="0.25">
      <c r="A55" t="s">
        <v>5</v>
      </c>
      <c r="B55" t="s">
        <v>70</v>
      </c>
      <c r="C55" t="s">
        <v>70</v>
      </c>
      <c r="D55">
        <v>4399</v>
      </c>
      <c r="E55">
        <v>0.13746875</v>
      </c>
      <c r="F55" t="str">
        <f>Tabla41[[#This Row],[SUPER]]</f>
        <v>JORDAN</v>
      </c>
      <c r="L55">
        <v>2</v>
      </c>
      <c r="M55" s="1">
        <f t="shared" si="0"/>
        <v>0.94443750000000004</v>
      </c>
      <c r="N55" t="str" cm="1">
        <f t="array" ref="N55">IFERROR(_xlfn.IFS(M55&gt;100%,"&gt;100%",AND(M55&lt;100%,M55&gt;70%),"&gt;70%",AND(M55&lt;70%,M55&gt;40%),"&gt;40%",AND(M55&lt;40%,M55&gt;0%),"&gt;0%"),"")</f>
        <v>&gt;70%</v>
      </c>
      <c r="O55" t="str">
        <f t="shared" si="1"/>
        <v>LUCERO JORDAN</v>
      </c>
    </row>
    <row r="56" spans="1:15" x14ac:dyDescent="0.25">
      <c r="A56" t="s">
        <v>5</v>
      </c>
      <c r="B56" t="s">
        <v>131</v>
      </c>
      <c r="E56">
        <v>0</v>
      </c>
      <c r="F56" t="str">
        <f>Tabla41[[#This Row],[SUPER]]</f>
        <v>JORDAN</v>
      </c>
      <c r="L56">
        <v>3</v>
      </c>
      <c r="M56" s="1">
        <f t="shared" si="0"/>
        <v>0.89687499999999998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1"/>
        <v>NATALIA MARIN</v>
      </c>
    </row>
    <row r="57" spans="1:15" x14ac:dyDescent="0.25">
      <c r="A57" t="s">
        <v>5</v>
      </c>
      <c r="B57" t="s">
        <v>131</v>
      </c>
      <c r="E57">
        <v>0</v>
      </c>
      <c r="F57" t="str">
        <f>Tabla41[[#This Row],[SUPER]]</f>
        <v>JORDAN</v>
      </c>
      <c r="L57">
        <v>4</v>
      </c>
      <c r="M57" s="1">
        <f t="shared" si="0"/>
        <v>0.88634374999999999</v>
      </c>
      <c r="N57" t="str" cm="1">
        <f t="array" ref="N57">IFERROR(_xlfn.IFS(M57&gt;100%,"&gt;100%",AND(M57&lt;100%,M57&gt;70%),"&gt;70%",AND(M57&lt;70%,M57&gt;40%),"&gt;40%",AND(M57&lt;40%,M57&gt;0%),"&gt;0%"),"")</f>
        <v>&gt;70%</v>
      </c>
      <c r="O57" t="str">
        <f t="shared" si="1"/>
        <v>JESSICA MELGAREJO</v>
      </c>
    </row>
    <row r="58" spans="1:15" x14ac:dyDescent="0.25">
      <c r="A58" t="s">
        <v>5</v>
      </c>
      <c r="B58" t="s">
        <v>131</v>
      </c>
      <c r="E58">
        <v>0</v>
      </c>
      <c r="F58" t="str">
        <f>Tabla41[[#This Row],[SUPER]]</f>
        <v>JORDAN</v>
      </c>
      <c r="L58">
        <v>5</v>
      </c>
      <c r="M58" s="1">
        <f t="shared" si="0"/>
        <v>0.80615625000000002</v>
      </c>
      <c r="N58" t="str" cm="1">
        <f t="array" ref="N58">IFERROR(_xlfn.IFS(M58&gt;100%,"&gt;100%",AND(M58&lt;100%,M58&gt;70%),"&gt;70%",AND(M58&lt;70%,M58&gt;40%),"&gt;40%",AND(M58&lt;40%,M58&gt;0%),"&gt;0%"),"")</f>
        <v>&gt;70%</v>
      </c>
      <c r="O58" t="str">
        <f t="shared" si="1"/>
        <v>JENY LAZARO</v>
      </c>
    </row>
    <row r="59" spans="1:15" x14ac:dyDescent="0.25">
      <c r="A59" t="s">
        <v>5</v>
      </c>
      <c r="B59" t="s">
        <v>131</v>
      </c>
      <c r="E59">
        <v>0</v>
      </c>
      <c r="F59" t="str">
        <f>Tabla41[[#This Row],[SUPER]]</f>
        <v>JORDAN</v>
      </c>
      <c r="L59">
        <v>6</v>
      </c>
      <c r="M59" s="1">
        <f t="shared" si="0"/>
        <v>0.60309374999999998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1"/>
        <v>ROCIO TERRONES</v>
      </c>
    </row>
    <row r="60" spans="1:15" x14ac:dyDescent="0.25">
      <c r="A60" t="s">
        <v>5</v>
      </c>
      <c r="B60" t="s">
        <v>131</v>
      </c>
      <c r="E60">
        <v>0</v>
      </c>
      <c r="F60" t="str">
        <f>Tabla41[[#This Row],[SUPER]]</f>
        <v>JORDAN</v>
      </c>
      <c r="L60">
        <v>7</v>
      </c>
      <c r="M60" s="1">
        <f t="shared" si="0"/>
        <v>0.36471874999999998</v>
      </c>
      <c r="N60" t="str" cm="1">
        <f t="array" ref="N60">IFERROR(_xlfn.IFS(M60&gt;100%,"&gt;100%",AND(M60&lt;100%,M60&gt;70%),"&gt;70%",AND(M60&lt;70%,M60&gt;40%),"&gt;40%",AND(M60&lt;40%,M60&gt;0%),"&gt;0%"),"")</f>
        <v>&gt;0%</v>
      </c>
      <c r="O60" t="str">
        <f t="shared" si="1"/>
        <v>ERICK PORTILLA</v>
      </c>
    </row>
    <row r="61" spans="1:15" x14ac:dyDescent="0.25">
      <c r="A61" t="s">
        <v>5</v>
      </c>
      <c r="B61" t="s">
        <v>131</v>
      </c>
      <c r="E61">
        <v>0</v>
      </c>
      <c r="F61" t="str">
        <f>Tabla41[[#This Row],[SUPER]]</f>
        <v>JORDAN</v>
      </c>
      <c r="L61">
        <v>8</v>
      </c>
      <c r="M61" s="1">
        <f t="shared" si="0"/>
        <v>0.13746875</v>
      </c>
      <c r="N61" t="str" cm="1">
        <f t="array" ref="N61">IFERROR(_xlfn.IFS(M61&gt;100%,"&gt;100%",AND(M61&lt;100%,M61&gt;70%),"&gt;70%",AND(M61&lt;70%,M61&gt;40%),"&gt;40%",AND(M61&lt;40%,M61&gt;0%),"&gt;0%"),"")</f>
        <v>&gt;0%</v>
      </c>
      <c r="O61" t="str">
        <f t="shared" si="1"/>
        <v>MERLY CORONEL</v>
      </c>
    </row>
    <row r="62" spans="1:15" x14ac:dyDescent="0.25">
      <c r="A62" t="s">
        <v>5</v>
      </c>
      <c r="B62" t="s">
        <v>131</v>
      </c>
      <c r="E62">
        <v>0</v>
      </c>
      <c r="F62" t="str">
        <f>Tabla41[[#This Row],[SUPER]]</f>
        <v>JORDAN</v>
      </c>
      <c r="L62">
        <v>9</v>
      </c>
      <c r="M62" s="1">
        <f t="shared" si="0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1"/>
        <v/>
      </c>
    </row>
    <row r="63" spans="1:15" x14ac:dyDescent="0.25">
      <c r="A63" t="s">
        <v>6</v>
      </c>
      <c r="B63" t="s">
        <v>75</v>
      </c>
      <c r="C63" t="s">
        <v>75</v>
      </c>
      <c r="D63">
        <v>103773</v>
      </c>
      <c r="E63">
        <v>1.9579811320754716</v>
      </c>
      <c r="F63" t="str">
        <f>Tabla41[[#This Row],[SUPER]]</f>
        <v>KENNETH</v>
      </c>
      <c r="L63">
        <v>10</v>
      </c>
      <c r="M63" s="1">
        <f t="shared" si="0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1"/>
        <v/>
      </c>
    </row>
    <row r="64" spans="1:15" x14ac:dyDescent="0.25">
      <c r="A64" t="s">
        <v>6</v>
      </c>
      <c r="B64" t="s">
        <v>22</v>
      </c>
      <c r="C64" t="s">
        <v>22</v>
      </c>
      <c r="D64">
        <v>59800</v>
      </c>
      <c r="E64">
        <v>1.1283018867924528</v>
      </c>
      <c r="F64" t="str">
        <f>Tabla41[[#This Row],[SUPER]]</f>
        <v>KENNETH</v>
      </c>
      <c r="L64">
        <v>11</v>
      </c>
      <c r="M64" s="1">
        <f t="shared" si="0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1"/>
        <v/>
      </c>
    </row>
    <row r="65" spans="1:15" x14ac:dyDescent="0.25">
      <c r="A65" t="s">
        <v>6</v>
      </c>
      <c r="B65" t="s">
        <v>78</v>
      </c>
      <c r="C65" t="s">
        <v>78</v>
      </c>
      <c r="D65">
        <v>50759</v>
      </c>
      <c r="E65">
        <v>0.95771698113207548</v>
      </c>
      <c r="F65" t="str">
        <f>Tabla41[[#This Row],[SUPER]]</f>
        <v>KENNETH</v>
      </c>
      <c r="L65">
        <v>12</v>
      </c>
      <c r="M65" s="1">
        <f t="shared" si="0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1"/>
        <v/>
      </c>
    </row>
    <row r="66" spans="1:15" x14ac:dyDescent="0.25">
      <c r="A66" t="s">
        <v>6</v>
      </c>
      <c r="B66" t="s">
        <v>67</v>
      </c>
      <c r="C66" t="s">
        <v>67</v>
      </c>
      <c r="D66">
        <v>44785</v>
      </c>
      <c r="E66">
        <v>0.84499999999999997</v>
      </c>
      <c r="F66" t="str">
        <f>Tabla41[[#This Row],[SUPER]]</f>
        <v>KENNETH</v>
      </c>
      <c r="L66">
        <v>13</v>
      </c>
      <c r="M66" s="1">
        <f t="shared" si="0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1"/>
        <v/>
      </c>
    </row>
    <row r="67" spans="1:15" x14ac:dyDescent="0.25">
      <c r="A67" t="s">
        <v>6</v>
      </c>
      <c r="B67" t="s">
        <v>115</v>
      </c>
      <c r="C67" t="s">
        <v>115</v>
      </c>
      <c r="D67">
        <v>38960</v>
      </c>
      <c r="E67">
        <v>0.73509433962264148</v>
      </c>
      <c r="F67" t="str">
        <f>Tabla41[[#This Row],[SUPER]]</f>
        <v>KENNETH</v>
      </c>
      <c r="L67">
        <v>14</v>
      </c>
      <c r="M67" s="1">
        <f t="shared" si="0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1"/>
        <v/>
      </c>
    </row>
    <row r="68" spans="1:15" x14ac:dyDescent="0.25">
      <c r="A68" t="s">
        <v>6</v>
      </c>
      <c r="B68" t="s">
        <v>36</v>
      </c>
      <c r="C68" t="s">
        <v>36</v>
      </c>
      <c r="D68">
        <v>14534</v>
      </c>
      <c r="E68">
        <v>0.27422641509433965</v>
      </c>
      <c r="F68" t="str">
        <f>Tabla41[[#This Row],[SUPER]]</f>
        <v>KENNETH</v>
      </c>
      <c r="L68">
        <v>15</v>
      </c>
      <c r="M68" s="1">
        <f t="shared" si="0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1"/>
        <v/>
      </c>
    </row>
    <row r="69" spans="1:15" x14ac:dyDescent="0.25">
      <c r="A69" t="s">
        <v>6</v>
      </c>
      <c r="B69" t="s">
        <v>29</v>
      </c>
      <c r="C69" t="s">
        <v>29</v>
      </c>
      <c r="D69">
        <v>10361</v>
      </c>
      <c r="E69">
        <v>0.19549056603773585</v>
      </c>
      <c r="F69" t="str">
        <f>Tabla41[[#This Row],[SUPER]]</f>
        <v>KENNETH</v>
      </c>
      <c r="L69">
        <v>1</v>
      </c>
      <c r="M69" s="1">
        <f t="shared" si="0"/>
        <v>1.9579811320754716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1"/>
        <v>MARIA TINTAYA</v>
      </c>
    </row>
    <row r="70" spans="1:15" x14ac:dyDescent="0.25">
      <c r="A70" t="s">
        <v>6</v>
      </c>
      <c r="B70" t="s">
        <v>31</v>
      </c>
      <c r="C70" t="s">
        <v>31</v>
      </c>
      <c r="D70">
        <v>7500</v>
      </c>
      <c r="E70">
        <v>0.14150943396226415</v>
      </c>
      <c r="F70" t="str">
        <f>Tabla41[[#This Row],[SUPER]]</f>
        <v>KENNETH</v>
      </c>
      <c r="L70">
        <v>2</v>
      </c>
      <c r="M70" s="1">
        <f t="shared" si="0"/>
        <v>1.1283018867924528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1"/>
        <v>EVELY TENORIO</v>
      </c>
    </row>
    <row r="71" spans="1:15" x14ac:dyDescent="0.25">
      <c r="A71" t="s">
        <v>6</v>
      </c>
      <c r="B71" t="s">
        <v>131</v>
      </c>
      <c r="E71">
        <v>0</v>
      </c>
      <c r="F71" t="str">
        <f>Tabla41[[#This Row],[SUPER]]</f>
        <v>KENNETH</v>
      </c>
      <c r="L71">
        <v>3</v>
      </c>
      <c r="M71" s="1">
        <f t="shared" si="0"/>
        <v>0.95771698113207548</v>
      </c>
      <c r="N71" t="str" cm="1">
        <f t="array" ref="N71">IFERROR(_xlfn.IFS(M71&gt;100%,"&gt;100%",AND(M71&lt;100%,M71&gt;70%),"&gt;70%",AND(M71&lt;70%,M71&gt;40%),"&gt;40%",AND(M71&lt;40%,M71&gt;0%),"&gt;0%"),"")</f>
        <v>&gt;70%</v>
      </c>
      <c r="O71" t="str">
        <f t="shared" si="1"/>
        <v>URSULA CENTENO</v>
      </c>
    </row>
    <row r="72" spans="1:15" x14ac:dyDescent="0.25">
      <c r="A72" t="s">
        <v>6</v>
      </c>
      <c r="B72" t="s">
        <v>131</v>
      </c>
      <c r="E72">
        <v>0</v>
      </c>
      <c r="F72" t="str">
        <f>Tabla41[[#This Row],[SUPER]]</f>
        <v>KENNETH</v>
      </c>
      <c r="L72">
        <v>4</v>
      </c>
      <c r="M72" s="1">
        <f t="shared" si="0"/>
        <v>0.84499999999999997</v>
      </c>
      <c r="N72" t="str" cm="1">
        <f t="array" ref="N72">IFERROR(_xlfn.IFS(M72&gt;100%,"&gt;100%",AND(M72&lt;100%,M72&gt;70%),"&gt;70%",AND(M72&lt;70%,M72&gt;40%),"&gt;40%",AND(M72&lt;40%,M72&gt;0%),"&gt;0%"),"")</f>
        <v>&gt;70%</v>
      </c>
      <c r="O72" t="str">
        <f t="shared" si="1"/>
        <v>AURORA FAUSTOR</v>
      </c>
    </row>
    <row r="73" spans="1:15" x14ac:dyDescent="0.25">
      <c r="A73" t="s">
        <v>6</v>
      </c>
      <c r="B73" t="s">
        <v>131</v>
      </c>
      <c r="E73">
        <v>0</v>
      </c>
      <c r="F73" t="str">
        <f>Tabla41[[#This Row],[SUPER]]</f>
        <v>KENNETH</v>
      </c>
      <c r="L73">
        <v>5</v>
      </c>
      <c r="M73" s="1">
        <f t="shared" ref="M73:M128" si="2">E67</f>
        <v>0.73509433962264148</v>
      </c>
      <c r="N73" t="str" cm="1">
        <f t="array" ref="N73">IFERROR(_xlfn.IFS(M73&gt;100%,"&gt;100%",AND(M73&lt;100%,M73&gt;70%),"&gt;70%",AND(M73&lt;70%,M73&gt;40%),"&gt;40%",AND(M73&lt;40%,M73&gt;0%),"&gt;0%"),"")</f>
        <v>&gt;70%</v>
      </c>
      <c r="O73" t="str">
        <f t="shared" ref="O73:O128" si="3">B67</f>
        <v>LUPITA HIDALGO</v>
      </c>
    </row>
    <row r="74" spans="1:15" x14ac:dyDescent="0.25">
      <c r="A74" t="s">
        <v>6</v>
      </c>
      <c r="B74" t="s">
        <v>131</v>
      </c>
      <c r="E74">
        <v>0</v>
      </c>
      <c r="F74" t="str">
        <f>Tabla41[[#This Row],[SUPER]]</f>
        <v>KENNETH</v>
      </c>
      <c r="L74">
        <v>6</v>
      </c>
      <c r="M74" s="1">
        <f t="shared" si="2"/>
        <v>0.27422641509433965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si="3"/>
        <v>MEDALITH NESTARES</v>
      </c>
    </row>
    <row r="75" spans="1:15" x14ac:dyDescent="0.25">
      <c r="A75" t="s">
        <v>6</v>
      </c>
      <c r="B75" t="s">
        <v>131</v>
      </c>
      <c r="E75">
        <v>0</v>
      </c>
      <c r="F75" t="str">
        <f>Tabla41[[#This Row],[SUPER]]</f>
        <v>KENNETH</v>
      </c>
      <c r="L75">
        <v>7</v>
      </c>
      <c r="M75" s="1">
        <f t="shared" si="2"/>
        <v>0.19549056603773585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3"/>
        <v>LUIS VALLADARES</v>
      </c>
    </row>
    <row r="76" spans="1:15" x14ac:dyDescent="0.25">
      <c r="A76" t="s">
        <v>6</v>
      </c>
      <c r="B76" t="s">
        <v>131</v>
      </c>
      <c r="E76">
        <v>0</v>
      </c>
      <c r="F76" t="str">
        <f>Tabla41[[#This Row],[SUPER]]</f>
        <v>KENNETH</v>
      </c>
      <c r="L76">
        <v>8</v>
      </c>
      <c r="M76" s="1">
        <f t="shared" si="2"/>
        <v>0.14150943396226415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3"/>
        <v>LUIS CENTENO</v>
      </c>
    </row>
    <row r="77" spans="1:15" x14ac:dyDescent="0.25">
      <c r="A77" t="s">
        <v>6</v>
      </c>
      <c r="B77" t="s">
        <v>131</v>
      </c>
      <c r="E77">
        <v>0</v>
      </c>
      <c r="F77" t="str">
        <f>Tabla41[[#This Row],[SUPER]]</f>
        <v>KENNETH</v>
      </c>
      <c r="L77">
        <v>9</v>
      </c>
      <c r="M77" s="1">
        <f t="shared" si="2"/>
        <v>0</v>
      </c>
      <c r="N77" t="str" cm="1">
        <f t="array" ref="N77">IFERROR(_xlfn.IFS(M77&gt;100%,"&gt;100%",AND(M77&lt;100%,M77&gt;70%),"&gt;70%",AND(M77&lt;70%,M77&gt;40%),"&gt;40%",AND(M77&lt;40%,M77&gt;0%),"&gt;0%"),"")</f>
        <v/>
      </c>
      <c r="O77" t="str">
        <f t="shared" si="3"/>
        <v/>
      </c>
    </row>
    <row r="78" spans="1:15" x14ac:dyDescent="0.25">
      <c r="A78" t="s">
        <v>7</v>
      </c>
      <c r="B78" t="s">
        <v>69</v>
      </c>
      <c r="C78" t="s">
        <v>69</v>
      </c>
      <c r="D78">
        <v>73820</v>
      </c>
      <c r="E78">
        <v>1.3928301886792454</v>
      </c>
      <c r="F78" t="str">
        <f>Tabla41[[#This Row],[SUPER]]</f>
        <v>LEONOR</v>
      </c>
      <c r="L78">
        <v>10</v>
      </c>
      <c r="M78" s="1">
        <f t="shared" si="2"/>
        <v>0</v>
      </c>
      <c r="N78" t="str" cm="1">
        <f t="array" ref="N78">IFERROR(_xlfn.IFS(M78&gt;100%,"&gt;100%",AND(M78&lt;100%,M78&gt;70%),"&gt;70%",AND(M78&lt;70%,M78&gt;40%),"&gt;40%",AND(M78&lt;40%,M78&gt;0%),"&gt;0%"),"")</f>
        <v/>
      </c>
      <c r="O78" t="str">
        <f t="shared" si="3"/>
        <v/>
      </c>
    </row>
    <row r="79" spans="1:15" x14ac:dyDescent="0.25">
      <c r="A79" t="s">
        <v>7</v>
      </c>
      <c r="B79" t="s">
        <v>60</v>
      </c>
      <c r="C79" t="s">
        <v>60</v>
      </c>
      <c r="D79">
        <v>29240</v>
      </c>
      <c r="E79">
        <v>0.55169811320754714</v>
      </c>
      <c r="F79" t="str">
        <f>Tabla41[[#This Row],[SUPER]]</f>
        <v>LEONOR</v>
      </c>
      <c r="L79">
        <v>11</v>
      </c>
      <c r="M79" s="1">
        <f t="shared" si="2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3"/>
        <v/>
      </c>
    </row>
    <row r="80" spans="1:15" x14ac:dyDescent="0.25">
      <c r="A80" t="s">
        <v>7</v>
      </c>
      <c r="B80" t="s">
        <v>21</v>
      </c>
      <c r="C80" t="s">
        <v>21</v>
      </c>
      <c r="D80">
        <v>28185</v>
      </c>
      <c r="E80">
        <v>0.53179245283018872</v>
      </c>
      <c r="F80" t="str">
        <f>Tabla41[[#This Row],[SUPER]]</f>
        <v>LEONOR</v>
      </c>
      <c r="L80">
        <v>12</v>
      </c>
      <c r="M80" s="1">
        <f t="shared" si="2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3"/>
        <v/>
      </c>
    </row>
    <row r="81" spans="1:15" x14ac:dyDescent="0.25">
      <c r="A81" t="s">
        <v>7</v>
      </c>
      <c r="B81" t="s">
        <v>11</v>
      </c>
      <c r="C81" t="s">
        <v>11</v>
      </c>
      <c r="D81">
        <v>24962</v>
      </c>
      <c r="E81">
        <v>0.47098113207547171</v>
      </c>
      <c r="F81" t="str">
        <f>Tabla41[[#This Row],[SUPER]]</f>
        <v>LEONOR</v>
      </c>
      <c r="L81">
        <v>13</v>
      </c>
      <c r="M81" s="1">
        <f t="shared" si="2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3"/>
        <v/>
      </c>
    </row>
    <row r="82" spans="1:15" x14ac:dyDescent="0.25">
      <c r="A82" t="s">
        <v>7</v>
      </c>
      <c r="B82" t="s">
        <v>58</v>
      </c>
      <c r="C82" t="s">
        <v>58</v>
      </c>
      <c r="D82">
        <v>23946.5</v>
      </c>
      <c r="E82">
        <v>0.45182075471698113</v>
      </c>
      <c r="F82" t="str">
        <f>Tabla41[[#This Row],[SUPER]]</f>
        <v>LEONOR</v>
      </c>
      <c r="L82">
        <v>14</v>
      </c>
      <c r="M82" s="1">
        <f t="shared" si="2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3"/>
        <v/>
      </c>
    </row>
    <row r="83" spans="1:15" x14ac:dyDescent="0.25">
      <c r="A83" t="s">
        <v>7</v>
      </c>
      <c r="B83" t="s">
        <v>132</v>
      </c>
      <c r="C83" t="s">
        <v>132</v>
      </c>
      <c r="D83">
        <v>18112</v>
      </c>
      <c r="E83">
        <v>0.34173584905660376</v>
      </c>
      <c r="F83" t="str">
        <f>Tabla41[[#This Row],[SUPER]]</f>
        <v>LEONOR</v>
      </c>
      <c r="L83">
        <v>15</v>
      </c>
      <c r="M83" s="1">
        <f t="shared" si="2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3"/>
        <v/>
      </c>
    </row>
    <row r="84" spans="1:15" x14ac:dyDescent="0.25">
      <c r="A84" t="s">
        <v>7</v>
      </c>
      <c r="B84" t="s">
        <v>18</v>
      </c>
      <c r="C84" t="s">
        <v>18</v>
      </c>
      <c r="D84">
        <v>14200</v>
      </c>
      <c r="E84">
        <v>0.26792452830188679</v>
      </c>
      <c r="F84" t="str">
        <f>Tabla41[[#This Row],[SUPER]]</f>
        <v>LEONOR</v>
      </c>
      <c r="L84">
        <v>1</v>
      </c>
      <c r="M84" s="1">
        <f t="shared" si="2"/>
        <v>1.3928301886792454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3"/>
        <v>ANTHONY TORRES</v>
      </c>
    </row>
    <row r="85" spans="1:15" x14ac:dyDescent="0.25">
      <c r="A85" t="s">
        <v>7</v>
      </c>
      <c r="B85" t="s">
        <v>20</v>
      </c>
      <c r="C85" t="s">
        <v>20</v>
      </c>
      <c r="D85">
        <v>13839</v>
      </c>
      <c r="E85">
        <v>0.26111320754716982</v>
      </c>
      <c r="F85" t="str">
        <f>Tabla41[[#This Row],[SUPER]]</f>
        <v>LEONOR</v>
      </c>
      <c r="L85">
        <v>2</v>
      </c>
      <c r="M85" s="1">
        <f t="shared" si="2"/>
        <v>0.55169811320754714</v>
      </c>
      <c r="N85" t="str" cm="1">
        <f t="array" ref="N85">IFERROR(_xlfn.IFS(M85&gt;100%,"&gt;100%",AND(M85&lt;100%,M85&gt;70%),"&gt;70%",AND(M85&lt;70%,M85&gt;40%),"&gt;40%",AND(M85&lt;40%,M85&gt;0%),"&gt;0%"),"")</f>
        <v>&gt;40%</v>
      </c>
      <c r="O85" t="str">
        <f t="shared" si="3"/>
        <v>ANALUCIA PONCE</v>
      </c>
    </row>
    <row r="86" spans="1:15" x14ac:dyDescent="0.25">
      <c r="A86" t="s">
        <v>7</v>
      </c>
      <c r="B86" t="s">
        <v>131</v>
      </c>
      <c r="E86">
        <v>0</v>
      </c>
      <c r="F86" t="str">
        <f>Tabla41[[#This Row],[SUPER]]</f>
        <v>LEONOR</v>
      </c>
      <c r="L86">
        <v>3</v>
      </c>
      <c r="M86" s="1">
        <f t="shared" si="2"/>
        <v>0.53179245283018872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3"/>
        <v>ALEJANDRA AVILA</v>
      </c>
    </row>
    <row r="87" spans="1:15" x14ac:dyDescent="0.25">
      <c r="A87" t="s">
        <v>7</v>
      </c>
      <c r="B87" t="s">
        <v>131</v>
      </c>
      <c r="E87">
        <v>0</v>
      </c>
      <c r="F87" t="str">
        <f>Tabla41[[#This Row],[SUPER]]</f>
        <v>LEONOR</v>
      </c>
      <c r="L87">
        <v>4</v>
      </c>
      <c r="M87" s="1">
        <f t="shared" si="2"/>
        <v>0.47098113207547171</v>
      </c>
      <c r="N87" t="str" cm="1">
        <f t="array" ref="N87">IFERROR(_xlfn.IFS(M87&gt;100%,"&gt;100%",AND(M87&lt;100%,M87&gt;70%),"&gt;70%",AND(M87&lt;70%,M87&gt;40%),"&gt;40%",AND(M87&lt;40%,M87&gt;0%),"&gt;0%"),"")</f>
        <v>&gt;40%</v>
      </c>
      <c r="O87" t="str">
        <f t="shared" si="3"/>
        <v>MILAGROS QUIO</v>
      </c>
    </row>
    <row r="88" spans="1:15" x14ac:dyDescent="0.25">
      <c r="A88" t="s">
        <v>7</v>
      </c>
      <c r="B88" t="s">
        <v>131</v>
      </c>
      <c r="E88">
        <v>0</v>
      </c>
      <c r="F88" t="str">
        <f>Tabla41[[#This Row],[SUPER]]</f>
        <v>LEONOR</v>
      </c>
      <c r="L88">
        <v>5</v>
      </c>
      <c r="M88" s="1">
        <f t="shared" si="2"/>
        <v>0.45182075471698113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3"/>
        <v>ALEJANDRA QUISPE</v>
      </c>
    </row>
    <row r="89" spans="1:15" x14ac:dyDescent="0.25">
      <c r="A89" t="s">
        <v>7</v>
      </c>
      <c r="B89" t="s">
        <v>131</v>
      </c>
      <c r="E89">
        <v>0</v>
      </c>
      <c r="F89" t="str">
        <f>Tabla41[[#This Row],[SUPER]]</f>
        <v>LEONOR</v>
      </c>
      <c r="L89">
        <v>6</v>
      </c>
      <c r="M89" s="1">
        <f t="shared" si="2"/>
        <v>0.34173584905660376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3"/>
        <v>FRANK PACORA</v>
      </c>
    </row>
    <row r="90" spans="1:15" x14ac:dyDescent="0.25">
      <c r="A90" t="s">
        <v>7</v>
      </c>
      <c r="B90" t="s">
        <v>131</v>
      </c>
      <c r="E90">
        <v>0</v>
      </c>
      <c r="F90" t="str">
        <f>Tabla41[[#This Row],[SUPER]]</f>
        <v>LEONOR</v>
      </c>
      <c r="L90">
        <v>7</v>
      </c>
      <c r="M90" s="1">
        <f t="shared" si="2"/>
        <v>0.26792452830188679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3"/>
        <v>ALEIDITH GUEVARA</v>
      </c>
    </row>
    <row r="91" spans="1:15" x14ac:dyDescent="0.25">
      <c r="A91" t="s">
        <v>7</v>
      </c>
      <c r="B91" t="s">
        <v>131</v>
      </c>
      <c r="E91">
        <v>0</v>
      </c>
      <c r="F91" t="str">
        <f>Tabla41[[#This Row],[SUPER]]</f>
        <v>LEONOR</v>
      </c>
      <c r="L91">
        <v>8</v>
      </c>
      <c r="M91" s="1">
        <f t="shared" si="2"/>
        <v>0.26111320754716982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3"/>
        <v>JHOVANA TORRES</v>
      </c>
    </row>
    <row r="92" spans="1:15" x14ac:dyDescent="0.25">
      <c r="A92" t="s">
        <v>7</v>
      </c>
      <c r="B92" t="s">
        <v>131</v>
      </c>
      <c r="E92">
        <v>0</v>
      </c>
      <c r="F92" t="str">
        <f>Tabla41[[#This Row],[SUPER]]</f>
        <v>LEONOR</v>
      </c>
      <c r="L92">
        <v>9</v>
      </c>
      <c r="M92" s="1">
        <f t="shared" si="2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3"/>
        <v/>
      </c>
    </row>
    <row r="93" spans="1:15" x14ac:dyDescent="0.25">
      <c r="A93" t="s">
        <v>8</v>
      </c>
      <c r="B93" t="s">
        <v>61</v>
      </c>
      <c r="C93" t="s">
        <v>61</v>
      </c>
      <c r="D93">
        <v>117692</v>
      </c>
      <c r="E93">
        <v>1.6813142857142858</v>
      </c>
      <c r="F93" t="str">
        <f>Tabla41[[#This Row],[SUPER]]</f>
        <v>BRYAN</v>
      </c>
      <c r="L93">
        <v>10</v>
      </c>
      <c r="M93" s="1">
        <f t="shared" si="2"/>
        <v>0</v>
      </c>
      <c r="N93" t="str" cm="1">
        <f t="array" ref="N93">IFERROR(_xlfn.IFS(M93&gt;100%,"&gt;100%",AND(M93&lt;100%,M93&gt;70%),"&gt;70%",AND(M93&lt;70%,M93&gt;40%),"&gt;40%",AND(M93&lt;40%,M93&gt;0%),"&gt;0%"),"")</f>
        <v/>
      </c>
      <c r="O93" t="str">
        <f t="shared" si="3"/>
        <v/>
      </c>
    </row>
    <row r="94" spans="1:15" x14ac:dyDescent="0.25">
      <c r="A94" t="s">
        <v>8</v>
      </c>
      <c r="B94" t="s">
        <v>81</v>
      </c>
      <c r="C94" t="s">
        <v>81</v>
      </c>
      <c r="D94">
        <v>93850.05</v>
      </c>
      <c r="E94">
        <v>1.3407150000000001</v>
      </c>
      <c r="F94" t="str">
        <f>Tabla41[[#This Row],[SUPER]]</f>
        <v>BRYAN</v>
      </c>
      <c r="L94">
        <v>11</v>
      </c>
      <c r="M94" s="1">
        <f t="shared" si="2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3"/>
        <v/>
      </c>
    </row>
    <row r="95" spans="1:15" x14ac:dyDescent="0.25">
      <c r="A95" t="s">
        <v>8</v>
      </c>
      <c r="B95" t="s">
        <v>76</v>
      </c>
      <c r="C95" t="s">
        <v>76</v>
      </c>
      <c r="D95">
        <v>64085.41</v>
      </c>
      <c r="E95">
        <v>0.91550585714285715</v>
      </c>
      <c r="F95" t="str">
        <f>Tabla41[[#This Row],[SUPER]]</f>
        <v>BRYAN</v>
      </c>
      <c r="L95">
        <v>12</v>
      </c>
      <c r="M95" s="1">
        <f t="shared" si="2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3"/>
        <v/>
      </c>
    </row>
    <row r="96" spans="1:15" x14ac:dyDescent="0.25">
      <c r="A96" t="s">
        <v>8</v>
      </c>
      <c r="B96" t="s">
        <v>10</v>
      </c>
      <c r="C96" t="s">
        <v>10</v>
      </c>
      <c r="D96">
        <v>60760</v>
      </c>
      <c r="E96">
        <v>0.86799999999999999</v>
      </c>
      <c r="F96" t="str">
        <f>Tabla41[[#This Row],[SUPER]]</f>
        <v>BRYAN</v>
      </c>
      <c r="L96">
        <v>13</v>
      </c>
      <c r="M96" s="1">
        <f t="shared" si="2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3"/>
        <v/>
      </c>
    </row>
    <row r="97" spans="1:15" x14ac:dyDescent="0.25">
      <c r="A97" t="s">
        <v>8</v>
      </c>
      <c r="B97" t="s">
        <v>27</v>
      </c>
      <c r="C97" t="s">
        <v>27</v>
      </c>
      <c r="D97">
        <v>53610</v>
      </c>
      <c r="E97">
        <v>0.7658571428571429</v>
      </c>
      <c r="F97" t="str">
        <f>Tabla41[[#This Row],[SUPER]]</f>
        <v>BRYAN</v>
      </c>
      <c r="L97">
        <v>14</v>
      </c>
      <c r="M97" s="1">
        <f t="shared" si="2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3"/>
        <v/>
      </c>
    </row>
    <row r="98" spans="1:15" x14ac:dyDescent="0.25">
      <c r="A98" t="s">
        <v>8</v>
      </c>
      <c r="B98" t="s">
        <v>42</v>
      </c>
      <c r="C98" t="s">
        <v>42</v>
      </c>
      <c r="D98">
        <v>45450</v>
      </c>
      <c r="E98">
        <v>0.64928571428571424</v>
      </c>
      <c r="F98" t="str">
        <f>Tabla41[[#This Row],[SUPER]]</f>
        <v>BRYAN</v>
      </c>
      <c r="L98">
        <v>15</v>
      </c>
      <c r="M98" s="1">
        <f t="shared" si="2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3"/>
        <v/>
      </c>
    </row>
    <row r="99" spans="1:15" x14ac:dyDescent="0.25">
      <c r="A99" t="s">
        <v>8</v>
      </c>
      <c r="B99" t="s">
        <v>25</v>
      </c>
      <c r="C99" t="s">
        <v>25</v>
      </c>
      <c r="D99">
        <v>36071</v>
      </c>
      <c r="E99">
        <v>0.51529999999999998</v>
      </c>
      <c r="F99" t="str">
        <f>Tabla41[[#This Row],[SUPER]]</f>
        <v>BRYAN</v>
      </c>
      <c r="L99">
        <v>1</v>
      </c>
      <c r="M99" s="1">
        <f t="shared" si="2"/>
        <v>1.6813142857142858</v>
      </c>
      <c r="N99" t="str" cm="1">
        <f t="array" ref="N99">IFERROR(_xlfn.IFS(M99&gt;100%,"&gt;100%",AND(M99&lt;100%,M99&gt;70%),"&gt;70%",AND(M99&lt;70%,M99&gt;40%),"&gt;40%",AND(M99&lt;40%,M99&gt;0%),"&gt;0%"),"")</f>
        <v>&gt;100%</v>
      </c>
      <c r="O99" t="str">
        <f t="shared" si="3"/>
        <v>CRISTINA TICONA</v>
      </c>
    </row>
    <row r="100" spans="1:15" x14ac:dyDescent="0.25">
      <c r="A100" t="s">
        <v>8</v>
      </c>
      <c r="B100" t="s">
        <v>57</v>
      </c>
      <c r="C100" t="s">
        <v>57</v>
      </c>
      <c r="D100">
        <v>19823</v>
      </c>
      <c r="E100">
        <v>0.28318571428571426</v>
      </c>
      <c r="F100" t="str">
        <f>Tabla41[[#This Row],[SUPER]]</f>
        <v>BRYAN</v>
      </c>
      <c r="L100">
        <v>2</v>
      </c>
      <c r="M100" s="1">
        <f t="shared" si="2"/>
        <v>1.3407150000000001</v>
      </c>
      <c r="N100" t="str" cm="1">
        <f t="array" ref="N100">IFERROR(_xlfn.IFS(M100&gt;100%,"&gt;100%",AND(M100&lt;100%,M100&gt;70%),"&gt;70%",AND(M100&lt;70%,M100&gt;40%),"&gt;40%",AND(M100&lt;40%,M100&gt;0%),"&gt;0%"),"")</f>
        <v>&gt;100%</v>
      </c>
      <c r="O100" t="str">
        <f t="shared" si="3"/>
        <v>DAVID SANCHEZ</v>
      </c>
    </row>
    <row r="101" spans="1:15" x14ac:dyDescent="0.25">
      <c r="A101" t="s">
        <v>8</v>
      </c>
      <c r="B101" t="s">
        <v>131</v>
      </c>
      <c r="E101">
        <v>0</v>
      </c>
      <c r="F101" t="str">
        <f>Tabla41[[#This Row],[SUPER]]</f>
        <v>BRYAN</v>
      </c>
      <c r="L101">
        <v>3</v>
      </c>
      <c r="M101" s="1">
        <f t="shared" si="2"/>
        <v>0.91550585714285715</v>
      </c>
      <c r="N101" t="str" cm="1">
        <f t="array" ref="N101">IFERROR(_xlfn.IFS(M101&gt;100%,"&gt;100%",AND(M101&lt;100%,M101&gt;70%),"&gt;70%",AND(M101&lt;70%,M101&gt;40%),"&gt;40%",AND(M101&lt;40%,M101&gt;0%),"&gt;0%"),"")</f>
        <v>&gt;70%</v>
      </c>
      <c r="O101" t="str">
        <f t="shared" si="3"/>
        <v>VICTOR RAMIREZ</v>
      </c>
    </row>
    <row r="102" spans="1:15" x14ac:dyDescent="0.25">
      <c r="A102" t="s">
        <v>8</v>
      </c>
      <c r="B102" t="s">
        <v>131</v>
      </c>
      <c r="E102">
        <v>0</v>
      </c>
      <c r="F102" t="str">
        <f>Tabla41[[#This Row],[SUPER]]</f>
        <v>BRYAN</v>
      </c>
      <c r="L102">
        <v>4</v>
      </c>
      <c r="M102" s="1">
        <f t="shared" si="2"/>
        <v>0.86799999999999999</v>
      </c>
      <c r="N102" t="str" cm="1">
        <f t="array" ref="N102">IFERROR(_xlfn.IFS(M102&gt;100%,"&gt;100%",AND(M102&lt;100%,M102&gt;70%),"&gt;70%",AND(M102&lt;70%,M102&gt;40%),"&gt;40%",AND(M102&lt;40%,M102&gt;0%),"&gt;0%"),"")</f>
        <v>&gt;70%</v>
      </c>
      <c r="O102" t="str">
        <f t="shared" si="3"/>
        <v>VERONICA TASAYCO</v>
      </c>
    </row>
    <row r="103" spans="1:15" x14ac:dyDescent="0.25">
      <c r="A103" t="s">
        <v>8</v>
      </c>
      <c r="B103" t="s">
        <v>131</v>
      </c>
      <c r="E103">
        <v>0</v>
      </c>
      <c r="F103" t="str">
        <f>Tabla41[[#This Row],[SUPER]]</f>
        <v>BRYAN</v>
      </c>
      <c r="L103">
        <v>5</v>
      </c>
      <c r="M103" s="1">
        <f t="shared" si="2"/>
        <v>0.7658571428571429</v>
      </c>
      <c r="N103" t="str" cm="1">
        <f t="array" ref="N103">IFERROR(_xlfn.IFS(M103&gt;100%,"&gt;100%",AND(M103&lt;100%,M103&gt;70%),"&gt;70%",AND(M103&lt;70%,M103&gt;40%),"&gt;40%",AND(M103&lt;40%,M103&gt;0%),"&gt;0%"),"")</f>
        <v>&gt;70%</v>
      </c>
      <c r="O103" t="str">
        <f t="shared" si="3"/>
        <v>GABRIELA APONTE</v>
      </c>
    </row>
    <row r="104" spans="1:15" x14ac:dyDescent="0.25">
      <c r="A104" t="s">
        <v>8</v>
      </c>
      <c r="B104" t="s">
        <v>131</v>
      </c>
      <c r="E104">
        <v>0</v>
      </c>
      <c r="F104" t="str">
        <f>Tabla41[[#This Row],[SUPER]]</f>
        <v>BRYAN</v>
      </c>
      <c r="L104">
        <v>6</v>
      </c>
      <c r="M104" s="1">
        <f t="shared" si="2"/>
        <v>0.64928571428571424</v>
      </c>
      <c r="N104" t="str" cm="1">
        <f t="array" ref="N104">IFERROR(_xlfn.IFS(M104&gt;100%,"&gt;100%",AND(M104&lt;100%,M104&gt;70%),"&gt;70%",AND(M104&lt;70%,M104&gt;40%),"&gt;40%",AND(M104&lt;40%,M104&gt;0%),"&gt;0%"),"")</f>
        <v>&gt;40%</v>
      </c>
      <c r="O104" t="str">
        <f t="shared" si="3"/>
        <v>HAROLD FLORES</v>
      </c>
    </row>
    <row r="105" spans="1:15" x14ac:dyDescent="0.25">
      <c r="A105" t="s">
        <v>8</v>
      </c>
      <c r="B105" t="s">
        <v>131</v>
      </c>
      <c r="E105">
        <v>0</v>
      </c>
      <c r="F105" t="str">
        <f>Tabla41[[#This Row],[SUPER]]</f>
        <v>BRYAN</v>
      </c>
      <c r="L105">
        <v>7</v>
      </c>
      <c r="M105" s="1">
        <f t="shared" si="2"/>
        <v>0.51529999999999998</v>
      </c>
      <c r="N105" t="str" cm="1">
        <f t="array" ref="N105">IFERROR(_xlfn.IFS(M105&gt;100%,"&gt;100%",AND(M105&lt;100%,M105&gt;70%),"&gt;70%",AND(M105&lt;70%,M105&gt;40%),"&gt;40%",AND(M105&lt;40%,M105&gt;0%),"&gt;0%"),"")</f>
        <v>&gt;40%</v>
      </c>
      <c r="O105" t="str">
        <f t="shared" si="3"/>
        <v>MALORY MONTEBLANCO</v>
      </c>
    </row>
    <row r="106" spans="1:15" x14ac:dyDescent="0.25">
      <c r="A106" t="s">
        <v>8</v>
      </c>
      <c r="B106" t="s">
        <v>131</v>
      </c>
      <c r="E106">
        <v>0</v>
      </c>
      <c r="F106" t="str">
        <f>Tabla41[[#This Row],[SUPER]]</f>
        <v>BRYAN</v>
      </c>
      <c r="L106">
        <v>8</v>
      </c>
      <c r="M106" s="1">
        <f t="shared" si="2"/>
        <v>0.28318571428571426</v>
      </c>
      <c r="N106" t="str" cm="1">
        <f t="array" ref="N106">IFERROR(_xlfn.IFS(M106&gt;100%,"&gt;100%",AND(M106&lt;100%,M106&gt;70%),"&gt;70%",AND(M106&lt;70%,M106&gt;40%),"&gt;40%",AND(M106&lt;40%,M106&gt;0%),"&gt;0%"),"")</f>
        <v>&gt;0%</v>
      </c>
      <c r="O106" t="str">
        <f t="shared" si="3"/>
        <v>JAIR MARTINEZ</v>
      </c>
    </row>
    <row r="107" spans="1:15" x14ac:dyDescent="0.25">
      <c r="A107" t="s">
        <v>8</v>
      </c>
      <c r="B107" t="s">
        <v>131</v>
      </c>
      <c r="E107">
        <v>0</v>
      </c>
      <c r="F107" t="str">
        <f>Tabla41[[#This Row],[SUPER]]</f>
        <v>BRYAN</v>
      </c>
      <c r="L107">
        <v>9</v>
      </c>
      <c r="M107" s="1">
        <f t="shared" si="2"/>
        <v>0</v>
      </c>
      <c r="N107" t="str" cm="1">
        <f t="array" ref="N107">IFERROR(_xlfn.IFS(M107&gt;100%,"&gt;100%",AND(M107&lt;100%,M107&gt;70%),"&gt;70%",AND(M107&lt;70%,M107&gt;40%),"&gt;40%",AND(M107&lt;40%,M107&gt;0%),"&gt;0%"),"")</f>
        <v/>
      </c>
      <c r="O107" t="str">
        <f t="shared" si="3"/>
        <v/>
      </c>
    </row>
    <row r="108" spans="1:15" x14ac:dyDescent="0.25">
      <c r="A108" t="s">
        <v>9</v>
      </c>
      <c r="B108" t="s">
        <v>80</v>
      </c>
      <c r="C108" t="s">
        <v>80</v>
      </c>
      <c r="D108">
        <v>40750</v>
      </c>
      <c r="E108">
        <v>1.7717391304347827</v>
      </c>
      <c r="F108" t="str">
        <f>Tabla41[[#This Row],[SUPER]]</f>
        <v>LUIS</v>
      </c>
      <c r="L108">
        <v>10</v>
      </c>
      <c r="M108" s="1">
        <f t="shared" si="2"/>
        <v>0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3"/>
        <v/>
      </c>
    </row>
    <row r="109" spans="1:15" x14ac:dyDescent="0.25">
      <c r="A109" t="s">
        <v>9</v>
      </c>
      <c r="B109" t="s">
        <v>19</v>
      </c>
      <c r="C109" t="s">
        <v>19</v>
      </c>
      <c r="D109">
        <v>33193</v>
      </c>
      <c r="E109">
        <v>1.4431739130434782</v>
      </c>
      <c r="F109" t="str">
        <f>Tabla41[[#This Row],[SUPER]]</f>
        <v>LUIS</v>
      </c>
      <c r="L109">
        <v>11</v>
      </c>
      <c r="M109" s="1">
        <f t="shared" si="2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3"/>
        <v/>
      </c>
    </row>
    <row r="110" spans="1:15" x14ac:dyDescent="0.25">
      <c r="A110" t="s">
        <v>9</v>
      </c>
      <c r="B110" t="s">
        <v>34</v>
      </c>
      <c r="C110" t="s">
        <v>34</v>
      </c>
      <c r="D110">
        <v>29725</v>
      </c>
      <c r="E110">
        <v>1.2923913043478261</v>
      </c>
      <c r="F110" t="str">
        <f>Tabla41[[#This Row],[SUPER]]</f>
        <v>LUIS</v>
      </c>
      <c r="L110">
        <v>12</v>
      </c>
      <c r="M110" s="1">
        <f t="shared" si="2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3"/>
        <v/>
      </c>
    </row>
    <row r="111" spans="1:15" x14ac:dyDescent="0.25">
      <c r="A111" t="s">
        <v>9</v>
      </c>
      <c r="B111" t="s">
        <v>13</v>
      </c>
      <c r="C111" t="s">
        <v>13</v>
      </c>
      <c r="D111">
        <v>26341</v>
      </c>
      <c r="E111">
        <v>1.1452608695652173</v>
      </c>
      <c r="F111" t="str">
        <f>Tabla41[[#This Row],[SUPER]]</f>
        <v>LUIS</v>
      </c>
      <c r="L111">
        <v>13</v>
      </c>
      <c r="M111" s="1">
        <f t="shared" si="2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3"/>
        <v/>
      </c>
    </row>
    <row r="112" spans="1:15" x14ac:dyDescent="0.25">
      <c r="A112" t="s">
        <v>9</v>
      </c>
      <c r="B112" t="s">
        <v>24</v>
      </c>
      <c r="C112" t="s">
        <v>24</v>
      </c>
      <c r="D112">
        <v>24620</v>
      </c>
      <c r="E112">
        <v>1.0704347826086957</v>
      </c>
      <c r="F112" t="str">
        <f>Tabla41[[#This Row],[SUPER]]</f>
        <v>LUIS</v>
      </c>
      <c r="L112">
        <v>14</v>
      </c>
      <c r="M112" s="1">
        <f t="shared" si="2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3"/>
        <v/>
      </c>
    </row>
    <row r="113" spans="1:15" x14ac:dyDescent="0.25">
      <c r="A113" t="s">
        <v>9</v>
      </c>
      <c r="B113" t="s">
        <v>51</v>
      </c>
      <c r="C113" t="s">
        <v>51</v>
      </c>
      <c r="D113">
        <v>16965</v>
      </c>
      <c r="E113">
        <v>0.73760869565217391</v>
      </c>
      <c r="F113" t="str">
        <f>Tabla41[[#This Row],[SUPER]]</f>
        <v>LUIS</v>
      </c>
      <c r="L113">
        <v>15</v>
      </c>
      <c r="M113" s="1">
        <f t="shared" si="2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3"/>
        <v/>
      </c>
    </row>
    <row r="114" spans="1:15" x14ac:dyDescent="0.25">
      <c r="A114" t="s">
        <v>9</v>
      </c>
      <c r="B114" t="s">
        <v>77</v>
      </c>
      <c r="C114" t="s">
        <v>77</v>
      </c>
      <c r="D114">
        <v>15001</v>
      </c>
      <c r="E114">
        <v>0.65221739130434786</v>
      </c>
      <c r="F114" t="str">
        <f>Tabla41[[#This Row],[SUPER]]</f>
        <v>LUIS</v>
      </c>
      <c r="L114">
        <v>1</v>
      </c>
      <c r="M114" s="1">
        <f t="shared" si="2"/>
        <v>1.7717391304347827</v>
      </c>
      <c r="N114" t="str" cm="1">
        <f t="array" ref="N114">IFERROR(_xlfn.IFS(M114&gt;100%,"&gt;100%",AND(M114&lt;100%,M114&gt;70%),"&gt;70%",AND(M114&lt;70%,M114&gt;40%),"&gt;40%",AND(M114&lt;40%,M114&gt;0%),"&gt;0%"),"")</f>
        <v>&gt;100%</v>
      </c>
      <c r="O114" t="str">
        <f t="shared" si="3"/>
        <v>DANIEL ZAPATA</v>
      </c>
    </row>
    <row r="115" spans="1:15" x14ac:dyDescent="0.25">
      <c r="A115" t="s">
        <v>9</v>
      </c>
      <c r="B115" t="s">
        <v>54</v>
      </c>
      <c r="C115" t="s">
        <v>54</v>
      </c>
      <c r="D115">
        <v>8861</v>
      </c>
      <c r="E115">
        <v>0.38526086956521738</v>
      </c>
      <c r="F115" t="str">
        <f>Tabla41[[#This Row],[SUPER]]</f>
        <v>LUIS</v>
      </c>
      <c r="L115">
        <v>2</v>
      </c>
      <c r="M115" s="1">
        <f t="shared" si="2"/>
        <v>1.4431739130434782</v>
      </c>
      <c r="N115" t="str" cm="1">
        <f t="array" ref="N115">IFERROR(_xlfn.IFS(M115&gt;100%,"&gt;100%",AND(M115&lt;100%,M115&gt;70%),"&gt;70%",AND(M115&lt;70%,M115&gt;40%),"&gt;40%",AND(M115&lt;40%,M115&gt;0%),"&gt;0%"),"")</f>
        <v>&gt;100%</v>
      </c>
      <c r="O115" t="str">
        <f t="shared" si="3"/>
        <v>CARMEN PUMA</v>
      </c>
    </row>
    <row r="116" spans="1:15" x14ac:dyDescent="0.25">
      <c r="A116" t="s">
        <v>9</v>
      </c>
      <c r="B116" t="s">
        <v>116</v>
      </c>
      <c r="C116" t="s">
        <v>116</v>
      </c>
      <c r="D116">
        <v>6242</v>
      </c>
      <c r="E116">
        <v>0.2713913043478261</v>
      </c>
      <c r="F116" t="str">
        <f>Tabla41[[#This Row],[SUPER]]</f>
        <v>LUIS</v>
      </c>
      <c r="L116">
        <v>3</v>
      </c>
      <c r="M116" s="1">
        <f t="shared" si="2"/>
        <v>1.2923913043478261</v>
      </c>
      <c r="N116" t="str" cm="1">
        <f t="array" ref="N116">IFERROR(_xlfn.IFS(M116&gt;100%,"&gt;100%",AND(M116&lt;100%,M116&gt;70%),"&gt;70%",AND(M116&lt;70%,M116&gt;40%),"&gt;40%",AND(M116&lt;40%,M116&gt;0%),"&gt;0%"),"")</f>
        <v>&gt;100%</v>
      </c>
      <c r="O116" t="str">
        <f t="shared" si="3"/>
        <v>STWUAR MACURI</v>
      </c>
    </row>
    <row r="117" spans="1:15" x14ac:dyDescent="0.25">
      <c r="A117" t="s">
        <v>9</v>
      </c>
      <c r="B117" t="s">
        <v>50</v>
      </c>
      <c r="C117" t="s">
        <v>50</v>
      </c>
      <c r="D117">
        <v>3760</v>
      </c>
      <c r="E117">
        <v>0.16347826086956521</v>
      </c>
      <c r="F117" t="str">
        <f>Tabla41[[#This Row],[SUPER]]</f>
        <v>LUIS</v>
      </c>
      <c r="L117">
        <v>4</v>
      </c>
      <c r="M117" s="1">
        <f t="shared" si="2"/>
        <v>1.1452608695652173</v>
      </c>
      <c r="N117" t="str" cm="1">
        <f t="array" ref="N117">IFERROR(_xlfn.IFS(M117&gt;100%,"&gt;100%",AND(M117&lt;100%,M117&gt;70%),"&gt;70%",AND(M117&lt;70%,M117&gt;40%),"&gt;40%",AND(M117&lt;40%,M117&gt;0%),"&gt;0%"),"")</f>
        <v>&gt;100%</v>
      </c>
      <c r="O117" t="str">
        <f t="shared" si="3"/>
        <v>GIANFRANCO PINEDO</v>
      </c>
    </row>
    <row r="118" spans="1:15" x14ac:dyDescent="0.25">
      <c r="A118" t="s">
        <v>9</v>
      </c>
      <c r="B118" t="s">
        <v>131</v>
      </c>
      <c r="E118">
        <v>0</v>
      </c>
      <c r="F118" t="str">
        <f>Tabla41[[#This Row],[SUPER]]</f>
        <v>LUIS</v>
      </c>
      <c r="L118">
        <v>5</v>
      </c>
      <c r="M118" s="1">
        <f t="shared" si="2"/>
        <v>1.0704347826086957</v>
      </c>
      <c r="N118" t="str" cm="1">
        <f t="array" ref="N118">IFERROR(_xlfn.IFS(M118&gt;100%,"&gt;100%",AND(M118&lt;100%,M118&gt;70%),"&gt;70%",AND(M118&lt;70%,M118&gt;40%),"&gt;40%",AND(M118&lt;40%,M118&gt;0%),"&gt;0%"),"")</f>
        <v>&gt;100%</v>
      </c>
      <c r="O118" t="str">
        <f t="shared" si="3"/>
        <v>FRANCO HUAMANI</v>
      </c>
    </row>
    <row r="119" spans="1:15" x14ac:dyDescent="0.25">
      <c r="A119" t="s">
        <v>9</v>
      </c>
      <c r="B119" t="s">
        <v>131</v>
      </c>
      <c r="E119">
        <v>0</v>
      </c>
      <c r="F119" t="str">
        <f>Tabla41[[#This Row],[SUPER]]</f>
        <v>LUIS</v>
      </c>
      <c r="L119">
        <v>6</v>
      </c>
      <c r="M119" s="1">
        <f t="shared" si="2"/>
        <v>0.73760869565217391</v>
      </c>
      <c r="N119" t="str" cm="1">
        <f t="array" ref="N119">IFERROR(_xlfn.IFS(M119&gt;100%,"&gt;100%",AND(M119&lt;100%,M119&gt;70%),"&gt;70%",AND(M119&lt;70%,M119&gt;40%),"&gt;40%",AND(M119&lt;40%,M119&gt;0%),"&gt;0%"),"")</f>
        <v>&gt;70%</v>
      </c>
      <c r="O119" t="str">
        <f t="shared" si="3"/>
        <v>GERALDINE ARROYO</v>
      </c>
    </row>
    <row r="120" spans="1:15" x14ac:dyDescent="0.25">
      <c r="A120" t="s">
        <v>9</v>
      </c>
      <c r="B120" t="s">
        <v>131</v>
      </c>
      <c r="E120">
        <v>0</v>
      </c>
      <c r="F120" t="str">
        <f>Tabla41[[#This Row],[SUPER]]</f>
        <v>LUIS</v>
      </c>
      <c r="L120">
        <v>7</v>
      </c>
      <c r="M120" s="1">
        <f t="shared" si="2"/>
        <v>0.65221739130434786</v>
      </c>
      <c r="N120" t="str" cm="1">
        <f t="array" ref="N120">IFERROR(_xlfn.IFS(M120&gt;100%,"&gt;100%",AND(M120&lt;100%,M120&gt;70%),"&gt;70%",AND(M120&lt;70%,M120&gt;40%),"&gt;40%",AND(M120&lt;40%,M120&gt;0%),"&gt;0%"),"")</f>
        <v>&gt;40%</v>
      </c>
      <c r="O120" t="str">
        <f t="shared" si="3"/>
        <v>JUAN ALANOCCA</v>
      </c>
    </row>
    <row r="121" spans="1:15" x14ac:dyDescent="0.25">
      <c r="A121" t="s">
        <v>9</v>
      </c>
      <c r="B121" t="s">
        <v>131</v>
      </c>
      <c r="E121">
        <v>0</v>
      </c>
      <c r="F121" t="str">
        <f>Tabla41[[#This Row],[SUPER]]</f>
        <v>LUIS</v>
      </c>
      <c r="L121">
        <v>8</v>
      </c>
      <c r="M121" s="1">
        <f t="shared" si="2"/>
        <v>0.38526086956521738</v>
      </c>
      <c r="N121" t="str" cm="1">
        <f t="array" ref="N121">IFERROR(_xlfn.IFS(M121&gt;100%,"&gt;100%",AND(M121&lt;100%,M121&gt;70%),"&gt;70%",AND(M121&lt;70%,M121&gt;40%),"&gt;40%",AND(M121&lt;40%,M121&gt;0%),"&gt;0%"),"")</f>
        <v>&gt;0%</v>
      </c>
      <c r="O121" t="str">
        <f t="shared" si="3"/>
        <v>ANABEL SIHUE</v>
      </c>
    </row>
    <row r="122" spans="1:15" x14ac:dyDescent="0.25">
      <c r="A122" t="s">
        <v>9</v>
      </c>
      <c r="B122" t="s">
        <v>131</v>
      </c>
      <c r="E122">
        <v>0</v>
      </c>
      <c r="F122" t="str">
        <f>Tabla41[[#This Row],[SUPER]]</f>
        <v>LUIS</v>
      </c>
      <c r="L122">
        <v>9</v>
      </c>
      <c r="M122" s="1">
        <f t="shared" si="2"/>
        <v>0.2713913043478261</v>
      </c>
      <c r="N122" t="str" cm="1">
        <f t="array" ref="N122">IFERROR(_xlfn.IFS(M122&gt;100%,"&gt;100%",AND(M122&lt;100%,M122&gt;70%),"&gt;70%",AND(M122&lt;70%,M122&gt;40%),"&gt;40%",AND(M122&lt;40%,M122&gt;0%),"&gt;0%"),"")</f>
        <v>&gt;0%</v>
      </c>
      <c r="O122" t="str">
        <f t="shared" si="3"/>
        <v>JAIME TUMIALAN</v>
      </c>
    </row>
    <row r="123" spans="1:15" x14ac:dyDescent="0.25">
      <c r="L123">
        <v>10</v>
      </c>
      <c r="M123" s="1">
        <f t="shared" si="2"/>
        <v>0.16347826086956521</v>
      </c>
      <c r="N123" t="str" cm="1">
        <f t="array" ref="N123">IFERROR(_xlfn.IFS(M123&gt;100%,"&gt;100%",AND(M123&lt;100%,M123&gt;70%),"&gt;70%",AND(M123&lt;70%,M123&gt;40%),"&gt;40%",AND(M123&lt;40%,M123&gt;0%),"&gt;0%"),"")</f>
        <v>&gt;0%</v>
      </c>
      <c r="O123" t="str">
        <f t="shared" si="3"/>
        <v>KIARA CANEPA</v>
      </c>
    </row>
    <row r="124" spans="1:15" x14ac:dyDescent="0.25">
      <c r="L124">
        <v>11</v>
      </c>
      <c r="M124" s="1">
        <f t="shared" si="2"/>
        <v>0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3"/>
        <v/>
      </c>
    </row>
    <row r="125" spans="1:15" x14ac:dyDescent="0.25">
      <c r="L125">
        <v>12</v>
      </c>
      <c r="M125" s="1">
        <f t="shared" si="2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3"/>
        <v/>
      </c>
    </row>
    <row r="126" spans="1:15" x14ac:dyDescent="0.25">
      <c r="L126">
        <v>13</v>
      </c>
      <c r="M126" s="1">
        <f t="shared" si="2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3"/>
        <v/>
      </c>
    </row>
    <row r="127" spans="1:15" x14ac:dyDescent="0.25">
      <c r="L127">
        <v>14</v>
      </c>
      <c r="M127" s="1">
        <f t="shared" si="2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3"/>
        <v/>
      </c>
    </row>
    <row r="128" spans="1:15" x14ac:dyDescent="0.25">
      <c r="L128">
        <v>15</v>
      </c>
      <c r="M128" s="1">
        <f t="shared" si="2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3"/>
        <v/>
      </c>
    </row>
    <row r="129" spans="12:15" x14ac:dyDescent="0.25">
      <c r="L129" s="22">
        <v>1</v>
      </c>
      <c r="M129" s="23">
        <f>IFERROR(IF(VLOOKUP("&gt;100%",N9:O128,2,0)&lt;&gt;"",0,100.01%),100.01%)</f>
        <v>0</v>
      </c>
      <c r="N129" s="22" t="str" cm="1">
        <f t="array" ref="N129">IFERROR(_xlfn.IFS(M129&gt;100%,"&gt;100%",AND(M129&lt;100%,M129&gt;70%),"&gt;70%",AND(M129&lt;70%,M129&gt;40%),"&gt;40%",AND(M129&lt;40%,M129&gt;0%),"&gt;0%"),"")</f>
        <v/>
      </c>
      <c r="O129" s="22" t="str">
        <f>IF(DATA_OCTUBRE[[#This Row],[CLASIFICACIÓN]]="","","SIN APLICACIONES")</f>
        <v/>
      </c>
    </row>
    <row r="130" spans="12:15" x14ac:dyDescent="0.25">
      <c r="L130" s="22">
        <v>2</v>
      </c>
      <c r="M130" s="23">
        <f>IFERROR(IF(VLOOKUP("&gt;70%",N9:O128,2,0)&lt;&gt;"",0,70.01%),70.01%)</f>
        <v>0</v>
      </c>
      <c r="N130" s="22" t="str" cm="1">
        <f t="array" ref="N130">IFERROR(_xlfn.IFS(M130&gt;100%,"&gt;100%",AND(M130&lt;100%,M130&gt;70%),"&gt;70%",AND(M130&lt;70%,M130&gt;40%),"&gt;40%",AND(M130&lt;40%,M130&gt;0%),"&gt;0%"),"")</f>
        <v/>
      </c>
      <c r="O130" s="22" t="str">
        <f>IF(DATA_OCTUBRE[[#This Row],[CLASIFICACIÓN]]="","","SIN APLICACIONES")</f>
        <v/>
      </c>
    </row>
    <row r="131" spans="12:15" x14ac:dyDescent="0.25">
      <c r="L131" s="22">
        <v>3</v>
      </c>
      <c r="M131" s="23">
        <f>IFERROR(IF(VLOOKUP("&gt;40%",N9:O128,2,0)&lt;&gt;"",0,40.01%),40.01%)</f>
        <v>0</v>
      </c>
      <c r="N131" s="22" t="str" cm="1">
        <f t="array" ref="N131">IFERROR(_xlfn.IFS(M131&gt;100%,"&gt;100%",AND(M131&lt;100%,M131&gt;70%),"&gt;70%",AND(M131&lt;70%,M131&gt;40%),"&gt;40%",AND(M131&lt;40%,M131&gt;0%),"&gt;0%"),"")</f>
        <v/>
      </c>
      <c r="O131" s="22" t="str">
        <f>IF(DATA_OCTUBRE[[#This Row],[CLASIFICACIÓN]]="","","SIN APLICACIONES")</f>
        <v/>
      </c>
    </row>
  </sheetData>
  <mergeCells count="5">
    <mergeCell ref="R1:AA3"/>
    <mergeCell ref="R5:S5"/>
    <mergeCell ref="U5:V5"/>
    <mergeCell ref="X5:Y5"/>
    <mergeCell ref="AA5:AB5"/>
  </mergeCells>
  <conditionalFormatting pivot="1" sqref="S8:S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:S25">
    <cfRule type="colorScale" priority="8">
      <colorScale>
        <cfvo type="min"/>
        <cfvo type="max"/>
        <color rgb="FFFCFCFF"/>
        <color rgb="FF63BE7B"/>
      </colorScale>
    </cfRule>
  </conditionalFormatting>
  <conditionalFormatting pivot="1" sqref="AB8:AB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:V27">
    <cfRule type="colorScale" priority="7">
      <colorScale>
        <cfvo type="min"/>
        <cfvo type="max"/>
        <color rgb="FFFCFCFF"/>
        <color rgb="FFFFFF00"/>
      </colorScale>
    </cfRule>
  </conditionalFormatting>
  <conditionalFormatting pivot="1" sqref="Y8:Y25">
    <cfRule type="colorScale" priority="6">
      <colorScale>
        <cfvo type="min"/>
        <cfvo type="max"/>
        <color rgb="FFFCFCFF"/>
        <color rgb="FFFFC000"/>
      </colorScale>
    </cfRule>
  </conditionalFormatting>
  <conditionalFormatting pivot="1" sqref="AB8:AB21">
    <cfRule type="colorScale" priority="4">
      <colorScale>
        <cfvo type="min"/>
        <cfvo type="max"/>
        <color rgb="FFFCFCFF"/>
        <color rgb="FFF8696B"/>
      </colorScale>
    </cfRule>
  </conditionalFormatting>
  <conditionalFormatting sqref="R1:R27">
    <cfRule type="containsText" dxfId="69" priority="1" operator="containsText" text="SIN APLICACIONES">
      <formula>NOT(ISERROR(SEARCH("SIN APLICACIONES",R1)))</formula>
    </cfRule>
  </conditionalFormatting>
  <conditionalFormatting sqref="U1:U27">
    <cfRule type="containsText" dxfId="68" priority="2" operator="containsText" text="SIN APLICACIONES">
      <formula>NOT(ISERROR(SEARCH("SIN APLICACIONES",U1)))</formula>
    </cfRule>
  </conditionalFormatting>
  <conditionalFormatting sqref="X1:X27">
    <cfRule type="containsText" dxfId="67" priority="3" operator="containsText" text="SIN APLICACIONES">
      <formula>NOT(ISERROR(SEARCH("SIN APLICACIONES",X1)))</formula>
    </cfRule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C131"/>
  <sheetViews>
    <sheetView tabSelected="1" topLeftCell="K1" zoomScale="70" zoomScaleNormal="70" workbookViewId="0">
      <selection activeCell="R18" sqref="R18"/>
    </sheetView>
  </sheetViews>
  <sheetFormatPr baseColWidth="10" defaultRowHeight="15" x14ac:dyDescent="0.25"/>
  <cols>
    <col min="1" max="1" width="10.7109375" customWidth="1"/>
    <col min="2" max="3" width="30.28515625" customWidth="1"/>
    <col min="4" max="4" width="14.5703125" customWidth="1"/>
    <col min="5" max="5" width="14.85546875" customWidth="1"/>
    <col min="6" max="6" width="11.140625" customWidth="1"/>
    <col min="7" max="7" width="11.42578125" customWidth="1"/>
    <col min="8" max="8" width="10.7109375" customWidth="1"/>
    <col min="9" max="9" width="8.140625" customWidth="1"/>
    <col min="10" max="10" width="14.42578125" customWidth="1"/>
    <col min="11" max="11" width="11.42578125" customWidth="1"/>
    <col min="12" max="12" width="13.140625" bestFit="1" customWidth="1"/>
    <col min="13" max="13" width="16" bestFit="1" customWidth="1"/>
    <col min="14" max="14" width="26" bestFit="1" customWidth="1"/>
    <col min="15" max="15" width="30.28515625" bestFit="1" customWidth="1"/>
    <col min="16" max="16" width="11.42578125" customWidth="1"/>
    <col min="18" max="18" width="25.28515625" bestFit="1" customWidth="1"/>
    <col min="19" max="19" width="16" bestFit="1" customWidth="1"/>
    <col min="21" max="21" width="20.140625" bestFit="1" customWidth="1"/>
    <col min="22" max="22" width="14.28515625" bestFit="1" customWidth="1"/>
    <col min="24" max="24" width="20.7109375" bestFit="1" customWidth="1"/>
    <col min="25" max="25" width="14.28515625" bestFit="1" customWidth="1"/>
    <col min="27" max="27" width="30.28515625" bestFit="1" customWidth="1"/>
    <col min="28" max="28" width="14.28515625" bestFit="1" customWidth="1"/>
    <col min="31" max="35" width="11.42578125" customWidth="1"/>
    <col min="37" max="37" width="13.28515625" bestFit="1" customWidth="1"/>
    <col min="38" max="38" width="10.28515625" bestFit="1" customWidth="1"/>
    <col min="39" max="39" width="10.42578125" bestFit="1" customWidth="1"/>
    <col min="42" max="42" width="22.7109375" bestFit="1" customWidth="1"/>
    <col min="43" max="47" width="10.28515625" bestFit="1" customWidth="1"/>
    <col min="48" max="48" width="10.42578125" bestFit="1" customWidth="1"/>
    <col min="49" max="49" width="10.5703125" bestFit="1" customWidth="1"/>
    <col min="51" max="51" width="22.7109375" bestFit="1" customWidth="1"/>
    <col min="52" max="53" width="10.28515625" bestFit="1" customWidth="1"/>
    <col min="54" max="54" width="10.42578125" bestFit="1" customWidth="1"/>
    <col min="55" max="55" width="10.5703125" bestFit="1" customWidth="1"/>
  </cols>
  <sheetData>
    <row r="1" spans="1:55" ht="15.75" x14ac:dyDescent="0.25">
      <c r="R1" s="41" t="s">
        <v>200</v>
      </c>
      <c r="S1" s="42"/>
      <c r="T1" s="42"/>
      <c r="U1" s="42"/>
      <c r="V1" s="42"/>
      <c r="W1" s="42"/>
      <c r="X1" s="42"/>
      <c r="Y1" s="42"/>
      <c r="Z1" s="42"/>
      <c r="AA1" s="43"/>
      <c r="AB1" s="18" t="s">
        <v>107</v>
      </c>
    </row>
    <row r="2" spans="1:55" ht="15.75" x14ac:dyDescent="0.25">
      <c r="A2" t="s">
        <v>110</v>
      </c>
      <c r="B2" t="s">
        <v>135</v>
      </c>
      <c r="C2" t="s">
        <v>0</v>
      </c>
      <c r="D2" t="s">
        <v>111</v>
      </c>
      <c r="E2" t="s">
        <v>1</v>
      </c>
      <c r="F2" t="s">
        <v>127</v>
      </c>
      <c r="H2" s="16" t="s">
        <v>103</v>
      </c>
      <c r="I2" s="16" t="s">
        <v>104</v>
      </c>
      <c r="R2" s="44"/>
      <c r="S2" s="45"/>
      <c r="T2" s="45"/>
      <c r="U2" s="45"/>
      <c r="V2" s="45"/>
      <c r="W2" s="45"/>
      <c r="X2" s="45"/>
      <c r="Y2" s="45"/>
      <c r="Z2" s="45"/>
      <c r="AA2" s="46"/>
      <c r="AB2" s="39" t="str">
        <f>H12</f>
        <v>10/11</v>
      </c>
    </row>
    <row r="3" spans="1:55" ht="15.75" x14ac:dyDescent="0.25">
      <c r="A3" t="s">
        <v>3</v>
      </c>
      <c r="B3" t="s">
        <v>23</v>
      </c>
      <c r="C3" t="s">
        <v>23</v>
      </c>
      <c r="D3">
        <v>16953</v>
      </c>
      <c r="E3">
        <v>0.30823636363636364</v>
      </c>
      <c r="F3" t="str">
        <f>BDACTUAL[[#This Row],[SUPER]]</f>
        <v>SANDY</v>
      </c>
      <c r="H3" s="17" t="s">
        <v>3</v>
      </c>
      <c r="I3">
        <v>55000</v>
      </c>
      <c r="R3" s="47"/>
      <c r="S3" s="48"/>
      <c r="T3" s="48"/>
      <c r="U3" s="48"/>
      <c r="V3" s="48"/>
      <c r="W3" s="48"/>
      <c r="X3" s="48"/>
      <c r="Y3" s="48"/>
      <c r="Z3" s="48"/>
      <c r="AA3" s="49"/>
      <c r="AB3" s="40" t="str">
        <f>H13</f>
        <v>10:24</v>
      </c>
    </row>
    <row r="4" spans="1:55" x14ac:dyDescent="0.25">
      <c r="A4" t="s">
        <v>3</v>
      </c>
      <c r="B4" t="s">
        <v>32</v>
      </c>
      <c r="C4" t="s">
        <v>32</v>
      </c>
      <c r="D4">
        <v>15500</v>
      </c>
      <c r="E4">
        <v>0.2818181818181818</v>
      </c>
      <c r="F4" t="str">
        <f>BDACTUAL[[#This Row],[SUPER]]</f>
        <v>SANDY</v>
      </c>
      <c r="H4" s="17" t="s">
        <v>4</v>
      </c>
      <c r="I4">
        <v>55000</v>
      </c>
      <c r="AE4" s="60">
        <v>2025</v>
      </c>
      <c r="AK4" s="60">
        <v>2025</v>
      </c>
      <c r="AP4" s="60">
        <v>2025</v>
      </c>
      <c r="AY4" s="60">
        <v>2025</v>
      </c>
    </row>
    <row r="5" spans="1:55" ht="21" x14ac:dyDescent="0.35">
      <c r="A5" t="s">
        <v>3</v>
      </c>
      <c r="B5" t="s">
        <v>31</v>
      </c>
      <c r="C5" t="s">
        <v>31</v>
      </c>
      <c r="D5">
        <v>11500</v>
      </c>
      <c r="E5">
        <v>0.20909090909090908</v>
      </c>
      <c r="F5" t="str">
        <f>BDACTUAL[[#This Row],[SUPER]]</f>
        <v>SANDY</v>
      </c>
      <c r="H5" s="17" t="s">
        <v>2</v>
      </c>
      <c r="I5">
        <v>14000</v>
      </c>
      <c r="R5" s="50" t="s">
        <v>96</v>
      </c>
      <c r="S5" s="50"/>
      <c r="U5" s="51" t="s">
        <v>97</v>
      </c>
      <c r="V5" s="52"/>
      <c r="X5" s="53" t="s">
        <v>98</v>
      </c>
      <c r="Y5" s="54"/>
      <c r="AA5" s="55" t="s">
        <v>99</v>
      </c>
      <c r="AB5" s="56"/>
      <c r="AE5" s="57" t="s">
        <v>124</v>
      </c>
      <c r="AF5" s="58"/>
      <c r="AG5" s="58"/>
      <c r="AH5" s="58"/>
      <c r="AI5" s="58"/>
      <c r="AK5" s="59" t="s">
        <v>150</v>
      </c>
      <c r="AL5" s="59"/>
      <c r="AM5" s="59"/>
      <c r="AP5" s="57" t="s">
        <v>189</v>
      </c>
      <c r="AQ5" s="58"/>
      <c r="AR5" s="58"/>
      <c r="AS5" s="58"/>
      <c r="AT5" s="58"/>
      <c r="AU5" s="58"/>
      <c r="AV5" s="58"/>
      <c r="AW5" s="58"/>
      <c r="AY5" s="57" t="s">
        <v>195</v>
      </c>
      <c r="AZ5" s="58"/>
      <c r="BA5" s="58"/>
      <c r="BB5" s="58"/>
      <c r="BC5" s="58"/>
    </row>
    <row r="6" spans="1:55" x14ac:dyDescent="0.25">
      <c r="A6" t="s">
        <v>3</v>
      </c>
      <c r="B6" t="s">
        <v>44</v>
      </c>
      <c r="C6" t="s">
        <v>44</v>
      </c>
      <c r="D6">
        <v>5800</v>
      </c>
      <c r="E6">
        <v>0.10545454545454545</v>
      </c>
      <c r="F6" t="str">
        <f>BDACTUAL[[#This Row],[SUPER]]</f>
        <v>SANDY</v>
      </c>
      <c r="H6" s="17" t="s">
        <v>5</v>
      </c>
      <c r="I6">
        <v>13000</v>
      </c>
      <c r="R6" s="10" t="s">
        <v>95</v>
      </c>
      <c r="S6" s="10" t="s">
        <v>1</v>
      </c>
      <c r="U6" s="8" t="s">
        <v>95</v>
      </c>
      <c r="V6" s="8" t="s">
        <v>1</v>
      </c>
      <c r="X6" s="8" t="s">
        <v>95</v>
      </c>
      <c r="Y6" s="8" t="s">
        <v>1</v>
      </c>
      <c r="AA6" s="8" t="s">
        <v>95</v>
      </c>
      <c r="AB6" s="8" t="s">
        <v>1</v>
      </c>
      <c r="AE6" s="29" t="s">
        <v>0</v>
      </c>
      <c r="AF6" s="30" t="s">
        <v>147</v>
      </c>
      <c r="AG6" s="31" t="s">
        <v>197</v>
      </c>
      <c r="AH6" s="34" t="s">
        <v>123</v>
      </c>
      <c r="AI6" s="34" t="s">
        <v>126</v>
      </c>
      <c r="AK6" s="29" t="s">
        <v>0</v>
      </c>
      <c r="AL6" s="30" t="s">
        <v>147</v>
      </c>
      <c r="AM6" s="29" t="s">
        <v>197</v>
      </c>
      <c r="AP6" s="29" t="s">
        <v>0</v>
      </c>
      <c r="AQ6" s="30" t="s">
        <v>187</v>
      </c>
      <c r="AR6" s="30" t="s">
        <v>153</v>
      </c>
      <c r="AS6" s="30" t="s">
        <v>152</v>
      </c>
      <c r="AT6" s="30" t="s">
        <v>145</v>
      </c>
      <c r="AU6" s="30" t="s">
        <v>147</v>
      </c>
      <c r="AV6" s="30" t="s">
        <v>197</v>
      </c>
      <c r="AW6" s="34" t="s">
        <v>186</v>
      </c>
      <c r="AY6" s="29" t="s">
        <v>0</v>
      </c>
      <c r="AZ6" s="30" t="s">
        <v>145</v>
      </c>
      <c r="BA6" s="30" t="s">
        <v>147</v>
      </c>
      <c r="BB6" s="31" t="s">
        <v>197</v>
      </c>
      <c r="BC6" s="34" t="s">
        <v>186</v>
      </c>
    </row>
    <row r="7" spans="1:55" x14ac:dyDescent="0.25">
      <c r="A7" t="s">
        <v>3</v>
      </c>
      <c r="B7" t="s">
        <v>76</v>
      </c>
      <c r="C7" t="s">
        <v>76</v>
      </c>
      <c r="D7">
        <v>5100</v>
      </c>
      <c r="E7">
        <v>9.2727272727272728E-2</v>
      </c>
      <c r="F7" t="str">
        <f>BDACTUAL[[#This Row],[SUPER]]</f>
        <v>SANDY</v>
      </c>
      <c r="H7" s="17" t="s">
        <v>6</v>
      </c>
      <c r="I7">
        <v>63000</v>
      </c>
      <c r="M7" s="1"/>
      <c r="R7" s="10" t="s">
        <v>0</v>
      </c>
      <c r="S7" s="11" t="s">
        <v>87</v>
      </c>
      <c r="U7" s="8" t="s">
        <v>0</v>
      </c>
      <c r="V7" s="9" t="s">
        <v>94</v>
      </c>
      <c r="X7" s="8" t="s">
        <v>0</v>
      </c>
      <c r="Y7" s="9" t="s">
        <v>93</v>
      </c>
      <c r="AA7" s="8" t="s">
        <v>0</v>
      </c>
      <c r="AB7" s="9" t="s">
        <v>92</v>
      </c>
      <c r="AE7" s="15" t="s">
        <v>133</v>
      </c>
      <c r="AF7" s="32">
        <f ca="1">IFERROR(VLOOKUP($AE7,INDIRECT(AF$6&amp;"_"&amp;$AE$4&amp;"!$B:$E"),4,0),"SIN DATOS")</f>
        <v>2.1428571428571429E-2</v>
      </c>
      <c r="AG7" s="33">
        <f ca="1">IFERROR(VLOOKUP($AE7,INDIRECT(AG$6&amp;"_"&amp;$AE$4&amp;"!$B:$E"),4,0),"SIN DATOS")</f>
        <v>0.69650000000000001</v>
      </c>
      <c r="AH7" s="4">
        <f ca="1">SUM(VLOOKUP($AE7,INDIRECT(AF$6&amp;"_"&amp;$AE$4&amp;"!$B:$D"),3,0),VLOOKUP(AE7,INDIRECT(AG$6&amp;"_"&amp;$AE$4&amp;"!$B:$D"),3,0),$AI7)/SUM(VLOOKUP(VLOOKUP($AE7,INDIRECT(AF$6&amp;"_"&amp;$AE$4&amp;"!$B:$F"),5,0),INDIRECT(AF$6&amp;"_"&amp;$AE$4&amp;"!$H:$I"),2,0),VLOOKUP(VLOOKUP($AE7,INDIRECT(AG$6&amp;"_"&amp;$AE$4&amp;"!$B:$F"),5,0),INDIRECT(AG$6&amp;"_"&amp;$AE$4&amp;"!$H:$I"),2,0))</f>
        <v>0.22642028985507245</v>
      </c>
      <c r="AI7" s="11">
        <v>0</v>
      </c>
      <c r="AK7" t="s">
        <v>133</v>
      </c>
      <c r="AL7" s="37" t="str">
        <f ca="1">IFERROR(VLOOKUP($AK7,INDIRECT(AL$6&amp;"_"&amp;$AK$4&amp;"!$B:$F"),5,0),"SIN DATOS")</f>
        <v>SANDY</v>
      </c>
      <c r="AM7" s="37" t="str">
        <f ca="1">IFERROR(VLOOKUP($AK7,INDIRECT(AM$6&amp;"_"&amp;$AK$4&amp;"!$B:$F"),5,0),"SIN DATOS")</f>
        <v>SANDY</v>
      </c>
      <c r="AP7" t="s">
        <v>133</v>
      </c>
      <c r="AQ7" s="32">
        <f ca="1">IFERROR(VLOOKUP($AP7,INDIRECT(AQ$6&amp;"_"&amp;$AP$4&amp;"!$B:$E"),4,0),"SIN DATOS")</f>
        <v>0.31207317073170732</v>
      </c>
      <c r="AR7" s="32">
        <f ca="1">IFERROR(VLOOKUP($AP7,INDIRECT(AR$6&amp;"_"&amp;$AP$4&amp;"!$B:$E"),4,0),"SIN DATOS")</f>
        <v>0.34173333333333339</v>
      </c>
      <c r="AS7" s="32">
        <f ca="1">IFERROR(VLOOKUP($AP7,INDIRECT(AS$6&amp;"_"&amp;$AP$4&amp;"!$B:$E"),4,0),"SIN DATOS")</f>
        <v>0.30193548387096775</v>
      </c>
      <c r="AT7" s="32">
        <f ca="1">IFERROR(VLOOKUP($AP7,INDIRECT(AT$6&amp;"_"&amp;$AP$4&amp;"!$B:$E"),4,0),"SIN DATOS")</f>
        <v>7.5483870967741937E-2</v>
      </c>
      <c r="AU7" s="32">
        <f ca="1">IFERROR(VLOOKUP($AP7,INDIRECT(AU$6&amp;"_"&amp;$AP$4&amp;"!$B:$E"),4,0),"SIN DATOS")</f>
        <v>2.1428571428571429E-2</v>
      </c>
      <c r="AV7" s="32">
        <f ca="1">IFERROR(VLOOKUP($AP7,INDIRECT(AV$6&amp;"_"&amp;$AP$4&amp;"!$B:$E"),4,0),"SIN DATOS")</f>
        <v>0.69650000000000001</v>
      </c>
      <c r="AW7" s="4">
        <f t="shared" ref="AW7" ca="1" si="0">AVERAGE(AQ7:AV7)</f>
        <v>0.29152573838872026</v>
      </c>
      <c r="AY7" t="s">
        <v>79</v>
      </c>
      <c r="AZ7" s="32" t="str">
        <f ca="1">IFERROR(VLOOKUP($AY7,INDIRECT(AZ$6&amp;"_"&amp;$AY$4&amp;"!$B:$E"),4,0),"SIN DATOS")</f>
        <v>SIN DATOS</v>
      </c>
      <c r="BA7" s="32">
        <f ca="1">IFERROR(VLOOKUP($AY7,INDIRECT(BA$6&amp;"_"&amp;$AY$4&amp;"!$B:$E"),4,0),"SIN DATOS")</f>
        <v>0.11663157894736842</v>
      </c>
      <c r="BB7" s="32">
        <f ca="1">IFERROR(VLOOKUP($AY7,INDIRECT(BB$6&amp;"_"&amp;$AY$4&amp;"!$B:$E"),4,0),"SIN DATOS")</f>
        <v>0.89687499999999998</v>
      </c>
      <c r="BC7" s="4">
        <f t="shared" ref="BC7" ca="1" si="1">AVERAGE(AZ7:BB7)</f>
        <v>0.50675328947368414</v>
      </c>
    </row>
    <row r="8" spans="1:55" x14ac:dyDescent="0.25">
      <c r="A8" t="s">
        <v>3</v>
      </c>
      <c r="B8" t="s">
        <v>69</v>
      </c>
      <c r="C8" t="s">
        <v>69</v>
      </c>
      <c r="D8">
        <v>2600</v>
      </c>
      <c r="E8">
        <v>4.7272727272727272E-2</v>
      </c>
      <c r="F8" t="str">
        <f>BDACTUAL[[#This Row],[SUPER]]</f>
        <v>SANDY</v>
      </c>
      <c r="H8" s="17" t="s">
        <v>7</v>
      </c>
      <c r="I8">
        <v>13000</v>
      </c>
      <c r="L8" s="14" t="s">
        <v>100</v>
      </c>
      <c r="M8" s="12" t="s">
        <v>88</v>
      </c>
      <c r="N8" s="13" t="s">
        <v>91</v>
      </c>
      <c r="O8" s="13" t="s">
        <v>89</v>
      </c>
      <c r="R8" s="15" t="s">
        <v>15</v>
      </c>
      <c r="S8" s="4">
        <v>3.2857142857142856</v>
      </c>
      <c r="U8" s="15" t="s">
        <v>204</v>
      </c>
      <c r="V8" s="37">
        <v>0.70010000000000006</v>
      </c>
      <c r="X8" s="15" t="s">
        <v>29</v>
      </c>
      <c r="Y8" s="2">
        <v>0.55961538461538463</v>
      </c>
      <c r="AA8" s="15" t="s">
        <v>112</v>
      </c>
      <c r="AB8" s="2">
        <v>0.39615384615384613</v>
      </c>
      <c r="AE8" s="1"/>
      <c r="AF8" s="1"/>
      <c r="AG8" s="1"/>
      <c r="AH8" s="1"/>
      <c r="AI8" s="1"/>
      <c r="AY8" t="s">
        <v>112</v>
      </c>
      <c r="AZ8" s="32">
        <f t="shared" ref="AZ8:BB14" ca="1" si="2">IFERROR(VLOOKUP($AY8,INDIRECT(AZ$6&amp;"_"&amp;$AY$4&amp;"!$B:$E"),4,0),"SIN DATOS")</f>
        <v>3.0944444444444445E-2</v>
      </c>
      <c r="BA8" s="32">
        <f t="shared" ca="1" si="2"/>
        <v>5.4464912280701758E-2</v>
      </c>
      <c r="BB8" s="32">
        <f t="shared" ca="1" si="2"/>
        <v>0.88634374999999999</v>
      </c>
      <c r="BC8" s="4">
        <f t="shared" ref="BC8:BC14" ca="1" si="3">AVERAGE(AZ8:BB8)</f>
        <v>0.3239177022417154</v>
      </c>
    </row>
    <row r="9" spans="1:55" x14ac:dyDescent="0.25">
      <c r="A9" t="s">
        <v>3</v>
      </c>
      <c r="B9" t="s">
        <v>22</v>
      </c>
      <c r="C9" t="s">
        <v>22</v>
      </c>
      <c r="D9">
        <v>1745</v>
      </c>
      <c r="E9">
        <v>3.1727272727272729E-2</v>
      </c>
      <c r="F9" t="str">
        <f>BDACTUAL[[#This Row],[SUPER]]</f>
        <v>SANDY</v>
      </c>
      <c r="L9">
        <v>1</v>
      </c>
      <c r="M9" s="1">
        <f t="shared" ref="M9:M40" si="4">E3</f>
        <v>0.30823636363636364</v>
      </c>
      <c r="N9" t="str" cm="1">
        <f t="array" ref="N9">IFERROR(_xlfn.IFS(M9&gt;100%,"&gt;100%",AND(M9&lt;100%,M9&gt;70%),"&gt;70%",AND(M9&lt;70%,M9&gt;40%),"&gt;40%",AND(M9&lt;40%,M9&gt;0%),"&gt;0%"),"")</f>
        <v>&gt;0%</v>
      </c>
      <c r="O9" t="str">
        <f t="shared" ref="O9:O40" si="5">B3</f>
        <v>LISELY MERA</v>
      </c>
      <c r="X9" s="15" t="s">
        <v>18</v>
      </c>
      <c r="Y9" s="3">
        <v>0.44948539682539684</v>
      </c>
      <c r="AA9" s="15" t="s">
        <v>48</v>
      </c>
      <c r="AB9" s="3">
        <v>0.34285714285714286</v>
      </c>
      <c r="AE9" s="1"/>
      <c r="AF9" s="1"/>
      <c r="AG9" s="1"/>
      <c r="AH9" s="1"/>
      <c r="AI9" s="1"/>
      <c r="AY9" t="s">
        <v>55</v>
      </c>
      <c r="AZ9" s="32">
        <f t="shared" ca="1" si="2"/>
        <v>0.43093749999999997</v>
      </c>
      <c r="BA9" s="32">
        <f t="shared" ca="1" si="2"/>
        <v>0.27189285714285716</v>
      </c>
      <c r="BB9" s="32">
        <f t="shared" ca="1" si="2"/>
        <v>0.67336363636363639</v>
      </c>
      <c r="BC9" s="4">
        <f t="shared" ca="1" si="3"/>
        <v>0.45873133116883119</v>
      </c>
    </row>
    <row r="10" spans="1:55" x14ac:dyDescent="0.25">
      <c r="A10" t="s">
        <v>3</v>
      </c>
      <c r="B10" t="s">
        <v>13</v>
      </c>
      <c r="C10" t="s">
        <v>13</v>
      </c>
      <c r="D10">
        <v>400</v>
      </c>
      <c r="E10">
        <v>7.2727272727272727E-3</v>
      </c>
      <c r="F10" t="str">
        <f>BDACTUAL[[#This Row],[SUPER]]</f>
        <v>SANDY</v>
      </c>
      <c r="L10">
        <v>2</v>
      </c>
      <c r="M10" s="1">
        <f t="shared" si="4"/>
        <v>0.2818181818181818</v>
      </c>
      <c r="N10" t="str" cm="1">
        <f t="array" ref="N10">IFERROR(_xlfn.IFS(M10&gt;100%,"&gt;100%",AND(M10&lt;100%,M10&gt;70%),"&gt;70%",AND(M10&lt;70%,M10&gt;40%),"&gt;40%",AND(M10&lt;40%,M10&gt;0%),"&gt;0%"),"")</f>
        <v>&gt;0%</v>
      </c>
      <c r="O10" t="str">
        <f t="shared" si="5"/>
        <v>GIANNINA AGUILAR</v>
      </c>
      <c r="X10" s="15" t="s">
        <v>42</v>
      </c>
      <c r="Y10" s="3">
        <v>0.42857142857142855</v>
      </c>
      <c r="AA10" s="15" t="s">
        <v>23</v>
      </c>
      <c r="AB10" s="3">
        <v>0.30823636363636364</v>
      </c>
      <c r="AF10" s="1"/>
      <c r="AG10" s="1"/>
      <c r="AH10" s="1"/>
      <c r="AI10" s="1"/>
      <c r="AY10" t="s">
        <v>77</v>
      </c>
      <c r="AZ10" s="32" t="str">
        <f t="shared" ca="1" si="2"/>
        <v>SIN DATOS</v>
      </c>
      <c r="BA10" s="32">
        <f t="shared" ca="1" si="2"/>
        <v>0.35550491718426497</v>
      </c>
      <c r="BB10" s="32">
        <f t="shared" ca="1" si="2"/>
        <v>0.65221739130434786</v>
      </c>
      <c r="BC10" s="4">
        <f t="shared" ca="1" si="3"/>
        <v>0.50386115424430644</v>
      </c>
    </row>
    <row r="11" spans="1:55" x14ac:dyDescent="0.25">
      <c r="A11" t="s">
        <v>3</v>
      </c>
      <c r="B11" t="s">
        <v>201</v>
      </c>
      <c r="C11" t="s">
        <v>201</v>
      </c>
      <c r="D11">
        <v>275</v>
      </c>
      <c r="E11">
        <v>5.0000000000000001E-3</v>
      </c>
      <c r="F11" t="str">
        <f>BDACTUAL[[#This Row],[SUPER]]</f>
        <v>SANDY</v>
      </c>
      <c r="H11" t="s">
        <v>108</v>
      </c>
      <c r="L11">
        <v>3</v>
      </c>
      <c r="M11" s="1">
        <f t="shared" si="4"/>
        <v>0.20909090909090908</v>
      </c>
      <c r="N11" t="str" cm="1">
        <f t="array" ref="N11">IFERROR(_xlfn.IFS(M11&gt;100%,"&gt;100%",AND(M11&lt;100%,M11&gt;70%),"&gt;70%",AND(M11&lt;70%,M11&gt;40%),"&gt;40%",AND(M11&lt;40%,M11&gt;0%),"&gt;0%"),"")</f>
        <v>&gt;0%</v>
      </c>
      <c r="O11" t="str">
        <f t="shared" si="5"/>
        <v>LUIS CENTENO</v>
      </c>
      <c r="X11" s="15" t="s">
        <v>55</v>
      </c>
      <c r="Y11" s="4">
        <v>0.41538461538461541</v>
      </c>
      <c r="AA11" s="15" t="s">
        <v>106</v>
      </c>
      <c r="AB11" s="3">
        <v>0.2846153846153846</v>
      </c>
      <c r="AF11" s="1"/>
      <c r="AG11" s="1"/>
      <c r="AH11" s="1"/>
      <c r="AI11" s="1"/>
      <c r="AY11" t="s">
        <v>54</v>
      </c>
      <c r="AZ11" s="32">
        <f t="shared" ca="1" si="2"/>
        <v>0.40094375000000004</v>
      </c>
      <c r="BA11" s="32">
        <f t="shared" ca="1" si="2"/>
        <v>5.8071428571428572E-2</v>
      </c>
      <c r="BB11" s="32">
        <f t="shared" ca="1" si="2"/>
        <v>0.38526086956521738</v>
      </c>
      <c r="BC11" s="4">
        <f t="shared" ca="1" si="3"/>
        <v>0.28142534937888203</v>
      </c>
    </row>
    <row r="12" spans="1:55" x14ac:dyDescent="0.25">
      <c r="A12" t="s">
        <v>3</v>
      </c>
      <c r="B12" t="s">
        <v>113</v>
      </c>
      <c r="C12" t="s">
        <v>113</v>
      </c>
      <c r="D12">
        <v>215</v>
      </c>
      <c r="E12">
        <v>3.9090909090909089E-3</v>
      </c>
      <c r="F12" t="str">
        <f>BDACTUAL[[#This Row],[SUPER]]</f>
        <v>SANDY</v>
      </c>
      <c r="H12" t="s">
        <v>202</v>
      </c>
      <c r="L12">
        <v>4</v>
      </c>
      <c r="M12" s="1">
        <f t="shared" si="4"/>
        <v>0.10545454545454545</v>
      </c>
      <c r="N12" t="str" cm="1">
        <f t="array" ref="N12">IFERROR(_xlfn.IFS(M12&gt;100%,"&gt;100%",AND(M12&lt;100%,M12&gt;70%),"&gt;70%",AND(M12&lt;70%,M12&gt;40%),"&gt;40%",AND(M12&lt;40%,M12&gt;0%),"&gt;0%"),"")</f>
        <v>&gt;0%</v>
      </c>
      <c r="O12" t="str">
        <f t="shared" si="5"/>
        <v>GINA HUAMANI</v>
      </c>
      <c r="AA12" s="15" t="s">
        <v>32</v>
      </c>
      <c r="AB12" s="3">
        <v>0.2818181818181818</v>
      </c>
      <c r="AF12" s="1"/>
      <c r="AG12" s="1"/>
      <c r="AH12" s="1"/>
      <c r="AI12" s="1"/>
      <c r="AY12" t="s">
        <v>36</v>
      </c>
      <c r="AZ12" s="32">
        <f t="shared" ca="1" si="2"/>
        <v>0.35561538461538461</v>
      </c>
      <c r="BA12" s="32">
        <f t="shared" ca="1" si="2"/>
        <v>0.11831455729625065</v>
      </c>
      <c r="BB12" s="32">
        <f t="shared" ca="1" si="2"/>
        <v>0.27422641509433965</v>
      </c>
      <c r="BC12" s="4">
        <f t="shared" ca="1" si="3"/>
        <v>0.24938545233532497</v>
      </c>
    </row>
    <row r="13" spans="1:55" x14ac:dyDescent="0.25">
      <c r="A13" t="s">
        <v>3</v>
      </c>
      <c r="B13" t="s">
        <v>17</v>
      </c>
      <c r="C13" t="s">
        <v>17</v>
      </c>
      <c r="D13">
        <v>0</v>
      </c>
      <c r="E13">
        <v>1.0000000000000001E-5</v>
      </c>
      <c r="F13" t="str">
        <f>BDACTUAL[[#This Row],[SUPER]]</f>
        <v>SANDY</v>
      </c>
      <c r="H13" t="s">
        <v>203</v>
      </c>
      <c r="J13" s="21">
        <f ca="1">NOW()</f>
        <v>45972.660482523148</v>
      </c>
      <c r="L13">
        <v>5</v>
      </c>
      <c r="M13" s="1">
        <f t="shared" si="4"/>
        <v>9.2727272727272728E-2</v>
      </c>
      <c r="N13" t="str" cm="1">
        <f t="array" ref="N13">IFERROR(_xlfn.IFS(M13&gt;100%,"&gt;100%",AND(M13&lt;100%,M13&gt;70%),"&gt;70%",AND(M13&lt;70%,M13&gt;40%),"&gt;40%",AND(M13&lt;40%,M13&gt;0%),"&gt;0%"),"")</f>
        <v>&gt;0%</v>
      </c>
      <c r="O13" t="str">
        <f t="shared" si="5"/>
        <v>VICTOR RAMIREZ</v>
      </c>
      <c r="AA13" s="15" t="s">
        <v>74</v>
      </c>
      <c r="AB13" s="3">
        <v>0.2153846153846154</v>
      </c>
      <c r="AF13" s="1"/>
      <c r="AG13" s="1"/>
      <c r="AH13" s="1"/>
      <c r="AI13" s="1"/>
      <c r="AY13" t="s">
        <v>116</v>
      </c>
      <c r="AZ13" s="32">
        <f t="shared" ca="1" si="2"/>
        <v>7.6624999999999999E-2</v>
      </c>
      <c r="BA13" s="32">
        <f t="shared" ca="1" si="2"/>
        <v>0.14103571428571429</v>
      </c>
      <c r="BB13" s="32">
        <f t="shared" ca="1" si="2"/>
        <v>0.2713913043478261</v>
      </c>
      <c r="BC13" s="4">
        <f t="shared" ca="1" si="3"/>
        <v>0.16301733954451347</v>
      </c>
    </row>
    <row r="14" spans="1:55" x14ac:dyDescent="0.25">
      <c r="A14" t="s">
        <v>3</v>
      </c>
      <c r="B14" t="s">
        <v>131</v>
      </c>
      <c r="E14">
        <v>0</v>
      </c>
      <c r="F14" t="str">
        <f>BDACTUAL[[#This Row],[SUPER]]</f>
        <v>SANDY</v>
      </c>
      <c r="J14">
        <f ca="1">DAY(J13)</f>
        <v>11</v>
      </c>
      <c r="L14">
        <v>6</v>
      </c>
      <c r="M14" s="1">
        <f t="shared" si="4"/>
        <v>4.7272727272727272E-2</v>
      </c>
      <c r="N14" t="str" cm="1">
        <f t="array" ref="N14">IFERROR(_xlfn.IFS(M14&gt;100%,"&gt;100%",AND(M14&lt;100%,M14&gt;70%),"&gt;70%",AND(M14&lt;70%,M14&gt;40%),"&gt;40%",AND(M14&lt;40%,M14&gt;0%),"&gt;0%"),"")</f>
        <v>&gt;0%</v>
      </c>
      <c r="O14" t="str">
        <f t="shared" si="5"/>
        <v>ANTHONY TORRES</v>
      </c>
      <c r="AA14" s="15" t="s">
        <v>21</v>
      </c>
      <c r="AB14" s="3">
        <v>0.21428571428571427</v>
      </c>
      <c r="AF14" s="1"/>
      <c r="AG14" s="1"/>
      <c r="AH14" s="1"/>
      <c r="AI14" s="1"/>
      <c r="AY14" t="s">
        <v>29</v>
      </c>
      <c r="AZ14" s="32">
        <f t="shared" ca="1" si="2"/>
        <v>0.72977777777777775</v>
      </c>
      <c r="BA14" s="32">
        <f t="shared" ca="1" si="2"/>
        <v>0.41306357832988266</v>
      </c>
      <c r="BB14" s="32">
        <f t="shared" ca="1" si="2"/>
        <v>0.19549056603773585</v>
      </c>
      <c r="BC14" s="4">
        <f t="shared" ca="1" si="3"/>
        <v>0.44611064071513207</v>
      </c>
    </row>
    <row r="15" spans="1:55" x14ac:dyDescent="0.25">
      <c r="A15" t="s">
        <v>3</v>
      </c>
      <c r="B15" t="s">
        <v>131</v>
      </c>
      <c r="E15">
        <v>0</v>
      </c>
      <c r="F15" t="str">
        <f>BDACTUAL[[#This Row],[SUPER]]</f>
        <v>SANDY</v>
      </c>
      <c r="J15">
        <f ca="1">MONTH(J13)</f>
        <v>11</v>
      </c>
      <c r="L15">
        <v>7</v>
      </c>
      <c r="M15" s="1">
        <f t="shared" si="4"/>
        <v>3.1727272727272729E-2</v>
      </c>
      <c r="N15" t="str" cm="1">
        <f t="array" ref="N15">IFERROR(_xlfn.IFS(M15&gt;100%,"&gt;100%",AND(M15&lt;100%,M15&gt;70%),"&gt;70%",AND(M15&lt;70%,M15&gt;40%),"&gt;40%",AND(M15&lt;40%,M15&gt;0%),"&gt;0%"),"")</f>
        <v>&gt;0%</v>
      </c>
      <c r="O15" t="str">
        <f t="shared" si="5"/>
        <v>EVELY TENORIO</v>
      </c>
      <c r="AA15" s="15" t="s">
        <v>31</v>
      </c>
      <c r="AB15" s="3">
        <v>0.20909090909090908</v>
      </c>
      <c r="AF15" s="1"/>
      <c r="AG15" s="1"/>
      <c r="AH15" s="1"/>
      <c r="AI15" s="1"/>
    </row>
    <row r="16" spans="1:55" x14ac:dyDescent="0.25">
      <c r="A16" t="s">
        <v>3</v>
      </c>
      <c r="B16" t="s">
        <v>131</v>
      </c>
      <c r="E16">
        <v>0</v>
      </c>
      <c r="F16" t="str">
        <f>BDACTUAL[[#This Row],[SUPER]]</f>
        <v>SANDY</v>
      </c>
      <c r="J16" t="str">
        <f ca="1">_xlfn.CONCAT(IF(LEN(J14)=1,"0"&amp;J14,J14),"/",IF(LEN(J15)=1,"0"&amp;J15,J15))</f>
        <v>11/11</v>
      </c>
      <c r="L16">
        <v>8</v>
      </c>
      <c r="M16" s="1">
        <f t="shared" si="4"/>
        <v>7.2727272727272727E-3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5"/>
        <v>GIANFRANCO PINEDO</v>
      </c>
      <c r="AA16" s="15" t="s">
        <v>77</v>
      </c>
      <c r="AB16" s="3">
        <v>0.20215384615384616</v>
      </c>
    </row>
    <row r="17" spans="1:28" x14ac:dyDescent="0.25">
      <c r="A17" t="s">
        <v>3</v>
      </c>
      <c r="B17" t="s">
        <v>131</v>
      </c>
      <c r="E17">
        <v>0</v>
      </c>
      <c r="F17" t="str">
        <f>BDACTUAL[[#This Row],[SUPER]]</f>
        <v>SANDY</v>
      </c>
      <c r="J17" t="str">
        <f ca="1">IF(_xlfn.CONCAT(IF(LEN(J14)=1,"0"&amp;J14,J14),"/",IF(LEN(J15)=1,"0"&amp;J15,J15))=H12,"✔","X")</f>
        <v>X</v>
      </c>
      <c r="L17">
        <v>9</v>
      </c>
      <c r="M17" s="1">
        <f t="shared" si="4"/>
        <v>5.0000000000000001E-3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5"/>
        <v>FRANS RACSI</v>
      </c>
      <c r="AA17" s="15" t="s">
        <v>50</v>
      </c>
      <c r="AB17" s="3">
        <v>0.16428571428571428</v>
      </c>
    </row>
    <row r="18" spans="1:28" x14ac:dyDescent="0.25">
      <c r="A18" t="s">
        <v>4</v>
      </c>
      <c r="B18" t="s">
        <v>132</v>
      </c>
      <c r="C18" t="s">
        <v>132</v>
      </c>
      <c r="D18">
        <v>8000</v>
      </c>
      <c r="E18">
        <v>0.14545454545454545</v>
      </c>
      <c r="F18" t="str">
        <f>BDACTUAL[[#This Row],[SUPER]]</f>
        <v>MELINA</v>
      </c>
      <c r="L18">
        <v>10</v>
      </c>
      <c r="M18" s="1">
        <f t="shared" si="4"/>
        <v>3.9090909090909089E-3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5"/>
        <v>NOEMI CHUQUILIN</v>
      </c>
      <c r="AA18" s="15" t="s">
        <v>35</v>
      </c>
      <c r="AB18" s="3">
        <v>0.16111111111111112</v>
      </c>
    </row>
    <row r="19" spans="1:28" x14ac:dyDescent="0.25">
      <c r="A19" t="s">
        <v>4</v>
      </c>
      <c r="B19" t="s">
        <v>80</v>
      </c>
      <c r="C19" t="s">
        <v>80</v>
      </c>
      <c r="D19">
        <v>5000</v>
      </c>
      <c r="E19">
        <v>9.0909090909090912E-2</v>
      </c>
      <c r="F19" t="str">
        <f>BDACTUAL[[#This Row],[SUPER]]</f>
        <v>MELINA</v>
      </c>
      <c r="L19">
        <v>11</v>
      </c>
      <c r="M19" s="1">
        <f t="shared" si="4"/>
        <v>1.0000000000000001E-5</v>
      </c>
      <c r="N19" t="str" cm="1">
        <f t="array" ref="N19">IFERROR(_xlfn.IFS(M19&gt;100%,"&gt;100%",AND(M19&lt;100%,M19&gt;70%),"&gt;70%",AND(M19&lt;70%,M19&gt;40%),"&gt;40%",AND(M19&lt;40%,M19&gt;0%),"&gt;0%"),"")</f>
        <v>&gt;0%</v>
      </c>
      <c r="O19" t="str">
        <f t="shared" si="5"/>
        <v>MARGARITA PIANCHACHI</v>
      </c>
      <c r="AA19" s="15" t="s">
        <v>132</v>
      </c>
      <c r="AB19" s="3">
        <v>0.14545454545454545</v>
      </c>
    </row>
    <row r="20" spans="1:28" x14ac:dyDescent="0.25">
      <c r="A20" t="s">
        <v>4</v>
      </c>
      <c r="B20" t="s">
        <v>60</v>
      </c>
      <c r="C20" t="s">
        <v>60</v>
      </c>
      <c r="D20">
        <v>3732</v>
      </c>
      <c r="E20">
        <v>6.7854545454545459E-2</v>
      </c>
      <c r="F20" t="str">
        <f>BDACTUAL[[#This Row],[SUPER]]</f>
        <v>MELINA</v>
      </c>
      <c r="L20">
        <v>12</v>
      </c>
      <c r="M20" s="1">
        <f t="shared" si="4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5"/>
        <v/>
      </c>
      <c r="AA20" s="15" t="s">
        <v>44</v>
      </c>
      <c r="AB20" s="3">
        <v>0.10545454545454545</v>
      </c>
    </row>
    <row r="21" spans="1:28" x14ac:dyDescent="0.25">
      <c r="A21" t="s">
        <v>4</v>
      </c>
      <c r="B21" t="s">
        <v>58</v>
      </c>
      <c r="C21" t="s">
        <v>58</v>
      </c>
      <c r="D21">
        <v>3600</v>
      </c>
      <c r="E21">
        <v>6.545454545454546E-2</v>
      </c>
      <c r="F21" t="str">
        <f>BDACTUAL[[#This Row],[SUPER]]</f>
        <v>MELINA</v>
      </c>
      <c r="L21">
        <v>13</v>
      </c>
      <c r="M21" s="1">
        <f t="shared" si="4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5"/>
        <v/>
      </c>
      <c r="AA21" s="15" t="s">
        <v>79</v>
      </c>
      <c r="AB21" s="3">
        <v>0.1</v>
      </c>
    </row>
    <row r="22" spans="1:28" x14ac:dyDescent="0.25">
      <c r="A22" t="s">
        <v>4</v>
      </c>
      <c r="B22" t="s">
        <v>59</v>
      </c>
      <c r="C22" t="s">
        <v>59</v>
      </c>
      <c r="D22">
        <v>3000</v>
      </c>
      <c r="E22">
        <v>5.4545454545454543E-2</v>
      </c>
      <c r="F22" t="str">
        <f>BDACTUAL[[#This Row],[SUPER]]</f>
        <v>MELINA</v>
      </c>
      <c r="L22">
        <v>14</v>
      </c>
      <c r="M22" s="1">
        <f t="shared" si="4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5"/>
        <v/>
      </c>
      <c r="AA22" s="15" t="s">
        <v>11</v>
      </c>
      <c r="AB22" s="3">
        <v>9.7619047619047619E-2</v>
      </c>
    </row>
    <row r="23" spans="1:28" x14ac:dyDescent="0.25">
      <c r="A23" t="s">
        <v>4</v>
      </c>
      <c r="B23" t="s">
        <v>40</v>
      </c>
      <c r="C23" t="s">
        <v>40</v>
      </c>
      <c r="D23">
        <v>2750</v>
      </c>
      <c r="E23">
        <v>0.05</v>
      </c>
      <c r="F23" t="str">
        <f>BDACTUAL[[#This Row],[SUPER]]</f>
        <v>MELINA</v>
      </c>
      <c r="L23">
        <v>15</v>
      </c>
      <c r="M23" s="1">
        <f t="shared" si="4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5"/>
        <v/>
      </c>
      <c r="AA23" s="15" t="s">
        <v>68</v>
      </c>
      <c r="AB23" s="3">
        <v>9.285714285714286E-2</v>
      </c>
    </row>
    <row r="24" spans="1:28" x14ac:dyDescent="0.25">
      <c r="A24" t="s">
        <v>4</v>
      </c>
      <c r="B24" t="s">
        <v>37</v>
      </c>
      <c r="C24" t="s">
        <v>37</v>
      </c>
      <c r="D24">
        <v>2000</v>
      </c>
      <c r="E24">
        <v>3.6363636363636362E-2</v>
      </c>
      <c r="F24" t="str">
        <f>BDACTUAL[[#This Row],[SUPER]]</f>
        <v>MELINA</v>
      </c>
      <c r="L24">
        <v>1</v>
      </c>
      <c r="M24" s="1">
        <f t="shared" si="4"/>
        <v>0.14545454545454545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5"/>
        <v>FRANK PACORA</v>
      </c>
      <c r="AA24" s="15" t="s">
        <v>76</v>
      </c>
      <c r="AB24" s="3">
        <v>9.2727272727272728E-2</v>
      </c>
    </row>
    <row r="25" spans="1:28" x14ac:dyDescent="0.25">
      <c r="A25" t="s">
        <v>4</v>
      </c>
      <c r="B25" t="s">
        <v>10</v>
      </c>
      <c r="C25" t="s">
        <v>10</v>
      </c>
      <c r="D25">
        <v>600</v>
      </c>
      <c r="E25">
        <v>1.090909090909091E-2</v>
      </c>
      <c r="F25" t="str">
        <f>BDACTUAL[[#This Row],[SUPER]]</f>
        <v>MELINA</v>
      </c>
      <c r="L25">
        <v>2</v>
      </c>
      <c r="M25" s="1">
        <f t="shared" si="4"/>
        <v>9.0909090909090912E-2</v>
      </c>
      <c r="N25" t="str" cm="1">
        <f t="array" ref="N25">IFERROR(_xlfn.IFS(M25&gt;100%,"&gt;100%",AND(M25&lt;100%,M25&gt;70%),"&gt;70%",AND(M25&lt;70%,M25&gt;40%),"&gt;40%",AND(M25&lt;40%,M25&gt;0%),"&gt;0%"),"")</f>
        <v>&gt;0%</v>
      </c>
      <c r="O25" t="str">
        <f t="shared" si="5"/>
        <v>DANIEL ZAPATA</v>
      </c>
      <c r="AA25" s="15" t="s">
        <v>20</v>
      </c>
      <c r="AB25" s="3">
        <v>9.2307692307692313E-2</v>
      </c>
    </row>
    <row r="26" spans="1:28" x14ac:dyDescent="0.25">
      <c r="A26" t="s">
        <v>4</v>
      </c>
      <c r="B26" t="s">
        <v>109</v>
      </c>
      <c r="C26" t="s">
        <v>109</v>
      </c>
      <c r="D26">
        <v>170</v>
      </c>
      <c r="E26">
        <v>3.0909090909090908E-3</v>
      </c>
      <c r="F26" t="str">
        <f>BDACTUAL[[#This Row],[SUPER]]</f>
        <v>MELINA</v>
      </c>
      <c r="L26">
        <v>3</v>
      </c>
      <c r="M26" s="1">
        <f t="shared" si="4"/>
        <v>6.7854545454545459E-2</v>
      </c>
      <c r="N26" t="str" cm="1">
        <f t="array" ref="N26">IFERROR(_xlfn.IFS(M26&gt;100%,"&gt;100%",AND(M26&lt;100%,M26&gt;70%),"&gt;70%",AND(M26&lt;70%,M26&gt;40%),"&gt;40%",AND(M26&lt;40%,M26&gt;0%),"&gt;0%"),"")</f>
        <v>&gt;0%</v>
      </c>
      <c r="O26" t="str">
        <f t="shared" si="5"/>
        <v>ANALUCIA PONCE</v>
      </c>
      <c r="AA26" s="15" t="s">
        <v>80</v>
      </c>
      <c r="AB26" s="3">
        <v>9.0909090909090912E-2</v>
      </c>
    </row>
    <row r="27" spans="1:28" x14ac:dyDescent="0.25">
      <c r="A27" t="s">
        <v>4</v>
      </c>
      <c r="B27" t="s">
        <v>57</v>
      </c>
      <c r="C27" t="s">
        <v>57</v>
      </c>
      <c r="D27">
        <v>0</v>
      </c>
      <c r="E27">
        <v>1.0000000000000001E-5</v>
      </c>
      <c r="F27" t="str">
        <f>BDACTUAL[[#This Row],[SUPER]]</f>
        <v>MELINA</v>
      </c>
      <c r="L27">
        <v>4</v>
      </c>
      <c r="M27" s="1">
        <f t="shared" si="4"/>
        <v>6.545454545454546E-2</v>
      </c>
      <c r="N27" t="str" cm="1">
        <f t="array" ref="N27">IFERROR(_xlfn.IFS(M27&gt;100%,"&gt;100%",AND(M27&lt;100%,M27&gt;70%),"&gt;70%",AND(M27&lt;70%,M27&gt;40%),"&gt;40%",AND(M27&lt;40%,M27&gt;0%),"&gt;0%"),"")</f>
        <v>&gt;0%</v>
      </c>
      <c r="O27" t="str">
        <f t="shared" si="5"/>
        <v>ALEJANDRA QUISPE</v>
      </c>
      <c r="AA27" s="15" t="s">
        <v>73</v>
      </c>
      <c r="AB27" s="3">
        <v>8.2857142857142851E-2</v>
      </c>
    </row>
    <row r="28" spans="1:28" x14ac:dyDescent="0.25">
      <c r="A28" t="s">
        <v>4</v>
      </c>
      <c r="B28" t="s">
        <v>75</v>
      </c>
      <c r="C28" t="s">
        <v>75</v>
      </c>
      <c r="D28">
        <v>0</v>
      </c>
      <c r="E28">
        <v>1.0000000000000001E-5</v>
      </c>
      <c r="F28" t="str">
        <f>BDACTUAL[[#This Row],[SUPER]]</f>
        <v>MELINA</v>
      </c>
      <c r="L28">
        <v>5</v>
      </c>
      <c r="M28" s="1">
        <f t="shared" si="4"/>
        <v>5.4545454545454543E-2</v>
      </c>
      <c r="N28" t="str" cm="1">
        <f t="array" ref="N28">IFERROR(_xlfn.IFS(M28&gt;100%,"&gt;100%",AND(M28&lt;100%,M28&gt;70%),"&gt;70%",AND(M28&lt;70%,M28&gt;40%),"&gt;40%",AND(M28&lt;40%,M28&gt;0%),"&gt;0%"),"")</f>
        <v>&gt;0%</v>
      </c>
      <c r="O28" t="str">
        <f t="shared" si="5"/>
        <v>PIERINA TESEN</v>
      </c>
      <c r="AA28" s="15" t="s">
        <v>36</v>
      </c>
      <c r="AB28" s="3">
        <v>7.6923076923076927E-2</v>
      </c>
    </row>
    <row r="29" spans="1:28" x14ac:dyDescent="0.25">
      <c r="A29" t="s">
        <v>4</v>
      </c>
      <c r="B29" t="s">
        <v>131</v>
      </c>
      <c r="E29">
        <v>0</v>
      </c>
      <c r="F29" t="str">
        <f>BDACTUAL[[#This Row],[SUPER]]</f>
        <v>MELINA</v>
      </c>
      <c r="L29">
        <v>6</v>
      </c>
      <c r="M29" s="1">
        <f t="shared" si="4"/>
        <v>0.05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5"/>
        <v>DARYL FERREL</v>
      </c>
      <c r="AA29" s="15" t="s">
        <v>24</v>
      </c>
      <c r="AB29" s="3">
        <v>7.6873015873015871E-2</v>
      </c>
    </row>
    <row r="30" spans="1:28" x14ac:dyDescent="0.25">
      <c r="A30" t="s">
        <v>4</v>
      </c>
      <c r="B30" t="s">
        <v>131</v>
      </c>
      <c r="E30">
        <v>0</v>
      </c>
      <c r="F30" t="str">
        <f>BDACTUAL[[#This Row],[SUPER]]</f>
        <v>MELINA</v>
      </c>
      <c r="L30">
        <v>7</v>
      </c>
      <c r="M30" s="1">
        <f t="shared" si="4"/>
        <v>3.6363636363636362E-2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5"/>
        <v>JIMENA MEDINA</v>
      </c>
      <c r="AA30" s="15" t="s">
        <v>49</v>
      </c>
      <c r="AB30" s="3">
        <v>7.1428571428571425E-2</v>
      </c>
    </row>
    <row r="31" spans="1:28" x14ac:dyDescent="0.25">
      <c r="A31" t="s">
        <v>4</v>
      </c>
      <c r="B31" t="s">
        <v>131</v>
      </c>
      <c r="E31">
        <v>0</v>
      </c>
      <c r="F31" t="str">
        <f>BDACTUAL[[#This Row],[SUPER]]</f>
        <v>MELINA</v>
      </c>
      <c r="L31">
        <v>8</v>
      </c>
      <c r="M31" s="1">
        <f t="shared" si="4"/>
        <v>1.090909090909091E-2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5"/>
        <v>VERONICA TASAYCO</v>
      </c>
      <c r="AA31" s="15" t="s">
        <v>60</v>
      </c>
      <c r="AB31" s="3">
        <v>6.7854545454545459E-2</v>
      </c>
    </row>
    <row r="32" spans="1:28" x14ac:dyDescent="0.25">
      <c r="A32" t="s">
        <v>4</v>
      </c>
      <c r="B32" t="s">
        <v>131</v>
      </c>
      <c r="E32">
        <v>0</v>
      </c>
      <c r="F32" t="str">
        <f>BDACTUAL[[#This Row],[SUPER]]</f>
        <v>MELINA</v>
      </c>
      <c r="L32">
        <v>9</v>
      </c>
      <c r="M32" s="1">
        <f t="shared" si="4"/>
        <v>3.0909090909090908E-3</v>
      </c>
      <c r="N32" t="str" cm="1">
        <f t="array" ref="N32">IFERROR(_xlfn.IFS(M32&gt;100%,"&gt;100%",AND(M32&lt;100%,M32&gt;70%),"&gt;70%",AND(M32&lt;70%,M32&gt;40%),"&gt;40%",AND(M32&lt;40%,M32&gt;0%),"&gt;0%"),"")</f>
        <v>&gt;0%</v>
      </c>
      <c r="O32" t="str">
        <f t="shared" si="5"/>
        <v>GERSON LAZARO</v>
      </c>
      <c r="AA32" s="15" t="s">
        <v>58</v>
      </c>
      <c r="AB32" s="3">
        <v>6.545454545454546E-2</v>
      </c>
    </row>
    <row r="33" spans="1:28" x14ac:dyDescent="0.25">
      <c r="A33" t="s">
        <v>2</v>
      </c>
      <c r="B33" t="s">
        <v>15</v>
      </c>
      <c r="C33" t="s">
        <v>15</v>
      </c>
      <c r="D33">
        <v>46000</v>
      </c>
      <c r="E33">
        <v>3.2857142857142856</v>
      </c>
      <c r="F33" t="str">
        <f>BDACTUAL[[#This Row],[SUPER]]</f>
        <v>JORGE</v>
      </c>
      <c r="L33">
        <v>10</v>
      </c>
      <c r="M33" s="1">
        <f t="shared" si="4"/>
        <v>1.0000000000000001E-5</v>
      </c>
      <c r="N33" t="str" cm="1">
        <f t="array" ref="N33">IFERROR(_xlfn.IFS(M33&gt;100%,"&gt;100%",AND(M33&lt;100%,M33&gt;70%),"&gt;70%",AND(M33&lt;70%,M33&gt;40%),"&gt;40%",AND(M33&lt;40%,M33&gt;0%),"&gt;0%"),"")</f>
        <v>&gt;0%</v>
      </c>
      <c r="O33" t="str">
        <f t="shared" si="5"/>
        <v>JAIR MARTINEZ</v>
      </c>
      <c r="AA33" s="15" t="s">
        <v>59</v>
      </c>
      <c r="AB33" s="3">
        <v>5.4545454545454543E-2</v>
      </c>
    </row>
    <row r="34" spans="1:28" x14ac:dyDescent="0.25">
      <c r="A34" t="s">
        <v>2</v>
      </c>
      <c r="B34" t="s">
        <v>42</v>
      </c>
      <c r="C34" t="s">
        <v>42</v>
      </c>
      <c r="D34">
        <v>6000</v>
      </c>
      <c r="E34">
        <v>0.42857142857142855</v>
      </c>
      <c r="F34" t="str">
        <f>BDACTUAL[[#This Row],[SUPER]]</f>
        <v>JORGE</v>
      </c>
      <c r="L34">
        <v>11</v>
      </c>
      <c r="M34" s="1">
        <f t="shared" si="4"/>
        <v>1.0000000000000001E-5</v>
      </c>
      <c r="N34" t="str" cm="1">
        <f t="array" ref="N34">IFERROR(_xlfn.IFS(M34&gt;100%,"&gt;100%",AND(M34&lt;100%,M34&gt;70%),"&gt;70%",AND(M34&lt;70%,M34&gt;40%),"&gt;40%",AND(M34&lt;40%,M34&gt;0%),"&gt;0%"),"")</f>
        <v>&gt;0%</v>
      </c>
      <c r="O34" t="str">
        <f t="shared" si="5"/>
        <v>MARIA TINTAYA</v>
      </c>
      <c r="AA34" s="15" t="s">
        <v>72</v>
      </c>
      <c r="AB34" s="3">
        <v>5.1230769230769233E-2</v>
      </c>
    </row>
    <row r="35" spans="1:28" x14ac:dyDescent="0.25">
      <c r="A35" t="s">
        <v>2</v>
      </c>
      <c r="B35" t="s">
        <v>48</v>
      </c>
      <c r="C35" t="s">
        <v>48</v>
      </c>
      <c r="D35">
        <v>4800</v>
      </c>
      <c r="E35">
        <v>0.34285714285714286</v>
      </c>
      <c r="F35" t="str">
        <f>BDACTUAL[[#This Row],[SUPER]]</f>
        <v>JORGE</v>
      </c>
      <c r="L35">
        <v>12</v>
      </c>
      <c r="M35" s="1">
        <f t="shared" si="4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5"/>
        <v/>
      </c>
      <c r="AA35" s="15" t="s">
        <v>40</v>
      </c>
      <c r="AB35" s="3">
        <v>0.05</v>
      </c>
    </row>
    <row r="36" spans="1:28" x14ac:dyDescent="0.25">
      <c r="A36" t="s">
        <v>2</v>
      </c>
      <c r="B36" t="s">
        <v>21</v>
      </c>
      <c r="C36" t="s">
        <v>21</v>
      </c>
      <c r="D36">
        <v>3000</v>
      </c>
      <c r="E36">
        <v>0.21428571428571427</v>
      </c>
      <c r="F36" t="str">
        <f>BDACTUAL[[#This Row],[SUPER]]</f>
        <v>JORGE</v>
      </c>
      <c r="L36">
        <v>13</v>
      </c>
      <c r="M36" s="1">
        <f t="shared" si="4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5"/>
        <v/>
      </c>
      <c r="AA36" s="15" t="s">
        <v>69</v>
      </c>
      <c r="AB36" s="3">
        <v>4.7272727272727272E-2</v>
      </c>
    </row>
    <row r="37" spans="1:28" x14ac:dyDescent="0.25">
      <c r="A37" t="s">
        <v>2</v>
      </c>
      <c r="B37" t="s">
        <v>68</v>
      </c>
      <c r="C37" t="s">
        <v>68</v>
      </c>
      <c r="D37">
        <v>1300</v>
      </c>
      <c r="E37">
        <v>9.285714285714286E-2</v>
      </c>
      <c r="F37" t="str">
        <f>BDACTUAL[[#This Row],[SUPER]]</f>
        <v>JORGE</v>
      </c>
      <c r="L37">
        <v>14</v>
      </c>
      <c r="M37" s="1">
        <f t="shared" si="4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5"/>
        <v/>
      </c>
      <c r="AA37" s="15" t="s">
        <v>51</v>
      </c>
      <c r="AB37" s="3">
        <v>4.6153846153846156E-2</v>
      </c>
    </row>
    <row r="38" spans="1:28" x14ac:dyDescent="0.25">
      <c r="A38" t="s">
        <v>2</v>
      </c>
      <c r="B38" t="s">
        <v>73</v>
      </c>
      <c r="C38" t="s">
        <v>73</v>
      </c>
      <c r="D38">
        <v>1160</v>
      </c>
      <c r="E38">
        <v>8.2857142857142851E-2</v>
      </c>
      <c r="F38" t="str">
        <f>BDACTUAL[[#This Row],[SUPER]]</f>
        <v>JORGE</v>
      </c>
      <c r="L38">
        <v>15</v>
      </c>
      <c r="M38" s="1">
        <f t="shared" si="4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5"/>
        <v/>
      </c>
      <c r="AA38" s="15" t="s">
        <v>37</v>
      </c>
      <c r="AB38" s="3">
        <v>3.6363636363636362E-2</v>
      </c>
    </row>
    <row r="39" spans="1:28" x14ac:dyDescent="0.25">
      <c r="A39" t="s">
        <v>2</v>
      </c>
      <c r="B39" t="s">
        <v>49</v>
      </c>
      <c r="C39" t="s">
        <v>49</v>
      </c>
      <c r="D39">
        <v>1000</v>
      </c>
      <c r="E39">
        <v>7.1428571428571425E-2</v>
      </c>
      <c r="F39" t="str">
        <f>BDACTUAL[[#This Row],[SUPER]]</f>
        <v>JORGE</v>
      </c>
      <c r="L39">
        <v>1</v>
      </c>
      <c r="M39" s="1">
        <f t="shared" si="4"/>
        <v>3.2857142857142856</v>
      </c>
      <c r="N39" t="str" cm="1">
        <f t="array" ref="N39">IFERROR(_xlfn.IFS(M39&gt;100%,"&gt;100%",AND(M39&lt;100%,M39&gt;70%),"&gt;70%",AND(M39&lt;70%,M39&gt;40%),"&gt;40%",AND(M39&lt;40%,M39&gt;0%),"&gt;0%"),"")</f>
        <v>&gt;100%</v>
      </c>
      <c r="O39" t="str">
        <f t="shared" si="5"/>
        <v>ANDERSON RODRIGUEZ</v>
      </c>
      <c r="AA39" s="15" t="s">
        <v>22</v>
      </c>
      <c r="AB39" s="3">
        <v>3.1727272727272729E-2</v>
      </c>
    </row>
    <row r="40" spans="1:28" x14ac:dyDescent="0.25">
      <c r="A40" t="s">
        <v>2</v>
      </c>
      <c r="B40" t="s">
        <v>38</v>
      </c>
      <c r="C40" t="s">
        <v>38</v>
      </c>
      <c r="D40">
        <v>425.5</v>
      </c>
      <c r="E40">
        <v>3.0392857142857142E-2</v>
      </c>
      <c r="F40" t="str">
        <f>BDACTUAL[[#This Row],[SUPER]]</f>
        <v>JORGE</v>
      </c>
      <c r="L40">
        <v>2</v>
      </c>
      <c r="M40" s="1">
        <f t="shared" si="4"/>
        <v>0.42857142857142855</v>
      </c>
      <c r="N40" t="str" cm="1">
        <f t="array" ref="N40">IFERROR(_xlfn.IFS(M40&gt;100%,"&gt;100%",AND(M40&lt;100%,M40&gt;70%),"&gt;70%",AND(M40&lt;70%,M40&gt;40%),"&gt;40%",AND(M40&lt;40%,M40&gt;0%),"&gt;0%"),"")</f>
        <v>&gt;40%</v>
      </c>
      <c r="O40" t="str">
        <f t="shared" si="5"/>
        <v>HAROLD FLORES</v>
      </c>
      <c r="AA40" s="15" t="s">
        <v>38</v>
      </c>
      <c r="AB40" s="3">
        <v>3.0392857142857142E-2</v>
      </c>
    </row>
    <row r="41" spans="1:28" x14ac:dyDescent="0.25">
      <c r="A41" t="s">
        <v>2</v>
      </c>
      <c r="B41" t="s">
        <v>43</v>
      </c>
      <c r="C41" t="s">
        <v>43</v>
      </c>
      <c r="D41">
        <v>0</v>
      </c>
      <c r="E41">
        <v>1.0000000000000001E-5</v>
      </c>
      <c r="F41" t="str">
        <f>BDACTUAL[[#This Row],[SUPER]]</f>
        <v>JORGE</v>
      </c>
      <c r="L41">
        <v>3</v>
      </c>
      <c r="M41" s="1">
        <f t="shared" ref="M41:M72" si="6">E35</f>
        <v>0.34285714285714286</v>
      </c>
      <c r="N41" t="str" cm="1">
        <f t="array" ref="N41">IFERROR(_xlfn.IFS(M41&gt;100%,"&gt;100%",AND(M41&lt;100%,M41&gt;70%),"&gt;70%",AND(M41&lt;70%,M41&gt;40%),"&gt;40%",AND(M41&lt;40%,M41&gt;0%),"&gt;0%"),"")</f>
        <v>&gt;0%</v>
      </c>
      <c r="O41" t="str">
        <f t="shared" ref="O41:O72" si="7">B35</f>
        <v>VERONICA HUARCA</v>
      </c>
      <c r="AA41" s="15" t="s">
        <v>54</v>
      </c>
      <c r="AB41" s="3">
        <v>2.7692307692307693E-2</v>
      </c>
    </row>
    <row r="42" spans="1:28" x14ac:dyDescent="0.25">
      <c r="A42" t="s">
        <v>2</v>
      </c>
      <c r="B42" t="s">
        <v>27</v>
      </c>
      <c r="C42" t="s">
        <v>27</v>
      </c>
      <c r="D42">
        <v>0</v>
      </c>
      <c r="E42">
        <v>1.0000000000000001E-5</v>
      </c>
      <c r="F42" t="str">
        <f>BDACTUAL[[#This Row],[SUPER]]</f>
        <v>JORGE</v>
      </c>
      <c r="L42">
        <v>4</v>
      </c>
      <c r="M42" s="1">
        <f t="shared" si="6"/>
        <v>0.21428571428571427</v>
      </c>
      <c r="N42" t="str" cm="1">
        <f t="array" ref="N42">IFERROR(_xlfn.IFS(M42&gt;100%,"&gt;100%",AND(M42&lt;100%,M42&gt;70%),"&gt;70%",AND(M42&lt;70%,M42&gt;40%),"&gt;40%",AND(M42&lt;40%,M42&gt;0%),"&gt;0%"),"")</f>
        <v>&gt;0%</v>
      </c>
      <c r="O42" t="str">
        <f t="shared" si="7"/>
        <v>ALEJANDRA AVILA</v>
      </c>
      <c r="AA42" s="15" t="s">
        <v>65</v>
      </c>
      <c r="AB42" s="3">
        <v>2.3809523809523808E-2</v>
      </c>
    </row>
    <row r="43" spans="1:28" x14ac:dyDescent="0.25">
      <c r="A43" t="s">
        <v>2</v>
      </c>
      <c r="B43" t="s">
        <v>131</v>
      </c>
      <c r="E43">
        <v>0</v>
      </c>
      <c r="F43" t="str">
        <f>BDACTUAL[[#This Row],[SUPER]]</f>
        <v>JORGE</v>
      </c>
      <c r="L43">
        <v>5</v>
      </c>
      <c r="M43" s="1">
        <f t="shared" si="6"/>
        <v>9.285714285714286E-2</v>
      </c>
      <c r="N43" t="str" cm="1">
        <f t="array" ref="N43">IFERROR(_xlfn.IFS(M43&gt;100%,"&gt;100%",AND(M43&lt;100%,M43&gt;70%),"&gt;70%",AND(M43&lt;70%,M43&gt;40%),"&gt;40%",AND(M43&lt;40%,M43&gt;0%),"&gt;0%"),"")</f>
        <v>&gt;0%</v>
      </c>
      <c r="O43" t="str">
        <f t="shared" si="7"/>
        <v>LUCERO JORDAN</v>
      </c>
      <c r="AA43" s="15" t="s">
        <v>41</v>
      </c>
      <c r="AB43" s="3">
        <v>1.2698412698412698E-2</v>
      </c>
    </row>
    <row r="44" spans="1:28" x14ac:dyDescent="0.25">
      <c r="A44" t="s">
        <v>2</v>
      </c>
      <c r="B44" t="s">
        <v>131</v>
      </c>
      <c r="E44">
        <v>0</v>
      </c>
      <c r="F44" t="str">
        <f>BDACTUAL[[#This Row],[SUPER]]</f>
        <v>JORGE</v>
      </c>
      <c r="L44">
        <v>6</v>
      </c>
      <c r="M44" s="1">
        <f t="shared" si="6"/>
        <v>8.2857142857142851E-2</v>
      </c>
      <c r="N44" t="str" cm="1">
        <f t="array" ref="N44">IFERROR(_xlfn.IFS(M44&gt;100%,"&gt;100%",AND(M44&lt;100%,M44&gt;70%),"&gt;70%",AND(M44&lt;70%,M44&gt;40%),"&gt;40%",AND(M44&lt;40%,M44&gt;0%),"&gt;0%"),"")</f>
        <v>&gt;0%</v>
      </c>
      <c r="O44" t="str">
        <f t="shared" si="7"/>
        <v>SARITA GARAY</v>
      </c>
      <c r="AA44" s="15" t="s">
        <v>151</v>
      </c>
      <c r="AB44" s="3">
        <v>1.2307692307692308E-2</v>
      </c>
    </row>
    <row r="45" spans="1:28" x14ac:dyDescent="0.25">
      <c r="A45" t="s">
        <v>2</v>
      </c>
      <c r="B45" t="s">
        <v>131</v>
      </c>
      <c r="E45">
        <v>0</v>
      </c>
      <c r="F45" t="str">
        <f>BDACTUAL[[#This Row],[SUPER]]</f>
        <v>JORGE</v>
      </c>
      <c r="L45">
        <v>7</v>
      </c>
      <c r="M45" s="1">
        <f t="shared" si="6"/>
        <v>7.1428571428571425E-2</v>
      </c>
      <c r="N45" t="str" cm="1">
        <f t="array" ref="N45">IFERROR(_xlfn.IFS(M45&gt;100%,"&gt;100%",AND(M45&lt;100%,M45&gt;70%),"&gt;70%",AND(M45&lt;70%,M45&gt;40%),"&gt;40%",AND(M45&lt;40%,M45&gt;0%),"&gt;0%"),"")</f>
        <v>&gt;0%</v>
      </c>
      <c r="O45" t="str">
        <f t="shared" si="7"/>
        <v>JANETH PORTOCARRERO</v>
      </c>
      <c r="AA45" s="15" t="s">
        <v>116</v>
      </c>
      <c r="AB45" s="3">
        <v>1.1538461538461539E-2</v>
      </c>
    </row>
    <row r="46" spans="1:28" x14ac:dyDescent="0.25">
      <c r="A46" t="s">
        <v>2</v>
      </c>
      <c r="B46" t="s">
        <v>131</v>
      </c>
      <c r="E46">
        <v>0</v>
      </c>
      <c r="F46" t="str">
        <f>BDACTUAL[[#This Row],[SUPER]]</f>
        <v>JORGE</v>
      </c>
      <c r="L46">
        <v>8</v>
      </c>
      <c r="M46" s="1">
        <f t="shared" si="6"/>
        <v>3.0392857142857142E-2</v>
      </c>
      <c r="N46" t="str" cm="1">
        <f t="array" ref="N46">IFERROR(_xlfn.IFS(M46&gt;100%,"&gt;100%",AND(M46&lt;100%,M46&gt;70%),"&gt;70%",AND(M46&lt;70%,M46&gt;40%),"&gt;40%",AND(M46&lt;40%,M46&gt;0%),"&gt;0%"),"")</f>
        <v>&gt;0%</v>
      </c>
      <c r="O46" t="str">
        <f t="shared" si="7"/>
        <v>MARIA HUARCAYA</v>
      </c>
      <c r="AA46" s="15" t="s">
        <v>10</v>
      </c>
      <c r="AB46" s="3">
        <v>1.090909090909091E-2</v>
      </c>
    </row>
    <row r="47" spans="1:28" x14ac:dyDescent="0.25">
      <c r="A47" t="s">
        <v>2</v>
      </c>
      <c r="B47" t="s">
        <v>131</v>
      </c>
      <c r="E47">
        <v>0</v>
      </c>
      <c r="F47" t="str">
        <f>BDACTUAL[[#This Row],[SUPER]]</f>
        <v>JORGE</v>
      </c>
      <c r="L47">
        <v>9</v>
      </c>
      <c r="M47" s="1">
        <f t="shared" si="6"/>
        <v>1.0000000000000001E-5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7"/>
        <v>LYNDA PEREZ</v>
      </c>
      <c r="AA47" s="15" t="s">
        <v>13</v>
      </c>
      <c r="AB47" s="3">
        <v>7.2727272727272727E-3</v>
      </c>
    </row>
    <row r="48" spans="1:28" x14ac:dyDescent="0.25">
      <c r="A48" t="s">
        <v>5</v>
      </c>
      <c r="B48" t="s">
        <v>29</v>
      </c>
      <c r="C48" t="s">
        <v>29</v>
      </c>
      <c r="D48">
        <v>7275</v>
      </c>
      <c r="E48">
        <v>0.55961538461538463</v>
      </c>
      <c r="F48" t="str">
        <f>BDACTUAL[[#This Row],[SUPER]]</f>
        <v>JORDAN</v>
      </c>
      <c r="L48">
        <v>10</v>
      </c>
      <c r="M48" s="1">
        <f t="shared" si="6"/>
        <v>1.0000000000000001E-5</v>
      </c>
      <c r="N48" t="str" cm="1">
        <f t="array" ref="N48">IFERROR(_xlfn.IFS(M48&gt;100%,"&gt;100%",AND(M48&lt;100%,M48&gt;70%),"&gt;70%",AND(M48&lt;70%,M48&gt;40%),"&gt;40%",AND(M48&lt;40%,M48&gt;0%),"&gt;0%"),"")</f>
        <v>&gt;0%</v>
      </c>
      <c r="O48" t="str">
        <f t="shared" si="7"/>
        <v>GABRIELA APONTE</v>
      </c>
      <c r="AA48" s="15" t="s">
        <v>19</v>
      </c>
      <c r="AB48" s="3">
        <v>6.3492063492063492E-3</v>
      </c>
    </row>
    <row r="49" spans="1:28" x14ac:dyDescent="0.25">
      <c r="A49" t="s">
        <v>5</v>
      </c>
      <c r="B49" t="s">
        <v>55</v>
      </c>
      <c r="C49" t="s">
        <v>55</v>
      </c>
      <c r="D49">
        <v>5400</v>
      </c>
      <c r="E49">
        <v>0.41538461538461541</v>
      </c>
      <c r="F49" t="str">
        <f>BDACTUAL[[#This Row],[SUPER]]</f>
        <v>JORDAN</v>
      </c>
      <c r="L49">
        <v>11</v>
      </c>
      <c r="M49" s="1">
        <f t="shared" si="6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7"/>
        <v/>
      </c>
      <c r="AA49" s="15" t="s">
        <v>201</v>
      </c>
      <c r="AB49" s="3">
        <v>5.0000000000000001E-3</v>
      </c>
    </row>
    <row r="50" spans="1:28" x14ac:dyDescent="0.25">
      <c r="A50" t="s">
        <v>5</v>
      </c>
      <c r="B50" t="s">
        <v>112</v>
      </c>
      <c r="C50" t="s">
        <v>112</v>
      </c>
      <c r="D50">
        <v>5150</v>
      </c>
      <c r="E50">
        <v>0.39615384615384613</v>
      </c>
      <c r="F50" t="str">
        <f>BDACTUAL[[#This Row],[SUPER]]</f>
        <v>JORDAN</v>
      </c>
      <c r="L50">
        <v>12</v>
      </c>
      <c r="M50" s="1">
        <f t="shared" si="6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7"/>
        <v/>
      </c>
      <c r="AA50" s="15" t="s">
        <v>113</v>
      </c>
      <c r="AB50" s="3">
        <v>3.9090909090909089E-3</v>
      </c>
    </row>
    <row r="51" spans="1:28" x14ac:dyDescent="0.25">
      <c r="A51" t="s">
        <v>5</v>
      </c>
      <c r="B51" t="s">
        <v>77</v>
      </c>
      <c r="C51" t="s">
        <v>77</v>
      </c>
      <c r="D51">
        <v>2628</v>
      </c>
      <c r="E51">
        <v>0.20215384615384616</v>
      </c>
      <c r="F51" t="str">
        <f>BDACTUAL[[#This Row],[SUPER]]</f>
        <v>JORDAN</v>
      </c>
      <c r="L51">
        <v>13</v>
      </c>
      <c r="M51" s="1">
        <f t="shared" si="6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7"/>
        <v/>
      </c>
      <c r="AA51" s="15" t="s">
        <v>109</v>
      </c>
      <c r="AB51" s="3">
        <v>3.0909090909090908E-3</v>
      </c>
    </row>
    <row r="52" spans="1:28" x14ac:dyDescent="0.25">
      <c r="A52" t="s">
        <v>5</v>
      </c>
      <c r="B52" t="s">
        <v>79</v>
      </c>
      <c r="C52" t="s">
        <v>79</v>
      </c>
      <c r="D52">
        <v>1300</v>
      </c>
      <c r="E52">
        <v>0.1</v>
      </c>
      <c r="F52" t="str">
        <f>BDACTUAL[[#This Row],[SUPER]]</f>
        <v>JORDAN</v>
      </c>
      <c r="L52">
        <v>14</v>
      </c>
      <c r="M52" s="1">
        <f t="shared" si="6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7"/>
        <v/>
      </c>
      <c r="AA52" s="15" t="s">
        <v>26</v>
      </c>
      <c r="AB52" s="3">
        <v>2.8571428571428571E-3</v>
      </c>
    </row>
    <row r="53" spans="1:28" x14ac:dyDescent="0.25">
      <c r="A53" t="s">
        <v>5</v>
      </c>
      <c r="B53" t="s">
        <v>36</v>
      </c>
      <c r="C53" t="s">
        <v>36</v>
      </c>
      <c r="D53">
        <v>1000</v>
      </c>
      <c r="E53">
        <v>7.6923076923076927E-2</v>
      </c>
      <c r="F53" t="str">
        <f>BDACTUAL[[#This Row],[SUPER]]</f>
        <v>JORDAN</v>
      </c>
      <c r="L53">
        <v>15</v>
      </c>
      <c r="M53" s="1">
        <f t="shared" si="6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7"/>
        <v/>
      </c>
      <c r="AA53" s="15" t="s">
        <v>81</v>
      </c>
      <c r="AB53" s="3">
        <v>1.5873015873015873E-3</v>
      </c>
    </row>
    <row r="54" spans="1:28" x14ac:dyDescent="0.25">
      <c r="A54" t="s">
        <v>5</v>
      </c>
      <c r="B54" t="s">
        <v>54</v>
      </c>
      <c r="C54" t="s">
        <v>54</v>
      </c>
      <c r="D54">
        <v>360</v>
      </c>
      <c r="E54">
        <v>2.7692307692307693E-2</v>
      </c>
      <c r="F54" t="str">
        <f>BDACTUAL[[#This Row],[SUPER]]</f>
        <v>JORDAN</v>
      </c>
      <c r="L54">
        <v>1</v>
      </c>
      <c r="M54" s="1">
        <f t="shared" si="6"/>
        <v>0.55961538461538463</v>
      </c>
      <c r="N54" t="str" cm="1">
        <f t="array" ref="N54">IFERROR(_xlfn.IFS(M54&gt;100%,"&gt;100%",AND(M54&lt;100%,M54&gt;70%),"&gt;70%",AND(M54&lt;70%,M54&gt;40%),"&gt;40%",AND(M54&lt;40%,M54&gt;0%),"&gt;0%"),"")</f>
        <v>&gt;40%</v>
      </c>
      <c r="O54" t="str">
        <f t="shared" si="7"/>
        <v>LUIS VALLADARES</v>
      </c>
      <c r="AA54" s="15" t="s">
        <v>61</v>
      </c>
      <c r="AB54" s="3">
        <v>1.0000000000000001E-5</v>
      </c>
    </row>
    <row r="55" spans="1:28" x14ac:dyDescent="0.25">
      <c r="A55" t="s">
        <v>5</v>
      </c>
      <c r="B55" t="s">
        <v>116</v>
      </c>
      <c r="C55" t="s">
        <v>116</v>
      </c>
      <c r="D55">
        <v>150</v>
      </c>
      <c r="E55">
        <v>1.1538461538461539E-2</v>
      </c>
      <c r="F55" t="str">
        <f>BDACTUAL[[#This Row],[SUPER]]</f>
        <v>JORDAN</v>
      </c>
      <c r="L55">
        <v>2</v>
      </c>
      <c r="M55" s="1">
        <f t="shared" si="6"/>
        <v>0.41538461538461541</v>
      </c>
      <c r="N55" t="str" cm="1">
        <f t="array" ref="N55">IFERROR(_xlfn.IFS(M55&gt;100%,"&gt;100%",AND(M55&lt;100%,M55&gt;70%),"&gt;70%",AND(M55&lt;70%,M55&gt;40%),"&gt;40%",AND(M55&lt;40%,M55&gt;0%),"&gt;0%"),"")</f>
        <v>&gt;40%</v>
      </c>
      <c r="O55" t="str">
        <f t="shared" si="7"/>
        <v>MAYRA AVALOS</v>
      </c>
      <c r="AA55" s="15" t="s">
        <v>70</v>
      </c>
      <c r="AB55" s="3">
        <v>1.0000000000000001E-5</v>
      </c>
    </row>
    <row r="56" spans="1:28" x14ac:dyDescent="0.25">
      <c r="A56" t="s">
        <v>5</v>
      </c>
      <c r="B56" t="s">
        <v>131</v>
      </c>
      <c r="E56">
        <v>0</v>
      </c>
      <c r="F56" t="str">
        <f>BDACTUAL[[#This Row],[SUPER]]</f>
        <v>JORDAN</v>
      </c>
      <c r="L56">
        <v>3</v>
      </c>
      <c r="M56" s="1">
        <f t="shared" si="6"/>
        <v>0.39615384615384613</v>
      </c>
      <c r="N56" t="str" cm="1">
        <f t="array" ref="N56">IFERROR(_xlfn.IFS(M56&gt;100%,"&gt;100%",AND(M56&lt;100%,M56&gt;70%),"&gt;70%",AND(M56&lt;70%,M56&gt;40%),"&gt;40%",AND(M56&lt;40%,M56&gt;0%),"&gt;0%"),"")</f>
        <v>&gt;0%</v>
      </c>
      <c r="O56" t="str">
        <f t="shared" si="7"/>
        <v>JESSICA MELGAREJO</v>
      </c>
      <c r="AA56" s="15" t="s">
        <v>75</v>
      </c>
      <c r="AB56" s="3">
        <v>1.0000000000000001E-5</v>
      </c>
    </row>
    <row r="57" spans="1:28" x14ac:dyDescent="0.25">
      <c r="A57" t="s">
        <v>5</v>
      </c>
      <c r="B57" t="s">
        <v>131</v>
      </c>
      <c r="E57">
        <v>0</v>
      </c>
      <c r="F57" t="str">
        <f>BDACTUAL[[#This Row],[SUPER]]</f>
        <v>JORDAN</v>
      </c>
      <c r="L57">
        <v>4</v>
      </c>
      <c r="M57" s="1">
        <f t="shared" si="6"/>
        <v>0.20215384615384616</v>
      </c>
      <c r="N57" t="str" cm="1">
        <f t="array" ref="N57">IFERROR(_xlfn.IFS(M57&gt;100%,"&gt;100%",AND(M57&lt;100%,M57&gt;70%),"&gt;70%",AND(M57&lt;70%,M57&gt;40%),"&gt;40%",AND(M57&lt;40%,M57&gt;0%),"&gt;0%"),"")</f>
        <v>&gt;0%</v>
      </c>
      <c r="O57" t="str">
        <f t="shared" si="7"/>
        <v>JUAN ALANOCCA</v>
      </c>
      <c r="AA57" s="15" t="s">
        <v>67</v>
      </c>
      <c r="AB57" s="3">
        <v>1.0000000000000001E-5</v>
      </c>
    </row>
    <row r="58" spans="1:28" x14ac:dyDescent="0.25">
      <c r="A58" t="s">
        <v>5</v>
      </c>
      <c r="B58" t="s">
        <v>131</v>
      </c>
      <c r="E58">
        <v>0</v>
      </c>
      <c r="F58" t="str">
        <f>BDACTUAL[[#This Row],[SUPER]]</f>
        <v>JORDAN</v>
      </c>
      <c r="L58">
        <v>5</v>
      </c>
      <c r="M58" s="1">
        <f t="shared" si="6"/>
        <v>0.1</v>
      </c>
      <c r="N58" t="str" cm="1">
        <f t="array" ref="N58">IFERROR(_xlfn.IFS(M58&gt;100%,"&gt;100%",AND(M58&lt;100%,M58&gt;70%),"&gt;70%",AND(M58&lt;70%,M58&gt;40%),"&gt;40%",AND(M58&lt;40%,M58&gt;0%),"&gt;0%"),"")</f>
        <v>&gt;0%</v>
      </c>
      <c r="O58" t="str">
        <f t="shared" si="7"/>
        <v>NATALIA MARIN</v>
      </c>
      <c r="AA58" s="15" t="s">
        <v>57</v>
      </c>
      <c r="AB58" s="3">
        <v>1.0000000000000001E-5</v>
      </c>
    </row>
    <row r="59" spans="1:28" x14ac:dyDescent="0.25">
      <c r="A59" t="s">
        <v>5</v>
      </c>
      <c r="B59" t="s">
        <v>131</v>
      </c>
      <c r="E59">
        <v>0</v>
      </c>
      <c r="F59" t="str">
        <f>BDACTUAL[[#This Row],[SUPER]]</f>
        <v>JORDAN</v>
      </c>
      <c r="L59">
        <v>6</v>
      </c>
      <c r="M59" s="1">
        <f t="shared" si="6"/>
        <v>7.6923076923076927E-2</v>
      </c>
      <c r="N59" t="str" cm="1">
        <f t="array" ref="N59">IFERROR(_xlfn.IFS(M59&gt;100%,"&gt;100%",AND(M59&lt;100%,M59&gt;70%),"&gt;70%",AND(M59&lt;70%,M59&gt;40%),"&gt;40%",AND(M59&lt;40%,M59&gt;0%),"&gt;0%"),"")</f>
        <v>&gt;0%</v>
      </c>
      <c r="O59" t="str">
        <f t="shared" si="7"/>
        <v>MEDALITH NESTARES</v>
      </c>
      <c r="AA59" s="15" t="s">
        <v>17</v>
      </c>
      <c r="AB59" s="3">
        <v>1.0000000000000001E-5</v>
      </c>
    </row>
    <row r="60" spans="1:28" x14ac:dyDescent="0.25">
      <c r="A60" t="s">
        <v>5</v>
      </c>
      <c r="B60" t="s">
        <v>131</v>
      </c>
      <c r="E60">
        <v>0</v>
      </c>
      <c r="F60" t="str">
        <f>BDACTUAL[[#This Row],[SUPER]]</f>
        <v>JORDAN</v>
      </c>
      <c r="I60" s="21"/>
      <c r="L60">
        <v>7</v>
      </c>
      <c r="M60" s="1">
        <f t="shared" si="6"/>
        <v>2.7692307692307693E-2</v>
      </c>
      <c r="N60" t="str" cm="1">
        <f t="array" ref="N60">IFERROR(_xlfn.IFS(M60&gt;100%,"&gt;100%",AND(M60&lt;100%,M60&gt;70%),"&gt;70%",AND(M60&lt;70%,M60&gt;40%),"&gt;40%",AND(M60&lt;40%,M60&gt;0%),"&gt;0%"),"")</f>
        <v>&gt;0%</v>
      </c>
      <c r="O60" t="str">
        <f t="shared" si="7"/>
        <v>ANABEL SIHUE</v>
      </c>
      <c r="AA60" s="15" t="s">
        <v>53</v>
      </c>
      <c r="AB60" s="3">
        <v>1.0000000000000001E-5</v>
      </c>
    </row>
    <row r="61" spans="1:28" x14ac:dyDescent="0.25">
      <c r="A61" t="s">
        <v>5</v>
      </c>
      <c r="B61" t="s">
        <v>131</v>
      </c>
      <c r="E61">
        <v>0</v>
      </c>
      <c r="F61" t="str">
        <f>BDACTUAL[[#This Row],[SUPER]]</f>
        <v>JORDAN</v>
      </c>
      <c r="L61">
        <v>8</v>
      </c>
      <c r="M61" s="1">
        <f t="shared" si="6"/>
        <v>1.1538461538461539E-2</v>
      </c>
      <c r="N61" t="str" cm="1">
        <f t="array" ref="N61">IFERROR(_xlfn.IFS(M61&gt;100%,"&gt;100%",AND(M61&lt;100%,M61&gt;70%),"&gt;70%",AND(M61&lt;70%,M61&gt;40%),"&gt;40%",AND(M61&lt;40%,M61&gt;0%),"&gt;0%"),"")</f>
        <v>&gt;0%</v>
      </c>
      <c r="O61" t="str">
        <f t="shared" si="7"/>
        <v>JAIME TUMIALAN</v>
      </c>
      <c r="AA61" s="15" t="s">
        <v>27</v>
      </c>
      <c r="AB61" s="3">
        <v>1.0000000000000001E-5</v>
      </c>
    </row>
    <row r="62" spans="1:28" x14ac:dyDescent="0.25">
      <c r="A62" t="s">
        <v>5</v>
      </c>
      <c r="B62" t="s">
        <v>131</v>
      </c>
      <c r="E62">
        <v>0</v>
      </c>
      <c r="F62" t="str">
        <f>BDACTUAL[[#This Row],[SUPER]]</f>
        <v>JORDAN</v>
      </c>
      <c r="L62">
        <v>9</v>
      </c>
      <c r="M62" s="1">
        <f t="shared" si="6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7"/>
        <v/>
      </c>
      <c r="AA62" s="15" t="s">
        <v>43</v>
      </c>
      <c r="AB62" s="3">
        <v>1.0000000000000001E-5</v>
      </c>
    </row>
    <row r="63" spans="1:28" x14ac:dyDescent="0.25">
      <c r="A63" t="s">
        <v>6</v>
      </c>
      <c r="B63" t="s">
        <v>18</v>
      </c>
      <c r="C63" t="s">
        <v>18</v>
      </c>
      <c r="D63">
        <v>28317.58</v>
      </c>
      <c r="E63">
        <v>0.44948539682539684</v>
      </c>
      <c r="F63" t="str">
        <f>BDACTUAL[[#This Row],[SUPER]]</f>
        <v>KENNETH</v>
      </c>
      <c r="L63">
        <v>10</v>
      </c>
      <c r="M63" s="1">
        <f t="shared" si="6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7"/>
        <v/>
      </c>
      <c r="AA63" s="15" t="s">
        <v>78</v>
      </c>
      <c r="AB63" s="4">
        <v>1.0000000000000001E-5</v>
      </c>
    </row>
    <row r="64" spans="1:28" x14ac:dyDescent="0.25">
      <c r="A64" t="s">
        <v>6</v>
      </c>
      <c r="B64" t="s">
        <v>24</v>
      </c>
      <c r="C64" t="s">
        <v>24</v>
      </c>
      <c r="D64">
        <v>4843</v>
      </c>
      <c r="E64">
        <v>7.6873015873015871E-2</v>
      </c>
      <c r="F64" t="str">
        <f>BDACTUAL[[#This Row],[SUPER]]</f>
        <v>KENNETH</v>
      </c>
      <c r="L64">
        <v>11</v>
      </c>
      <c r="M64" s="1">
        <f t="shared" si="6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7"/>
        <v/>
      </c>
    </row>
    <row r="65" spans="1:15" x14ac:dyDescent="0.25">
      <c r="A65" t="s">
        <v>6</v>
      </c>
      <c r="B65" t="s">
        <v>78</v>
      </c>
      <c r="C65" t="s">
        <v>78</v>
      </c>
      <c r="D65">
        <v>0</v>
      </c>
      <c r="E65">
        <v>1.0000000000000001E-5</v>
      </c>
      <c r="F65" t="str">
        <f>BDACTUAL[[#This Row],[SUPER]]</f>
        <v>KENNETH</v>
      </c>
      <c r="L65">
        <v>12</v>
      </c>
      <c r="M65" s="1">
        <f t="shared" si="6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7"/>
        <v/>
      </c>
    </row>
    <row r="66" spans="1:15" x14ac:dyDescent="0.25">
      <c r="A66" t="s">
        <v>6</v>
      </c>
      <c r="B66" t="s">
        <v>61</v>
      </c>
      <c r="C66" t="s">
        <v>61</v>
      </c>
      <c r="D66">
        <v>0</v>
      </c>
      <c r="E66">
        <v>1.0000000000000001E-5</v>
      </c>
      <c r="F66" t="str">
        <f>BDACTUAL[[#This Row],[SUPER]]</f>
        <v>KENNETH</v>
      </c>
      <c r="L66">
        <v>13</v>
      </c>
      <c r="M66" s="1">
        <f t="shared" si="6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7"/>
        <v/>
      </c>
    </row>
    <row r="67" spans="1:15" x14ac:dyDescent="0.25">
      <c r="A67" t="s">
        <v>6</v>
      </c>
      <c r="B67" t="s">
        <v>50</v>
      </c>
      <c r="C67" t="s">
        <v>50</v>
      </c>
      <c r="D67">
        <v>10350</v>
      </c>
      <c r="E67">
        <v>0.16428571428571428</v>
      </c>
      <c r="F67" t="str">
        <f>BDACTUAL[[#This Row],[SUPER]]</f>
        <v>KENNETH</v>
      </c>
      <c r="L67">
        <v>14</v>
      </c>
      <c r="M67" s="1">
        <f t="shared" si="6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7"/>
        <v/>
      </c>
    </row>
    <row r="68" spans="1:15" x14ac:dyDescent="0.25">
      <c r="A68" t="s">
        <v>6</v>
      </c>
      <c r="B68" t="s">
        <v>35</v>
      </c>
      <c r="C68" t="s">
        <v>35</v>
      </c>
      <c r="D68">
        <v>10150</v>
      </c>
      <c r="E68">
        <v>0.16111111111111112</v>
      </c>
      <c r="F68" t="str">
        <f>BDACTUAL[[#This Row],[SUPER]]</f>
        <v>KENNETH</v>
      </c>
      <c r="L68">
        <v>15</v>
      </c>
      <c r="M68" s="1">
        <f t="shared" si="6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7"/>
        <v/>
      </c>
    </row>
    <row r="69" spans="1:15" x14ac:dyDescent="0.25">
      <c r="A69" t="s">
        <v>6</v>
      </c>
      <c r="B69" t="s">
        <v>11</v>
      </c>
      <c r="C69" t="s">
        <v>11</v>
      </c>
      <c r="D69">
        <v>6150</v>
      </c>
      <c r="E69">
        <v>9.7619047619047619E-2</v>
      </c>
      <c r="F69" t="str">
        <f>BDACTUAL[[#This Row],[SUPER]]</f>
        <v>KENNETH</v>
      </c>
      <c r="L69">
        <v>1</v>
      </c>
      <c r="M69" s="1">
        <f t="shared" si="6"/>
        <v>0.44948539682539684</v>
      </c>
      <c r="N69" t="str" cm="1">
        <f t="array" ref="N69">IFERROR(_xlfn.IFS(M69&gt;100%,"&gt;100%",AND(M69&lt;100%,M69&gt;70%),"&gt;70%",AND(M69&lt;70%,M69&gt;40%),"&gt;40%",AND(M69&lt;40%,M69&gt;0%),"&gt;0%"),"")</f>
        <v>&gt;40%</v>
      </c>
      <c r="O69" t="str">
        <f t="shared" si="7"/>
        <v>ALEIDITH GUEVARA</v>
      </c>
    </row>
    <row r="70" spans="1:15" x14ac:dyDescent="0.25">
      <c r="A70" t="s">
        <v>6</v>
      </c>
      <c r="B70" t="s">
        <v>65</v>
      </c>
      <c r="C70" t="s">
        <v>65</v>
      </c>
      <c r="D70">
        <v>1500</v>
      </c>
      <c r="E70">
        <v>2.3809523809523808E-2</v>
      </c>
      <c r="F70" t="str">
        <f>BDACTUAL[[#This Row],[SUPER]]</f>
        <v>KENNETH</v>
      </c>
      <c r="L70">
        <v>2</v>
      </c>
      <c r="M70" s="1">
        <f t="shared" si="6"/>
        <v>7.6873015873015871E-2</v>
      </c>
      <c r="N70" t="str" cm="1">
        <f t="array" ref="N70">IFERROR(_xlfn.IFS(M70&gt;100%,"&gt;100%",AND(M70&lt;100%,M70&gt;70%),"&gt;70%",AND(M70&lt;70%,M70&gt;40%),"&gt;40%",AND(M70&lt;40%,M70&gt;0%),"&gt;0%"),"")</f>
        <v>&gt;0%</v>
      </c>
      <c r="O70" t="str">
        <f t="shared" si="7"/>
        <v>FRANCO HUAMANI</v>
      </c>
    </row>
    <row r="71" spans="1:15" x14ac:dyDescent="0.25">
      <c r="A71" t="s">
        <v>6</v>
      </c>
      <c r="B71" t="s">
        <v>41</v>
      </c>
      <c r="C71" t="s">
        <v>41</v>
      </c>
      <c r="D71">
        <v>800</v>
      </c>
      <c r="E71">
        <v>1.2698412698412698E-2</v>
      </c>
      <c r="F71" t="str">
        <f>BDACTUAL[[#This Row],[SUPER]]</f>
        <v>KENNETH</v>
      </c>
      <c r="L71">
        <v>3</v>
      </c>
      <c r="M71" s="1">
        <f t="shared" si="6"/>
        <v>1.0000000000000001E-5</v>
      </c>
      <c r="N71" t="str" cm="1">
        <f t="array" ref="N71">IFERROR(_xlfn.IFS(M71&gt;100%,"&gt;100%",AND(M71&lt;100%,M71&gt;70%),"&gt;70%",AND(M71&lt;70%,M71&gt;40%),"&gt;40%",AND(M71&lt;40%,M71&gt;0%),"&gt;0%"),"")</f>
        <v>&gt;0%</v>
      </c>
      <c r="O71" t="str">
        <f t="shared" si="7"/>
        <v>URSULA CENTENO</v>
      </c>
    </row>
    <row r="72" spans="1:15" x14ac:dyDescent="0.25">
      <c r="A72" t="s">
        <v>6</v>
      </c>
      <c r="B72" t="s">
        <v>19</v>
      </c>
      <c r="C72" t="s">
        <v>19</v>
      </c>
      <c r="D72">
        <v>400</v>
      </c>
      <c r="E72">
        <v>6.3492063492063492E-3</v>
      </c>
      <c r="F72" t="str">
        <f>BDACTUAL[[#This Row],[SUPER]]</f>
        <v>KENNETH</v>
      </c>
      <c r="L72">
        <v>4</v>
      </c>
      <c r="M72" s="1">
        <f t="shared" si="6"/>
        <v>1.0000000000000001E-5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7"/>
        <v>CRISTINA TICONA</v>
      </c>
    </row>
    <row r="73" spans="1:15" x14ac:dyDescent="0.25">
      <c r="A73" t="s">
        <v>6</v>
      </c>
      <c r="B73" t="s">
        <v>26</v>
      </c>
      <c r="C73" t="s">
        <v>26</v>
      </c>
      <c r="D73">
        <v>180</v>
      </c>
      <c r="E73">
        <v>2.8571428571428571E-3</v>
      </c>
      <c r="F73" t="str">
        <f>BDACTUAL[[#This Row],[SUPER]]</f>
        <v>KENNETH</v>
      </c>
      <c r="L73">
        <v>5</v>
      </c>
      <c r="M73" s="1">
        <f t="shared" ref="M73:M97" si="8">E67</f>
        <v>0.16428571428571428</v>
      </c>
      <c r="N73" t="str" cm="1">
        <f t="array" ref="N73">IFERROR(_xlfn.IFS(M73&gt;100%,"&gt;100%",AND(M73&lt;100%,M73&gt;70%),"&gt;70%",AND(M73&lt;70%,M73&gt;40%),"&gt;40%",AND(M73&lt;40%,M73&gt;0%),"&gt;0%"),"")</f>
        <v>&gt;0%</v>
      </c>
      <c r="O73" t="str">
        <f t="shared" ref="O73:O97" si="9">B67</f>
        <v>KIARA CANEPA</v>
      </c>
    </row>
    <row r="74" spans="1:15" x14ac:dyDescent="0.25">
      <c r="A74" t="s">
        <v>6</v>
      </c>
      <c r="B74" t="s">
        <v>81</v>
      </c>
      <c r="C74" t="s">
        <v>81</v>
      </c>
      <c r="D74">
        <v>100</v>
      </c>
      <c r="E74">
        <v>1.5873015873015873E-3</v>
      </c>
      <c r="F74" t="str">
        <f>BDACTUAL[[#This Row],[SUPER]]</f>
        <v>KENNETH</v>
      </c>
      <c r="L74">
        <v>6</v>
      </c>
      <c r="M74" s="1">
        <f t="shared" si="8"/>
        <v>0.16111111111111112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si="9"/>
        <v>JUAN LOZA</v>
      </c>
    </row>
    <row r="75" spans="1:15" x14ac:dyDescent="0.25">
      <c r="A75" t="s">
        <v>6</v>
      </c>
      <c r="B75" t="s">
        <v>67</v>
      </c>
      <c r="C75" t="s">
        <v>67</v>
      </c>
      <c r="D75">
        <v>0</v>
      </c>
      <c r="E75">
        <v>1.0000000000000001E-5</v>
      </c>
      <c r="F75" t="str">
        <f>BDACTUAL[[#This Row],[SUPER]]</f>
        <v>KENNETH</v>
      </c>
      <c r="L75">
        <v>7</v>
      </c>
      <c r="M75" s="1">
        <f t="shared" si="8"/>
        <v>9.7619047619047619E-2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9"/>
        <v>MILAGROS QUIO</v>
      </c>
    </row>
    <row r="76" spans="1:15" x14ac:dyDescent="0.25">
      <c r="A76" t="s">
        <v>6</v>
      </c>
      <c r="B76" t="s">
        <v>131</v>
      </c>
      <c r="E76">
        <v>0</v>
      </c>
      <c r="F76" t="str">
        <f>BDACTUAL[[#This Row],[SUPER]]</f>
        <v>KENNETH</v>
      </c>
      <c r="L76">
        <v>8</v>
      </c>
      <c r="M76" s="1">
        <f t="shared" si="8"/>
        <v>2.3809523809523808E-2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9"/>
        <v>JHONATAN CHAVEZ</v>
      </c>
    </row>
    <row r="77" spans="1:15" x14ac:dyDescent="0.25">
      <c r="A77" t="s">
        <v>6</v>
      </c>
      <c r="B77" t="s">
        <v>131</v>
      </c>
      <c r="E77">
        <v>0</v>
      </c>
      <c r="F77" t="str">
        <f>BDACTUAL[[#This Row],[SUPER]]</f>
        <v>KENNETH</v>
      </c>
      <c r="L77">
        <v>9</v>
      </c>
      <c r="M77" s="1">
        <f t="shared" si="8"/>
        <v>1.2698412698412698E-2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9"/>
        <v>CHRISTIAN ALVARADO</v>
      </c>
    </row>
    <row r="78" spans="1:15" x14ac:dyDescent="0.25">
      <c r="A78" t="s">
        <v>7</v>
      </c>
      <c r="B78" t="s">
        <v>106</v>
      </c>
      <c r="C78" t="s">
        <v>106</v>
      </c>
      <c r="D78">
        <v>3700</v>
      </c>
      <c r="E78">
        <v>0.2846153846153846</v>
      </c>
      <c r="F78" t="str">
        <f>BDACTUAL[[#This Row],[SUPER]]</f>
        <v>LEONOR</v>
      </c>
      <c r="L78">
        <v>10</v>
      </c>
      <c r="M78" s="1">
        <f t="shared" si="8"/>
        <v>6.3492063492063492E-3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9"/>
        <v>CARMEN PUMA</v>
      </c>
    </row>
    <row r="79" spans="1:15" x14ac:dyDescent="0.25">
      <c r="A79" t="s">
        <v>7</v>
      </c>
      <c r="B79" t="s">
        <v>74</v>
      </c>
      <c r="C79" t="s">
        <v>74</v>
      </c>
      <c r="D79">
        <v>2800</v>
      </c>
      <c r="E79">
        <v>0.2153846153846154</v>
      </c>
      <c r="F79" t="str">
        <f>BDACTUAL[[#This Row],[SUPER]]</f>
        <v>LEONOR</v>
      </c>
      <c r="L79">
        <v>11</v>
      </c>
      <c r="M79" s="1">
        <f t="shared" si="8"/>
        <v>2.8571428571428571E-3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9"/>
        <v>JENY LAZARO</v>
      </c>
    </row>
    <row r="80" spans="1:15" x14ac:dyDescent="0.25">
      <c r="A80" t="s">
        <v>7</v>
      </c>
      <c r="B80" t="s">
        <v>20</v>
      </c>
      <c r="C80" t="s">
        <v>20</v>
      </c>
      <c r="D80">
        <v>1200</v>
      </c>
      <c r="E80">
        <v>9.2307692307692313E-2</v>
      </c>
      <c r="F80" t="str">
        <f>BDACTUAL[[#This Row],[SUPER]]</f>
        <v>LEONOR</v>
      </c>
      <c r="L80">
        <v>12</v>
      </c>
      <c r="M80" s="1">
        <f t="shared" si="8"/>
        <v>1.5873015873015873E-3</v>
      </c>
      <c r="N80" t="str" cm="1">
        <f t="array" ref="N80">IFERROR(_xlfn.IFS(M80&gt;100%,"&gt;100%",AND(M80&lt;100%,M80&gt;70%),"&gt;70%",AND(M80&lt;70%,M80&gt;40%),"&gt;40%",AND(M80&lt;40%,M80&gt;0%),"&gt;0%"),"")</f>
        <v>&gt;0%</v>
      </c>
      <c r="O80" t="str">
        <f t="shared" si="9"/>
        <v>DAVID SANCHEZ</v>
      </c>
    </row>
    <row r="81" spans="1:15" x14ac:dyDescent="0.25">
      <c r="A81" t="s">
        <v>7</v>
      </c>
      <c r="B81" t="s">
        <v>72</v>
      </c>
      <c r="C81" t="s">
        <v>72</v>
      </c>
      <c r="D81">
        <v>666</v>
      </c>
      <c r="E81">
        <v>5.1230769230769233E-2</v>
      </c>
      <c r="F81" t="str">
        <f>BDACTUAL[[#This Row],[SUPER]]</f>
        <v>LEONOR</v>
      </c>
      <c r="L81">
        <v>13</v>
      </c>
      <c r="M81" s="1">
        <f t="shared" si="8"/>
        <v>1.0000000000000001E-5</v>
      </c>
      <c r="N81" t="str" cm="1">
        <f t="array" ref="N81">IFERROR(_xlfn.IFS(M81&gt;100%,"&gt;100%",AND(M81&lt;100%,M81&gt;70%),"&gt;70%",AND(M81&lt;70%,M81&gt;40%),"&gt;40%",AND(M81&lt;40%,M81&gt;0%),"&gt;0%"),"")</f>
        <v>&gt;0%</v>
      </c>
      <c r="O81" t="str">
        <f t="shared" si="9"/>
        <v>AURORA FAUSTOR</v>
      </c>
    </row>
    <row r="82" spans="1:15" x14ac:dyDescent="0.25">
      <c r="A82" t="s">
        <v>7</v>
      </c>
      <c r="B82" t="s">
        <v>51</v>
      </c>
      <c r="C82" t="s">
        <v>51</v>
      </c>
      <c r="D82">
        <v>600</v>
      </c>
      <c r="E82">
        <v>4.6153846153846156E-2</v>
      </c>
      <c r="F82" t="str">
        <f>BDACTUAL[[#This Row],[SUPER]]</f>
        <v>LEONOR</v>
      </c>
      <c r="L82">
        <v>14</v>
      </c>
      <c r="M82" s="1">
        <f t="shared" si="8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9"/>
        <v/>
      </c>
    </row>
    <row r="83" spans="1:15" x14ac:dyDescent="0.25">
      <c r="A83" t="s">
        <v>7</v>
      </c>
      <c r="B83" t="s">
        <v>151</v>
      </c>
      <c r="C83" t="s">
        <v>151</v>
      </c>
      <c r="D83">
        <v>160</v>
      </c>
      <c r="E83">
        <v>1.2307692307692308E-2</v>
      </c>
      <c r="F83" t="str">
        <f>BDACTUAL[[#This Row],[SUPER]]</f>
        <v>LEONOR</v>
      </c>
      <c r="L83">
        <v>15</v>
      </c>
      <c r="M83" s="1">
        <f t="shared" si="8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9"/>
        <v/>
      </c>
    </row>
    <row r="84" spans="1:15" x14ac:dyDescent="0.25">
      <c r="A84" t="s">
        <v>7</v>
      </c>
      <c r="B84" t="s">
        <v>70</v>
      </c>
      <c r="C84" t="s">
        <v>70</v>
      </c>
      <c r="D84">
        <v>0</v>
      </c>
      <c r="E84">
        <v>1.0000000000000001E-5</v>
      </c>
      <c r="F84" t="str">
        <f>BDACTUAL[[#This Row],[SUPER]]</f>
        <v>LEONOR</v>
      </c>
      <c r="L84">
        <v>1</v>
      </c>
      <c r="M84" s="1">
        <f t="shared" si="8"/>
        <v>0.2846153846153846</v>
      </c>
      <c r="N84" t="str" cm="1">
        <f t="array" ref="N84">IFERROR(_xlfn.IFS(M84&gt;100%,"&gt;100%",AND(M84&lt;100%,M84&gt;70%),"&gt;70%",AND(M84&lt;70%,M84&gt;40%),"&gt;40%",AND(M84&lt;40%,M84&gt;0%),"&gt;0%"),"")</f>
        <v>&gt;0%</v>
      </c>
      <c r="O84" t="str">
        <f t="shared" si="9"/>
        <v>ANGELO SUAREZ</v>
      </c>
    </row>
    <row r="85" spans="1:15" x14ac:dyDescent="0.25">
      <c r="A85" t="s">
        <v>7</v>
      </c>
      <c r="B85" t="s">
        <v>53</v>
      </c>
      <c r="C85" t="s">
        <v>53</v>
      </c>
      <c r="D85">
        <v>0</v>
      </c>
      <c r="E85">
        <v>1.0000000000000001E-5</v>
      </c>
      <c r="F85" t="str">
        <f>BDACTUAL[[#This Row],[SUPER]]</f>
        <v>LEONOR</v>
      </c>
      <c r="L85">
        <v>2</v>
      </c>
      <c r="M85" s="1">
        <f t="shared" si="8"/>
        <v>0.2153846153846154</v>
      </c>
      <c r="N85" t="str" cm="1">
        <f t="array" ref="N85">IFERROR(_xlfn.IFS(M85&gt;100%,"&gt;100%",AND(M85&lt;100%,M85&gt;70%),"&gt;70%",AND(M85&lt;70%,M85&gt;40%),"&gt;40%",AND(M85&lt;40%,M85&gt;0%),"&gt;0%"),"")</f>
        <v>&gt;0%</v>
      </c>
      <c r="O85" t="str">
        <f t="shared" si="9"/>
        <v>NARDIA URPIS</v>
      </c>
    </row>
    <row r="86" spans="1:15" x14ac:dyDescent="0.25">
      <c r="A86" t="s">
        <v>7</v>
      </c>
      <c r="B86" t="s">
        <v>131</v>
      </c>
      <c r="E86">
        <v>0</v>
      </c>
      <c r="F86" t="str">
        <f>BDACTUAL[[#This Row],[SUPER]]</f>
        <v>LEONOR</v>
      </c>
      <c r="L86">
        <v>3</v>
      </c>
      <c r="M86" s="1">
        <f t="shared" si="8"/>
        <v>9.2307692307692313E-2</v>
      </c>
      <c r="N86" t="str" cm="1">
        <f t="array" ref="N86">IFERROR(_xlfn.IFS(M86&gt;100%,"&gt;100%",AND(M86&lt;100%,M86&gt;70%),"&gt;70%",AND(M86&lt;70%,M86&gt;40%),"&gt;40%",AND(M86&lt;40%,M86&gt;0%),"&gt;0%"),"")</f>
        <v>&gt;0%</v>
      </c>
      <c r="O86" t="str">
        <f t="shared" si="9"/>
        <v>JHOVANA TORRES</v>
      </c>
    </row>
    <row r="87" spans="1:15" x14ac:dyDescent="0.25">
      <c r="A87" t="s">
        <v>7</v>
      </c>
      <c r="B87" t="s">
        <v>131</v>
      </c>
      <c r="E87">
        <v>0</v>
      </c>
      <c r="F87" t="str">
        <f>BDACTUAL[[#This Row],[SUPER]]</f>
        <v>LEONOR</v>
      </c>
      <c r="L87">
        <v>4</v>
      </c>
      <c r="M87" s="1">
        <f t="shared" si="8"/>
        <v>5.1230769230769233E-2</v>
      </c>
      <c r="N87" t="str" cm="1">
        <f t="array" ref="N87">IFERROR(_xlfn.IFS(M87&gt;100%,"&gt;100%",AND(M87&lt;100%,M87&gt;70%),"&gt;70%",AND(M87&lt;70%,M87&gt;40%),"&gt;40%",AND(M87&lt;40%,M87&gt;0%),"&gt;0%"),"")</f>
        <v>&gt;0%</v>
      </c>
      <c r="O87" t="str">
        <f t="shared" si="9"/>
        <v>ERIKA VILLAR</v>
      </c>
    </row>
    <row r="88" spans="1:15" x14ac:dyDescent="0.25">
      <c r="A88" t="s">
        <v>7</v>
      </c>
      <c r="B88" t="s">
        <v>131</v>
      </c>
      <c r="E88">
        <v>0</v>
      </c>
      <c r="F88" t="str">
        <f>BDACTUAL[[#This Row],[SUPER]]</f>
        <v>LEONOR</v>
      </c>
      <c r="L88">
        <v>5</v>
      </c>
      <c r="M88" s="1">
        <f t="shared" si="8"/>
        <v>4.6153846153846156E-2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9"/>
        <v>GERALDINE ARROYO</v>
      </c>
    </row>
    <row r="89" spans="1:15" x14ac:dyDescent="0.25">
      <c r="A89" t="s">
        <v>7</v>
      </c>
      <c r="B89" t="s">
        <v>131</v>
      </c>
      <c r="E89">
        <v>0</v>
      </c>
      <c r="F89" t="str">
        <f>BDACTUAL[[#This Row],[SUPER]]</f>
        <v>LEONOR</v>
      </c>
      <c r="L89">
        <v>6</v>
      </c>
      <c r="M89" s="1">
        <f t="shared" si="8"/>
        <v>1.2307692307692308E-2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9"/>
        <v>JACQUELINE COLLAHUACHO</v>
      </c>
    </row>
    <row r="90" spans="1:15" x14ac:dyDescent="0.25">
      <c r="A90" t="s">
        <v>7</v>
      </c>
      <c r="B90" t="s">
        <v>131</v>
      </c>
      <c r="E90">
        <v>0</v>
      </c>
      <c r="F90" t="str">
        <f>BDACTUAL[[#This Row],[SUPER]]</f>
        <v>LEONOR</v>
      </c>
      <c r="L90">
        <v>7</v>
      </c>
      <c r="M90" s="1">
        <f t="shared" si="8"/>
        <v>1.0000000000000001E-5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9"/>
        <v>MERLY CORONEL</v>
      </c>
    </row>
    <row r="91" spans="1:15" x14ac:dyDescent="0.25">
      <c r="A91" t="s">
        <v>7</v>
      </c>
      <c r="B91" t="s">
        <v>131</v>
      </c>
      <c r="E91">
        <v>0</v>
      </c>
      <c r="F91" t="str">
        <f>BDACTUAL[[#This Row],[SUPER]]</f>
        <v>LEONOR</v>
      </c>
      <c r="L91">
        <v>8</v>
      </c>
      <c r="M91" s="1">
        <f t="shared" si="8"/>
        <v>1.0000000000000001E-5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9"/>
        <v>CHRISTIAN ALBUJAR</v>
      </c>
    </row>
    <row r="92" spans="1:15" x14ac:dyDescent="0.25">
      <c r="A92" t="s">
        <v>7</v>
      </c>
      <c r="B92" t="s">
        <v>131</v>
      </c>
      <c r="E92">
        <v>0</v>
      </c>
      <c r="F92" t="str">
        <f>BDACTUAL[[#This Row],[SUPER]]</f>
        <v>LEONOR</v>
      </c>
      <c r="L92">
        <v>9</v>
      </c>
      <c r="M92" s="1">
        <f t="shared" si="8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9"/>
        <v/>
      </c>
    </row>
    <row r="93" spans="1:15" x14ac:dyDescent="0.25">
      <c r="L93">
        <v>10</v>
      </c>
      <c r="M93" s="1">
        <f t="shared" si="8"/>
        <v>0</v>
      </c>
      <c r="N93" t="str" cm="1">
        <f t="array" ref="N93">IFERROR(_xlfn.IFS(M93&gt;100%,"&gt;100%",AND(M93&lt;100%,M93&gt;70%),"&gt;70%",AND(M93&lt;70%,M93&gt;40%),"&gt;40%",AND(M93&lt;40%,M93&gt;0%),"&gt;0%"),"")</f>
        <v/>
      </c>
      <c r="O93" t="str">
        <f t="shared" si="9"/>
        <v/>
      </c>
    </row>
    <row r="94" spans="1:15" x14ac:dyDescent="0.25">
      <c r="L94">
        <v>11</v>
      </c>
      <c r="M94" s="1">
        <f t="shared" si="8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9"/>
        <v/>
      </c>
    </row>
    <row r="95" spans="1:15" x14ac:dyDescent="0.25">
      <c r="L95">
        <v>12</v>
      </c>
      <c r="M95" s="1">
        <f t="shared" si="8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9"/>
        <v/>
      </c>
    </row>
    <row r="96" spans="1:15" x14ac:dyDescent="0.25">
      <c r="L96">
        <v>13</v>
      </c>
      <c r="M96" s="1">
        <f t="shared" si="8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9"/>
        <v/>
      </c>
    </row>
    <row r="97" spans="12:15" x14ac:dyDescent="0.25">
      <c r="L97">
        <v>14</v>
      </c>
      <c r="M97" s="1">
        <f t="shared" si="8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9"/>
        <v/>
      </c>
    </row>
    <row r="98" spans="12:15" x14ac:dyDescent="0.25">
      <c r="L98">
        <v>15</v>
      </c>
      <c r="M98" s="1" t="e">
        <f>#REF!</f>
        <v>#REF!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e">
        <f>#REF!</f>
        <v>#REF!</v>
      </c>
    </row>
    <row r="99" spans="12:15" x14ac:dyDescent="0.25">
      <c r="L99">
        <v>1</v>
      </c>
      <c r="M99" s="1" t="e">
        <f>#REF!</f>
        <v>#REF!</v>
      </c>
      <c r="N99" t="str" cm="1">
        <f t="array" ref="N99">IFERROR(_xlfn.IFS(M99&gt;100%,"&gt;100%",AND(M99&lt;100%,M99&gt;70%),"&gt;70%",AND(M99&lt;70%,M99&gt;40%),"&gt;40%",AND(M99&lt;40%,M99&gt;0%),"&gt;0%"),"")</f>
        <v/>
      </c>
      <c r="O99" t="e">
        <f>#REF!</f>
        <v>#REF!</v>
      </c>
    </row>
    <row r="100" spans="12:15" x14ac:dyDescent="0.25">
      <c r="L100">
        <v>2</v>
      </c>
      <c r="M100" s="1" t="e">
        <f>#REF!</f>
        <v>#REF!</v>
      </c>
      <c r="N100" t="str" cm="1">
        <f t="array" ref="N100">IFERROR(_xlfn.IFS(M100&gt;100%,"&gt;100%",AND(M100&lt;100%,M100&gt;70%),"&gt;70%",AND(M100&lt;70%,M100&gt;40%),"&gt;40%",AND(M100&lt;40%,M100&gt;0%),"&gt;0%"),"")</f>
        <v/>
      </c>
      <c r="O100" t="e">
        <f>#REF!</f>
        <v>#REF!</v>
      </c>
    </row>
    <row r="101" spans="12:15" x14ac:dyDescent="0.25">
      <c r="L101">
        <v>3</v>
      </c>
      <c r="M101" s="1" t="e">
        <f>#REF!</f>
        <v>#REF!</v>
      </c>
      <c r="N101" t="str" cm="1">
        <f t="array" ref="N101">IFERROR(_xlfn.IFS(M101&gt;100%,"&gt;100%",AND(M101&lt;100%,M101&gt;70%),"&gt;70%",AND(M101&lt;70%,M101&gt;40%),"&gt;40%",AND(M101&lt;40%,M101&gt;0%),"&gt;0%"),"")</f>
        <v/>
      </c>
      <c r="O101" t="e">
        <f>#REF!</f>
        <v>#REF!</v>
      </c>
    </row>
    <row r="102" spans="12:15" x14ac:dyDescent="0.25">
      <c r="L102">
        <v>4</v>
      </c>
      <c r="M102" s="1" t="e">
        <f>#REF!</f>
        <v>#REF!</v>
      </c>
      <c r="N102" t="str" cm="1">
        <f t="array" ref="N102">IFERROR(_xlfn.IFS(M102&gt;100%,"&gt;100%",AND(M102&lt;100%,M102&gt;70%),"&gt;70%",AND(M102&lt;70%,M102&gt;40%),"&gt;40%",AND(M102&lt;40%,M102&gt;0%),"&gt;0%"),"")</f>
        <v/>
      </c>
      <c r="O102" t="e">
        <f>#REF!</f>
        <v>#REF!</v>
      </c>
    </row>
    <row r="103" spans="12:15" x14ac:dyDescent="0.25">
      <c r="L103">
        <v>5</v>
      </c>
      <c r="M103" s="1" t="e">
        <f>#REF!</f>
        <v>#REF!</v>
      </c>
      <c r="N103" t="str" cm="1">
        <f t="array" ref="N103">IFERROR(_xlfn.IFS(M103&gt;100%,"&gt;100%",AND(M103&lt;100%,M103&gt;70%),"&gt;70%",AND(M103&lt;70%,M103&gt;40%),"&gt;40%",AND(M103&lt;40%,M103&gt;0%),"&gt;0%"),"")</f>
        <v/>
      </c>
      <c r="O103" t="e">
        <f>#REF!</f>
        <v>#REF!</v>
      </c>
    </row>
    <row r="104" spans="12:15" x14ac:dyDescent="0.25">
      <c r="L104">
        <v>6</v>
      </c>
      <c r="M104" s="1" t="e">
        <f>#REF!</f>
        <v>#REF!</v>
      </c>
      <c r="N104" t="str" cm="1">
        <f t="array" ref="N104">IFERROR(_xlfn.IFS(M104&gt;100%,"&gt;100%",AND(M104&lt;100%,M104&gt;70%),"&gt;70%",AND(M104&lt;70%,M104&gt;40%),"&gt;40%",AND(M104&lt;40%,M104&gt;0%),"&gt;0%"),"")</f>
        <v/>
      </c>
      <c r="O104" t="e">
        <f>#REF!</f>
        <v>#REF!</v>
      </c>
    </row>
    <row r="105" spans="12:15" x14ac:dyDescent="0.25">
      <c r="L105">
        <v>7</v>
      </c>
      <c r="M105" s="1" t="e">
        <f>#REF!</f>
        <v>#REF!</v>
      </c>
      <c r="N105" t="str" cm="1">
        <f t="array" ref="N105">IFERROR(_xlfn.IFS(M105&gt;100%,"&gt;100%",AND(M105&lt;100%,M105&gt;70%),"&gt;70%",AND(M105&lt;70%,M105&gt;40%),"&gt;40%",AND(M105&lt;40%,M105&gt;0%),"&gt;0%"),"")</f>
        <v/>
      </c>
      <c r="O105" t="e">
        <f>#REF!</f>
        <v>#REF!</v>
      </c>
    </row>
    <row r="106" spans="12:15" x14ac:dyDescent="0.25">
      <c r="L106">
        <v>8</v>
      </c>
      <c r="M106" s="1" t="e">
        <f>#REF!</f>
        <v>#REF!</v>
      </c>
      <c r="N106" t="str" cm="1">
        <f t="array" ref="N106">IFERROR(_xlfn.IFS(M106&gt;100%,"&gt;100%",AND(M106&lt;100%,M106&gt;70%),"&gt;70%",AND(M106&lt;70%,M106&gt;40%),"&gt;40%",AND(M106&lt;40%,M106&gt;0%),"&gt;0%"),"")</f>
        <v/>
      </c>
      <c r="O106" t="e">
        <f>#REF!</f>
        <v>#REF!</v>
      </c>
    </row>
    <row r="107" spans="12:15" x14ac:dyDescent="0.25">
      <c r="L107">
        <v>9</v>
      </c>
      <c r="M107" s="1" t="e">
        <f>#REF!</f>
        <v>#REF!</v>
      </c>
      <c r="N107" t="str" cm="1">
        <f t="array" ref="N107">IFERROR(_xlfn.IFS(M107&gt;100%,"&gt;100%",AND(M107&lt;100%,M107&gt;70%),"&gt;70%",AND(M107&lt;70%,M107&gt;40%),"&gt;40%",AND(M107&lt;40%,M107&gt;0%),"&gt;0%"),"")</f>
        <v/>
      </c>
      <c r="O107" t="e">
        <f>#REF!</f>
        <v>#REF!</v>
      </c>
    </row>
    <row r="108" spans="12:15" x14ac:dyDescent="0.25">
      <c r="L108">
        <v>10</v>
      </c>
      <c r="M108" s="1" t="e">
        <f>#REF!</f>
        <v>#REF!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e">
        <f>#REF!</f>
        <v>#REF!</v>
      </c>
    </row>
    <row r="109" spans="12:15" x14ac:dyDescent="0.25">
      <c r="L109">
        <v>11</v>
      </c>
      <c r="M109" s="1" t="e">
        <f>#REF!</f>
        <v>#REF!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e">
        <f>#REF!</f>
        <v>#REF!</v>
      </c>
    </row>
    <row r="110" spans="12:15" x14ac:dyDescent="0.25">
      <c r="L110">
        <v>12</v>
      </c>
      <c r="M110" s="1" t="e">
        <f>#REF!</f>
        <v>#REF!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e">
        <f>#REF!</f>
        <v>#REF!</v>
      </c>
    </row>
    <row r="111" spans="12:15" x14ac:dyDescent="0.25">
      <c r="L111">
        <v>13</v>
      </c>
      <c r="M111" s="1" t="e">
        <f>#REF!</f>
        <v>#REF!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e">
        <f>#REF!</f>
        <v>#REF!</v>
      </c>
    </row>
    <row r="112" spans="12:15" x14ac:dyDescent="0.25">
      <c r="L112">
        <v>14</v>
      </c>
      <c r="M112" s="1" t="e">
        <f>#REF!</f>
        <v>#REF!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e">
        <f>#REF!</f>
        <v>#REF!</v>
      </c>
    </row>
    <row r="113" spans="12:15" x14ac:dyDescent="0.25">
      <c r="L113">
        <v>15</v>
      </c>
      <c r="M113" s="1" t="e">
        <f>#REF!</f>
        <v>#REF!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e">
        <f>#REF!</f>
        <v>#REF!</v>
      </c>
    </row>
    <row r="114" spans="12:15" x14ac:dyDescent="0.25">
      <c r="L114">
        <v>1</v>
      </c>
      <c r="M114" s="1" t="e">
        <f>#REF!</f>
        <v>#REF!</v>
      </c>
      <c r="N114" t="str" cm="1">
        <f t="array" ref="N114">IFERROR(_xlfn.IFS(M114&gt;100%,"&gt;100%",AND(M114&lt;100%,M114&gt;70%),"&gt;70%",AND(M114&lt;70%,M114&gt;40%),"&gt;40%",AND(M114&lt;40%,M114&gt;0%),"&gt;0%"),"")</f>
        <v/>
      </c>
      <c r="O114" t="e">
        <f>#REF!</f>
        <v>#REF!</v>
      </c>
    </row>
    <row r="115" spans="12:15" x14ac:dyDescent="0.25">
      <c r="L115">
        <v>2</v>
      </c>
      <c r="M115" s="1" t="e">
        <f>#REF!</f>
        <v>#REF!</v>
      </c>
      <c r="N115" t="str" cm="1">
        <f t="array" ref="N115">IFERROR(_xlfn.IFS(M115&gt;100%,"&gt;100%",AND(M115&lt;100%,M115&gt;70%),"&gt;70%",AND(M115&lt;70%,M115&gt;40%),"&gt;40%",AND(M115&lt;40%,M115&gt;0%),"&gt;0%"),"")</f>
        <v/>
      </c>
      <c r="O115" t="e">
        <f>#REF!</f>
        <v>#REF!</v>
      </c>
    </row>
    <row r="116" spans="12:15" x14ac:dyDescent="0.25">
      <c r="L116">
        <v>3</v>
      </c>
      <c r="M116" s="1" t="e">
        <f>#REF!</f>
        <v>#REF!</v>
      </c>
      <c r="N116" t="str" cm="1">
        <f t="array" ref="N116">IFERROR(_xlfn.IFS(M116&gt;100%,"&gt;100%",AND(M116&lt;100%,M116&gt;70%),"&gt;70%",AND(M116&lt;70%,M116&gt;40%),"&gt;40%",AND(M116&lt;40%,M116&gt;0%),"&gt;0%"),"")</f>
        <v/>
      </c>
      <c r="O116" t="e">
        <f>#REF!</f>
        <v>#REF!</v>
      </c>
    </row>
    <row r="117" spans="12:15" x14ac:dyDescent="0.25">
      <c r="L117">
        <v>4</v>
      </c>
      <c r="M117" s="1" t="e">
        <f>#REF!</f>
        <v>#REF!</v>
      </c>
      <c r="N117" t="str" cm="1">
        <f t="array" ref="N117">IFERROR(_xlfn.IFS(M117&gt;100%,"&gt;100%",AND(M117&lt;100%,M117&gt;70%),"&gt;70%",AND(M117&lt;70%,M117&gt;40%),"&gt;40%",AND(M117&lt;40%,M117&gt;0%),"&gt;0%"),"")</f>
        <v/>
      </c>
      <c r="O117" t="e">
        <f>#REF!</f>
        <v>#REF!</v>
      </c>
    </row>
    <row r="118" spans="12:15" x14ac:dyDescent="0.25">
      <c r="L118">
        <v>5</v>
      </c>
      <c r="M118" s="1" t="e">
        <f>#REF!</f>
        <v>#REF!</v>
      </c>
      <c r="N118" t="str" cm="1">
        <f t="array" ref="N118">IFERROR(_xlfn.IFS(M118&gt;100%,"&gt;100%",AND(M118&lt;100%,M118&gt;70%),"&gt;70%",AND(M118&lt;70%,M118&gt;40%),"&gt;40%",AND(M118&lt;40%,M118&gt;0%),"&gt;0%"),"")</f>
        <v/>
      </c>
      <c r="O118" t="e">
        <f>#REF!</f>
        <v>#REF!</v>
      </c>
    </row>
    <row r="119" spans="12:15" x14ac:dyDescent="0.25">
      <c r="L119">
        <v>6</v>
      </c>
      <c r="M119" s="1" t="e">
        <f>#REF!</f>
        <v>#REF!</v>
      </c>
      <c r="N119" t="str" cm="1">
        <f t="array" ref="N119">IFERROR(_xlfn.IFS(M119&gt;100%,"&gt;100%",AND(M119&lt;100%,M119&gt;70%),"&gt;70%",AND(M119&lt;70%,M119&gt;40%),"&gt;40%",AND(M119&lt;40%,M119&gt;0%),"&gt;0%"),"")</f>
        <v/>
      </c>
      <c r="O119" t="e">
        <f>#REF!</f>
        <v>#REF!</v>
      </c>
    </row>
    <row r="120" spans="12:15" x14ac:dyDescent="0.25">
      <c r="L120">
        <v>7</v>
      </c>
      <c r="M120" s="1" t="e">
        <f>#REF!</f>
        <v>#REF!</v>
      </c>
      <c r="N120" t="str" cm="1">
        <f t="array" ref="N120">IFERROR(_xlfn.IFS(M120&gt;100%,"&gt;100%",AND(M120&lt;100%,M120&gt;70%),"&gt;70%",AND(M120&lt;70%,M120&gt;40%),"&gt;40%",AND(M120&lt;40%,M120&gt;0%),"&gt;0%"),"")</f>
        <v/>
      </c>
      <c r="O120" t="e">
        <f>#REF!</f>
        <v>#REF!</v>
      </c>
    </row>
    <row r="121" spans="12:15" x14ac:dyDescent="0.25">
      <c r="L121">
        <v>8</v>
      </c>
      <c r="M121" s="1" t="e">
        <f>#REF!</f>
        <v>#REF!</v>
      </c>
      <c r="N121" t="str" cm="1">
        <f t="array" ref="N121">IFERROR(_xlfn.IFS(M121&gt;100%,"&gt;100%",AND(M121&lt;100%,M121&gt;70%),"&gt;70%",AND(M121&lt;70%,M121&gt;40%),"&gt;40%",AND(M121&lt;40%,M121&gt;0%),"&gt;0%"),"")</f>
        <v/>
      </c>
      <c r="O121" t="e">
        <f>#REF!</f>
        <v>#REF!</v>
      </c>
    </row>
    <row r="122" spans="12:15" x14ac:dyDescent="0.25">
      <c r="L122">
        <v>9</v>
      </c>
      <c r="M122" s="1" t="e">
        <f>#REF!</f>
        <v>#REF!</v>
      </c>
      <c r="N122" t="str" cm="1">
        <f t="array" ref="N122">IFERROR(_xlfn.IFS(M122&gt;100%,"&gt;100%",AND(M122&lt;100%,M122&gt;70%),"&gt;70%",AND(M122&lt;70%,M122&gt;40%),"&gt;40%",AND(M122&lt;40%,M122&gt;0%),"&gt;0%"),"")</f>
        <v/>
      </c>
      <c r="O122" t="e">
        <f>#REF!</f>
        <v>#REF!</v>
      </c>
    </row>
    <row r="123" spans="12:15" x14ac:dyDescent="0.25">
      <c r="L123">
        <v>10</v>
      </c>
      <c r="M123" s="1" t="e">
        <f>#REF!</f>
        <v>#REF!</v>
      </c>
      <c r="N123" t="str" cm="1">
        <f t="array" ref="N123">IFERROR(_xlfn.IFS(M123&gt;100%,"&gt;100%",AND(M123&lt;100%,M123&gt;70%),"&gt;70%",AND(M123&lt;70%,M123&gt;40%),"&gt;40%",AND(M123&lt;40%,M123&gt;0%),"&gt;0%"),"")</f>
        <v/>
      </c>
      <c r="O123" t="e">
        <f>#REF!</f>
        <v>#REF!</v>
      </c>
    </row>
    <row r="124" spans="12:15" x14ac:dyDescent="0.25">
      <c r="L124">
        <v>11</v>
      </c>
      <c r="M124" s="1" t="e">
        <f>#REF!</f>
        <v>#REF!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e">
        <f>#REF!</f>
        <v>#REF!</v>
      </c>
    </row>
    <row r="125" spans="12:15" x14ac:dyDescent="0.25">
      <c r="L125">
        <v>12</v>
      </c>
      <c r="M125" s="1" t="e">
        <f>#REF!</f>
        <v>#REF!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e">
        <f>#REF!</f>
        <v>#REF!</v>
      </c>
    </row>
    <row r="126" spans="12:15" x14ac:dyDescent="0.25">
      <c r="L126">
        <v>13</v>
      </c>
      <c r="M126" s="1" t="e">
        <f>#REF!</f>
        <v>#REF!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e">
        <f>#REF!</f>
        <v>#REF!</v>
      </c>
    </row>
    <row r="127" spans="12:15" x14ac:dyDescent="0.25">
      <c r="L127">
        <v>14</v>
      </c>
      <c r="M127" s="1" t="e">
        <f>#REF!</f>
        <v>#REF!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e">
        <f>#REF!</f>
        <v>#REF!</v>
      </c>
    </row>
    <row r="128" spans="12:15" x14ac:dyDescent="0.25">
      <c r="L128">
        <v>15</v>
      </c>
      <c r="M128" s="1">
        <f>E92</f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>B92</f>
        <v/>
      </c>
    </row>
    <row r="129" spans="12:15" x14ac:dyDescent="0.25">
      <c r="L129" s="22">
        <v>1</v>
      </c>
      <c r="M129" s="23">
        <f>IFERROR(IF(VLOOKUP("&gt;100%",N9:O128,2,0)&lt;&gt;"",0,100.01%),100.01%)</f>
        <v>0</v>
      </c>
      <c r="N129" s="22" t="str" cm="1">
        <f t="array" ref="N129">IFERROR(_xlfn.IFS(M129&gt;100%,"&gt;100%",AND(M129&lt;100%,M129&gt;70%),"&gt;70%",AND(M129&lt;70%,M129&gt;40%),"&gt;40%",AND(M129&lt;40%,M129&gt;0%),"&gt;0%"),"")</f>
        <v/>
      </c>
      <c r="O129" s="22" t="str">
        <f>IF(DATA_NOVIEMBRE[[#This Row],[CLASIFICACIÓN]]="","","SIN APLICACIONES")</f>
        <v/>
      </c>
    </row>
    <row r="130" spans="12:15" x14ac:dyDescent="0.25">
      <c r="L130" s="22">
        <v>2</v>
      </c>
      <c r="M130" s="23">
        <f>IFERROR(IF(VLOOKUP("&gt;70%",N9:O128,2,0)&lt;&gt;"",0,70.01%),70.01%)</f>
        <v>0.70010000000000006</v>
      </c>
      <c r="N130" s="22" t="str" cm="1">
        <f t="array" ref="N130">IFERROR(_xlfn.IFS(M130&gt;100%,"&gt;100%",AND(M130&lt;100%,M130&gt;70%),"&gt;70%",AND(M130&lt;70%,M130&gt;40%),"&gt;40%",AND(M130&lt;40%,M130&gt;0%),"&gt;0%"),"")</f>
        <v>&gt;70%</v>
      </c>
      <c r="O130" s="22" t="str">
        <f>IF(DATA_NOVIEMBRE[[#This Row],[CLASIFICACIÓN]]="","","SIN APLICACIONES")</f>
        <v>SIN APLICACIONES</v>
      </c>
    </row>
    <row r="131" spans="12:15" x14ac:dyDescent="0.25">
      <c r="L131" s="22">
        <v>3</v>
      </c>
      <c r="M131" s="23">
        <f>IFERROR(IF(VLOOKUP("&gt;40%",N9:O128,2,0)&lt;&gt;"",0,40.01%),40.01%)</f>
        <v>0</v>
      </c>
      <c r="N131" s="22" t="str" cm="1">
        <f t="array" ref="N131">IFERROR(_xlfn.IFS(M131&gt;100%,"&gt;100%",AND(M131&lt;100%,M131&gt;70%),"&gt;70%",AND(M131&lt;70%,M131&gt;40%),"&gt;40%",AND(M131&lt;40%,M131&gt;0%),"&gt;0%"),"")</f>
        <v/>
      </c>
      <c r="O131" s="22" t="str">
        <f>IF(DATA_NOVIEMBRE[[#This Row],[CLASIFICACIÓN]]="","","SIN APLICACIONES")</f>
        <v/>
      </c>
    </row>
  </sheetData>
  <mergeCells count="9">
    <mergeCell ref="AE5:AI5"/>
    <mergeCell ref="AK5:AM5"/>
    <mergeCell ref="AP5:AW5"/>
    <mergeCell ref="AY5:BC5"/>
    <mergeCell ref="R1:AA3"/>
    <mergeCell ref="R5:S5"/>
    <mergeCell ref="U5:V5"/>
    <mergeCell ref="X5:Y5"/>
    <mergeCell ref="AA5:AB5"/>
  </mergeCells>
  <conditionalFormatting pivot="1" sqref="S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8">
    <cfRule type="colorScale" priority="10">
      <colorScale>
        <cfvo type="min"/>
        <cfvo type="max"/>
        <color rgb="FFFCFCFF"/>
        <color rgb="FF63BE7B"/>
      </colorScale>
    </cfRule>
  </conditionalFormatting>
  <conditionalFormatting pivot="1" sqref="AB8:AB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8">
    <cfRule type="colorScale" priority="9">
      <colorScale>
        <cfvo type="min"/>
        <cfvo type="max"/>
        <color rgb="FFFCFCFF"/>
        <color rgb="FFFFFF00"/>
      </colorScale>
    </cfRule>
  </conditionalFormatting>
  <conditionalFormatting pivot="1" sqref="Y8:Y11">
    <cfRule type="colorScale" priority="8">
      <colorScale>
        <cfvo type="min"/>
        <cfvo type="max"/>
        <color rgb="FFFCFCFF"/>
        <color rgb="FFFFC000"/>
      </colorScale>
    </cfRule>
  </conditionalFormatting>
  <conditionalFormatting pivot="1" sqref="AB8:AB63">
    <cfRule type="colorScale" priority="6">
      <colorScale>
        <cfvo type="min"/>
        <cfvo type="max"/>
        <color rgb="FFFCFCFF"/>
        <color rgb="FFF8696B"/>
      </colorScale>
    </cfRule>
  </conditionalFormatting>
  <conditionalFormatting sqref="R1:R63">
    <cfRule type="containsText" dxfId="37" priority="3" operator="containsText" text="SIN APLICACIONES">
      <formula>NOT(ISERROR(SEARCH("SIN APLICACIONES",R1)))</formula>
    </cfRule>
  </conditionalFormatting>
  <conditionalFormatting sqref="U1:U63">
    <cfRule type="containsText" dxfId="36" priority="4" operator="containsText" text="SIN APLICACIONES">
      <formula>NOT(ISERROR(SEARCH("SIN APLICACIONES",U1)))</formula>
    </cfRule>
  </conditionalFormatting>
  <conditionalFormatting sqref="X1:X63">
    <cfRule type="containsText" dxfId="35" priority="5" operator="containsText" text="SIN APLICACIONES">
      <formula>NOT(ISERROR(SEARCH("SIN APLICACIONES",X1)))</formula>
    </cfRule>
  </conditionalFormatting>
  <conditionalFormatting sqref="AQ7:AV7">
    <cfRule type="duplicateValues" dxfId="34" priority="1"/>
  </conditionalFormatting>
  <conditionalFormatting sqref="AZ7:BB14">
    <cfRule type="duplicateValues" dxfId="33" priority="2"/>
  </conditionalFormatting>
  <pageMargins left="0.7" right="0.7" top="0.75" bottom="0.75" header="0.3" footer="0.3"/>
  <tableParts count="4">
    <tablePart r:id="rId5"/>
    <tablePart r:id="rId6"/>
    <tablePart r:id="rId7"/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2025-11-11T21:22:01Z</dcterms:modified>
</cp:coreProperties>
</file>