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8_{0951DB80-3FDB-4D6E-A7DC-CA58A817EEBB}" xr6:coauthVersionLast="47" xr6:coauthVersionMax="47" xr10:uidLastSave="{00000000-0000-0000-0000-000000000000}"/>
  <bookViews>
    <workbookView xWindow="-120" yWindow="-120" windowWidth="20730" windowHeight="11040" firstSheet="14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20" r:id="rId19"/>
    <sheet name="METAS" sheetId="22" r:id="rId20"/>
  </sheets>
  <definedNames>
    <definedName name="_xlnm._FilterDatabase" localSheetId="8" hidden="1">JULIO_2025!#REF!</definedName>
    <definedName name="DatosExternos_1" localSheetId="17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7" l="1" a="1"/>
  <c r="C25" i="17" s="1"/>
  <c r="C26" i="17" a="1"/>
  <c r="C26" i="17" s="1"/>
  <c r="C27" i="17" a="1"/>
  <c r="C27" i="17" s="1"/>
  <c r="C28" i="17" a="1"/>
  <c r="C28" i="17" s="1"/>
  <c r="C29" i="17" a="1"/>
  <c r="C29" i="17" s="1"/>
  <c r="C30" i="17" a="1"/>
  <c r="C30" i="17" s="1"/>
  <c r="C56" i="17" a="1"/>
  <c r="C56" i="17" s="1"/>
  <c r="C57" i="17" a="1"/>
  <c r="C57" i="17" s="1"/>
  <c r="C58" i="17" a="1"/>
  <c r="C58" i="17" s="1"/>
  <c r="C59" i="17" a="1"/>
  <c r="C59" i="17" s="1"/>
  <c r="C60" i="17" a="1"/>
  <c r="C60" i="17"/>
  <c r="P62" i="17"/>
  <c r="B56" i="17" a="1"/>
  <c r="B56" i="17"/>
  <c r="E56" i="17" s="1"/>
  <c r="B57" i="17" a="1"/>
  <c r="B57" i="17"/>
  <c r="J57" i="17" s="1"/>
  <c r="B58" i="17" a="1"/>
  <c r="B58" i="17"/>
  <c r="J58" i="17" s="1"/>
  <c r="B59" i="17" a="1"/>
  <c r="B59" i="17"/>
  <c r="J59" i="17" s="1"/>
  <c r="B60" i="17" a="1"/>
  <c r="B60" i="17" s="1"/>
  <c r="E58" i="17"/>
  <c r="I56" i="17"/>
  <c r="J56" i="17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F76" i="28"/>
  <c r="F65" i="28"/>
  <c r="F14" i="28"/>
  <c r="F26" i="28"/>
  <c r="F15" i="28"/>
  <c r="F34" i="28"/>
  <c r="F16" i="28"/>
  <c r="F90" i="28"/>
  <c r="F47" i="28"/>
  <c r="F91" i="28"/>
  <c r="F2" i="28"/>
  <c r="F17" i="28"/>
  <c r="F59" i="28"/>
  <c r="F86" i="28"/>
  <c r="F27" i="28"/>
  <c r="F44" i="28"/>
  <c r="F48" i="28"/>
  <c r="F3" i="28"/>
  <c r="F87" i="28"/>
  <c r="F66" i="28"/>
  <c r="F49" i="28"/>
  <c r="F18" i="28"/>
  <c r="F60" i="28"/>
  <c r="F4" i="28"/>
  <c r="F77" i="28"/>
  <c r="F5" i="28"/>
  <c r="F67" i="28"/>
  <c r="F19" i="28"/>
  <c r="F35" i="28"/>
  <c r="F102" i="28"/>
  <c r="F6" i="28"/>
  <c r="F92" i="28"/>
  <c r="F78" i="28"/>
  <c r="F61" i="28"/>
  <c r="F7" i="28"/>
  <c r="F36" i="28"/>
  <c r="F20" i="28"/>
  <c r="F68" i="28"/>
  <c r="F50" i="28"/>
  <c r="F69" i="28"/>
  <c r="F21" i="28"/>
  <c r="F79" i="28"/>
  <c r="F28" i="28"/>
  <c r="F51" i="28"/>
  <c r="F8" i="28"/>
  <c r="F45" i="28"/>
  <c r="F22" i="28"/>
  <c r="F52" i="28"/>
  <c r="F80" i="28"/>
  <c r="F81" i="28"/>
  <c r="F70" i="28"/>
  <c r="F93" i="28"/>
  <c r="F29" i="28"/>
  <c r="F94" i="28"/>
  <c r="F71" i="28"/>
  <c r="F37" i="28"/>
  <c r="F46" i="28"/>
  <c r="F9" i="28"/>
  <c r="F82" i="28"/>
  <c r="F72" i="28"/>
  <c r="F62" i="28"/>
  <c r="F95" i="28"/>
  <c r="F10" i="28"/>
  <c r="F38" i="28"/>
  <c r="F83" i="28"/>
  <c r="F53" i="28"/>
  <c r="F39" i="28"/>
  <c r="F103" i="28"/>
  <c r="F96" i="28"/>
  <c r="F11" i="28"/>
  <c r="F88" i="28"/>
  <c r="F23" i="28"/>
  <c r="F24" i="28"/>
  <c r="F30" i="28"/>
  <c r="F54" i="28"/>
  <c r="F97" i="28"/>
  <c r="F73" i="28"/>
  <c r="F74" i="28"/>
  <c r="F98" i="28"/>
  <c r="F25" i="28"/>
  <c r="F75" i="28"/>
  <c r="F63" i="28"/>
  <c r="F84" i="28"/>
  <c r="F85" i="28"/>
  <c r="F99" i="28"/>
  <c r="F31" i="28"/>
  <c r="F32" i="28"/>
  <c r="F12" i="28"/>
  <c r="F33" i="28"/>
  <c r="F100" i="28"/>
  <c r="F55" i="28"/>
  <c r="F101" i="28"/>
  <c r="F40" i="28"/>
  <c r="F56" i="28"/>
  <c r="F89" i="28"/>
  <c r="F57" i="28"/>
  <c r="F41" i="28"/>
  <c r="F104" i="28"/>
  <c r="F42" i="28"/>
  <c r="F105" i="28"/>
  <c r="F64" i="28"/>
  <c r="F43" i="28"/>
  <c r="F13" i="28"/>
  <c r="F58" i="28"/>
  <c r="G76" i="28"/>
  <c r="G65" i="28"/>
  <c r="G14" i="28"/>
  <c r="G26" i="28"/>
  <c r="G15" i="28"/>
  <c r="G34" i="28"/>
  <c r="G16" i="28"/>
  <c r="G90" i="28"/>
  <c r="G47" i="28"/>
  <c r="G91" i="28"/>
  <c r="G2" i="28"/>
  <c r="G17" i="28"/>
  <c r="G59" i="28"/>
  <c r="G86" i="28"/>
  <c r="G27" i="28"/>
  <c r="G44" i="28"/>
  <c r="G48" i="28"/>
  <c r="G3" i="28"/>
  <c r="G87" i="28"/>
  <c r="G66" i="28"/>
  <c r="G49" i="28"/>
  <c r="G18" i="28"/>
  <c r="G60" i="28"/>
  <c r="G4" i="28"/>
  <c r="G77" i="28"/>
  <c r="G5" i="28"/>
  <c r="G67" i="28"/>
  <c r="G19" i="28"/>
  <c r="G35" i="28"/>
  <c r="G102" i="28"/>
  <c r="G6" i="28"/>
  <c r="G92" i="28"/>
  <c r="G78" i="28"/>
  <c r="G61" i="28"/>
  <c r="G7" i="28"/>
  <c r="G36" i="28"/>
  <c r="G20" i="28"/>
  <c r="G68" i="28"/>
  <c r="G50" i="28"/>
  <c r="G69" i="28"/>
  <c r="G21" i="28"/>
  <c r="G79" i="28"/>
  <c r="G28" i="28"/>
  <c r="G51" i="28"/>
  <c r="G8" i="28"/>
  <c r="G45" i="28"/>
  <c r="G22" i="28"/>
  <c r="G52" i="28"/>
  <c r="G80" i="28"/>
  <c r="G81" i="28"/>
  <c r="G70" i="28"/>
  <c r="G93" i="28"/>
  <c r="G29" i="28"/>
  <c r="G94" i="28"/>
  <c r="G71" i="28"/>
  <c r="G37" i="28"/>
  <c r="G46" i="28"/>
  <c r="G9" i="28"/>
  <c r="G82" i="28"/>
  <c r="G72" i="28"/>
  <c r="G62" i="28"/>
  <c r="G95" i="28"/>
  <c r="G10" i="28"/>
  <c r="G38" i="28"/>
  <c r="G83" i="28"/>
  <c r="G53" i="28"/>
  <c r="G39" i="28"/>
  <c r="G103" i="28"/>
  <c r="G96" i="28"/>
  <c r="G11" i="28"/>
  <c r="G88" i="28"/>
  <c r="G23" i="28"/>
  <c r="G24" i="28"/>
  <c r="G30" i="28"/>
  <c r="G54" i="28"/>
  <c r="G97" i="28"/>
  <c r="G73" i="28"/>
  <c r="G74" i="28"/>
  <c r="G98" i="28"/>
  <c r="G25" i="28"/>
  <c r="G75" i="28"/>
  <c r="G63" i="28"/>
  <c r="G84" i="28"/>
  <c r="G85" i="28"/>
  <c r="G99" i="28"/>
  <c r="G31" i="28"/>
  <c r="G32" i="28"/>
  <c r="G12" i="28"/>
  <c r="G33" i="28"/>
  <c r="G100" i="28"/>
  <c r="G55" i="28"/>
  <c r="G101" i="28"/>
  <c r="G40" i="28"/>
  <c r="G56" i="28"/>
  <c r="G89" i="28"/>
  <c r="G57" i="28"/>
  <c r="G41" i="28"/>
  <c r="G104" i="28"/>
  <c r="G42" i="28"/>
  <c r="G105" i="28"/>
  <c r="G64" i="28"/>
  <c r="G43" i="28"/>
  <c r="G13" i="28"/>
  <c r="G58" i="28"/>
  <c r="I58" i="17" l="1"/>
  <c r="I57" i="17"/>
  <c r="A56" i="17"/>
  <c r="E60" i="17"/>
  <c r="A60" i="17"/>
  <c r="I60" i="17"/>
  <c r="H56" i="17"/>
  <c r="E59" i="17"/>
  <c r="E57" i="17"/>
  <c r="A59" i="17"/>
  <c r="A58" i="17"/>
  <c r="I59" i="17"/>
  <c r="A57" i="17"/>
  <c r="H60" i="17"/>
  <c r="H59" i="17"/>
  <c r="J60" i="17"/>
  <c r="H58" i="17"/>
  <c r="H57" i="17"/>
  <c r="P31" i="17"/>
  <c r="P30" i="17"/>
  <c r="P29" i="17"/>
  <c r="P20" i="17"/>
  <c r="P54" i="17"/>
  <c r="P43" i="17"/>
  <c r="P19" i="17"/>
  <c r="P53" i="17"/>
  <c r="P42" i="17"/>
  <c r="P18" i="17"/>
  <c r="P17" i="17"/>
  <c r="P50" i="17"/>
  <c r="P38" i="17"/>
  <c r="P26" i="17"/>
  <c r="P14" i="17"/>
  <c r="P49" i="17"/>
  <c r="P25" i="17"/>
  <c r="P59" i="17"/>
  <c r="P48" i="17"/>
  <c r="P24" i="17"/>
  <c r="P12" i="17"/>
  <c r="P58" i="17"/>
  <c r="P47" i="17"/>
  <c r="P35" i="17"/>
  <c r="P23" i="17"/>
  <c r="P11" i="17"/>
  <c r="P57" i="17"/>
  <c r="P46" i="17"/>
  <c r="P34" i="17"/>
  <c r="P22" i="17"/>
  <c r="P10" i="17"/>
  <c r="P56" i="17"/>
  <c r="P45" i="17"/>
  <c r="P33" i="17"/>
  <c r="P21" i="17"/>
  <c r="P52" i="17"/>
  <c r="P41" i="17"/>
  <c r="P51" i="17"/>
  <c r="P40" i="17"/>
  <c r="P28" i="17"/>
  <c r="P16" i="17"/>
  <c r="P9" i="17"/>
  <c r="P39" i="17"/>
  <c r="P27" i="17"/>
  <c r="P15" i="17"/>
  <c r="P61" i="17"/>
  <c r="P60" i="17"/>
  <c r="P37" i="17"/>
  <c r="P13" i="17"/>
  <c r="P36" i="17"/>
  <c r="P55" i="17"/>
  <c r="P44" i="17"/>
  <c r="P32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/>
  <c r="B44" i="33" a="1"/>
  <c r="P43" i="33"/>
  <c r="B43" i="33"/>
  <c r="B43" i="33" a="1"/>
  <c r="P42" i="33"/>
  <c r="B42" i="33"/>
  <c r="B42" i="33" a="1"/>
  <c r="P41" i="33"/>
  <c r="B41" i="33" a="1"/>
  <c r="B41" i="33" s="1"/>
  <c r="P40" i="33"/>
  <c r="B40" i="33"/>
  <c r="B40" i="33" a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/>
  <c r="B34" i="33" a="1"/>
  <c r="P33" i="33"/>
  <c r="B33" i="33" a="1"/>
  <c r="B33" i="33" s="1"/>
  <c r="P32" i="33"/>
  <c r="B32" i="33" a="1"/>
  <c r="B32" i="33" s="1"/>
  <c r="P31" i="33"/>
  <c r="B31" i="33"/>
  <c r="B31" i="33" a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/>
  <c r="B25" i="33" a="1"/>
  <c r="P24" i="33"/>
  <c r="B24" i="33"/>
  <c r="B24" i="33" a="1"/>
  <c r="P23" i="33"/>
  <c r="B23" i="33" a="1"/>
  <c r="B23" i="33" s="1"/>
  <c r="P22" i="33"/>
  <c r="B22" i="33"/>
  <c r="B22" i="33" a="1"/>
  <c r="P21" i="33"/>
  <c r="B21" i="33" a="1"/>
  <c r="B21" i="33" s="1"/>
  <c r="P20" i="33"/>
  <c r="B20" i="33"/>
  <c r="B20" i="33" a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/>
  <c r="B16" i="33" a="1"/>
  <c r="P15" i="33"/>
  <c r="B15" i="33"/>
  <c r="B15" i="33" a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/>
  <c r="B11" i="33" a="1"/>
  <c r="P10" i="33"/>
  <c r="B10" i="33"/>
  <c r="B10" i="33" a="1"/>
  <c r="P9" i="33"/>
  <c r="B9" i="33" a="1"/>
  <c r="B9" i="33" s="1"/>
  <c r="B8" i="33" a="1"/>
  <c r="B8" i="33" s="1"/>
  <c r="B7" i="33"/>
  <c r="B7" i="33" a="1"/>
  <c r="B6" i="33" a="1"/>
  <c r="B6" i="33" s="1"/>
  <c r="A6" i="33" s="1"/>
  <c r="B5" i="33" a="1"/>
  <c r="B5" i="33" s="1"/>
  <c r="B4" i="33"/>
  <c r="B4" i="33" a="1"/>
  <c r="B3" i="33" a="1"/>
  <c r="B3" i="33" s="1"/>
  <c r="D18" i="30"/>
  <c r="D40" i="30"/>
  <c r="D52" i="30"/>
  <c r="D53" i="30"/>
  <c r="D54" i="30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D55" i="30"/>
  <c r="D31" i="30"/>
  <c r="D43" i="30"/>
  <c r="D28" i="30"/>
  <c r="D17" i="30"/>
  <c r="D19" i="30"/>
  <c r="D7" i="30"/>
  <c r="D8" i="30"/>
  <c r="D9" i="30"/>
  <c r="D10" i="30"/>
  <c r="C7" i="30"/>
  <c r="C8" i="30"/>
  <c r="C9" i="30"/>
  <c r="C10" i="30"/>
  <c r="C11" i="30"/>
  <c r="D11" i="30" s="1"/>
  <c r="C12" i="30"/>
  <c r="D12" i="30" s="1"/>
  <c r="C13" i="30"/>
  <c r="C14" i="30"/>
  <c r="C15" i="30"/>
  <c r="C16" i="30"/>
  <c r="C17" i="30"/>
  <c r="C18" i="30"/>
  <c r="C19" i="30"/>
  <c r="C20" i="30"/>
  <c r="D20" i="30" s="1"/>
  <c r="C21" i="30"/>
  <c r="C22" i="30"/>
  <c r="D22" i="30" s="1"/>
  <c r="C23" i="30"/>
  <c r="D23" i="30" s="1"/>
  <c r="C24" i="30"/>
  <c r="D24" i="30" s="1"/>
  <c r="C25" i="30"/>
  <c r="C26" i="30"/>
  <c r="C27" i="30"/>
  <c r="C28" i="30"/>
  <c r="C29" i="30"/>
  <c r="C30" i="30"/>
  <c r="C31" i="30"/>
  <c r="C32" i="30"/>
  <c r="D32" i="30" s="1"/>
  <c r="C33" i="30"/>
  <c r="D33" i="30" s="1"/>
  <c r="C34" i="30"/>
  <c r="D34" i="30" s="1"/>
  <c r="C35" i="30"/>
  <c r="D35" i="30" s="1"/>
  <c r="C36" i="30"/>
  <c r="D36" i="30" s="1"/>
  <c r="C37" i="30"/>
  <c r="C38" i="30"/>
  <c r="C39" i="30"/>
  <c r="C40" i="30"/>
  <c r="C41" i="30"/>
  <c r="C42" i="30"/>
  <c r="C43" i="30"/>
  <c r="C44" i="30"/>
  <c r="D44" i="30" s="1"/>
  <c r="C45" i="30"/>
  <c r="D45" i="30" s="1"/>
  <c r="C46" i="30"/>
  <c r="D46" i="30" s="1"/>
  <c r="C47" i="30"/>
  <c r="D47" i="30" s="1"/>
  <c r="C48" i="30"/>
  <c r="D48" i="30" s="1"/>
  <c r="C49" i="30"/>
  <c r="C50" i="30"/>
  <c r="C51" i="30"/>
  <c r="C52" i="30"/>
  <c r="C53" i="30"/>
  <c r="C54" i="30"/>
  <c r="C55" i="30"/>
  <c r="C56" i="30"/>
  <c r="D56" i="30" s="1"/>
  <c r="C6" i="30"/>
  <c r="D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O14" i="33" l="1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A55" i="17"/>
  <c r="C55" i="17" s="1" a="1"/>
  <c r="C55" i="17" s="1"/>
  <c r="E55" i="17"/>
  <c r="H55" i="17"/>
  <c r="I55" i="17"/>
  <c r="J55" i="17"/>
  <c r="A54" i="17"/>
  <c r="C54" i="17" s="1" a="1"/>
  <c r="C54" i="17" s="1"/>
  <c r="E54" i="17"/>
  <c r="J54" i="17"/>
  <c r="I54" i="17"/>
  <c r="H54" i="17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3" i="17"/>
  <c r="C53" i="17" s="1" a="1"/>
  <c r="C53" i="17" s="1"/>
  <c r="J53" i="17"/>
  <c r="A52" i="17"/>
  <c r="C52" i="17" s="1" a="1"/>
  <c r="C52" i="17" s="1"/>
  <c r="E52" i="17"/>
  <c r="J52" i="17"/>
  <c r="E53" i="17"/>
  <c r="I53" i="17"/>
  <c r="I52" i="17"/>
  <c r="H53" i="17"/>
  <c r="H52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E18" i="17"/>
  <c r="E17" i="17"/>
  <c r="E16" i="17"/>
  <c r="E15" i="17"/>
  <c r="E14" i="17"/>
  <c r="E13" i="17"/>
  <c r="E12" i="17"/>
  <c r="E11" i="17"/>
  <c r="E10" i="17"/>
  <c r="E9" i="17"/>
  <c r="E8" i="17"/>
  <c r="E7" i="17"/>
  <c r="J6" i="17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D55" i="17" l="1"/>
  <c r="D57" i="17"/>
  <c r="D56" i="17"/>
  <c r="D60" i="17"/>
  <c r="D59" i="17"/>
  <c r="D54" i="17"/>
  <c r="D58" i="17"/>
  <c r="C8" i="33"/>
  <c r="D8" i="33" s="1"/>
  <c r="O57" i="17"/>
  <c r="AO57" i="17" s="1"/>
  <c r="O58" i="17"/>
  <c r="AO58" i="17" s="1"/>
  <c r="O59" i="17"/>
  <c r="AO59" i="17" s="1"/>
  <c r="O60" i="17"/>
  <c r="AO60" i="17" s="1"/>
  <c r="O9" i="17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BQ9" i="17"/>
  <c r="AR9" i="17" s="1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BQ13" i="17"/>
  <c r="AR13" i="17" s="1"/>
  <c r="AZ11" i="33"/>
  <c r="AZ9" i="33"/>
  <c r="BQ12" i="17"/>
  <c r="AR12" i="17" s="1"/>
  <c r="AZ13" i="33"/>
  <c r="BQ11" i="17"/>
  <c r="AR11" i="17" s="1"/>
  <c r="BQ10" i="17"/>
  <c r="AR10" i="17" s="1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O56" i="17"/>
  <c r="AO56" i="17" s="1"/>
  <c r="D53" i="17"/>
  <c r="D52" i="17"/>
  <c r="H38" i="17"/>
  <c r="A10" i="17"/>
  <c r="J11" i="17"/>
  <c r="E45" i="17"/>
  <c r="O61" i="17" s="1"/>
  <c r="AO61" i="17" s="1"/>
  <c r="J14" i="17"/>
  <c r="E46" i="17"/>
  <c r="E47" i="17"/>
  <c r="O62" i="17" s="1"/>
  <c r="AO62" i="17" s="1"/>
  <c r="A37" i="17"/>
  <c r="C37" i="17" s="1" a="1"/>
  <c r="C37" i="17" s="1"/>
  <c r="E48" i="17"/>
  <c r="A50" i="17"/>
  <c r="C50" i="17" s="1" a="1"/>
  <c r="C50" i="17" s="1"/>
  <c r="J23" i="17"/>
  <c r="A8" i="17"/>
  <c r="H30" i="17"/>
  <c r="J3" i="17"/>
  <c r="AQ9" i="17"/>
  <c r="AZ15" i="18"/>
  <c r="BB15" i="18" s="1"/>
  <c r="A6" i="17"/>
  <c r="AZ11" i="18"/>
  <c r="BB11" i="18" s="1"/>
  <c r="AQ11" i="17"/>
  <c r="CI13" i="18"/>
  <c r="AQ13" i="17"/>
  <c r="AZ16" i="18"/>
  <c r="BB16" i="18" s="1"/>
  <c r="CI11" i="18"/>
  <c r="AZ14" i="18"/>
  <c r="BB14" i="18" s="1"/>
  <c r="CI10" i="18"/>
  <c r="CI15" i="18"/>
  <c r="CI16" i="18"/>
  <c r="CI9" i="18"/>
  <c r="AQ12" i="17"/>
  <c r="AZ12" i="18"/>
  <c r="BB12" i="18" s="1"/>
  <c r="CI14" i="18"/>
  <c r="AZ13" i="18"/>
  <c r="BB13" i="18" s="1"/>
  <c r="AZ9" i="18"/>
  <c r="BB9" i="18" s="1"/>
  <c r="AQ10" i="17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1" i="17"/>
  <c r="E50" i="17"/>
  <c r="O53" i="17" s="1"/>
  <c r="AO53" i="17" s="1"/>
  <c r="A13" i="17"/>
  <c r="A30" i="17"/>
  <c r="D30" i="17" s="1"/>
  <c r="A14" i="17"/>
  <c r="E30" i="17"/>
  <c r="A16" i="17"/>
  <c r="C16" i="17" s="1" a="1"/>
  <c r="C16" i="17" s="1"/>
  <c r="J16" i="17"/>
  <c r="I16" i="17"/>
  <c r="J17" i="17"/>
  <c r="A17" i="17"/>
  <c r="A5" i="17"/>
  <c r="I5" i="17"/>
  <c r="J5" i="17"/>
  <c r="H5" i="17"/>
  <c r="E38" i="17"/>
  <c r="H8" i="17"/>
  <c r="I8" i="17"/>
  <c r="J8" i="17"/>
  <c r="A23" i="17"/>
  <c r="C23" i="17" s="1" a="1"/>
  <c r="C23" i="17" s="1"/>
  <c r="J4" i="17"/>
  <c r="I4" i="17"/>
  <c r="H4" i="17"/>
  <c r="E4" i="17"/>
  <c r="A4" i="17"/>
  <c r="A18" i="17"/>
  <c r="C18" i="17" s="1" a="1"/>
  <c r="C18" i="17" s="1"/>
  <c r="J18" i="17"/>
  <c r="I18" i="17"/>
  <c r="H18" i="17"/>
  <c r="I21" i="17"/>
  <c r="H21" i="17"/>
  <c r="A21" i="17"/>
  <c r="C21" i="17" s="1" a="1"/>
  <c r="C21" i="17" s="1"/>
  <c r="J21" i="17"/>
  <c r="E21" i="17"/>
  <c r="I9" i="17"/>
  <c r="J9" i="17"/>
  <c r="H9" i="17"/>
  <c r="A9" i="17"/>
  <c r="J12" i="17"/>
  <c r="I12" i="17"/>
  <c r="H12" i="17"/>
  <c r="A12" i="17"/>
  <c r="C12" i="17" s="1" a="1"/>
  <c r="C12" i="17" s="1"/>
  <c r="J26" i="17"/>
  <c r="E26" i="17"/>
  <c r="A26" i="17"/>
  <c r="D26" i="17" s="1"/>
  <c r="I26" i="17"/>
  <c r="H26" i="17"/>
  <c r="J29" i="17"/>
  <c r="I29" i="17"/>
  <c r="H29" i="17"/>
  <c r="E29" i="17"/>
  <c r="A29" i="17"/>
  <c r="D29" i="17" s="1"/>
  <c r="A31" i="17"/>
  <c r="J31" i="17"/>
  <c r="I31" i="17"/>
  <c r="E31" i="17"/>
  <c r="H31" i="17"/>
  <c r="J39" i="17"/>
  <c r="I39" i="17"/>
  <c r="E39" i="17"/>
  <c r="A39" i="17"/>
  <c r="C39" i="17" s="1" a="1"/>
  <c r="C39" i="17" s="1"/>
  <c r="H39" i="17"/>
  <c r="J46" i="17"/>
  <c r="I46" i="17"/>
  <c r="H46" i="17"/>
  <c r="A46" i="17"/>
  <c r="C46" i="17" s="1" a="1"/>
  <c r="C46" i="17" s="1"/>
  <c r="E49" i="17"/>
  <c r="J49" i="17"/>
  <c r="I49" i="17"/>
  <c r="A49" i="17"/>
  <c r="C49" i="17" s="1" a="1"/>
  <c r="C49" i="17" s="1"/>
  <c r="H49" i="17"/>
  <c r="A19" i="17"/>
  <c r="C19" i="17" s="1" a="1"/>
  <c r="C19" i="17" s="1"/>
  <c r="J19" i="17"/>
  <c r="I19" i="17"/>
  <c r="H19" i="17"/>
  <c r="E19" i="17"/>
  <c r="E22" i="17"/>
  <c r="J22" i="17"/>
  <c r="I22" i="17"/>
  <c r="H22" i="17"/>
  <c r="A22" i="17"/>
  <c r="C22" i="17" s="1" a="1"/>
  <c r="C22" i="17" s="1"/>
  <c r="A25" i="17"/>
  <c r="J25" i="17"/>
  <c r="I25" i="17"/>
  <c r="H25" i="17"/>
  <c r="E25" i="17"/>
  <c r="E28" i="17"/>
  <c r="J28" i="17"/>
  <c r="I28" i="17"/>
  <c r="H28" i="17"/>
  <c r="A28" i="17"/>
  <c r="D28" i="17" s="1"/>
  <c r="J33" i="17"/>
  <c r="I33" i="17"/>
  <c r="H33" i="17"/>
  <c r="E33" i="17"/>
  <c r="A33" i="17"/>
  <c r="J7" i="17"/>
  <c r="I7" i="17"/>
  <c r="H7" i="17"/>
  <c r="A7" i="17"/>
  <c r="J36" i="17"/>
  <c r="I36" i="17"/>
  <c r="H36" i="17"/>
  <c r="E36" i="17"/>
  <c r="A36" i="17"/>
  <c r="C36" i="17" s="1" a="1"/>
  <c r="C36" i="17" s="1"/>
  <c r="J41" i="17"/>
  <c r="I41" i="17"/>
  <c r="H41" i="17"/>
  <c r="E41" i="17"/>
  <c r="A41" i="17"/>
  <c r="H48" i="17"/>
  <c r="J48" i="17"/>
  <c r="I48" i="17"/>
  <c r="A48" i="17"/>
  <c r="C48" i="17" s="1" a="1"/>
  <c r="C48" i="17" s="1"/>
  <c r="A24" i="17"/>
  <c r="C24" i="17" s="1" a="1"/>
  <c r="C24" i="17" s="1"/>
  <c r="J24" i="17"/>
  <c r="I24" i="17"/>
  <c r="H24" i="17"/>
  <c r="E24" i="17"/>
  <c r="I27" i="17"/>
  <c r="H27" i="17"/>
  <c r="J27" i="17"/>
  <c r="E27" i="17"/>
  <c r="A27" i="17"/>
  <c r="D27" i="17" s="1"/>
  <c r="A32" i="17"/>
  <c r="J32" i="17"/>
  <c r="I32" i="17"/>
  <c r="H32" i="17"/>
  <c r="E32" i="17"/>
  <c r="H35" i="17"/>
  <c r="E35" i="17"/>
  <c r="I35" i="17"/>
  <c r="A35" i="17"/>
  <c r="J35" i="17"/>
  <c r="J40" i="17"/>
  <c r="I40" i="17"/>
  <c r="H40" i="17"/>
  <c r="E40" i="17"/>
  <c r="A40" i="17"/>
  <c r="J47" i="17"/>
  <c r="I47" i="17"/>
  <c r="H47" i="17"/>
  <c r="A47" i="17"/>
  <c r="C47" i="17" s="1" a="1"/>
  <c r="C47" i="17" s="1"/>
  <c r="J20" i="17"/>
  <c r="I20" i="17"/>
  <c r="A20" i="17"/>
  <c r="H20" i="17"/>
  <c r="E20" i="17"/>
  <c r="J43" i="17"/>
  <c r="I43" i="17"/>
  <c r="E43" i="17"/>
  <c r="A43" i="17"/>
  <c r="H43" i="17"/>
  <c r="I34" i="17"/>
  <c r="H34" i="17"/>
  <c r="J34" i="17"/>
  <c r="H42" i="17"/>
  <c r="E42" i="17"/>
  <c r="J42" i="17"/>
  <c r="J45" i="17"/>
  <c r="I45" i="17"/>
  <c r="H45" i="17"/>
  <c r="J37" i="17"/>
  <c r="I37" i="17"/>
  <c r="J10" i="17"/>
  <c r="I10" i="17"/>
  <c r="H10" i="17"/>
  <c r="I15" i="17"/>
  <c r="A15" i="17"/>
  <c r="C15" i="17" s="1" a="1"/>
  <c r="C15" i="17" s="1"/>
  <c r="E34" i="17"/>
  <c r="I42" i="17"/>
  <c r="A44" i="17"/>
  <c r="C44" i="17" s="1" a="1"/>
  <c r="C44" i="17" s="1"/>
  <c r="J44" i="17"/>
  <c r="I44" i="17"/>
  <c r="H44" i="17"/>
  <c r="H11" i="17"/>
  <c r="E37" i="17"/>
  <c r="E6" i="17"/>
  <c r="I11" i="17"/>
  <c r="E23" i="17"/>
  <c r="H37" i="17"/>
  <c r="E44" i="17"/>
  <c r="H6" i="17"/>
  <c r="H15" i="17"/>
  <c r="H23" i="17"/>
  <c r="A51" i="17"/>
  <c r="C51" i="17" s="1" a="1"/>
  <c r="C51" i="17" s="1"/>
  <c r="J51" i="17"/>
  <c r="I51" i="17"/>
  <c r="H51" i="17"/>
  <c r="E51" i="17"/>
  <c r="I6" i="17"/>
  <c r="H14" i="17"/>
  <c r="J15" i="17"/>
  <c r="I23" i="17"/>
  <c r="H3" i="17"/>
  <c r="E3" i="17"/>
  <c r="H13" i="17"/>
  <c r="I14" i="17"/>
  <c r="J50" i="17"/>
  <c r="I50" i="17"/>
  <c r="H50" i="17"/>
  <c r="I13" i="17"/>
  <c r="H17" i="17"/>
  <c r="A34" i="17"/>
  <c r="A42" i="17"/>
  <c r="C42" i="17" s="1" a="1"/>
  <c r="C42" i="17" s="1"/>
  <c r="A45" i="17"/>
  <c r="C45" i="17" s="1" a="1"/>
  <c r="C45" i="17" s="1"/>
  <c r="I3" i="17"/>
  <c r="E5" i="17"/>
  <c r="J13" i="17"/>
  <c r="H16" i="17"/>
  <c r="I17" i="17"/>
  <c r="J30" i="17"/>
  <c r="I30" i="17"/>
  <c r="A38" i="17"/>
  <c r="C38" i="17" s="1" a="1"/>
  <c r="C38" i="17" s="1"/>
  <c r="J38" i="17"/>
  <c r="I38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C35" i="17" l="1" a="1"/>
  <c r="C35" i="17" s="1"/>
  <c r="D35" i="17" s="1"/>
  <c r="C11" i="17" a="1"/>
  <c r="C11" i="17" s="1"/>
  <c r="D11" i="17" s="1"/>
  <c r="C34" i="17" a="1"/>
  <c r="C34" i="17" s="1"/>
  <c r="D34" i="17" s="1"/>
  <c r="C33" i="17" a="1"/>
  <c r="C33" i="17" s="1"/>
  <c r="D33" i="17" s="1"/>
  <c r="C43" i="17" a="1"/>
  <c r="C43" i="17" s="1"/>
  <c r="Q49" i="17" s="1"/>
  <c r="M49" i="17" s="1"/>
  <c r="N49" i="17" s="1" a="1"/>
  <c r="N49" i="17" s="1"/>
  <c r="C32" i="17" a="1"/>
  <c r="C32" i="17" s="1"/>
  <c r="D32" i="17" s="1"/>
  <c r="C7" i="17" a="1"/>
  <c r="C7" i="17" s="1"/>
  <c r="D7" i="17" s="1"/>
  <c r="O54" i="17"/>
  <c r="AO54" i="17" s="1"/>
  <c r="C10" i="17" a="1"/>
  <c r="C10" i="17" s="1"/>
  <c r="D10" i="17" s="1"/>
  <c r="O55" i="17"/>
  <c r="AO55" i="17" s="1"/>
  <c r="C13" i="17" a="1"/>
  <c r="C13" i="17" s="1"/>
  <c r="D13" i="17" s="1"/>
  <c r="C17" i="17" a="1"/>
  <c r="C17" i="17" s="1"/>
  <c r="D17" i="17" s="1"/>
  <c r="C40" i="17" a="1"/>
  <c r="C40" i="17" s="1"/>
  <c r="Q48" i="17" s="1"/>
  <c r="M48" i="17" s="1"/>
  <c r="C31" i="17" a="1"/>
  <c r="C31" i="17" s="1"/>
  <c r="D31" i="17" s="1"/>
  <c r="C14" i="17" a="1"/>
  <c r="C14" i="17" s="1"/>
  <c r="D14" i="17" s="1"/>
  <c r="C20" i="17" a="1"/>
  <c r="C20" i="17" s="1"/>
  <c r="D20" i="17" s="1"/>
  <c r="C41" i="17" a="1"/>
  <c r="C41" i="17" s="1"/>
  <c r="D41" i="17" s="1"/>
  <c r="C9" i="17" a="1"/>
  <c r="C9" i="17" s="1"/>
  <c r="D9" i="17" s="1"/>
  <c r="C8" i="17" a="1"/>
  <c r="C8" i="17" s="1"/>
  <c r="D8" i="17" s="1"/>
  <c r="D44" i="17"/>
  <c r="Q61" i="17"/>
  <c r="M61" i="17" s="1"/>
  <c r="N61" i="17" s="1" a="1"/>
  <c r="N61" i="17" s="1"/>
  <c r="D42" i="17"/>
  <c r="D39" i="17"/>
  <c r="D19" i="17"/>
  <c r="D50" i="17"/>
  <c r="Q62" i="17"/>
  <c r="M62" i="17" s="1"/>
  <c r="N62" i="17" s="1" a="1"/>
  <c r="N62" i="17" s="1"/>
  <c r="D38" i="17"/>
  <c r="D25" i="17"/>
  <c r="D49" i="17"/>
  <c r="D37" i="17"/>
  <c r="D36" i="17"/>
  <c r="D22" i="17"/>
  <c r="D21" i="17"/>
  <c r="D23" i="17"/>
  <c r="D24" i="17"/>
  <c r="D16" i="17"/>
  <c r="D51" i="17"/>
  <c r="Q52" i="17"/>
  <c r="M52" i="17" s="1"/>
  <c r="N52" i="17" s="1" a="1"/>
  <c r="N52" i="17" s="1"/>
  <c r="D46" i="17"/>
  <c r="Q59" i="17"/>
  <c r="M59" i="17" s="1"/>
  <c r="N59" i="17" s="1" a="1"/>
  <c r="N59" i="17" s="1"/>
  <c r="D12" i="17"/>
  <c r="O46" i="17"/>
  <c r="AO46" i="17" s="1"/>
  <c r="Q58" i="17"/>
  <c r="M58" i="17" s="1"/>
  <c r="N58" i="17" s="1" a="1"/>
  <c r="N58" i="17" s="1"/>
  <c r="Q9" i="33"/>
  <c r="M9" i="33" s="1"/>
  <c r="N9" i="33" s="1" a="1"/>
  <c r="N9" i="33" s="1"/>
  <c r="D39" i="33"/>
  <c r="Q57" i="17"/>
  <c r="M57" i="17" s="1"/>
  <c r="N57" i="17" s="1" a="1"/>
  <c r="N57" i="17" s="1"/>
  <c r="D16" i="33"/>
  <c r="BB13" i="33"/>
  <c r="D40" i="33"/>
  <c r="BB9" i="33"/>
  <c r="Q60" i="17"/>
  <c r="M60" i="17" s="1"/>
  <c r="N60" i="17" s="1" a="1"/>
  <c r="N60" i="17" s="1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O50" i="17"/>
  <c r="AO50" i="17" s="1"/>
  <c r="O51" i="17"/>
  <c r="AO51" i="17" s="1"/>
  <c r="O47" i="17"/>
  <c r="AO47" i="17" s="1"/>
  <c r="O52" i="17"/>
  <c r="AO52" i="17" s="1"/>
  <c r="O48" i="17"/>
  <c r="AO48" i="17" s="1"/>
  <c r="Q56" i="17"/>
  <c r="M56" i="17" s="1"/>
  <c r="N56" i="17" s="1" a="1"/>
  <c r="N56" i="17" s="1"/>
  <c r="O49" i="17"/>
  <c r="AO49" i="17" s="1"/>
  <c r="Q54" i="17"/>
  <c r="M54" i="17" s="1"/>
  <c r="N54" i="17" s="1" a="1"/>
  <c r="N54" i="17" s="1"/>
  <c r="Q51" i="17"/>
  <c r="M51" i="17" s="1"/>
  <c r="N51" i="17" s="1" a="1"/>
  <c r="N51" i="17" s="1"/>
  <c r="Q53" i="17"/>
  <c r="M53" i="17" s="1"/>
  <c r="Q50" i="17"/>
  <c r="M50" i="17" s="1"/>
  <c r="N50" i="17" s="1" a="1"/>
  <c r="N50" i="17" s="1"/>
  <c r="Q47" i="17"/>
  <c r="M47" i="17" s="1"/>
  <c r="N47" i="17" s="1" a="1"/>
  <c r="N47" i="17" s="1"/>
  <c r="D18" i="17"/>
  <c r="D15" i="17"/>
  <c r="Q46" i="17"/>
  <c r="M46" i="17" s="1"/>
  <c r="AS11" i="17"/>
  <c r="O42" i="17"/>
  <c r="AO42" i="17" s="1"/>
  <c r="O41" i="17"/>
  <c r="AO41" i="17" s="1"/>
  <c r="O32" i="17"/>
  <c r="AO32" i="17" s="1"/>
  <c r="AS9" i="17"/>
  <c r="O37" i="17"/>
  <c r="AO37" i="17" s="1"/>
  <c r="O38" i="17"/>
  <c r="AO38" i="17" s="1"/>
  <c r="O22" i="17"/>
  <c r="AO22" i="17" s="1"/>
  <c r="O26" i="17"/>
  <c r="AO26" i="17" s="1"/>
  <c r="O36" i="17"/>
  <c r="AO36" i="17" s="1"/>
  <c r="O35" i="17"/>
  <c r="AO35" i="17" s="1"/>
  <c r="O25" i="17"/>
  <c r="AO25" i="17" s="1"/>
  <c r="O39" i="17"/>
  <c r="AO39" i="17" s="1"/>
  <c r="O43" i="17"/>
  <c r="AO43" i="17" s="1"/>
  <c r="O19" i="17"/>
  <c r="AO19" i="17" s="1"/>
  <c r="O28" i="17"/>
  <c r="AO28" i="17" s="1"/>
  <c r="O33" i="17"/>
  <c r="AO33" i="17" s="1"/>
  <c r="O24" i="17"/>
  <c r="AO24" i="17" s="1"/>
  <c r="AO9" i="17"/>
  <c r="O10" i="17"/>
  <c r="AO10" i="17" s="1"/>
  <c r="O17" i="17"/>
  <c r="AO17" i="17" s="1"/>
  <c r="O15" i="17"/>
  <c r="AO15" i="17" s="1"/>
  <c r="O18" i="17"/>
  <c r="AO18" i="17" s="1"/>
  <c r="O23" i="17"/>
  <c r="AO23" i="17" s="1"/>
  <c r="O21" i="17"/>
  <c r="AO21" i="17" s="1"/>
  <c r="O27" i="17"/>
  <c r="AO27" i="17" s="1"/>
  <c r="O29" i="17"/>
  <c r="AO29" i="17" s="1"/>
  <c r="O20" i="17"/>
  <c r="AO20" i="17" s="1"/>
  <c r="O45" i="17"/>
  <c r="AO45" i="17" s="1"/>
  <c r="O40" i="17"/>
  <c r="AO40" i="17" s="1"/>
  <c r="O44" i="17"/>
  <c r="AO44" i="17" s="1"/>
  <c r="O13" i="17"/>
  <c r="AO13" i="17" s="1"/>
  <c r="O16" i="17"/>
  <c r="AO16" i="17" s="1"/>
  <c r="O12" i="17"/>
  <c r="AO12" i="17" s="1"/>
  <c r="AS10" i="17"/>
  <c r="AS13" i="17"/>
  <c r="AS12" i="17"/>
  <c r="O34" i="17"/>
  <c r="AO34" i="17" s="1"/>
  <c r="O11" i="17"/>
  <c r="AO11" i="17" s="1"/>
  <c r="O14" i="17"/>
  <c r="AO14" i="17" s="1"/>
  <c r="O30" i="17"/>
  <c r="AO30" i="17" s="1"/>
  <c r="O31" i="17"/>
  <c r="AO31" i="17" s="1"/>
  <c r="D40" i="17" l="1"/>
  <c r="D43" i="17"/>
  <c r="Q55" i="17"/>
  <c r="M55" i="17" s="1"/>
  <c r="N55" i="17" s="1" a="1"/>
  <c r="N55" i="17" s="1"/>
  <c r="D47" i="17"/>
  <c r="D45" i="17"/>
  <c r="D48" i="17"/>
  <c r="N48" i="17" a="1"/>
  <c r="N48" i="17" s="1"/>
  <c r="N53" i="17" a="1"/>
  <c r="N53" i="17" s="1"/>
  <c r="N46" i="17" a="1"/>
  <c r="N46" i="17" s="1"/>
  <c r="Q30" i="17"/>
  <c r="M30" i="17" s="1"/>
  <c r="N30" i="17" s="1" a="1"/>
  <c r="N30" i="17" s="1"/>
  <c r="Q25" i="17"/>
  <c r="M25" i="17" s="1"/>
  <c r="N25" i="17" s="1" a="1"/>
  <c r="N25" i="17" s="1"/>
  <c r="Q27" i="17"/>
  <c r="M27" i="17" s="1"/>
  <c r="N27" i="17" s="1" a="1"/>
  <c r="N27" i="17" s="1"/>
  <c r="Q45" i="17"/>
  <c r="M45" i="17" s="1"/>
  <c r="N45" i="17" s="1" a="1"/>
  <c r="N45" i="17" s="1"/>
  <c r="Q12" i="17"/>
  <c r="M12" i="17" s="1"/>
  <c r="N12" i="17" s="1" a="1"/>
  <c r="N12" i="17" s="1"/>
  <c r="Q11" i="17"/>
  <c r="M11" i="17" s="1"/>
  <c r="N11" i="17" s="1" a="1"/>
  <c r="N11" i="17" s="1"/>
  <c r="Q26" i="17"/>
  <c r="M26" i="17" s="1"/>
  <c r="N26" i="17" s="1" a="1"/>
  <c r="N26" i="17" s="1"/>
  <c r="Q41" i="17"/>
  <c r="M41" i="17" s="1"/>
  <c r="N41" i="17" s="1" a="1"/>
  <c r="N41" i="17" s="1"/>
  <c r="Q37" i="17"/>
  <c r="M37" i="17" s="1"/>
  <c r="N37" i="17" s="1" a="1"/>
  <c r="N37" i="17" s="1"/>
  <c r="Q36" i="17"/>
  <c r="M36" i="17" s="1"/>
  <c r="N36" i="17" s="1" a="1"/>
  <c r="N36" i="17" s="1"/>
  <c r="Q35" i="17"/>
  <c r="M35" i="17" s="1"/>
  <c r="N35" i="17" s="1" a="1"/>
  <c r="N35" i="17" s="1"/>
  <c r="Q29" i="17"/>
  <c r="M29" i="17" s="1"/>
  <c r="N29" i="17" s="1" a="1"/>
  <c r="N29" i="17" s="1"/>
  <c r="Q32" i="17"/>
  <c r="M32" i="17" s="1"/>
  <c r="N32" i="17" s="1" a="1"/>
  <c r="N32" i="17" s="1"/>
  <c r="Q16" i="17"/>
  <c r="M16" i="17" s="1"/>
  <c r="N16" i="17" s="1" a="1"/>
  <c r="N16" i="17" s="1"/>
  <c r="Q15" i="17"/>
  <c r="M15" i="17" s="1"/>
  <c r="N15" i="17" s="1" a="1"/>
  <c r="N15" i="17" s="1"/>
  <c r="Q20" i="17"/>
  <c r="M20" i="17" s="1"/>
  <c r="N20" i="17" s="1" a="1"/>
  <c r="N20" i="17" s="1"/>
  <c r="Q18" i="17"/>
  <c r="M18" i="17" s="1"/>
  <c r="N18" i="17" s="1" a="1"/>
  <c r="N18" i="17" s="1"/>
  <c r="Q14" i="17"/>
  <c r="M14" i="17" s="1"/>
  <c r="N14" i="17" s="1" a="1"/>
  <c r="N14" i="17" s="1"/>
  <c r="Q43" i="17"/>
  <c r="M43" i="17" s="1"/>
  <c r="N43" i="17" s="1" a="1"/>
  <c r="N43" i="17" s="1"/>
  <c r="Q17" i="17"/>
  <c r="M17" i="17" s="1"/>
  <c r="N17" i="17" s="1" a="1"/>
  <c r="N17" i="17" s="1"/>
  <c r="Q21" i="17"/>
  <c r="M21" i="17" s="1"/>
  <c r="N21" i="17" s="1" a="1"/>
  <c r="N21" i="17" s="1"/>
  <c r="Q33" i="17"/>
  <c r="M33" i="17" s="1"/>
  <c r="N33" i="17" s="1" a="1"/>
  <c r="N33" i="17" s="1"/>
  <c r="Q31" i="17"/>
  <c r="M31" i="17" s="1"/>
  <c r="N31" i="17" s="1" a="1"/>
  <c r="N31" i="17" s="1"/>
  <c r="Q24" i="17"/>
  <c r="M24" i="17" s="1"/>
  <c r="N24" i="17" s="1" a="1"/>
  <c r="N24" i="17" s="1"/>
  <c r="Q28" i="17"/>
  <c r="M28" i="17" s="1"/>
  <c r="N28" i="17" s="1" a="1"/>
  <c r="N28" i="17" s="1"/>
  <c r="Q34" i="17"/>
  <c r="M34" i="17" s="1"/>
  <c r="N34" i="17" s="1" a="1"/>
  <c r="N34" i="17" s="1"/>
  <c r="Q38" i="17"/>
  <c r="M38" i="17" s="1"/>
  <c r="N38" i="17" s="1" a="1"/>
  <c r="N38" i="17" s="1"/>
  <c r="Q42" i="17"/>
  <c r="M42" i="17" s="1"/>
  <c r="N42" i="17" s="1" a="1"/>
  <c r="N42" i="17" s="1"/>
  <c r="Q44" i="17"/>
  <c r="M44" i="17" s="1"/>
  <c r="N44" i="17" s="1" a="1"/>
  <c r="N44" i="17" s="1"/>
  <c r="Q39" i="17"/>
  <c r="M39" i="17" s="1"/>
  <c r="N39" i="17" s="1" a="1"/>
  <c r="N39" i="17" s="1"/>
  <c r="Q23" i="17"/>
  <c r="M23" i="17" s="1"/>
  <c r="N23" i="17" s="1" a="1"/>
  <c r="N23" i="17" s="1"/>
  <c r="Q22" i="17"/>
  <c r="M22" i="17" s="1"/>
  <c r="N22" i="17" s="1" a="1"/>
  <c r="N22" i="17" s="1"/>
  <c r="Q40" i="17"/>
  <c r="M40" i="17" s="1"/>
  <c r="N40" i="17" s="1" a="1"/>
  <c r="N40" i="17" s="1"/>
  <c r="Q19" i="17"/>
  <c r="M19" i="17" s="1"/>
  <c r="N19" i="17" s="1" a="1"/>
  <c r="N19" i="17" s="1"/>
  <c r="Q10" i="17"/>
  <c r="M10" i="17" s="1"/>
  <c r="N10" i="17" s="1" a="1"/>
  <c r="N10" i="17" s="1"/>
  <c r="Q13" i="17"/>
  <c r="M13" i="17" s="1"/>
  <c r="N13" i="17" s="1" a="1"/>
  <c r="N13" i="17" s="1"/>
  <c r="Q9" i="17"/>
  <c r="M9" i="17" s="1"/>
  <c r="N9" i="17" s="1" a="1"/>
  <c r="N9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<sst xmlns="http://schemas.openxmlformats.org/spreadsheetml/2006/main" count="12109" uniqueCount="589">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</sst>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4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10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76"/>
    </tableStyle>
    <tableStyle name="Estilo de tabla dinámica 2" table="0" count="1" xr9:uid="{9E60CF16-845A-4669-9AA4-E5ACD7B8B1A8}">
      <tableStyleElement type="headerRow" dxfId="1075"/>
    </tableStyle>
    <tableStyle name="Estilo de tabla dinámica 3" table="0" count="1" xr9:uid="{A9F08836-5681-4078-A387-711930301837}">
      <tableStyleElement type="headerRow" dxfId="1074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73" tableBorderDxfId="1072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71">
      <calculatedColumnFormula>DATA_NOVIEMBRE_2024[[#This Row],[RECUPERO]]/DATA_NOVIEMBRE_2024[[#This Row],[META]]</calculatedColumnFormula>
    </tableColumn>
    <tableColumn id="2" xr3:uid="{8B46A38D-7233-499F-B1DE-FB511E519FF9}" name="CLASIFICACIÓN" dataDxfId="1070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69"/>
    <tableColumn id="1" xr3:uid="{6BE1DCAD-FFC1-41E5-BE9A-DDFCB075F86E}" name="RECUPERO" dataDxfId="1068">
      <calculatedColumnFormula>SUM(DATA_NOVIEMBRE_2024[[#This Row],[1]:[31]])</calculatedColumnFormula>
    </tableColumn>
    <tableColumn id="6" xr3:uid="{9DC6CD9E-A550-4452-954F-6EA70609499E}" name="META" dataDxfId="1067"/>
    <tableColumn id="7" xr3:uid="{253195A7-7D47-486A-80F6-796ADB20EC53}" name="ASER_" dataDxfId="1066"/>
    <tableColumn id="4" xr3:uid="{202FFDF7-B7CF-4672-95EA-680792362409}" name="1" dataDxfId="1065"/>
    <tableColumn id="8" xr3:uid="{72687A8D-B0F6-4DDB-88CE-1067530F054A}" name="2" dataDxfId="1064"/>
    <tableColumn id="9" xr3:uid="{F4E2F670-BFF9-4FD3-A0D4-C9CAB825BC0C}" name="3" dataDxfId="1063"/>
    <tableColumn id="10" xr3:uid="{DBA3AC26-F584-4CBE-8D86-75C4463192B1}" name="4" dataDxfId="1062"/>
    <tableColumn id="11" xr3:uid="{219202FB-F58A-440D-8D19-01059AA56BAB}" name="5" dataDxfId="1061"/>
    <tableColumn id="12" xr3:uid="{2AF7B6E4-01F3-401E-BF95-3CFAB27577BC}" name="6" dataDxfId="1060"/>
    <tableColumn id="13" xr3:uid="{24CA335A-580E-4429-A4F8-DFAB61DD23F8}" name="7" dataDxfId="1059"/>
    <tableColumn id="14" xr3:uid="{4A96EC6B-C7D3-4A7F-8B4B-F3D8AF9FE594}" name="8" dataDxfId="1058"/>
    <tableColumn id="15" xr3:uid="{BA9F52F9-841F-49D0-AFFC-4D571D566DE4}" name="9" dataDxfId="1057"/>
    <tableColumn id="16" xr3:uid="{409BE12D-B77E-48C5-951D-B87CB101AD44}" name="10" dataDxfId="1056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055"/>
    <tableColumn id="18" xr3:uid="{517449FB-ABB0-4312-822F-083501FE4456}" name="23" dataDxfId="1054"/>
    <tableColumn id="19" xr3:uid="{F22CE4E7-E04E-47AF-97E3-BEAFF6BC2F5E}" name="24" dataDxfId="1053"/>
    <tableColumn id="20" xr3:uid="{FE9C6881-7986-46E5-B896-D446A4BEF596}" name="25" dataDxfId="1052"/>
    <tableColumn id="21" xr3:uid="{32A09EFC-675D-4983-B360-4DBEAB2EE4FA}" name="26" dataDxfId="1051"/>
    <tableColumn id="22" xr3:uid="{02F89659-315D-4DE1-BE9C-A8C4FBB65511}" name="27" dataDxfId="1050"/>
    <tableColumn id="23" xr3:uid="{E556EC76-1435-4562-B8FF-767920C873C4}" name="28" dataDxfId="1049"/>
    <tableColumn id="24" xr3:uid="{E42123DE-6B43-4653-BF5B-323243D5FCAD}" name="29" dataDxfId="1048"/>
    <tableColumn id="25" xr3:uid="{71D65AF5-510E-457D-B0E2-F9582E783D67}" name="30" dataDxfId="1047"/>
    <tableColumn id="26" xr3:uid="{3E966EE9-5B51-4732-8107-B252301503A4}" name="31" dataDxfId="1046"/>
    <tableColumn id="27" xr3:uid="{6F804D29-D57D-4925-9B25-DD58FD9CD4C1}" name="CARTERA ASESOR" dataDxfId="104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1044">
  <autoFilter ref="A2:J72" xr:uid="{AEA51657-9DFD-4518-856A-D830285E4602}"/>
  <tableColumns count="10">
    <tableColumn id="1" xr3:uid="{471651EC-762A-4439-9E09-36CE7484C7DB}" name="SUPER" dataDxfId="1043"/>
    <tableColumn id="2" xr3:uid="{85C17B1E-7CF3-4112-8B36-78A801EE3005}" name="ASESOR_CRR" dataDxfId="1042">
      <calculatedColumnFormula>D1_NOVIEMBRE_2024[[#This Row],[ASESOR]]</calculatedColumnFormula>
    </tableColumn>
    <tableColumn id="5" xr3:uid="{0BDBF623-DEA9-4A29-8D28-4030A786FE51}" name="META" dataDxfId="1041">
      <calculatedColumnFormula>VLOOKUP(D1_NOVIEMBRE_2024[[#This Row],[SUPER]],DATA_NOVIEMBRE_2024[[SUPERVISOR]:[META]],3,0)</calculatedColumnFormula>
    </tableColumn>
    <tableColumn id="6" xr3:uid="{C702AF9F-4896-48CF-895F-224FB32B617C}" name="ALCANCE" dataDxfId="1040">
      <calculatedColumnFormula>D1_NOVIEMBRE_2024[[#This Row],[RECUPERO]]/D1_NOVIEMBRE_2024[[#This Row],[META]]</calculatedColumnFormula>
    </tableColumn>
    <tableColumn id="7" xr3:uid="{D7917A8B-F33C-40CB-980B-776F1F99832F}" name="SUPER2" dataDxfId="1039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038"/>
    <tableColumn id="8" xr3:uid="{C288ADF8-0B7D-46E8-A515-7A398BFBAFF5}" name="DNI" dataDxfId="1037"/>
    <tableColumn id="9" xr3:uid="{9816B6C7-AE6F-49DA-A0C6-21A173A63635}" name="FECHA DE INICIO" dataDxfId="1036"/>
    <tableColumn id="10" xr3:uid="{342ACA45-E672-4A50-BD93-4F29AC6175A9}" name="ESTADO" dataDxfId="10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034" dataDxfId="1032" headerRowBorderDxfId="1033" tableBorderDxfId="1031" totalsRowBorderDxfId="1030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029"/>
    <tableColumn id="3" xr3:uid="{734C6C88-3899-4B11-A8BB-68F60FEB745F}" name="RECUPERO SUPERVISOR" dataDxfId="1028">
      <calculatedColumnFormula>MAX(DITE_NOVIEMBRE_2024[[#This Row],[1]:[31]])</calculatedColumnFormula>
    </tableColumn>
    <tableColumn id="4" xr3:uid="{ECE5B99F-FD83-4520-9BD0-C6F22F1D89DE}" name="ALCANCE SUPERVISOR" dataDxfId="1027">
      <calculatedColumnFormula>DITE_NOVIEMBRE_2024[[#This Row],[RECUPERO SUPERVISOR]]/AZ9</calculatedColumnFormula>
    </tableColumn>
    <tableColumn id="1" xr3:uid="{3C6266ED-8A4A-4ABB-A9C5-F6D7C3A28E1C}" name="SUPER" dataDxfId="1026"/>
    <tableColumn id="6" xr3:uid="{8E1962E6-B227-403D-959C-EC0A84512E7F}" name="1" dataDxfId="1025"/>
    <tableColumn id="7" xr3:uid="{82013CDA-2013-412E-8FF7-7857EB3BAAEB}" name="2" dataDxfId="1024"/>
    <tableColumn id="36" xr3:uid="{F80449E7-9C09-4D54-AD2B-6D30BBE4BFFD}" name="3" dataDxfId="1023"/>
    <tableColumn id="8" xr3:uid="{6BAF72DE-4BC7-441F-A85E-9041EF3899D9}" name="4" dataDxfId="1022"/>
    <tableColumn id="9" xr3:uid="{3D9FCE7A-2F3D-4CC9-8A91-10BD16A7E640}" name="5" dataDxfId="1021"/>
    <tableColumn id="10" xr3:uid="{BEDD9763-065B-45CB-AE2B-710FA8B66ADE}" name="6" dataDxfId="1020"/>
    <tableColumn id="11" xr3:uid="{BC3C528B-42C9-4B2F-9619-B254969267D0}" name="7" dataDxfId="1019"/>
    <tableColumn id="12" xr3:uid="{0A48E3CB-F739-4C32-945D-648E7EB8070E}" name="8" dataDxfId="1018"/>
    <tableColumn id="13" xr3:uid="{B96192EF-9446-4291-B1F2-DB704B1D3A04}" name="9" dataDxfId="1017"/>
    <tableColumn id="14" xr3:uid="{604B61A4-751B-4BF0-9D80-954CAB1D08B0}" name="10" dataDxfId="1016"/>
    <tableColumn id="15" xr3:uid="{9BAD68A4-5571-4BDA-97CB-9067D42459EC}" name="11" dataDxfId="1015"/>
    <tableColumn id="32" xr3:uid="{D6886672-9386-4ADF-AED9-8A33D204EF56}" name="12" dataDxfId="1014"/>
    <tableColumn id="33" xr3:uid="{3D371433-AC3E-4391-8C88-2354E3462A27}" name="13" dataDxfId="1013"/>
    <tableColumn id="35" xr3:uid="{58EC2E80-FD81-492B-8002-FCEB99DCCCA5}" name="14" dataDxfId="1012"/>
    <tableColumn id="34" xr3:uid="{BBD59636-2F98-4BBE-8F44-00F7C13015FB}" name="15" dataDxfId="1011"/>
    <tableColumn id="29" xr3:uid="{DD6F0447-F620-4F38-AAE2-F94C7BD1301A}" name="16" dataDxfId="1010"/>
    <tableColumn id="30" xr3:uid="{AEA6202E-0E43-491B-9DE9-B12618DFE3C3}" name="17" dataDxfId="1009"/>
    <tableColumn id="31" xr3:uid="{7F0C4991-2DDA-47D6-8952-EF0420833FE2}" name="18" dataDxfId="1008"/>
    <tableColumn id="26" xr3:uid="{63319244-ED6C-4CB6-91C9-FD0B33FFFA44}" name="19" dataDxfId="1007"/>
    <tableColumn id="27" xr3:uid="{3ED47FDF-F24A-4EC8-9029-689369682758}" name="20" dataDxfId="1006"/>
    <tableColumn id="28" xr3:uid="{B5758593-5927-4B15-9EF3-08A6AA13FEE5}" name="21" dataDxfId="1005"/>
    <tableColumn id="16" xr3:uid="{A79A9DD4-74CF-4F17-A260-30A614552C96}" name="22" dataDxfId="1004"/>
    <tableColumn id="17" xr3:uid="{A3AD1A97-629C-494C-8C66-6BA86E905D7F}" name="23" dataDxfId="1003"/>
    <tableColumn id="18" xr3:uid="{BF0972B0-617B-4546-9271-F4E0D9F96151}" name="24" dataDxfId="1002"/>
    <tableColumn id="19" xr3:uid="{A9D6B970-56DB-403D-9EC5-9A1114D18DD8}" name="25" dataDxfId="1001"/>
    <tableColumn id="20" xr3:uid="{87CB9ADC-EDEB-4C07-8A41-D10A3E379763}" name="26" dataDxfId="1000"/>
    <tableColumn id="21" xr3:uid="{4E36C293-1144-4926-8E91-3475130D3D19}" name="27" dataDxfId="999"/>
    <tableColumn id="22" xr3:uid="{ACDA0744-1D85-4327-BD2E-0D10C5E5827D}" name="28" dataDxfId="998"/>
    <tableColumn id="23" xr3:uid="{A55279AC-F17C-48C7-B6F4-AFD7642F257E}" name="29" dataDxfId="997"/>
    <tableColumn id="24" xr3:uid="{B30A56B6-4B82-41A1-BE7F-1D370BF48A8B}" name="30" dataDxfId="996"/>
    <tableColumn id="25" xr3:uid="{2121F136-11EF-4DC1-9A0A-C968CE5BD71B}" name="31" dataDxfId="995"/>
    <tableColumn id="5" xr3:uid="{9A6ECD1E-A39C-4D33-BBF6-B37C7AF2A67C}" name="CARTERA" dataDxfId="99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93" tableBorderDxfId="992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91">
      <calculatedColumnFormula>DATA_DICIEMBRE_2024[[#This Row],[RECUPERO]]/DATA_DICIEMBRE_2024[[#This Row],[META]]</calculatedColumnFormula>
    </tableColumn>
    <tableColumn id="2" xr3:uid="{AE497F25-36CD-42FB-B18F-59D419263CBC}" name="CLASIFICACIÓN" dataDxfId="990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89"/>
    <tableColumn id="1" xr3:uid="{ACC31C15-573E-4606-A6FB-ECDC2B30F8A4}" name="RECUPERO" dataDxfId="988">
      <calculatedColumnFormula>SUM(DATA_DICIEMBRE_2024[[#This Row],[1]:[31]])</calculatedColumnFormula>
    </tableColumn>
    <tableColumn id="6" xr3:uid="{0A0FD23F-3FE0-43BD-93B2-D5A21E0A8419}" name="META" dataDxfId="987"/>
    <tableColumn id="7" xr3:uid="{BAAC5683-E69F-4D8D-9823-6A62CD920015}" name="ASER_" dataDxfId="986"/>
    <tableColumn id="4" xr3:uid="{E80ABAB5-F841-47AC-9407-E06974270343}" name="1" dataDxfId="985"/>
    <tableColumn id="8" xr3:uid="{38214265-844B-4AAB-9AAF-66AE68E1B01F}" name="2" dataDxfId="984"/>
    <tableColumn id="9" xr3:uid="{9DE83FFA-F0EB-48A8-9B9B-94D3A5F4EA89}" name="3" dataDxfId="983"/>
    <tableColumn id="10" xr3:uid="{F01FCEA0-C6B5-45DC-BF35-2E20D08D1987}" name="4" dataDxfId="982"/>
    <tableColumn id="11" xr3:uid="{486A6BCD-590A-4F51-95FC-FF8E80EED672}" name="5" dataDxfId="981"/>
    <tableColumn id="12" xr3:uid="{6A13993E-4132-4D1F-8103-9B935139982B}" name="6" dataDxfId="980"/>
    <tableColumn id="13" xr3:uid="{24798E59-2FD3-45E0-9839-56EDF52F39D9}" name="7" dataDxfId="979"/>
    <tableColumn id="14" xr3:uid="{0A505D6A-B620-43DD-BE95-5375CFEB2C9E}" name="8" dataDxfId="978"/>
    <tableColumn id="15" xr3:uid="{B4A01763-2933-4990-84AC-2EE6364157A1}" name="9" dataDxfId="977"/>
    <tableColumn id="16" xr3:uid="{BF1956FE-127F-474F-B12A-D74A62785650}" name="10" dataDxfId="976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75"/>
    <tableColumn id="18" xr3:uid="{43369C00-795D-4124-B5FB-CE33A1429479}" name="23" dataDxfId="974"/>
    <tableColumn id="19" xr3:uid="{34A49AC6-3FC3-4ACE-8C81-C9AB9CD6BF1C}" name="24" dataDxfId="973"/>
    <tableColumn id="20" xr3:uid="{62E7E367-E664-47D4-A998-F69A442883A3}" name="25" dataDxfId="972"/>
    <tableColumn id="21" xr3:uid="{38ED713F-D0AE-4A42-8586-07C0CFE7FD0D}" name="26" dataDxfId="971"/>
    <tableColumn id="22" xr3:uid="{777A8FFE-C36F-4CC0-9736-E3B5572BB43B}" name="27" dataDxfId="970"/>
    <tableColumn id="23" xr3:uid="{9793EF6D-52A7-486F-9DA0-5EC6B4742B0D}" name="28" dataDxfId="969"/>
    <tableColumn id="24" xr3:uid="{8675AF28-0AC8-42A2-9C9D-B652E1F578AA}" name="29" dataDxfId="968"/>
    <tableColumn id="25" xr3:uid="{69A4324E-C083-46F7-9045-4F5A0A8A7029}" name="30" dataDxfId="967"/>
    <tableColumn id="26" xr3:uid="{DBC5694B-2026-414C-ACC6-93144006A162}" name="31" dataDxfId="966"/>
    <tableColumn id="27" xr3:uid="{823ED1C1-B820-4301-889D-715B402B64AE}" name="CARTERA ASESOR" dataDxfId="965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964">
  <autoFilter ref="A2:J76" xr:uid="{F6E10C3A-51B0-46B0-AC7A-178487A186FC}"/>
  <tableColumns count="10">
    <tableColumn id="1" xr3:uid="{27AC9715-D9AF-4425-8467-97D5ACDF32DB}" name="SUPER" dataDxfId="963"/>
    <tableColumn id="2" xr3:uid="{60BCBFC1-6517-433B-923C-CCB32F89496C}" name="ASESOR_CRR" dataDxfId="962">
      <calculatedColumnFormula>D1_DICIEMBRE_2024[[#This Row],[ASESOR]]</calculatedColumnFormula>
    </tableColumn>
    <tableColumn id="5" xr3:uid="{FE528A67-2FD9-481D-A3BD-D0593BF1728D}" name="META" dataDxfId="961">
      <calculatedColumnFormula>VLOOKUP(D1_DICIEMBRE_2024[[#This Row],[SUPER]],DATA_DICIEMBRE_2024[[SUPERVISOR]:[META]],3,0)</calculatedColumnFormula>
    </tableColumn>
    <tableColumn id="6" xr3:uid="{9F920DCF-74DA-4A35-AEB6-9874EC115540}" name="ALCANCE" dataDxfId="960">
      <calculatedColumnFormula>D1_DICIEMBRE_2024[[#This Row],[RECUPERO]]/D1_DICIEMBRE_2024[[#This Row],[META]]</calculatedColumnFormula>
    </tableColumn>
    <tableColumn id="7" xr3:uid="{A0A51D41-B7D6-4CCC-ACCB-42E0C653AD2F}" name="SUPER2" dataDxfId="959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958"/>
    <tableColumn id="8" xr3:uid="{894A3BEA-774F-4F80-88D8-1B289CA5BA86}" name="DNI" dataDxfId="957"/>
    <tableColumn id="9" xr3:uid="{803AE20B-2CCD-451D-A530-6F128D73F913}" name="FECHA DE INICIO" dataDxfId="956"/>
    <tableColumn id="10" xr3:uid="{49EAA54F-6677-4846-BCD1-109279DB3A73}" name="ESTADO" dataDxfId="95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954" dataDxfId="952" headerRowBorderDxfId="953" tableBorderDxfId="951" totalsRowBorderDxfId="950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949"/>
    <tableColumn id="3" xr3:uid="{ABE326D8-B04B-4CEC-9F6E-FE25C0EE8AA0}" name="RECUPERO SUPERVISOR" dataDxfId="948">
      <calculatedColumnFormula>MAX(DITE_DICIEMBRE_2024[[#This Row],[1]:[31]])</calculatedColumnFormula>
    </tableColumn>
    <tableColumn id="4" xr3:uid="{9E55702C-7024-420F-8940-D2C1A0A3CA1D}" name="ALCANCE SUPERVISOR" dataDxfId="947">
      <calculatedColumnFormula>DITE_DICIEMBRE_2024[[#This Row],[RECUPERO SUPERVISOR]]/AZ9</calculatedColumnFormula>
    </tableColumn>
    <tableColumn id="1" xr3:uid="{5009DC4C-3EA4-45D5-A15D-072373F4AE20}" name="SUPER" dataDxfId="946"/>
    <tableColumn id="6" xr3:uid="{D0AF21FC-B7C0-49FB-B06D-CEE18869F451}" name="1" dataDxfId="945"/>
    <tableColumn id="7" xr3:uid="{13740F97-8E6D-486C-956C-27845E43364F}" name="2" dataDxfId="944"/>
    <tableColumn id="36" xr3:uid="{D8D06FB7-6376-4BDE-8C73-E14742A693D2}" name="3" dataDxfId="943"/>
    <tableColumn id="8" xr3:uid="{6A7AE4CF-8204-4E27-89B3-519888750343}" name="4" dataDxfId="942"/>
    <tableColumn id="9" xr3:uid="{E68D0942-B003-4636-896B-C7F7CC5DF30B}" name="5" dataDxfId="941"/>
    <tableColumn id="10" xr3:uid="{A130D834-D24E-4226-8974-EAEEC5239084}" name="6" dataDxfId="940"/>
    <tableColumn id="11" xr3:uid="{B74AC268-8591-43DA-A0A0-8EED3A99A7E6}" name="7" dataDxfId="939"/>
    <tableColumn id="12" xr3:uid="{3E5A00D6-9077-4087-98FC-A1F995D9E85D}" name="8" dataDxfId="938"/>
    <tableColumn id="13" xr3:uid="{1C1866E7-047F-4D10-9606-401FEC40FA49}" name="9" dataDxfId="937"/>
    <tableColumn id="14" xr3:uid="{1A856C2F-9F0A-48E6-A1F8-02744BF96124}" name="10" dataDxfId="936"/>
    <tableColumn id="15" xr3:uid="{4AF6AE1F-C32E-4098-A90E-906C45E577A6}" name="11" dataDxfId="935"/>
    <tableColumn id="32" xr3:uid="{22F83872-EA87-4B20-AC9C-A5E2ACD10B99}" name="12" dataDxfId="934"/>
    <tableColumn id="33" xr3:uid="{98BD9E2A-AADA-4033-A5CA-E179FF24557D}" name="13" dataDxfId="933"/>
    <tableColumn id="35" xr3:uid="{700503A6-DBA0-45CB-A088-D89AE0558CCF}" name="14" dataDxfId="932"/>
    <tableColumn id="34" xr3:uid="{C5A60DDC-0D8C-41E0-A0F0-FBB45535E86A}" name="15" dataDxfId="931"/>
    <tableColumn id="29" xr3:uid="{D5EC2BDA-E6C3-4A4D-A6AD-950B2D0490AB}" name="16" dataDxfId="930"/>
    <tableColumn id="30" xr3:uid="{349CB117-97C5-4862-848C-38A5D8F531C9}" name="17" dataDxfId="929"/>
    <tableColumn id="31" xr3:uid="{C11D4844-CCFA-4F14-88FA-CE5B9B605A6F}" name="18" dataDxfId="928"/>
    <tableColumn id="26" xr3:uid="{F17C536A-13C6-44BF-A1D0-9E0F529A2288}" name="19" dataDxfId="927"/>
    <tableColumn id="27" xr3:uid="{784AEED1-4141-49AA-B4F6-24141E5B4FA4}" name="20" dataDxfId="926"/>
    <tableColumn id="28" xr3:uid="{5FA3E61C-F996-45DB-8D68-7A355B9D9345}" name="21" dataDxfId="925"/>
    <tableColumn id="16" xr3:uid="{3CDD7303-1AA0-4E13-B85B-07CCE6B3675D}" name="22" dataDxfId="924"/>
    <tableColumn id="17" xr3:uid="{81F4684D-1734-49FB-8F57-68B80EB1FD1D}" name="23" dataDxfId="923"/>
    <tableColumn id="18" xr3:uid="{9DA7B90E-288E-45A3-BD0A-31904382DB50}" name="24" dataDxfId="922"/>
    <tableColumn id="19" xr3:uid="{A0AC125C-0C19-47E9-B7BD-9F657DD56BC2}" name="25" dataDxfId="921"/>
    <tableColumn id="20" xr3:uid="{E1B67347-A852-4F21-A3C3-D6E44F51E9FF}" name="26" dataDxfId="920"/>
    <tableColumn id="21" xr3:uid="{992748FE-9359-4D4E-B06A-59F7A48309B5}" name="27" dataDxfId="919"/>
    <tableColumn id="22" xr3:uid="{3732AEA5-9CC9-4EE6-A93B-386050E291B1}" name="28" dataDxfId="918"/>
    <tableColumn id="23" xr3:uid="{20A4F952-B20F-4E0E-95CC-77C648A54699}" name="29" dataDxfId="917"/>
    <tableColumn id="24" xr3:uid="{26953009-23ED-4318-9CEE-07B704B9665A}" name="30" dataDxfId="916"/>
    <tableColumn id="25" xr3:uid="{267CBC9B-29BE-4672-94C3-393B627CB1FD}" name="31" dataDxfId="915"/>
    <tableColumn id="5" xr3:uid="{EE07FFF3-9A6D-4F12-ACF6-244205791333}" name="CARTERA" dataDxfId="914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913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12"/>
    <tableColumn id="5" xr3:uid="{42625339-8FE7-49A5-82AC-5EDD10C3C984}" name="ASESOR"/>
    <tableColumn id="6" xr3:uid="{BD1A5411-32FB-4DF7-B264-96C059BE5C56}" name="RECUPERO" dataDxfId="911"/>
    <tableColumn id="8" xr3:uid="{8B3B2929-A591-41D7-9D44-B220287F0F2A}" name="DNI" dataDxfId="910"/>
    <tableColumn id="9" xr3:uid="{AAABF626-1A15-4E7A-A444-7423611F1BB2}" name="FECHA DE INICIO" dataDxfId="909"/>
    <tableColumn id="10" xr3:uid="{CACFA6D6-8D93-432C-AAD6-E9CBF58F5197}" name="ESTADO" dataDxfId="90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07" headerRowBorderDxfId="906" tableBorderDxfId="905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04">
      <calculatedColumnFormula>DATA_ENERO_2025[[#This Row],[RECUPERO]]/DATA_ENERO_2025[[#This Row],[META]]</calculatedColumnFormula>
    </tableColumn>
    <tableColumn id="3" xr3:uid="{16F39E06-76AE-43AD-903E-9F641E37CB06}" name="CLASIFICACIÓN" dataDxfId="903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02"/>
    <tableColumn id="6" xr3:uid="{087774B2-9699-454D-B0E9-E9D62B239262}" name="RECUPERO" dataDxfId="901">
      <calculatedColumnFormula>SUM(DATA_ENERO_2025[[#This Row],[1]:[31]])</calculatedColumnFormula>
    </tableColumn>
    <tableColumn id="7" xr3:uid="{B938E452-5678-4623-B9AD-47B290EB3B56}" name="META" dataDxfId="900"/>
    <tableColumn id="5" xr3:uid="{A39094CA-883F-4450-A53A-370F0AE54B0C}" name="ASER_" dataDxfId="899"/>
    <tableColumn id="28" xr3:uid="{BA402970-CDDC-479B-AF0C-DE6FB6DEA3A2}" name="1" dataDxfId="898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9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96" dataDxfId="894" headerRowBorderDxfId="895" tableBorderDxfId="893" totalsRowBorderDxfId="892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91"/>
    <tableColumn id="1" xr3:uid="{5A7C4C9C-3E71-483D-9C6F-3AFA18F0B768}" name="RECUPERO SUPERVISOR" dataDxfId="890">
      <calculatedColumnFormula>MAX(DITE_ENERO_2025[[#This Row],[1]:[31]])</calculatedColumnFormula>
    </tableColumn>
    <tableColumn id="2" xr3:uid="{1DBABE23-BC0D-4016-A3DE-102C34B93437}" name="ALCANCE SUPERVISOR" dataDxfId="889">
      <calculatedColumnFormula>DITE_ENERO_2025[[#This Row],[RECUPERO SUPERVISOR]]/DITE_ENERO_2025[[#This Row],[META SUPER]]</calculatedColumnFormula>
    </tableColumn>
    <tableColumn id="4" xr3:uid="{AAFE5F6A-D443-4B76-896C-3012A63A21B1}" name="SUPER" dataDxfId="888"/>
    <tableColumn id="6" xr3:uid="{CAC1468E-FE7F-46E8-8FA8-2EBFE78F55CF}" name="1" dataDxfId="887"/>
    <tableColumn id="7" xr3:uid="{2C1F1DCC-5615-43E9-8493-73A6B92A7B8C}" name="2" dataDxfId="886"/>
    <tableColumn id="8" xr3:uid="{CB1DD332-E0A5-4BEF-8B71-8820CA4A145B}" name="3" dataDxfId="885"/>
    <tableColumn id="9" xr3:uid="{1BB0DD4F-A73A-4F8E-93FB-252CA932D637}" name="4" dataDxfId="884"/>
    <tableColumn id="10" xr3:uid="{F4A27082-EDDE-411F-B0E7-C50309499B06}" name="5" dataDxfId="883"/>
    <tableColumn id="11" xr3:uid="{DDC3545E-22B2-4DEC-A217-59650C8BAC95}" name="6" dataDxfId="882"/>
    <tableColumn id="12" xr3:uid="{F4B5BD15-E4EF-4A2E-9071-FE5F69E48F1F}" name="7" dataDxfId="881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80"/>
    <tableColumn id="14" xr3:uid="{1DE13FA2-B93D-487E-A105-3A5622C997DE}" name="18" dataDxfId="879"/>
    <tableColumn id="15" xr3:uid="{6273FFBE-FC81-40C7-91CB-E95ECAD8BE5D}" name="19" dataDxfId="878"/>
    <tableColumn id="16" xr3:uid="{35253537-0DA1-45D4-B9A3-D1CBC6E92B8B}" name="20" dataDxfId="877"/>
    <tableColumn id="17" xr3:uid="{4BF3707C-841F-4140-B63C-5B47863B4CA4}" name="21" dataDxfId="876"/>
    <tableColumn id="18" xr3:uid="{1F7B79C3-A22C-49D8-9C1F-629E6C41B955}" name="22" dataDxfId="875"/>
    <tableColumn id="19" xr3:uid="{361B16CF-A887-4C9E-88B3-E8A7F4F314B0}" name="23" dataDxfId="874"/>
    <tableColumn id="20" xr3:uid="{9B3EDA9C-6CB0-4D9F-965A-6EB0593C19D9}" name="24" dataDxfId="873"/>
    <tableColumn id="21" xr3:uid="{B02655DA-D4F9-4926-88A4-5E8B2F4DF911}" name="25" dataDxfId="872"/>
    <tableColumn id="22" xr3:uid="{43854B99-1BF7-4DF3-8A04-A277447DE3B8}" name="26" dataDxfId="871"/>
    <tableColumn id="23" xr3:uid="{CAC2F677-42BD-4EFA-8E99-ABA2036DAF56}" name="27" dataDxfId="870"/>
    <tableColumn id="24" xr3:uid="{20489B5B-5885-4E43-B5F0-4EAAEE4E8EB8}" name="28" dataDxfId="869"/>
    <tableColumn id="25" xr3:uid="{B4D29A08-5206-4DCD-AF4C-9B7ABB8D3CFF}" name="29" dataDxfId="868"/>
    <tableColumn id="26" xr3:uid="{7B49DBDA-317E-4CFB-B7FA-841DFC27E42B}" name="30" dataDxfId="867"/>
    <tableColumn id="27" xr3:uid="{0126152E-7354-43DB-A75E-4841194C453D}" name="31" dataDxfId="866"/>
    <tableColumn id="3" xr3:uid="{93315C06-D400-4502-BDDD-AC5886091EC6}" name="CARTERA" dataDxfId="865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64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63"/>
    <tableColumn id="5" xr3:uid="{44178C41-B41B-4820-A8E8-222FE453335F}" name="ASESOR" dataDxfId="862"/>
    <tableColumn id="6" xr3:uid="{AC6EB590-A7E8-408F-A892-A1851BCCF0B5}" name="RECUPERO" dataDxfId="861"/>
    <tableColumn id="8" xr3:uid="{9B60B527-D768-46F8-BB97-824B255159D2}" name="DNI" dataDxfId="860"/>
    <tableColumn id="9" xr3:uid="{BDF8C571-22FC-498B-99CF-8D578B086437}" name="FECHA DE INICIO" dataDxfId="859"/>
    <tableColumn id="10" xr3:uid="{4A0E2A05-69C0-48C2-B0D3-4D952F052DB2}" name="ESTADO" dataDxfId="85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857" headerRowBorderDxfId="856" tableBorderDxfId="855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854">
      <calculatedColumnFormula>DATA_FEBRERO_2025[[#This Row],[RECUPERO]]/DATA_FEBRERO_2025[[#This Row],[META]]</calculatedColumnFormula>
    </tableColumn>
    <tableColumn id="3" xr3:uid="{AE4A1FA5-3083-4CA4-B657-D2D0F2E20004}" name="CLASIFICACIÓN" dataDxfId="853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852"/>
    <tableColumn id="6" xr3:uid="{2DE1A6CE-7493-4B20-83EE-59078393B5AF}" name="RECUPERO" dataDxfId="851">
      <calculatedColumnFormula>SUM(DATA_FEBRERO_2025[[#This Row],[1]:[31]])</calculatedColumnFormula>
    </tableColumn>
    <tableColumn id="7" xr3:uid="{24FB90FB-A888-41AB-9B19-627A74DA2062}" name="META" dataDxfId="850"/>
    <tableColumn id="5" xr3:uid="{E6A5C563-3502-4EF4-8D06-C88816E905A8}" name="ASER_" dataDxfId="849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848"/>
    <tableColumn id="8" xr3:uid="{E99C6359-BA67-4127-80B1-429613DA94CB}" name="31"/>
    <tableColumn id="4" xr3:uid="{1AB4C76D-3918-4961-B05E-216E9D0F2A8C}" name="CARTERA ASESOR" dataDxfId="847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846" dataDxfId="844" headerRowBorderDxfId="845" tableBorderDxfId="843" totalsRowBorderDxfId="842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841"/>
    <tableColumn id="1" xr3:uid="{C46409A5-9201-4E30-A3EB-7B6FC2DAF473}" name="RECUPERO SUPERVISOR" dataDxfId="840">
      <calculatedColumnFormula>MAX(DITE_FEBRERO_2025[[#This Row],[1]:[31]])</calculatedColumnFormula>
    </tableColumn>
    <tableColumn id="2" xr3:uid="{445C2C89-5F44-46FD-8C70-EF4EE30F232E}" name="ALCANCE SUPERVISOR" dataDxfId="839">
      <calculatedColumnFormula>DITE_FEBRERO_2025[[#This Row],[RECUPERO SUPERVISOR]]/DITE_FEBRERO_2025[[#This Row],[META SUPER]]</calculatedColumnFormula>
    </tableColumn>
    <tableColumn id="4" xr3:uid="{55D4E2C7-B609-4C8C-A5DE-AABFFD74BEB8}" name="SUPER" dataDxfId="838"/>
    <tableColumn id="6" xr3:uid="{29925D04-B597-415A-B40B-62A3FBA8B23D}" name="1" dataDxfId="837"/>
    <tableColumn id="7" xr3:uid="{31865A72-E634-4CB8-8660-811FA8147632}" name="2" dataDxfId="836"/>
    <tableColumn id="8" xr3:uid="{C70A98A0-1CB0-425B-975B-D4464009CDD0}" name="3" dataDxfId="835"/>
    <tableColumn id="9" xr3:uid="{F56CF612-0AA5-44CB-878D-FA59D84052AD}" name="4" dataDxfId="834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833"/>
    <tableColumn id="11" xr3:uid="{A6DAF4DF-EAFF-47AB-9A6F-0B2896AE1A18}" name="17" dataDxfId="832"/>
    <tableColumn id="12" xr3:uid="{3DC03FF0-BAC6-4F5D-B5DE-18A95E2C1B97}" name="18" dataDxfId="831"/>
    <tableColumn id="13" xr3:uid="{A90729AA-CC5E-4236-924F-A736B7A4BE93}" name="19" dataDxfId="830"/>
    <tableColumn id="14" xr3:uid="{B48B5FF0-5C49-4DDC-AC33-B45D349AD044}" name="20" dataDxfId="829"/>
    <tableColumn id="15" xr3:uid="{D36E617E-0BBB-4BC1-BBF1-EB24E3C2CE90}" name="21" dataDxfId="828"/>
    <tableColumn id="16" xr3:uid="{BD346F05-FCC2-4EA9-8F0F-B55AB2E68BE0}" name="22" dataDxfId="827"/>
    <tableColumn id="17" xr3:uid="{F5BB9730-A5AE-4489-9CB0-182052BA6557}" name="23" dataDxfId="826"/>
    <tableColumn id="18" xr3:uid="{B3DEF063-7A67-4F08-9D09-8310B4B64F2B}" name="24" dataDxfId="825"/>
    <tableColumn id="19" xr3:uid="{558BE332-1E67-4EF7-9FF1-541A019A7066}" name="25" dataDxfId="824"/>
    <tableColumn id="20" xr3:uid="{073BAAB2-EF92-4A82-B7FE-8339FF3A62EA}" name="26" dataDxfId="823"/>
    <tableColumn id="21" xr3:uid="{6EC9D118-EB0A-4FDC-A694-0A630EB1048E}" name="27" dataDxfId="822"/>
    <tableColumn id="22" xr3:uid="{DFF298CB-C24B-4F90-BD14-F99C28391208}" name="28" dataDxfId="821"/>
    <tableColumn id="23" xr3:uid="{7EF0365B-2B81-4022-84F3-7A3859D35934}" name="29" dataDxfId="820"/>
    <tableColumn id="24" xr3:uid="{D92D6A29-5A30-4405-A019-D7F8F39E4176}" name="30" dataDxfId="819"/>
    <tableColumn id="25" xr3:uid="{9BFA1186-4A61-452A-8EAC-4FE410743029}" name="31" dataDxfId="818"/>
    <tableColumn id="3" xr3:uid="{5EBD9DD4-78E3-4E78-8FD5-A71A2DE2CBE8}" name="CARTERA" dataDxfId="817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816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815">
      <calculatedColumnFormula>D1_MARZO_2025[[#This Row],[RECUPERO]]/D1_MARZO_2025[[#This Row],[META]]</calculatedColumnFormula>
    </tableColumn>
    <tableColumn id="7" xr3:uid="{7155E541-BC22-41C0-914A-E54D790D436D}" name="SUPER2" dataDxfId="814"/>
    <tableColumn id="5" xr3:uid="{C9BC0167-A73A-4B66-AB0E-BCC22F3CD7BF}" name="ASESOR" dataDxfId="813"/>
    <tableColumn id="6" xr3:uid="{32E44CF1-7B46-45AA-916C-7D5322097EFD}" name="RECUPERO" dataDxfId="812"/>
    <tableColumn id="8" xr3:uid="{5504CD70-2376-413C-9DD9-7E1FC1D78F37}" name="DNI" dataDxfId="811"/>
    <tableColumn id="9" xr3:uid="{27659D49-6FC1-457B-BF33-A19DBF78CDF2}" name="FECHA DE INICIO" dataDxfId="810"/>
    <tableColumn id="10" xr3:uid="{79E50096-FDE3-4403-8568-FF008447BCC2}" name="ESTADO" dataDxfId="80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08" headerRowBorderDxfId="807" tableBorderDxfId="806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05">
      <calculatedColumnFormula>DATA_MARZO_2025[[#This Row],[RECUPERO]]/DATA_MARZO_2025[[#This Row],[META]]</calculatedColumnFormula>
    </tableColumn>
    <tableColumn id="3" xr3:uid="{6050B278-B3D2-4B4C-8475-D701C9B8AB17}" name="CLASIFICACIÓN" dataDxfId="804"/>
    <tableColumn id="1" xr3:uid="{A94CCC19-556A-4124-8949-24896CDBE45E}" name="SUPERVISOR" dataDxfId="803"/>
    <tableColumn id="6" xr3:uid="{EBBFD24C-8909-45B0-B8CB-4ED73B62F2AB}" name="RECUPERO" dataDxfId="802">
      <calculatedColumnFormula>SUM(DATA_MARZO_2025[[#This Row],[1]:[31]])</calculatedColumnFormula>
    </tableColumn>
    <tableColumn id="7" xr3:uid="{D5702432-6067-40C7-B647-63D5EBDD13C2}" name="META" dataDxfId="801"/>
    <tableColumn id="5" xr3:uid="{40A208DF-2D8B-4D71-B923-6BFFA76CDA11}" name="ASER_" dataDxfId="800"/>
    <tableColumn id="38" xr3:uid="{1F074B40-AB13-4BEE-BC21-9D178D274909}" name="1"/>
    <tableColumn id="41" xr3:uid="{936D83D8-C85E-4C4D-9E8D-BA3D7C54F99A}" name="2" dataDxfId="799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98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9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96" dataDxfId="794" headerRowBorderDxfId="795" tableBorderDxfId="793" totalsRowBorderDxfId="792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91"/>
    <tableColumn id="1" xr3:uid="{23B67F77-728E-46C0-B5B1-11CE8E08D862}" name="RECUPERO SUPERVISOR" dataDxfId="790">
      <calculatedColumnFormula>MAX(DITE_MARZO_2025[[#This Row],[1]:[31]])</calculatedColumnFormula>
    </tableColumn>
    <tableColumn id="2" xr3:uid="{0BAE08AE-6A16-447E-9DDD-8800D68BFFA3}" name="ALCANCE SUPERVISOR" dataDxfId="789">
      <calculatedColumnFormula>DITE_MARZO_2025[[#This Row],[RECUPERO SUPERVISOR]]/DITE_MARZO_2025[[#This Row],[META SUPER]]</calculatedColumnFormula>
    </tableColumn>
    <tableColumn id="4" xr3:uid="{663301EA-2B77-4C76-B8E0-713CAAD1AC41}" name="SUPER" dataDxfId="788"/>
    <tableColumn id="6" xr3:uid="{9A6FEB31-48E4-456F-8C1F-14055131E9D6}" name="1" dataDxfId="787"/>
    <tableColumn id="7" xr3:uid="{B8154FAF-39D2-4ED9-8DD7-C179156ECA39}" name="2" dataDxfId="786"/>
    <tableColumn id="8" xr3:uid="{E58A14C1-44D1-46A4-9137-21E70261FA76}" name="3" dataDxfId="785"/>
    <tableColumn id="9" xr3:uid="{EFDA2093-809C-4DA2-80F9-0388CCC5E290}" name="4" dataDxfId="784"/>
    <tableColumn id="10" xr3:uid="{634CF5F0-F36D-4B26-8143-8C3A6FB59216}" name="5" dataDxfId="783"/>
    <tableColumn id="11" xr3:uid="{77A0553B-7BDF-49B7-B459-701A77496BEA}" name="6" dataDxfId="782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81"/>
    <tableColumn id="13" xr3:uid="{C6D91E97-E16B-4E76-BE55-A08C2A1131DD}" name="18" dataDxfId="780"/>
    <tableColumn id="14" xr3:uid="{2A5F1078-A097-4171-BD28-7B9B623471D0}" name="19" dataDxfId="779"/>
    <tableColumn id="15" xr3:uid="{5E883D61-775A-4AD4-A304-156DCFD9F825}" name="20" dataDxfId="778"/>
    <tableColumn id="16" xr3:uid="{BEFB5788-590D-4EFA-8707-20BAAF7026F1}" name="21" dataDxfId="777"/>
    <tableColumn id="17" xr3:uid="{8FC06E69-FAE9-4DBE-9C75-7A6598DE29C6}" name="22" dataDxfId="776"/>
    <tableColumn id="18" xr3:uid="{966EC934-1D25-407E-AE13-8147AC3FF531}" name="23" dataDxfId="775"/>
    <tableColumn id="19" xr3:uid="{5437FF24-6F5D-412D-82EE-8C668C7DC853}" name="24" dataDxfId="774"/>
    <tableColumn id="20" xr3:uid="{204A7CBC-2C07-4027-851F-021033B930C1}" name="25" dataDxfId="773"/>
    <tableColumn id="21" xr3:uid="{DF491418-AC74-4C6A-852F-F0797487D11C}" name="26" dataDxfId="772"/>
    <tableColumn id="22" xr3:uid="{E184F0A4-EF1A-48F5-8166-10085FC40D13}" name="27" dataDxfId="771"/>
    <tableColumn id="23" xr3:uid="{66C12B87-BC6D-46BE-AF31-D0C68A22BC7E}" name="28" dataDxfId="770"/>
    <tableColumn id="24" xr3:uid="{A2DB9C74-4CB6-4BBF-A230-DF50FDE9380D}" name="29" dataDxfId="769"/>
    <tableColumn id="25" xr3:uid="{D54E02BE-AA16-43C7-ABD3-89326740EA63}" name="30" dataDxfId="768"/>
    <tableColumn id="26" xr3:uid="{11172EA7-856A-4297-8329-62917B649E9A}" name="31" dataDxfId="767"/>
    <tableColumn id="3" xr3:uid="{42C6AD34-2DFF-436B-BB22-6DE170226F44}" name="CARTERA" dataDxfId="766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765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64"/>
    <tableColumn id="5" xr3:uid="{D789E66F-CC8C-4715-A998-7AE532E85E8A}" name="ASESOR" dataDxfId="763"/>
    <tableColumn id="6" xr3:uid="{3455DB8A-5A64-4A8F-8153-2471763CA60D}" name="RECUPERO" dataDxfId="762"/>
    <tableColumn id="8" xr3:uid="{F8575E1F-78C1-4E15-B505-1AECE8857345}" name="DNI" dataDxfId="761"/>
    <tableColumn id="9" xr3:uid="{BE130F2A-9B67-45D5-AA49-051D2F0A515B}" name="FECHA DE INICIO" dataDxfId="760"/>
    <tableColumn id="10" xr3:uid="{31096FEC-094E-478E-A9F3-0023192798F0}" name="ESTADO" dataDxfId="75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758" headerRowBorderDxfId="757" tableBorderDxfId="756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755">
      <calculatedColumnFormula>DATA_ABRIL_2025[[#This Row],[RECUPERO]]/DATA_ABRIL_2025[[#This Row],[META]]</calculatedColumnFormula>
    </tableColumn>
    <tableColumn id="3" xr3:uid="{1B1E8B7A-D562-46FD-89DE-12ADBC7146F2}" name="CLASIFICACIÓN" dataDxfId="754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753"/>
    <tableColumn id="6" xr3:uid="{9C2D93B7-85A2-4E07-8DD4-3C81F7BF7EBF}" name="RECUPERO" dataDxfId="752">
      <calculatedColumnFormula>SUM(DATA_ABRIL_2025[[#This Row],[1]:[31]])</calculatedColumnFormula>
    </tableColumn>
    <tableColumn id="7" xr3:uid="{8F4173FF-BB8D-4C61-A5E9-1B6F872C619C}" name="META" dataDxfId="751"/>
    <tableColumn id="5" xr3:uid="{64151D2C-B822-41DF-8964-343214960730}" name="ASER_" dataDxfId="750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749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748" dataDxfId="746" headerRowBorderDxfId="747" tableBorderDxfId="745" totalsRowBorderDxfId="744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743"/>
    <tableColumn id="1" xr3:uid="{56AD13BC-F67F-4EBC-8601-073AD9D41E5D}" name="RECUPERO SUPERVISOR" dataDxfId="742">
      <calculatedColumnFormula>MAX(DITE_ABRIL_2025[[#This Row],[1]:[31]])</calculatedColumnFormula>
    </tableColumn>
    <tableColumn id="2" xr3:uid="{B40C8394-DA7A-4DDD-89EA-AE757C76DD20}" name="ALCANCE SUPERVISOR" dataDxfId="741">
      <calculatedColumnFormula>BA9/DITE_ABRIL_2025[[#This Row],[META SUPER]]</calculatedColumnFormula>
    </tableColumn>
    <tableColumn id="4" xr3:uid="{B71408F8-B985-4B11-8661-52EFC6FA8097}" name="SUPER" dataDxfId="740"/>
    <tableColumn id="6" xr3:uid="{9E37ADBB-A64C-4E4B-9AF4-6087C797FB5E}" name="1" dataDxfId="739"/>
    <tableColumn id="7" xr3:uid="{09E3EE83-45B5-4808-842B-71D4652DE46A}" name="2" dataDxfId="738"/>
    <tableColumn id="8" xr3:uid="{243F9102-2670-48D4-B25D-8432658D89F6}" name="3" dataDxfId="737"/>
    <tableColumn id="9" xr3:uid="{06003E0F-B470-4925-ACE4-1381347B3E87}" name="4" dataDxfId="736"/>
    <tableColumn id="10" xr3:uid="{DF8C4E72-181D-4E2F-A34D-2BB7FD231520}" name="5" dataDxfId="735"/>
    <tableColumn id="11" xr3:uid="{56E37C44-85E9-4431-A560-A54606105B9D}" name="6" dataDxfId="734"/>
    <tableColumn id="12" xr3:uid="{9ADEA573-5E4A-46C0-8569-AFED61AE0141}" name="7" dataDxfId="733"/>
    <tableColumn id="13" xr3:uid="{D44E56ED-D810-4F08-ACAA-0850A2CBA861}" name="8" dataDxfId="732"/>
    <tableColumn id="14" xr3:uid="{4F1A46EB-156C-42BB-A090-307A483EDA59}" name="9" dataDxfId="731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730"/>
    <tableColumn id="16" xr3:uid="{C78E77EC-88A1-4EFD-AD1A-7DF788C46683}" name="22" dataDxfId="729"/>
    <tableColumn id="17" xr3:uid="{D5FD8172-0B95-4406-9239-1ABAD08F1B45}" name="23" dataDxfId="728"/>
    <tableColumn id="18" xr3:uid="{8E9BAC3F-3B04-449B-88EE-DBF57FA626AC}" name="24" dataDxfId="727"/>
    <tableColumn id="19" xr3:uid="{BFA3B7EB-0BC7-4311-8FCE-7C69A9357A03}" name="25" dataDxfId="726"/>
    <tableColumn id="20" xr3:uid="{D2BE25CA-961F-40EE-9EC1-A49EEA4DDB5A}" name="26" dataDxfId="725"/>
    <tableColumn id="21" xr3:uid="{77AAB025-517F-4236-B11B-AEE9B7399348}" name="27" dataDxfId="724"/>
    <tableColumn id="22" xr3:uid="{E35C7392-A09A-482A-9C37-79B0D6711E60}" name="28" dataDxfId="723"/>
    <tableColumn id="23" xr3:uid="{B9F1E360-1FEC-4978-B5DB-3DECA1925AE9}" name="29" dataDxfId="722"/>
    <tableColumn id="24" xr3:uid="{89A20735-1F9D-4A38-9BEB-B3BD56D1FD35}" name="30" dataDxfId="721"/>
    <tableColumn id="25" xr3:uid="{4BE1A809-8A7F-4933-9AB7-B0E4C9CDDD7E}" name="31" dataDxfId="720"/>
    <tableColumn id="3" xr3:uid="{8BAF39B2-F0EB-433E-8F3A-FEAC89C5F9BF}" name="CARTERA" dataDxfId="719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718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717">
      <calculatedColumnFormula>D1_MAYO_2025[[#This Row],[RECUPERO]]/D1_MAYO_2025[[#This Row],[META]]</calculatedColumnFormula>
    </tableColumn>
    <tableColumn id="7" xr3:uid="{7C5F88F0-9FF3-49CF-BE68-2D455D9DEE81}" name="SUPER2" dataDxfId="716"/>
    <tableColumn id="5" xr3:uid="{5FAC7613-1036-4D50-9A09-AB4F41D88D12}" name="ASESOR" dataDxfId="715"/>
    <tableColumn id="6" xr3:uid="{373B07DA-C176-4486-843D-36C5A3043867}" name="RECUPERO" dataDxfId="714"/>
    <tableColumn id="8" xr3:uid="{CDBFB8A5-E15E-4513-B245-3523278CBBD2}" name="DNI" dataDxfId="713"/>
    <tableColumn id="9" xr3:uid="{64A6BF66-DB3B-4ED3-B1A9-2DF71B8D1ACE}" name="FECHA DE INICIO" dataDxfId="712"/>
    <tableColumn id="10" xr3:uid="{9DD10A75-AE91-4226-BF53-FBC3A38A3094}" name="ESTADO" dataDxfId="71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10" headerRowBorderDxfId="709" tableBorderDxfId="708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07">
      <calculatedColumnFormula>DATA_MAYO_2025[[#This Row],[RECUPERO]]/DATA_MAYO_2025[[#This Row],[META]]</calculatedColumnFormula>
    </tableColumn>
    <tableColumn id="3" xr3:uid="{8551335D-BE40-494B-A806-42FAA211C207}" name="CLASIFICACIÓN" dataDxfId="706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05"/>
    <tableColumn id="6" xr3:uid="{85DC5B94-4FF7-4224-A993-E56A00A5F6DA}" name="RECUPERO" dataDxfId="704">
      <calculatedColumnFormula>SUM(DATA_MAYO_2025[[#This Row],[1]:[31]])</calculatedColumnFormula>
    </tableColumn>
    <tableColumn id="7" xr3:uid="{E2EB46E1-D5BC-46B2-859F-8C05EBBE26F5}" name="META" dataDxfId="703"/>
    <tableColumn id="5" xr3:uid="{A8ED42EF-7F3D-47A1-A928-02CDC650D596}" name="ASER_" dataDxfId="702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01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00" dataDxfId="698" headerRowBorderDxfId="699" tableBorderDxfId="697" totalsRowBorderDxfId="696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95"/>
    <tableColumn id="1" xr3:uid="{E8B4D119-C811-4392-9EE6-8F0C79BEE9E9}" name="RECUPERO SUPERVISOR" dataDxfId="694">
      <calculatedColumnFormula>MAX(DITE_MAYO_2025[[#This Row],[1]:[31]])</calculatedColumnFormula>
    </tableColumn>
    <tableColumn id="2" xr3:uid="{B44E621C-D444-4670-8FB8-CA1A1E3293FE}" name="ALCANCE SUPERVISOR" dataDxfId="693">
      <calculatedColumnFormula>DITE_MAYO_2025[[#This Row],[RECUPERO SUPERVISOR]]/DITE_MAYO_2025[[#This Row],[META SUPER]]</calculatedColumnFormula>
    </tableColumn>
    <tableColumn id="4" xr3:uid="{63B60F11-ECE7-4839-BADE-F875CF35D6C8}" name="SUPER" dataDxfId="692"/>
    <tableColumn id="6" xr3:uid="{795F9848-930D-4B49-893D-00DA36A6069C}" name="1" dataDxfId="691"/>
    <tableColumn id="7" xr3:uid="{A0F1B09B-45CD-4449-B0E0-2A746353F5F6}" name="2" dataDxfId="690"/>
    <tableColumn id="8" xr3:uid="{42485F8E-3938-40CB-B75A-E12120AF085D}" name="3" dataDxfId="689"/>
    <tableColumn id="9" xr3:uid="{16CE59CD-D621-412D-8F6E-F5B8FEEFCBB4}" name="4" dataDxfId="688"/>
    <tableColumn id="10" xr3:uid="{D1B5939A-E95A-4BE2-BA16-796CFB62C7BB}" name="5" dataDxfId="687"/>
    <tableColumn id="11" xr3:uid="{42606FA2-25C4-48F7-BC25-B75CFBF93D7E}" name="6" dataDxfId="686"/>
    <tableColumn id="12" xr3:uid="{91DD2662-D657-4CF0-B378-5B3D9B374F80}" name="7" dataDxfId="685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84"/>
    <tableColumn id="14" xr3:uid="{FDAEFC46-2A8B-451E-929D-76EC4BC7CA39}" name="19" dataDxfId="683"/>
    <tableColumn id="15" xr3:uid="{1F944C9F-2359-45A9-8922-617195550B92}" name="20" dataDxfId="682"/>
    <tableColumn id="16" xr3:uid="{D023EA95-922B-4435-8A92-F165E2F3A560}" name="21" dataDxfId="681"/>
    <tableColumn id="17" xr3:uid="{7AC3BA92-E630-483B-B27E-18C40869116B}" name="22" dataDxfId="680"/>
    <tableColumn id="18" xr3:uid="{3609A57C-B1DB-4D87-9574-007183221000}" name="23" dataDxfId="679"/>
    <tableColumn id="19" xr3:uid="{98740490-1047-4343-85C8-834AE6AF935A}" name="24" dataDxfId="678"/>
    <tableColumn id="20" xr3:uid="{CE682DBD-B5A8-49C9-8A73-515C0BB553A8}" name="25" dataDxfId="677"/>
    <tableColumn id="21" xr3:uid="{2C63A6DB-A36B-488F-8D7C-F86E11CED59A}" name="26" dataDxfId="676"/>
    <tableColumn id="22" xr3:uid="{01511E88-F7F3-4FDD-998C-292B28698241}" name="27" dataDxfId="675"/>
    <tableColumn id="23" xr3:uid="{B0CE642E-7F10-4E00-9DD1-FC5CF0499DC2}" name="28" dataDxfId="674"/>
    <tableColumn id="24" xr3:uid="{EE9469B0-D486-4046-8AA2-36629B9D9667}" name="29" dataDxfId="673"/>
    <tableColumn id="25" xr3:uid="{D05B2A45-8E05-43BB-9FFA-CC56C7D8C31E}" name="30" dataDxfId="672"/>
    <tableColumn id="26" xr3:uid="{AE78D865-FDC9-4B75-AADF-A48F19C319DC}" name="31" dataDxfId="671"/>
    <tableColumn id="3" xr3:uid="{0887DE9C-F035-4EEC-B2F4-4C2CEB11922C}" name="CARTERA" dataDxfId="670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669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68"/>
    <tableColumn id="5" xr3:uid="{1BF578D9-FB1B-48B0-B732-40F721FD7C19}" name="ASESOR" dataDxfId="667"/>
    <tableColumn id="6" xr3:uid="{CA995F17-DCA5-4D19-B2E1-FD9362121A39}" name="RECUPERO"/>
    <tableColumn id="8" xr3:uid="{9BC620F7-3E10-4417-B0EA-F37D1F039447}" name="DNI" dataDxfId="666"/>
    <tableColumn id="9" xr3:uid="{0CBCBA61-9BA1-4E3D-B6CE-38E6C9A1078C}" name="FECHA DE INICIO" dataDxfId="665"/>
    <tableColumn id="10" xr3:uid="{3A23F58F-8B92-4D7C-82D9-23C8B3B51E6F}" name="ESTADO" dataDxfId="664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663" headerRowBorderDxfId="662" tableBorderDxfId="661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660">
      <calculatedColumnFormula>DATA_JUNIO_2025[[#This Row],[RECUPERO]]/DATA_JUNIO_2025[[#This Row],[META]]</calculatedColumnFormula>
    </tableColumn>
    <tableColumn id="3" xr3:uid="{78E201C6-658E-4437-AC52-3D0E669D8389}" name="CLASIFICACIÓN" dataDxfId="659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658"/>
    <tableColumn id="6" xr3:uid="{3AD4A449-DB0B-4879-AD61-28FA40E45717}" name="RECUPERO" dataDxfId="657">
      <calculatedColumnFormula>SUM(DATA_JUNIO_2025[[#This Row],[1]:[31]])</calculatedColumnFormula>
    </tableColumn>
    <tableColumn id="7" xr3:uid="{2BD9FB92-38FC-44A8-B5F2-890569E48C37}" name="META" dataDxfId="656"/>
    <tableColumn id="5" xr3:uid="{9812F1F1-AB5A-41A6-A84D-86B290FCB7E7}" name="ASER_" dataDxfId="655"/>
    <tableColumn id="37" xr3:uid="{834796BA-53F4-4194-919E-D8B97FEA7F3F}" name="1" dataDxfId="654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653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652" dataDxfId="650" headerRowBorderDxfId="651" tableBorderDxfId="649" totalsRowBorderDxfId="648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647"/>
    <tableColumn id="1" xr3:uid="{1A75BF93-811F-4AFA-86B4-9AD496200913}" name="RECUPERO SUPERVISOR" dataDxfId="646"/>
    <tableColumn id="2" xr3:uid="{60B107BC-0938-4363-BE59-47C4E7777D14}" name="ALCANCE SUPERVISOR" dataDxfId="645">
      <calculatedColumnFormula>DITE_JUNIO_2025[[#This Row],[RECUPERO SUPERVISOR]]/DITE_JUNIO_2025[[#This Row],[META SUPER]]</calculatedColumnFormula>
    </tableColumn>
    <tableColumn id="4" xr3:uid="{846684E8-1F2C-4021-AB12-AFBE9E56FAA4}" name="SUPER" dataDxfId="644"/>
    <tableColumn id="6" xr3:uid="{A217DEAD-ACD7-4C63-A622-E2E01ECF328C}" name="1" dataDxfId="643"/>
    <tableColumn id="7" xr3:uid="{5CA18C0A-7D47-455B-B153-EFA8D01D32D6}" name="2" dataDxfId="642"/>
    <tableColumn id="8" xr3:uid="{3CBBE086-E28B-4224-AF45-5A4E7A009E3F}" name="3" dataDxfId="641"/>
    <tableColumn id="9" xr3:uid="{4B327145-F7C9-4ABC-A911-6EB2E553C986}" name="4" dataDxfId="640"/>
    <tableColumn id="10" xr3:uid="{C644450F-2149-4D87-8E04-D3DD6B99C066}" name="5" dataDxfId="639"/>
    <tableColumn id="11" xr3:uid="{92D6DA00-2083-479D-96F6-4B48312C9C12}" name="6" dataDxfId="638"/>
    <tableColumn id="12" xr3:uid="{2EC613D6-BDCD-416F-817F-42C8018B90FE}" name="7" dataDxfId="637"/>
    <tableColumn id="13" xr3:uid="{B55C5834-2D46-4D83-8429-14D18D9B95EF}" name="8" dataDxfId="636"/>
    <tableColumn id="14" xr3:uid="{5C6DF4C8-EDC0-4827-AA8B-9C2B7202A4DA}" name="9" dataDxfId="635"/>
    <tableColumn id="15" xr3:uid="{764D7AA1-F3E2-4E06-A4A9-952B47F95E76}" name="10" dataDxfId="634"/>
    <tableColumn id="16" xr3:uid="{6D896E44-118D-4124-BF4A-2E06B8568517}" name="11" dataDxfId="633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632"/>
    <tableColumn id="18" xr3:uid="{E97C32F3-7B30-46E7-B4CD-72B412E48E28}" name="22" dataDxfId="631"/>
    <tableColumn id="19" xr3:uid="{FD784BF8-211E-4275-A9B4-168979C2AFD1}" name="23" dataDxfId="630"/>
    <tableColumn id="20" xr3:uid="{766DA9FA-C407-4AC5-BFFB-BF6A1B6D5B26}" name="24" dataDxfId="629"/>
    <tableColumn id="21" xr3:uid="{CD1B765C-53CF-4C5C-A708-487BC53AF68A}" name="25" dataDxfId="628"/>
    <tableColumn id="22" xr3:uid="{2800A805-A560-4CF0-B47E-4486A92755E4}" name="26" dataDxfId="627"/>
    <tableColumn id="23" xr3:uid="{7067EFFA-F2EA-4FFF-A281-8E3E0E718C87}" name="27" dataDxfId="626"/>
    <tableColumn id="24" xr3:uid="{BB01C4B5-FEB4-44E1-BF58-4C9BF81261B1}" name="28" dataDxfId="625"/>
    <tableColumn id="25" xr3:uid="{2116D7DE-6632-4314-9539-6B4BA9407512}" name="29" dataDxfId="624"/>
    <tableColumn id="37" xr3:uid="{CBFA4429-3DA2-46C7-A9A0-49B669AE33A6}" name="30"/>
    <tableColumn id="26" xr3:uid="{B0D188FD-F41F-4C43-A42F-87048D9F3347}" name="31" dataDxfId="623"/>
    <tableColumn id="3" xr3:uid="{153A774F-FA3D-4DE9-A743-A193E9EC2BE7}" name="CARTERA" dataDxfId="62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621" headerRowBorderDxfId="620" tableBorderDxfId="619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618">
      <calculatedColumnFormula>DATA_JULIO_2025[[#This Row],[RECUPERO]]/DATA_JULIO_2025[[#This Row],[META]]</calculatedColumnFormula>
    </tableColumn>
    <tableColumn id="3" xr3:uid="{1754C817-3C23-490F-BEA3-3ACD2AC34A65}" name="CLASIFICACIÓN" dataDxfId="617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16"/>
    <tableColumn id="6" xr3:uid="{BCDF5A35-E274-481A-8FAA-7585E0413D78}" name="RECUPERO" dataDxfId="615">
      <calculatedColumnFormula>SUM(DATA_JULIO_2025[[#This Row],[1]:[31]])</calculatedColumnFormula>
    </tableColumn>
    <tableColumn id="7" xr3:uid="{8DE1FEE0-51D3-4EA8-A46E-89BEBA12056E}" name="META" dataDxfId="614"/>
    <tableColumn id="1" xr3:uid="{3C41F150-757E-4673-8594-D891B2820E33}" name="ASER_" dataDxfId="613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12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610" headerRowBorderDxfId="611" tableBorderDxfId="609">
  <autoFilter ref="A2:J85" xr:uid="{F460AB3C-55A7-4610-B74D-44400B82E396}"/>
  <tableColumns count="10">
    <tableColumn id="1" xr3:uid="{174E92CC-5FBB-42E6-ABBA-A2148115201A}" name="SUPER" dataDxfId="608">
      <calculatedColumnFormula>D1_JULIO_2025[[#This Row],[SUPER2]]</calculatedColumnFormula>
    </tableColumn>
    <tableColumn id="6" xr3:uid="{D87E1435-21B2-485D-8BCD-1C27FC523EEA}" name="ASESOR_CRR" dataDxfId="607"/>
    <tableColumn id="2" xr3:uid="{FC570054-965C-4F29-B04A-C58608AEAECA}" name="META" dataDxfId="606">
      <calculatedColumnFormula>VLOOKUP(D1_JULIO_2025[[#This Row],[SUPER]],DATA_JULIO_2025[[SUPERVISOR]:[META]],3,0)</calculatedColumnFormula>
    </tableColumn>
    <tableColumn id="3" xr3:uid="{CF023A93-4AFB-4349-9235-179A60BC2249}" name="ALCANCE" dataDxfId="605">
      <calculatedColumnFormula>D1_JULIO_2025[[#This Row],[RECUPERO]]/C3</calculatedColumnFormula>
    </tableColumn>
    <tableColumn id="7" xr3:uid="{59576C9E-00A8-419A-8EFC-86D74D6B4B3F}" name="SUPER2" dataDxfId="604"/>
    <tableColumn id="4" xr3:uid="{6F567985-92B6-498E-BDE9-81AA438ECD22}" name="ASESOR" dataDxfId="603"/>
    <tableColumn id="5" xr3:uid="{2DFC340F-6B74-4E64-B475-782D4A5F8B3E}" name="RECUPERO" dataDxfId="602"/>
    <tableColumn id="8" xr3:uid="{D42D0BDD-24C5-4390-9867-D5F3D45952CE}" name="DNI" dataDxfId="601"/>
    <tableColumn id="9" xr3:uid="{A9555617-B6CF-4123-9AD8-5E9DB6528E74}" name="FECHA DE INICIO" dataDxfId="600"/>
    <tableColumn id="10" xr3:uid="{1C792B0A-E0F3-406D-8123-75E932FC95A1}" name="ESTADO" dataDxfId="599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98" dataDxfId="596" headerRowBorderDxfId="597" tableBorderDxfId="595" totalsRowBorderDxfId="59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93"/>
    <tableColumn id="1" xr3:uid="{4CE2BFB4-C324-4ECE-B3B7-77A433373BEC}" name="RECUPERO SUPERVISOR" dataDxfId="592"/>
    <tableColumn id="2" xr3:uid="{76C6BCA1-6820-46A6-B790-01B3E88F6266}" name="ALCANCE SUPERVISOR" dataDxfId="591">
      <calculatedColumnFormula>BA9/DITE_JULIO_2025[[#This Row],[META SUPER]]</calculatedColumnFormula>
    </tableColumn>
    <tableColumn id="4" xr3:uid="{FE9C5289-6F21-4D71-92B6-F36B6C9748E7}" name="SUPER" dataDxfId="590"/>
    <tableColumn id="6" xr3:uid="{A5188244-D142-4196-92CC-15B237C3E734}" name="1" dataDxfId="589"/>
    <tableColumn id="7" xr3:uid="{9754BD88-AFD1-4BCB-AF69-DA7B55E3A053}" name="2" dataDxfId="588"/>
    <tableColumn id="8" xr3:uid="{851C8CA8-D257-4BFB-B6BE-D82354200CA7}" name="3" dataDxfId="587"/>
    <tableColumn id="9" xr3:uid="{AE769B63-903F-46E5-A3F0-8DA27C689974}" name="4" dataDxfId="586"/>
    <tableColumn id="10" xr3:uid="{D09A5961-EE10-491A-BFFE-C5ABD80598A8}" name="5" dataDxfId="585"/>
    <tableColumn id="11" xr3:uid="{EC4AF483-303E-4488-AFA2-DD9A058F071A}" name="6" dataDxfId="58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83"/>
    <tableColumn id="13" xr3:uid="{377D024A-00DD-4A77-A549-5C6BEBE894D0}" name="19" dataDxfId="582"/>
    <tableColumn id="14" xr3:uid="{8FABF999-C8BA-4B7D-980A-2659F766178B}" name="20" dataDxfId="581"/>
    <tableColumn id="15" xr3:uid="{06AC6AD7-A191-47DD-AE3F-9A0525AF8DD6}" name="21" dataDxfId="580"/>
    <tableColumn id="16" xr3:uid="{BB465107-63D7-443B-8989-EF197F62D322}" name="22" dataDxfId="579"/>
    <tableColumn id="17" xr3:uid="{3DFE5CBD-1315-4CBA-A14E-1763583D7BEC}" name="23" dataDxfId="578"/>
    <tableColumn id="18" xr3:uid="{5DB3135E-36A1-4F0D-890E-50AC461B96C4}" name="24" dataDxfId="577"/>
    <tableColumn id="19" xr3:uid="{57CA79FE-F6A3-4697-8926-36322AD1BC6C}" name="25" dataDxfId="576"/>
    <tableColumn id="20" xr3:uid="{A99C4302-A806-4344-ABAF-AF753E7EF30D}" name="26" dataDxfId="575"/>
    <tableColumn id="21" xr3:uid="{D1C3F20A-0988-4CC4-8D06-ED3EE15A7AB1}" name="27" dataDxfId="574"/>
    <tableColumn id="22" xr3:uid="{ECEC5739-F3E4-44C4-9408-4DAA6DE5069C}" name="28" dataDxfId="573"/>
    <tableColumn id="23" xr3:uid="{CD77FB96-6C17-47A0-82BA-2ABEA1725A41}" name="29" dataDxfId="572"/>
    <tableColumn id="24" xr3:uid="{87D0EFA1-B9FB-444F-B737-EE4C1B838FBC}" name="30" dataDxfId="571"/>
    <tableColumn id="25" xr3:uid="{BF0F5A29-80D1-482F-9C53-48E4478A5F1D}" name="31" dataDxfId="570"/>
    <tableColumn id="3" xr3:uid="{51B2E01F-098B-4EAB-AB37-99A7A456DDF6}" name="CARTERA" dataDxfId="56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567" headerRowBorderDxfId="568" tableBorderDxfId="566">
  <autoFilter ref="A2:J91" xr:uid="{816CEBCE-101B-42C2-A45C-8113A647428A}"/>
  <tableColumns count="10">
    <tableColumn id="1" xr3:uid="{596664E6-24CF-4AF3-A84D-121AC4745B4C}" name="SUPER" dataDxfId="565"/>
    <tableColumn id="6" xr3:uid="{CA4B13E9-2CAB-42E2-A028-4DFB844CF726}" name="ASESOR_CRR" dataDxfId="564"/>
    <tableColumn id="2" xr3:uid="{B3C2F90C-6F59-4998-9F82-960596BF09D8}" name="META" dataDxfId="563">
      <calculatedColumnFormula>VLOOKUP(D1_AGOSTO_2025[[#This Row],[SUPER]],DATA_AGOSTO_2025[[SUPERVISOR]:[META]],3,0)</calculatedColumnFormula>
    </tableColumn>
    <tableColumn id="3" xr3:uid="{6CE379C4-19C8-4C90-81DB-EA83E873B03A}" name="ALCANCE" dataDxfId="562"/>
    <tableColumn id="7" xr3:uid="{28AC502F-3113-4B59-AA88-4F9E0E7D938B}" name="SUPER2" dataDxfId="561"/>
    <tableColumn id="4" xr3:uid="{9AE19661-0B03-4D03-9661-4B81FCE456D3}" name="ASESOR" dataDxfId="560"/>
    <tableColumn id="5" xr3:uid="{9CCAC285-FD2E-415B-BE6E-AD7E20CECF29}" name="RECUPERO" dataDxfId="559">
      <calculatedColumnFormula>VLOOKUP(D1_AGOSTO_2025[[#This Row],[ASESOR]],$E$95:$F$176,2,0)</calculatedColumnFormula>
    </tableColumn>
    <tableColumn id="8" xr3:uid="{043E81D5-B688-480A-9A28-C451E6CC8ACE}" name="DNI" dataDxfId="558"/>
    <tableColumn id="9" xr3:uid="{1F9CE105-EFA8-4FFE-9C5C-0AB581B961DE}" name="FECHA DE INICIO" dataDxfId="557"/>
    <tableColumn id="10" xr3:uid="{6CA7DA08-8CCF-441D-AE86-422E2259780A}" name="ESTADO" dataDxfId="556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555" headerRowBorderDxfId="554" tableBorderDxfId="553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552">
      <calculatedColumnFormula>DATA_AGOSTO_2025[[#This Row],[RECUPERO]]/DATA_AGOSTO_2025[[#This Row],[META]]</calculatedColumnFormula>
    </tableColumn>
    <tableColumn id="3" xr3:uid="{88C3CECE-F881-4C05-BA2B-95B253894A39}" name="CLASIFICACIÓN" dataDxfId="551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550"/>
    <tableColumn id="6" xr3:uid="{40820BC6-7E2D-416A-AC23-B4520FC0957D}" name="RECUPERO" dataDxfId="549">
      <calculatedColumnFormula>SUM(DATA_AGOSTO_2025[[#This Row],[1]:[31]])</calculatedColumnFormula>
    </tableColumn>
    <tableColumn id="7" xr3:uid="{F7BC8835-EC2E-4047-8AE9-C742ABE03445}" name="META" dataDxfId="548"/>
    <tableColumn id="5" xr3:uid="{22298E20-98EB-421A-8978-F019348D2A10}" name="ASER_" dataDxfId="547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546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545" dataDxfId="543" headerRowBorderDxfId="544" tableBorderDxfId="542" totalsRowBorderDxfId="541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540"/>
    <tableColumn id="1" xr3:uid="{D853C78B-294B-4C5B-87F9-8B837DBCA858}" name="RECUPERO SUPERVISOR" dataDxfId="539">
      <calculatedColumnFormula>MAX(DITE_AGOSTO_2025[[#This Row],[1]:[31]])</calculatedColumnFormula>
    </tableColumn>
    <tableColumn id="2" xr3:uid="{A6B49739-8C7F-42B7-AB2B-2D9B8785D8A7}" name="ALCANCE SUPERVISOR" dataDxfId="538">
      <calculatedColumnFormula>DITE_AGOSTO_2025[[#This Row],[RECUPERO SUPERVISOR]]/DITE_AGOSTO_2025[[#This Row],[META SUPER]]</calculatedColumnFormula>
    </tableColumn>
    <tableColumn id="4" xr3:uid="{96D2A1C2-9EA3-4132-B41A-8B57BBB00DD3}" name="SUPER" dataDxfId="537"/>
    <tableColumn id="6" xr3:uid="{49EEE6CA-AF7B-4615-AE46-CA713F4E9209}" name="1" dataDxfId="536"/>
    <tableColumn id="7" xr3:uid="{61649C96-BFE5-4D18-BCE1-727E2E74D883}" name="2" dataDxfId="535"/>
    <tableColumn id="8" xr3:uid="{3D095B63-6086-4E9E-85B2-511507890CD8}" name="3" dataDxfId="534"/>
    <tableColumn id="9" xr3:uid="{36CD21E6-51F3-49C9-8448-36B269029EF6}" name="4" dataDxfId="533"/>
    <tableColumn id="10" xr3:uid="{D4DBAD01-5AE1-474A-AF64-A98DFD56153A}" name="5" dataDxfId="532"/>
    <tableColumn id="11" xr3:uid="{FDF3CA30-E7DF-4684-9747-03744CC16AAE}" name="6" dataDxfId="531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530"/>
    <tableColumn id="13" xr3:uid="{55EA3D15-E74B-4AB3-B0D5-B387C3EAAB83}" name="19" dataDxfId="529"/>
    <tableColumn id="14" xr3:uid="{507E3CA9-692F-4A2D-BA96-B401D04EEDD0}" name="20" dataDxfId="528"/>
    <tableColumn id="15" xr3:uid="{E5F719C0-0646-408A-976E-C57966E876F4}" name="21" dataDxfId="527"/>
    <tableColumn id="16" xr3:uid="{8AC2AE0D-50EC-4387-A0A4-A1F2DF092A3C}" name="22" dataDxfId="526"/>
    <tableColumn id="17" xr3:uid="{7B1EE470-E258-4B37-BEC3-E798950632D8}" name="23" dataDxfId="525"/>
    <tableColumn id="18" xr3:uid="{F77C3800-E94B-4C32-A796-122D364094EA}" name="24" dataDxfId="524"/>
    <tableColumn id="19" xr3:uid="{0DA4161D-30F3-4E97-BCBB-4C1E891B36FB}" name="25" dataDxfId="523"/>
    <tableColumn id="20" xr3:uid="{94B916D9-415F-4F66-A6C0-0EE398A152E9}" name="26" dataDxfId="522"/>
    <tableColumn id="21" xr3:uid="{D814BC25-89A4-4A6B-B889-6BF06DD3D2EC}" name="27" dataDxfId="521"/>
    <tableColumn id="22" xr3:uid="{7DEFEDE7-498F-4CCF-A7C2-F63ACE1BA092}" name="28" dataDxfId="520"/>
    <tableColumn id="23" xr3:uid="{CA36A7C5-BBBD-47FB-AAB4-1F5CBDA1EE93}" name="29" dataDxfId="519"/>
    <tableColumn id="24" xr3:uid="{958DFD93-9566-47EC-807E-E21861CB1F39}" name="30" dataDxfId="518"/>
    <tableColumn id="25" xr3:uid="{C690FBB6-6A9F-4B4D-AEF8-49C27DFF4FCF}" name="31" dataDxfId="517"/>
    <tableColumn id="3" xr3:uid="{C5283215-E8BB-41D8-B093-AA31F8252394}" name="CARTERA" dataDxfId="516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14" headerRowBorderDxfId="515" tableBorderDxfId="513">
  <autoFilter ref="A2:I80" xr:uid="{111BC5E6-A71D-437E-ABD5-0E09FCDEF3FD}"/>
  <tableColumns count="9">
    <tableColumn id="1" xr3:uid="{EABDBA5F-3C1B-4AC8-8F40-8C9EED5560F3}" name="SUPER" dataDxfId="512"/>
    <tableColumn id="6" xr3:uid="{C37701A2-99CA-45B9-AA89-63D54C88C5B9}" name="ASESOR_CRR" dataDxfId="511"/>
    <tableColumn id="2" xr3:uid="{8360BA59-782B-4699-ABEA-458A3C9299AD}" name="RECUP" dataDxfId="510"/>
    <tableColumn id="3" xr3:uid="{BD5C8833-8CBB-40D9-BC66-F164208CFEC0}" name="ALCANCE" dataDxfId="509"/>
    <tableColumn id="7" xr3:uid="{07FA8551-F17A-4D20-BAC6-4B128B0ECF57}" name="SUPER2" dataDxfId="508"/>
    <tableColumn id="4" xr3:uid="{91470BB1-1A8E-4802-9D93-28E5A1DF6790}" name="ASESOR" dataDxfId="507"/>
    <tableColumn id="5" xr3:uid="{2B49EE5D-87EB-458C-99B1-7F94B8EDDE4B}" name="RECUPERO" dataDxfId="506"/>
    <tableColumn id="8" xr3:uid="{1A69791E-D827-4498-A9B8-C02ED9E8C0C0}" name="DNI" dataDxfId="505"/>
    <tableColumn id="9" xr3:uid="{17EC964E-623C-4526-9375-D1DFD0BBB147}" name="FECHA DE INGRESO" dataDxfId="504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03" headerRowBorderDxfId="502" tableBorderDxfId="501">
  <autoFilter ref="J8:O86" xr:uid="{91775BD2-E36D-479B-95DE-48127C3410BC}"/>
  <tableColumns count="6">
    <tableColumn id="2" xr3:uid="{033A6CF7-EC22-4EEE-8FF0-8C343161421D}" name="AL_AC" dataDxfId="500"/>
    <tableColumn id="3" xr3:uid="{2234E43A-FB04-4BD5-A5FB-BE681630D39D}" name="CLASIFICACIÓN" dataDxfId="499"/>
    <tableColumn id="1" xr3:uid="{E68E03C4-584B-48EC-AA41-D10E171DF6E2}" name="SUPERVISOR" dataDxfId="498"/>
    <tableColumn id="6" xr3:uid="{8FEE60A3-7153-47ED-82A3-25E3E95BD5B9}" name="RECUPERO" dataDxfId="497"/>
    <tableColumn id="5" xr3:uid="{96DEFE26-B796-4F9F-BB26-62A9B1295009}" name="META" dataDxfId="496"/>
    <tableColumn id="4" xr3:uid="{98491906-C3E6-4CCF-96D0-36184A648156}" name="ASER_" dataDxfId="495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94" dataDxfId="492" headerRowBorderDxfId="493" tableBorderDxfId="491" totalsRowBorderDxfId="490">
  <autoFilter ref="Q8:AQ16" xr:uid="{B03330B9-97D2-48C8-8B43-740321917DA5}"/>
  <tableColumns count="27">
    <tableColumn id="5" xr3:uid="{4E3B6BB8-3B21-487C-8667-D21D7F0B0DDF}" name="META SUPER" dataDxfId="489"/>
    <tableColumn id="1" xr3:uid="{C390EAAF-612A-443A-A32B-07A66CB5EF93}" name="RECUPERO SUPERVISOR" dataDxfId="488"/>
    <tableColumn id="2" xr3:uid="{BF66D468-0BA9-433F-A558-DB3EB49638C0}" name="ALCANCE SUPERVISOR" dataDxfId="487"/>
    <tableColumn id="4" xr3:uid="{833C2FF4-09CC-46A1-B127-078899129ED2}" name="SUPER" dataDxfId="486"/>
    <tableColumn id="6" xr3:uid="{7268ABE3-61CC-4084-9F8D-F9F866838337}" name="1-Set" dataDxfId="485"/>
    <tableColumn id="7" xr3:uid="{934984E8-2516-4844-B21B-29330A07EEE9}" name="2-Set" dataDxfId="484"/>
    <tableColumn id="8" xr3:uid="{5F8B97B9-8D43-4455-9D8F-E58FD0EDAC17}" name="3-Set" dataDxfId="483"/>
    <tableColumn id="9" xr3:uid="{85D24C9E-9252-4D30-9E54-18DBF77A6C70}" name="4-Set" dataDxfId="482"/>
    <tableColumn id="10" xr3:uid="{5A78F08C-1794-450A-88A4-F02CE65D2409}" name="5-Set" dataDxfId="481"/>
    <tableColumn id="11" xr3:uid="{C9868C58-D704-4A31-95DB-6D8FBCC63D90}" name="8-Set" dataDxfId="480"/>
    <tableColumn id="12" xr3:uid="{5A69AB6F-1CBE-456F-9AB1-9CFA02551564}" name="9-Set" dataDxfId="479"/>
    <tableColumn id="13" xr3:uid="{2FB09AC7-C3A6-45CD-8892-0B683DF946C3}" name="10-Set" dataDxfId="478"/>
    <tableColumn id="14" xr3:uid="{B8720ED9-AC2B-41EC-BFA3-A12BF9C966CC}" name="11-Set" dataDxfId="477"/>
    <tableColumn id="15" xr3:uid="{31CBBA73-A7BD-468C-BD0B-435687D2ACAD}" name="12-Set" dataDxfId="476"/>
    <tableColumn id="16" xr3:uid="{02C13EA1-381F-4C2D-B917-AF0FF1A9F773}" name="15-Set" dataDxfId="475"/>
    <tableColumn id="17" xr3:uid="{E6B04D90-5126-40CD-BDA1-E2B120BAD73C}" name="16-Set" dataDxfId="474"/>
    <tableColumn id="18" xr3:uid="{7CB5014E-CB0D-4F8A-A9D7-BD9A166A1B37}" name="17-Set" dataDxfId="473"/>
    <tableColumn id="19" xr3:uid="{040ABF10-1BFC-447A-AE21-D052CBC2ED82}" name="18-Set" dataDxfId="472"/>
    <tableColumn id="20" xr3:uid="{44DFBCB9-0C1E-48F5-ACC2-AC0990D1520D}" name="19-Set" dataDxfId="471"/>
    <tableColumn id="21" xr3:uid="{AFFC2ABC-F24F-4F16-B5DD-03747097DBCC}" name="22-Set" dataDxfId="470"/>
    <tableColumn id="22" xr3:uid="{E8A652BF-A601-498B-965E-DF95F032A19E}" name="23-Set" dataDxfId="469"/>
    <tableColumn id="23" xr3:uid="{E1A1F3EC-A932-4B54-BD80-6B3004BAC18C}" name="24-Set" dataDxfId="468"/>
    <tableColumn id="24" xr3:uid="{7F5C1B88-4DF8-4775-AEFB-F5F5D12AD778}" name="25-Set" dataDxfId="467"/>
    <tableColumn id="25" xr3:uid="{B40C371A-A255-4AD7-B43D-47350B1FF421}" name="26-Set" dataDxfId="466"/>
    <tableColumn id="26" xr3:uid="{AFFE8D31-2DD6-4039-8ED5-AD63D5758F88}" name="29-Set" dataDxfId="465"/>
    <tableColumn id="27" xr3:uid="{041693B7-E11C-4B55-8C93-8CFB39922E84}" name="30-Set" dataDxfId="464"/>
    <tableColumn id="3" xr3:uid="{1DAB60E5-FA3D-4422-89D0-AD46643BF45E}" name="CARTERA" dataDxfId="463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462"/>
    <tableColumn id="5" xr3:uid="{2D06A3B4-3271-49A3-9C7C-FFC311CAB0D8}" name="ASESOR"/>
    <tableColumn id="6" xr3:uid="{7C83291E-5126-4377-B991-EBB23328360F}" name="RECUPERO" dataDxfId="461">
      <calculatedColumnFormula>VLOOKUP(D1_OCTUBRE_2025[[#This Row],[ASESOR]],F78:$G$155,2,0)</calculatedColumnFormula>
    </tableColumn>
    <tableColumn id="8" xr3:uid="{7F2D2756-92A6-4522-A15C-2F10A82AAD95}" name="DNI" dataDxfId="460"/>
    <tableColumn id="9" xr3:uid="{B01E98C6-A76C-417B-B7FA-B0F1C8C2C7C6}" name="FECHA DE INICIO" dataDxfId="459"/>
    <tableColumn id="10" xr3:uid="{DEB6156D-2B0C-4157-8EE4-0EE1578CCF4A}" name="ESTADO" dataDxfId="458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457" tableBorderDxfId="456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455">
      <calculatedColumnFormula>DATA_OCTUBRE_2025[[#This Row],[RECUPERO]]/DATA_OCTUBRE_2025[[#This Row],[META]]</calculatedColumnFormula>
    </tableColumn>
    <tableColumn id="3" xr3:uid="{EE681579-D463-48E9-A57F-B73D04925E37}" name="CLASIFICACIÓN" dataDxfId="454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453"/>
    <tableColumn id="6" xr3:uid="{3B45E8CF-4BCD-492C-B1A3-3E157855AA4E}" name="RECUPERO" dataDxfId="452">
      <calculatedColumnFormula>SUM(DATA_OCTUBRE_2025[[#This Row],[1]:[31]])</calculatedColumnFormula>
    </tableColumn>
    <tableColumn id="7" xr3:uid="{2D762908-0860-493B-A482-9514EAD41E9B}" name="META" dataDxfId="451"/>
    <tableColumn id="4" xr3:uid="{B03F71B4-D73E-47CB-8F19-B1EBCB980D51}" name="ASER_" dataDxfId="450"/>
    <tableColumn id="8" xr3:uid="{DADEF8E1-B4EF-4A54-BDEA-772F65B2659B}" name="1" dataDxfId="449"/>
    <tableColumn id="9" xr3:uid="{09759773-B387-4885-980B-3377FCF2784C}" name="2" dataDxfId="448"/>
    <tableColumn id="10" xr3:uid="{0BEF3C74-7822-4935-9DEF-DBB8EF94B2E8}" name="3" dataDxfId="447"/>
    <tableColumn id="11" xr3:uid="{AB623BA8-8BC3-4899-82B4-0D2F75C64AC1}" name="4" dataDxfId="446"/>
    <tableColumn id="12" xr3:uid="{F3FF380C-FA1C-400D-953D-2426EC1D78FF}" name="5" dataDxfId="445"/>
    <tableColumn id="13" xr3:uid="{513A526B-B8DC-4F0A-BB71-A3C5DCBEE598}" name="6" dataDxfId="444"/>
    <tableColumn id="14" xr3:uid="{FE79AC7F-62E7-4115-BE1B-AAF936521653}" name="7" dataDxfId="443"/>
    <tableColumn id="15" xr3:uid="{68C170E4-F271-468B-91F8-3408D287CC52}" name="8" dataDxfId="442"/>
    <tableColumn id="16" xr3:uid="{AD7DCB27-1227-49CE-B962-67316F312A49}" name="9" dataDxfId="441"/>
    <tableColumn id="17" xr3:uid="{A28A426F-20DF-4E28-817D-D45F6DE67B10}" name="10" dataDxfId="440"/>
    <tableColumn id="18" xr3:uid="{E8A185AF-1E28-4F0F-9855-74F54DBD006B}" name="11" dataDxfId="439"/>
    <tableColumn id="19" xr3:uid="{63732328-29EA-40C6-ACD8-4B4DD4B4CF86}" name="12" dataDxfId="438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437"/>
    <tableColumn id="21" xr3:uid="{C17C4587-18F5-4FBD-868F-EBEC86A07A20}" name="23" dataDxfId="436"/>
    <tableColumn id="22" xr3:uid="{A943FEC5-F867-455B-820F-28C4395DB276}" name="24" dataDxfId="435"/>
    <tableColumn id="23" xr3:uid="{A8FFD2FC-7F1E-4386-AF41-D5EEEF19CDD0}" name="25" dataDxfId="434"/>
    <tableColumn id="24" xr3:uid="{ADF6FE87-D285-4286-AA45-3909EFB078E5}" name="26" dataDxfId="433"/>
    <tableColumn id="25" xr3:uid="{2F0BE83F-F151-4F99-839F-143CA77B5B85}" name="27" dataDxfId="432"/>
    <tableColumn id="26" xr3:uid="{380107E6-E719-4EEB-80BE-3FC920AAB0D8}" name="28" dataDxfId="431"/>
    <tableColumn id="27" xr3:uid="{E4578405-DBB6-4571-976F-D9686E90472D}" name="29" dataDxfId="430"/>
    <tableColumn id="28" xr3:uid="{C03A0B6A-D740-474A-B5C0-16AD1C50D0EF}" name="30" dataDxfId="429"/>
    <tableColumn id="29" xr3:uid="{ABC45238-95B8-44E1-B32D-323E0E09BD1E}" name="31" dataDxfId="428"/>
    <tableColumn id="5" xr3:uid="{DFC53255-43CA-45C9-9269-4215B54AB062}" name="CARTERA ASESOR" dataDxfId="427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426" dataDxfId="424" headerRowBorderDxfId="425" tableBorderDxfId="423" totalsRowBorderDxfId="422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421">
      <calculatedColumnFormula>VLOOKUP($M$3&amp;$N$3&amp;DITE_OCTUBRE_2025[[#This Row],[SUPER]],TablaMeta[],5,0)</calculatedColumnFormula>
    </tableColumn>
    <tableColumn id="1" xr3:uid="{2B34CFC4-0C9F-41CE-999A-2588C7446A9F}" name="RECUPERO SUPERVISOR" dataDxfId="420">
      <calculatedColumnFormula>MAX(DITE_OCTUBRE_2025[[#This Row],[1]:[31]])</calculatedColumnFormula>
    </tableColumn>
    <tableColumn id="2" xr3:uid="{12F44D75-C159-4886-875E-F84E5B64A541}" name="ALCANCE SUPERVISOR" dataDxfId="419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18"/>
    <tableColumn id="6" xr3:uid="{949DC2F4-4585-4646-A396-157D2DF8052D}" name="1" dataDxfId="417"/>
    <tableColumn id="7" xr3:uid="{97391D14-7779-42A7-9DB8-C0989C430B43}" name="2" dataDxfId="416"/>
    <tableColumn id="8" xr3:uid="{6354D769-4310-45AC-8145-E44CED72B4A9}" name="3" dataDxfId="415"/>
    <tableColumn id="9" xr3:uid="{4656D04C-0F05-4626-AF66-C82B40AEFAD8}" name="4" dataDxfId="414"/>
    <tableColumn id="10" xr3:uid="{7D1ED70B-0155-4C0E-8A2F-37B332A6F313}" name="5" dataDxfId="413"/>
    <tableColumn id="11" xr3:uid="{0111FAC8-499F-4CC3-8375-0BF99A4C35FA}" name="6" dataDxfId="412"/>
    <tableColumn id="12" xr3:uid="{C0C00B80-78A4-43E2-93D4-3EE00B3626FF}" name="7" dataDxfId="411"/>
    <tableColumn id="13" xr3:uid="{83880E56-1497-4302-8CA7-1D39E0DC1A97}" name="8" dataDxfId="410"/>
    <tableColumn id="14" xr3:uid="{BE01EA14-2F15-437D-A238-21FF4B75A0DE}" name="9" dataDxfId="409"/>
    <tableColumn id="15" xr3:uid="{EB92F6CE-8ACE-4537-AECA-46B61474948E}" name="10" dataDxfId="408"/>
    <tableColumn id="16" xr3:uid="{6D6490DB-3DEB-438C-AB40-C97EC626F0BE}" name="11" dataDxfId="407"/>
    <tableColumn id="17" xr3:uid="{0392FF10-F85D-41D2-8460-C3A186218696}" name="12" dataDxfId="406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05"/>
    <tableColumn id="19" xr3:uid="{3D252296-5BDD-4576-BACF-EBAA4EDD5204}" name="23" dataDxfId="404"/>
    <tableColumn id="20" xr3:uid="{23EB3C4F-7D5A-4D3B-8B24-D8DE6128BA5F}" name="24" dataDxfId="403"/>
    <tableColumn id="21" xr3:uid="{129CAF30-1851-4238-9880-454B24575BB9}" name="25" dataDxfId="402"/>
    <tableColumn id="22" xr3:uid="{72C02609-42DC-4EDE-B4E1-44D533A24355}" name="26" dataDxfId="401"/>
    <tableColumn id="23" xr3:uid="{9123D15C-9492-4356-8328-1BE17F140523}" name="27" dataDxfId="400"/>
    <tableColumn id="24" xr3:uid="{9D5D7ED1-F248-4C81-8326-BBA9C067C915}" name="28" dataDxfId="399"/>
    <tableColumn id="25" xr3:uid="{AF14494A-3DA5-4A85-BD20-353698E70147}" name="29" dataDxfId="398"/>
    <tableColumn id="26" xr3:uid="{B48EAE26-54B8-4E0C-A4A1-6956DA0D148E}" name="30" dataDxfId="397"/>
    <tableColumn id="27" xr3:uid="{85AC05C5-FE82-41A6-837C-F1F547FD8C2F}" name="31" dataDxfId="396"/>
    <tableColumn id="3" xr3:uid="{1CA2638D-96F9-4A0C-980A-6DAE6545AFFA}" name="CARTERA" dataDxfId="395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94" tableBorderDxfId="393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92">
      <calculatedColumnFormula>DATA_NOVIEMBRE_2025[[#This Row],[RECUPERO]]/DATA_NOVIEMBRE_2025[[#This Row],[META]]</calculatedColumnFormula>
    </tableColumn>
    <tableColumn id="3" xr3:uid="{855F5F44-294A-4871-9840-A24614956994}" name="CLASIFICACIÓN" dataDxfId="391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90"/>
    <tableColumn id="6" xr3:uid="{C0A22187-40B7-435A-ABDA-27944F0D7030}" name="RECUPERO" dataDxfId="389">
      <calculatedColumnFormula>SUM(DATA_NOVIEMBRE_2025[[#This Row],[1]:[31]])</calculatedColumnFormula>
    </tableColumn>
    <tableColumn id="7" xr3:uid="{72E7F13E-9273-4AED-98D2-5508FB4A326C}" name="META" dataDxfId="388"/>
    <tableColumn id="30" xr3:uid="{CFEB99FE-9EED-4763-A696-5BC3DA916AC5}" name="ASER_"/>
    <tableColumn id="8" xr3:uid="{00AE5065-FE4D-45E6-A294-E826836A1E33}" name="1" dataDxfId="387"/>
    <tableColumn id="9" xr3:uid="{EF6C35AD-ACD8-4C7F-8937-91D53147656D}" name="2" dataDxfId="386"/>
    <tableColumn id="10" xr3:uid="{CF32F196-CA95-4750-A946-3E0AC1A85184}" name="3" dataDxfId="385"/>
    <tableColumn id="11" xr3:uid="{9F563EAD-A249-4851-B979-F5575DE957AB}" name="4" dataDxfId="384"/>
    <tableColumn id="12" xr3:uid="{D6A6323F-D160-499D-BD7C-7C323AE07CB0}" name="5" dataDxfId="383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82"/>
    <tableColumn id="14" xr3:uid="{46BCBBD6-EB67-46A1-A356-989FA4845EF7}" name="17" dataDxfId="381"/>
    <tableColumn id="15" xr3:uid="{B50A5F7B-5C7E-48C1-80DA-278B6510B811}" name="18" dataDxfId="380"/>
    <tableColumn id="16" xr3:uid="{05796B28-1DD1-422E-9658-78C2FB73FD83}" name="19" dataDxfId="379"/>
    <tableColumn id="17" xr3:uid="{DB0D6520-FFC2-440C-B97F-9604384ED84D}" name="20" dataDxfId="378"/>
    <tableColumn id="18" xr3:uid="{50423629-1D31-4CC8-B9D0-046394DFED68}" name="21" dataDxfId="377"/>
    <tableColumn id="19" xr3:uid="{80B70DB0-A059-4A28-A799-0529D6BF1263}" name="22" dataDxfId="376"/>
    <tableColumn id="20" xr3:uid="{CE0AE96C-2D78-4B18-ADD7-C86E26CE69AB}" name="23" dataDxfId="375"/>
    <tableColumn id="21" xr3:uid="{D6CA8ADF-F50B-4822-B7AD-A49AC8CD28E8}" name="24" dataDxfId="374"/>
    <tableColumn id="22" xr3:uid="{8D2522DF-F1BC-4031-89AD-8B4B3515396A}" name="25" dataDxfId="373"/>
    <tableColumn id="23" xr3:uid="{293ABA54-17AB-40AD-A5F9-E0308A358390}" name="26" dataDxfId="372"/>
    <tableColumn id="24" xr3:uid="{099B62F0-F67D-4CF2-8C6A-AD383B297F15}" name="27" dataDxfId="371"/>
    <tableColumn id="25" xr3:uid="{104E6C24-1381-41DA-BF76-0DD6D49DF0C1}" name="28" dataDxfId="370"/>
    <tableColumn id="26" xr3:uid="{095F601D-F187-4396-A356-C09936718FF5}" name="29" dataDxfId="369"/>
    <tableColumn id="27" xr3:uid="{4F9FCA77-406D-4319-913A-82D308726F04}" name="30" dataDxfId="368"/>
    <tableColumn id="28" xr3:uid="{5825F9EE-936A-4C38-B210-9DA3DA553F75}" name="31" dataDxfId="367"/>
    <tableColumn id="1" xr3:uid="{D8CEB774-F634-4903-AC1C-0BF18BDD3A03}" name="CARTERA ASESOR" dataDxfId="366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365"/>
    <tableColumn id="2" xr3:uid="{7E004A30-FB94-4ABB-88FD-3005F8FA00C6}" name="ASESOR_CRR" dataDxfId="364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363"/>
    <tableColumn id="7" xr3:uid="{AA9D9715-8EBE-4ECB-8BB4-3F41AF689173}" name="SUPER2" dataDxfId="362"/>
    <tableColumn id="5" xr3:uid="{DDD5C800-04E2-4D8A-8C83-C410D5DF7F70}" name="ASESOR" dataDxfId="361"/>
    <tableColumn id="6" xr3:uid="{88DDFA81-E306-4531-9C28-1EEEFB91AC37}" name="RECUPERO" dataDxfId="360">
      <calculatedColumnFormula>VLOOKUP(D1_NOVIEMBRE_2025[[#This Row],[ASESOR]],$F$70:$G$130,2,0)</calculatedColumnFormula>
    </tableColumn>
    <tableColumn id="9" xr3:uid="{B4E0C179-9219-4DFF-AA71-3C7E15DC0CCB}" name="DNI" dataDxfId="359"/>
    <tableColumn id="10" xr3:uid="{A57DDDED-46A0-4CB6-B58A-B5F5FD8B6714}" name="FECHA DE INICIO" dataDxfId="358"/>
    <tableColumn id="8" xr3:uid="{6D0B725E-AD90-4FB1-ACD9-0C7E61DBD30D}" name="ESTADO" dataDxfId="357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356" dataDxfId="35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354"/>
    <tableColumn id="2" xr3:uid="{39564DF7-490C-4B42-BA0D-A0C7965369AD}" name="RECUPERO SUPERVISOR" dataDxfId="353">
      <calculatedColumnFormula>MAX(DITE_NOVIEMBRE_2025[[#This Row],[1]:[31]])</calculatedColumnFormula>
    </tableColumn>
    <tableColumn id="3" xr3:uid="{714DADEA-706C-4919-B3C2-F0BF1111E161}" name="ALCANCE SUPERVISOR" dataDxfId="352">
      <calculatedColumnFormula>DITE_NOVIEMBRE_2025[[#This Row],[RECUPERO SUPERVISOR]]/DITE_NOVIEMBRE_2025[[#This Row],[META SUPER]]</calculatedColumnFormula>
    </tableColumn>
    <tableColumn id="1" xr3:uid="{9452BB90-F5DE-4B57-AF8A-BBAB41BDA625}" name="SUPER" dataDxfId="351"/>
    <tableColumn id="6" xr3:uid="{87C598B5-62D4-4EE7-861E-EEAA52C00585}" name="1" dataDxfId="350"/>
    <tableColumn id="7" xr3:uid="{633891A0-1EBF-4F76-A7F4-F66318664C43}" name="2" dataDxfId="349"/>
    <tableColumn id="8" xr3:uid="{0592F328-9F13-4B6C-80C9-E9F1845891CB}" name="3" dataDxfId="348"/>
    <tableColumn id="9" xr3:uid="{AE7882D8-BBFD-45AE-B2CB-28F66322BAEE}" name="4" dataDxfId="347"/>
    <tableColumn id="10" xr3:uid="{05F48497-7C3E-4EF2-8908-E3DDE502B309}" name="5" dataDxfId="346"/>
    <tableColumn id="11" xr3:uid="{BD05847D-8156-476D-9D43-53BF9B333675}" name="6" dataDxfId="345"/>
    <tableColumn id="12" xr3:uid="{407098C8-B89E-46C0-9B9A-DA4AD2929032}" name="7" dataDxfId="344"/>
    <tableColumn id="13" xr3:uid="{91FC56B9-68A8-46E6-AF86-C055E5241ADE}" name="8" dataDxfId="34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342"/>
    <tableColumn id="15" xr3:uid="{6D9CB553-B7A7-4211-8DDF-E67D0F75BD0A}" name="20" dataDxfId="341"/>
    <tableColumn id="16" xr3:uid="{C060B537-6CE4-430B-8A22-7A540BACE464}" name="21" dataDxfId="340"/>
    <tableColumn id="17" xr3:uid="{4C8D59DE-F0E8-4B3F-8552-A394ADA4C013}" name="22" dataDxfId="339"/>
    <tableColumn id="18" xr3:uid="{3AB7DFB9-4558-4621-AB3C-3891ECC67DB4}" name="23" dataDxfId="338"/>
    <tableColumn id="19" xr3:uid="{ECC2D027-50E3-4374-BA37-6384A463E763}" name="24" dataDxfId="337"/>
    <tableColumn id="20" xr3:uid="{03C4446D-2883-4E24-87C6-489668916C57}" name="25" dataDxfId="336"/>
    <tableColumn id="21" xr3:uid="{1D103BD3-6849-47BB-B1AD-9FF31C3432E4}" name="26" dataDxfId="335"/>
    <tableColumn id="22" xr3:uid="{E2A6B954-BE7E-4918-9A92-245143E3726C}" name="27" dataDxfId="334"/>
    <tableColumn id="23" xr3:uid="{3BE5D700-08A4-480A-8651-AFBBD596763A}" name="28" dataDxfId="333"/>
    <tableColumn id="24" xr3:uid="{16A1ECF5-0D22-4B11-B95E-D5BF2A42B1A3}" name="29" dataDxfId="332"/>
    <tableColumn id="25" xr3:uid="{AACA19B9-FD00-4B90-8B58-181F058F24E3}" name="30" dataDxfId="331"/>
    <tableColumn id="26" xr3:uid="{2DE2D547-EE6E-49C4-858B-C4D674245BFC}" name="31" dataDxfId="330"/>
    <tableColumn id="4" xr3:uid="{9AD4619F-F825-4B54-8AE2-92E8B9E9E57F}" name="CARTERA" dataDxfId="329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328" tableBorderDxfId="32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326">
      <calculatedColumnFormula>DATA_DICIEMBRE_2025[[#This Row],[RECUPERO]]/DATA_DICIEMBRE_2025[[#This Row],[META]]</calculatedColumnFormula>
    </tableColumn>
    <tableColumn id="2" xr3:uid="{B5D97F6A-AE7C-4FC3-8428-5737699DFEB1}" name="CLASIFICACIÓN" dataDxfId="325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324"/>
    <tableColumn id="1" xr3:uid="{47FCFB9B-5515-45CC-BFF9-2785144AD854}" name="RECUPERO" dataDxfId="323">
      <calculatedColumnFormula>SUM(DATA_DICIEMBRE_2025[[#This Row],[1]:[31]])</calculatedColumnFormula>
    </tableColumn>
    <tableColumn id="6" xr3:uid="{ED7BE75E-3624-4159-BFE7-645CEA862C3E}" name="META" dataDxfId="322"/>
    <tableColumn id="7" xr3:uid="{AD05A858-B012-4836-80E5-BF630A338442}" name="ASER_" dataDxfId="321"/>
    <tableColumn id="4" xr3:uid="{6792E8BB-5B6A-4E20-BC71-7F342FD1DE33}" name="1" dataDxfId="320"/>
    <tableColumn id="8" xr3:uid="{AFF95CFC-A6A6-4F82-9A47-D8F9735B080F}" name="2" dataDxfId="319"/>
    <tableColumn id="9" xr3:uid="{3EE2031A-4396-4C20-9B21-B423FD7A4983}" name="3" dataDxfId="318"/>
    <tableColumn id="10" xr3:uid="{98A61AE3-7932-414B-AE75-E4B9F37090B7}" name="4" dataDxfId="317"/>
    <tableColumn id="11" xr3:uid="{2B37FA03-0832-40E1-966B-188EC131A687}" name="5" dataDxfId="316"/>
    <tableColumn id="12" xr3:uid="{9A4E011C-C4A7-4F49-AD1B-BB28BEA4BF8C}" name="6" dataDxfId="315"/>
    <tableColumn id="13" xr3:uid="{EFB94F58-F00C-45C8-B4D0-E0C1802DF92E}" name="7" dataDxfId="314"/>
    <tableColumn id="14" xr3:uid="{F8800705-9DF6-4EEA-8D67-8321AE1E80D1}" name="8" dataDxfId="313"/>
    <tableColumn id="15" xr3:uid="{7B6D79FE-5D1B-462C-8037-0CACAB6F3911}" name="9" dataDxfId="312"/>
    <tableColumn id="16" xr3:uid="{E0E24420-1BF8-4BED-A5CC-D5EF1C7DF685}" name="10" dataDxfId="31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10"/>
    <tableColumn id="18" xr3:uid="{388429A9-C1D2-4EE1-BB12-A7C9C48AA9F0}" name="23" dataDxfId="309"/>
    <tableColumn id="19" xr3:uid="{6D1522B5-D820-4F42-ADD5-A6062E68E06A}" name="24" dataDxfId="308"/>
    <tableColumn id="20" xr3:uid="{A78EF6CB-6A5A-488F-8EC5-34C0267191BD}" name="25" dataDxfId="307"/>
    <tableColumn id="21" xr3:uid="{0817989E-B5E4-435D-99FF-C9E1A1D429CD}" name="26" dataDxfId="306"/>
    <tableColumn id="22" xr3:uid="{5AE7BF00-6E17-4434-AFC3-A082971963E9}" name="27" dataDxfId="305"/>
    <tableColumn id="23" xr3:uid="{AC4528BB-516C-4650-8587-2267B9400C8D}" name="28" dataDxfId="304"/>
    <tableColumn id="24" xr3:uid="{AB7921F2-B36A-4ABC-9DBC-BB0EC20ACC62}" name="29" dataDxfId="303"/>
    <tableColumn id="25" xr3:uid="{5D1446EA-3DB7-4807-AE25-EB2149040D6D}" name="30" dataDxfId="302"/>
    <tableColumn id="26" xr3:uid="{B5F2A170-57DC-49D6-9752-24386332D295}" name="31" dataDxfId="301"/>
    <tableColumn id="27" xr3:uid="{D1831881-0F77-44D4-82FA-57779D5E74BA}" name="CARTERA ASESOR" dataDxfId="300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99">
  <autoFilter ref="A2:J53" xr:uid="{0A33CB5E-7EB5-4C86-9959-A823C2BDBBB9}"/>
  <sortState xmlns:xlrd2="http://schemas.microsoft.com/office/spreadsheetml/2017/richdata2" ref="A3:J53">
    <sortCondition ref="F2:F53"/>
  </sortState>
  <tableColumns count="10">
    <tableColumn id="1" xr3:uid="{51989F96-0689-4D57-8685-B8A3DF492A97}" name="SUPER" dataDxfId="298"/>
    <tableColumn id="2" xr3:uid="{C1D8B208-A530-42D3-A6B3-202247844AC6}" name="ASESOR_CRR" dataDxfId="297"/>
    <tableColumn id="5" xr3:uid="{0E2E2A96-2FDE-425E-A454-24F26F26F817}" name="META" dataDxfId="296">
      <calculatedColumnFormula>VLOOKUP(D1_DICIEMBRE_2025[[#This Row],[SUPER]],DATA_DICIEMBRE_2025[[SUPERVISOR]:[META]],3,0)</calculatedColumnFormula>
    </tableColumn>
    <tableColumn id="6" xr3:uid="{99265ED5-3CFF-4A20-97B4-3560EE99C717}" name="ALCANCE" dataDxfId="295">
      <calculatedColumnFormula>D1_DICIEMBRE_2025[[#This Row],[RECUPERO]]/D1_DICIEMBRE_2025[[#This Row],[META]]</calculatedColumnFormula>
    </tableColumn>
    <tableColumn id="7" xr3:uid="{374D40BE-0CEA-496A-A350-4762CACC979E}" name="SUPER2" dataDxfId="294"/>
    <tableColumn id="3" xr3:uid="{CE2FC99C-C2FA-4CF8-B4D5-38DB34F6C4C0}" name="ASESOR"/>
    <tableColumn id="4" xr3:uid="{1034AC9B-8A72-4332-A474-8471A1B8C391}" name="RECUPERO" dataDxfId="293"/>
    <tableColumn id="8" xr3:uid="{51D1D4C9-F574-4F9F-BB5F-619CFC8367F6}" name="DNI" dataDxfId="292"/>
    <tableColumn id="9" xr3:uid="{1F94989E-BD68-4711-BF6F-AABBC6D00AD3}" name="FECHA DE INICIO" dataDxfId="291"/>
    <tableColumn id="10" xr3:uid="{26BBC886-44C6-4729-85D8-0B926A843BA1}" name="ESTADO" dataDxfId="290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89" dataDxfId="287" headerRowBorderDxfId="288" tableBorderDxfId="286" totalsRowBorderDxfId="28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84"/>
    <tableColumn id="3" xr3:uid="{DED03312-7BDA-4CEA-9273-AA5DB2237A5F}" name="RECUPERO SUPERVISOR" dataDxfId="283">
      <calculatedColumnFormula>MAX(DITE_DICIEMBRE_2025[[#This Row],[1]:[31]])</calculatedColumnFormula>
    </tableColumn>
    <tableColumn id="4" xr3:uid="{5A956735-F760-4B1F-B874-402D928B71EA}" name="ALCANCE SUPERVISOR" dataDxfId="282">
      <calculatedColumnFormula>DITE_DICIEMBRE_2025[[#This Row],[RECUPERO SUPERVISOR]]/AZ9</calculatedColumnFormula>
    </tableColumn>
    <tableColumn id="1" xr3:uid="{ED2A948C-9442-4C47-9BE9-277A3D6239D3}" name="SUPER" dataDxfId="281"/>
    <tableColumn id="6" xr3:uid="{6E784300-7704-4F45-8E90-F7C2D4F71F66}" name="1" dataDxfId="280"/>
    <tableColumn id="7" xr3:uid="{EA789C05-CA47-4D66-B493-7D6222022389}" name="2" dataDxfId="279"/>
    <tableColumn id="36" xr3:uid="{E83A454A-CB07-409E-B2F9-FEFD108C0456}" name="3" dataDxfId="278"/>
    <tableColumn id="8" xr3:uid="{4ACB3C1D-600B-4503-9368-987BC1B3B0EA}" name="4" dataDxfId="277"/>
    <tableColumn id="9" xr3:uid="{B5C8B277-5A83-47A1-95FD-A620D749E785}" name="5" dataDxfId="276"/>
    <tableColumn id="10" xr3:uid="{FB101921-E892-41E0-B8B7-4141F51A83BB}" name="6" dataDxfId="275"/>
    <tableColumn id="11" xr3:uid="{C777EEA2-F048-439C-9EA1-0C4C731AA6E9}" name="7" dataDxfId="274"/>
    <tableColumn id="12" xr3:uid="{7AA80CD7-0570-4507-8C49-9CF331F01C83}" name="8" dataDxfId="273"/>
    <tableColumn id="13" xr3:uid="{F115F6D4-E69D-46D7-AD4B-F13AFDF74268}" name="9" dataDxfId="272"/>
    <tableColumn id="14" xr3:uid="{393E1035-13E1-4131-B853-53B4CA536CF0}" name="10" dataDxfId="271"/>
    <tableColumn id="15" xr3:uid="{7FF1CB48-1402-460C-BDDE-C67F81F66807}" name="11" dataDxfId="270"/>
    <tableColumn id="32" xr3:uid="{8F13018F-0746-40A8-8063-7F1351A273EA}" name="12" dataDxfId="269"/>
    <tableColumn id="33" xr3:uid="{5FD9BED8-7FEA-4B06-9B27-A0BFD046EB49}" name="13" dataDxfId="268"/>
    <tableColumn id="35" xr3:uid="{8D88E3F7-E581-49D0-B55A-812661F85CB6}" name="14" dataDxfId="267"/>
    <tableColumn id="34" xr3:uid="{98E6CACB-4217-4732-B54A-899D22A2EAF6}" name="15" dataDxfId="266"/>
    <tableColumn id="29" xr3:uid="{7C19F65B-AFA4-4BDB-849B-78B44514C8F1}" name="16" dataDxfId="265"/>
    <tableColumn id="30" xr3:uid="{5B8DAC84-4B56-4ED2-BCA8-C8513518494E}" name="17" dataDxfId="264"/>
    <tableColumn id="31" xr3:uid="{6135134A-5BCC-4221-AD87-B5C8D80AB6D3}" name="18" dataDxfId="263"/>
    <tableColumn id="26" xr3:uid="{2569A07A-57D5-45E4-94CF-9442436AFDAE}" name="19" dataDxfId="262"/>
    <tableColumn id="27" xr3:uid="{828CBD1E-742A-4B46-99B1-A5B0163441D5}" name="20" dataDxfId="261"/>
    <tableColumn id="28" xr3:uid="{773F208D-F15B-4823-A2FA-144A370D1B7A}" name="21" dataDxfId="260"/>
    <tableColumn id="16" xr3:uid="{419173FA-3C44-4167-9CA2-3C07CF180C9B}" name="22" dataDxfId="259"/>
    <tableColumn id="17" xr3:uid="{A8A10E2B-AFD7-46D0-8149-9A05D1EC2C03}" name="23" dataDxfId="258"/>
    <tableColumn id="18" xr3:uid="{CF29209E-568F-4788-AE4E-864CF179A3F5}" name="24" dataDxfId="257"/>
    <tableColumn id="19" xr3:uid="{C33D5154-B635-4235-8170-2F374C119543}" name="25" dataDxfId="256"/>
    <tableColumn id="20" xr3:uid="{70E870EC-47B5-4461-AC8F-7662212D49E0}" name="26" dataDxfId="255"/>
    <tableColumn id="21" xr3:uid="{2215DAF3-2DFC-47A4-940A-DC348054A7EB}" name="27" dataDxfId="254"/>
    <tableColumn id="22" xr3:uid="{BE707551-BD9D-4E46-9F38-1BF8DA272627}" name="28" dataDxfId="253"/>
    <tableColumn id="23" xr3:uid="{BA6108F0-3F12-4B54-8E19-7FF232FA9893}" name="29" dataDxfId="252"/>
    <tableColumn id="24" xr3:uid="{B18366FB-64C7-4779-8DB9-91A30E111223}" name="30" dataDxfId="251"/>
    <tableColumn id="25" xr3:uid="{8BD30A4B-DE19-4C3A-8A9E-7FFE10B8C56B}" name="31" dataDxfId="250"/>
    <tableColumn id="5" xr3:uid="{1A8ADD20-D8A3-4981-B322-7C16CBD19ABB}" name="CARTERA" dataDxfId="249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248"/>
    <tableColumn id="2" xr3:uid="{09FFA9EA-077A-4B1E-BBB0-BEFE3719755F}" name="ASESOR_CRR" dataDxfId="247"/>
    <tableColumn id="3" xr3:uid="{B2B98848-02EC-4CE4-B2C4-CF726670ADA0}" name="META" dataDxfId="246"/>
    <tableColumn id="4" xr3:uid="{843076CD-455D-4677-9B9B-753164881BDC}" name="ALCANCE" dataDxfId="245"/>
    <tableColumn id="5" xr3:uid="{27191708-D634-47D0-B6EF-7903B523F721}" name="SUPER2" dataDxfId="244"/>
    <tableColumn id="6" xr3:uid="{F95ADB27-E512-47F7-962C-D178A524B971}" name="ASESOR"/>
    <tableColumn id="7" xr3:uid="{32C145E4-25CE-4365-A7D9-EB2FB110C794}" name="RECUPERO" dataDxfId="243"/>
    <tableColumn id="8" xr3:uid="{20773954-0FEB-4980-9B49-FA8A9DD97C3C}" name="DNI" dataDxfId="242"/>
    <tableColumn id="9" xr3:uid="{0ACD1DB4-5167-41A6-9528-D0663730532D}" name="FECHA DE INICIO" dataDxfId="241"/>
    <tableColumn id="10" xr3:uid="{4C5570D8-15F0-4535-849A-56408975F639}" name="ESTADO" dataDxfId="240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239" headerRowBorderDxfId="238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237">
      <calculatedColumnFormula>DATA_ENERO_2026[[#This Row],[RECUPERO]]/DATA_ENERO_2026[[#This Row],[META]]</calculatedColumnFormula>
    </tableColumn>
    <tableColumn id="2" xr3:uid="{7E513578-A5D7-4721-8AB2-4CF3CDD2FC39}" name="CLASIFICACIÓN" dataDxfId="236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235"/>
    <tableColumn id="4" xr3:uid="{41268A33-B17E-413A-B074-C6D8798C61CA}" name="RECUPERO" dataDxfId="234">
      <calculatedColumnFormula>SUM(DATA_ENERO_2026[[#This Row],[1]:[31]])</calculatedColumnFormula>
    </tableColumn>
    <tableColumn id="5" xr3:uid="{62F2A8A0-46E7-4D7F-AB57-24AB0CDE4B51}" name="META" dataDxfId="233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232" headerRowBorderDxfId="231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230"/>
    <tableColumn id="2" xr3:uid="{15ACA161-61F0-4530-82A1-17E6DBF20240}" name="RECUPERO SUPERVISOR" dataDxfId="229">
      <calculatedColumnFormula>MAX(DITE_ENERO_2026[[#This Row],[1]:[31]])</calculatedColumnFormula>
    </tableColumn>
    <tableColumn id="3" xr3:uid="{778859E8-B3B0-4937-8B5F-DE4BE24B1DFD}" name="ALCANCE SUPERVISOR" dataDxfId="228">
      <calculatedColumnFormula>DITE_ENERO_2026[[#This Row],[RECUPERO SUPERVISOR]]/DITE_ENERO_2026[[#This Row],[META SUPER]]</calculatedColumnFormula>
    </tableColumn>
    <tableColumn id="4" xr3:uid="{2A98F79A-DD24-4D83-8BA6-82D08E13FF65}" name="SUPER" dataDxfId="227"/>
    <tableColumn id="5" xr3:uid="{3F9C0B21-F246-40F5-B83B-6E1442CF2131}" name="1" dataDxfId="226"/>
    <tableColumn id="6" xr3:uid="{82FC80A9-9A41-42BE-ADC0-0CD59C900786}" name="2" dataDxfId="225"/>
    <tableColumn id="36" xr3:uid="{CA81CA44-827C-45E8-AC06-DC9981750310}" name="3" dataDxfId="224"/>
    <tableColumn id="35" xr3:uid="{4D1DEC94-6331-4F09-BA9E-B7A8C033B218}" name="4" dataDxfId="223"/>
    <tableColumn id="34" xr3:uid="{DB9BA0C3-7EE6-4EF0-BFE4-DFA6138CC954}" name="5" dataDxfId="222"/>
    <tableColumn id="33" xr3:uid="{555EB36D-2BD4-463A-AA30-BC4E2AF59577}" name="6" dataDxfId="221"/>
    <tableColumn id="32" xr3:uid="{CD594F14-E668-4171-B224-2D1EB8F12904}" name="7" dataDxfId="220"/>
    <tableColumn id="31" xr3:uid="{CE1693BC-730F-4221-A5EC-B12B2C08D967}" name="8" dataDxfId="219"/>
    <tableColumn id="30" xr3:uid="{D62E1F60-4782-4F2D-B690-7D11A373BFEE}" name="9" dataDxfId="218"/>
    <tableColumn id="29" xr3:uid="{67AA1F0E-6FD5-4227-8FC3-54350952F274}" name="10" dataDxfId="217"/>
    <tableColumn id="28" xr3:uid="{D4CCC202-871A-430E-A7C4-8C2E1F633660}" name="11" dataDxfId="216"/>
    <tableColumn id="7" xr3:uid="{77D5DF82-95A0-430A-9509-AA047E6F6BB6}" name="12" dataDxfId="215"/>
    <tableColumn id="8" xr3:uid="{45052ACC-BEA6-4143-B55C-D2927C794547}" name="13" dataDxfId="214"/>
    <tableColumn id="9" xr3:uid="{A76A60E2-ABB3-4CA9-876C-F0E146A4EE28}" name="14" dataDxfId="213"/>
    <tableColumn id="10" xr3:uid="{5361F0A7-C153-4400-A683-ADB185B2D1E4}" name="15" dataDxfId="212"/>
    <tableColumn id="11" xr3:uid="{5C1E0CB3-E70D-4999-8E10-8E327EB2D410}" name="16" dataDxfId="211"/>
    <tableColumn id="12" xr3:uid="{4E264E92-011A-4E01-B78E-20B2B900F7FB}" name="17" dataDxfId="210"/>
    <tableColumn id="13" xr3:uid="{4DE23C2E-4F9B-4579-9BCE-93EAD290F9A8}" name="18" dataDxfId="209"/>
    <tableColumn id="14" xr3:uid="{ADE81A92-9983-4367-83CB-C4FA26CF8415}" name="19" dataDxfId="208"/>
    <tableColumn id="15" xr3:uid="{28467DBF-6C6B-430A-98CA-67317F73CD23}" name="20" dataDxfId="207"/>
    <tableColumn id="16" xr3:uid="{19E54854-D1FF-45D4-94D2-82215DE354F0}" name="21" dataDxfId="206"/>
    <tableColumn id="17" xr3:uid="{1F67BAFC-1AE0-4A70-9864-2C684E0743C1}" name="22" dataDxfId="205"/>
    <tableColumn id="18" xr3:uid="{4887B78E-B1D4-490D-BDE4-66011785EB0B}" name="23" dataDxfId="204"/>
    <tableColumn id="19" xr3:uid="{A4E77FFD-C128-4F89-ACB7-5A19C9AC8068}" name="24" dataDxfId="203"/>
    <tableColumn id="20" xr3:uid="{3166AEA9-9CE1-49E0-85A7-B06251784AF0}" name="25" dataDxfId="202"/>
    <tableColumn id="21" xr3:uid="{D0F8CB31-F152-441F-95C0-C8F116F8FBD4}" name="26" dataDxfId="201"/>
    <tableColumn id="22" xr3:uid="{F8CD3E26-00FA-4CB1-AB01-D0E528D7E8B4}" name="27" dataDxfId="200"/>
    <tableColumn id="23" xr3:uid="{19608BA9-8EEF-49C7-B4A7-B9B3571F8643}" name="28" dataDxfId="199"/>
    <tableColumn id="24" xr3:uid="{FAD90248-66B1-421C-B230-68841EB2A0B9}" name="29" dataDxfId="198"/>
    <tableColumn id="25" xr3:uid="{9307F5B0-B35B-4416-BE7C-74E539966F44}" name="30" dataDxfId="197"/>
    <tableColumn id="26" xr3:uid="{0FA7DA7F-AD3E-4DD3-B407-DD15600893BE}" name="31" dataDxfId="196"/>
    <tableColumn id="27" xr3:uid="{CAD2B4E3-016B-42FA-AD88-18A28731A184}" name="CARTERA" dataDxfId="195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94" tableBorderDxfId="193">
  <autoFilter ref="M8:AX59" xr:uid="{D9CF28BD-D91E-4BE6-BD3B-BCADCA049C93}"/>
  <tableColumns count="38">
    <tableColumn id="5" xr3:uid="{A121E4E8-FA4D-47D4-9A77-06F28AAE4E54}" name="AL_AC" dataDxfId="192">
      <calculatedColumnFormula>DATA_FEBRERO_2026[[#This Row],[RECUPERO]]/DATA_FEBRERO_2026[[#This Row],[META]]</calculatedColumnFormula>
    </tableColumn>
    <tableColumn id="2" xr3:uid="{34ED75F7-6C69-4661-9178-0FEC57ED1324}" name="CLASIFICACIÓN" dataDxfId="191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90">
      <calculatedColumnFormula>IFERROR(VLOOKUP(DATA_FEBRERO_2026[[#This Row],[ASER_]],$B:$G,4,0),"")</calculatedColumnFormula>
    </tableColumn>
    <tableColumn id="1" xr3:uid="{9BC79FD6-44BC-4708-987B-14B90F71C5E5}" name="RECUPERO" dataDxfId="189">
      <calculatedColumnFormula>SUM(DATA_FEBRERO_2026[[#This Row],[1]:[31]])</calculatedColumnFormula>
    </tableColumn>
    <tableColumn id="6" xr3:uid="{018AE36B-77F5-47D3-A72E-855E3B4EA24D}" name="META" dataDxfId="188">
      <calculatedColumnFormula>VLOOKUP(DATA_FEBRERO_2026[[#This Row],[ASER_]],D1_FEBRERO_2026[[ASESOR_CRR]:[META]],2,0)</calculatedColumnFormula>
    </tableColumn>
    <tableColumn id="7" xr3:uid="{D07B538A-1223-4282-911D-0D8C6D33F252}" name="ASER_" dataDxfId="187"/>
    <tableColumn id="4" xr3:uid="{978EBDF4-AB0F-45EB-8F17-7A1040F8BBBE}" name="1" dataDxfId="186"/>
    <tableColumn id="8" xr3:uid="{1276421E-A9BD-4193-946B-2B02A7972B4A}" name="2" dataDxfId="185"/>
    <tableColumn id="9" xr3:uid="{31AFF576-CA16-4044-A433-CF00527C2D07}" name="3" dataDxfId="184"/>
    <tableColumn id="10" xr3:uid="{E8F5F7F4-A4CF-4AAC-A43C-A3FCD8C1BC19}" name="4" dataDxfId="183"/>
    <tableColumn id="11" xr3:uid="{188BA638-2000-41D9-B5E6-9165523ED42D}" name="5" dataDxfId="182"/>
    <tableColumn id="12" xr3:uid="{C225C63B-52FC-44AB-96F6-9151E73D6699}" name="6" dataDxfId="181"/>
    <tableColumn id="13" xr3:uid="{67E1F5CE-2C28-4FA3-9034-A737F1B2D7A4}" name="7" dataDxfId="180"/>
    <tableColumn id="14" xr3:uid="{BF6E4C42-64F4-4C86-87D7-0EB0DF723F0A}" name="8" dataDxfId="179"/>
    <tableColumn id="15" xr3:uid="{77DEB661-03C1-4274-9B6F-379D81B3710E}" name="9" dataDxfId="178"/>
    <tableColumn id="35" xr3:uid="{A13630BC-1BB6-4707-83E3-E2A6FD2FAFF3}" name="10" dataDxfId="177"/>
    <tableColumn id="36" xr3:uid="{5B83E5AF-B52C-4B3F-9B8E-974AD7242CB6}" name="11" dataDxfId="176"/>
    <tableColumn id="38" xr3:uid="{EFCD2EF3-DC69-46DB-8A4C-D03EFA19868F}" name="12" dataDxfId="175"/>
    <tableColumn id="37" xr3:uid="{283914E6-F846-42D8-BFA5-7E5CF71F8E39}" name="13" dataDxfId="174"/>
    <tableColumn id="32" xr3:uid="{506D1094-3E71-477B-9E3B-FD71CD452A13}" name="14" dataDxfId="173"/>
    <tableColumn id="33" xr3:uid="{51A0C186-4F1F-4B6E-A04E-6DA5B01E5817}" name="15" dataDxfId="172"/>
    <tableColumn id="34" xr3:uid="{83A09A26-D26C-4BF1-9870-7E24692CCAB5}" name="16" dataDxfId="171"/>
    <tableColumn id="26" xr3:uid="{F0CECF60-FD0C-487B-964E-F3D195A081A6}" name="17" dataDxfId="170"/>
    <tableColumn id="30" xr3:uid="{87E5481D-2747-411F-8715-2B1A58E5072E}" name="18" dataDxfId="169"/>
    <tableColumn id="31" xr3:uid="{56B820E5-7529-456B-BFFB-66FC13160FC7}" name="19" dataDxfId="168"/>
    <tableColumn id="16" xr3:uid="{943E3451-A77C-49F4-A8CD-FB3A234BB921}" name="20" dataDxfId="167"/>
    <tableColumn id="17" xr3:uid="{08A06D07-4057-4995-AD95-02726747926A}" name="21" dataDxfId="166"/>
    <tableColumn id="18" xr3:uid="{3CA4B4CF-845B-4625-A447-E9930B6C4C90}" name="22" dataDxfId="165"/>
    <tableColumn id="19" xr3:uid="{E2FCBDE7-CAF6-4719-A2E2-E3DFA5938EA9}" name="23" dataDxfId="164"/>
    <tableColumn id="20" xr3:uid="{8D68A4E9-C605-423B-B28C-8947CEDED2E3}" name="24" dataDxfId="163"/>
    <tableColumn id="21" xr3:uid="{E2A95743-C4CF-4116-BC14-7F1E8AF5B934}" name="25" dataDxfId="162"/>
    <tableColumn id="22" xr3:uid="{D4E75B42-4A90-4E6B-91F6-47924749D8CD}" name="26" dataDxfId="161"/>
    <tableColumn id="23" xr3:uid="{24EC0407-9580-4B34-8870-6246EA8347AA}" name="27" dataDxfId="160"/>
    <tableColumn id="24" xr3:uid="{9A472190-4164-4FC7-BF8C-D0120ACA1D92}" name="28" dataDxfId="159"/>
    <tableColumn id="25" xr3:uid="{67A0A5BC-662A-45DE-932F-9EB3EAF965DB}" name="29" dataDxfId="158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157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J58" totalsRowShown="0" headerRowDxfId="156">
  <autoFilter ref="A2:J58" xr:uid="{09401265-E178-4F26-958C-8E013ABD7F63}"/>
  <tableColumns count="10">
    <tableColumn id="1" xr3:uid="{FF4304D3-C1B3-4117-B1D1-7473C26439FA}" name="SUPER" dataDxfId="155">
      <calculatedColumnFormula>D1_FEBRERO_2026[[#This Row],[SUPER2]]</calculatedColumnFormula>
    </tableColumn>
    <tableColumn id="2" xr3:uid="{67ED5510-50EF-4F29-9E94-9FBEBF9785CA}" name="ASESOR_CRR" dataDxfId="154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153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152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151">
      <calculatedColumnFormula>IFERROR(VLOOKUP(D1_FEBRERO_2026[[#This Row],[ASESOR_CRR]],PLANTILLA_ACTUAL[],2,0),"")</calculatedColumnFormula>
    </tableColumn>
    <tableColumn id="3" xr3:uid="{6ED7A230-433F-453C-BA57-1B3D06377A9C}" name="ASESOR"/>
    <tableColumn id="4" xr3:uid="{3A6B3973-2E4F-4F1D-A7C0-55D5FF7B647B}" name="RECUPERO" dataDxfId="150"/>
    <tableColumn id="11" xr3:uid="{43FBB121-21C6-4560-8A31-396504B80F85}" name="DNI" dataDxfId="149"/>
    <tableColumn id="12" xr3:uid="{050FC1E9-9233-41A1-8E92-B7BA6485722C}" name="FECHA DE INICIO" dataDxfId="148"/>
    <tableColumn id="8" xr3:uid="{5BBA9A50-BA4F-49CE-B7C8-1095BCBFEC60}" name="ESTADO" dataDxfId="147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146" dataDxfId="144" headerRowBorderDxfId="145" tableBorderDxfId="143" totalsRowBorderDxfId="142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141">
      <calculatedColumnFormula>VLOOKUP($M$3&amp;$N$3&amp;DITE_FEBRERO_2026[[#This Row],[SUPER]],TablaMeta[],5,0)</calculatedColumnFormula>
    </tableColumn>
    <tableColumn id="3" xr3:uid="{6B6BAC5B-8599-4731-A182-2C4F7DEEFEAE}" name="RECUPERO SUPERVISOR" dataDxfId="140">
      <calculatedColumnFormula>MAX(DITE_FEBRERO_2026[[#This Row],[SUPER]:[CARTERA]])</calculatedColumnFormula>
    </tableColumn>
    <tableColumn id="4" xr3:uid="{4933F2AB-4AE8-41EB-9B81-DB478EB8720C}" name="ALCANCE SUPERVISOR" dataDxfId="139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138"/>
    <tableColumn id="6" xr3:uid="{1385D33D-7CDB-4253-9C4B-559ACF4D4DAA}" name="1" dataDxfId="137"/>
    <tableColumn id="7" xr3:uid="{51AE8FE4-77E7-44A5-9C70-47F9BABA0830}" name="2" dataDxfId="136"/>
    <tableColumn id="27" xr3:uid="{1D246E4C-3547-4D3F-8436-3907FD9391BF}" name="3" dataDxfId="135"/>
    <tableColumn id="26" xr3:uid="{ACC21055-7F68-4EBE-A98E-8B2EBA670DAF}" name="4" dataDxfId="134"/>
    <tableColumn id="8" xr3:uid="{0453D1F4-77C1-4D27-8BF6-C892F06D8037}" name="5" dataDxfId="133"/>
    <tableColumn id="9" xr3:uid="{7FE05B03-2694-4042-93D1-1E8A18BEC10D}" name="6" dataDxfId="132"/>
    <tableColumn id="10" xr3:uid="{07F638D2-254F-4B29-9B2B-FA43C127E0CD}" name="7" dataDxfId="131"/>
    <tableColumn id="11" xr3:uid="{F53CCC3D-E418-4E84-9766-30CCCCAEF94C}" name="8" dataDxfId="130"/>
    <tableColumn id="12" xr3:uid="{9789EB55-C896-45E1-8B38-057DF9C6F8FF}" name="9" dataDxfId="129"/>
    <tableColumn id="13" xr3:uid="{2F4E85B1-BA28-448A-A8F3-8873A4197781}" name="10" dataDxfId="128"/>
    <tableColumn id="14" xr3:uid="{E386891B-028C-4934-99EC-39A6D8E87A77}" name="11" dataDxfId="127"/>
    <tableColumn id="15" xr3:uid="{3F90131C-5E3B-4375-AAC9-BE39D3073700}" name="12" dataDxfId="126"/>
    <tableColumn id="16" xr3:uid="{176424CB-4A73-4E0A-BAEC-1B002E427751}" name="13" dataDxfId="125"/>
    <tableColumn id="17" xr3:uid="{20013F01-EA55-4DBF-93AD-78228648A78B}" name="14" dataDxfId="124"/>
    <tableColumn id="18" xr3:uid="{A3E1B7CD-FD3B-4A3B-BA09-FB0B2522F474}" name="15" dataDxfId="123"/>
    <tableColumn id="19" xr3:uid="{25BB1268-DEAB-4394-AB3D-5028E517E118}" name="16" dataDxfId="122"/>
    <tableColumn id="20" xr3:uid="{1E99825A-7369-447C-81C1-6F57CF76B414}" name="17" dataDxfId="121"/>
    <tableColumn id="21" xr3:uid="{A76460CB-F28F-4034-BFB5-822E2F8ACDEE}" name="18" dataDxfId="120"/>
    <tableColumn id="22" xr3:uid="{45579674-F34E-4238-9155-A84E93C0EEDC}" name="19" dataDxfId="119"/>
    <tableColumn id="23" xr3:uid="{4A9727A5-6162-4A6C-980C-9485FB632B2C}" name="20" dataDxfId="118"/>
    <tableColumn id="24" xr3:uid="{839F012E-3965-47C4-A48B-B6ACC97A3F38}" name="21" dataDxfId="117"/>
    <tableColumn id="36" xr3:uid="{1C64A10A-7FC4-4258-A62B-43B06212544A}" name="22" dataDxfId="116"/>
    <tableColumn id="35" xr3:uid="{FFBDF276-626A-447A-A0F4-E7E78EDC17B4}" name="23" dataDxfId="115"/>
    <tableColumn id="34" xr3:uid="{7E693F8F-B376-48A1-9691-2B1EFFEC77E7}" name="24" dataDxfId="114"/>
    <tableColumn id="33" xr3:uid="{BBD3ABB0-0FEA-4DF0-B0B7-E417E6BF40E1}" name="25" dataDxfId="113"/>
    <tableColumn id="32" xr3:uid="{6F3706DA-AAB4-46A8-B7AB-36C461B04704}" name="26" dataDxfId="112"/>
    <tableColumn id="31" xr3:uid="{8771DA1E-DC48-4640-98D0-9BF514ABF088}" name="27" dataDxfId="111"/>
    <tableColumn id="30" xr3:uid="{F6F48FE7-4B31-45F6-9C90-C56A1AFDE462}" name="28" dataDxfId="110"/>
    <tableColumn id="29" xr3:uid="{7BDABDE2-32A4-4ABF-AF09-62502F6B7D68}" name="29" dataDxfId="109"/>
    <tableColumn id="28" xr3:uid="{552C8688-2A69-47D3-AFF3-7B94E4A5A563}" name="30" dataDxfId="108"/>
    <tableColumn id="25" xr3:uid="{7D18929B-B74F-4405-83F4-DF4F5C13E3E8}" name="31" dataDxfId="107"/>
    <tableColumn id="5" xr3:uid="{AE5733E5-56DE-4157-A3B4-7F889627B2A1}" name="CARTERA" dataDxfId="106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2" totalsRowShown="0" headerRowBorderDxfId="105" tableBorderDxfId="104">
  <autoFilter ref="M8:AO62" xr:uid="{C43AC382-896C-48E3-967E-003D8C3BB4E1}"/>
  <tableColumns count="29">
    <tableColumn id="5" xr3:uid="{3070F4BF-8DA0-42C9-A329-60BF3937C6CD}" name="AL_AC" dataDxfId="103">
      <calculatedColumnFormula>DATA_MARZO_2026[[#This Row],[RECUPERO]]/DATA_MARZO_2026[[#This Row],[META]]</calculatedColumnFormula>
    </tableColumn>
    <tableColumn id="2" xr3:uid="{6F4F1AB6-BBA7-498F-8826-77193C5F7DE1}" name="CLASIFICACIÓN" dataDxfId="102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1">
      <calculatedColumnFormula>IFERROR(VLOOKUP(DATA_MARZO_2026[[#This Row],[ASER_]],$B:$G,4,0),"")</calculatedColumnFormula>
    </tableColumn>
    <tableColumn id="1" xr3:uid="{9CEE94D1-F610-44F2-BECC-051BA76BFF42}" name="RECUPERO" dataDxfId="100">
      <calculatedColumnFormula>VLOOKUP(DATA_MARZO_2026[[#This Row],[ASER_]],D1_MARZO_2026[[ASESOR_CRR]:[RECUPERO]],6,0)</calculatedColumnFormula>
    </tableColumn>
    <tableColumn id="6" xr3:uid="{3562AB11-2CE4-4155-B81B-115DFB69AAAB}" name="META" dataDxfId="99">
      <calculatedColumnFormula>VLOOKUP(DATA_MARZO_2026[[#This Row],[ASER_]],D1_MARZO_2026[[ASESOR_CRR]:[META]],2,0)</calculatedColumnFormula>
    </tableColumn>
    <tableColumn id="7" xr3:uid="{AC7A2592-ACAD-4ED6-8351-E4B65FF33302}" name="ASER_" dataDxfId="98"/>
    <tableColumn id="4" xr3:uid="{DA0D3C8E-070D-4088-AECD-5F2EBC6508EA}" name="2" dataDxfId="97"/>
    <tableColumn id="8" xr3:uid="{D7FBF1F2-5A46-485F-925D-86EC9088EE46}" name="3" dataDxfId="96"/>
    <tableColumn id="9" xr3:uid="{98D48677-E650-4067-8686-1CC9080B6D71}" name="4" dataDxfId="95"/>
    <tableColumn id="10" xr3:uid="{A974A4A9-21AF-43B2-9C93-C6F103E8C411}" name="5" dataDxfId="94"/>
    <tableColumn id="11" xr3:uid="{D058D028-4AAB-47B9-A7D3-876CEDD146AA}" name="6" dataDxfId="93"/>
    <tableColumn id="12" xr3:uid="{307618CA-E43D-42A3-8C03-88388003A5BF}" name="9" dataDxfId="92"/>
    <tableColumn id="13" xr3:uid="{65D16E27-3C15-4385-9A4F-B28821EF4DF6}" name="10" dataDxfId="91"/>
    <tableColumn id="14" xr3:uid="{5A29EA5C-756B-4F6D-B764-BBEF2AB98C7D}" name="11" dataDxfId="90"/>
    <tableColumn id="15" xr3:uid="{3B9CE493-BFF8-40F7-8EBA-E6D80D76579A}" name="12" dataDxfId="89"/>
    <tableColumn id="35" xr3:uid="{937A2A56-212E-4F5D-82A6-A611A736B874}" name="13" dataDxfId="88"/>
    <tableColumn id="36" xr3:uid="{BDD4E521-FEB6-4C6D-A99C-4DEF1151ECB2}" name="16" dataDxfId="87"/>
    <tableColumn id="38" xr3:uid="{8A3F13C2-2724-40B9-B643-549845061201}" name="17" dataDxfId="86"/>
    <tableColumn id="37" xr3:uid="{1B44AA59-76C8-45D9-8D04-DE465519029A}" name="18" dataDxfId="85"/>
    <tableColumn id="32" xr3:uid="{671123B0-2D4B-4251-A9E4-5E6081CC9B0D}" name="19" dataDxfId="84"/>
    <tableColumn id="33" xr3:uid="{60129480-1A31-44E0-9812-1991A66734F8}" name="20" dataDxfId="83"/>
    <tableColumn id="34" xr3:uid="{FDFC525F-FDF7-4915-B1C4-C85C973F5DA2}" name="23" dataDxfId="82"/>
    <tableColumn id="26" xr3:uid="{B6EB21BB-98AE-4702-A51D-97935B8D2065}" name="24" dataDxfId="81"/>
    <tableColumn id="30" xr3:uid="{60395B11-6EC8-498F-AE14-A906778E013B}" name="25" dataDxfId="80"/>
    <tableColumn id="31" xr3:uid="{D6095057-15EB-4616-A6CE-8131684C14BF}" name="26" dataDxfId="79"/>
    <tableColumn id="16" xr3:uid="{AEBDE2A8-76B9-42D9-9059-4EA0D9C9EF1E}" name="27" dataDxfId="78"/>
    <tableColumn id="17" xr3:uid="{0874DB56-268A-4369-AFDE-AC61ECA55C23}" name="30" dataDxfId="77"/>
    <tableColumn id="18" xr3:uid="{E7197C37-94F8-4DE8-B898-F87CE13A355A}" name="31" dataDxfId="76"/>
    <tableColumn id="29" xr3:uid="{D20EC82C-02AB-47E1-8B4F-0454088553EB}" name="CARTERA ASESOR" dataDxfId="75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J60" totalsRowShown="0" headerRowDxfId="74">
  <autoFilter ref="A2:J60" xr:uid="{AB1967BC-98FE-49B9-B96E-7F91454A75DF}"/>
  <tableColumns count="10">
    <tableColumn id="1" xr3:uid="{E8C9BFA3-A821-4545-B3F0-1D85338E10F0}" name="SUPER" dataDxfId="73">
      <calculatedColumnFormula>IFERROR(VLOOKUP(D1_MARZO_2026[[#This Row],[ASESOR_CRR]],PLANTILLA_ACTUAL[],2,0),"")</calculatedColumnFormula>
    </tableColumn>
    <tableColumn id="2" xr3:uid="{3FE812CA-3CC6-4126-82E1-67F5FCA4D1F0}" name="ASESOR_CRR" dataDxfId="72">
      <calculatedColumnFormula array="1">TRIM(IFERROR(_xlfn.IFS(D1_MARZO_2026[[#This Row],[ASESOR]]="ELVIS GUERRA","ELVIS GUERRERA",D1_MARZO_2026[[#This Row],[ASESOR]]="GENESIS VICUÑA","GENESIS VICUNA",D1_MARZO_2026[[#This Row],[ASESOR]]="JENY QUIÑONES","JENY QUINONES"),D1_MARZO_2026[[#This Row],[ASESOR]]))</calculatedColumnFormula>
    </tableColumn>
    <tableColumn id="5" xr3:uid="{7C7088C3-8DB2-45AA-8DFC-FF615EA517B7}" name="META" dataDxfId="71">
      <calculatedColumnFormula>IF(D1_MARZO_2026[[#This Row],[RECUPERO]]="","",VLOOKUP($M$3&amp;$N$3&amp;D1_MARZO_2026[[#This Row],[SUPER]],TablaMeta[],6,0))</calculatedColumnFormula>
    </tableColumn>
    <tableColumn id="6" xr3:uid="{504193EF-8C81-4E3C-85B4-7DDC31010511}" name="ALCANCE" dataDxfId="70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69">
      <calculatedColumnFormula>IFERROR(VLOOKUP(D1_MARZO_2026[[#This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8"/>
    <tableColumn id="11" xr3:uid="{F601E667-9F29-4288-9F5A-767AD7CB84C9}" name="DNI" dataDxfId="67">
      <calculatedColumnFormula>VLOOKUP(D1_MARZO_2026[[#This Row],[ASESOR_CRR]],DIM!$C:$E,2,0)</calculatedColumnFormula>
    </tableColumn>
    <tableColumn id="12" xr3:uid="{8CE4D8BD-BFA8-4524-B7CC-97B4155A1DC0}" name="FECHA DE INICIO" dataDxfId="66">
      <calculatedColumnFormula>VLOOKUP(D1_MARZO_2026[[#This Row],[ASESOR_CRR]],DIM!$C:$E,3,0)</calculatedColumnFormula>
    </tableColumn>
    <tableColumn id="8" xr3:uid="{38F96A8E-46ED-488B-B51E-F10392587B25}" name="ESTADO" dataDxfId="65">
      <calculatedColumnFormula>VLOOKUP(D1_MARZO_2026[[#This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64" dataDxfId="62" headerRowBorderDxfId="63" tableBorderDxfId="61" totalsRowBorderDxfId="60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59">
      <calculatedColumnFormula>VLOOKUP($M$3&amp;$N$3&amp;DITE_MARZO_2026[[#This Row],[SUPER]],TablaMeta[],5,0)</calculatedColumnFormula>
    </tableColumn>
    <tableColumn id="3" xr3:uid="{FDF7E5B8-6E43-422A-BFC9-1CCD7EE7F4E8}" name="RECUPERO SUPERVISOR" dataDxfId="58">
      <calculatedColumnFormula>MAX(DITE_MARZO_2026[[#This Row],[SUPER]:[CARTERA]])</calculatedColumnFormula>
    </tableColumn>
    <tableColumn id="4" xr3:uid="{F9F9E33D-CF47-4A7B-B383-5185C72E6DBF}" name="ALCANCE SUPERVISOR" dataDxfId="57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56"/>
    <tableColumn id="6" xr3:uid="{C6BD95E9-37E9-4C3B-8FAC-71C063D3CCCF}" name="2" dataDxfId="55"/>
    <tableColumn id="7" xr3:uid="{154D80CB-9358-4F70-B790-869141CEED69}" name="3" dataDxfId="54"/>
    <tableColumn id="27" xr3:uid="{B1E200F5-8C17-45BD-9A07-4B3CFCF2F55B}" name="4" dataDxfId="53"/>
    <tableColumn id="26" xr3:uid="{C4A34376-F48F-4D30-891F-680F0DC972B5}" name="5" dataDxfId="52"/>
    <tableColumn id="8" xr3:uid="{B8634A52-4E10-47C7-A2E2-7268D75FF3B1}" name="6" dataDxfId="51"/>
    <tableColumn id="9" xr3:uid="{50F52F97-2FFF-429B-8205-9821B5E2DDA3}" name="9" dataDxfId="50"/>
    <tableColumn id="10" xr3:uid="{6CA0D076-C021-4ECD-9708-296693BD3D20}" name="10" dataDxfId="49"/>
    <tableColumn id="11" xr3:uid="{60AC6543-9932-43CA-8508-68010867604A}" name="11" dataDxfId="48"/>
    <tableColumn id="12" xr3:uid="{0838B302-CF6C-41FA-9981-2C61DC3D728B}" name="12" dataDxfId="47"/>
    <tableColumn id="13" xr3:uid="{26042530-89B3-48FD-877D-23191B67C000}" name="13" dataDxfId="46"/>
    <tableColumn id="14" xr3:uid="{995CAE1C-81F5-4376-9FBF-9057F92CEBA2}" name="16" dataDxfId="45"/>
    <tableColumn id="15" xr3:uid="{CE078F22-32E6-477A-8610-B39D8802D198}" name="17" dataDxfId="44"/>
    <tableColumn id="16" xr3:uid="{E61DEB3E-541F-4914-B1D0-C31E52B10974}" name="18" dataDxfId="43"/>
    <tableColumn id="17" xr3:uid="{EC1E57C1-8228-4A17-A0ED-ACC28C9F0842}" name="19" dataDxfId="42"/>
    <tableColumn id="18" xr3:uid="{2DA8EC35-62DF-44D7-9B0C-1DA9FD7CFD91}" name="20" dataDxfId="41"/>
    <tableColumn id="19" xr3:uid="{302180D2-EA42-43C4-9FEA-201681FA861E}" name="23" dataDxfId="40"/>
    <tableColumn id="20" xr3:uid="{451825B8-387D-40FA-8E98-2EFAE991267E}" name="24" dataDxfId="39"/>
    <tableColumn id="21" xr3:uid="{026C2977-2F45-419E-AE54-92E82A6FE474}" name="25" dataDxfId="38"/>
    <tableColumn id="22" xr3:uid="{3BBAF7E2-3A2C-4E90-AE74-EEF9947AB60E}" name="26" dataDxfId="37"/>
    <tableColumn id="23" xr3:uid="{8879B076-C842-409F-9B19-61F59EF05584}" name="27" dataDxfId="36"/>
    <tableColumn id="24" xr3:uid="{AF13A28F-47F7-4494-B809-B096327E1B45}" name="30" dataDxfId="35"/>
    <tableColumn id="36" xr3:uid="{D43F8CE1-A8B1-4D66-A39D-62621FD08D95}" name="31" dataDxfId="34"/>
    <tableColumn id="5" xr3:uid="{E0FECB44-CCD1-447F-A9BF-090DD9D8B323}" name="CARTERA" dataDxfId="33">
      <calculatedColumnFormula>VLOOKUP($M$3&amp;$N$3&amp;DITE_MARZO_2026[[#This Row],[SUPER]],TablaMeta[],7,0)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sortState xmlns:xlrd2="http://schemas.microsoft.com/office/spreadsheetml/2017/richdata2" ref="A2:G105">
    <sortCondition ref="F1:F105"/>
  </sortState>
  <tableColumns count="7">
    <tableColumn id="1" xr3:uid="{DAE8BCEE-6D37-4FD7-ABBF-371E73A498E4}" uniqueName="1" name="alias" queryTableFieldId="1" dataDxfId="32"/>
    <tableColumn id="2" xr3:uid="{4006F32F-EE4A-427A-AF49-74D52FBF6D53}" uniqueName="2" name="PUESTO REAL" queryTableFieldId="10"/>
    <tableColumn id="3" xr3:uid="{E33DD98B-2314-40D0-9DFA-F987324F30A3}" uniqueName="3" name="FEC_NAC" queryTableFieldId="3" dataDxfId="31"/>
    <tableColumn id="4" xr3:uid="{8397B954-43F8-46B6-880D-47B541CAB0B9}" uniqueName="4" name="NOMBRE" queryTableFieldId="4" dataDxfId="30"/>
    <tableColumn id="8" xr3:uid="{C558150D-EEDC-4907-8F09-51F784EDF9BF}" uniqueName="8" name="PUESTO" queryTableFieldId="8" dataDxfId="29"/>
    <tableColumn id="7" xr3:uid="{C74AABE2-4219-45A4-BAE7-8D08B65D7B0D}" uniqueName="7" name="MES" queryTableFieldId="7" dataDxfId="28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7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9" totalsRowShown="0" headerRowDxfId="26" dataDxfId="25">
  <autoFilter ref="A1:F59" xr:uid="{4B4B5CC4-5C3C-461A-AA1A-DC9321B1B957}"/>
  <tableColumns count="6">
    <tableColumn id="2" xr3:uid="{B4EEF3CC-7678-42BF-B035-CD88AB68C0D3}" name="ASESOR" dataDxfId="24"/>
    <tableColumn id="3" xr3:uid="{FB1CB57E-C468-417E-ABD0-3CE9B78E9634}" name="SUPERVISOR" dataDxfId="23"/>
    <tableColumn id="1" xr3:uid="{F397A808-BFC5-4F06-9B9C-381F51115E45}" name="PO" dataDxfId="22"/>
    <tableColumn id="4" xr3:uid="{014C9F4C-C2F1-4CF8-BCC7-D113C12A1316}" name="DNI" dataDxfId="21"/>
    <tableColumn id="5" xr3:uid="{8A032F20-8CA2-40BD-8E54-462A8D907821}" name="FECHA DE INICIO" dataDxfId="20"/>
    <tableColumn id="6" xr3:uid="{ABB44D38-5F55-4F91-B375-D4C8E4A5B56A}" name="ESTADO" dataDxfId="19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3" totalsRowShown="0" headerRowDxfId="18" headerRowBorderDxfId="17" tableBorderDxfId="16" totalsRowBorderDxfId="15">
  <autoFilter ref="A1:G193" xr:uid="{C41E08BB-0323-438E-BFE0-76BBB5F11D04}"/>
  <tableColumns count="7">
    <tableColumn id="1" xr3:uid="{392AC838-52ED-4D24-AEEF-DBB8AB8874AD}" name="CONCAT" dataDxfId="14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3"/>
    <tableColumn id="2" xr3:uid="{6AF5A16E-DFBE-42B7-BDA1-6E8694A629C3}" name="mes" dataDxfId="12"/>
    <tableColumn id="4" xr3:uid="{10D1F902-532A-4C8C-AB27-C2F522F14EA7}" name="Equipo" dataDxfId="11"/>
    <tableColumn id="5" xr3:uid="{75A35478-8934-432E-843B-D174D5C58C71}" name="Meta_Equipo" dataDxfId="10"/>
    <tableColumn id="6" xr3:uid="{C4DF57EE-8F57-44C8-ABE6-43EEF1F9DA62}" name="Meta_Asesor" dataDxfId="9"/>
    <tableColumn id="3" xr3:uid="{95E3CE54-9C14-4F51-963D-FFEEB667B07A}" name="SEGG" dataDxfId="8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580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449</v>
      </c>
      <c r="I3" s="57">
        <v>45133</v>
      </c>
      <c r="J3" s="57" t="s">
        <v>521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427</v>
      </c>
      <c r="I4" s="57">
        <v>44301</v>
      </c>
      <c r="J4" s="57" t="s">
        <v>521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459</v>
      </c>
      <c r="I5" s="57">
        <v>43035</v>
      </c>
      <c r="J5" s="57" t="s">
        <v>521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440</v>
      </c>
      <c r="I6" s="57">
        <v>45334</v>
      </c>
      <c r="J6" s="57" t="s">
        <v>521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428</v>
      </c>
      <c r="I7" s="57">
        <v>44735</v>
      </c>
      <c r="J7" s="57" t="s">
        <v>521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504</v>
      </c>
      <c r="I8" s="57">
        <v>45399</v>
      </c>
      <c r="J8" s="57" t="s">
        <v>521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553</v>
      </c>
      <c r="T8" s="14" t="s">
        <v>523</v>
      </c>
      <c r="U8" s="14" t="s">
        <v>545</v>
      </c>
      <c r="V8" s="14" t="s">
        <v>549</v>
      </c>
      <c r="W8" s="14" t="s">
        <v>524</v>
      </c>
      <c r="X8" s="14" t="s">
        <v>525</v>
      </c>
      <c r="Y8" s="14" t="s">
        <v>526</v>
      </c>
      <c r="Z8" s="14" t="s">
        <v>527</v>
      </c>
      <c r="AA8" s="14" t="s">
        <v>528</v>
      </c>
      <c r="AB8" s="14" t="s">
        <v>546</v>
      </c>
      <c r="AC8" s="14" t="s">
        <v>550</v>
      </c>
      <c r="AD8" s="14" t="s">
        <v>529</v>
      </c>
      <c r="AE8" s="14" t="s">
        <v>530</v>
      </c>
      <c r="AF8" s="14" t="s">
        <v>531</v>
      </c>
      <c r="AG8" s="14" t="s">
        <v>532</v>
      </c>
      <c r="AH8" s="14" t="s">
        <v>533</v>
      </c>
      <c r="AI8" s="14" t="s">
        <v>547</v>
      </c>
      <c r="AJ8" s="14" t="s">
        <v>551</v>
      </c>
      <c r="AK8" s="14" t="s">
        <v>534</v>
      </c>
      <c r="AL8" s="14" t="s">
        <v>535</v>
      </c>
      <c r="AM8" s="14" t="s">
        <v>536</v>
      </c>
      <c r="AN8" s="14" t="s">
        <v>537</v>
      </c>
      <c r="AO8" s="14" t="s">
        <v>538</v>
      </c>
      <c r="AP8" s="14" t="s">
        <v>548</v>
      </c>
      <c r="AQ8" s="14" t="s">
        <v>552</v>
      </c>
      <c r="AR8" s="14" t="s">
        <v>539</v>
      </c>
      <c r="AS8" s="14" t="s">
        <v>540</v>
      </c>
      <c r="AT8" s="14" t="s">
        <v>541</v>
      </c>
      <c r="AU8" s="14" t="s">
        <v>542</v>
      </c>
      <c r="AV8" s="14" t="s">
        <v>543</v>
      </c>
      <c r="AW8" s="14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553</v>
      </c>
      <c r="BE8" s="20" t="s">
        <v>523</v>
      </c>
      <c r="BF8" s="20" t="s">
        <v>545</v>
      </c>
      <c r="BG8" s="20" t="s">
        <v>549</v>
      </c>
      <c r="BH8" s="20" t="s">
        <v>524</v>
      </c>
      <c r="BI8" s="20" t="s">
        <v>525</v>
      </c>
      <c r="BJ8" s="20" t="s">
        <v>526</v>
      </c>
      <c r="BK8" s="20" t="s">
        <v>527</v>
      </c>
      <c r="BL8" s="20" t="s">
        <v>528</v>
      </c>
      <c r="BM8" s="20" t="s">
        <v>546</v>
      </c>
      <c r="BN8" s="20" t="s">
        <v>550</v>
      </c>
      <c r="BO8" s="20" t="s">
        <v>529</v>
      </c>
      <c r="BP8" s="20" t="s">
        <v>530</v>
      </c>
      <c r="BQ8" s="20" t="s">
        <v>531</v>
      </c>
      <c r="BR8" s="20" t="s">
        <v>532</v>
      </c>
      <c r="BS8" s="20" t="s">
        <v>533</v>
      </c>
      <c r="BT8" s="20" t="s">
        <v>547</v>
      </c>
      <c r="BU8" s="20" t="s">
        <v>551</v>
      </c>
      <c r="BV8" s="20" t="s">
        <v>534</v>
      </c>
      <c r="BW8" s="20" t="s">
        <v>535</v>
      </c>
      <c r="BX8" s="20" t="s">
        <v>536</v>
      </c>
      <c r="BY8" s="20" t="s">
        <v>537</v>
      </c>
      <c r="BZ8" s="20" t="s">
        <v>538</v>
      </c>
      <c r="CA8" s="20" t="s">
        <v>548</v>
      </c>
      <c r="CB8" s="20" t="s">
        <v>552</v>
      </c>
      <c r="CC8" s="20" t="s">
        <v>539</v>
      </c>
      <c r="CD8" s="20" t="s">
        <v>540</v>
      </c>
      <c r="CE8" s="20" t="s">
        <v>541</v>
      </c>
      <c r="CF8" s="20" t="s">
        <v>542</v>
      </c>
      <c r="CG8" s="20" t="s">
        <v>543</v>
      </c>
      <c r="CH8" s="20" t="s">
        <v>544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397</v>
      </c>
      <c r="I9" s="57">
        <v>44461</v>
      </c>
      <c r="J9" s="57" t="s">
        <v>521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398</v>
      </c>
      <c r="I10" s="57">
        <v>44811</v>
      </c>
      <c r="J10" s="57" t="s">
        <v>521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399</v>
      </c>
      <c r="I11" s="57">
        <v>44811</v>
      </c>
      <c r="J11" s="57" t="s">
        <v>521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450</v>
      </c>
      <c r="I12" s="57">
        <v>45133</v>
      </c>
      <c r="J12" s="57" t="s">
        <v>521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416</v>
      </c>
      <c r="I13" s="57">
        <v>44357</v>
      </c>
      <c r="J13" s="57" t="s">
        <v>521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417</v>
      </c>
      <c r="I14" s="57">
        <v>44673</v>
      </c>
      <c r="J14" s="57" t="s">
        <v>521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429</v>
      </c>
      <c r="I15" s="57">
        <v>44909</v>
      </c>
      <c r="J15" s="57" t="s">
        <v>521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451</v>
      </c>
      <c r="I16" s="57">
        <v>45285</v>
      </c>
      <c r="J16" s="57" t="s">
        <v>521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442</v>
      </c>
      <c r="I17" s="57">
        <v>45429</v>
      </c>
      <c r="J17" s="57" t="s">
        <v>521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443</v>
      </c>
      <c r="I18" s="57">
        <v>45506</v>
      </c>
      <c r="J18" s="57" t="s">
        <v>521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460</v>
      </c>
      <c r="I19" s="57">
        <v>45299</v>
      </c>
      <c r="J19" s="57" t="s">
        <v>521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452</v>
      </c>
      <c r="I20" s="57">
        <v>45334</v>
      </c>
      <c r="J20" s="57" t="s">
        <v>521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481</v>
      </c>
      <c r="I21" s="57">
        <v>44657</v>
      </c>
      <c r="J21" s="57" t="s">
        <v>521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406</v>
      </c>
      <c r="I22" s="57">
        <v>45334</v>
      </c>
      <c r="J22" s="57" t="s">
        <v>521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407</v>
      </c>
      <c r="I23" s="57">
        <v>44870</v>
      </c>
      <c r="J23" s="57" t="s">
        <v>521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400</v>
      </c>
      <c r="I24" s="57">
        <v>44811</v>
      </c>
      <c r="J24" s="57" t="s">
        <v>521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408</v>
      </c>
      <c r="I25" s="57">
        <v>45530</v>
      </c>
      <c r="J25" s="57" t="s">
        <v>521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401</v>
      </c>
      <c r="I26" s="57">
        <v>45449</v>
      </c>
      <c r="J26" s="57" t="s">
        <v>521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432</v>
      </c>
      <c r="I27" s="57">
        <v>45423</v>
      </c>
      <c r="J27" s="57" t="s">
        <v>521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477</v>
      </c>
      <c r="I28" s="57">
        <v>45721</v>
      </c>
      <c r="J28" s="57" t="s">
        <v>521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433</v>
      </c>
      <c r="I29" s="57">
        <v>45399</v>
      </c>
      <c r="J29" s="57" t="s">
        <v>521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453</v>
      </c>
      <c r="I30" s="57">
        <v>44937</v>
      </c>
      <c r="J30" s="57" t="s">
        <v>521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461</v>
      </c>
      <c r="I31" s="57">
        <v>45590</v>
      </c>
      <c r="J31" s="57" t="s">
        <v>521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454</v>
      </c>
      <c r="I32" s="57">
        <v>42814</v>
      </c>
      <c r="J32" s="57" t="s">
        <v>521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409</v>
      </c>
      <c r="I33" s="57">
        <v>44259</v>
      </c>
      <c r="J33" s="57" t="s">
        <v>521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444</v>
      </c>
      <c r="I34" s="57">
        <v>45082</v>
      </c>
      <c r="J34" s="57" t="s">
        <v>521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402</v>
      </c>
      <c r="I35" s="57">
        <v>45075</v>
      </c>
      <c r="J35" s="57" t="s">
        <v>521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573</v>
      </c>
      <c r="G36" s="3">
        <v>500</v>
      </c>
      <c r="H36" t="s">
        <v>575</v>
      </c>
      <c r="I36" s="57">
        <v>45512</v>
      </c>
      <c r="J36" s="57" t="s">
        <v>521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456</v>
      </c>
      <c r="I37" s="57">
        <v>45021</v>
      </c>
      <c r="J37" s="57" t="s">
        <v>521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445</v>
      </c>
      <c r="I38" s="57">
        <v>45142</v>
      </c>
      <c r="J38" s="57" t="s">
        <v>521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418</v>
      </c>
      <c r="I39" s="57">
        <v>43132</v>
      </c>
      <c r="J39" s="57" t="s">
        <v>521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410</v>
      </c>
      <c r="I40" s="57">
        <v>44748</v>
      </c>
      <c r="J40" s="57" t="s">
        <v>521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411</v>
      </c>
      <c r="I41" s="57">
        <v>44840</v>
      </c>
      <c r="J41" s="57" t="s">
        <v>521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419</v>
      </c>
      <c r="I42" s="57">
        <v>44748</v>
      </c>
      <c r="J42" s="57" t="s">
        <v>521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573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412</v>
      </c>
      <c r="I43" s="57">
        <v>45344</v>
      </c>
      <c r="J43" s="57" t="s">
        <v>521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420</v>
      </c>
      <c r="I44" s="57">
        <v>45523</v>
      </c>
      <c r="J44" s="57" t="s">
        <v>521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457</v>
      </c>
      <c r="I45" s="57">
        <v>44869</v>
      </c>
      <c r="J45" s="57" t="s">
        <v>521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561</v>
      </c>
      <c r="G46" s="3">
        <v>22661</v>
      </c>
      <c r="H46" t="s">
        <v>562</v>
      </c>
      <c r="I46" s="57">
        <v>45131</v>
      </c>
      <c r="J46" s="57" t="s">
        <v>521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463</v>
      </c>
      <c r="I47" s="57">
        <v>44111</v>
      </c>
      <c r="J47" s="57" t="s">
        <v>521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574</v>
      </c>
      <c r="G48" s="3">
        <v>16189</v>
      </c>
      <c r="H48" t="s">
        <v>576</v>
      </c>
      <c r="I48" s="57">
        <v>44830</v>
      </c>
      <c r="J48" s="57" t="s">
        <v>521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421</v>
      </c>
      <c r="I49" s="57">
        <v>45334</v>
      </c>
      <c r="J49" s="57" t="s">
        <v>521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434</v>
      </c>
      <c r="I50" s="57">
        <v>44687</v>
      </c>
      <c r="J50" s="57" t="s">
        <v>521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464</v>
      </c>
      <c r="I51" s="57">
        <v>44820</v>
      </c>
      <c r="J51" s="57" t="s">
        <v>521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435</v>
      </c>
      <c r="I52" s="57">
        <v>44510</v>
      </c>
      <c r="J52" s="57" t="s">
        <v>521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561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403</v>
      </c>
      <c r="I53" s="57">
        <v>44888</v>
      </c>
      <c r="J53" s="57" t="s">
        <v>521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422</v>
      </c>
      <c r="I54" s="57">
        <v>45441</v>
      </c>
      <c r="J54" s="57" t="s">
        <v>521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574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446</v>
      </c>
      <c r="I55" s="57">
        <v>44716</v>
      </c>
      <c r="J55" s="57" t="s">
        <v>521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557</v>
      </c>
      <c r="G56" s="3">
        <v>3930</v>
      </c>
      <c r="H56" t="s">
        <v>559</v>
      </c>
      <c r="I56" s="57">
        <v>44716</v>
      </c>
      <c r="J56" s="57" t="s">
        <v>521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423</v>
      </c>
      <c r="I57" s="57">
        <v>45471</v>
      </c>
      <c r="J57" s="57" t="s">
        <v>521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424</v>
      </c>
      <c r="I58" s="57">
        <v>44941</v>
      </c>
      <c r="J58" s="57" t="s">
        <v>521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404</v>
      </c>
      <c r="I59" s="57">
        <v>45334</v>
      </c>
      <c r="J59" s="57" t="s">
        <v>521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436</v>
      </c>
      <c r="I60" s="57">
        <v>44971</v>
      </c>
      <c r="J60" s="57" t="s">
        <v>521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447</v>
      </c>
      <c r="I61" s="57">
        <v>45371</v>
      </c>
      <c r="J61" s="57" t="s">
        <v>521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413</v>
      </c>
      <c r="I62" s="57">
        <v>44470</v>
      </c>
      <c r="J62" s="57" t="s">
        <v>521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465</v>
      </c>
      <c r="I63" s="57">
        <v>45316</v>
      </c>
      <c r="J63" s="57" t="s">
        <v>521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577</v>
      </c>
      <c r="G64" s="3">
        <v>1931</v>
      </c>
      <c r="H64" t="s">
        <v>578</v>
      </c>
      <c r="I64" s="57">
        <v>45454</v>
      </c>
      <c r="J64" s="57" t="s">
        <v>521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564</v>
      </c>
      <c r="G65" s="3">
        <v>300</v>
      </c>
      <c r="H65" t="s">
        <v>568</v>
      </c>
      <c r="I65" s="57">
        <v>45544</v>
      </c>
      <c r="J65" s="57" t="s">
        <v>521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437</v>
      </c>
      <c r="I66" s="57">
        <v>45451</v>
      </c>
      <c r="J66" s="57" t="s">
        <v>521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438</v>
      </c>
      <c r="I67" s="57">
        <v>45145</v>
      </c>
      <c r="J67" s="57" t="s">
        <v>521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466</v>
      </c>
      <c r="I68" s="57">
        <v>45399</v>
      </c>
      <c r="J68" s="57" t="s">
        <v>521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415</v>
      </c>
      <c r="I69" s="57">
        <v>44945</v>
      </c>
      <c r="J69" s="57" t="s">
        <v>521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439</v>
      </c>
      <c r="I70" s="57">
        <v>44748</v>
      </c>
      <c r="J70" s="57" t="s">
        <v>521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577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467</v>
      </c>
      <c r="I71" s="57">
        <v>44706</v>
      </c>
      <c r="J71" s="57" t="s">
        <v>521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564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426</v>
      </c>
      <c r="I72" s="57">
        <v>44819</v>
      </c>
      <c r="J72" s="57" t="s">
        <v>521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7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580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449</v>
      </c>
      <c r="I3" s="57">
        <v>45133</v>
      </c>
      <c r="J3" s="57" t="s">
        <v>521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427</v>
      </c>
      <c r="I4" s="57">
        <v>44301</v>
      </c>
      <c r="J4" s="57" t="s">
        <v>521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459</v>
      </c>
      <c r="I5" s="57">
        <v>43035</v>
      </c>
      <c r="J5" s="57" t="s">
        <v>521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440</v>
      </c>
      <c r="I6" s="57">
        <v>45334</v>
      </c>
      <c r="J6" s="57" t="s">
        <v>521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441</v>
      </c>
      <c r="I7" s="57">
        <v>45323</v>
      </c>
      <c r="J7" s="57" t="s">
        <v>521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428</v>
      </c>
      <c r="I8" s="57">
        <v>44735</v>
      </c>
      <c r="J8" s="57" t="s">
        <v>521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553</v>
      </c>
      <c r="T8" s="14" t="s">
        <v>523</v>
      </c>
      <c r="U8" s="14" t="s">
        <v>545</v>
      </c>
      <c r="V8" s="14" t="s">
        <v>549</v>
      </c>
      <c r="W8" s="14" t="s">
        <v>524</v>
      </c>
      <c r="X8" s="14" t="s">
        <v>525</v>
      </c>
      <c r="Y8" s="14" t="s">
        <v>526</v>
      </c>
      <c r="Z8" s="14" t="s">
        <v>527</v>
      </c>
      <c r="AA8" s="14" t="s">
        <v>528</v>
      </c>
      <c r="AB8" s="14" t="s">
        <v>546</v>
      </c>
      <c r="AC8" s="14" t="s">
        <v>550</v>
      </c>
      <c r="AD8" s="14" t="s">
        <v>529</v>
      </c>
      <c r="AE8" s="14" t="s">
        <v>530</v>
      </c>
      <c r="AF8" s="14" t="s">
        <v>531</v>
      </c>
      <c r="AG8" s="14" t="s">
        <v>532</v>
      </c>
      <c r="AH8" s="14" t="s">
        <v>533</v>
      </c>
      <c r="AI8" s="14" t="s">
        <v>547</v>
      </c>
      <c r="AJ8" s="14" t="s">
        <v>551</v>
      </c>
      <c r="AK8" s="14" t="s">
        <v>534</v>
      </c>
      <c r="AL8" s="14" t="s">
        <v>535</v>
      </c>
      <c r="AM8" s="14" t="s">
        <v>536</v>
      </c>
      <c r="AN8" s="14" t="s">
        <v>537</v>
      </c>
      <c r="AO8" s="14" t="s">
        <v>538</v>
      </c>
      <c r="AP8" s="14" t="s">
        <v>548</v>
      </c>
      <c r="AQ8" s="14" t="s">
        <v>552</v>
      </c>
      <c r="AR8" s="14" t="s">
        <v>539</v>
      </c>
      <c r="AS8" s="14" t="s">
        <v>540</v>
      </c>
      <c r="AT8" s="14" t="s">
        <v>541</v>
      </c>
      <c r="AU8" s="14" t="s">
        <v>542</v>
      </c>
      <c r="AV8" s="14" t="s">
        <v>543</v>
      </c>
      <c r="AW8" s="14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553</v>
      </c>
      <c r="BE8" s="20" t="s">
        <v>523</v>
      </c>
      <c r="BF8" s="20" t="s">
        <v>545</v>
      </c>
      <c r="BG8" s="20" t="s">
        <v>549</v>
      </c>
      <c r="BH8" s="20" t="s">
        <v>524</v>
      </c>
      <c r="BI8" s="20" t="s">
        <v>525</v>
      </c>
      <c r="BJ8" s="20" t="s">
        <v>526</v>
      </c>
      <c r="BK8" s="20" t="s">
        <v>527</v>
      </c>
      <c r="BL8" s="20" t="s">
        <v>528</v>
      </c>
      <c r="BM8" s="20" t="s">
        <v>546</v>
      </c>
      <c r="BN8" s="20" t="s">
        <v>550</v>
      </c>
      <c r="BO8" s="20" t="s">
        <v>529</v>
      </c>
      <c r="BP8" s="20" t="s">
        <v>530</v>
      </c>
      <c r="BQ8" s="20" t="s">
        <v>531</v>
      </c>
      <c r="BR8" s="20" t="s">
        <v>532</v>
      </c>
      <c r="BS8" s="20" t="s">
        <v>533</v>
      </c>
      <c r="BT8" s="20" t="s">
        <v>547</v>
      </c>
      <c r="BU8" s="20" t="s">
        <v>551</v>
      </c>
      <c r="BV8" s="20" t="s">
        <v>534</v>
      </c>
      <c r="BW8" s="20" t="s">
        <v>535</v>
      </c>
      <c r="BX8" s="20" t="s">
        <v>536</v>
      </c>
      <c r="BY8" s="20" t="s">
        <v>537</v>
      </c>
      <c r="BZ8" s="20" t="s">
        <v>538</v>
      </c>
      <c r="CA8" s="20" t="s">
        <v>548</v>
      </c>
      <c r="CB8" s="20" t="s">
        <v>552</v>
      </c>
      <c r="CC8" s="20" t="s">
        <v>539</v>
      </c>
      <c r="CD8" s="20" t="s">
        <v>540</v>
      </c>
      <c r="CE8" s="20" t="s">
        <v>541</v>
      </c>
      <c r="CF8" s="20" t="s">
        <v>542</v>
      </c>
      <c r="CG8" s="20" t="s">
        <v>543</v>
      </c>
      <c r="CH8" s="20" t="s">
        <v>544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504</v>
      </c>
      <c r="I9" s="57">
        <v>45399</v>
      </c>
      <c r="J9" s="57" t="s">
        <v>521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397</v>
      </c>
      <c r="I10" s="57">
        <v>44461</v>
      </c>
      <c r="J10" s="57" t="s">
        <v>521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398</v>
      </c>
      <c r="I11" s="57">
        <v>44811</v>
      </c>
      <c r="J11" s="57" t="s">
        <v>521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399</v>
      </c>
      <c r="I12" s="57">
        <v>44811</v>
      </c>
      <c r="J12" s="57" t="s">
        <v>521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450</v>
      </c>
      <c r="I13" s="57">
        <v>45133</v>
      </c>
      <c r="J13" s="57" t="s">
        <v>521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416</v>
      </c>
      <c r="I14" s="57">
        <v>44357</v>
      </c>
      <c r="J14" s="57" t="s">
        <v>521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417</v>
      </c>
      <c r="I15" s="57">
        <v>44673</v>
      </c>
      <c r="J15" s="57" t="s">
        <v>521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405</v>
      </c>
      <c r="I16" s="57">
        <v>45304</v>
      </c>
      <c r="J16" s="57" t="s">
        <v>521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429</v>
      </c>
      <c r="I17" s="57">
        <v>44909</v>
      </c>
      <c r="J17" s="57" t="s">
        <v>521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451</v>
      </c>
      <c r="I18" s="57">
        <v>45285</v>
      </c>
      <c r="J18" s="57" t="s">
        <v>521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442</v>
      </c>
      <c r="I19" s="57">
        <v>45429</v>
      </c>
      <c r="J19" s="57" t="s">
        <v>521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443</v>
      </c>
      <c r="I20" s="57">
        <v>45506</v>
      </c>
      <c r="J20" s="57" t="s">
        <v>521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460</v>
      </c>
      <c r="I21" s="57">
        <v>45299</v>
      </c>
      <c r="J21" s="57" t="s">
        <v>521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452</v>
      </c>
      <c r="I22" s="57">
        <v>45334</v>
      </c>
      <c r="J22" s="57" t="s">
        <v>521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481</v>
      </c>
      <c r="I23" s="57">
        <v>44657</v>
      </c>
      <c r="J23" s="57" t="s">
        <v>521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406</v>
      </c>
      <c r="I24" s="57">
        <v>45334</v>
      </c>
      <c r="J24" s="57" t="s">
        <v>521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407</v>
      </c>
      <c r="I25" s="57">
        <v>44870</v>
      </c>
      <c r="J25" s="57" t="s">
        <v>521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400</v>
      </c>
      <c r="I26" s="57">
        <v>44811</v>
      </c>
      <c r="J26" s="57" t="s">
        <v>521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408</v>
      </c>
      <c r="I27" s="57">
        <v>45530</v>
      </c>
      <c r="J27" s="57" t="s">
        <v>521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432</v>
      </c>
      <c r="I28" s="57">
        <v>45423</v>
      </c>
      <c r="J28" s="57" t="s">
        <v>521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477</v>
      </c>
      <c r="I29" s="57">
        <v>45721</v>
      </c>
      <c r="J29" s="57" t="s">
        <v>521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433</v>
      </c>
      <c r="I30" s="57">
        <v>45399</v>
      </c>
      <c r="J30" s="57" t="s">
        <v>521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453</v>
      </c>
      <c r="I31" s="57">
        <v>44937</v>
      </c>
      <c r="J31" s="57" t="s">
        <v>521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461</v>
      </c>
      <c r="I32" s="57">
        <v>45590</v>
      </c>
      <c r="J32" s="57" t="s">
        <v>521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454</v>
      </c>
      <c r="I33" s="57">
        <v>42814</v>
      </c>
      <c r="J33" s="57" t="s">
        <v>521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409</v>
      </c>
      <c r="I34" s="57">
        <v>44259</v>
      </c>
      <c r="J34" s="57" t="s">
        <v>521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444</v>
      </c>
      <c r="I35" s="57">
        <v>45082</v>
      </c>
      <c r="J35" s="57" t="s">
        <v>521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402</v>
      </c>
      <c r="I36" s="57">
        <v>45075</v>
      </c>
      <c r="J36" s="57" t="s">
        <v>521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573</v>
      </c>
      <c r="G37" s="3">
        <v>13600</v>
      </c>
      <c r="H37" t="s">
        <v>575</v>
      </c>
      <c r="I37" s="57">
        <v>45512</v>
      </c>
      <c r="J37" s="57" t="s">
        <v>521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456</v>
      </c>
      <c r="I38" s="57">
        <v>45021</v>
      </c>
      <c r="J38" s="57" t="s">
        <v>521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445</v>
      </c>
      <c r="I39" s="57">
        <v>45142</v>
      </c>
      <c r="J39" s="57" t="s">
        <v>521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418</v>
      </c>
      <c r="I40" s="57">
        <v>43132</v>
      </c>
      <c r="J40" s="57" t="s">
        <v>521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410</v>
      </c>
      <c r="I41" s="57">
        <v>44748</v>
      </c>
      <c r="J41" s="57" t="s">
        <v>521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462</v>
      </c>
      <c r="I42" s="57">
        <v>0</v>
      </c>
      <c r="J42" s="57" t="s">
        <v>521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411</v>
      </c>
      <c r="I43" s="57">
        <v>44840</v>
      </c>
      <c r="J43" s="57" t="s">
        <v>521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573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419</v>
      </c>
      <c r="I44" s="57">
        <v>44748</v>
      </c>
      <c r="J44" s="57" t="s">
        <v>521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412</v>
      </c>
      <c r="I45" s="57">
        <v>45344</v>
      </c>
      <c r="J45" s="57" t="s">
        <v>521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420</v>
      </c>
      <c r="I46" s="57">
        <v>45523</v>
      </c>
      <c r="J46" s="57" t="s">
        <v>521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457</v>
      </c>
      <c r="I47" s="57">
        <v>44869</v>
      </c>
      <c r="J47" s="57" t="s">
        <v>521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561</v>
      </c>
      <c r="G48" s="3">
        <v>67343</v>
      </c>
      <c r="H48" t="s">
        <v>562</v>
      </c>
      <c r="I48" s="57">
        <v>45131</v>
      </c>
      <c r="J48" s="57" t="s">
        <v>521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463</v>
      </c>
      <c r="I49" s="57">
        <v>44111</v>
      </c>
      <c r="J49" s="57" t="s">
        <v>521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574</v>
      </c>
      <c r="G50" s="3">
        <v>3836</v>
      </c>
      <c r="H50" t="s">
        <v>576</v>
      </c>
      <c r="I50" s="57">
        <v>44830</v>
      </c>
      <c r="J50" s="57" t="s">
        <v>521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458</v>
      </c>
      <c r="I51" s="57">
        <v>45364</v>
      </c>
      <c r="J51" s="57" t="s">
        <v>521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421</v>
      </c>
      <c r="I52" s="57">
        <v>45334</v>
      </c>
      <c r="J52" s="57" t="s">
        <v>521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434</v>
      </c>
      <c r="I53" s="57">
        <v>44687</v>
      </c>
      <c r="J53" s="57" t="s">
        <v>521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464</v>
      </c>
      <c r="I54" s="57">
        <v>44820</v>
      </c>
      <c r="J54" s="57" t="s">
        <v>521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561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435</v>
      </c>
      <c r="I55" s="57">
        <v>44510</v>
      </c>
      <c r="J55" s="57" t="s">
        <v>521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403</v>
      </c>
      <c r="I56" s="57">
        <v>44888</v>
      </c>
      <c r="J56" s="57" t="s">
        <v>521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574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422</v>
      </c>
      <c r="I57" s="57">
        <v>45441</v>
      </c>
      <c r="J57" s="57" t="s">
        <v>521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446</v>
      </c>
      <c r="I58" s="57">
        <v>44716</v>
      </c>
      <c r="J58" s="57" t="s">
        <v>521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557</v>
      </c>
      <c r="G59" s="3">
        <v>8065</v>
      </c>
      <c r="H59" t="s">
        <v>559</v>
      </c>
      <c r="I59" s="57">
        <v>44716</v>
      </c>
      <c r="J59" s="57" t="s">
        <v>521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423</v>
      </c>
      <c r="I60" s="57">
        <v>45471</v>
      </c>
      <c r="J60" s="57" t="s">
        <v>521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424</v>
      </c>
      <c r="I61" s="57">
        <v>44941</v>
      </c>
      <c r="J61" s="57" t="s">
        <v>521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404</v>
      </c>
      <c r="I62" s="57">
        <v>45334</v>
      </c>
      <c r="J62" s="57" t="s">
        <v>521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436</v>
      </c>
      <c r="I63" s="57">
        <v>44971</v>
      </c>
      <c r="J63" s="57" t="s">
        <v>521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447</v>
      </c>
      <c r="I64" s="57">
        <v>45371</v>
      </c>
      <c r="J64" s="57" t="s">
        <v>521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413</v>
      </c>
      <c r="I65" s="57">
        <v>44470</v>
      </c>
      <c r="J65" s="57" t="s">
        <v>521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558</v>
      </c>
      <c r="G66" s="3">
        <v>9580</v>
      </c>
      <c r="H66" t="s">
        <v>560</v>
      </c>
      <c r="I66" s="57">
        <v>45343</v>
      </c>
      <c r="J66" s="57" t="s">
        <v>521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448</v>
      </c>
      <c r="I67" s="57">
        <v>45348</v>
      </c>
      <c r="J67" s="57" t="s">
        <v>521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465</v>
      </c>
      <c r="I68" s="57">
        <v>45316</v>
      </c>
      <c r="J68" s="57" t="s">
        <v>521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437</v>
      </c>
      <c r="I69" s="57">
        <v>45451</v>
      </c>
      <c r="J69" s="57" t="s">
        <v>521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438</v>
      </c>
      <c r="I70" s="57">
        <v>45145</v>
      </c>
      <c r="J70" s="57" t="s">
        <v>521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425</v>
      </c>
      <c r="I71" s="57">
        <v>45175</v>
      </c>
      <c r="J71" s="57" t="s">
        <v>521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466</v>
      </c>
      <c r="I72" s="57">
        <v>45399</v>
      </c>
      <c r="J72" s="57" t="s">
        <v>521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415</v>
      </c>
      <c r="I73" s="57">
        <v>44945</v>
      </c>
      <c r="J73" s="57" t="s">
        <v>521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439</v>
      </c>
      <c r="I74" s="57">
        <v>44748</v>
      </c>
      <c r="J74" s="57" t="s">
        <v>521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467</v>
      </c>
      <c r="I75" s="57">
        <v>44706</v>
      </c>
      <c r="J75" s="57" t="s">
        <v>521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426</v>
      </c>
      <c r="I76" s="57">
        <v>44819</v>
      </c>
      <c r="J76" s="57" t="s">
        <v>521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6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580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397</v>
      </c>
      <c r="I3" s="57">
        <v>44461</v>
      </c>
      <c r="J3" s="57" t="s">
        <v>521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398</v>
      </c>
      <c r="I4" s="57">
        <v>44811</v>
      </c>
      <c r="J4" s="57" t="s">
        <v>521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399</v>
      </c>
      <c r="I5" s="57">
        <v>44811</v>
      </c>
      <c r="J5" s="57" t="s">
        <v>521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400</v>
      </c>
      <c r="I6" s="57">
        <v>44811</v>
      </c>
      <c r="J6" s="57" t="s">
        <v>521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401</v>
      </c>
      <c r="I7" s="57">
        <v>45457</v>
      </c>
      <c r="J7" s="57" t="s">
        <v>521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402</v>
      </c>
      <c r="I8" s="57">
        <v>45075</v>
      </c>
      <c r="J8" s="57" t="s">
        <v>521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553</v>
      </c>
      <c r="T8" s="75" t="s">
        <v>523</v>
      </c>
      <c r="U8" s="75" t="s">
        <v>545</v>
      </c>
      <c r="V8" s="75" t="s">
        <v>549</v>
      </c>
      <c r="W8" s="75" t="s">
        <v>524</v>
      </c>
      <c r="X8" s="75" t="s">
        <v>525</v>
      </c>
      <c r="Y8" s="75" t="s">
        <v>526</v>
      </c>
      <c r="Z8" s="75" t="s">
        <v>527</v>
      </c>
      <c r="AA8" s="75" t="s">
        <v>528</v>
      </c>
      <c r="AB8" s="75" t="s">
        <v>546</v>
      </c>
      <c r="AC8" s="75" t="s">
        <v>550</v>
      </c>
      <c r="AD8" s="75" t="s">
        <v>529</v>
      </c>
      <c r="AE8" s="75" t="s">
        <v>530</v>
      </c>
      <c r="AF8" s="75" t="s">
        <v>531</v>
      </c>
      <c r="AG8" s="75" t="s">
        <v>532</v>
      </c>
      <c r="AH8" s="75" t="s">
        <v>533</v>
      </c>
      <c r="AI8" s="75" t="s">
        <v>547</v>
      </c>
      <c r="AJ8" s="75" t="s">
        <v>551</v>
      </c>
      <c r="AK8" s="75" t="s">
        <v>534</v>
      </c>
      <c r="AL8" s="75" t="s">
        <v>535</v>
      </c>
      <c r="AM8" s="75" t="s">
        <v>536</v>
      </c>
      <c r="AN8" s="75" t="s">
        <v>537</v>
      </c>
      <c r="AO8" s="75" t="s">
        <v>538</v>
      </c>
      <c r="AP8" s="75" t="s">
        <v>548</v>
      </c>
      <c r="AQ8" s="75" t="s">
        <v>552</v>
      </c>
      <c r="AR8" s="75" t="s">
        <v>539</v>
      </c>
      <c r="AS8" s="75" t="s">
        <v>540</v>
      </c>
      <c r="AT8" s="75" t="s">
        <v>541</v>
      </c>
      <c r="AU8" s="75" t="s">
        <v>542</v>
      </c>
      <c r="AV8" s="75" t="s">
        <v>543</v>
      </c>
      <c r="AW8" s="75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553</v>
      </c>
      <c r="BE8" s="41" t="s">
        <v>523</v>
      </c>
      <c r="BF8" s="41" t="s">
        <v>545</v>
      </c>
      <c r="BG8" s="41" t="s">
        <v>549</v>
      </c>
      <c r="BH8" s="41" t="s">
        <v>524</v>
      </c>
      <c r="BI8" s="41" t="s">
        <v>525</v>
      </c>
      <c r="BJ8" s="41" t="s">
        <v>526</v>
      </c>
      <c r="BK8" s="41" t="s">
        <v>527</v>
      </c>
      <c r="BL8" s="41" t="s">
        <v>528</v>
      </c>
      <c r="BM8" s="41" t="s">
        <v>546</v>
      </c>
      <c r="BN8" s="41" t="s">
        <v>550</v>
      </c>
      <c r="BO8" s="41" t="s">
        <v>529</v>
      </c>
      <c r="BP8" s="41" t="s">
        <v>530</v>
      </c>
      <c r="BQ8" s="41" t="s">
        <v>531</v>
      </c>
      <c r="BR8" s="41" t="s">
        <v>532</v>
      </c>
      <c r="BS8" s="41" t="s">
        <v>533</v>
      </c>
      <c r="BT8" s="41" t="s">
        <v>547</v>
      </c>
      <c r="BU8" s="41" t="s">
        <v>551</v>
      </c>
      <c r="BV8" s="41" t="s">
        <v>534</v>
      </c>
      <c r="BW8" s="41" t="s">
        <v>535</v>
      </c>
      <c r="BX8" s="41" t="s">
        <v>536</v>
      </c>
      <c r="BY8" s="41" t="s">
        <v>537</v>
      </c>
      <c r="BZ8" s="41" t="s">
        <v>538</v>
      </c>
      <c r="CA8" s="41" t="s">
        <v>548</v>
      </c>
      <c r="CB8" s="41" t="s">
        <v>552</v>
      </c>
      <c r="CC8" s="41" t="s">
        <v>539</v>
      </c>
      <c r="CD8" s="41" t="s">
        <v>540</v>
      </c>
      <c r="CE8" s="41" t="s">
        <v>541</v>
      </c>
      <c r="CF8" s="41" t="s">
        <v>542</v>
      </c>
      <c r="CG8" s="41" t="s">
        <v>543</v>
      </c>
      <c r="CH8" s="41" t="s">
        <v>544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403</v>
      </c>
      <c r="I9" s="57">
        <v>44888</v>
      </c>
      <c r="J9" s="57" t="s">
        <v>521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404</v>
      </c>
      <c r="I10" s="57">
        <v>45334</v>
      </c>
      <c r="J10" s="57" t="s">
        <v>521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405</v>
      </c>
      <c r="I11" s="57">
        <v>45304</v>
      </c>
      <c r="J11" s="57" t="s">
        <v>521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406</v>
      </c>
      <c r="I12" s="57">
        <v>45334</v>
      </c>
      <c r="J12" s="57" t="s">
        <v>521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407</v>
      </c>
      <c r="I13" s="57">
        <v>44870</v>
      </c>
      <c r="J13" s="57" t="s">
        <v>521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408</v>
      </c>
      <c r="I14" s="57">
        <v>45530</v>
      </c>
      <c r="J14" s="57" t="s">
        <v>521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409</v>
      </c>
      <c r="I15" s="57">
        <v>44259</v>
      </c>
      <c r="J15" s="57" t="s">
        <v>521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410</v>
      </c>
      <c r="I16" s="57">
        <v>44748</v>
      </c>
      <c r="J16" s="57" t="s">
        <v>521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411</v>
      </c>
      <c r="I17" s="57">
        <v>44840</v>
      </c>
      <c r="J17" s="57" t="s">
        <v>521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412</v>
      </c>
      <c r="I18" s="57">
        <v>45344</v>
      </c>
      <c r="J18" s="57" t="s">
        <v>521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413</v>
      </c>
      <c r="I19" s="57">
        <v>44470</v>
      </c>
      <c r="J19" s="57" t="s">
        <v>521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414</v>
      </c>
      <c r="I20" s="57">
        <v>45668</v>
      </c>
      <c r="J20" s="57" t="s">
        <v>521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415</v>
      </c>
      <c r="I21" s="57">
        <v>44945</v>
      </c>
      <c r="J21" s="57" t="s">
        <v>521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416</v>
      </c>
      <c r="I22" s="57">
        <v>44357</v>
      </c>
      <c r="J22" s="57" t="s">
        <v>521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417</v>
      </c>
      <c r="I23" s="57">
        <v>44673</v>
      </c>
      <c r="J23" s="57" t="s">
        <v>521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418</v>
      </c>
      <c r="I24" s="57">
        <v>43132</v>
      </c>
      <c r="J24" s="57" t="s">
        <v>521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419</v>
      </c>
      <c r="I25" s="57">
        <v>44748</v>
      </c>
      <c r="J25" s="57" t="s">
        <v>521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420</v>
      </c>
      <c r="I26" s="57">
        <v>45523</v>
      </c>
      <c r="J26" s="57" t="s">
        <v>521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421</v>
      </c>
      <c r="I27" s="57">
        <v>45334</v>
      </c>
      <c r="J27" s="57" t="s">
        <v>521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422</v>
      </c>
      <c r="I28" s="57">
        <v>45441</v>
      </c>
      <c r="J28" s="57" t="s">
        <v>521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423</v>
      </c>
      <c r="I29" s="57">
        <v>45471</v>
      </c>
      <c r="J29" s="57" t="s">
        <v>521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424</v>
      </c>
      <c r="I30" s="57">
        <v>44941</v>
      </c>
      <c r="J30" s="57" t="s">
        <v>521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425</v>
      </c>
      <c r="I31" s="57">
        <v>45175</v>
      </c>
      <c r="J31" s="57" t="s">
        <v>521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426</v>
      </c>
      <c r="I32" s="57">
        <v>44819</v>
      </c>
      <c r="J32" s="57" t="s">
        <v>521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427</v>
      </c>
      <c r="I33" s="57">
        <v>44301</v>
      </c>
      <c r="J33" s="57" t="s">
        <v>521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428</v>
      </c>
      <c r="I34" s="57">
        <v>44735</v>
      </c>
      <c r="J34" s="57" t="s">
        <v>521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429</v>
      </c>
      <c r="I35" s="57">
        <v>44909</v>
      </c>
      <c r="J35" s="57" t="s">
        <v>521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430</v>
      </c>
      <c r="I36" s="57">
        <v>45675</v>
      </c>
      <c r="J36" s="57" t="s">
        <v>521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431</v>
      </c>
      <c r="I37" s="57">
        <v>45674</v>
      </c>
      <c r="J37" s="57" t="s">
        <v>521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432</v>
      </c>
      <c r="I38" s="57">
        <v>45423</v>
      </c>
      <c r="J38" s="57" t="s">
        <v>521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433</v>
      </c>
      <c r="I39" s="57">
        <v>45399</v>
      </c>
      <c r="J39" s="57" t="s">
        <v>521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434</v>
      </c>
      <c r="I40" s="57">
        <v>44687</v>
      </c>
      <c r="J40" s="57" t="s">
        <v>521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435</v>
      </c>
      <c r="I41" s="57">
        <v>44510</v>
      </c>
      <c r="J41" s="57" t="s">
        <v>521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436</v>
      </c>
      <c r="I42" s="57">
        <v>44971</v>
      </c>
      <c r="J42" s="57" t="s">
        <v>521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437</v>
      </c>
      <c r="I43" s="57">
        <v>45451</v>
      </c>
      <c r="J43" s="57" t="s">
        <v>521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438</v>
      </c>
      <c r="I44" s="57">
        <v>45145</v>
      </c>
      <c r="J44" s="57" t="s">
        <v>521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439</v>
      </c>
      <c r="I45" s="57">
        <v>44748</v>
      </c>
      <c r="J45" s="57" t="s">
        <v>521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440</v>
      </c>
      <c r="I46" s="57">
        <v>45334</v>
      </c>
      <c r="J46" s="57" t="s">
        <v>521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441</v>
      </c>
      <c r="I47" s="57">
        <v>45323</v>
      </c>
      <c r="J47" s="57" t="s">
        <v>521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442</v>
      </c>
      <c r="I48" s="57">
        <v>45429</v>
      </c>
      <c r="J48" s="57" t="s">
        <v>521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443</v>
      </c>
      <c r="I49" s="57">
        <v>45506</v>
      </c>
      <c r="J49" s="57" t="s">
        <v>521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444</v>
      </c>
      <c r="I50" s="57">
        <v>45082</v>
      </c>
      <c r="J50" s="57" t="s">
        <v>521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445</v>
      </c>
      <c r="I51" s="57">
        <v>45142</v>
      </c>
      <c r="J51" s="57" t="s">
        <v>521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446</v>
      </c>
      <c r="I52" s="57">
        <v>44716</v>
      </c>
      <c r="J52" s="57" t="s">
        <v>521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447</v>
      </c>
      <c r="I53" s="57">
        <v>45371</v>
      </c>
      <c r="J53" s="57" t="s">
        <v>521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448</v>
      </c>
      <c r="I54" s="57">
        <v>45348</v>
      </c>
      <c r="J54" s="57" t="s">
        <v>521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449</v>
      </c>
      <c r="I55" s="57">
        <v>45133</v>
      </c>
      <c r="J55" s="57" t="s">
        <v>521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450</v>
      </c>
      <c r="I56" s="57">
        <v>45133</v>
      </c>
      <c r="J56" s="57" t="s">
        <v>521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451</v>
      </c>
      <c r="I57" s="57">
        <v>45285</v>
      </c>
      <c r="J57" s="57" t="s">
        <v>521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452</v>
      </c>
      <c r="I58" s="57">
        <v>45334</v>
      </c>
      <c r="J58" s="57" t="s">
        <v>521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453</v>
      </c>
      <c r="I59" s="57">
        <v>44937</v>
      </c>
      <c r="J59" s="57" t="s">
        <v>521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454</v>
      </c>
      <c r="I60" s="57">
        <v>42814</v>
      </c>
      <c r="J60" s="57" t="s">
        <v>521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455</v>
      </c>
      <c r="I61" s="57">
        <v>45671</v>
      </c>
      <c r="J61" s="57" t="s">
        <v>521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456</v>
      </c>
      <c r="I62" s="57">
        <v>45021</v>
      </c>
      <c r="J62" s="57" t="s">
        <v>521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457</v>
      </c>
      <c r="I63" s="57">
        <v>44869</v>
      </c>
      <c r="J63" s="57" t="s">
        <v>521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458</v>
      </c>
      <c r="I64" s="57">
        <v>45364</v>
      </c>
      <c r="J64" s="57" t="s">
        <v>521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459</v>
      </c>
      <c r="I65" s="57">
        <v>43035</v>
      </c>
      <c r="J65" s="57" t="s">
        <v>521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460</v>
      </c>
      <c r="I66" s="57">
        <v>45299</v>
      </c>
      <c r="J66" s="57" t="s">
        <v>521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461</v>
      </c>
      <c r="I67" s="57">
        <v>45590</v>
      </c>
      <c r="J67" s="57" t="s">
        <v>521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462</v>
      </c>
      <c r="I68" s="57">
        <v>0</v>
      </c>
      <c r="J68" s="57" t="s">
        <v>521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463</v>
      </c>
      <c r="I69" s="57">
        <v>44111</v>
      </c>
      <c r="J69" s="57" t="s">
        <v>521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464</v>
      </c>
      <c r="I70" s="57">
        <v>44820</v>
      </c>
      <c r="J70" s="57" t="s">
        <v>521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465</v>
      </c>
      <c r="I71" s="57">
        <v>45316</v>
      </c>
      <c r="J71" s="57" t="s">
        <v>521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466</v>
      </c>
      <c r="I72" s="57">
        <v>45399</v>
      </c>
      <c r="J72" s="57" t="s">
        <v>521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467</v>
      </c>
      <c r="I73" s="57">
        <v>44706</v>
      </c>
      <c r="J73" s="57" t="s">
        <v>521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557</v>
      </c>
      <c r="G74">
        <v>12973</v>
      </c>
      <c r="H74" t="s">
        <v>559</v>
      </c>
      <c r="I74" s="57">
        <v>44716</v>
      </c>
      <c r="J74" s="57" t="s">
        <v>521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558</v>
      </c>
      <c r="G75">
        <v>3270</v>
      </c>
      <c r="H75" t="s">
        <v>560</v>
      </c>
      <c r="I75" s="57">
        <v>45343</v>
      </c>
      <c r="J75" s="57" t="s">
        <v>521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561</v>
      </c>
      <c r="G76">
        <v>2025</v>
      </c>
      <c r="H76" t="s">
        <v>562</v>
      </c>
      <c r="I76" s="57">
        <v>45131</v>
      </c>
      <c r="J76" s="57" t="s">
        <v>521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580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459</v>
      </c>
      <c r="I3" s="57">
        <v>43035</v>
      </c>
      <c r="J3" t="s">
        <v>521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468</v>
      </c>
      <c r="I4" s="57">
        <v>45084</v>
      </c>
      <c r="J4" t="s">
        <v>521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460</v>
      </c>
      <c r="I5" s="57">
        <v>45299</v>
      </c>
      <c r="J5" t="s">
        <v>521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461</v>
      </c>
      <c r="I6" s="57">
        <v>45590</v>
      </c>
      <c r="J6" t="s">
        <v>521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463</v>
      </c>
      <c r="I7" s="57">
        <v>44111</v>
      </c>
      <c r="J7" t="s">
        <v>521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465</v>
      </c>
      <c r="I8" s="57">
        <v>45316</v>
      </c>
      <c r="J8" t="s">
        <v>521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553</v>
      </c>
      <c r="T8" s="75" t="s">
        <v>523</v>
      </c>
      <c r="U8" s="75" t="s">
        <v>545</v>
      </c>
      <c r="V8" s="75" t="s">
        <v>549</v>
      </c>
      <c r="W8" s="75" t="s">
        <v>524</v>
      </c>
      <c r="X8" s="75" t="s">
        <v>525</v>
      </c>
      <c r="Y8" s="75" t="s">
        <v>526</v>
      </c>
      <c r="Z8" s="75" t="s">
        <v>527</v>
      </c>
      <c r="AA8" s="75" t="s">
        <v>528</v>
      </c>
      <c r="AB8" s="75" t="s">
        <v>546</v>
      </c>
      <c r="AC8" s="75" t="s">
        <v>550</v>
      </c>
      <c r="AD8" s="75" t="s">
        <v>529</v>
      </c>
      <c r="AE8" s="75" t="s">
        <v>530</v>
      </c>
      <c r="AF8" s="75" t="s">
        <v>531</v>
      </c>
      <c r="AG8" s="75" t="s">
        <v>532</v>
      </c>
      <c r="AH8" s="75" t="s">
        <v>533</v>
      </c>
      <c r="AI8" s="75" t="s">
        <v>547</v>
      </c>
      <c r="AJ8" s="75" t="s">
        <v>551</v>
      </c>
      <c r="AK8" s="75" t="s">
        <v>534</v>
      </c>
      <c r="AL8" s="75" t="s">
        <v>535</v>
      </c>
      <c r="AM8" s="75" t="s">
        <v>536</v>
      </c>
      <c r="AN8" s="75" t="s">
        <v>537</v>
      </c>
      <c r="AO8" s="75" t="s">
        <v>538</v>
      </c>
      <c r="AP8" s="75" t="s">
        <v>548</v>
      </c>
      <c r="AQ8" s="75" t="s">
        <v>552</v>
      </c>
      <c r="AR8" s="75" t="s">
        <v>539</v>
      </c>
      <c r="AS8" s="75" t="s">
        <v>540</v>
      </c>
      <c r="AT8" s="75" t="s">
        <v>541</v>
      </c>
      <c r="AU8" s="75" t="s">
        <v>542</v>
      </c>
      <c r="AV8" s="75" t="s">
        <v>543</v>
      </c>
      <c r="AW8" s="75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553</v>
      </c>
      <c r="BE8" s="41" t="s">
        <v>523</v>
      </c>
      <c r="BF8" s="41" t="s">
        <v>545</v>
      </c>
      <c r="BG8" s="41" t="s">
        <v>549</v>
      </c>
      <c r="BH8" s="41" t="s">
        <v>524</v>
      </c>
      <c r="BI8" s="41" t="s">
        <v>525</v>
      </c>
      <c r="BJ8" s="41" t="s">
        <v>526</v>
      </c>
      <c r="BK8" s="41" t="s">
        <v>527</v>
      </c>
      <c r="BL8" s="41" t="s">
        <v>528</v>
      </c>
      <c r="BM8" s="41" t="s">
        <v>546</v>
      </c>
      <c r="BN8" s="41" t="s">
        <v>550</v>
      </c>
      <c r="BO8" s="41" t="s">
        <v>529</v>
      </c>
      <c r="BP8" s="41" t="s">
        <v>530</v>
      </c>
      <c r="BQ8" s="41" t="s">
        <v>531</v>
      </c>
      <c r="BR8" s="41" t="s">
        <v>532</v>
      </c>
      <c r="BS8" s="41" t="s">
        <v>533</v>
      </c>
      <c r="BT8" s="41" t="s">
        <v>547</v>
      </c>
      <c r="BU8" s="41" t="s">
        <v>551</v>
      </c>
      <c r="BV8" s="41" t="s">
        <v>534</v>
      </c>
      <c r="BW8" s="41" t="s">
        <v>535</v>
      </c>
      <c r="BX8" s="41" t="s">
        <v>536</v>
      </c>
      <c r="BY8" s="41" t="s">
        <v>537</v>
      </c>
      <c r="BZ8" s="41" t="s">
        <v>538</v>
      </c>
      <c r="CA8" s="41" t="s">
        <v>548</v>
      </c>
      <c r="CB8" s="41" t="s">
        <v>552</v>
      </c>
      <c r="CC8" s="41" t="s">
        <v>539</v>
      </c>
      <c r="CD8" s="41" t="s">
        <v>540</v>
      </c>
      <c r="CE8" s="41" t="s">
        <v>541</v>
      </c>
      <c r="CF8" s="41" t="s">
        <v>542</v>
      </c>
      <c r="CG8" s="41" t="s">
        <v>543</v>
      </c>
      <c r="CH8" s="41" t="s">
        <v>544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466</v>
      </c>
      <c r="I9" s="57">
        <v>45399</v>
      </c>
      <c r="J9" t="s">
        <v>521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467</v>
      </c>
      <c r="I10" s="57">
        <v>44706</v>
      </c>
      <c r="J10" t="s">
        <v>521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426</v>
      </c>
      <c r="I11" s="57">
        <v>44819</v>
      </c>
      <c r="J11" t="s">
        <v>521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440</v>
      </c>
      <c r="I12" s="57">
        <v>45334</v>
      </c>
      <c r="J12" t="s">
        <v>521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441</v>
      </c>
      <c r="I13" s="57">
        <v>45323</v>
      </c>
      <c r="J13" t="s">
        <v>521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442</v>
      </c>
      <c r="I14" s="57">
        <v>45429</v>
      </c>
      <c r="J14" t="s">
        <v>521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443</v>
      </c>
      <c r="I15" s="57">
        <v>45506</v>
      </c>
      <c r="J15" t="s">
        <v>521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445</v>
      </c>
      <c r="I16" s="57">
        <v>45142</v>
      </c>
      <c r="J16" t="s">
        <v>521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434</v>
      </c>
      <c r="I17" s="57">
        <v>44687</v>
      </c>
      <c r="J17" t="s">
        <v>521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446</v>
      </c>
      <c r="I18" s="57">
        <v>44716</v>
      </c>
      <c r="J18" t="s">
        <v>521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447</v>
      </c>
      <c r="I19" s="57">
        <v>45371</v>
      </c>
      <c r="J19" t="s">
        <v>521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448</v>
      </c>
      <c r="I20" s="57">
        <v>45348</v>
      </c>
      <c r="J20" t="s">
        <v>521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405</v>
      </c>
      <c r="I21" s="57">
        <v>45304</v>
      </c>
      <c r="J21" t="s">
        <v>521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406</v>
      </c>
      <c r="I22" s="57">
        <v>45334</v>
      </c>
      <c r="J22" t="s">
        <v>521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407</v>
      </c>
      <c r="I23" s="57">
        <v>44870</v>
      </c>
      <c r="J23" t="s">
        <v>521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408</v>
      </c>
      <c r="I24" s="57">
        <v>45530</v>
      </c>
      <c r="J24" t="s">
        <v>521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409</v>
      </c>
      <c r="I25" s="57">
        <v>44259</v>
      </c>
      <c r="J25" t="s">
        <v>521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411</v>
      </c>
      <c r="I26" s="57">
        <v>44840</v>
      </c>
      <c r="J26" t="s">
        <v>521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412</v>
      </c>
      <c r="I27" s="57">
        <v>45344</v>
      </c>
      <c r="J27" t="s">
        <v>521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413</v>
      </c>
      <c r="I28" s="57">
        <v>44470</v>
      </c>
      <c r="J28" t="s">
        <v>521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469</v>
      </c>
      <c r="I29" s="57">
        <v>45714</v>
      </c>
      <c r="J29" t="s">
        <v>521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414</v>
      </c>
      <c r="I30" s="57">
        <v>45668</v>
      </c>
      <c r="J30" t="s">
        <v>521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415</v>
      </c>
      <c r="I31" s="57">
        <v>44945</v>
      </c>
      <c r="J31" t="s">
        <v>521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470</v>
      </c>
      <c r="I32" s="57">
        <v>44951</v>
      </c>
      <c r="J32" t="s">
        <v>521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398</v>
      </c>
      <c r="I33" s="57">
        <v>44811</v>
      </c>
      <c r="J33" t="s">
        <v>521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399</v>
      </c>
      <c r="I34" s="57">
        <v>44811</v>
      </c>
      <c r="J34" t="s">
        <v>521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400</v>
      </c>
      <c r="I35" s="57">
        <v>44811</v>
      </c>
      <c r="J35" t="s">
        <v>521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401</v>
      </c>
      <c r="I36" s="57">
        <v>45457</v>
      </c>
      <c r="J36" t="s">
        <v>521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402</v>
      </c>
      <c r="I37" s="57">
        <v>45075</v>
      </c>
      <c r="J37" t="s">
        <v>521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410</v>
      </c>
      <c r="I38" s="57">
        <v>44748</v>
      </c>
      <c r="J38" t="s">
        <v>521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403</v>
      </c>
      <c r="I39" s="57">
        <v>44888</v>
      </c>
      <c r="J39" t="s">
        <v>521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404</v>
      </c>
      <c r="I40" s="57">
        <v>45334</v>
      </c>
      <c r="J40" t="s">
        <v>521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471</v>
      </c>
      <c r="I41" s="57">
        <v>44566</v>
      </c>
      <c r="J41" t="s">
        <v>521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416</v>
      </c>
      <c r="I42" s="57">
        <v>44357</v>
      </c>
      <c r="J42" t="s">
        <v>521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417</v>
      </c>
      <c r="I43" s="57">
        <v>44673</v>
      </c>
      <c r="J43" t="s">
        <v>521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418</v>
      </c>
      <c r="I44" s="57">
        <v>43132</v>
      </c>
      <c r="J44" t="s">
        <v>521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419</v>
      </c>
      <c r="I45" s="57">
        <v>44748</v>
      </c>
      <c r="J45" t="s">
        <v>521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421</v>
      </c>
      <c r="I46" s="57">
        <v>45334</v>
      </c>
      <c r="J46" t="s">
        <v>521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472</v>
      </c>
      <c r="I47" s="57">
        <v>44993</v>
      </c>
      <c r="J47" t="s">
        <v>521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422</v>
      </c>
      <c r="I48" s="57">
        <v>45441</v>
      </c>
      <c r="J48" t="s">
        <v>521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423</v>
      </c>
      <c r="I49" s="57">
        <v>45471</v>
      </c>
      <c r="J49" t="s">
        <v>521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473</v>
      </c>
      <c r="I50" s="57">
        <v>45700</v>
      </c>
      <c r="J50" t="s">
        <v>521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425</v>
      </c>
      <c r="I51" s="57">
        <v>45175</v>
      </c>
      <c r="J51" t="s">
        <v>521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449</v>
      </c>
      <c r="I52" s="57">
        <v>45133</v>
      </c>
      <c r="J52" t="s">
        <v>521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450</v>
      </c>
      <c r="I53" s="57">
        <v>45133</v>
      </c>
      <c r="J53" t="s">
        <v>521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474</v>
      </c>
      <c r="I54" s="57">
        <v>44104</v>
      </c>
      <c r="J54" t="s">
        <v>521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451</v>
      </c>
      <c r="I55" s="57">
        <v>45285</v>
      </c>
      <c r="J55" t="s">
        <v>521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452</v>
      </c>
      <c r="I56" s="57">
        <v>45334</v>
      </c>
      <c r="J56" t="s">
        <v>521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453</v>
      </c>
      <c r="I57" s="57">
        <v>44937</v>
      </c>
      <c r="J57" t="s">
        <v>521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454</v>
      </c>
      <c r="I58" s="57">
        <v>42814</v>
      </c>
      <c r="J58" t="s">
        <v>521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455</v>
      </c>
      <c r="I59" s="57">
        <v>45671</v>
      </c>
      <c r="J59" t="s">
        <v>521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457</v>
      </c>
      <c r="I60" s="57">
        <v>44869</v>
      </c>
      <c r="J60" t="s">
        <v>521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458</v>
      </c>
      <c r="I61" s="57">
        <v>45364</v>
      </c>
      <c r="J61" t="s">
        <v>521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427</v>
      </c>
      <c r="I62" s="57">
        <v>44301</v>
      </c>
      <c r="J62" t="s">
        <v>521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428</v>
      </c>
      <c r="I63" s="57">
        <v>44735</v>
      </c>
      <c r="J63" t="s">
        <v>521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429</v>
      </c>
      <c r="I64" s="57">
        <v>44909</v>
      </c>
      <c r="J64" t="s">
        <v>521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430</v>
      </c>
      <c r="I65" s="57">
        <v>45675</v>
      </c>
      <c r="J65" t="s">
        <v>521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431</v>
      </c>
      <c r="I66" s="57">
        <v>45674</v>
      </c>
      <c r="J66" t="s">
        <v>521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432</v>
      </c>
      <c r="I67" s="57">
        <v>45423</v>
      </c>
      <c r="J67" t="s">
        <v>521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433</v>
      </c>
      <c r="I68" s="57">
        <v>45399</v>
      </c>
      <c r="J68" t="s">
        <v>521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435</v>
      </c>
      <c r="I69" s="57">
        <v>44510</v>
      </c>
      <c r="J69" t="s">
        <v>521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437</v>
      </c>
      <c r="I70" s="57">
        <v>45451</v>
      </c>
      <c r="J70" t="s">
        <v>521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438</v>
      </c>
      <c r="I71" s="57">
        <v>45145</v>
      </c>
      <c r="J71" t="s">
        <v>521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439</v>
      </c>
      <c r="I72" s="57">
        <v>44748</v>
      </c>
      <c r="J72" t="s">
        <v>521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580</v>
      </c>
      <c r="J2" s="63" t="s">
        <v>519</v>
      </c>
      <c r="K2" s="63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459</v>
      </c>
      <c r="I3" s="57">
        <v>43035</v>
      </c>
      <c r="J3" t="s">
        <v>521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475</v>
      </c>
      <c r="I4" s="57">
        <v>45727</v>
      </c>
      <c r="J4" t="s">
        <v>521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468</v>
      </c>
      <c r="I5" s="57">
        <v>45084</v>
      </c>
      <c r="J5" t="s">
        <v>521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460</v>
      </c>
      <c r="I6" s="57">
        <v>45299</v>
      </c>
      <c r="J6" t="s">
        <v>521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461</v>
      </c>
      <c r="I7" s="57">
        <v>45590</v>
      </c>
      <c r="J7" t="s">
        <v>521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463</v>
      </c>
      <c r="I8" s="57">
        <v>44111</v>
      </c>
      <c r="J8" t="s">
        <v>521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553</v>
      </c>
      <c r="T8" s="75" t="s">
        <v>523</v>
      </c>
      <c r="U8" s="75" t="s">
        <v>545</v>
      </c>
      <c r="V8" s="75" t="s">
        <v>549</v>
      </c>
      <c r="W8" s="75" t="s">
        <v>524</v>
      </c>
      <c r="X8" s="75" t="s">
        <v>525</v>
      </c>
      <c r="Y8" s="75" t="s">
        <v>526</v>
      </c>
      <c r="Z8" s="75" t="s">
        <v>527</v>
      </c>
      <c r="AA8" s="75" t="s">
        <v>528</v>
      </c>
      <c r="AB8" s="75" t="s">
        <v>546</v>
      </c>
      <c r="AC8" s="75" t="s">
        <v>550</v>
      </c>
      <c r="AD8" s="75" t="s">
        <v>529</v>
      </c>
      <c r="AE8" s="75" t="s">
        <v>530</v>
      </c>
      <c r="AF8" s="75" t="s">
        <v>531</v>
      </c>
      <c r="AG8" s="75" t="s">
        <v>532</v>
      </c>
      <c r="AH8" s="75" t="s">
        <v>533</v>
      </c>
      <c r="AI8" s="75" t="s">
        <v>547</v>
      </c>
      <c r="AJ8" s="75" t="s">
        <v>551</v>
      </c>
      <c r="AK8" s="75" t="s">
        <v>534</v>
      </c>
      <c r="AL8" s="75" t="s">
        <v>535</v>
      </c>
      <c r="AM8" s="75" t="s">
        <v>536</v>
      </c>
      <c r="AN8" s="75" t="s">
        <v>537</v>
      </c>
      <c r="AO8" s="75" t="s">
        <v>538</v>
      </c>
      <c r="AP8" s="75" t="s">
        <v>548</v>
      </c>
      <c r="AQ8" s="75" t="s">
        <v>552</v>
      </c>
      <c r="AR8" s="75" t="s">
        <v>539</v>
      </c>
      <c r="AS8" s="75" t="s">
        <v>540</v>
      </c>
      <c r="AT8" s="75" t="s">
        <v>541</v>
      </c>
      <c r="AU8" s="75" t="s">
        <v>542</v>
      </c>
      <c r="AV8" s="75" t="s">
        <v>543</v>
      </c>
      <c r="AW8" s="75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553</v>
      </c>
      <c r="BE8" s="41" t="s">
        <v>523</v>
      </c>
      <c r="BF8" s="41" t="s">
        <v>545</v>
      </c>
      <c r="BG8" s="41" t="s">
        <v>549</v>
      </c>
      <c r="BH8" s="41" t="s">
        <v>524</v>
      </c>
      <c r="BI8" s="41" t="s">
        <v>525</v>
      </c>
      <c r="BJ8" s="41" t="s">
        <v>526</v>
      </c>
      <c r="BK8" s="41" t="s">
        <v>527</v>
      </c>
      <c r="BL8" s="41" t="s">
        <v>528</v>
      </c>
      <c r="BM8" s="41" t="s">
        <v>546</v>
      </c>
      <c r="BN8" s="41" t="s">
        <v>550</v>
      </c>
      <c r="BO8" s="41" t="s">
        <v>529</v>
      </c>
      <c r="BP8" s="41" t="s">
        <v>530</v>
      </c>
      <c r="BQ8" s="41" t="s">
        <v>531</v>
      </c>
      <c r="BR8" s="41" t="s">
        <v>532</v>
      </c>
      <c r="BS8" s="41" t="s">
        <v>533</v>
      </c>
      <c r="BT8" s="41" t="s">
        <v>547</v>
      </c>
      <c r="BU8" s="41" t="s">
        <v>551</v>
      </c>
      <c r="BV8" s="41" t="s">
        <v>534</v>
      </c>
      <c r="BW8" s="41" t="s">
        <v>535</v>
      </c>
      <c r="BX8" s="41" t="s">
        <v>536</v>
      </c>
      <c r="BY8" s="41" t="s">
        <v>537</v>
      </c>
      <c r="BZ8" s="41" t="s">
        <v>538</v>
      </c>
      <c r="CA8" s="41" t="s">
        <v>548</v>
      </c>
      <c r="CB8" s="41" t="s">
        <v>552</v>
      </c>
      <c r="CC8" s="41" t="s">
        <v>539</v>
      </c>
      <c r="CD8" s="41" t="s">
        <v>540</v>
      </c>
      <c r="CE8" s="41" t="s">
        <v>541</v>
      </c>
      <c r="CF8" s="41" t="s">
        <v>542</v>
      </c>
      <c r="CG8" s="41" t="s">
        <v>543</v>
      </c>
      <c r="CH8" s="41" t="s">
        <v>544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464</v>
      </c>
      <c r="I9" s="57">
        <v>44820</v>
      </c>
      <c r="J9" t="s">
        <v>521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476</v>
      </c>
      <c r="I10" s="57">
        <v>45727</v>
      </c>
      <c r="J10" t="s">
        <v>521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465</v>
      </c>
      <c r="I11" s="57">
        <v>45316</v>
      </c>
      <c r="J11" t="s">
        <v>521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467</v>
      </c>
      <c r="I12" s="57">
        <v>44706</v>
      </c>
      <c r="J12" t="s">
        <v>521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426</v>
      </c>
      <c r="I13" s="57">
        <v>44819</v>
      </c>
      <c r="J13" t="s">
        <v>521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440</v>
      </c>
      <c r="I14" s="57">
        <v>45334</v>
      </c>
      <c r="J14" t="s">
        <v>521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442</v>
      </c>
      <c r="I15" s="57">
        <v>45429</v>
      </c>
      <c r="J15" t="s">
        <v>521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445</v>
      </c>
      <c r="I16" s="57">
        <v>45142</v>
      </c>
      <c r="J16" t="s">
        <v>521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434</v>
      </c>
      <c r="I17" s="57">
        <v>44687</v>
      </c>
      <c r="J17" t="s">
        <v>521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446</v>
      </c>
      <c r="I18" s="57">
        <v>44716</v>
      </c>
      <c r="J18" t="s">
        <v>521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473</v>
      </c>
      <c r="I19" s="57">
        <v>45700</v>
      </c>
      <c r="J19" t="s">
        <v>521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447</v>
      </c>
      <c r="I20" s="57">
        <v>45371</v>
      </c>
      <c r="J20" t="s">
        <v>521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448</v>
      </c>
      <c r="I21" s="57">
        <v>45348</v>
      </c>
      <c r="J21" t="s">
        <v>521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405</v>
      </c>
      <c r="I22" s="57">
        <v>45304</v>
      </c>
      <c r="J22" t="s">
        <v>521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406</v>
      </c>
      <c r="I23" s="57">
        <v>45334</v>
      </c>
      <c r="J23" t="s">
        <v>521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407</v>
      </c>
      <c r="I24" s="57">
        <v>44870</v>
      </c>
      <c r="J24" t="s">
        <v>521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408</v>
      </c>
      <c r="I25" s="57">
        <v>45530</v>
      </c>
      <c r="J25" t="s">
        <v>521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477</v>
      </c>
      <c r="I26" s="57">
        <v>45721</v>
      </c>
      <c r="J26" t="s">
        <v>521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409</v>
      </c>
      <c r="I27" s="57">
        <v>44259</v>
      </c>
      <c r="J27" t="s">
        <v>521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411</v>
      </c>
      <c r="I28" s="57">
        <v>44840</v>
      </c>
      <c r="J28" t="s">
        <v>521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413</v>
      </c>
      <c r="I29" s="57">
        <v>44470</v>
      </c>
      <c r="J29" t="s">
        <v>521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415</v>
      </c>
      <c r="I30" s="57">
        <v>44945</v>
      </c>
      <c r="J30" t="s">
        <v>521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470</v>
      </c>
      <c r="I31" s="57">
        <v>44951</v>
      </c>
      <c r="J31" t="s">
        <v>521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398</v>
      </c>
      <c r="I32" s="57">
        <v>44811</v>
      </c>
      <c r="J32" t="s">
        <v>521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399</v>
      </c>
      <c r="I33" s="57">
        <v>44811</v>
      </c>
      <c r="J33" t="s">
        <v>521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400</v>
      </c>
      <c r="I34" s="57">
        <v>44811</v>
      </c>
      <c r="J34" t="s">
        <v>521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401</v>
      </c>
      <c r="I35" s="57">
        <v>45457</v>
      </c>
      <c r="J35" t="s">
        <v>521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402</v>
      </c>
      <c r="I36" s="57">
        <v>45075</v>
      </c>
      <c r="J36" t="s">
        <v>521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410</v>
      </c>
      <c r="I37" s="57">
        <v>44748</v>
      </c>
      <c r="J37" t="s">
        <v>521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403</v>
      </c>
      <c r="I38" s="57">
        <v>44888</v>
      </c>
      <c r="J38" t="s">
        <v>521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404</v>
      </c>
      <c r="I39" s="57">
        <v>45334</v>
      </c>
      <c r="J39" t="s">
        <v>521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471</v>
      </c>
      <c r="I40" s="57">
        <v>44566</v>
      </c>
      <c r="J40" t="s">
        <v>521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416</v>
      </c>
      <c r="I41" s="57">
        <v>44357</v>
      </c>
      <c r="J41" t="s">
        <v>521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417</v>
      </c>
      <c r="I42" s="57">
        <v>44673</v>
      </c>
      <c r="J42" t="s">
        <v>521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443</v>
      </c>
      <c r="I43" s="57">
        <v>45506</v>
      </c>
      <c r="J43" t="s">
        <v>521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418</v>
      </c>
      <c r="I44" s="57">
        <v>43132</v>
      </c>
      <c r="J44" t="s">
        <v>521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419</v>
      </c>
      <c r="I45" s="57">
        <v>44748</v>
      </c>
      <c r="J45" t="s">
        <v>521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421</v>
      </c>
      <c r="I46" s="57">
        <v>45334</v>
      </c>
      <c r="J46" t="s">
        <v>521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472</v>
      </c>
      <c r="I47" s="57">
        <v>44993</v>
      </c>
      <c r="J47" t="s">
        <v>521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422</v>
      </c>
      <c r="I48" s="57">
        <v>45441</v>
      </c>
      <c r="J48" t="s">
        <v>521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423</v>
      </c>
      <c r="I49" s="57">
        <v>45471</v>
      </c>
      <c r="J49" t="s">
        <v>521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424</v>
      </c>
      <c r="I50" s="57">
        <v>44941</v>
      </c>
      <c r="J50" t="s">
        <v>521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478</v>
      </c>
      <c r="I51" s="57">
        <v>45727</v>
      </c>
      <c r="J51" t="s">
        <v>521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425</v>
      </c>
      <c r="I52" s="57">
        <v>45175</v>
      </c>
      <c r="J52" t="s">
        <v>521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427</v>
      </c>
      <c r="I53" s="57">
        <v>44301</v>
      </c>
      <c r="J53" t="s">
        <v>521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428</v>
      </c>
      <c r="I54" s="57">
        <v>44735</v>
      </c>
      <c r="J54" t="s">
        <v>521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429</v>
      </c>
      <c r="I55" s="57">
        <v>44909</v>
      </c>
      <c r="J55" t="s">
        <v>521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479</v>
      </c>
      <c r="I56" s="57">
        <v>45727</v>
      </c>
      <c r="J56" t="s">
        <v>521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430</v>
      </c>
      <c r="I57" s="57">
        <v>45675</v>
      </c>
      <c r="J57" t="s">
        <v>521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431</v>
      </c>
      <c r="I58" s="57">
        <v>45674</v>
      </c>
      <c r="J58" t="s">
        <v>521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432</v>
      </c>
      <c r="I59" s="57">
        <v>45423</v>
      </c>
      <c r="J59" t="s">
        <v>521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433</v>
      </c>
      <c r="I60" s="57">
        <v>45399</v>
      </c>
      <c r="J60" t="s">
        <v>521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436</v>
      </c>
      <c r="I61" s="57">
        <v>44971</v>
      </c>
      <c r="J61" t="s">
        <v>521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437</v>
      </c>
      <c r="I62" s="57">
        <v>45451</v>
      </c>
      <c r="J62" t="s">
        <v>521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438</v>
      </c>
      <c r="I63" s="57">
        <v>45145</v>
      </c>
      <c r="J63" t="s">
        <v>521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439</v>
      </c>
      <c r="I64" s="57">
        <v>44748</v>
      </c>
      <c r="J64" t="s">
        <v>521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449</v>
      </c>
      <c r="I65" s="57">
        <v>45133</v>
      </c>
      <c r="J65" t="s">
        <v>521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450</v>
      </c>
      <c r="I66" s="57">
        <v>45133</v>
      </c>
      <c r="J66" t="s">
        <v>521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474</v>
      </c>
      <c r="I67" s="57">
        <v>44104</v>
      </c>
      <c r="J67" t="s">
        <v>521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451</v>
      </c>
      <c r="I68" s="57">
        <v>45285</v>
      </c>
      <c r="J68" t="s">
        <v>521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452</v>
      </c>
      <c r="I69" s="57">
        <v>45334</v>
      </c>
      <c r="J69" t="s">
        <v>521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453</v>
      </c>
      <c r="I70" s="57">
        <v>44937</v>
      </c>
      <c r="J70" t="s">
        <v>521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454</v>
      </c>
      <c r="I71" s="57">
        <v>42814</v>
      </c>
      <c r="J71" t="s">
        <v>521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456</v>
      </c>
      <c r="I72" s="57">
        <v>45021</v>
      </c>
      <c r="J72" t="s">
        <v>521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457</v>
      </c>
      <c r="I73" s="57">
        <v>44869</v>
      </c>
      <c r="J73" t="s">
        <v>521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458</v>
      </c>
      <c r="I74" s="57">
        <v>45364</v>
      </c>
      <c r="J74" t="s">
        <v>521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441</v>
      </c>
      <c r="I75" s="57">
        <v>45323</v>
      </c>
      <c r="J75" t="s">
        <v>521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455</v>
      </c>
      <c r="I76" s="57">
        <v>45671</v>
      </c>
      <c r="J76" t="s">
        <v>521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435</v>
      </c>
      <c r="I77" s="57">
        <v>44510</v>
      </c>
      <c r="J77" t="s">
        <v>521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414</v>
      </c>
      <c r="I78" s="57">
        <v>45668</v>
      </c>
      <c r="J78" t="s">
        <v>521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444</v>
      </c>
      <c r="I79" s="57">
        <v>45082</v>
      </c>
      <c r="J79" t="s">
        <v>521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580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440</v>
      </c>
      <c r="I3" s="57">
        <v>45334</v>
      </c>
      <c r="J3" t="s">
        <v>521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475</v>
      </c>
      <c r="I4" s="57">
        <v>45727</v>
      </c>
      <c r="J4" t="s">
        <v>521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460</v>
      </c>
      <c r="I5" s="57">
        <v>45299</v>
      </c>
      <c r="J5" t="s">
        <v>521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463</v>
      </c>
      <c r="I6" s="57">
        <v>44111</v>
      </c>
      <c r="J6" t="s">
        <v>521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464</v>
      </c>
      <c r="I7" s="57">
        <v>44820</v>
      </c>
      <c r="J7" t="s">
        <v>521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476</v>
      </c>
      <c r="I8" s="57">
        <v>45727</v>
      </c>
      <c r="J8" t="s">
        <v>521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553</v>
      </c>
      <c r="T8" s="75" t="s">
        <v>523</v>
      </c>
      <c r="U8" s="75" t="s">
        <v>545</v>
      </c>
      <c r="V8" s="75" t="s">
        <v>549</v>
      </c>
      <c r="W8" s="75" t="s">
        <v>524</v>
      </c>
      <c r="X8" s="75" t="s">
        <v>525</v>
      </c>
      <c r="Y8" s="75" t="s">
        <v>526</v>
      </c>
      <c r="Z8" s="75" t="s">
        <v>527</v>
      </c>
      <c r="AA8" s="75" t="s">
        <v>528</v>
      </c>
      <c r="AB8" s="75" t="s">
        <v>546</v>
      </c>
      <c r="AC8" s="75" t="s">
        <v>550</v>
      </c>
      <c r="AD8" s="75" t="s">
        <v>529</v>
      </c>
      <c r="AE8" s="75" t="s">
        <v>530</v>
      </c>
      <c r="AF8" s="75" t="s">
        <v>531</v>
      </c>
      <c r="AG8" s="75" t="s">
        <v>532</v>
      </c>
      <c r="AH8" s="75" t="s">
        <v>533</v>
      </c>
      <c r="AI8" s="75" t="s">
        <v>547</v>
      </c>
      <c r="AJ8" s="75" t="s">
        <v>551</v>
      </c>
      <c r="AK8" s="75" t="s">
        <v>534</v>
      </c>
      <c r="AL8" s="75" t="s">
        <v>535</v>
      </c>
      <c r="AM8" s="75" t="s">
        <v>536</v>
      </c>
      <c r="AN8" s="75" t="s">
        <v>537</v>
      </c>
      <c r="AO8" s="75" t="s">
        <v>538</v>
      </c>
      <c r="AP8" s="75" t="s">
        <v>548</v>
      </c>
      <c r="AQ8" s="75" t="s">
        <v>552</v>
      </c>
      <c r="AR8" s="75" t="s">
        <v>539</v>
      </c>
      <c r="AS8" s="75" t="s">
        <v>540</v>
      </c>
      <c r="AT8" s="75" t="s">
        <v>541</v>
      </c>
      <c r="AU8" s="75" t="s">
        <v>542</v>
      </c>
      <c r="AV8" s="75" t="s">
        <v>543</v>
      </c>
      <c r="AW8" s="75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553</v>
      </c>
      <c r="BE8" s="41" t="s">
        <v>523</v>
      </c>
      <c r="BF8" s="41" t="s">
        <v>545</v>
      </c>
      <c r="BG8" s="41" t="s">
        <v>549</v>
      </c>
      <c r="BH8" s="41" t="s">
        <v>524</v>
      </c>
      <c r="BI8" s="41" t="s">
        <v>525</v>
      </c>
      <c r="BJ8" s="41" t="s">
        <v>526</v>
      </c>
      <c r="BK8" s="41" t="s">
        <v>527</v>
      </c>
      <c r="BL8" s="41" t="s">
        <v>528</v>
      </c>
      <c r="BM8" s="41" t="s">
        <v>546</v>
      </c>
      <c r="BN8" s="41" t="s">
        <v>550</v>
      </c>
      <c r="BO8" s="41" t="s">
        <v>529</v>
      </c>
      <c r="BP8" s="41" t="s">
        <v>530</v>
      </c>
      <c r="BQ8" s="41" t="s">
        <v>531</v>
      </c>
      <c r="BR8" s="41" t="s">
        <v>532</v>
      </c>
      <c r="BS8" s="41" t="s">
        <v>533</v>
      </c>
      <c r="BT8" s="41" t="s">
        <v>547</v>
      </c>
      <c r="BU8" s="41" t="s">
        <v>551</v>
      </c>
      <c r="BV8" s="41" t="s">
        <v>534</v>
      </c>
      <c r="BW8" s="41" t="s">
        <v>535</v>
      </c>
      <c r="BX8" s="41" t="s">
        <v>536</v>
      </c>
      <c r="BY8" s="41" t="s">
        <v>537</v>
      </c>
      <c r="BZ8" s="41" t="s">
        <v>538</v>
      </c>
      <c r="CA8" s="41" t="s">
        <v>548</v>
      </c>
      <c r="CB8" s="41" t="s">
        <v>552</v>
      </c>
      <c r="CC8" s="41" t="s">
        <v>539</v>
      </c>
      <c r="CD8" s="41" t="s">
        <v>540</v>
      </c>
      <c r="CE8" s="41" t="s">
        <v>541</v>
      </c>
      <c r="CF8" s="41" t="s">
        <v>542</v>
      </c>
      <c r="CG8" s="41" t="s">
        <v>543</v>
      </c>
      <c r="CH8" s="41" t="s">
        <v>544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437</v>
      </c>
      <c r="I9" s="57">
        <v>45451</v>
      </c>
      <c r="J9" t="s">
        <v>521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426</v>
      </c>
      <c r="I10" s="57">
        <v>44819</v>
      </c>
      <c r="J10" t="s">
        <v>521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480</v>
      </c>
      <c r="I11" s="57">
        <v>45775</v>
      </c>
      <c r="J11" t="s">
        <v>521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461</v>
      </c>
      <c r="I12" s="57">
        <v>45590</v>
      </c>
      <c r="J12" t="s">
        <v>521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456</v>
      </c>
      <c r="I13" s="57">
        <v>45021</v>
      </c>
      <c r="J13" t="s">
        <v>521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446</v>
      </c>
      <c r="I14" s="57">
        <v>44716</v>
      </c>
      <c r="J14" t="s">
        <v>521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404</v>
      </c>
      <c r="I15" s="57">
        <v>45334</v>
      </c>
      <c r="J15" t="s">
        <v>521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473</v>
      </c>
      <c r="I16" s="57">
        <v>45700</v>
      </c>
      <c r="J16" t="s">
        <v>521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448</v>
      </c>
      <c r="I17" s="57">
        <v>45348</v>
      </c>
      <c r="J17" t="s">
        <v>521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465</v>
      </c>
      <c r="I18" s="57">
        <v>45316</v>
      </c>
      <c r="J18" t="s">
        <v>521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407</v>
      </c>
      <c r="I19" s="57">
        <v>44870</v>
      </c>
      <c r="J19" t="s">
        <v>521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400</v>
      </c>
      <c r="I20" s="57">
        <v>44811</v>
      </c>
      <c r="J20" t="s">
        <v>521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411</v>
      </c>
      <c r="I21" s="57">
        <v>44840</v>
      </c>
      <c r="J21" t="s">
        <v>521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434</v>
      </c>
      <c r="I22" s="57">
        <v>44687</v>
      </c>
      <c r="J22" t="s">
        <v>521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403</v>
      </c>
      <c r="I23" s="57">
        <v>44888</v>
      </c>
      <c r="J23" t="s">
        <v>521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447</v>
      </c>
      <c r="I24" s="57">
        <v>45371</v>
      </c>
      <c r="J24" t="s">
        <v>521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467</v>
      </c>
      <c r="I25" s="57">
        <v>44706</v>
      </c>
      <c r="J25" t="s">
        <v>521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459</v>
      </c>
      <c r="I26" s="57">
        <v>43035</v>
      </c>
      <c r="J26" t="s">
        <v>521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398</v>
      </c>
      <c r="I27" s="57">
        <v>44811</v>
      </c>
      <c r="J27" t="s">
        <v>521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399</v>
      </c>
      <c r="I28" s="57">
        <v>44811</v>
      </c>
      <c r="J28" t="s">
        <v>521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468</v>
      </c>
      <c r="I29" s="57">
        <v>45084</v>
      </c>
      <c r="J29" t="s">
        <v>521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401</v>
      </c>
      <c r="I30" s="57">
        <v>45457</v>
      </c>
      <c r="J30" t="s">
        <v>521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458</v>
      </c>
      <c r="I31" s="57">
        <v>45364</v>
      </c>
      <c r="J31" t="s">
        <v>521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436</v>
      </c>
      <c r="I32" s="57">
        <v>44971</v>
      </c>
      <c r="J32" t="s">
        <v>521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471</v>
      </c>
      <c r="I33" s="57">
        <v>44566</v>
      </c>
      <c r="J33" t="s">
        <v>521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449</v>
      </c>
      <c r="I34" s="57">
        <v>45133</v>
      </c>
      <c r="J34" t="s">
        <v>521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443</v>
      </c>
      <c r="I35" s="57">
        <v>45506</v>
      </c>
      <c r="J35" t="s">
        <v>521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481</v>
      </c>
      <c r="I36" s="57">
        <v>45748</v>
      </c>
      <c r="J36" t="s">
        <v>521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418</v>
      </c>
      <c r="I37" s="57">
        <v>43132</v>
      </c>
      <c r="J37" t="s">
        <v>521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419</v>
      </c>
      <c r="I38" s="57">
        <v>44748</v>
      </c>
      <c r="J38" t="s">
        <v>521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421</v>
      </c>
      <c r="I39" s="57">
        <v>45334</v>
      </c>
      <c r="J39" t="s">
        <v>521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472</v>
      </c>
      <c r="I40" s="57">
        <v>44993</v>
      </c>
      <c r="J40" t="s">
        <v>521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424</v>
      </c>
      <c r="I41" s="57">
        <v>44941</v>
      </c>
      <c r="J41" t="s">
        <v>521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478</v>
      </c>
      <c r="I42" s="57">
        <v>45727</v>
      </c>
      <c r="J42" t="s">
        <v>521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425</v>
      </c>
      <c r="I43" s="57">
        <v>45175</v>
      </c>
      <c r="J43" t="s">
        <v>521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427</v>
      </c>
      <c r="I44" s="57">
        <v>44301</v>
      </c>
      <c r="J44" t="s">
        <v>521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428</v>
      </c>
      <c r="I45" s="57">
        <v>44735</v>
      </c>
      <c r="J45" t="s">
        <v>521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474</v>
      </c>
      <c r="I46" s="57">
        <v>44104</v>
      </c>
      <c r="J46" t="s">
        <v>521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405</v>
      </c>
      <c r="I47" s="57">
        <v>45304</v>
      </c>
      <c r="J47" t="s">
        <v>521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432</v>
      </c>
      <c r="I48" s="57">
        <v>45423</v>
      </c>
      <c r="J48" t="s">
        <v>521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433</v>
      </c>
      <c r="I49" s="57">
        <v>45399</v>
      </c>
      <c r="J49" t="s">
        <v>521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445</v>
      </c>
      <c r="I50" s="57">
        <v>45142</v>
      </c>
      <c r="J50" t="s">
        <v>521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410</v>
      </c>
      <c r="I51" s="57">
        <v>44748</v>
      </c>
      <c r="J51" t="s">
        <v>521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438</v>
      </c>
      <c r="I52" s="57">
        <v>45145</v>
      </c>
      <c r="J52" t="s">
        <v>521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450</v>
      </c>
      <c r="I53" s="57">
        <v>45133</v>
      </c>
      <c r="J53" t="s">
        <v>521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479</v>
      </c>
      <c r="I54" s="57">
        <v>45727</v>
      </c>
      <c r="J54" t="s">
        <v>521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452</v>
      </c>
      <c r="I55" s="57">
        <v>45334</v>
      </c>
      <c r="J55" t="s">
        <v>521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431</v>
      </c>
      <c r="I56" s="57">
        <v>45674</v>
      </c>
      <c r="J56" t="s">
        <v>521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453</v>
      </c>
      <c r="I57" s="57">
        <v>44937</v>
      </c>
      <c r="J57" t="s">
        <v>521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457</v>
      </c>
      <c r="I58" s="57">
        <v>44869</v>
      </c>
      <c r="J58" t="s">
        <v>521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415</v>
      </c>
      <c r="I59" s="57">
        <v>44945</v>
      </c>
      <c r="J59" t="s">
        <v>521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470</v>
      </c>
      <c r="I60" s="57">
        <v>44951</v>
      </c>
      <c r="J60" t="s">
        <v>521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482</v>
      </c>
      <c r="I61" s="57">
        <v>45772</v>
      </c>
      <c r="J61" t="s">
        <v>521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429</v>
      </c>
      <c r="I62" s="57">
        <v>44909</v>
      </c>
      <c r="J62" t="s">
        <v>521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451</v>
      </c>
      <c r="I63" s="57">
        <v>45285</v>
      </c>
      <c r="J63" t="s">
        <v>521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406</v>
      </c>
      <c r="I64" s="57">
        <v>45334</v>
      </c>
      <c r="J64" t="s">
        <v>521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430</v>
      </c>
      <c r="I65" s="57">
        <v>45675</v>
      </c>
      <c r="J65" t="s">
        <v>521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408</v>
      </c>
      <c r="I66" s="57">
        <v>45530</v>
      </c>
      <c r="J66" t="s">
        <v>521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477</v>
      </c>
      <c r="I67" s="57">
        <v>45721</v>
      </c>
      <c r="J67" t="s">
        <v>521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413</v>
      </c>
      <c r="I68" s="57">
        <v>44470</v>
      </c>
      <c r="J68" t="s">
        <v>521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439</v>
      </c>
      <c r="I69" s="57">
        <v>44748</v>
      </c>
      <c r="J69" t="s">
        <v>521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580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440</v>
      </c>
      <c r="I3" s="57">
        <v>45334</v>
      </c>
      <c r="J3" t="s">
        <v>521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475</v>
      </c>
      <c r="I4" s="57">
        <v>45727</v>
      </c>
      <c r="J4" t="s">
        <v>521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460</v>
      </c>
      <c r="I5" s="57">
        <v>45299</v>
      </c>
      <c r="J5" t="s">
        <v>521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409</v>
      </c>
      <c r="I6" s="57">
        <v>44259</v>
      </c>
      <c r="J6" t="s">
        <v>521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463</v>
      </c>
      <c r="I7" s="57">
        <v>44111</v>
      </c>
      <c r="J7" t="s">
        <v>521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464</v>
      </c>
      <c r="I8" s="57">
        <v>44820</v>
      </c>
      <c r="J8" t="s">
        <v>521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553</v>
      </c>
      <c r="T8" s="75" t="s">
        <v>523</v>
      </c>
      <c r="U8" s="75" t="s">
        <v>545</v>
      </c>
      <c r="V8" s="75" t="s">
        <v>549</v>
      </c>
      <c r="W8" s="75" t="s">
        <v>524</v>
      </c>
      <c r="X8" s="75" t="s">
        <v>525</v>
      </c>
      <c r="Y8" s="75" t="s">
        <v>526</v>
      </c>
      <c r="Z8" s="75" t="s">
        <v>527</v>
      </c>
      <c r="AA8" s="75" t="s">
        <v>528</v>
      </c>
      <c r="AB8" s="75" t="s">
        <v>546</v>
      </c>
      <c r="AC8" s="75" t="s">
        <v>550</v>
      </c>
      <c r="AD8" s="75" t="s">
        <v>529</v>
      </c>
      <c r="AE8" s="75" t="s">
        <v>530</v>
      </c>
      <c r="AF8" s="75" t="s">
        <v>531</v>
      </c>
      <c r="AG8" s="75" t="s">
        <v>532</v>
      </c>
      <c r="AH8" s="75" t="s">
        <v>533</v>
      </c>
      <c r="AI8" s="75" t="s">
        <v>547</v>
      </c>
      <c r="AJ8" s="75" t="s">
        <v>551</v>
      </c>
      <c r="AK8" s="75" t="s">
        <v>534</v>
      </c>
      <c r="AL8" s="75" t="s">
        <v>535</v>
      </c>
      <c r="AM8" s="75" t="s">
        <v>536</v>
      </c>
      <c r="AN8" s="75" t="s">
        <v>537</v>
      </c>
      <c r="AO8" s="75" t="s">
        <v>538</v>
      </c>
      <c r="AP8" s="75" t="s">
        <v>548</v>
      </c>
      <c r="AQ8" s="75" t="s">
        <v>552</v>
      </c>
      <c r="AR8" s="75" t="s">
        <v>539</v>
      </c>
      <c r="AS8" s="75" t="s">
        <v>540</v>
      </c>
      <c r="AT8" s="75" t="s">
        <v>541</v>
      </c>
      <c r="AU8" s="75" t="s">
        <v>542</v>
      </c>
      <c r="AV8" s="75" t="s">
        <v>543</v>
      </c>
      <c r="AW8" s="75" t="s">
        <v>544</v>
      </c>
      <c r="AX8" s="69" t="s">
        <v>522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553</v>
      </c>
      <c r="BE8" s="41" t="s">
        <v>523</v>
      </c>
      <c r="BF8" s="41" t="s">
        <v>545</v>
      </c>
      <c r="BG8" s="41" t="s">
        <v>549</v>
      </c>
      <c r="BH8" s="41" t="s">
        <v>524</v>
      </c>
      <c r="BI8" s="41" t="s">
        <v>525</v>
      </c>
      <c r="BJ8" s="41" t="s">
        <v>526</v>
      </c>
      <c r="BK8" s="41" t="s">
        <v>527</v>
      </c>
      <c r="BL8" s="41" t="s">
        <v>528</v>
      </c>
      <c r="BM8" s="41" t="s">
        <v>546</v>
      </c>
      <c r="BN8" s="41" t="s">
        <v>550</v>
      </c>
      <c r="BO8" s="41" t="s">
        <v>529</v>
      </c>
      <c r="BP8" s="41" t="s">
        <v>530</v>
      </c>
      <c r="BQ8" s="41" t="s">
        <v>531</v>
      </c>
      <c r="BR8" s="41" t="s">
        <v>532</v>
      </c>
      <c r="BS8" s="41" t="s">
        <v>533</v>
      </c>
      <c r="BT8" s="41" t="s">
        <v>547</v>
      </c>
      <c r="BU8" s="41" t="s">
        <v>551</v>
      </c>
      <c r="BV8" s="41" t="s">
        <v>534</v>
      </c>
      <c r="BW8" s="41" t="s">
        <v>535</v>
      </c>
      <c r="BX8" s="41" t="s">
        <v>536</v>
      </c>
      <c r="BY8" s="41" t="s">
        <v>537</v>
      </c>
      <c r="BZ8" s="41" t="s">
        <v>538</v>
      </c>
      <c r="CA8" s="41" t="s">
        <v>548</v>
      </c>
      <c r="CB8" s="41" t="s">
        <v>552</v>
      </c>
      <c r="CC8" s="41" t="s">
        <v>539</v>
      </c>
      <c r="CD8" s="41" t="s">
        <v>540</v>
      </c>
      <c r="CE8" s="41" t="s">
        <v>541</v>
      </c>
      <c r="CF8" s="41" t="s">
        <v>542</v>
      </c>
      <c r="CG8" s="41" t="s">
        <v>543</v>
      </c>
      <c r="CH8" s="41" t="s">
        <v>544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476</v>
      </c>
      <c r="I9" s="57">
        <v>45727</v>
      </c>
      <c r="J9" t="s">
        <v>521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437</v>
      </c>
      <c r="I10" s="57">
        <v>45451</v>
      </c>
      <c r="J10" t="s">
        <v>521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426</v>
      </c>
      <c r="I11" s="57">
        <v>44819</v>
      </c>
      <c r="J11" t="s">
        <v>521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483</v>
      </c>
      <c r="I12" s="57">
        <v>45798</v>
      </c>
      <c r="J12" t="s">
        <v>521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429</v>
      </c>
      <c r="I13" s="57">
        <v>44909</v>
      </c>
      <c r="J13" t="s">
        <v>521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461</v>
      </c>
      <c r="I14" s="57">
        <v>45590</v>
      </c>
      <c r="J14" t="s">
        <v>521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456</v>
      </c>
      <c r="I15" s="57">
        <v>45021</v>
      </c>
      <c r="J15" t="s">
        <v>521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446</v>
      </c>
      <c r="I16" s="57">
        <v>44716</v>
      </c>
      <c r="J16" t="s">
        <v>521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404</v>
      </c>
      <c r="I17" s="57">
        <v>45334</v>
      </c>
      <c r="J17" t="s">
        <v>521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473</v>
      </c>
      <c r="I18" s="57">
        <v>45700</v>
      </c>
      <c r="J18" t="s">
        <v>521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448</v>
      </c>
      <c r="I19" s="57">
        <v>45348</v>
      </c>
      <c r="J19" t="s">
        <v>521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406</v>
      </c>
      <c r="I20" s="57">
        <v>45334</v>
      </c>
      <c r="J20" t="s">
        <v>521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407</v>
      </c>
      <c r="I21" s="57">
        <v>44870</v>
      </c>
      <c r="J21" t="s">
        <v>521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400</v>
      </c>
      <c r="I22" s="57">
        <v>44811</v>
      </c>
      <c r="J22" t="s">
        <v>521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411</v>
      </c>
      <c r="I23" s="57">
        <v>44840</v>
      </c>
      <c r="J23" t="s">
        <v>521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434</v>
      </c>
      <c r="I24" s="57">
        <v>44687</v>
      </c>
      <c r="J24" t="s">
        <v>521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403</v>
      </c>
      <c r="I25" s="57">
        <v>44888</v>
      </c>
      <c r="J25" t="s">
        <v>521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447</v>
      </c>
      <c r="I26" s="57">
        <v>45371</v>
      </c>
      <c r="J26" t="s">
        <v>521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484</v>
      </c>
      <c r="I27" s="57">
        <v>45798</v>
      </c>
      <c r="J27" t="s">
        <v>521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467</v>
      </c>
      <c r="I28" s="57">
        <v>44706</v>
      </c>
      <c r="J28" t="s">
        <v>521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459</v>
      </c>
      <c r="I29" s="57">
        <v>43035</v>
      </c>
      <c r="J29" t="s">
        <v>521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397</v>
      </c>
      <c r="I30" s="57">
        <v>44461</v>
      </c>
      <c r="J30" t="s">
        <v>521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398</v>
      </c>
      <c r="I31" s="57">
        <v>44811</v>
      </c>
      <c r="J31" t="s">
        <v>521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399</v>
      </c>
      <c r="I32" s="57">
        <v>44811</v>
      </c>
      <c r="J32" t="s">
        <v>521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468</v>
      </c>
      <c r="I33" s="57">
        <v>45084</v>
      </c>
      <c r="J33" t="s">
        <v>521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401</v>
      </c>
      <c r="I34" s="57">
        <v>45457</v>
      </c>
      <c r="J34" t="s">
        <v>521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458</v>
      </c>
      <c r="I35" s="57">
        <v>45364</v>
      </c>
      <c r="J35" t="s">
        <v>521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436</v>
      </c>
      <c r="I36" s="57">
        <v>44971</v>
      </c>
      <c r="J36" t="s">
        <v>521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471</v>
      </c>
      <c r="I37" s="57">
        <v>44566</v>
      </c>
      <c r="J37" t="s">
        <v>521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449</v>
      </c>
      <c r="I38" s="57">
        <v>45133</v>
      </c>
      <c r="J38" t="s">
        <v>521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417</v>
      </c>
      <c r="I39" s="57">
        <v>44673</v>
      </c>
      <c r="J39" t="s">
        <v>521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443</v>
      </c>
      <c r="I40" s="57">
        <v>45506</v>
      </c>
      <c r="J40" t="s">
        <v>521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481</v>
      </c>
      <c r="I41" s="57">
        <v>45748</v>
      </c>
      <c r="J41" t="s">
        <v>521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485</v>
      </c>
      <c r="I42" s="57">
        <v>45804</v>
      </c>
      <c r="J42" t="s">
        <v>521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418</v>
      </c>
      <c r="I43" s="57">
        <v>43132</v>
      </c>
      <c r="J43" t="s">
        <v>521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419</v>
      </c>
      <c r="I44" s="57">
        <v>44748</v>
      </c>
      <c r="J44" t="s">
        <v>521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420</v>
      </c>
      <c r="I45" s="57">
        <v>45523</v>
      </c>
      <c r="J45" t="s">
        <v>521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421</v>
      </c>
      <c r="I46" s="57">
        <v>45334</v>
      </c>
      <c r="J46" t="s">
        <v>521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472</v>
      </c>
      <c r="I47" s="57">
        <v>44993</v>
      </c>
      <c r="J47" t="s">
        <v>521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424</v>
      </c>
      <c r="I48" s="57">
        <v>44941</v>
      </c>
      <c r="J48" t="s">
        <v>521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425</v>
      </c>
      <c r="I49" s="57">
        <v>45175</v>
      </c>
      <c r="J49" t="s">
        <v>521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486</v>
      </c>
      <c r="I50" s="57">
        <v>45803</v>
      </c>
      <c r="J50" t="s">
        <v>521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451</v>
      </c>
      <c r="I51" s="57">
        <v>45285</v>
      </c>
      <c r="J51" t="s">
        <v>521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430</v>
      </c>
      <c r="I52" s="57">
        <v>45675</v>
      </c>
      <c r="J52" t="s">
        <v>521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445</v>
      </c>
      <c r="I53" s="57">
        <v>45142</v>
      </c>
      <c r="J53" t="s">
        <v>521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457</v>
      </c>
      <c r="I54" s="57">
        <v>44869</v>
      </c>
      <c r="J54" t="s">
        <v>521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487</v>
      </c>
      <c r="I55" s="57">
        <v>45805</v>
      </c>
      <c r="J55" t="s">
        <v>521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413</v>
      </c>
      <c r="I56" s="57">
        <v>44470</v>
      </c>
      <c r="J56" t="s">
        <v>521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470</v>
      </c>
      <c r="I57" s="57">
        <v>44951</v>
      </c>
      <c r="J57" t="s">
        <v>521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482</v>
      </c>
      <c r="I58" s="57">
        <v>45772</v>
      </c>
      <c r="J58" t="s">
        <v>521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427</v>
      </c>
      <c r="I59" s="57">
        <v>44301</v>
      </c>
      <c r="J59" t="s">
        <v>521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450</v>
      </c>
      <c r="I60" s="57">
        <v>45133</v>
      </c>
      <c r="J60" t="s">
        <v>521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405</v>
      </c>
      <c r="I61" s="57">
        <v>45304</v>
      </c>
      <c r="J61" t="s">
        <v>521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442</v>
      </c>
      <c r="I62" s="57">
        <v>45429</v>
      </c>
      <c r="J62" t="s">
        <v>521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452</v>
      </c>
      <c r="I63" s="57">
        <v>45334</v>
      </c>
      <c r="J63" t="s">
        <v>521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433</v>
      </c>
      <c r="I64" s="57">
        <v>45399</v>
      </c>
      <c r="J64" t="s">
        <v>521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453</v>
      </c>
      <c r="I65" s="57">
        <v>44937</v>
      </c>
      <c r="J65" t="s">
        <v>521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488</v>
      </c>
      <c r="I66" s="57">
        <v>45785</v>
      </c>
      <c r="J66" t="s">
        <v>521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489</v>
      </c>
      <c r="I67" s="57">
        <v>45793</v>
      </c>
      <c r="J67" t="s">
        <v>521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439</v>
      </c>
      <c r="I68" s="57">
        <v>44748</v>
      </c>
      <c r="J68" t="s">
        <v>521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428</v>
      </c>
      <c r="I69" s="57">
        <v>44735</v>
      </c>
      <c r="J69" t="s">
        <v>521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474</v>
      </c>
      <c r="I70" s="57">
        <v>44104</v>
      </c>
      <c r="J70" t="s">
        <v>521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431</v>
      </c>
      <c r="I71" s="57">
        <v>45674</v>
      </c>
      <c r="J71" t="s">
        <v>521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408</v>
      </c>
      <c r="I72" s="57">
        <v>45530</v>
      </c>
      <c r="J72" t="s">
        <v>521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432</v>
      </c>
      <c r="I73" s="57">
        <v>45423</v>
      </c>
      <c r="J73" t="s">
        <v>521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454</v>
      </c>
      <c r="I74" s="57">
        <v>42814</v>
      </c>
      <c r="J74" t="s">
        <v>521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490</v>
      </c>
      <c r="I75" s="57">
        <v>45800</v>
      </c>
      <c r="J75" t="s">
        <v>521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491</v>
      </c>
      <c r="I76" s="57">
        <v>45800</v>
      </c>
      <c r="J76" t="s">
        <v>521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438</v>
      </c>
      <c r="I77" s="57">
        <v>45145</v>
      </c>
      <c r="J77" t="s">
        <v>521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415</v>
      </c>
      <c r="I78" s="57">
        <v>44945</v>
      </c>
      <c r="J78" t="s">
        <v>521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73" t="s">
        <v>580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5</v>
      </c>
      <c r="B3" s="70" t="s">
        <v>69</v>
      </c>
      <c r="C3" s="71"/>
      <c r="D3" s="71"/>
      <c r="E3" s="71" t="s">
        <v>5</v>
      </c>
      <c r="F3" s="70" t="s">
        <v>69</v>
      </c>
      <c r="G3" s="70"/>
      <c r="H3" s="70" t="s">
        <v>397</v>
      </c>
      <c r="I3" s="72">
        <v>44459</v>
      </c>
      <c r="J3" s="72" t="s">
        <v>520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0" t="s">
        <v>2</v>
      </c>
      <c r="B4" s="70" t="s">
        <v>29</v>
      </c>
      <c r="C4" s="71"/>
      <c r="D4" s="71"/>
      <c r="E4" s="71" t="s">
        <v>2</v>
      </c>
      <c r="F4" s="70" t="s">
        <v>29</v>
      </c>
      <c r="G4" s="70"/>
      <c r="H4" s="70" t="s">
        <v>434</v>
      </c>
      <c r="I4" s="72">
        <v>44685</v>
      </c>
      <c r="J4" s="72" t="s">
        <v>520</v>
      </c>
      <c r="L4" s="57"/>
    </row>
    <row r="5" spans="1:87" x14ac:dyDescent="0.25">
      <c r="A5" s="70" t="s">
        <v>8</v>
      </c>
      <c r="B5" s="70" t="s">
        <v>21</v>
      </c>
      <c r="C5" s="71"/>
      <c r="D5" s="71"/>
      <c r="E5" s="71" t="s">
        <v>8</v>
      </c>
      <c r="F5" s="70" t="s">
        <v>21</v>
      </c>
      <c r="G5" s="70"/>
      <c r="H5" s="70" t="s">
        <v>427</v>
      </c>
      <c r="I5" s="72">
        <v>44824</v>
      </c>
      <c r="J5" s="72" t="s">
        <v>520</v>
      </c>
      <c r="L5" s="57"/>
    </row>
    <row r="6" spans="1:87" x14ac:dyDescent="0.25">
      <c r="A6" s="70" t="s">
        <v>6</v>
      </c>
      <c r="B6" s="70" t="s">
        <v>18</v>
      </c>
      <c r="C6" s="71"/>
      <c r="D6" s="71"/>
      <c r="E6" s="71" t="s">
        <v>6</v>
      </c>
      <c r="F6" s="70" t="s">
        <v>18</v>
      </c>
      <c r="G6" s="70"/>
      <c r="H6" s="70" t="s">
        <v>449</v>
      </c>
      <c r="I6" s="72">
        <v>45132</v>
      </c>
      <c r="J6" s="72" t="s">
        <v>520</v>
      </c>
      <c r="L6" s="57"/>
    </row>
    <row r="7" spans="1:87" x14ac:dyDescent="0.25">
      <c r="A7" s="70" t="s">
        <v>125</v>
      </c>
      <c r="B7" s="70" t="s">
        <v>20</v>
      </c>
      <c r="C7" s="71"/>
      <c r="D7" s="71"/>
      <c r="E7" s="71" t="s">
        <v>125</v>
      </c>
      <c r="F7" s="70" t="s">
        <v>20</v>
      </c>
      <c r="G7" s="70"/>
      <c r="H7" s="70" t="s">
        <v>445</v>
      </c>
      <c r="I7" s="72">
        <v>45141</v>
      </c>
      <c r="J7" s="72" t="s">
        <v>520</v>
      </c>
      <c r="L7" s="57"/>
    </row>
    <row r="8" spans="1:87" x14ac:dyDescent="0.25">
      <c r="A8" s="70" t="s">
        <v>9</v>
      </c>
      <c r="B8" s="70" t="s">
        <v>71</v>
      </c>
      <c r="C8" s="71"/>
      <c r="D8" s="71"/>
      <c r="E8" s="71" t="s">
        <v>9</v>
      </c>
      <c r="F8" s="70" t="s">
        <v>71</v>
      </c>
      <c r="G8" s="70"/>
      <c r="H8" s="70" t="s">
        <v>432</v>
      </c>
      <c r="I8" s="72">
        <v>45427</v>
      </c>
      <c r="J8" s="72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553</v>
      </c>
      <c r="T8" s="75" t="s">
        <v>523</v>
      </c>
      <c r="U8" s="75" t="s">
        <v>545</v>
      </c>
      <c r="V8" s="75" t="s">
        <v>549</v>
      </c>
      <c r="W8" s="75" t="s">
        <v>524</v>
      </c>
      <c r="X8" s="75" t="s">
        <v>525</v>
      </c>
      <c r="Y8" s="75" t="s">
        <v>526</v>
      </c>
      <c r="Z8" s="75" t="s">
        <v>527</v>
      </c>
      <c r="AA8" s="75" t="s">
        <v>528</v>
      </c>
      <c r="AB8" s="75" t="s">
        <v>546</v>
      </c>
      <c r="AC8" s="75" t="s">
        <v>550</v>
      </c>
      <c r="AD8" s="75" t="s">
        <v>529</v>
      </c>
      <c r="AE8" s="75" t="s">
        <v>530</v>
      </c>
      <c r="AF8" s="75" t="s">
        <v>531</v>
      </c>
      <c r="AG8" s="75" t="s">
        <v>532</v>
      </c>
      <c r="AH8" s="75" t="s">
        <v>533</v>
      </c>
      <c r="AI8" s="75" t="s">
        <v>547</v>
      </c>
      <c r="AJ8" s="75" t="s">
        <v>551</v>
      </c>
      <c r="AK8" s="75" t="s">
        <v>534</v>
      </c>
      <c r="AL8" s="75" t="s">
        <v>535</v>
      </c>
      <c r="AM8" s="75" t="s">
        <v>536</v>
      </c>
      <c r="AN8" s="75" t="s">
        <v>537</v>
      </c>
      <c r="AO8" s="75" t="s">
        <v>538</v>
      </c>
      <c r="AP8" s="75" t="s">
        <v>548</v>
      </c>
      <c r="AQ8" s="75" t="s">
        <v>552</v>
      </c>
      <c r="AR8" s="75" t="s">
        <v>539</v>
      </c>
      <c r="AS8" s="75" t="s">
        <v>540</v>
      </c>
      <c r="AT8" s="75" t="s">
        <v>541</v>
      </c>
      <c r="AU8" s="75" t="s">
        <v>542</v>
      </c>
      <c r="AV8" s="75" t="s">
        <v>543</v>
      </c>
      <c r="AW8" s="75" t="s">
        <v>544</v>
      </c>
      <c r="AX8" s="69" t="s">
        <v>522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553</v>
      </c>
      <c r="BE8" s="41" t="s">
        <v>523</v>
      </c>
      <c r="BF8" s="41" t="s">
        <v>545</v>
      </c>
      <c r="BG8" s="41" t="s">
        <v>549</v>
      </c>
      <c r="BH8" s="41" t="s">
        <v>524</v>
      </c>
      <c r="BI8" s="41" t="s">
        <v>525</v>
      </c>
      <c r="BJ8" s="41" t="s">
        <v>526</v>
      </c>
      <c r="BK8" s="41" t="s">
        <v>527</v>
      </c>
      <c r="BL8" s="41" t="s">
        <v>528</v>
      </c>
      <c r="BM8" s="41" t="s">
        <v>546</v>
      </c>
      <c r="BN8" s="41" t="s">
        <v>550</v>
      </c>
      <c r="BO8" s="41" t="s">
        <v>529</v>
      </c>
      <c r="BP8" s="41" t="s">
        <v>530</v>
      </c>
      <c r="BQ8" s="41" t="s">
        <v>531</v>
      </c>
      <c r="BR8" s="41" t="s">
        <v>532</v>
      </c>
      <c r="BS8" s="41" t="s">
        <v>533</v>
      </c>
      <c r="BT8" s="41" t="s">
        <v>547</v>
      </c>
      <c r="BU8" s="41" t="s">
        <v>551</v>
      </c>
      <c r="BV8" s="41" t="s">
        <v>534</v>
      </c>
      <c r="BW8" s="41" t="s">
        <v>535</v>
      </c>
      <c r="BX8" s="41" t="s">
        <v>536</v>
      </c>
      <c r="BY8" s="41" t="s">
        <v>537</v>
      </c>
      <c r="BZ8" s="41" t="s">
        <v>538</v>
      </c>
      <c r="CA8" s="41" t="s">
        <v>548</v>
      </c>
      <c r="CB8" s="41" t="s">
        <v>552</v>
      </c>
      <c r="CC8" s="41" t="s">
        <v>539</v>
      </c>
      <c r="CD8" s="41" t="s">
        <v>540</v>
      </c>
      <c r="CE8" s="41" t="s">
        <v>541</v>
      </c>
      <c r="CF8" s="41" t="s">
        <v>542</v>
      </c>
      <c r="CG8" s="41" t="s">
        <v>543</v>
      </c>
      <c r="CH8" s="41" t="s">
        <v>544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463</v>
      </c>
      <c r="I9" s="57">
        <v>44111</v>
      </c>
      <c r="J9" t="s">
        <v>521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460</v>
      </c>
      <c r="I10" s="57">
        <v>45299</v>
      </c>
      <c r="J10" t="s">
        <v>521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409</v>
      </c>
      <c r="I11" s="57">
        <v>44259</v>
      </c>
      <c r="J11" t="s">
        <v>521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464</v>
      </c>
      <c r="I12" s="57">
        <v>44820</v>
      </c>
      <c r="J12" t="s">
        <v>521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426</v>
      </c>
      <c r="I13" s="57">
        <v>44819</v>
      </c>
      <c r="J13" t="s">
        <v>521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440</v>
      </c>
      <c r="I14" s="57">
        <v>45334</v>
      </c>
      <c r="J14" t="s">
        <v>521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476</v>
      </c>
      <c r="I15" s="57">
        <v>45727</v>
      </c>
      <c r="J15" t="s">
        <v>521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492</v>
      </c>
      <c r="I16" s="57">
        <v>45819</v>
      </c>
      <c r="J16" t="s">
        <v>521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475</v>
      </c>
      <c r="I17" s="57">
        <v>45727</v>
      </c>
      <c r="J17" t="s">
        <v>521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448</v>
      </c>
      <c r="I18" s="57">
        <v>45348</v>
      </c>
      <c r="J18" t="s">
        <v>521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429</v>
      </c>
      <c r="I19" s="57">
        <v>44909</v>
      </c>
      <c r="J19" t="s">
        <v>521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446</v>
      </c>
      <c r="I20" s="57">
        <v>44716</v>
      </c>
      <c r="J20" t="s">
        <v>521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461</v>
      </c>
      <c r="I21" s="57">
        <v>45590</v>
      </c>
      <c r="J21" t="s">
        <v>521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456</v>
      </c>
      <c r="I22" s="57">
        <v>45021</v>
      </c>
      <c r="J22" t="s">
        <v>521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404</v>
      </c>
      <c r="I23" s="57">
        <v>45334</v>
      </c>
      <c r="J23" t="s">
        <v>521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465</v>
      </c>
      <c r="I24" s="57">
        <v>45316</v>
      </c>
      <c r="J24" t="s">
        <v>521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473</v>
      </c>
      <c r="I25" s="57">
        <v>45700</v>
      </c>
      <c r="J25" t="s">
        <v>521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483</v>
      </c>
      <c r="I26" s="57">
        <v>45798</v>
      </c>
      <c r="J26" t="s">
        <v>521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400</v>
      </c>
      <c r="I27" s="57">
        <v>44811</v>
      </c>
      <c r="J27" t="s">
        <v>521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447</v>
      </c>
      <c r="I28" s="57">
        <v>45371</v>
      </c>
      <c r="J28" t="s">
        <v>521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467</v>
      </c>
      <c r="I29" s="57">
        <v>44706</v>
      </c>
      <c r="J29" t="s">
        <v>521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403</v>
      </c>
      <c r="I30" s="57">
        <v>44888</v>
      </c>
      <c r="J30" t="s">
        <v>521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407</v>
      </c>
      <c r="I31" s="57">
        <v>44870</v>
      </c>
      <c r="J31" t="s">
        <v>521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411</v>
      </c>
      <c r="I32" s="57">
        <v>44840</v>
      </c>
      <c r="J32" t="s">
        <v>521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484</v>
      </c>
      <c r="I33" s="57">
        <v>45798</v>
      </c>
      <c r="J33" t="s">
        <v>521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406</v>
      </c>
      <c r="I34" s="57">
        <v>45334</v>
      </c>
      <c r="J34" t="s">
        <v>521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459</v>
      </c>
      <c r="I35" s="57">
        <v>43035</v>
      </c>
      <c r="J35" t="s">
        <v>521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436</v>
      </c>
      <c r="I36" s="57">
        <v>44971</v>
      </c>
      <c r="J36" t="s">
        <v>521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468</v>
      </c>
      <c r="I37" s="57">
        <v>45084</v>
      </c>
      <c r="J37" t="s">
        <v>521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471</v>
      </c>
      <c r="I38" s="57">
        <v>44566</v>
      </c>
      <c r="J38" t="s">
        <v>521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399</v>
      </c>
      <c r="I39" s="57">
        <v>44811</v>
      </c>
      <c r="J39" t="s">
        <v>521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401</v>
      </c>
      <c r="I40" s="57">
        <v>45457</v>
      </c>
      <c r="J40" t="s">
        <v>521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458</v>
      </c>
      <c r="I41" s="57">
        <v>45364</v>
      </c>
      <c r="J41" t="s">
        <v>521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398</v>
      </c>
      <c r="I42" s="57">
        <v>44811</v>
      </c>
      <c r="J42" t="s">
        <v>521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420</v>
      </c>
      <c r="I43" s="57">
        <v>45523</v>
      </c>
      <c r="J43" t="s">
        <v>521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481</v>
      </c>
      <c r="I44" s="57">
        <v>45748</v>
      </c>
      <c r="J44" t="s">
        <v>521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419</v>
      </c>
      <c r="I45" s="57">
        <v>44748</v>
      </c>
      <c r="J45" t="s">
        <v>521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417</v>
      </c>
      <c r="I46" s="57">
        <v>44673</v>
      </c>
      <c r="J46" t="s">
        <v>521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421</v>
      </c>
      <c r="I47" s="57">
        <v>45334</v>
      </c>
      <c r="J47" t="s">
        <v>521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425</v>
      </c>
      <c r="I48" s="57">
        <v>45175</v>
      </c>
      <c r="J48" t="s">
        <v>521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418</v>
      </c>
      <c r="I49" s="57">
        <v>43132</v>
      </c>
      <c r="J49" t="s">
        <v>521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443</v>
      </c>
      <c r="I50" s="57">
        <v>45506</v>
      </c>
      <c r="J50" t="s">
        <v>521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485</v>
      </c>
      <c r="I51" s="57">
        <v>45804</v>
      </c>
      <c r="J51" t="s">
        <v>521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424</v>
      </c>
      <c r="I52" s="57">
        <v>44941</v>
      </c>
      <c r="J52" t="s">
        <v>521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472</v>
      </c>
      <c r="I53" s="57">
        <v>44993</v>
      </c>
      <c r="J53" t="s">
        <v>521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451</v>
      </c>
      <c r="I54" s="57">
        <v>45285</v>
      </c>
      <c r="J54" t="s">
        <v>521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430</v>
      </c>
      <c r="I55" s="57">
        <v>45675</v>
      </c>
      <c r="J55" t="s">
        <v>521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470</v>
      </c>
      <c r="I56" s="57">
        <v>44951</v>
      </c>
      <c r="J56" t="s">
        <v>521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413</v>
      </c>
      <c r="I57" s="57">
        <v>44470</v>
      </c>
      <c r="J57" t="s">
        <v>521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487</v>
      </c>
      <c r="I58" s="57">
        <v>45805</v>
      </c>
      <c r="J58" t="s">
        <v>521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482</v>
      </c>
      <c r="I59" s="57">
        <v>45772</v>
      </c>
      <c r="J59" t="s">
        <v>521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493</v>
      </c>
      <c r="I60" s="57">
        <v>45818</v>
      </c>
      <c r="J60" t="s">
        <v>521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410</v>
      </c>
      <c r="I61" s="57">
        <v>44748</v>
      </c>
      <c r="J61" t="s">
        <v>521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457</v>
      </c>
      <c r="I62" s="57">
        <v>44869</v>
      </c>
      <c r="J62" t="s">
        <v>521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486</v>
      </c>
      <c r="I63" s="57">
        <v>45803</v>
      </c>
      <c r="J63" t="s">
        <v>521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452</v>
      </c>
      <c r="I64" s="57">
        <v>45334</v>
      </c>
      <c r="J64" t="s">
        <v>521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450</v>
      </c>
      <c r="I65" s="57">
        <v>45133</v>
      </c>
      <c r="J65" t="s">
        <v>521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405</v>
      </c>
      <c r="I66" s="57">
        <v>45304</v>
      </c>
      <c r="J66" t="s">
        <v>521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437</v>
      </c>
      <c r="I67" s="57">
        <v>45451</v>
      </c>
      <c r="J67" t="s">
        <v>521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453</v>
      </c>
      <c r="I68" s="57">
        <v>44937</v>
      </c>
      <c r="J68" t="s">
        <v>521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442</v>
      </c>
      <c r="I69" s="57">
        <v>45429</v>
      </c>
      <c r="J69" t="s">
        <v>521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433</v>
      </c>
      <c r="I70" s="57">
        <v>45399</v>
      </c>
      <c r="J70" t="s">
        <v>521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489</v>
      </c>
      <c r="I71" s="57">
        <v>45793</v>
      </c>
      <c r="J71" t="s">
        <v>521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439</v>
      </c>
      <c r="I72" s="57">
        <v>44748</v>
      </c>
      <c r="J72" t="s">
        <v>521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494</v>
      </c>
      <c r="I73" s="57">
        <v>38525</v>
      </c>
      <c r="J73" t="s">
        <v>521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428</v>
      </c>
      <c r="I74" s="57">
        <v>44735</v>
      </c>
      <c r="J74" t="s">
        <v>521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415</v>
      </c>
      <c r="I75" s="57">
        <v>44945</v>
      </c>
      <c r="J75" t="s">
        <v>521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408</v>
      </c>
      <c r="I76" s="57">
        <v>45530</v>
      </c>
      <c r="J76" t="s">
        <v>521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438</v>
      </c>
      <c r="I77" s="57">
        <v>45145</v>
      </c>
      <c r="J77" t="s">
        <v>521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454</v>
      </c>
      <c r="I78" s="57">
        <v>42814</v>
      </c>
      <c r="J78" t="s">
        <v>521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474</v>
      </c>
      <c r="I79" s="57">
        <v>44104</v>
      </c>
      <c r="J79" t="s">
        <v>521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431</v>
      </c>
      <c r="I80" s="57">
        <v>45674</v>
      </c>
      <c r="J80" t="s">
        <v>521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491</v>
      </c>
      <c r="I81" s="57">
        <v>45800</v>
      </c>
      <c r="J81" t="s">
        <v>521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495</v>
      </c>
      <c r="I82" s="57">
        <v>45832</v>
      </c>
      <c r="J82" t="s">
        <v>521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466</v>
      </c>
      <c r="I83" s="57">
        <v>45399</v>
      </c>
      <c r="J83" t="s">
        <v>521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394</v>
      </c>
      <c r="I2" s="60" t="s">
        <v>580</v>
      </c>
      <c r="J2" s="64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426</v>
      </c>
      <c r="I3" s="57">
        <v>44819</v>
      </c>
      <c r="J3" t="s">
        <v>521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463</v>
      </c>
      <c r="I4" s="57">
        <v>44111</v>
      </c>
      <c r="J4" t="s">
        <v>521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460</v>
      </c>
      <c r="I5" s="57">
        <v>45299</v>
      </c>
      <c r="J5" t="s">
        <v>521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464</v>
      </c>
      <c r="I6" s="57">
        <v>44820</v>
      </c>
      <c r="J6" t="s">
        <v>521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452</v>
      </c>
      <c r="I7" s="57">
        <v>45334</v>
      </c>
      <c r="J7" t="s">
        <v>521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409</v>
      </c>
      <c r="I8" s="57">
        <v>44259</v>
      </c>
      <c r="J8" t="s">
        <v>521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553</v>
      </c>
      <c r="T8" s="75" t="s">
        <v>523</v>
      </c>
      <c r="U8" s="75" t="s">
        <v>545</v>
      </c>
      <c r="V8" s="75" t="s">
        <v>549</v>
      </c>
      <c r="W8" s="75" t="s">
        <v>524</v>
      </c>
      <c r="X8" s="75" t="s">
        <v>525</v>
      </c>
      <c r="Y8" s="75" t="s">
        <v>526</v>
      </c>
      <c r="Z8" s="75" t="s">
        <v>527</v>
      </c>
      <c r="AA8" s="75" t="s">
        <v>528</v>
      </c>
      <c r="AB8" s="75" t="s">
        <v>546</v>
      </c>
      <c r="AC8" s="75" t="s">
        <v>550</v>
      </c>
      <c r="AD8" s="75" t="s">
        <v>529</v>
      </c>
      <c r="AE8" s="75" t="s">
        <v>530</v>
      </c>
      <c r="AF8" s="75" t="s">
        <v>531</v>
      </c>
      <c r="AG8" s="75" t="s">
        <v>532</v>
      </c>
      <c r="AH8" s="75" t="s">
        <v>533</v>
      </c>
      <c r="AI8" s="75" t="s">
        <v>547</v>
      </c>
      <c r="AJ8" s="75" t="s">
        <v>551</v>
      </c>
      <c r="AK8" s="75" t="s">
        <v>534</v>
      </c>
      <c r="AL8" s="75" t="s">
        <v>535</v>
      </c>
      <c r="AM8" s="75" t="s">
        <v>536</v>
      </c>
      <c r="AN8" s="75" t="s">
        <v>537</v>
      </c>
      <c r="AO8" s="75" t="s">
        <v>538</v>
      </c>
      <c r="AP8" s="75" t="s">
        <v>548</v>
      </c>
      <c r="AQ8" s="75" t="s">
        <v>552</v>
      </c>
      <c r="AR8" s="75" t="s">
        <v>539</v>
      </c>
      <c r="AS8" s="75" t="s">
        <v>540</v>
      </c>
      <c r="AT8" s="75" t="s">
        <v>541</v>
      </c>
      <c r="AU8" s="75" t="s">
        <v>542</v>
      </c>
      <c r="AV8" s="75" t="s">
        <v>543</v>
      </c>
      <c r="AW8" s="75" t="s">
        <v>544</v>
      </c>
      <c r="AX8" s="69" t="s">
        <v>522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553</v>
      </c>
      <c r="BE8" s="41" t="s">
        <v>523</v>
      </c>
      <c r="BF8" s="41" t="s">
        <v>545</v>
      </c>
      <c r="BG8" s="41" t="s">
        <v>549</v>
      </c>
      <c r="BH8" s="41" t="s">
        <v>524</v>
      </c>
      <c r="BI8" s="41" t="s">
        <v>525</v>
      </c>
      <c r="BJ8" s="41" t="s">
        <v>526</v>
      </c>
      <c r="BK8" s="41" t="s">
        <v>527</v>
      </c>
      <c r="BL8" s="41" t="s">
        <v>528</v>
      </c>
      <c r="BM8" s="41" t="s">
        <v>546</v>
      </c>
      <c r="BN8" s="41" t="s">
        <v>550</v>
      </c>
      <c r="BO8" s="41" t="s">
        <v>529</v>
      </c>
      <c r="BP8" s="41" t="s">
        <v>530</v>
      </c>
      <c r="BQ8" s="41" t="s">
        <v>531</v>
      </c>
      <c r="BR8" s="41" t="s">
        <v>532</v>
      </c>
      <c r="BS8" s="41" t="s">
        <v>533</v>
      </c>
      <c r="BT8" s="41" t="s">
        <v>547</v>
      </c>
      <c r="BU8" s="41" t="s">
        <v>551</v>
      </c>
      <c r="BV8" s="41" t="s">
        <v>534</v>
      </c>
      <c r="BW8" s="41" t="s">
        <v>535</v>
      </c>
      <c r="BX8" s="41" t="s">
        <v>536</v>
      </c>
      <c r="BY8" s="41" t="s">
        <v>537</v>
      </c>
      <c r="BZ8" s="41" t="s">
        <v>538</v>
      </c>
      <c r="CA8" s="41" t="s">
        <v>548</v>
      </c>
      <c r="CB8" s="41" t="s">
        <v>552</v>
      </c>
      <c r="CC8" s="41" t="s">
        <v>539</v>
      </c>
      <c r="CD8" s="41" t="s">
        <v>540</v>
      </c>
      <c r="CE8" s="41" t="s">
        <v>541</v>
      </c>
      <c r="CF8" s="41" t="s">
        <v>542</v>
      </c>
      <c r="CG8" s="41" t="s">
        <v>543</v>
      </c>
      <c r="CH8" s="41" t="s">
        <v>544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434</v>
      </c>
      <c r="I9" s="57">
        <v>44687</v>
      </c>
      <c r="J9" t="s">
        <v>521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496</v>
      </c>
      <c r="I10" s="57">
        <v>45845</v>
      </c>
      <c r="J10" t="s">
        <v>521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430</v>
      </c>
      <c r="I11" s="57">
        <v>45675</v>
      </c>
      <c r="J11" t="s">
        <v>521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466</v>
      </c>
      <c r="I12" s="57">
        <v>45399</v>
      </c>
      <c r="J12" t="s">
        <v>521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448</v>
      </c>
      <c r="I13" s="57">
        <v>45348</v>
      </c>
      <c r="J13" t="s">
        <v>521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446</v>
      </c>
      <c r="I14" s="57">
        <v>44716</v>
      </c>
      <c r="J14" t="s">
        <v>521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459</v>
      </c>
      <c r="I15" s="57">
        <v>43035</v>
      </c>
      <c r="J15" t="s">
        <v>521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404</v>
      </c>
      <c r="I16" s="57">
        <v>45334</v>
      </c>
      <c r="J16" t="s">
        <v>521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473</v>
      </c>
      <c r="I17" s="57">
        <v>45700</v>
      </c>
      <c r="J17" t="s">
        <v>521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429</v>
      </c>
      <c r="I18" s="57">
        <v>44909</v>
      </c>
      <c r="J18" t="s">
        <v>521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461</v>
      </c>
      <c r="I19" s="57">
        <v>45590</v>
      </c>
      <c r="J19" t="s">
        <v>521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456</v>
      </c>
      <c r="I20" s="57">
        <v>45021</v>
      </c>
      <c r="J20" t="s">
        <v>521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441</v>
      </c>
      <c r="I21" s="57">
        <v>45323</v>
      </c>
      <c r="J21" t="s">
        <v>521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465</v>
      </c>
      <c r="I22" s="57">
        <v>45316</v>
      </c>
      <c r="J22" t="s">
        <v>521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451</v>
      </c>
      <c r="I23" s="57">
        <v>45285</v>
      </c>
      <c r="J23" t="s">
        <v>521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406</v>
      </c>
      <c r="I24" s="57">
        <v>45334</v>
      </c>
      <c r="J24" t="s">
        <v>521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467</v>
      </c>
      <c r="I25" s="57">
        <v>44706</v>
      </c>
      <c r="J25" t="s">
        <v>521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403</v>
      </c>
      <c r="I26" s="57">
        <v>44888</v>
      </c>
      <c r="J26" t="s">
        <v>521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407</v>
      </c>
      <c r="I27" s="57">
        <v>44870</v>
      </c>
      <c r="J27" t="s">
        <v>521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447</v>
      </c>
      <c r="I28" s="57">
        <v>45371</v>
      </c>
      <c r="J28" t="s">
        <v>521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428</v>
      </c>
      <c r="I29" s="57">
        <v>44735</v>
      </c>
      <c r="J29" t="s">
        <v>521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450</v>
      </c>
      <c r="I30" s="57">
        <v>45133</v>
      </c>
      <c r="J30" t="s">
        <v>521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400</v>
      </c>
      <c r="I31" s="57">
        <v>44811</v>
      </c>
      <c r="J31" t="s">
        <v>521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484</v>
      </c>
      <c r="I32" s="57">
        <v>45798</v>
      </c>
      <c r="J32" t="s">
        <v>521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399</v>
      </c>
      <c r="I33" s="57">
        <v>44811</v>
      </c>
      <c r="J33" t="s">
        <v>521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436</v>
      </c>
      <c r="I34" s="57">
        <v>44971</v>
      </c>
      <c r="J34" t="s">
        <v>521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401</v>
      </c>
      <c r="I35" s="57">
        <v>45457</v>
      </c>
      <c r="J35" t="s">
        <v>521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468</v>
      </c>
      <c r="I36" s="57">
        <v>45084</v>
      </c>
      <c r="J36" t="s">
        <v>521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398</v>
      </c>
      <c r="I37" s="57">
        <v>44811</v>
      </c>
      <c r="J37" t="s">
        <v>521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432</v>
      </c>
      <c r="I38" s="57">
        <v>45423</v>
      </c>
      <c r="J38" t="s">
        <v>521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458</v>
      </c>
      <c r="I39" s="57">
        <v>45364</v>
      </c>
      <c r="J39" t="s">
        <v>521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397</v>
      </c>
      <c r="I40" s="57">
        <v>44461</v>
      </c>
      <c r="J40" t="s">
        <v>521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471</v>
      </c>
      <c r="I41" s="57">
        <v>44566</v>
      </c>
      <c r="J41" t="s">
        <v>521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421</v>
      </c>
      <c r="I42" s="57">
        <v>45334</v>
      </c>
      <c r="J42" t="s">
        <v>521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415</v>
      </c>
      <c r="I43" s="57">
        <v>44945</v>
      </c>
      <c r="J43" t="s">
        <v>521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419</v>
      </c>
      <c r="I44" s="57">
        <v>44748</v>
      </c>
      <c r="J44" t="s">
        <v>521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457</v>
      </c>
      <c r="I45" s="57">
        <v>44869</v>
      </c>
      <c r="J45" t="s">
        <v>521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424</v>
      </c>
      <c r="I46" s="57">
        <v>44941</v>
      </c>
      <c r="J46" t="s">
        <v>521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425</v>
      </c>
      <c r="I47" s="57">
        <v>45175</v>
      </c>
      <c r="J47" t="s">
        <v>521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418</v>
      </c>
      <c r="I48" s="57">
        <v>43132</v>
      </c>
      <c r="J48" t="s">
        <v>521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487</v>
      </c>
      <c r="I49" s="57">
        <v>45805</v>
      </c>
      <c r="J49" t="s">
        <v>521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442</v>
      </c>
      <c r="I50" s="57">
        <v>45429</v>
      </c>
      <c r="J50" t="s">
        <v>521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408</v>
      </c>
      <c r="I51" s="57">
        <v>45530</v>
      </c>
      <c r="J51" t="s">
        <v>521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470</v>
      </c>
      <c r="I52" s="57">
        <v>44951</v>
      </c>
      <c r="J52" t="s">
        <v>521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449</v>
      </c>
      <c r="I53" s="57">
        <v>45133</v>
      </c>
      <c r="J53" t="s">
        <v>521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481</v>
      </c>
      <c r="I54" s="57">
        <v>45748</v>
      </c>
      <c r="J54" t="s">
        <v>521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427</v>
      </c>
      <c r="I55" s="57">
        <v>44301</v>
      </c>
      <c r="J55" t="s">
        <v>521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437</v>
      </c>
      <c r="I56" s="57">
        <v>45451</v>
      </c>
      <c r="J56" t="s">
        <v>521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474</v>
      </c>
      <c r="I57" s="57">
        <v>44104</v>
      </c>
      <c r="J57" t="s">
        <v>521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417</v>
      </c>
      <c r="I58" s="57">
        <v>44673</v>
      </c>
      <c r="J58" t="s">
        <v>521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472</v>
      </c>
      <c r="I59" s="57">
        <v>44993</v>
      </c>
      <c r="J59" t="s">
        <v>521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410</v>
      </c>
      <c r="I60" s="57">
        <v>44748</v>
      </c>
      <c r="J60" t="s">
        <v>521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476</v>
      </c>
      <c r="I61" s="57">
        <v>45727</v>
      </c>
      <c r="J61" t="s">
        <v>521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413</v>
      </c>
      <c r="I62" s="57">
        <v>44470</v>
      </c>
      <c r="J62" t="s">
        <v>521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445</v>
      </c>
      <c r="I63" s="57">
        <v>45142</v>
      </c>
      <c r="J63" t="s">
        <v>521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443</v>
      </c>
      <c r="I64" s="57">
        <v>45506</v>
      </c>
      <c r="J64" t="s">
        <v>521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485</v>
      </c>
      <c r="I65" s="57">
        <v>45804</v>
      </c>
      <c r="J65" t="s">
        <v>521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405</v>
      </c>
      <c r="I66" s="57">
        <v>45304</v>
      </c>
      <c r="J66" t="s">
        <v>521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439</v>
      </c>
      <c r="I67" s="57">
        <v>44748</v>
      </c>
      <c r="J67" t="s">
        <v>521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453</v>
      </c>
      <c r="I68" s="57">
        <v>44937</v>
      </c>
      <c r="J68" t="s">
        <v>521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433</v>
      </c>
      <c r="I69" s="57">
        <v>45399</v>
      </c>
      <c r="J69" t="s">
        <v>521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491</v>
      </c>
      <c r="I70" s="57">
        <v>45800</v>
      </c>
      <c r="J70" t="s">
        <v>521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489</v>
      </c>
      <c r="I71" s="57">
        <v>45793</v>
      </c>
      <c r="J71" t="s">
        <v>521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412</v>
      </c>
      <c r="I72" s="57">
        <v>45344</v>
      </c>
      <c r="J72" t="s">
        <v>521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494</v>
      </c>
      <c r="I73" s="57">
        <v>38525</v>
      </c>
      <c r="J73" t="s">
        <v>521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497</v>
      </c>
      <c r="I74" s="57">
        <v>45853</v>
      </c>
      <c r="J74" t="s">
        <v>521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438</v>
      </c>
      <c r="I75" s="57">
        <v>45145</v>
      </c>
      <c r="J75" t="s">
        <v>521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411</v>
      </c>
      <c r="I76" s="57">
        <v>44840</v>
      </c>
      <c r="J76" t="s">
        <v>521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454</v>
      </c>
      <c r="I77" s="57">
        <v>42814</v>
      </c>
      <c r="J77" t="s">
        <v>521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420</v>
      </c>
      <c r="I78" s="57">
        <v>45523</v>
      </c>
      <c r="J78" t="s">
        <v>521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475</v>
      </c>
      <c r="I79" s="57">
        <v>45727</v>
      </c>
      <c r="J79" t="s">
        <v>521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482</v>
      </c>
      <c r="I80" s="57">
        <v>45772</v>
      </c>
      <c r="J80" t="s">
        <v>521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431</v>
      </c>
      <c r="I81" s="57">
        <v>45674</v>
      </c>
      <c r="J81" t="s">
        <v>521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492</v>
      </c>
      <c r="I82" s="57">
        <v>45819</v>
      </c>
      <c r="J82" t="s">
        <v>521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493</v>
      </c>
      <c r="I83" s="57">
        <v>45818</v>
      </c>
      <c r="J83" t="s">
        <v>521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483</v>
      </c>
      <c r="I84" s="57">
        <v>45798</v>
      </c>
      <c r="J84" t="s">
        <v>521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498</v>
      </c>
      <c r="I85" s="57">
        <v>45862</v>
      </c>
      <c r="J85" t="s">
        <v>521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394</v>
      </c>
      <c r="I2" s="74" t="s">
        <v>580</v>
      </c>
      <c r="J2" s="64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tr">
        <f>D1_AGOSTO_2025[[#This Row],[SUPER2]]</f>
        <v>LEONOR</v>
      </c>
      <c r="B3" s="70" t="s">
        <v>74</v>
      </c>
      <c r="C3" s="71"/>
      <c r="D3" s="71"/>
      <c r="E3" s="71" t="s">
        <v>7</v>
      </c>
      <c r="F3" s="70" t="s">
        <v>74</v>
      </c>
      <c r="G3" s="70"/>
      <c r="H3" s="70" t="s">
        <v>413</v>
      </c>
      <c r="I3" s="72">
        <v>44470</v>
      </c>
      <c r="J3" s="72" t="s">
        <v>520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1" t="str">
        <f>D1_AGOSTO_2025[[#This Row],[SUPER2]]</f>
        <v>MELINA</v>
      </c>
      <c r="B4" s="70" t="s">
        <v>75</v>
      </c>
      <c r="C4" s="71"/>
      <c r="D4" s="71"/>
      <c r="E4" s="71" t="s">
        <v>4</v>
      </c>
      <c r="F4" s="70" t="s">
        <v>75</v>
      </c>
      <c r="G4" s="70"/>
      <c r="H4" s="70" t="s">
        <v>446</v>
      </c>
      <c r="I4" s="72">
        <v>44714</v>
      </c>
      <c r="J4" s="72" t="s">
        <v>520</v>
      </c>
      <c r="L4" s="57"/>
    </row>
    <row r="5" spans="1:87" x14ac:dyDescent="0.25">
      <c r="A5" s="71" t="str">
        <f>D1_AGOSTO_2025[[#This Row],[SUPER2]]</f>
        <v>JOHAN</v>
      </c>
      <c r="B5" s="70" t="s">
        <v>76</v>
      </c>
      <c r="C5" s="71"/>
      <c r="D5" s="71"/>
      <c r="E5" s="71" t="s">
        <v>125</v>
      </c>
      <c r="F5" s="70" t="s">
        <v>76</v>
      </c>
      <c r="G5" s="70"/>
      <c r="H5" s="70" t="s">
        <v>426</v>
      </c>
      <c r="I5" s="72">
        <v>44817</v>
      </c>
      <c r="J5" s="72" t="s">
        <v>520</v>
      </c>
      <c r="L5" s="57"/>
    </row>
    <row r="6" spans="1:87" x14ac:dyDescent="0.25">
      <c r="A6" s="71" t="str">
        <f>D1_AGOSTO_2025[[#This Row],[SUPER2]]</f>
        <v>LUIS</v>
      </c>
      <c r="B6" s="70" t="s">
        <v>77</v>
      </c>
      <c r="C6" s="71"/>
      <c r="D6" s="71"/>
      <c r="E6" s="71" t="s">
        <v>9</v>
      </c>
      <c r="F6" s="70" t="s">
        <v>77</v>
      </c>
      <c r="G6" s="70"/>
      <c r="H6" s="70" t="s">
        <v>411</v>
      </c>
      <c r="I6" s="72">
        <v>44838</v>
      </c>
      <c r="J6" s="72" t="s">
        <v>520</v>
      </c>
      <c r="L6" s="57"/>
    </row>
    <row r="7" spans="1:87" x14ac:dyDescent="0.25">
      <c r="A7" s="71" t="str">
        <f>D1_AGOSTO_2025[[#This Row],[SUPER2]]</f>
        <v>KENNETH</v>
      </c>
      <c r="B7" s="70" t="s">
        <v>78</v>
      </c>
      <c r="C7" s="71"/>
      <c r="D7" s="71"/>
      <c r="E7" s="71" t="s">
        <v>6</v>
      </c>
      <c r="F7" s="70" t="s">
        <v>78</v>
      </c>
      <c r="G7" s="70"/>
      <c r="H7" s="70" t="s">
        <v>415</v>
      </c>
      <c r="I7" s="72">
        <v>44943</v>
      </c>
      <c r="J7" s="72" t="s">
        <v>520</v>
      </c>
      <c r="L7" s="57"/>
    </row>
    <row r="8" spans="1:87" x14ac:dyDescent="0.25">
      <c r="A8" s="71" t="str">
        <f>D1_AGOSTO_2025[[#This Row],[SUPER2]]</f>
        <v>JORDAN</v>
      </c>
      <c r="B8" s="70" t="s">
        <v>79</v>
      </c>
      <c r="C8" s="71"/>
      <c r="D8" s="71"/>
      <c r="E8" s="71" t="s">
        <v>5</v>
      </c>
      <c r="F8" s="70" t="s">
        <v>79</v>
      </c>
      <c r="G8" s="70"/>
      <c r="H8" s="70" t="s">
        <v>471</v>
      </c>
      <c r="I8" s="72">
        <v>45145</v>
      </c>
      <c r="J8" s="72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553</v>
      </c>
      <c r="T8" s="75" t="s">
        <v>523</v>
      </c>
      <c r="U8" s="75" t="s">
        <v>545</v>
      </c>
      <c r="V8" s="75" t="s">
        <v>549</v>
      </c>
      <c r="W8" s="75" t="s">
        <v>524</v>
      </c>
      <c r="X8" s="75" t="s">
        <v>525</v>
      </c>
      <c r="Y8" s="75" t="s">
        <v>526</v>
      </c>
      <c r="Z8" s="75" t="s">
        <v>527</v>
      </c>
      <c r="AA8" s="75" t="s">
        <v>528</v>
      </c>
      <c r="AB8" s="75" t="s">
        <v>546</v>
      </c>
      <c r="AC8" s="75" t="s">
        <v>550</v>
      </c>
      <c r="AD8" s="75" t="s">
        <v>529</v>
      </c>
      <c r="AE8" s="75" t="s">
        <v>530</v>
      </c>
      <c r="AF8" s="75" t="s">
        <v>531</v>
      </c>
      <c r="AG8" s="75" t="s">
        <v>532</v>
      </c>
      <c r="AH8" s="75" t="s">
        <v>533</v>
      </c>
      <c r="AI8" s="75" t="s">
        <v>547</v>
      </c>
      <c r="AJ8" s="75" t="s">
        <v>551</v>
      </c>
      <c r="AK8" s="75" t="s">
        <v>534</v>
      </c>
      <c r="AL8" s="75" t="s">
        <v>535</v>
      </c>
      <c r="AM8" s="75" t="s">
        <v>536</v>
      </c>
      <c r="AN8" s="75" t="s">
        <v>537</v>
      </c>
      <c r="AO8" s="75" t="s">
        <v>538</v>
      </c>
      <c r="AP8" s="75" t="s">
        <v>548</v>
      </c>
      <c r="AQ8" s="75" t="s">
        <v>552</v>
      </c>
      <c r="AR8" s="75" t="s">
        <v>539</v>
      </c>
      <c r="AS8" s="75" t="s">
        <v>540</v>
      </c>
      <c r="AT8" s="75" t="s">
        <v>541</v>
      </c>
      <c r="AU8" s="75" t="s">
        <v>542</v>
      </c>
      <c r="AV8" s="75" t="s">
        <v>543</v>
      </c>
      <c r="AW8" s="75" t="s">
        <v>544</v>
      </c>
      <c r="AX8" s="69" t="s">
        <v>522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553</v>
      </c>
      <c r="BE8" s="41" t="s">
        <v>523</v>
      </c>
      <c r="BF8" s="41" t="s">
        <v>545</v>
      </c>
      <c r="BG8" s="41" t="s">
        <v>549</v>
      </c>
      <c r="BH8" s="41" t="s">
        <v>524</v>
      </c>
      <c r="BI8" s="41" t="s">
        <v>525</v>
      </c>
      <c r="BJ8" s="41" t="s">
        <v>526</v>
      </c>
      <c r="BK8" s="41" t="s">
        <v>527</v>
      </c>
      <c r="BL8" s="41" t="s">
        <v>528</v>
      </c>
      <c r="BM8" s="41" t="s">
        <v>546</v>
      </c>
      <c r="BN8" s="41" t="s">
        <v>550</v>
      </c>
      <c r="BO8" s="41" t="s">
        <v>529</v>
      </c>
      <c r="BP8" s="41" t="s">
        <v>530</v>
      </c>
      <c r="BQ8" s="41" t="s">
        <v>531</v>
      </c>
      <c r="BR8" s="41" t="s">
        <v>532</v>
      </c>
      <c r="BS8" s="41" t="s">
        <v>533</v>
      </c>
      <c r="BT8" s="41" t="s">
        <v>547</v>
      </c>
      <c r="BU8" s="41" t="s">
        <v>551</v>
      </c>
      <c r="BV8" s="41" t="s">
        <v>534</v>
      </c>
      <c r="BW8" s="41" t="s">
        <v>535</v>
      </c>
      <c r="BX8" s="41" t="s">
        <v>536</v>
      </c>
      <c r="BY8" s="41" t="s">
        <v>537</v>
      </c>
      <c r="BZ8" s="41" t="s">
        <v>538</v>
      </c>
      <c r="CA8" s="41" t="s">
        <v>548</v>
      </c>
      <c r="CB8" s="41" t="s">
        <v>552</v>
      </c>
      <c r="CC8" s="41" t="s">
        <v>539</v>
      </c>
      <c r="CD8" s="41" t="s">
        <v>540</v>
      </c>
      <c r="CE8" s="41" t="s">
        <v>541</v>
      </c>
      <c r="CF8" s="41" t="s">
        <v>542</v>
      </c>
      <c r="CG8" s="41" t="s">
        <v>543</v>
      </c>
      <c r="CH8" s="41" t="s">
        <v>544</v>
      </c>
      <c r="CI8" s="19" t="s">
        <v>134</v>
      </c>
    </row>
    <row r="9" spans="1:87" x14ac:dyDescent="0.25">
      <c r="A9" s="71" t="str">
        <f>D1_AGOSTO_2025[[#This Row],[SUPER2]]</f>
        <v>MELINA</v>
      </c>
      <c r="B9" s="70" t="s">
        <v>80</v>
      </c>
      <c r="C9" s="71"/>
      <c r="D9" s="71"/>
      <c r="E9" s="71" t="s">
        <v>4</v>
      </c>
      <c r="F9" s="70" t="s">
        <v>80</v>
      </c>
      <c r="G9" s="70"/>
      <c r="H9" s="70" t="s">
        <v>451</v>
      </c>
      <c r="I9" s="72">
        <v>45281</v>
      </c>
      <c r="J9" s="72" t="s">
        <v>520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1" t="str">
        <f>D1_AGOSTO_2025[[#This Row],[SUPER2]]</f>
        <v>BRYAN</v>
      </c>
      <c r="B10" s="70" t="s">
        <v>81</v>
      </c>
      <c r="C10" s="71"/>
      <c r="D10" s="71"/>
      <c r="E10" s="71" t="s">
        <v>8</v>
      </c>
      <c r="F10" s="70" t="s">
        <v>81</v>
      </c>
      <c r="G10" s="70"/>
      <c r="H10" s="70" t="s">
        <v>443</v>
      </c>
      <c r="I10" s="72">
        <v>45511</v>
      </c>
      <c r="J10" s="72" t="s">
        <v>520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463</v>
      </c>
      <c r="I11" s="57">
        <v>44111</v>
      </c>
      <c r="J11" t="s">
        <v>521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452</v>
      </c>
      <c r="I12" s="57">
        <v>45334</v>
      </c>
      <c r="J12" t="s">
        <v>521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460</v>
      </c>
      <c r="I13" s="57">
        <v>45299</v>
      </c>
      <c r="J13" t="s">
        <v>521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409</v>
      </c>
      <c r="I14" s="57">
        <v>44259</v>
      </c>
      <c r="J14" t="s">
        <v>521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464</v>
      </c>
      <c r="I15" s="57">
        <v>44820</v>
      </c>
      <c r="J15" t="s">
        <v>521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434</v>
      </c>
      <c r="I16" s="57">
        <v>44687</v>
      </c>
      <c r="J16" t="s">
        <v>521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430</v>
      </c>
      <c r="I17" s="57">
        <v>45675</v>
      </c>
      <c r="J17" t="s">
        <v>521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496</v>
      </c>
      <c r="I18" s="57">
        <v>45845</v>
      </c>
      <c r="J18" t="s">
        <v>521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466</v>
      </c>
      <c r="I19" s="57">
        <v>45399</v>
      </c>
      <c r="J19" t="s">
        <v>521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499</v>
      </c>
      <c r="I20" s="57">
        <v>45875</v>
      </c>
      <c r="J20" t="s">
        <v>521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448</v>
      </c>
      <c r="I21" s="57">
        <v>45348</v>
      </c>
      <c r="J21" t="s">
        <v>521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461</v>
      </c>
      <c r="I22" s="57">
        <v>45590</v>
      </c>
      <c r="J22" t="s">
        <v>521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441</v>
      </c>
      <c r="I23" s="57">
        <v>45323</v>
      </c>
      <c r="J23" t="s">
        <v>521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404</v>
      </c>
      <c r="I24" s="57">
        <v>45334</v>
      </c>
      <c r="J24" t="s">
        <v>521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459</v>
      </c>
      <c r="I25" s="57">
        <v>43035</v>
      </c>
      <c r="J25" t="s">
        <v>521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429</v>
      </c>
      <c r="I26" s="57">
        <v>44909</v>
      </c>
      <c r="J26" t="s">
        <v>521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473</v>
      </c>
      <c r="I27" s="57">
        <v>45700</v>
      </c>
      <c r="J27" t="s">
        <v>521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456</v>
      </c>
      <c r="I28" s="57">
        <v>45021</v>
      </c>
      <c r="J28" t="s">
        <v>521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465</v>
      </c>
      <c r="I29" s="57">
        <v>45316</v>
      </c>
      <c r="J29" t="s">
        <v>521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500</v>
      </c>
      <c r="I30" s="57">
        <v>44644</v>
      </c>
      <c r="J30" t="s">
        <v>521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467</v>
      </c>
      <c r="I31" s="57">
        <v>44706</v>
      </c>
      <c r="J31" t="s">
        <v>521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403</v>
      </c>
      <c r="I32" s="57">
        <v>44888</v>
      </c>
      <c r="J32" t="s">
        <v>521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447</v>
      </c>
      <c r="I33" s="57">
        <v>45371</v>
      </c>
      <c r="J33" t="s">
        <v>521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406</v>
      </c>
      <c r="I34" s="57">
        <v>45334</v>
      </c>
      <c r="J34" t="s">
        <v>521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400</v>
      </c>
      <c r="I35" s="57">
        <v>44811</v>
      </c>
      <c r="J35" t="s">
        <v>521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407</v>
      </c>
      <c r="I36" s="57">
        <v>44870</v>
      </c>
      <c r="J36" t="s">
        <v>521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428</v>
      </c>
      <c r="I37" s="57">
        <v>44735</v>
      </c>
      <c r="J37" t="s">
        <v>521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501</v>
      </c>
      <c r="I38" s="57">
        <v>45882</v>
      </c>
      <c r="J38" t="s">
        <v>521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450</v>
      </c>
      <c r="I39" s="57">
        <v>45133</v>
      </c>
      <c r="J39" t="s">
        <v>521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397</v>
      </c>
      <c r="I40" s="57">
        <v>44461</v>
      </c>
      <c r="J40" t="s">
        <v>521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401</v>
      </c>
      <c r="I41" s="57">
        <v>45457</v>
      </c>
      <c r="J41" t="s">
        <v>521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436</v>
      </c>
      <c r="I42" s="57">
        <v>44971</v>
      </c>
      <c r="J42" t="s">
        <v>521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399</v>
      </c>
      <c r="I43" s="57">
        <v>44811</v>
      </c>
      <c r="J43" t="s">
        <v>521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458</v>
      </c>
      <c r="I44" s="57">
        <v>45364</v>
      </c>
      <c r="J44" t="s">
        <v>521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432</v>
      </c>
      <c r="I45" s="57">
        <v>45423</v>
      </c>
      <c r="J45" t="s">
        <v>521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468</v>
      </c>
      <c r="I46" s="57">
        <v>45084</v>
      </c>
      <c r="J46" t="s">
        <v>521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438</v>
      </c>
      <c r="I47" s="57">
        <v>45145</v>
      </c>
      <c r="J47" t="s">
        <v>521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455</v>
      </c>
      <c r="I48" s="57">
        <v>45671</v>
      </c>
      <c r="J48" t="s">
        <v>521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421</v>
      </c>
      <c r="I49" s="57">
        <v>45334</v>
      </c>
      <c r="J49" t="s">
        <v>521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425</v>
      </c>
      <c r="I50" s="57">
        <v>45175</v>
      </c>
      <c r="J50" t="s">
        <v>521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418</v>
      </c>
      <c r="I51" s="57">
        <v>43132</v>
      </c>
      <c r="J51" t="s">
        <v>521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419</v>
      </c>
      <c r="I52" s="57">
        <v>44748</v>
      </c>
      <c r="J52" t="s">
        <v>521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408</v>
      </c>
      <c r="I53" s="57">
        <v>45530</v>
      </c>
      <c r="J53" t="s">
        <v>521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442</v>
      </c>
      <c r="I54" s="57">
        <v>45429</v>
      </c>
      <c r="J54" t="s">
        <v>521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487</v>
      </c>
      <c r="I55" s="57">
        <v>45805</v>
      </c>
      <c r="J55" t="s">
        <v>521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457</v>
      </c>
      <c r="I56" s="57">
        <v>44869</v>
      </c>
      <c r="J56" t="s">
        <v>521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470</v>
      </c>
      <c r="I57" s="57">
        <v>44951</v>
      </c>
      <c r="J57" t="s">
        <v>521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424</v>
      </c>
      <c r="I58" s="57">
        <v>44941</v>
      </c>
      <c r="J58" t="s">
        <v>521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502</v>
      </c>
      <c r="I59" s="57">
        <v>45896</v>
      </c>
      <c r="J59" t="s">
        <v>521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417</v>
      </c>
      <c r="I60" s="57">
        <v>44673</v>
      </c>
      <c r="J60" t="s">
        <v>521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449</v>
      </c>
      <c r="I61" s="57">
        <v>45133</v>
      </c>
      <c r="J61" t="s">
        <v>521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481</v>
      </c>
      <c r="I62" s="57">
        <v>45748</v>
      </c>
      <c r="J62" t="s">
        <v>521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427</v>
      </c>
      <c r="I63" s="57">
        <v>44301</v>
      </c>
      <c r="J63" t="s">
        <v>521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476</v>
      </c>
      <c r="I64" s="57">
        <v>45727</v>
      </c>
      <c r="J64" t="s">
        <v>521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437</v>
      </c>
      <c r="I65" s="57">
        <v>45451</v>
      </c>
      <c r="J65" t="s">
        <v>521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445</v>
      </c>
      <c r="I66" s="57">
        <v>45142</v>
      </c>
      <c r="J66" t="s">
        <v>521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472</v>
      </c>
      <c r="I67" s="57">
        <v>44993</v>
      </c>
      <c r="J67" t="s">
        <v>521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410</v>
      </c>
      <c r="I68" s="57">
        <v>44748</v>
      </c>
      <c r="J68" t="s">
        <v>521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474</v>
      </c>
      <c r="I69" s="57">
        <v>44104</v>
      </c>
      <c r="J69" t="s">
        <v>521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433</v>
      </c>
      <c r="I70" s="57">
        <v>45399</v>
      </c>
      <c r="J70" t="s">
        <v>521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485</v>
      </c>
      <c r="I71" s="57">
        <v>45804</v>
      </c>
      <c r="J71" t="s">
        <v>521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405</v>
      </c>
      <c r="I72" s="57">
        <v>45304</v>
      </c>
      <c r="J72" t="s">
        <v>521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412</v>
      </c>
      <c r="I73" s="57">
        <v>45344</v>
      </c>
      <c r="J73" t="s">
        <v>521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489</v>
      </c>
      <c r="I74" s="57">
        <v>45793</v>
      </c>
      <c r="J74" t="s">
        <v>521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439</v>
      </c>
      <c r="I75" s="57">
        <v>44748</v>
      </c>
      <c r="J75" t="s">
        <v>521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494</v>
      </c>
      <c r="I76" s="57">
        <v>38525</v>
      </c>
      <c r="J76" t="s">
        <v>521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503</v>
      </c>
      <c r="I77" s="57">
        <v>45889</v>
      </c>
      <c r="J77" t="s">
        <v>521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504</v>
      </c>
      <c r="I78" s="57">
        <v>45399</v>
      </c>
      <c r="J78" t="s">
        <v>521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505</v>
      </c>
      <c r="I79" s="57">
        <v>45896</v>
      </c>
      <c r="J79" t="s">
        <v>521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497</v>
      </c>
      <c r="I80" s="57">
        <v>45853</v>
      </c>
      <c r="J80" t="s">
        <v>521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420</v>
      </c>
      <c r="I81" s="57">
        <v>45523</v>
      </c>
      <c r="J81" t="s">
        <v>521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454</v>
      </c>
      <c r="I82" s="57">
        <v>42814</v>
      </c>
      <c r="J82" t="s">
        <v>521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431</v>
      </c>
      <c r="I83" s="57">
        <v>45674</v>
      </c>
      <c r="J83" t="s">
        <v>521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498</v>
      </c>
      <c r="I84" s="57">
        <v>45862</v>
      </c>
      <c r="J84" t="s">
        <v>521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475</v>
      </c>
      <c r="I85" s="57">
        <v>45727</v>
      </c>
      <c r="J85" t="s">
        <v>521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493</v>
      </c>
      <c r="I86" s="57">
        <v>45818</v>
      </c>
      <c r="J86" t="s">
        <v>521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492</v>
      </c>
      <c r="I87" s="57">
        <v>45819</v>
      </c>
      <c r="J87" t="s">
        <v>521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506</v>
      </c>
      <c r="I88" s="57">
        <v>45875</v>
      </c>
      <c r="J88" t="s">
        <v>521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482</v>
      </c>
      <c r="I89" s="57">
        <v>45772</v>
      </c>
      <c r="J89" t="s">
        <v>521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507</v>
      </c>
      <c r="I90" s="57">
        <v>45895</v>
      </c>
      <c r="J90" t="s">
        <v>521</v>
      </c>
    </row>
    <row r="91" spans="1:50" x14ac:dyDescent="0.25">
      <c r="A91" s="2" t="str">
        <f>D1_AGOSTO_2025[[#This Row],[SUPER2]]</f>
        <v>BRYAN</v>
      </c>
      <c r="B91" s="76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491</v>
      </c>
      <c r="I91" s="57">
        <v>45800</v>
      </c>
      <c r="J91" t="s">
        <v>521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394</v>
      </c>
      <c r="I2" s="59" t="s">
        <v>396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503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485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439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430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499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489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482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506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476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410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408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457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474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493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472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470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442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433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454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432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475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500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508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413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407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501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405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401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487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456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428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406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437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458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468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436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409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471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455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496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502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446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415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460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421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403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434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424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441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397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481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447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445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459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449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472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417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427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443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429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467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404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448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426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509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504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412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464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452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420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411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431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425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417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492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451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418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507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73" t="s">
        <v>580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6</v>
      </c>
      <c r="B3" s="70" t="s">
        <v>17</v>
      </c>
      <c r="C3" s="71"/>
      <c r="D3" s="71"/>
      <c r="E3" s="71" t="s">
        <v>6</v>
      </c>
      <c r="F3" s="70" t="s">
        <v>17</v>
      </c>
      <c r="G3" s="70"/>
      <c r="H3" s="70" t="s">
        <v>403</v>
      </c>
      <c r="I3" s="72">
        <v>44886</v>
      </c>
      <c r="J3" s="72" t="s">
        <v>520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1" t="s">
        <v>9</v>
      </c>
      <c r="B4" s="70" t="s">
        <v>37</v>
      </c>
      <c r="C4" s="71"/>
      <c r="D4" s="71"/>
      <c r="E4" s="71" t="s">
        <v>9</v>
      </c>
      <c r="F4" s="70" t="s">
        <v>37</v>
      </c>
      <c r="G4" s="70"/>
      <c r="H4" s="70" t="s">
        <v>418</v>
      </c>
      <c r="I4" s="72">
        <v>45112</v>
      </c>
      <c r="J4" s="72" t="s">
        <v>520</v>
      </c>
      <c r="K4" s="57"/>
      <c r="L4" s="57"/>
    </row>
    <row r="5" spans="1:87" x14ac:dyDescent="0.25">
      <c r="A5" s="71" t="s">
        <v>8</v>
      </c>
      <c r="B5" s="70" t="s">
        <v>59</v>
      </c>
      <c r="C5" s="71"/>
      <c r="D5" s="71"/>
      <c r="E5" s="71" t="s">
        <v>8</v>
      </c>
      <c r="F5" s="70" t="s">
        <v>59</v>
      </c>
      <c r="G5" s="70"/>
      <c r="H5" s="70" t="s">
        <v>448</v>
      </c>
      <c r="I5" s="72">
        <v>45344</v>
      </c>
      <c r="J5" s="72" t="s">
        <v>520</v>
      </c>
      <c r="K5" s="57"/>
      <c r="L5" s="57"/>
    </row>
    <row r="6" spans="1:87" x14ac:dyDescent="0.25">
      <c r="A6" s="71" t="s">
        <v>3</v>
      </c>
      <c r="B6" s="70" t="s">
        <v>32</v>
      </c>
      <c r="C6" s="71"/>
      <c r="D6" s="71"/>
      <c r="E6" s="71" t="s">
        <v>3</v>
      </c>
      <c r="F6" s="70" t="s">
        <v>32</v>
      </c>
      <c r="G6" s="70"/>
      <c r="H6" s="70" t="s">
        <v>408</v>
      </c>
      <c r="I6" s="72">
        <v>45526</v>
      </c>
      <c r="J6" s="72" t="s">
        <v>520</v>
      </c>
      <c r="K6" s="57"/>
      <c r="L6" s="57"/>
    </row>
    <row r="7" spans="1:87" x14ac:dyDescent="0.25">
      <c r="A7" s="71" t="s">
        <v>125</v>
      </c>
      <c r="B7" s="70" t="s">
        <v>66</v>
      </c>
      <c r="C7" s="71"/>
      <c r="D7" s="71"/>
      <c r="E7" s="71" t="s">
        <v>125</v>
      </c>
      <c r="F7" s="70" t="s">
        <v>66</v>
      </c>
      <c r="G7" s="70"/>
      <c r="H7" s="70" t="s">
        <v>401</v>
      </c>
      <c r="I7" s="72">
        <v>45457</v>
      </c>
      <c r="J7" s="72" t="s">
        <v>520</v>
      </c>
      <c r="K7" s="57"/>
      <c r="L7" s="57"/>
    </row>
    <row r="8" spans="1:87" x14ac:dyDescent="0.25">
      <c r="A8" s="71" t="s">
        <v>4</v>
      </c>
      <c r="B8" s="70" t="s">
        <v>110</v>
      </c>
      <c r="C8" s="71"/>
      <c r="D8" s="71"/>
      <c r="E8" s="71" t="s">
        <v>4</v>
      </c>
      <c r="F8" s="70" t="s">
        <v>110</v>
      </c>
      <c r="G8" s="70"/>
      <c r="H8" s="70" t="s">
        <v>472</v>
      </c>
      <c r="I8" s="72">
        <v>44993</v>
      </c>
      <c r="J8" s="72" t="s">
        <v>520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553</v>
      </c>
      <c r="T8" s="14" t="s">
        <v>523</v>
      </c>
      <c r="U8" s="14" t="s">
        <v>545</v>
      </c>
      <c r="V8" s="14" t="s">
        <v>549</v>
      </c>
      <c r="W8" s="14" t="s">
        <v>524</v>
      </c>
      <c r="X8" s="14" t="s">
        <v>525</v>
      </c>
      <c r="Y8" s="14" t="s">
        <v>526</v>
      </c>
      <c r="Z8" s="14" t="s">
        <v>527</v>
      </c>
      <c r="AA8" s="14" t="s">
        <v>528</v>
      </c>
      <c r="AB8" s="14" t="s">
        <v>546</v>
      </c>
      <c r="AC8" s="14" t="s">
        <v>550</v>
      </c>
      <c r="AD8" s="14" t="s">
        <v>529</v>
      </c>
      <c r="AE8" s="14" t="s">
        <v>530</v>
      </c>
      <c r="AF8" s="14" t="s">
        <v>531</v>
      </c>
      <c r="AG8" s="14" t="s">
        <v>532</v>
      </c>
      <c r="AH8" s="14" t="s">
        <v>533</v>
      </c>
      <c r="AI8" s="14" t="s">
        <v>547</v>
      </c>
      <c r="AJ8" s="14" t="s">
        <v>551</v>
      </c>
      <c r="AK8" s="14" t="s">
        <v>534</v>
      </c>
      <c r="AL8" s="14" t="s">
        <v>535</v>
      </c>
      <c r="AM8" s="14" t="s">
        <v>536</v>
      </c>
      <c r="AN8" s="14" t="s">
        <v>537</v>
      </c>
      <c r="AO8" s="14" t="s">
        <v>538</v>
      </c>
      <c r="AP8" s="14" t="s">
        <v>548</v>
      </c>
      <c r="AQ8" s="14" t="s">
        <v>552</v>
      </c>
      <c r="AR8" s="14" t="s">
        <v>539</v>
      </c>
      <c r="AS8" s="14" t="s">
        <v>540</v>
      </c>
      <c r="AT8" s="14" t="s">
        <v>541</v>
      </c>
      <c r="AU8" s="14" t="s">
        <v>542</v>
      </c>
      <c r="AV8" s="14" t="s">
        <v>543</v>
      </c>
      <c r="AW8" s="14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553</v>
      </c>
      <c r="BE8" s="41" t="s">
        <v>523</v>
      </c>
      <c r="BF8" s="41" t="s">
        <v>545</v>
      </c>
      <c r="BG8" s="41" t="s">
        <v>549</v>
      </c>
      <c r="BH8" s="41" t="s">
        <v>524</v>
      </c>
      <c r="BI8" s="41" t="s">
        <v>525</v>
      </c>
      <c r="BJ8" s="41" t="s">
        <v>526</v>
      </c>
      <c r="BK8" s="41" t="s">
        <v>527</v>
      </c>
      <c r="BL8" s="41" t="s">
        <v>528</v>
      </c>
      <c r="BM8" s="41" t="s">
        <v>546</v>
      </c>
      <c r="BN8" s="41" t="s">
        <v>550</v>
      </c>
      <c r="BO8" s="41" t="s">
        <v>529</v>
      </c>
      <c r="BP8" s="41" t="s">
        <v>530</v>
      </c>
      <c r="BQ8" s="41" t="s">
        <v>531</v>
      </c>
      <c r="BR8" s="41" t="s">
        <v>532</v>
      </c>
      <c r="BS8" s="41" t="s">
        <v>533</v>
      </c>
      <c r="BT8" s="41" t="s">
        <v>547</v>
      </c>
      <c r="BU8" s="41" t="s">
        <v>551</v>
      </c>
      <c r="BV8" s="41" t="s">
        <v>534</v>
      </c>
      <c r="BW8" s="41" t="s">
        <v>535</v>
      </c>
      <c r="BX8" s="41" t="s">
        <v>536</v>
      </c>
      <c r="BY8" s="41" t="s">
        <v>537</v>
      </c>
      <c r="BZ8" s="41" t="s">
        <v>538</v>
      </c>
      <c r="CA8" s="41" t="s">
        <v>548</v>
      </c>
      <c r="CB8" s="41" t="s">
        <v>552</v>
      </c>
      <c r="CC8" s="41" t="s">
        <v>539</v>
      </c>
      <c r="CD8" s="41" t="s">
        <v>540</v>
      </c>
      <c r="CE8" s="41" t="s">
        <v>541</v>
      </c>
      <c r="CF8" s="41" t="s">
        <v>542</v>
      </c>
      <c r="CG8" s="41" t="s">
        <v>543</v>
      </c>
      <c r="CH8" s="41" t="s">
        <v>544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463</v>
      </c>
      <c r="I9" s="57">
        <v>44111</v>
      </c>
      <c r="J9" s="57" t="s">
        <v>521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485</v>
      </c>
      <c r="I10" s="57">
        <v>45804</v>
      </c>
      <c r="J10" s="57" t="s">
        <v>521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439</v>
      </c>
      <c r="I11" s="57">
        <v>44748</v>
      </c>
      <c r="J11" s="57" t="s">
        <v>521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489</v>
      </c>
      <c r="I12" s="57">
        <v>45793</v>
      </c>
      <c r="J12" s="57" t="s">
        <v>521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499</v>
      </c>
      <c r="I13" s="57">
        <v>45875</v>
      </c>
      <c r="J13" s="57" t="s">
        <v>521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503</v>
      </c>
      <c r="I14" s="57">
        <v>45889</v>
      </c>
      <c r="J14" s="57" t="s">
        <v>521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457</v>
      </c>
      <c r="I15" s="57">
        <v>44869</v>
      </c>
      <c r="J15" s="57" t="s">
        <v>521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410</v>
      </c>
      <c r="I16" s="57">
        <v>44748</v>
      </c>
      <c r="J16" s="57" t="s">
        <v>521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475</v>
      </c>
      <c r="I17" s="57">
        <v>45727</v>
      </c>
      <c r="J17" s="57" t="s">
        <v>521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506</v>
      </c>
      <c r="I18" s="57">
        <v>45875</v>
      </c>
      <c r="J18" s="57" t="s">
        <v>521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442</v>
      </c>
      <c r="I19" s="57">
        <v>45429</v>
      </c>
      <c r="J19" s="57" t="s">
        <v>521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500</v>
      </c>
      <c r="I20" s="57">
        <v>44644</v>
      </c>
      <c r="J20" s="57" t="s">
        <v>521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419</v>
      </c>
      <c r="I21" s="57">
        <v>44748</v>
      </c>
      <c r="J21" s="57" t="s">
        <v>521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493</v>
      </c>
      <c r="I22" s="57">
        <v>45818</v>
      </c>
      <c r="J22" s="57" t="s">
        <v>521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432</v>
      </c>
      <c r="I23" s="57">
        <v>45423</v>
      </c>
      <c r="J23" s="57" t="s">
        <v>521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413</v>
      </c>
      <c r="I24" s="57">
        <v>44470</v>
      </c>
      <c r="J24" s="57" t="s">
        <v>521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504</v>
      </c>
      <c r="I25" s="57">
        <v>45399</v>
      </c>
      <c r="J25" s="57" t="s">
        <v>521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508</v>
      </c>
      <c r="I26" s="57">
        <v>45917</v>
      </c>
      <c r="J26" s="57" t="s">
        <v>521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454</v>
      </c>
      <c r="I27" s="57">
        <v>42814</v>
      </c>
      <c r="J27" s="57" t="s">
        <v>521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474</v>
      </c>
      <c r="I28" s="57">
        <v>44104</v>
      </c>
      <c r="J28" s="57" t="s">
        <v>521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456</v>
      </c>
      <c r="I29" s="57">
        <v>45021</v>
      </c>
      <c r="J29" s="57" t="s">
        <v>521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501</v>
      </c>
      <c r="I30" s="57">
        <v>45882</v>
      </c>
      <c r="J30" s="57" t="s">
        <v>521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406</v>
      </c>
      <c r="I31" s="57">
        <v>45334</v>
      </c>
      <c r="J31" s="57" t="s">
        <v>521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428</v>
      </c>
      <c r="I32" s="57">
        <v>44735</v>
      </c>
      <c r="J32" s="57" t="s">
        <v>521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487</v>
      </c>
      <c r="I33" s="57">
        <v>45805</v>
      </c>
      <c r="J33" s="57" t="s">
        <v>521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407</v>
      </c>
      <c r="I34" s="57">
        <v>44870</v>
      </c>
      <c r="J34" s="57" t="s">
        <v>521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438</v>
      </c>
      <c r="I35" s="57">
        <v>45145</v>
      </c>
      <c r="J35" s="57" t="s">
        <v>521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405</v>
      </c>
      <c r="I36" s="57">
        <v>45304</v>
      </c>
      <c r="J36" s="57" t="s">
        <v>521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468</v>
      </c>
      <c r="I37" s="57">
        <v>45084</v>
      </c>
      <c r="J37" s="57" t="s">
        <v>521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458</v>
      </c>
      <c r="I38" s="57">
        <v>45364</v>
      </c>
      <c r="J38" s="57" t="s">
        <v>521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471</v>
      </c>
      <c r="I39" s="57">
        <v>44566</v>
      </c>
      <c r="J39" s="57" t="s">
        <v>521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455</v>
      </c>
      <c r="I40" s="57">
        <v>45671</v>
      </c>
      <c r="J40" s="57" t="s">
        <v>521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409</v>
      </c>
      <c r="I41" s="57">
        <v>44259</v>
      </c>
      <c r="J41" s="57" t="s">
        <v>521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437</v>
      </c>
      <c r="I42" s="57">
        <v>45451</v>
      </c>
      <c r="J42" s="57" t="s">
        <v>521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496</v>
      </c>
      <c r="I43" s="57">
        <v>45845</v>
      </c>
      <c r="J43" s="57" t="s">
        <v>521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436</v>
      </c>
      <c r="I44" s="57">
        <v>44971</v>
      </c>
      <c r="J44" s="57" t="s">
        <v>521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446</v>
      </c>
      <c r="I45" s="57">
        <v>44716</v>
      </c>
      <c r="J45" s="57" t="s">
        <v>521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460</v>
      </c>
      <c r="I46" s="57">
        <v>45299</v>
      </c>
      <c r="J46" s="57" t="s">
        <v>521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415</v>
      </c>
      <c r="I47" s="57">
        <v>44945</v>
      </c>
      <c r="J47" s="57" t="s">
        <v>521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399</v>
      </c>
      <c r="I48" s="57">
        <v>44811</v>
      </c>
      <c r="J48" s="57" t="s">
        <v>521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502</v>
      </c>
      <c r="I49" s="57">
        <v>45896</v>
      </c>
      <c r="J49" s="57" t="s">
        <v>521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424</v>
      </c>
      <c r="I50" s="57">
        <v>44941</v>
      </c>
      <c r="J50" s="57" t="s">
        <v>521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434</v>
      </c>
      <c r="I51" s="57">
        <v>44687</v>
      </c>
      <c r="J51" s="57" t="s">
        <v>521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421</v>
      </c>
      <c r="I52" s="57">
        <v>45334</v>
      </c>
      <c r="J52" s="57" t="s">
        <v>521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397</v>
      </c>
      <c r="I53" s="57">
        <v>44461</v>
      </c>
      <c r="J53" s="57" t="s">
        <v>521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441</v>
      </c>
      <c r="I54" s="57">
        <v>45323</v>
      </c>
      <c r="J54" s="57" t="s">
        <v>521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427</v>
      </c>
      <c r="I55" s="57">
        <v>44301</v>
      </c>
      <c r="J55" s="57" t="s">
        <v>521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447</v>
      </c>
      <c r="I56" s="57">
        <v>45371</v>
      </c>
      <c r="J56" s="57" t="s">
        <v>521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459</v>
      </c>
      <c r="I57" s="57">
        <v>43035</v>
      </c>
      <c r="J57" s="57" t="s">
        <v>521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481</v>
      </c>
      <c r="I58" s="57">
        <v>45748</v>
      </c>
      <c r="J58" s="57" t="s">
        <v>521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449</v>
      </c>
      <c r="I59" s="57">
        <v>45133</v>
      </c>
      <c r="J59" s="57" t="s">
        <v>521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445</v>
      </c>
      <c r="I60" s="57">
        <v>45142</v>
      </c>
      <c r="J60" s="57" t="s">
        <v>521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429</v>
      </c>
      <c r="I61" s="57">
        <v>44909</v>
      </c>
      <c r="J61" s="57" t="s">
        <v>521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443</v>
      </c>
      <c r="I62" s="57">
        <v>45506</v>
      </c>
      <c r="J62" s="57" t="s">
        <v>521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426</v>
      </c>
      <c r="I63" s="57">
        <v>44819</v>
      </c>
      <c r="J63" s="57" t="s">
        <v>521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467</v>
      </c>
      <c r="I64" s="57">
        <v>44706</v>
      </c>
      <c r="J64" s="57" t="s">
        <v>521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430</v>
      </c>
      <c r="I65" s="57">
        <v>45675</v>
      </c>
      <c r="J65" s="57" t="s">
        <v>521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433</v>
      </c>
      <c r="I66" s="57">
        <v>45399</v>
      </c>
      <c r="J66" s="57" t="s">
        <v>521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464</v>
      </c>
      <c r="I67" s="57">
        <v>44820</v>
      </c>
      <c r="J67" s="57" t="s">
        <v>521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461</v>
      </c>
      <c r="I68" s="57">
        <v>45590</v>
      </c>
      <c r="J68" s="57" t="s">
        <v>521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451</v>
      </c>
      <c r="I69" s="57">
        <v>45285</v>
      </c>
      <c r="J69" s="57" t="s">
        <v>521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417</v>
      </c>
      <c r="I70" s="57">
        <v>44673</v>
      </c>
      <c r="J70" s="57" t="s">
        <v>521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425</v>
      </c>
      <c r="I71" s="57">
        <v>45175</v>
      </c>
      <c r="J71" s="57" t="s">
        <v>521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400</v>
      </c>
      <c r="I72" s="57">
        <v>44811</v>
      </c>
      <c r="J72" s="57" t="s">
        <v>521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452</v>
      </c>
      <c r="I73" s="57">
        <v>45334</v>
      </c>
      <c r="J73" s="57" t="s">
        <v>521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431</v>
      </c>
      <c r="I74" s="57">
        <v>45674</v>
      </c>
      <c r="J74" s="57" t="s">
        <v>521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411</v>
      </c>
      <c r="I75" s="57">
        <v>44840</v>
      </c>
      <c r="J75" s="57" t="s">
        <v>521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492</v>
      </c>
      <c r="I76" s="57">
        <v>45819</v>
      </c>
      <c r="J76" s="57" t="s">
        <v>521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507</v>
      </c>
      <c r="I77" s="57">
        <v>45895</v>
      </c>
      <c r="J77" s="57" t="s">
        <v>521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420</v>
      </c>
      <c r="I78" s="57">
        <v>45523</v>
      </c>
      <c r="J78" s="57" t="s">
        <v>521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412</v>
      </c>
      <c r="I79" s="57">
        <v>45344</v>
      </c>
      <c r="J79" s="57" t="s">
        <v>521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73" t="s">
        <v>580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2</v>
      </c>
      <c r="B3" s="70" t="s">
        <v>25</v>
      </c>
      <c r="C3" s="71"/>
      <c r="D3" s="71"/>
      <c r="E3" s="70" t="s">
        <v>2</v>
      </c>
      <c r="F3" s="70" t="s">
        <v>25</v>
      </c>
      <c r="G3" s="70"/>
      <c r="H3" s="70" t="s">
        <v>464</v>
      </c>
      <c r="I3" s="72">
        <v>44818</v>
      </c>
      <c r="J3" s="72" t="s">
        <v>520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0" t="s">
        <v>2</v>
      </c>
      <c r="B4" s="70" t="s">
        <v>33</v>
      </c>
      <c r="C4" s="71"/>
      <c r="D4" s="71"/>
      <c r="E4" s="70" t="s">
        <v>2</v>
      </c>
      <c r="F4" s="70" t="s">
        <v>33</v>
      </c>
      <c r="G4" s="70"/>
      <c r="H4" s="70" t="s">
        <v>457</v>
      </c>
      <c r="I4" s="72">
        <v>44867</v>
      </c>
      <c r="J4" s="72" t="s">
        <v>520</v>
      </c>
      <c r="L4" s="57"/>
    </row>
    <row r="5" spans="1:87" x14ac:dyDescent="0.25">
      <c r="A5" s="70" t="s">
        <v>2</v>
      </c>
      <c r="B5" s="70" t="s">
        <v>12</v>
      </c>
      <c r="C5" s="71"/>
      <c r="D5" s="71"/>
      <c r="E5" s="70" t="s">
        <v>2</v>
      </c>
      <c r="F5" s="70" t="s">
        <v>12</v>
      </c>
      <c r="G5" s="70"/>
      <c r="H5" s="70" t="s">
        <v>407</v>
      </c>
      <c r="I5" s="72">
        <v>44868</v>
      </c>
      <c r="J5" s="72" t="s">
        <v>520</v>
      </c>
      <c r="L5" s="57"/>
    </row>
    <row r="6" spans="1:87" x14ac:dyDescent="0.25">
      <c r="A6" s="70" t="s">
        <v>2</v>
      </c>
      <c r="B6" s="70" t="s">
        <v>34</v>
      </c>
      <c r="C6" s="71"/>
      <c r="D6" s="71"/>
      <c r="E6" s="70" t="s">
        <v>2</v>
      </c>
      <c r="F6" s="70" t="s">
        <v>34</v>
      </c>
      <c r="G6" s="70"/>
      <c r="H6" s="70" t="s">
        <v>425</v>
      </c>
      <c r="I6" s="72">
        <v>45173</v>
      </c>
      <c r="J6" s="72" t="s">
        <v>520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434</v>
      </c>
      <c r="I7" s="57">
        <v>44687</v>
      </c>
      <c r="J7" t="s">
        <v>521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455</v>
      </c>
      <c r="I8" s="57">
        <v>45671</v>
      </c>
      <c r="J8" t="s">
        <v>521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553</v>
      </c>
      <c r="T8" s="14" t="s">
        <v>523</v>
      </c>
      <c r="U8" s="14" t="s">
        <v>545</v>
      </c>
      <c r="V8" s="14" t="s">
        <v>549</v>
      </c>
      <c r="W8" s="14" t="s">
        <v>524</v>
      </c>
      <c r="X8" s="14" t="s">
        <v>525</v>
      </c>
      <c r="Y8" s="14" t="s">
        <v>526</v>
      </c>
      <c r="Z8" s="14" t="s">
        <v>527</v>
      </c>
      <c r="AA8" s="14" t="s">
        <v>528</v>
      </c>
      <c r="AB8" s="14" t="s">
        <v>546</v>
      </c>
      <c r="AC8" s="14" t="s">
        <v>550</v>
      </c>
      <c r="AD8" s="14" t="s">
        <v>529</v>
      </c>
      <c r="AE8" s="14" t="s">
        <v>530</v>
      </c>
      <c r="AF8" s="14" t="s">
        <v>531</v>
      </c>
      <c r="AG8" s="14" t="s">
        <v>532</v>
      </c>
      <c r="AH8" s="14" t="s">
        <v>533</v>
      </c>
      <c r="AI8" s="14" t="s">
        <v>547</v>
      </c>
      <c r="AJ8" s="14" t="s">
        <v>551</v>
      </c>
      <c r="AK8" s="14" t="s">
        <v>534</v>
      </c>
      <c r="AL8" s="14" t="s">
        <v>535</v>
      </c>
      <c r="AM8" s="14" t="s">
        <v>536</v>
      </c>
      <c r="AN8" s="14" t="s">
        <v>537</v>
      </c>
      <c r="AO8" s="14" t="s">
        <v>538</v>
      </c>
      <c r="AP8" s="14" t="s">
        <v>548</v>
      </c>
      <c r="AQ8" s="14" t="s">
        <v>552</v>
      </c>
      <c r="AR8" s="14" t="s">
        <v>539</v>
      </c>
      <c r="AS8" s="14" t="s">
        <v>540</v>
      </c>
      <c r="AT8" s="14" t="s">
        <v>541</v>
      </c>
      <c r="AU8" s="14" t="s">
        <v>542</v>
      </c>
      <c r="AV8" s="14" t="s">
        <v>543</v>
      </c>
      <c r="AW8" s="14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553</v>
      </c>
      <c r="BE8" s="20" t="s">
        <v>523</v>
      </c>
      <c r="BF8" s="20" t="s">
        <v>545</v>
      </c>
      <c r="BG8" s="20" t="s">
        <v>549</v>
      </c>
      <c r="BH8" s="20" t="s">
        <v>524</v>
      </c>
      <c r="BI8" s="20" t="s">
        <v>525</v>
      </c>
      <c r="BJ8" s="20" t="s">
        <v>526</v>
      </c>
      <c r="BK8" s="20" t="s">
        <v>527</v>
      </c>
      <c r="BL8" s="20" t="s">
        <v>528</v>
      </c>
      <c r="BM8" s="20" t="s">
        <v>546</v>
      </c>
      <c r="BN8" s="20" t="s">
        <v>550</v>
      </c>
      <c r="BO8" s="20" t="s">
        <v>529</v>
      </c>
      <c r="BP8" s="20" t="s">
        <v>530</v>
      </c>
      <c r="BQ8" s="20" t="s">
        <v>531</v>
      </c>
      <c r="BR8" s="20" t="s">
        <v>532</v>
      </c>
      <c r="BS8" s="20" t="s">
        <v>533</v>
      </c>
      <c r="BT8" s="20" t="s">
        <v>547</v>
      </c>
      <c r="BU8" s="20" t="s">
        <v>551</v>
      </c>
      <c r="BV8" s="20" t="s">
        <v>534</v>
      </c>
      <c r="BW8" s="20" t="s">
        <v>535</v>
      </c>
      <c r="BX8" s="20" t="s">
        <v>536</v>
      </c>
      <c r="BY8" s="20" t="s">
        <v>537</v>
      </c>
      <c r="BZ8" s="20" t="s">
        <v>538</v>
      </c>
      <c r="CA8" s="20" t="s">
        <v>548</v>
      </c>
      <c r="CB8" s="20" t="s">
        <v>552</v>
      </c>
      <c r="CC8" s="20" t="s">
        <v>539</v>
      </c>
      <c r="CD8" s="20" t="s">
        <v>540</v>
      </c>
      <c r="CE8" s="20" t="s">
        <v>541</v>
      </c>
      <c r="CF8" s="20" t="s">
        <v>542</v>
      </c>
      <c r="CG8" s="20" t="s">
        <v>543</v>
      </c>
      <c r="CH8" s="20" t="s">
        <v>544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471</v>
      </c>
      <c r="I9" s="57">
        <v>44566</v>
      </c>
      <c r="J9" t="s">
        <v>521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411</v>
      </c>
      <c r="I10" s="57">
        <v>44840</v>
      </c>
      <c r="J10" t="s">
        <v>521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493</v>
      </c>
      <c r="I11" s="57">
        <v>45818</v>
      </c>
      <c r="J11" t="s">
        <v>521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492</v>
      </c>
      <c r="I12" s="57">
        <v>45819</v>
      </c>
      <c r="J12" t="s">
        <v>521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507</v>
      </c>
      <c r="I13" s="57">
        <v>45895</v>
      </c>
      <c r="J13" t="s">
        <v>521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424</v>
      </c>
      <c r="I14" s="57">
        <v>44941</v>
      </c>
      <c r="J14" t="s">
        <v>521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428</v>
      </c>
      <c r="I15" s="57">
        <v>44735</v>
      </c>
      <c r="J15" t="s">
        <v>521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454</v>
      </c>
      <c r="I16" s="57">
        <v>42814</v>
      </c>
      <c r="J16" t="s">
        <v>521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458</v>
      </c>
      <c r="I17" s="57">
        <v>45364</v>
      </c>
      <c r="J17" t="s">
        <v>521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487</v>
      </c>
      <c r="I18" s="57">
        <v>45805</v>
      </c>
      <c r="J18" t="s">
        <v>521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433</v>
      </c>
      <c r="I19" s="57">
        <v>45399</v>
      </c>
      <c r="J19" t="s">
        <v>521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427</v>
      </c>
      <c r="I20" s="57">
        <v>44301</v>
      </c>
      <c r="J20" t="s">
        <v>521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438</v>
      </c>
      <c r="I21" s="57">
        <v>45145</v>
      </c>
      <c r="J21" t="s">
        <v>521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439</v>
      </c>
      <c r="I22" s="57">
        <v>44748</v>
      </c>
      <c r="J22" t="s">
        <v>521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430</v>
      </c>
      <c r="I23" s="57">
        <v>45675</v>
      </c>
      <c r="J23" t="s">
        <v>521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444</v>
      </c>
      <c r="I24" s="57">
        <v>45082</v>
      </c>
      <c r="J24" t="s">
        <v>521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468</v>
      </c>
      <c r="I25" s="57">
        <v>45084</v>
      </c>
      <c r="J25" t="s">
        <v>521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413</v>
      </c>
      <c r="I26" s="57">
        <v>44470</v>
      </c>
      <c r="J26" t="s">
        <v>521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445</v>
      </c>
      <c r="I27" s="57">
        <v>45142</v>
      </c>
      <c r="J27" t="s">
        <v>521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431</v>
      </c>
      <c r="I28" s="57">
        <v>45674</v>
      </c>
      <c r="J28" t="s">
        <v>521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504</v>
      </c>
      <c r="I29" s="57">
        <v>45399</v>
      </c>
      <c r="J29" t="s">
        <v>521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508</v>
      </c>
      <c r="I30" s="57">
        <v>45917</v>
      </c>
      <c r="J30" t="s">
        <v>521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475</v>
      </c>
      <c r="I31" s="57">
        <v>45727</v>
      </c>
      <c r="J31" t="s">
        <v>521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449</v>
      </c>
      <c r="I32" s="57">
        <v>45133</v>
      </c>
      <c r="J32" t="s">
        <v>521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452</v>
      </c>
      <c r="I33" s="57">
        <v>45334</v>
      </c>
      <c r="J33" t="s">
        <v>521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429</v>
      </c>
      <c r="I34" s="57">
        <v>44909</v>
      </c>
      <c r="J34" t="s">
        <v>521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415</v>
      </c>
      <c r="I35" s="57">
        <v>44945</v>
      </c>
      <c r="J35" t="s">
        <v>521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420</v>
      </c>
      <c r="I36" s="57">
        <v>45523</v>
      </c>
      <c r="J36" t="s">
        <v>521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419</v>
      </c>
      <c r="I37" s="57">
        <v>44748</v>
      </c>
      <c r="J37" t="s">
        <v>521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447</v>
      </c>
      <c r="I38" s="57">
        <v>45371</v>
      </c>
      <c r="J38" t="s">
        <v>521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409</v>
      </c>
      <c r="I39" s="57">
        <v>44259</v>
      </c>
      <c r="J39" t="s">
        <v>521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443</v>
      </c>
      <c r="I40" s="57">
        <v>45506</v>
      </c>
      <c r="J40" t="s">
        <v>521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399</v>
      </c>
      <c r="I41" s="57">
        <v>44811</v>
      </c>
      <c r="J41" t="s">
        <v>521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417</v>
      </c>
      <c r="I42" s="57">
        <v>44673</v>
      </c>
      <c r="J42" t="s">
        <v>521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456</v>
      </c>
      <c r="I43" s="57">
        <v>45021</v>
      </c>
      <c r="J43" t="s">
        <v>521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405</v>
      </c>
      <c r="I44" s="57">
        <v>45304</v>
      </c>
      <c r="J44" t="s">
        <v>521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461</v>
      </c>
      <c r="I45" s="57">
        <v>45590</v>
      </c>
      <c r="J45" t="s">
        <v>521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467</v>
      </c>
      <c r="I46" s="57">
        <v>44706</v>
      </c>
      <c r="J46" t="s">
        <v>521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441</v>
      </c>
      <c r="I47" s="57">
        <v>45323</v>
      </c>
      <c r="J47" t="s">
        <v>521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448</v>
      </c>
      <c r="I48" s="57">
        <v>45348</v>
      </c>
      <c r="J48" t="s">
        <v>521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446</v>
      </c>
      <c r="I49" s="57">
        <v>44716</v>
      </c>
      <c r="J49" t="s">
        <v>521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451</v>
      </c>
      <c r="I50" s="57">
        <v>45285</v>
      </c>
      <c r="J50" t="s">
        <v>521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481</v>
      </c>
      <c r="I51" s="57">
        <v>45748</v>
      </c>
      <c r="J51" t="s">
        <v>521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459</v>
      </c>
      <c r="I52" s="57">
        <v>43035</v>
      </c>
      <c r="J52" t="s">
        <v>521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500</v>
      </c>
      <c r="I53" s="57">
        <v>44644</v>
      </c>
      <c r="J53" t="s">
        <v>521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442</v>
      </c>
      <c r="I54" s="57">
        <v>45429</v>
      </c>
      <c r="J54" t="s">
        <v>521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418</v>
      </c>
      <c r="I55" s="57">
        <v>43132</v>
      </c>
      <c r="J55" t="s">
        <v>521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421</v>
      </c>
      <c r="I56" s="57">
        <v>45334</v>
      </c>
      <c r="J56" t="s">
        <v>521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463</v>
      </c>
      <c r="I57" s="57">
        <v>44111</v>
      </c>
      <c r="J57" t="s">
        <v>521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397</v>
      </c>
      <c r="I58" s="57">
        <v>44461</v>
      </c>
      <c r="J58" t="s">
        <v>521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408</v>
      </c>
      <c r="I59" s="57">
        <v>45530</v>
      </c>
      <c r="J59" t="s">
        <v>521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400</v>
      </c>
      <c r="I60" s="57">
        <v>44811</v>
      </c>
      <c r="J60" t="s">
        <v>521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460</v>
      </c>
      <c r="I61" s="57">
        <v>45299</v>
      </c>
      <c r="J61" t="s">
        <v>521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406</v>
      </c>
      <c r="I62" s="57">
        <v>45334</v>
      </c>
      <c r="J62" t="s">
        <v>521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403</v>
      </c>
      <c r="I63" s="57">
        <v>44888</v>
      </c>
      <c r="J63" t="s">
        <v>521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485</v>
      </c>
      <c r="I64" s="57">
        <v>45804</v>
      </c>
      <c r="J64" t="s">
        <v>521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426</v>
      </c>
      <c r="I65" s="57">
        <v>44819</v>
      </c>
      <c r="J65" t="s">
        <v>521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503</v>
      </c>
      <c r="I66" s="57">
        <v>45889</v>
      </c>
      <c r="J66" t="s">
        <v>521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2" sqref="I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580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4</v>
      </c>
      <c r="B3" s="35" t="s">
        <v>18</v>
      </c>
      <c r="C3" s="37">
        <f>VLOOKUP(D1_DICIEMBRE_2025[[#This Row],[SUPER]],DATA_DICIEMBRE_2025[[SUPERVISOR]:[META]],3,0)</f>
        <v>55500</v>
      </c>
      <c r="D3" s="36">
        <f>D1_DICIEMBRE_2025[[#This Row],[RECUPERO]]/D1_DICIEMBRE_2025[[#This Row],[META]]</f>
        <v>1.1104144144144144</v>
      </c>
      <c r="E3" s="36" t="s">
        <v>4</v>
      </c>
      <c r="F3" t="s">
        <v>18</v>
      </c>
      <c r="G3" s="3">
        <v>61628</v>
      </c>
      <c r="H3" t="s">
        <v>449</v>
      </c>
      <c r="I3" s="57">
        <v>45133</v>
      </c>
      <c r="J3" s="57" t="s">
        <v>521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7</v>
      </c>
      <c r="B4" s="35" t="s">
        <v>21</v>
      </c>
      <c r="C4" s="37">
        <f>VLOOKUP(D1_DICIEMBRE_2025[[#This Row],[SUPER]],DATA_DICIEMBRE_2025[[SUPERVISOR]:[META]],3,0)</f>
        <v>21000</v>
      </c>
      <c r="D4" s="36">
        <f>D1_DICIEMBRE_2025[[#This Row],[RECUPERO]]/D1_DICIEMBRE_2025[[#This Row],[META]]</f>
        <v>1.588095238095238</v>
      </c>
      <c r="E4" s="36" t="s">
        <v>7</v>
      </c>
      <c r="F4" t="s">
        <v>21</v>
      </c>
      <c r="G4" s="3">
        <v>33350</v>
      </c>
      <c r="H4" t="s">
        <v>427</v>
      </c>
      <c r="I4" s="57">
        <v>44301</v>
      </c>
      <c r="J4" s="57" t="s">
        <v>521</v>
      </c>
      <c r="K4" s="57"/>
      <c r="L4" s="57"/>
      <c r="N4" s="5"/>
    </row>
    <row r="5" spans="1:87" x14ac:dyDescent="0.25">
      <c r="A5" s="35" t="s">
        <v>7</v>
      </c>
      <c r="B5" s="35" t="s">
        <v>58</v>
      </c>
      <c r="C5" s="37">
        <f>VLOOKUP(D1_DICIEMBRE_2025[[#This Row],[SUPER]],DATA_DICIEMBRE_2025[[SUPERVISOR]:[META]],3,0)</f>
        <v>21000</v>
      </c>
      <c r="D5" s="36">
        <f>D1_DICIEMBRE_2025[[#This Row],[RECUPERO]]/D1_DICIEMBRE_2025[[#This Row],[META]]</f>
        <v>2.9866666666666668</v>
      </c>
      <c r="E5" s="36" t="s">
        <v>7</v>
      </c>
      <c r="F5" t="s">
        <v>58</v>
      </c>
      <c r="G5" s="3">
        <v>62720</v>
      </c>
      <c r="H5" t="s">
        <v>459</v>
      </c>
      <c r="I5" s="57">
        <v>43035</v>
      </c>
      <c r="J5" s="57" t="s">
        <v>521</v>
      </c>
      <c r="K5" s="57"/>
      <c r="L5" s="57"/>
      <c r="N5" s="5"/>
      <c r="BB5" s="46"/>
    </row>
    <row r="6" spans="1:87" x14ac:dyDescent="0.25">
      <c r="A6" s="35" t="s">
        <v>4</v>
      </c>
      <c r="B6" s="35" t="s">
        <v>60</v>
      </c>
      <c r="C6" s="37">
        <f>VLOOKUP(D1_DICIEMBRE_2025[[#This Row],[SUPER]],DATA_DICIEMBRE_2025[[SUPERVISOR]:[META]],3,0)</f>
        <v>55500</v>
      </c>
      <c r="D6" s="36">
        <f>D1_DICIEMBRE_2025[[#This Row],[RECUPERO]]/D1_DICIEMBRE_2025[[#This Row],[META]]</f>
        <v>1.2935315315315314</v>
      </c>
      <c r="E6" s="36" t="s">
        <v>4</v>
      </c>
      <c r="F6" t="s">
        <v>60</v>
      </c>
      <c r="G6" s="3">
        <v>71791</v>
      </c>
      <c r="H6" t="s">
        <v>441</v>
      </c>
      <c r="I6" s="57">
        <v>45323</v>
      </c>
      <c r="J6" s="57" t="s">
        <v>521</v>
      </c>
      <c r="K6" s="57"/>
      <c r="L6" s="57"/>
      <c r="N6" s="5"/>
    </row>
    <row r="7" spans="1:87" x14ac:dyDescent="0.25">
      <c r="A7" s="35" t="s">
        <v>2</v>
      </c>
      <c r="B7" s="35" t="s">
        <v>15</v>
      </c>
      <c r="C7" s="37">
        <f>VLOOKUP(D1_DICIEMBRE_2025[[#This Row],[SUPER]],DATA_DICIEMBRE_2025[[SUPERVISOR]:[META]],3,0)</f>
        <v>35500</v>
      </c>
      <c r="D7" s="36">
        <f>D1_DICIEMBRE_2025[[#This Row],[RECUPERO]]/D1_DICIEMBRE_2025[[#This Row],[META]]</f>
        <v>1.2428732394366198</v>
      </c>
      <c r="E7" s="36" t="s">
        <v>2</v>
      </c>
      <c r="F7" t="s">
        <v>15</v>
      </c>
      <c r="G7" s="3">
        <v>44122</v>
      </c>
      <c r="H7" t="s">
        <v>428</v>
      </c>
      <c r="I7" s="57">
        <v>44735</v>
      </c>
      <c r="J7" s="57" t="s">
        <v>521</v>
      </c>
      <c r="K7" s="57"/>
      <c r="L7" s="57"/>
      <c r="M7" s="1"/>
      <c r="N7" s="5"/>
    </row>
    <row r="8" spans="1:87" x14ac:dyDescent="0.25">
      <c r="A8" s="35" t="s">
        <v>7</v>
      </c>
      <c r="B8" s="35" t="s">
        <v>174</v>
      </c>
      <c r="C8" s="37">
        <f>VLOOKUP(D1_DICIEMBRE_2025[[#This Row],[SUPER]],DATA_DICIEMBRE_2025[[SUPERVISOR]:[META]],3,0)</f>
        <v>21000</v>
      </c>
      <c r="D8" s="36">
        <f>D1_DICIEMBRE_2025[[#This Row],[RECUPERO]]/D1_DICIEMBRE_2025[[#This Row],[META]]</f>
        <v>0.92719047619047623</v>
      </c>
      <c r="E8" s="36" t="s">
        <v>7</v>
      </c>
      <c r="F8" t="s">
        <v>174</v>
      </c>
      <c r="G8" s="3">
        <v>19471</v>
      </c>
      <c r="H8" t="s">
        <v>510</v>
      </c>
      <c r="I8" s="57">
        <v>45995</v>
      </c>
      <c r="J8" s="57" t="s">
        <v>521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553</v>
      </c>
      <c r="T8" s="14" t="s">
        <v>523</v>
      </c>
      <c r="U8" s="14" t="s">
        <v>545</v>
      </c>
      <c r="V8" s="14" t="s">
        <v>549</v>
      </c>
      <c r="W8" s="14" t="s">
        <v>524</v>
      </c>
      <c r="X8" s="14" t="s">
        <v>525</v>
      </c>
      <c r="Y8" s="14" t="s">
        <v>526</v>
      </c>
      <c r="Z8" s="14" t="s">
        <v>527</v>
      </c>
      <c r="AA8" s="14" t="s">
        <v>528</v>
      </c>
      <c r="AB8" s="14" t="s">
        <v>546</v>
      </c>
      <c r="AC8" s="14" t="s">
        <v>550</v>
      </c>
      <c r="AD8" s="14" t="s">
        <v>529</v>
      </c>
      <c r="AE8" s="14" t="s">
        <v>530</v>
      </c>
      <c r="AF8" s="14" t="s">
        <v>531</v>
      </c>
      <c r="AG8" s="14" t="s">
        <v>532</v>
      </c>
      <c r="AH8" s="14" t="s">
        <v>533</v>
      </c>
      <c r="AI8" s="14" t="s">
        <v>547</v>
      </c>
      <c r="AJ8" s="14" t="s">
        <v>551</v>
      </c>
      <c r="AK8" s="14" t="s">
        <v>534</v>
      </c>
      <c r="AL8" s="14" t="s">
        <v>535</v>
      </c>
      <c r="AM8" s="14" t="s">
        <v>536</v>
      </c>
      <c r="AN8" s="14" t="s">
        <v>537</v>
      </c>
      <c r="AO8" s="14" t="s">
        <v>538</v>
      </c>
      <c r="AP8" s="14" t="s">
        <v>548</v>
      </c>
      <c r="AQ8" s="14" t="s">
        <v>552</v>
      </c>
      <c r="AR8" s="14" t="s">
        <v>539</v>
      </c>
      <c r="AS8" s="14" t="s">
        <v>540</v>
      </c>
      <c r="AT8" s="14" t="s">
        <v>541</v>
      </c>
      <c r="AU8" s="14" t="s">
        <v>542</v>
      </c>
      <c r="AV8" s="14" t="s">
        <v>543</v>
      </c>
      <c r="AW8" s="14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553</v>
      </c>
      <c r="BE8" s="20" t="s">
        <v>523</v>
      </c>
      <c r="BF8" s="20" t="s">
        <v>545</v>
      </c>
      <c r="BG8" s="20" t="s">
        <v>549</v>
      </c>
      <c r="BH8" s="20" t="s">
        <v>524</v>
      </c>
      <c r="BI8" s="20" t="s">
        <v>525</v>
      </c>
      <c r="BJ8" s="20" t="s">
        <v>526</v>
      </c>
      <c r="BK8" s="20" t="s">
        <v>527</v>
      </c>
      <c r="BL8" s="20" t="s">
        <v>528</v>
      </c>
      <c r="BM8" s="20" t="s">
        <v>546</v>
      </c>
      <c r="BN8" s="20" t="s">
        <v>550</v>
      </c>
      <c r="BO8" s="20" t="s">
        <v>529</v>
      </c>
      <c r="BP8" s="20" t="s">
        <v>530</v>
      </c>
      <c r="BQ8" s="20" t="s">
        <v>531</v>
      </c>
      <c r="BR8" s="20" t="s">
        <v>532</v>
      </c>
      <c r="BS8" s="20" t="s">
        <v>533</v>
      </c>
      <c r="BT8" s="20" t="s">
        <v>547</v>
      </c>
      <c r="BU8" s="20" t="s">
        <v>551</v>
      </c>
      <c r="BV8" s="20" t="s">
        <v>534</v>
      </c>
      <c r="BW8" s="20" t="s">
        <v>535</v>
      </c>
      <c r="BX8" s="20" t="s">
        <v>536</v>
      </c>
      <c r="BY8" s="20" t="s">
        <v>537</v>
      </c>
      <c r="BZ8" s="20" t="s">
        <v>538</v>
      </c>
      <c r="CA8" s="20" t="s">
        <v>548</v>
      </c>
      <c r="CB8" s="20" t="s">
        <v>552</v>
      </c>
      <c r="CC8" s="20" t="s">
        <v>539</v>
      </c>
      <c r="CD8" s="20" t="s">
        <v>540</v>
      </c>
      <c r="CE8" s="20" t="s">
        <v>541</v>
      </c>
      <c r="CF8" s="20" t="s">
        <v>542</v>
      </c>
      <c r="CG8" s="20" t="s">
        <v>543</v>
      </c>
      <c r="CH8" s="20" t="s">
        <v>544</v>
      </c>
      <c r="CI8" s="19" t="s">
        <v>134</v>
      </c>
    </row>
    <row r="9" spans="1:87" x14ac:dyDescent="0.25">
      <c r="A9" s="35" t="s">
        <v>6</v>
      </c>
      <c r="B9" s="35" t="s">
        <v>19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3.3010344827586207</v>
      </c>
      <c r="E9" s="36" t="s">
        <v>6</v>
      </c>
      <c r="F9" t="s">
        <v>19</v>
      </c>
      <c r="G9" s="3">
        <v>95730</v>
      </c>
      <c r="H9" t="s">
        <v>417</v>
      </c>
      <c r="I9" s="57">
        <v>44673</v>
      </c>
      <c r="J9" s="57" t="s">
        <v>521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7</v>
      </c>
      <c r="B10" s="35" t="s">
        <v>41</v>
      </c>
      <c r="C10" s="37">
        <f>VLOOKUP(D1_DICIEMBRE_2025[[#This Row],[SUPER]],DATA_DICIEMBRE_2025[[SUPERVISOR]:[META]],3,0)</f>
        <v>21000</v>
      </c>
      <c r="D10" s="36">
        <f>D1_DICIEMBRE_2025[[#This Row],[RECUPERO]]/D1_DICIEMBRE_2025[[#This Row],[META]]</f>
        <v>1.5370952380952381</v>
      </c>
      <c r="E10" s="36" t="s">
        <v>7</v>
      </c>
      <c r="F10" t="s">
        <v>41</v>
      </c>
      <c r="G10" s="3">
        <v>32279</v>
      </c>
      <c r="H10" t="s">
        <v>405</v>
      </c>
      <c r="I10" s="57">
        <v>45304</v>
      </c>
      <c r="J10" s="57" t="s">
        <v>521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4</v>
      </c>
      <c r="B11" s="35" t="s">
        <v>61</v>
      </c>
      <c r="C11" s="37">
        <f>VLOOKUP(D1_DICIEMBRE_2025[[#This Row],[SUPER]],DATA_DICIEMBRE_2025[[SUPERVISOR]:[META]],3,0)</f>
        <v>55500</v>
      </c>
      <c r="D11" s="36">
        <f>D1_DICIEMBRE_2025[[#This Row],[RECUPERO]]/D1_DICIEMBRE_2025[[#This Row],[META]]</f>
        <v>1.1292942342342343</v>
      </c>
      <c r="E11" s="36" t="s">
        <v>4</v>
      </c>
      <c r="F11" t="s">
        <v>61</v>
      </c>
      <c r="G11" s="3">
        <v>62675.83</v>
      </c>
      <c r="H11" t="s">
        <v>429</v>
      </c>
      <c r="I11" s="57">
        <v>44909</v>
      </c>
      <c r="J11" s="57" t="s">
        <v>521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6</v>
      </c>
      <c r="B12" s="35" t="s">
        <v>80</v>
      </c>
      <c r="C12" s="37">
        <f>VLOOKUP(D1_DICIEMBRE_2025[[#This Row],[SUPER]],DATA_DICIEMBRE_2025[[SUPERVISOR]:[META]],3,0)</f>
        <v>29000</v>
      </c>
      <c r="D12" s="36">
        <f>D1_DICIEMBRE_2025[[#This Row],[RECUPERO]]/D1_DICIEMBRE_2025[[#This Row],[META]]</f>
        <v>1.5548620689655173</v>
      </c>
      <c r="E12" s="36" t="s">
        <v>6</v>
      </c>
      <c r="F12" t="s">
        <v>80</v>
      </c>
      <c r="G12" s="3">
        <v>45091</v>
      </c>
      <c r="H12" t="s">
        <v>451</v>
      </c>
      <c r="I12" s="57">
        <v>45285</v>
      </c>
      <c r="J12" s="57" t="s">
        <v>521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7</v>
      </c>
      <c r="B13" s="35" t="s">
        <v>40</v>
      </c>
      <c r="C13" s="37">
        <f>VLOOKUP(D1_DICIEMBRE_2025[[#This Row],[SUPER]],DATA_DICIEMBRE_2025[[SUPERVISOR]:[META]],3,0)</f>
        <v>21000</v>
      </c>
      <c r="D13" s="36">
        <f>D1_DICIEMBRE_2025[[#This Row],[RECUPERO]]/D1_DICIEMBRE_2025[[#This Row],[META]]</f>
        <v>1.1331904761904761</v>
      </c>
      <c r="E13" s="36" t="s">
        <v>7</v>
      </c>
      <c r="F13" t="s">
        <v>40</v>
      </c>
      <c r="G13" s="3">
        <v>23797</v>
      </c>
      <c r="H13" t="s">
        <v>442</v>
      </c>
      <c r="I13" s="57">
        <v>45429</v>
      </c>
      <c r="J13" s="57" t="s">
        <v>521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6</v>
      </c>
      <c r="B14" s="35" t="s">
        <v>81</v>
      </c>
      <c r="C14" s="37">
        <f>VLOOKUP(D1_DICIEMBRE_2025[[#This Row],[SUPER]],DATA_DICIEMBRE_2025[[SUPERVISOR]:[META]],3,0)</f>
        <v>29000</v>
      </c>
      <c r="D14" s="36">
        <f>D1_DICIEMBRE_2025[[#This Row],[RECUPERO]]/D1_DICIEMBRE_2025[[#This Row],[META]]</f>
        <v>1.2545517241379309</v>
      </c>
      <c r="E14" s="36" t="s">
        <v>6</v>
      </c>
      <c r="F14" t="s">
        <v>81</v>
      </c>
      <c r="G14" s="3">
        <v>36382</v>
      </c>
      <c r="H14" t="s">
        <v>443</v>
      </c>
      <c r="I14" s="57">
        <v>45506</v>
      </c>
      <c r="J14" s="57" t="s">
        <v>521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72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0.80151351351351352</v>
      </c>
      <c r="E15" s="36" t="s">
        <v>4</v>
      </c>
      <c r="F15" t="s">
        <v>72</v>
      </c>
      <c r="G15" s="3">
        <v>44484</v>
      </c>
      <c r="H15" t="s">
        <v>468</v>
      </c>
      <c r="I15" s="57">
        <v>45084</v>
      </c>
      <c r="J15" s="57" t="s">
        <v>521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3</v>
      </c>
      <c r="B16" s="35" t="s">
        <v>22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0.93945945945945941</v>
      </c>
      <c r="E16" s="36" t="s">
        <v>3</v>
      </c>
      <c r="F16" t="s">
        <v>22</v>
      </c>
      <c r="G16" s="3">
        <v>52140</v>
      </c>
      <c r="H16" t="s">
        <v>460</v>
      </c>
      <c r="I16" s="57">
        <v>45299</v>
      </c>
      <c r="J16" s="57" t="s">
        <v>521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3</v>
      </c>
      <c r="B17" s="35" t="s">
        <v>24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1.3207207207207208</v>
      </c>
      <c r="E17" s="36" t="s">
        <v>3</v>
      </c>
      <c r="F17" t="s">
        <v>24</v>
      </c>
      <c r="G17" s="3">
        <v>73300</v>
      </c>
      <c r="H17" t="s">
        <v>452</v>
      </c>
      <c r="I17" s="57">
        <v>45334</v>
      </c>
      <c r="J17" s="57" t="s">
        <v>521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7</v>
      </c>
      <c r="B18" s="35" t="s">
        <v>12</v>
      </c>
      <c r="C18" s="37">
        <f>VLOOKUP(D1_DICIEMBRE_2025[[#This Row],[SUPER]],DATA_DICIEMBRE_2025[[SUPERVISOR]:[META]],3,0)</f>
        <v>21000</v>
      </c>
      <c r="D18" s="36">
        <f>D1_DICIEMBRE_2025[[#This Row],[RECUPERO]]/D1_DICIEMBRE_2025[[#This Row],[META]]</f>
        <v>1.31</v>
      </c>
      <c r="E18" s="36" t="s">
        <v>7</v>
      </c>
      <c r="F18" t="s">
        <v>12</v>
      </c>
      <c r="G18" s="3">
        <v>27510</v>
      </c>
      <c r="H18" t="s">
        <v>407</v>
      </c>
      <c r="I18" s="57">
        <v>44870</v>
      </c>
      <c r="J18" s="57" t="s">
        <v>521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7</v>
      </c>
      <c r="B19" s="35" t="s">
        <v>51</v>
      </c>
      <c r="C19" s="37">
        <f>VLOOKUP(D1_DICIEMBRE_2025[[#This Row],[SUPER]],DATA_DICIEMBRE_2025[[SUPERVISOR]:[META]],3,0)</f>
        <v>21000</v>
      </c>
      <c r="D19" s="36">
        <f>D1_DICIEMBRE_2025[[#This Row],[RECUPERO]]/D1_DICIEMBRE_2025[[#This Row],[META]]</f>
        <v>1.0704761904761906</v>
      </c>
      <c r="E19" s="36" t="s">
        <v>7</v>
      </c>
      <c r="F19" t="s">
        <v>51</v>
      </c>
      <c r="G19" s="3">
        <v>22480</v>
      </c>
      <c r="H19" t="s">
        <v>431</v>
      </c>
      <c r="I19" s="57">
        <v>45674</v>
      </c>
      <c r="J19" s="57" t="s">
        <v>521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3</v>
      </c>
      <c r="B20" s="35" t="s">
        <v>13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1.2782432432432433</v>
      </c>
      <c r="E20" s="36" t="s">
        <v>3</v>
      </c>
      <c r="F20" t="s">
        <v>13</v>
      </c>
      <c r="G20" s="3">
        <v>70942.5</v>
      </c>
      <c r="H20" t="s">
        <v>400</v>
      </c>
      <c r="I20" s="57">
        <v>44811</v>
      </c>
      <c r="J20" s="57" t="s">
        <v>521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">
        <v>32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1.094990990990991</v>
      </c>
      <c r="E21" s="36" t="s">
        <v>3</v>
      </c>
      <c r="F21" t="s">
        <v>32</v>
      </c>
      <c r="G21" s="3">
        <v>60772</v>
      </c>
      <c r="H21" t="s">
        <v>408</v>
      </c>
      <c r="I21" s="57">
        <v>45530</v>
      </c>
      <c r="J21" s="57" t="s">
        <v>521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">
        <v>42</v>
      </c>
      <c r="C22" s="37">
        <f>VLOOKUP(D1_DICIEMBRE_2025[[#This Row],[SUPER]],DATA_DICIEMBRE_2025[[SUPERVISOR]:[META]],3,0)</f>
        <v>35500</v>
      </c>
      <c r="D22" s="36">
        <f>D1_DICIEMBRE_2025[[#This Row],[RECUPERO]]/D1_DICIEMBRE_2025[[#This Row],[META]]</f>
        <v>1.5629859154929577</v>
      </c>
      <c r="E22" s="36" t="s">
        <v>2</v>
      </c>
      <c r="F22" t="s">
        <v>42</v>
      </c>
      <c r="G22" s="3">
        <v>55486</v>
      </c>
      <c r="H22" t="s">
        <v>433</v>
      </c>
      <c r="I22" s="57">
        <v>45399</v>
      </c>
      <c r="J22" s="57" t="s">
        <v>521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7</v>
      </c>
      <c r="B23" s="35" t="s">
        <v>114</v>
      </c>
      <c r="C23" s="37">
        <f>VLOOKUP(D1_DICIEMBRE_2025[[#This Row],[SUPER]],DATA_DICIEMBRE_2025[[SUPERVISOR]:[META]],3,0)</f>
        <v>21000</v>
      </c>
      <c r="D23" s="36">
        <f>D1_DICIEMBRE_2025[[#This Row],[RECUPERO]]/D1_DICIEMBRE_2025[[#This Row],[META]]</f>
        <v>0.54861904761904767</v>
      </c>
      <c r="E23" s="36" t="s">
        <v>7</v>
      </c>
      <c r="F23" t="s">
        <v>114</v>
      </c>
      <c r="G23" s="3">
        <v>11521</v>
      </c>
      <c r="H23" t="s">
        <v>508</v>
      </c>
      <c r="I23" s="57">
        <v>45917</v>
      </c>
      <c r="J23" s="57" t="s">
        <v>521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4</v>
      </c>
      <c r="B24" s="35" t="s">
        <v>57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0.11711711711711711</v>
      </c>
      <c r="E24" s="36" t="s">
        <v>4</v>
      </c>
      <c r="F24" t="s">
        <v>57</v>
      </c>
      <c r="G24" s="3">
        <v>6500</v>
      </c>
      <c r="H24" t="s">
        <v>461</v>
      </c>
      <c r="I24" s="57">
        <v>45590</v>
      </c>
      <c r="J24" s="57" t="s">
        <v>521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7</v>
      </c>
      <c r="B25" s="35" t="s">
        <v>49</v>
      </c>
      <c r="C25" s="37">
        <f>VLOOKUP(D1_DICIEMBRE_2025[[#This Row],[SUPER]],DATA_DICIEMBRE_2025[[SUPERVISOR]:[META]],3,0)</f>
        <v>21000</v>
      </c>
      <c r="D25" s="36">
        <f>D1_DICIEMBRE_2025[[#This Row],[RECUPERO]]/D1_DICIEMBRE_2025[[#This Row],[META]]</f>
        <v>2.255095238095238</v>
      </c>
      <c r="E25" s="36" t="s">
        <v>7</v>
      </c>
      <c r="F25" t="s">
        <v>49</v>
      </c>
      <c r="G25" s="3">
        <v>47357</v>
      </c>
      <c r="H25" t="s">
        <v>454</v>
      </c>
      <c r="I25" s="57">
        <v>42814</v>
      </c>
      <c r="J25" s="57" t="s">
        <v>521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6</v>
      </c>
      <c r="B26" s="35" t="s">
        <v>26</v>
      </c>
      <c r="C26" s="37">
        <f>VLOOKUP(D1_DICIEMBRE_2025[[#This Row],[SUPER]],DATA_DICIEMBRE_2025[[SUPERVISOR]:[META]],3,0)</f>
        <v>29000</v>
      </c>
      <c r="D26" s="36">
        <f>D1_DICIEMBRE_2025[[#This Row],[RECUPERO]]/D1_DICIEMBRE_2025[[#This Row],[META]]</f>
        <v>2.3176896551724138</v>
      </c>
      <c r="E26" s="36" t="s">
        <v>6</v>
      </c>
      <c r="F26" t="s">
        <v>26</v>
      </c>
      <c r="G26" s="3">
        <v>67213</v>
      </c>
      <c r="H26" t="s">
        <v>409</v>
      </c>
      <c r="I26" s="57">
        <v>44259</v>
      </c>
      <c r="J26" s="57" t="s">
        <v>521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4</v>
      </c>
      <c r="B27" s="35" t="s">
        <v>122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0.95873873873873872</v>
      </c>
      <c r="E27" s="36" t="s">
        <v>4</v>
      </c>
      <c r="F27" t="s">
        <v>122</v>
      </c>
      <c r="G27" s="3">
        <v>53210</v>
      </c>
      <c r="H27" t="s">
        <v>444</v>
      </c>
      <c r="I27" s="57">
        <v>45082</v>
      </c>
      <c r="J27" s="57" t="s">
        <v>521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455</v>
      </c>
      <c r="I28" s="57">
        <v>45671</v>
      </c>
      <c r="J28" s="57" t="s">
        <v>521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65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0.40906306306306306</v>
      </c>
      <c r="E29" s="36" t="s">
        <v>3</v>
      </c>
      <c r="F29" t="s">
        <v>65</v>
      </c>
      <c r="G29" s="3">
        <v>22703</v>
      </c>
      <c r="H29" t="s">
        <v>456</v>
      </c>
      <c r="I29" s="57">
        <v>45021</v>
      </c>
      <c r="J29" s="57" t="s">
        <v>521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6</v>
      </c>
      <c r="B30" s="35" t="s">
        <v>37</v>
      </c>
      <c r="C30" s="37">
        <f>VLOOKUP(D1_DICIEMBRE_2025[[#This Row],[SUPER]],DATA_DICIEMBRE_2025[[SUPERVISOR]:[META]],3,0)</f>
        <v>29000</v>
      </c>
      <c r="D30" s="36">
        <f>D1_DICIEMBRE_2025[[#This Row],[RECUPERO]]/D1_DICIEMBRE_2025[[#This Row],[META]]</f>
        <v>1.4053448275862068</v>
      </c>
      <c r="E30" s="36" t="s">
        <v>6</v>
      </c>
      <c r="F30" t="s">
        <v>37</v>
      </c>
      <c r="G30" s="3">
        <v>40755</v>
      </c>
      <c r="H30" t="s">
        <v>418</v>
      </c>
      <c r="I30" s="57">
        <v>43132</v>
      </c>
      <c r="J30" s="57" t="s">
        <v>521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7</v>
      </c>
      <c r="B31" s="35" t="s">
        <v>77</v>
      </c>
      <c r="C31" s="37">
        <f>VLOOKUP(D1_DICIEMBRE_2025[[#This Row],[SUPER]],DATA_DICIEMBRE_2025[[SUPERVISOR]:[META]],3,0)</f>
        <v>21000</v>
      </c>
      <c r="D31" s="36">
        <f>D1_DICIEMBRE_2025[[#This Row],[RECUPERO]]/D1_DICIEMBRE_2025[[#This Row],[META]]</f>
        <v>1.7203766666666669</v>
      </c>
      <c r="E31" s="36" t="s">
        <v>7</v>
      </c>
      <c r="F31" t="s">
        <v>77</v>
      </c>
      <c r="G31" s="3">
        <v>36127.910000000003</v>
      </c>
      <c r="H31" t="s">
        <v>411</v>
      </c>
      <c r="I31" s="57">
        <v>44840</v>
      </c>
      <c r="J31" s="57" t="s">
        <v>521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6</v>
      </c>
      <c r="B32" s="35" t="s">
        <v>35</v>
      </c>
      <c r="C32" s="37">
        <f>VLOOKUP(D1_DICIEMBRE_2025[[#This Row],[SUPER]],DATA_DICIEMBRE_2025[[SUPERVISOR]:[META]],3,0)</f>
        <v>29000</v>
      </c>
      <c r="D32" s="36">
        <f>D1_DICIEMBRE_2025[[#This Row],[RECUPERO]]/D1_DICIEMBRE_2025[[#This Row],[META]]</f>
        <v>1.306948275862069</v>
      </c>
      <c r="E32" s="36" t="s">
        <v>6</v>
      </c>
      <c r="F32" t="s">
        <v>35</v>
      </c>
      <c r="G32" s="3">
        <v>37901.5</v>
      </c>
      <c r="H32" t="s">
        <v>419</v>
      </c>
      <c r="I32" s="57">
        <v>44748</v>
      </c>
      <c r="J32" s="57" t="s">
        <v>521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6</v>
      </c>
      <c r="B33" s="35" t="s">
        <v>50</v>
      </c>
      <c r="C33" s="37">
        <f>VLOOKUP(D1_DICIEMBRE_2025[[#This Row],[SUPER]],DATA_DICIEMBRE_2025[[SUPERVISOR]:[META]],3,0)</f>
        <v>29000</v>
      </c>
      <c r="D33" s="36">
        <f>D1_DICIEMBRE_2025[[#This Row],[RECUPERO]]/D1_DICIEMBRE_2025[[#This Row],[META]]</f>
        <v>1.577</v>
      </c>
      <c r="E33" s="36" t="s">
        <v>6</v>
      </c>
      <c r="F33" t="s">
        <v>50</v>
      </c>
      <c r="G33" s="3">
        <v>45733</v>
      </c>
      <c r="H33" t="s">
        <v>420</v>
      </c>
      <c r="I33" s="57">
        <v>45523</v>
      </c>
      <c r="J33" s="57" t="s">
        <v>521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3</v>
      </c>
      <c r="B34" s="35" t="s">
        <v>33</v>
      </c>
      <c r="C34" s="37">
        <f>VLOOKUP(D1_DICIEMBRE_2025[[#This Row],[SUPER]],DATA_DICIEMBRE_2025[[SUPERVISOR]:[META]],3,0)</f>
        <v>55500</v>
      </c>
      <c r="D34" s="36">
        <f>D1_DICIEMBRE_2025[[#This Row],[RECUPERO]]/D1_DICIEMBRE_2025[[#This Row],[META]]</f>
        <v>0.71255855855855854</v>
      </c>
      <c r="E34" s="36" t="s">
        <v>3</v>
      </c>
      <c r="F34" t="s">
        <v>33</v>
      </c>
      <c r="G34" s="3">
        <v>39547</v>
      </c>
      <c r="H34" t="s">
        <v>457</v>
      </c>
      <c r="I34" s="57">
        <v>44869</v>
      </c>
      <c r="J34" s="57" t="s">
        <v>521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3</v>
      </c>
      <c r="B35" s="35" t="s">
        <v>23</v>
      </c>
      <c r="C35" s="37">
        <f>VLOOKUP(D1_DICIEMBRE_2025[[#This Row],[SUPER]],DATA_DICIEMBRE_2025[[SUPERVISOR]:[META]],3,0)</f>
        <v>55500</v>
      </c>
      <c r="D35" s="36">
        <f>D1_DICIEMBRE_2025[[#This Row],[RECUPERO]]/D1_DICIEMBRE_2025[[#This Row],[META]]</f>
        <v>2.2284684684684684</v>
      </c>
      <c r="E35" s="36" t="s">
        <v>3</v>
      </c>
      <c r="F35" t="s">
        <v>23</v>
      </c>
      <c r="G35" s="3">
        <v>123680</v>
      </c>
      <c r="H35" t="s">
        <v>463</v>
      </c>
      <c r="I35" s="57">
        <v>44111</v>
      </c>
      <c r="J35" s="57" t="s">
        <v>521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68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1.9508732394366197</v>
      </c>
      <c r="E36" s="36" t="s">
        <v>2</v>
      </c>
      <c r="F36" t="s">
        <v>68</v>
      </c>
      <c r="G36" s="3">
        <v>69256</v>
      </c>
      <c r="H36" t="s">
        <v>458</v>
      </c>
      <c r="I36" s="57">
        <v>45364</v>
      </c>
      <c r="J36" s="57" t="s">
        <v>521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3</v>
      </c>
      <c r="B37" s="35" t="s">
        <v>31</v>
      </c>
      <c r="C37" s="37">
        <f>VLOOKUP(D1_DICIEMBRE_2025[[#This Row],[SUPER]],DATA_DICIEMBRE_2025[[SUPERVISOR]:[META]],3,0)</f>
        <v>55500</v>
      </c>
      <c r="D37" s="36">
        <f>D1_DICIEMBRE_2025[[#This Row],[RECUPERO]]/D1_DICIEMBRE_2025[[#This Row],[META]]</f>
        <v>1.1853333333333333</v>
      </c>
      <c r="E37" s="36" t="s">
        <v>3</v>
      </c>
      <c r="F37" t="s">
        <v>31</v>
      </c>
      <c r="G37" s="3">
        <v>65786</v>
      </c>
      <c r="H37" t="s">
        <v>421</v>
      </c>
      <c r="I37" s="57">
        <v>45334</v>
      </c>
      <c r="J37" s="57" t="s">
        <v>521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29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1.0459971830985917</v>
      </c>
      <c r="E38" s="36" t="s">
        <v>2</v>
      </c>
      <c r="F38" t="s">
        <v>29</v>
      </c>
      <c r="G38" s="3">
        <v>37132.9</v>
      </c>
      <c r="H38" t="s">
        <v>434</v>
      </c>
      <c r="I38" s="57">
        <v>44687</v>
      </c>
      <c r="J38" s="57" t="s">
        <v>521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25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1.4267605633802818</v>
      </c>
      <c r="E39" s="36" t="s">
        <v>2</v>
      </c>
      <c r="F39" t="s">
        <v>25</v>
      </c>
      <c r="G39" s="3">
        <v>50650</v>
      </c>
      <c r="H39" t="s">
        <v>464</v>
      </c>
      <c r="I39" s="57">
        <v>44820</v>
      </c>
      <c r="J39" s="57" t="s">
        <v>521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3</v>
      </c>
      <c r="B40" s="35" t="s">
        <v>17</v>
      </c>
      <c r="C40" s="37">
        <f>VLOOKUP(D1_DICIEMBRE_2025[[#This Row],[SUPER]],DATA_DICIEMBRE_2025[[SUPERVISOR]:[META]],3,0)</f>
        <v>55500</v>
      </c>
      <c r="D40" s="36">
        <f>D1_DICIEMBRE_2025[[#This Row],[RECUPERO]]/D1_DICIEMBRE_2025[[#This Row],[META]]</f>
        <v>0.82893747747747748</v>
      </c>
      <c r="E40" s="36" t="s">
        <v>3</v>
      </c>
      <c r="F40" t="s">
        <v>17</v>
      </c>
      <c r="G40" s="3">
        <v>46006.03</v>
      </c>
      <c r="H40" t="s">
        <v>403</v>
      </c>
      <c r="I40" s="57">
        <v>44888</v>
      </c>
      <c r="J40" s="57" t="s">
        <v>521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2</v>
      </c>
      <c r="B41" s="35" t="s">
        <v>38</v>
      </c>
      <c r="C41" s="37">
        <f>VLOOKUP(D1_DICIEMBRE_2025[[#This Row],[SUPER]],DATA_DICIEMBRE_2025[[SUPERVISOR]:[META]],3,0)</f>
        <v>35500</v>
      </c>
      <c r="D41" s="36">
        <f>D1_DICIEMBRE_2025[[#This Row],[RECUPERO]]/D1_DICIEMBRE_2025[[#This Row],[META]]</f>
        <v>2.0112394366197184</v>
      </c>
      <c r="E41" s="36" t="s">
        <v>2</v>
      </c>
      <c r="F41" t="s">
        <v>38</v>
      </c>
      <c r="G41" s="3">
        <v>71399</v>
      </c>
      <c r="H41" t="s">
        <v>487</v>
      </c>
      <c r="I41" s="57">
        <v>45805</v>
      </c>
      <c r="J41" s="57" t="s">
        <v>521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4</v>
      </c>
      <c r="B42" s="35" t="s">
        <v>75</v>
      </c>
      <c r="C42" s="37">
        <f>VLOOKUP(D1_DICIEMBRE_2025[[#This Row],[SUPER]],DATA_DICIEMBRE_2025[[SUPERVISOR]:[META]],3,0)</f>
        <v>55500</v>
      </c>
      <c r="D42" s="36">
        <f>D1_DICIEMBRE_2025[[#This Row],[RECUPERO]]/D1_DICIEMBRE_2025[[#This Row],[META]]</f>
        <v>2.4242702702702701</v>
      </c>
      <c r="E42" s="36" t="s">
        <v>4</v>
      </c>
      <c r="F42" t="s">
        <v>75</v>
      </c>
      <c r="G42" s="3">
        <v>134547</v>
      </c>
      <c r="H42" t="s">
        <v>446</v>
      </c>
      <c r="I42" s="57">
        <v>44716</v>
      </c>
      <c r="J42" s="57" t="s">
        <v>521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4</v>
      </c>
      <c r="B43" s="35" t="s">
        <v>55</v>
      </c>
      <c r="C43" s="37">
        <f>VLOOKUP(D1_DICIEMBRE_2025[[#This Row],[SUPER]],DATA_DICIEMBRE_2025[[SUPERVISOR]:[META]],3,0)</f>
        <v>55500</v>
      </c>
      <c r="D43" s="36">
        <f>D1_DICIEMBRE_2025[[#This Row],[RECUPERO]]/D1_DICIEMBRE_2025[[#This Row],[META]]</f>
        <v>0.14584828828828827</v>
      </c>
      <c r="E43" s="36" t="s">
        <v>4</v>
      </c>
      <c r="F43" t="s">
        <v>55</v>
      </c>
      <c r="G43" s="3">
        <v>8094.58</v>
      </c>
      <c r="H43" t="s">
        <v>493</v>
      </c>
      <c r="I43" s="57">
        <v>45818</v>
      </c>
      <c r="J43" s="57" t="s">
        <v>521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6</v>
      </c>
      <c r="B44" s="35" t="s">
        <v>11</v>
      </c>
      <c r="C44" s="37">
        <f>VLOOKUP(D1_DICIEMBRE_2025[[#This Row],[SUPER]],DATA_DICIEMBRE_2025[[SUPERVISOR]:[META]],3,0)</f>
        <v>29000</v>
      </c>
      <c r="D44" s="36">
        <f>D1_DICIEMBRE_2025[[#This Row],[RECUPERO]]/D1_DICIEMBRE_2025[[#This Row],[META]]</f>
        <v>1.6536551724137931</v>
      </c>
      <c r="E44" s="36" t="s">
        <v>6</v>
      </c>
      <c r="F44" t="s">
        <v>11</v>
      </c>
      <c r="G44" s="3">
        <v>47956</v>
      </c>
      <c r="H44" t="s">
        <v>447</v>
      </c>
      <c r="I44" s="57">
        <v>45371</v>
      </c>
      <c r="J44" s="57" t="s">
        <v>521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2</v>
      </c>
      <c r="B45" s="35" t="s">
        <v>79</v>
      </c>
      <c r="C45" s="37">
        <f>VLOOKUP(D1_DICIEMBRE_2025[[#This Row],[SUPER]],DATA_DICIEMBRE_2025[[SUPERVISOR]:[META]],3,0)</f>
        <v>35500</v>
      </c>
      <c r="D45" s="36">
        <f>D1_DICIEMBRE_2025[[#This Row],[RECUPERO]]/D1_DICIEMBRE_2025[[#This Row],[META]]</f>
        <v>1.0040360563380282</v>
      </c>
      <c r="E45" s="36" t="s">
        <v>2</v>
      </c>
      <c r="F45" t="s">
        <v>79</v>
      </c>
      <c r="G45" s="3">
        <v>35643.279999999999</v>
      </c>
      <c r="H45" t="s">
        <v>471</v>
      </c>
      <c r="I45" s="57">
        <v>44566</v>
      </c>
      <c r="J45" s="57" t="s">
        <v>521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97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1.8461904761904762</v>
      </c>
      <c r="E46" s="36" t="s">
        <v>7</v>
      </c>
      <c r="F46" t="s">
        <v>97</v>
      </c>
      <c r="G46" s="3">
        <v>38770</v>
      </c>
      <c r="H46" t="s">
        <v>503</v>
      </c>
      <c r="I46" s="57">
        <v>45889</v>
      </c>
      <c r="J46" s="57" t="s">
        <v>521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4</v>
      </c>
      <c r="B47" s="35" t="s">
        <v>59</v>
      </c>
      <c r="C47" s="37">
        <f>VLOOKUP(D1_DICIEMBRE_2025[[#This Row],[SUPER]],DATA_DICIEMBRE_2025[[SUPERVISOR]:[META]],3,0)</f>
        <v>55500</v>
      </c>
      <c r="D47" s="36">
        <f>D1_DICIEMBRE_2025[[#This Row],[RECUPERO]]/D1_DICIEMBRE_2025[[#This Row],[META]]</f>
        <v>1.4183243243243244</v>
      </c>
      <c r="E47" s="36" t="s">
        <v>4</v>
      </c>
      <c r="F47" t="s">
        <v>59</v>
      </c>
      <c r="G47" s="3">
        <v>78717</v>
      </c>
      <c r="H47" t="s">
        <v>448</v>
      </c>
      <c r="I47" s="57">
        <v>45348</v>
      </c>
      <c r="J47" s="57" t="s">
        <v>521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73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0.84423809523809523</v>
      </c>
      <c r="E48" s="36" t="s">
        <v>7</v>
      </c>
      <c r="F48" t="s">
        <v>73</v>
      </c>
      <c r="G48" s="3">
        <v>17729</v>
      </c>
      <c r="H48" t="s">
        <v>438</v>
      </c>
      <c r="I48" s="57">
        <v>45145</v>
      </c>
      <c r="J48" s="57" t="s">
        <v>521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6</v>
      </c>
      <c r="B49" s="35" t="s">
        <v>34</v>
      </c>
      <c r="C49" s="37">
        <f>VLOOKUP(D1_DICIEMBRE_2025[[#This Row],[SUPER]],DATA_DICIEMBRE_2025[[SUPERVISOR]:[META]],3,0)</f>
        <v>29000</v>
      </c>
      <c r="D49" s="36">
        <f>D1_DICIEMBRE_2025[[#This Row],[RECUPERO]]/D1_DICIEMBRE_2025[[#This Row],[META]]</f>
        <v>1.5746724137931034</v>
      </c>
      <c r="E49" s="36" t="s">
        <v>6</v>
      </c>
      <c r="F49" t="s">
        <v>34</v>
      </c>
      <c r="G49" s="3">
        <v>45665.5</v>
      </c>
      <c r="H49" t="s">
        <v>425</v>
      </c>
      <c r="I49" s="57">
        <v>45175</v>
      </c>
      <c r="J49" s="57" t="s">
        <v>521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2</v>
      </c>
      <c r="B50" s="35" t="s">
        <v>78</v>
      </c>
      <c r="C50" s="37">
        <f>VLOOKUP(D1_DICIEMBRE_2025[[#This Row],[SUPER]],DATA_DICIEMBRE_2025[[SUPERVISOR]:[META]],3,0)</f>
        <v>35500</v>
      </c>
      <c r="D50" s="36">
        <f>D1_DICIEMBRE_2025[[#This Row],[RECUPERO]]/D1_DICIEMBRE_2025[[#This Row],[META]]</f>
        <v>1.5675774647887324</v>
      </c>
      <c r="E50" s="36" t="s">
        <v>2</v>
      </c>
      <c r="F50" t="s">
        <v>78</v>
      </c>
      <c r="G50" s="3">
        <v>55649</v>
      </c>
      <c r="H50" t="s">
        <v>415</v>
      </c>
      <c r="I50" s="57">
        <v>44945</v>
      </c>
      <c r="J50" s="57" t="s">
        <v>521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48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1.0720000000000001</v>
      </c>
      <c r="E51" s="36" t="s">
        <v>7</v>
      </c>
      <c r="F51" t="s">
        <v>48</v>
      </c>
      <c r="G51" s="3">
        <v>22512</v>
      </c>
      <c r="H51" t="s">
        <v>439</v>
      </c>
      <c r="I51" s="57">
        <v>44748</v>
      </c>
      <c r="J51" s="57" t="s">
        <v>521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4</v>
      </c>
      <c r="B52" s="35" t="s">
        <v>10</v>
      </c>
      <c r="C52" s="37">
        <f>VLOOKUP(D1_DICIEMBRE_2025[[#This Row],[SUPER]],DATA_DICIEMBRE_2025[[SUPERVISOR]:[META]],3,0)</f>
        <v>55500</v>
      </c>
      <c r="D52" s="36">
        <f>D1_DICIEMBRE_2025[[#This Row],[RECUPERO]]/D1_DICIEMBRE_2025[[#This Row],[META]]</f>
        <v>1.0522655855855856</v>
      </c>
      <c r="E52" s="36" t="s">
        <v>4</v>
      </c>
      <c r="F52" t="s">
        <v>10</v>
      </c>
      <c r="G52" s="3">
        <v>58400.74</v>
      </c>
      <c r="H52" t="s">
        <v>467</v>
      </c>
      <c r="I52" s="57">
        <v>44706</v>
      </c>
      <c r="J52" s="57" t="s">
        <v>521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2</v>
      </c>
      <c r="B53" s="35" t="s">
        <v>76</v>
      </c>
      <c r="C53" s="37">
        <f>VLOOKUP(D1_DICIEMBRE_2025[[#This Row],[SUPER]],DATA_DICIEMBRE_2025[[SUPERVISOR]:[META]],3,0)</f>
        <v>35500</v>
      </c>
      <c r="D53" s="36">
        <f>D1_DICIEMBRE_2025[[#This Row],[RECUPERO]]/D1_DICIEMBRE_2025[[#This Row],[META]]</f>
        <v>2.468434366197183</v>
      </c>
      <c r="E53" s="36" t="s">
        <v>2</v>
      </c>
      <c r="F53" t="s">
        <v>76</v>
      </c>
      <c r="G53" s="3">
        <v>87629.42</v>
      </c>
      <c r="H53" t="s">
        <v>426</v>
      </c>
      <c r="I53" s="57">
        <v>44819</v>
      </c>
      <c r="J53" s="57" t="s">
        <v>521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E18" sqref="E1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580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D1_ENERO_2026[[#This Row],[SUPER2]]</f>
        <v>JOHAN</v>
      </c>
      <c r="B3" s="66" t="str">
        <f>D1_ENERO_2026[[#This Row],[ASESOR]]</f>
        <v>JANETH PORTOCARRERO</v>
      </c>
      <c r="C3" s="67" t="s">
        <v>569</v>
      </c>
      <c r="D3" s="67">
        <v>0</v>
      </c>
      <c r="E3" s="67" t="s">
        <v>125</v>
      </c>
      <c r="F3" s="66" t="s">
        <v>49</v>
      </c>
      <c r="G3" s="66"/>
      <c r="H3" s="70" t="s">
        <v>454</v>
      </c>
      <c r="I3" s="68">
        <v>43313</v>
      </c>
      <c r="J3" s="68" t="s">
        <v>520</v>
      </c>
      <c r="K3" s="65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7" t="str">
        <f>D1_ENERO_2026[[#This Row],[SUPER2]]</f>
        <v>MELINA</v>
      </c>
      <c r="B4" s="66" t="str">
        <f>D1_ENERO_2026[[#This Row],[ASESOR]]</f>
        <v>CRISTINA TICONA</v>
      </c>
      <c r="C4" s="67" t="s">
        <v>569</v>
      </c>
      <c r="D4" s="67">
        <v>0</v>
      </c>
      <c r="E4" s="67" t="s">
        <v>4</v>
      </c>
      <c r="F4" s="66" t="s">
        <v>61</v>
      </c>
      <c r="G4" s="66"/>
      <c r="H4" s="70" t="s">
        <v>429</v>
      </c>
      <c r="I4" s="68">
        <v>44907</v>
      </c>
      <c r="J4" s="68" t="s">
        <v>520</v>
      </c>
      <c r="K4" s="65"/>
      <c r="L4" s="57"/>
      <c r="N4" s="5"/>
    </row>
    <row r="5" spans="1:87" x14ac:dyDescent="0.25">
      <c r="A5" s="67" t="str">
        <f>D1_ENERO_2026[[#This Row],[SUPER2]]</f>
        <v>SANDY</v>
      </c>
      <c r="B5" s="66" t="str">
        <f>D1_ENERO_2026[[#This Row],[ASESOR]]</f>
        <v>EVELY TENORIO</v>
      </c>
      <c r="C5" s="67" t="s">
        <v>569</v>
      </c>
      <c r="D5" s="67">
        <v>0</v>
      </c>
      <c r="E5" s="67" t="s">
        <v>3</v>
      </c>
      <c r="F5" s="66" t="s">
        <v>22</v>
      </c>
      <c r="G5" s="66"/>
      <c r="H5" s="70" t="s">
        <v>460</v>
      </c>
      <c r="I5" s="68">
        <v>45295</v>
      </c>
      <c r="J5" s="68" t="s">
        <v>520</v>
      </c>
      <c r="K5" s="65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449</v>
      </c>
      <c r="I6" s="65">
        <v>45132</v>
      </c>
      <c r="J6" s="65" t="s">
        <v>521</v>
      </c>
      <c r="K6" s="65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459</v>
      </c>
      <c r="I7" s="65">
        <v>43119</v>
      </c>
      <c r="J7" s="65" t="s">
        <v>521</v>
      </c>
      <c r="K7" s="65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440</v>
      </c>
      <c r="I8" s="65">
        <v>46024</v>
      </c>
      <c r="J8" s="65" t="s">
        <v>521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553</v>
      </c>
      <c r="T8" s="14" t="s">
        <v>523</v>
      </c>
      <c r="U8" s="14" t="s">
        <v>545</v>
      </c>
      <c r="V8" s="14" t="s">
        <v>549</v>
      </c>
      <c r="W8" s="14" t="s">
        <v>524</v>
      </c>
      <c r="X8" s="14" t="s">
        <v>525</v>
      </c>
      <c r="Y8" s="14" t="s">
        <v>526</v>
      </c>
      <c r="Z8" s="14" t="s">
        <v>527</v>
      </c>
      <c r="AA8" s="14" t="s">
        <v>528</v>
      </c>
      <c r="AB8" s="14" t="s">
        <v>546</v>
      </c>
      <c r="AC8" s="14" t="s">
        <v>550</v>
      </c>
      <c r="AD8" s="14" t="s">
        <v>529</v>
      </c>
      <c r="AE8" s="14" t="s">
        <v>530</v>
      </c>
      <c r="AF8" s="14" t="s">
        <v>531</v>
      </c>
      <c r="AG8" s="14" t="s">
        <v>532</v>
      </c>
      <c r="AH8" s="14" t="s">
        <v>533</v>
      </c>
      <c r="AI8" s="14" t="s">
        <v>547</v>
      </c>
      <c r="AJ8" s="14" t="s">
        <v>551</v>
      </c>
      <c r="AK8" s="14" t="s">
        <v>534</v>
      </c>
      <c r="AL8" s="14" t="s">
        <v>535</v>
      </c>
      <c r="AM8" s="14" t="s">
        <v>536</v>
      </c>
      <c r="AN8" s="14" t="s">
        <v>537</v>
      </c>
      <c r="AO8" s="14" t="s">
        <v>538</v>
      </c>
      <c r="AP8" s="14" t="s">
        <v>548</v>
      </c>
      <c r="AQ8" s="14" t="s">
        <v>552</v>
      </c>
      <c r="AR8" s="14" t="s">
        <v>539</v>
      </c>
      <c r="AS8" s="14" t="s">
        <v>540</v>
      </c>
      <c r="AT8" s="14" t="s">
        <v>541</v>
      </c>
      <c r="AU8" s="14" t="s">
        <v>542</v>
      </c>
      <c r="AV8" s="14" t="s">
        <v>543</v>
      </c>
      <c r="AW8" s="14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553</v>
      </c>
      <c r="BE8" s="20" t="s">
        <v>523</v>
      </c>
      <c r="BF8" s="20" t="s">
        <v>545</v>
      </c>
      <c r="BG8" s="20" t="s">
        <v>549</v>
      </c>
      <c r="BH8" s="20" t="s">
        <v>524</v>
      </c>
      <c r="BI8" s="20" t="s">
        <v>525</v>
      </c>
      <c r="BJ8" s="20" t="s">
        <v>526</v>
      </c>
      <c r="BK8" s="20" t="s">
        <v>527</v>
      </c>
      <c r="BL8" s="20" t="s">
        <v>528</v>
      </c>
      <c r="BM8" s="20" t="s">
        <v>546</v>
      </c>
      <c r="BN8" s="20" t="s">
        <v>550</v>
      </c>
      <c r="BO8" s="20" t="s">
        <v>529</v>
      </c>
      <c r="BP8" s="20" t="s">
        <v>530</v>
      </c>
      <c r="BQ8" s="20" t="s">
        <v>531</v>
      </c>
      <c r="BR8" s="20" t="s">
        <v>532</v>
      </c>
      <c r="BS8" s="20" t="s">
        <v>533</v>
      </c>
      <c r="BT8" s="20" t="s">
        <v>547</v>
      </c>
      <c r="BU8" s="20" t="s">
        <v>551</v>
      </c>
      <c r="BV8" s="20" t="s">
        <v>534</v>
      </c>
      <c r="BW8" s="20" t="s">
        <v>535</v>
      </c>
      <c r="BX8" s="20" t="s">
        <v>536</v>
      </c>
      <c r="BY8" s="20" t="s">
        <v>537</v>
      </c>
      <c r="BZ8" s="20" t="s">
        <v>538</v>
      </c>
      <c r="CA8" s="20" t="s">
        <v>548</v>
      </c>
      <c r="CB8" s="20" t="s">
        <v>552</v>
      </c>
      <c r="CC8" s="20" t="s">
        <v>539</v>
      </c>
      <c r="CD8" s="20" t="s">
        <v>540</v>
      </c>
      <c r="CE8" s="20" t="s">
        <v>541</v>
      </c>
      <c r="CF8" s="20" t="s">
        <v>542</v>
      </c>
      <c r="CG8" s="20" t="s">
        <v>543</v>
      </c>
      <c r="CH8" s="20" t="s">
        <v>544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441</v>
      </c>
      <c r="I9" s="65">
        <v>45854</v>
      </c>
      <c r="J9" s="65" t="s">
        <v>521</v>
      </c>
      <c r="K9" s="65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428</v>
      </c>
      <c r="I10" s="65">
        <v>44733</v>
      </c>
      <c r="J10" s="65" t="s">
        <v>521</v>
      </c>
      <c r="K10" s="65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510</v>
      </c>
      <c r="I11" s="65">
        <v>45992</v>
      </c>
      <c r="J11" s="65" t="s">
        <v>521</v>
      </c>
      <c r="K11" s="65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417</v>
      </c>
      <c r="I12" s="65">
        <v>44671</v>
      </c>
      <c r="J12" s="65" t="s">
        <v>521</v>
      </c>
      <c r="K12" s="65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405</v>
      </c>
      <c r="I13" s="65">
        <v>45302</v>
      </c>
      <c r="J13" s="65" t="s">
        <v>521</v>
      </c>
      <c r="K13" s="65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451</v>
      </c>
      <c r="I14" s="65">
        <v>45281</v>
      </c>
      <c r="J14" s="65" t="s">
        <v>521</v>
      </c>
      <c r="K14" s="65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442</v>
      </c>
      <c r="I15" s="65">
        <v>45433</v>
      </c>
      <c r="J15" s="65" t="s">
        <v>521</v>
      </c>
      <c r="K15" s="65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443</v>
      </c>
      <c r="I16" s="65">
        <v>45511</v>
      </c>
      <c r="J16" s="65" t="s">
        <v>521</v>
      </c>
      <c r="K16" s="65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395</v>
      </c>
      <c r="G17" s="37">
        <v>6131</v>
      </c>
      <c r="H17" s="35" t="s">
        <v>554</v>
      </c>
      <c r="I17" s="65">
        <v>46038</v>
      </c>
      <c r="J17" s="65" t="s">
        <v>521</v>
      </c>
      <c r="K17" s="65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7">
        <v>15422</v>
      </c>
      <c r="H18" s="35" t="s">
        <v>468</v>
      </c>
      <c r="I18" s="65">
        <v>45691</v>
      </c>
      <c r="J18" s="57" t="s">
        <v>521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7">
        <v>47195</v>
      </c>
      <c r="H19" s="35" t="s">
        <v>452</v>
      </c>
      <c r="I19" s="65">
        <v>45334</v>
      </c>
      <c r="J19" s="57" t="s">
        <v>521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7">
        <v>40730</v>
      </c>
      <c r="H20" s="35" t="s">
        <v>481</v>
      </c>
      <c r="I20" s="65">
        <v>46027</v>
      </c>
      <c r="J20" s="57" t="s">
        <v>521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395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7">
        <v>39010</v>
      </c>
      <c r="H21" s="35" t="s">
        <v>407</v>
      </c>
      <c r="I21" s="65">
        <v>44868</v>
      </c>
      <c r="J21" s="57" t="s">
        <v>521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7">
        <v>25273</v>
      </c>
      <c r="H22" s="35" t="s">
        <v>431</v>
      </c>
      <c r="I22" s="65">
        <v>45678</v>
      </c>
      <c r="J22" s="57" t="s">
        <v>521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7">
        <v>62172.5</v>
      </c>
      <c r="H23" s="35" t="s">
        <v>400</v>
      </c>
      <c r="I23" s="65">
        <v>44809</v>
      </c>
      <c r="J23" s="57" t="s">
        <v>521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7">
        <v>90780</v>
      </c>
      <c r="H24" s="35" t="s">
        <v>408</v>
      </c>
      <c r="I24" s="65">
        <v>45526</v>
      </c>
      <c r="J24" s="57" t="s">
        <v>521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7">
        <v>30478.13</v>
      </c>
      <c r="H25" s="35" t="s">
        <v>433</v>
      </c>
      <c r="I25" s="65">
        <v>45398</v>
      </c>
      <c r="J25" s="57" t="s">
        <v>521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7">
        <v>44386</v>
      </c>
      <c r="H26" s="35" t="s">
        <v>409</v>
      </c>
      <c r="I26" s="65">
        <v>44257</v>
      </c>
      <c r="J26" s="57" t="s">
        <v>521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7">
        <v>33765</v>
      </c>
      <c r="H27" s="35" t="s">
        <v>444</v>
      </c>
      <c r="I27" s="65">
        <v>45971</v>
      </c>
      <c r="J27" s="57" t="s">
        <v>521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7">
        <v>61746</v>
      </c>
      <c r="H28" s="35" t="s">
        <v>455</v>
      </c>
      <c r="I28" s="65">
        <v>45882</v>
      </c>
      <c r="J28" s="57" t="s">
        <v>521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7">
        <v>35095</v>
      </c>
      <c r="H29" s="35" t="s">
        <v>456</v>
      </c>
      <c r="I29" s="65">
        <v>45019</v>
      </c>
      <c r="J29" s="57" t="s">
        <v>521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7">
        <v>6134</v>
      </c>
      <c r="H30" s="35" t="s">
        <v>418</v>
      </c>
      <c r="I30" s="65">
        <v>45112</v>
      </c>
      <c r="J30" s="57" t="s">
        <v>521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7">
        <v>45553.2</v>
      </c>
      <c r="H31" s="35" t="s">
        <v>411</v>
      </c>
      <c r="I31" s="65">
        <v>44838</v>
      </c>
      <c r="J31" s="57" t="s">
        <v>521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7">
        <v>11362.1</v>
      </c>
      <c r="H32" s="35" t="s">
        <v>419</v>
      </c>
      <c r="I32" s="65">
        <v>44746</v>
      </c>
      <c r="J32" s="57" t="s">
        <v>521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7">
        <v>35983</v>
      </c>
      <c r="H33" s="35" t="s">
        <v>420</v>
      </c>
      <c r="I33" s="65">
        <v>45789</v>
      </c>
      <c r="J33" s="57" t="s">
        <v>521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7">
        <v>26314</v>
      </c>
      <c r="H34" s="35" t="s">
        <v>457</v>
      </c>
      <c r="I34" s="65">
        <v>44867</v>
      </c>
      <c r="J34" s="57" t="s">
        <v>521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7">
        <v>70474.899999999994</v>
      </c>
      <c r="H35" s="35" t="s">
        <v>463</v>
      </c>
      <c r="I35" s="65">
        <v>44109</v>
      </c>
      <c r="J35" s="57" t="s">
        <v>521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7">
        <v>60366</v>
      </c>
      <c r="H36" s="35" t="s">
        <v>458</v>
      </c>
      <c r="I36" s="65">
        <v>45363</v>
      </c>
      <c r="J36" s="57" t="s">
        <v>521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7">
        <v>41734.050000000003</v>
      </c>
      <c r="H37" s="35" t="s">
        <v>421</v>
      </c>
      <c r="I37" s="65">
        <v>45334</v>
      </c>
      <c r="J37" s="57" t="s">
        <v>521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7">
        <v>28107.4</v>
      </c>
      <c r="H38" s="35" t="s">
        <v>434</v>
      </c>
      <c r="I38" s="65">
        <v>44685</v>
      </c>
      <c r="J38" s="57" t="s">
        <v>521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7">
        <v>52888</v>
      </c>
      <c r="H39" s="35" t="s">
        <v>464</v>
      </c>
      <c r="I39" s="65">
        <v>44818</v>
      </c>
      <c r="J39" s="57" t="s">
        <v>521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7">
        <v>36933</v>
      </c>
      <c r="H40" s="35" t="s">
        <v>403</v>
      </c>
      <c r="I40" s="65">
        <v>44886</v>
      </c>
      <c r="J40" s="57" t="s">
        <v>521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7">
        <v>28592</v>
      </c>
      <c r="H41" s="35" t="s">
        <v>556</v>
      </c>
      <c r="I41" s="65">
        <v>46029</v>
      </c>
      <c r="J41" s="57" t="s">
        <v>521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7">
        <v>51104</v>
      </c>
      <c r="H42" s="35" t="s">
        <v>487</v>
      </c>
      <c r="I42" s="65">
        <v>45800</v>
      </c>
      <c r="J42" s="57" t="s">
        <v>521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7">
        <v>59068</v>
      </c>
      <c r="H43" s="35" t="s">
        <v>446</v>
      </c>
      <c r="I43" s="65">
        <v>44714</v>
      </c>
      <c r="J43" s="57" t="s">
        <v>521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7">
        <v>26789</v>
      </c>
      <c r="H44" s="35" t="s">
        <v>555</v>
      </c>
      <c r="I44" s="65">
        <v>46024</v>
      </c>
      <c r="J44" s="57" t="s">
        <v>521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7">
        <v>11535</v>
      </c>
      <c r="H45" s="35" t="s">
        <v>493</v>
      </c>
      <c r="I45" s="65">
        <v>45813</v>
      </c>
      <c r="J45" s="57" t="s">
        <v>521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7">
        <v>38665</v>
      </c>
      <c r="H46" s="35" t="s">
        <v>447</v>
      </c>
      <c r="I46" s="65">
        <v>45369</v>
      </c>
      <c r="J46" s="57" t="s">
        <v>521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7">
        <v>29257</v>
      </c>
      <c r="H47" s="35" t="s">
        <v>471</v>
      </c>
      <c r="I47" s="65">
        <v>45145</v>
      </c>
      <c r="J47" s="57" t="s">
        <v>521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7">
        <v>28784</v>
      </c>
      <c r="H48" s="35" t="s">
        <v>503</v>
      </c>
      <c r="I48" s="65">
        <v>45884</v>
      </c>
      <c r="J48" s="57" t="s">
        <v>521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516</v>
      </c>
      <c r="G49" s="37">
        <v>14400</v>
      </c>
      <c r="H49" s="35" t="s">
        <v>518</v>
      </c>
      <c r="I49" s="65">
        <v>46041</v>
      </c>
      <c r="J49" s="57" t="s">
        <v>521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7">
        <v>98158</v>
      </c>
      <c r="H50" s="35" t="s">
        <v>448</v>
      </c>
      <c r="I50" s="65">
        <v>45344</v>
      </c>
      <c r="J50" s="57" t="s">
        <v>521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7">
        <v>17430</v>
      </c>
      <c r="H51" s="35" t="s">
        <v>438</v>
      </c>
      <c r="I51" s="65">
        <v>45141</v>
      </c>
      <c r="J51" s="57" t="s">
        <v>521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7">
        <v>45428</v>
      </c>
      <c r="H52" s="35" t="s">
        <v>425</v>
      </c>
      <c r="I52" s="65">
        <v>45173</v>
      </c>
      <c r="J52" s="57" t="s">
        <v>521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516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7">
        <v>16738</v>
      </c>
      <c r="H53" s="35" t="s">
        <v>415</v>
      </c>
      <c r="I53" s="65">
        <v>44943</v>
      </c>
      <c r="J53" s="57" t="s">
        <v>521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7">
        <v>25890</v>
      </c>
      <c r="H54" s="35" t="s">
        <v>439</v>
      </c>
      <c r="I54" s="65">
        <v>44746</v>
      </c>
      <c r="J54" s="57" t="s">
        <v>521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7">
        <v>64434</v>
      </c>
      <c r="H55" s="35" t="s">
        <v>467</v>
      </c>
      <c r="I55" s="65">
        <v>44704</v>
      </c>
      <c r="J55" s="57" t="s">
        <v>521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7">
        <v>54355</v>
      </c>
      <c r="H56" s="35" t="s">
        <v>426</v>
      </c>
      <c r="I56" s="65">
        <v>44817</v>
      </c>
      <c r="J56" s="57" t="s">
        <v>521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12" zoomScale="70" zoomScaleNormal="70" workbookViewId="0">
      <selection activeCell="C14" sqref="C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580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D1_FEBRERO_2026[[#This Row],[SUPER2]]</f>
        <v>GUSTAVO</v>
      </c>
      <c r="B3" s="66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7"/>
      <c r="D3" s="67"/>
      <c r="E3" s="67" t="s">
        <v>124</v>
      </c>
      <c r="F3" s="66" t="s">
        <v>41</v>
      </c>
      <c r="G3" s="66"/>
      <c r="H3" s="66" t="s">
        <v>405</v>
      </c>
      <c r="I3" s="68">
        <v>45302</v>
      </c>
      <c r="J3" s="68" t="s">
        <v>520</v>
      </c>
      <c r="K3" s="65"/>
      <c r="L3" s="57"/>
      <c r="M3" s="34">
        <v>2026</v>
      </c>
      <c r="N3" s="34" t="s">
        <v>140</v>
      </c>
      <c r="O3" s="34">
        <v>21</v>
      </c>
    </row>
    <row r="4" spans="1:87" x14ac:dyDescent="0.25">
      <c r="A4" s="67" t="str">
        <f>D1_FEBRERO_2026[[#This Row],[SUPER2]]</f>
        <v>SANDY</v>
      </c>
      <c r="B4" s="66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7"/>
      <c r="D4" s="67"/>
      <c r="E4" s="67" t="s">
        <v>3</v>
      </c>
      <c r="F4" s="66" t="s">
        <v>24</v>
      </c>
      <c r="G4" s="66"/>
      <c r="H4" s="66" t="s">
        <v>452</v>
      </c>
      <c r="I4" s="68">
        <v>45334</v>
      </c>
      <c r="J4" s="68" t="s">
        <v>520</v>
      </c>
      <c r="K4" s="65"/>
      <c r="L4" s="57"/>
      <c r="N4" s="5"/>
      <c r="S4" s="46"/>
    </row>
    <row r="5" spans="1:87" x14ac:dyDescent="0.25">
      <c r="A5" s="67" t="str">
        <f>D1_FEBRERO_2026[[#This Row],[SUPER2]]</f>
        <v>JORGE</v>
      </c>
      <c r="B5" s="66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7"/>
      <c r="D5" s="67"/>
      <c r="E5" s="67" t="s">
        <v>2</v>
      </c>
      <c r="F5" s="66" t="s">
        <v>68</v>
      </c>
      <c r="G5" s="66"/>
      <c r="H5" s="66" t="s">
        <v>458</v>
      </c>
      <c r="I5" s="68">
        <v>45363</v>
      </c>
      <c r="J5" s="68" t="s">
        <v>520</v>
      </c>
      <c r="K5" s="65"/>
      <c r="L5" s="57"/>
      <c r="N5" s="5"/>
      <c r="S5" s="46"/>
      <c r="BQ5" s="46"/>
    </row>
    <row r="6" spans="1:87" x14ac:dyDescent="0.25">
      <c r="A6" s="71" t="str">
        <f>D1_FEBRERO_2026[[#This Row],[SUPER2]]</f>
        <v>KENNETH</v>
      </c>
      <c r="B6" s="70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7"/>
      <c r="D6" s="67"/>
      <c r="E6" s="71" t="s">
        <v>6</v>
      </c>
      <c r="F6" s="70" t="s">
        <v>11</v>
      </c>
      <c r="G6" s="79"/>
      <c r="H6" s="70" t="s">
        <v>447</v>
      </c>
      <c r="I6" s="72">
        <v>45369</v>
      </c>
      <c r="J6" s="72" t="s">
        <v>520</v>
      </c>
      <c r="K6" s="65"/>
      <c r="L6" s="57"/>
      <c r="N6" s="5"/>
      <c r="S6" s="46"/>
    </row>
    <row r="7" spans="1:87" x14ac:dyDescent="0.25">
      <c r="A7" s="71" t="str">
        <f>D1_FEBRERO_2026[[#This Row],[SUPER2]]</f>
        <v>JOHAN</v>
      </c>
      <c r="B7" s="70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7"/>
      <c r="D7" s="67"/>
      <c r="E7" s="71" t="s">
        <v>125</v>
      </c>
      <c r="F7" s="70" t="s">
        <v>72</v>
      </c>
      <c r="G7" s="79"/>
      <c r="H7" s="70" t="s">
        <v>468</v>
      </c>
      <c r="I7" s="72">
        <v>45691</v>
      </c>
      <c r="J7" s="72" t="s">
        <v>520</v>
      </c>
      <c r="K7" s="65"/>
      <c r="L7" s="57"/>
      <c r="M7" s="1"/>
      <c r="N7" s="5"/>
    </row>
    <row r="8" spans="1:87" x14ac:dyDescent="0.25">
      <c r="A8" s="36" t="str">
        <f>D1_FEBRERO_2026[[#This Row],[SUPER2]]</f>
        <v>JOHAN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IF(D1_FEBRERO_2026[[#This Row],[RECUPERO]]="VACACIONES","VACACIONES",IFERROR(D1_FEBRERO_2026[[#This Row],[RECUPERO]]/D1_FEBRERO_2026[[#This Row],[META]],""))</f>
        <v>0.7419</v>
      </c>
      <c r="E8" s="36" t="s">
        <v>125</v>
      </c>
      <c r="F8" s="35" t="s">
        <v>18</v>
      </c>
      <c r="G8" s="37">
        <v>37095</v>
      </c>
      <c r="H8" s="35" t="s">
        <v>449</v>
      </c>
      <c r="I8" s="65">
        <v>45132</v>
      </c>
      <c r="J8" s="65" t="s">
        <v>521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553</v>
      </c>
      <c r="T8" s="14" t="s">
        <v>523</v>
      </c>
      <c r="U8" s="14" t="s">
        <v>545</v>
      </c>
      <c r="V8" s="14" t="s">
        <v>549</v>
      </c>
      <c r="W8" s="14" t="s">
        <v>524</v>
      </c>
      <c r="X8" s="14" t="s">
        <v>525</v>
      </c>
      <c r="Y8" s="14" t="s">
        <v>526</v>
      </c>
      <c r="Z8" s="14" t="s">
        <v>527</v>
      </c>
      <c r="AA8" s="14" t="s">
        <v>528</v>
      </c>
      <c r="AB8" s="14" t="s">
        <v>546</v>
      </c>
      <c r="AC8" s="14" t="s">
        <v>550</v>
      </c>
      <c r="AD8" s="14" t="s">
        <v>529</v>
      </c>
      <c r="AE8" s="14" t="s">
        <v>530</v>
      </c>
      <c r="AF8" s="14" t="s">
        <v>531</v>
      </c>
      <c r="AG8" s="14" t="s">
        <v>532</v>
      </c>
      <c r="AH8" s="14" t="s">
        <v>533</v>
      </c>
      <c r="AI8" s="14" t="s">
        <v>547</v>
      </c>
      <c r="AJ8" s="14" t="s">
        <v>551</v>
      </c>
      <c r="AK8" s="14" t="s">
        <v>534</v>
      </c>
      <c r="AL8" s="14" t="s">
        <v>535</v>
      </c>
      <c r="AM8" s="14" t="s">
        <v>536</v>
      </c>
      <c r="AN8" s="14" t="s">
        <v>537</v>
      </c>
      <c r="AO8" s="14" t="s">
        <v>538</v>
      </c>
      <c r="AP8" s="14" t="s">
        <v>548</v>
      </c>
      <c r="AQ8" s="14" t="s">
        <v>552</v>
      </c>
      <c r="AR8" s="14" t="s">
        <v>539</v>
      </c>
      <c r="AS8" s="14" t="s">
        <v>540</v>
      </c>
      <c r="AT8" s="14" t="s">
        <v>541</v>
      </c>
      <c r="AU8" s="14" t="s">
        <v>542</v>
      </c>
      <c r="AV8" s="14" t="s">
        <v>543</v>
      </c>
      <c r="AW8" s="14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553</v>
      </c>
      <c r="BE8" s="20" t="s">
        <v>523</v>
      </c>
      <c r="BF8" s="20" t="s">
        <v>545</v>
      </c>
      <c r="BG8" s="20" t="s">
        <v>549</v>
      </c>
      <c r="BH8" s="20" t="s">
        <v>524</v>
      </c>
      <c r="BI8" s="20" t="s">
        <v>525</v>
      </c>
      <c r="BJ8" s="20" t="s">
        <v>526</v>
      </c>
      <c r="BK8" s="20" t="s">
        <v>527</v>
      </c>
      <c r="BL8" s="20" t="s">
        <v>528</v>
      </c>
      <c r="BM8" s="20" t="s">
        <v>546</v>
      </c>
      <c r="BN8" s="20" t="s">
        <v>550</v>
      </c>
      <c r="BO8" s="20" t="s">
        <v>529</v>
      </c>
      <c r="BP8" s="20" t="s">
        <v>530</v>
      </c>
      <c r="BQ8" s="20" t="s">
        <v>531</v>
      </c>
      <c r="BR8" s="20" t="s">
        <v>532</v>
      </c>
      <c r="BS8" s="20" t="s">
        <v>533</v>
      </c>
      <c r="BT8" s="20" t="s">
        <v>547</v>
      </c>
      <c r="BU8" s="20" t="s">
        <v>551</v>
      </c>
      <c r="BV8" s="20" t="s">
        <v>534</v>
      </c>
      <c r="BW8" s="20" t="s">
        <v>535</v>
      </c>
      <c r="BX8" s="20" t="s">
        <v>536</v>
      </c>
      <c r="BY8" s="20" t="s">
        <v>537</v>
      </c>
      <c r="BZ8" s="20" t="s">
        <v>538</v>
      </c>
      <c r="CA8" s="20" t="s">
        <v>548</v>
      </c>
      <c r="CB8" s="20" t="s">
        <v>552</v>
      </c>
      <c r="CC8" s="20" t="s">
        <v>539</v>
      </c>
      <c r="CD8" s="20" t="s">
        <v>540</v>
      </c>
      <c r="CE8" s="20" t="s">
        <v>541</v>
      </c>
      <c r="CF8" s="20" t="s">
        <v>542</v>
      </c>
      <c r="CG8" s="20" t="s">
        <v>543</v>
      </c>
      <c r="CH8" s="20" t="s">
        <v>544</v>
      </c>
      <c r="CI8" s="19" t="s">
        <v>134</v>
      </c>
    </row>
    <row r="9" spans="1:87" x14ac:dyDescent="0.25">
      <c r="A9" s="36" t="str">
        <f>D1_FEBRERO_2026[[#This Row],[SUPER2]]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6">
        <f>IF(D1_FEBRERO_2026[[#This Row],[RECUPERO]]="VACACIONES","VACACIONES",IFERROR(D1_FEBRERO_2026[[#This Row],[RECUPERO]]/D1_FEBRERO_2026[[#This Row],[META]],""))</f>
        <v>1.9406382978723404</v>
      </c>
      <c r="E9" s="36" t="s">
        <v>124</v>
      </c>
      <c r="F9" s="35" t="s">
        <v>58</v>
      </c>
      <c r="G9" s="37">
        <v>45605</v>
      </c>
      <c r="H9" s="35" t="s">
        <v>459</v>
      </c>
      <c r="I9" s="65">
        <v>43101</v>
      </c>
      <c r="J9" s="65" t="s">
        <v>521</v>
      </c>
      <c r="K9" s="65"/>
      <c r="L9" s="57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6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1">
        <f>VLOOKUP($M$3&amp;$N$3&amp;DITE_FEBRERO_2026[[#This Row],[SUPER]],TablaMeta[],5,0)</f>
        <v>543573</v>
      </c>
      <c r="BA9" s="11">
        <f>MAX(DITE_FEBRERO_2026[[#This Row],[SUPER]:[CARTERA]])</f>
        <v>518999.14</v>
      </c>
      <c r="BB9" s="17">
        <f>IFERROR(DITE_FEBRERO_2026[[#This Row],[RECUPERO SUPERVISOR]]/DITE_FEBRERO_2026[[#This Row],[META SUPER]],"")</f>
        <v>0.95479197826234929</v>
      </c>
      <c r="BC9" s="11" t="s">
        <v>3</v>
      </c>
      <c r="BD9" s="47">
        <v>420</v>
      </c>
      <c r="BE9" s="47">
        <v>8334</v>
      </c>
      <c r="BF9" s="47">
        <v>13801</v>
      </c>
      <c r="BG9" s="47">
        <v>26839</v>
      </c>
      <c r="BH9" s="47">
        <v>36174</v>
      </c>
      <c r="BI9" s="47">
        <v>86674</v>
      </c>
      <c r="BJ9" s="47">
        <v>89254</v>
      </c>
      <c r="BK9" s="47">
        <v>89254</v>
      </c>
      <c r="BL9" s="47">
        <v>100001</v>
      </c>
      <c r="BM9" s="47">
        <v>113269</v>
      </c>
      <c r="BN9" s="47">
        <v>145394</v>
      </c>
      <c r="BO9" s="47">
        <v>157449</v>
      </c>
      <c r="BP9" s="47">
        <v>171249</v>
      </c>
      <c r="BQ9" s="47">
        <v>171973</v>
      </c>
      <c r="BR9" s="47">
        <v>173687</v>
      </c>
      <c r="BS9" s="47">
        <v>195208.5</v>
      </c>
      <c r="BT9" s="47">
        <v>201408.5</v>
      </c>
      <c r="BU9" s="47">
        <v>257086.5</v>
      </c>
      <c r="BV9" s="47">
        <v>276512.5</v>
      </c>
      <c r="BW9" s="47">
        <v>295812.5</v>
      </c>
      <c r="BX9" s="47">
        <v>296730.5</v>
      </c>
      <c r="BY9" s="47">
        <v>296730.5</v>
      </c>
      <c r="BZ9" s="47">
        <v>315790.5</v>
      </c>
      <c r="CA9" s="47">
        <v>369160.5</v>
      </c>
      <c r="CB9" s="47">
        <v>391710.5</v>
      </c>
      <c r="CC9" s="47">
        <v>435006.14</v>
      </c>
      <c r="CD9" s="47">
        <v>488248.14</v>
      </c>
      <c r="CE9" s="47">
        <v>518999.14</v>
      </c>
      <c r="CF9" s="47">
        <v>518999.14</v>
      </c>
      <c r="CG9" s="47">
        <v>518999.14</v>
      </c>
      <c r="CH9" s="47">
        <v>518999.14</v>
      </c>
      <c r="CI9" s="11" t="str">
        <f>VLOOKUP($M$3&amp;$N$3&amp;DITE_FEBRERO_2026[[#This Row],[SUPER]],TablaMeta[],7,0)</f>
        <v>S1</v>
      </c>
    </row>
    <row r="10" spans="1:87" x14ac:dyDescent="0.25">
      <c r="A10" s="36" t="str">
        <f>D1_FEBRERO_2026[[#This Row],[SUPER2]]</f>
        <v>JOHAN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IF(D1_FEBRERO_2026[[#This Row],[RECUPERO]]="VACACIONES","VACACIONES",IFERROR(D1_FEBRERO_2026[[#This Row],[RECUPERO]]/D1_FEBRERO_2026[[#This Row],[META]],""))</f>
        <v>0.4148</v>
      </c>
      <c r="E10" s="36" t="s">
        <v>125</v>
      </c>
      <c r="F10" s="35" t="s">
        <v>109</v>
      </c>
      <c r="G10" s="37">
        <v>20740</v>
      </c>
      <c r="H10" s="35" t="s">
        <v>440</v>
      </c>
      <c r="I10" s="65">
        <v>46024</v>
      </c>
      <c r="J10" s="65" t="s">
        <v>521</v>
      </c>
      <c r="K10" s="65"/>
      <c r="L10" s="57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6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2">
        <f>VLOOKUP($M$3&amp;$N$3&amp;DITE_FEBRERO_2026[[#This Row],[SUPER]],TablaMeta[],5,0)</f>
        <v>540042</v>
      </c>
      <c r="BA10" s="12">
        <f>MAX(DITE_FEBRERO_2026[[#This Row],[SUPER]:[CARTERA]])</f>
        <v>705961.59000000008</v>
      </c>
      <c r="BB10" s="18">
        <f>IFERROR(DITE_FEBRERO_2026[[#This Row],[RECUPERO SUPERVISOR]]/DITE_FEBRERO_2026[[#This Row],[META SUPER]],"")</f>
        <v>1.3072346039752465</v>
      </c>
      <c r="BC10" s="12" t="s">
        <v>6</v>
      </c>
      <c r="BD10" s="47">
        <v>0</v>
      </c>
      <c r="BE10" s="47">
        <v>1259</v>
      </c>
      <c r="BF10" s="47">
        <v>23151</v>
      </c>
      <c r="BG10" s="47">
        <v>35646.089999999997</v>
      </c>
      <c r="BH10" s="47">
        <v>61512.069999999992</v>
      </c>
      <c r="BI10" s="47">
        <v>73253.069999999992</v>
      </c>
      <c r="BJ10" s="47">
        <v>73819.569999999992</v>
      </c>
      <c r="BK10" s="47">
        <v>73819.569999999992</v>
      </c>
      <c r="BL10" s="47">
        <v>115090.56999999999</v>
      </c>
      <c r="BM10" s="47">
        <v>168515.57</v>
      </c>
      <c r="BN10" s="47">
        <v>207627.57</v>
      </c>
      <c r="BO10" s="47">
        <v>236306.57</v>
      </c>
      <c r="BP10" s="47">
        <v>248604.57</v>
      </c>
      <c r="BQ10" s="47">
        <v>260753.07</v>
      </c>
      <c r="BR10" s="47">
        <v>260753.07</v>
      </c>
      <c r="BS10" s="47">
        <v>319309.07</v>
      </c>
      <c r="BT10" s="47">
        <v>344890.07</v>
      </c>
      <c r="BU10" s="47">
        <v>390048.07</v>
      </c>
      <c r="BV10" s="47">
        <v>422674.07</v>
      </c>
      <c r="BW10" s="47">
        <v>466543.59</v>
      </c>
      <c r="BX10" s="47">
        <v>471623.59</v>
      </c>
      <c r="BY10" s="47">
        <v>471623.59</v>
      </c>
      <c r="BZ10" s="47">
        <v>496883.59</v>
      </c>
      <c r="CA10" s="47">
        <v>516553.59</v>
      </c>
      <c r="CB10" s="47">
        <v>547814.09000000008</v>
      </c>
      <c r="CC10" s="47">
        <v>574606.09000000008</v>
      </c>
      <c r="CD10" s="47">
        <v>668474.09000000008</v>
      </c>
      <c r="CE10" s="47">
        <v>705961.59000000008</v>
      </c>
      <c r="CF10" s="47">
        <v>705961.59000000008</v>
      </c>
      <c r="CG10" s="47">
        <v>705961.59000000008</v>
      </c>
      <c r="CH10" s="47">
        <v>705961.59000000008</v>
      </c>
      <c r="CI10" s="12" t="str">
        <f>VLOOKUP($M$3&amp;$N$3&amp;DITE_FEBRERO_2026[[#This Row],[SUPER]],TablaMeta[],7,0)</f>
        <v>S0</v>
      </c>
    </row>
    <row r="11" spans="1:87" x14ac:dyDescent="0.25">
      <c r="A11" s="36" t="str">
        <f>D1_FEBRERO_2026[[#This Row],[SUPER2]]</f>
        <v>JOHAN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IF(D1_FEBRERO_2026[[#This Row],[RECUPERO]]="VACACIONES","VACACIONES",IFERROR(D1_FEBRERO_2026[[#This Row],[RECUPERO]]/D1_FEBRERO_2026[[#This Row],[META]],""))</f>
        <v>1.5776600000000001</v>
      </c>
      <c r="E11" s="36" t="s">
        <v>125</v>
      </c>
      <c r="F11" s="35" t="s">
        <v>60</v>
      </c>
      <c r="G11" s="37">
        <v>78883</v>
      </c>
      <c r="H11" s="35" t="s">
        <v>441</v>
      </c>
      <c r="I11" s="65">
        <v>45854</v>
      </c>
      <c r="J11" s="65" t="s">
        <v>521</v>
      </c>
      <c r="K11" s="65"/>
      <c r="L11" s="57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6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1">
        <f>VLOOKUP($M$3&amp;$N$3&amp;DITE_FEBRERO_2026[[#This Row],[SUPER]],TablaMeta[],5,0)</f>
        <v>194963</v>
      </c>
      <c r="BA11" s="11">
        <f>MAX(DITE_FEBRERO_2026[[#This Row],[SUPER]:[CARTERA]])</f>
        <v>259027.9</v>
      </c>
      <c r="BB11" s="17">
        <f>IFERROR(DITE_FEBRERO_2026[[#This Row],[RECUPERO SUPERVISOR]]/DITE_FEBRERO_2026[[#This Row],[META SUPER]],"")</f>
        <v>1.3286002985181804</v>
      </c>
      <c r="BC11" s="11" t="s">
        <v>2</v>
      </c>
      <c r="BD11" s="47">
        <v>0</v>
      </c>
      <c r="BE11" s="47">
        <v>7203.4</v>
      </c>
      <c r="BF11" s="47">
        <v>12543.4</v>
      </c>
      <c r="BG11" s="47">
        <v>14223.4</v>
      </c>
      <c r="BH11" s="47">
        <v>23573.4</v>
      </c>
      <c r="BI11" s="47">
        <v>56773.4</v>
      </c>
      <c r="BJ11" s="47">
        <v>56773.4</v>
      </c>
      <c r="BK11" s="47">
        <v>56773.4</v>
      </c>
      <c r="BL11" s="47">
        <v>66823.399999999994</v>
      </c>
      <c r="BM11" s="47">
        <v>67823.399999999994</v>
      </c>
      <c r="BN11" s="47">
        <v>71843.399999999994</v>
      </c>
      <c r="BO11" s="47">
        <v>77763.399999999994</v>
      </c>
      <c r="BP11" s="47">
        <v>112013.4</v>
      </c>
      <c r="BQ11" s="47">
        <v>113288.9</v>
      </c>
      <c r="BR11" s="47">
        <v>113388.9</v>
      </c>
      <c r="BS11" s="47">
        <v>127316.4</v>
      </c>
      <c r="BT11" s="47">
        <v>141316.4</v>
      </c>
      <c r="BU11" s="47">
        <v>143580.4</v>
      </c>
      <c r="BV11" s="47">
        <v>145690.4</v>
      </c>
      <c r="BW11" s="47">
        <v>154392.4</v>
      </c>
      <c r="BX11" s="47">
        <v>154392.4</v>
      </c>
      <c r="BY11" s="47">
        <v>154392.4</v>
      </c>
      <c r="BZ11" s="47">
        <v>157752.4</v>
      </c>
      <c r="CA11" s="47">
        <v>177422.4</v>
      </c>
      <c r="CB11" s="47">
        <v>191922.4</v>
      </c>
      <c r="CC11" s="47">
        <v>215828.4</v>
      </c>
      <c r="CD11" s="47">
        <v>247815.4</v>
      </c>
      <c r="CE11" s="47">
        <v>259027.9</v>
      </c>
      <c r="CF11" s="47">
        <v>259027.9</v>
      </c>
      <c r="CG11" s="47">
        <v>259027.9</v>
      </c>
      <c r="CH11" s="47">
        <v>259027.9</v>
      </c>
      <c r="CI11" s="11" t="str">
        <f>VLOOKUP($M$3&amp;$N$3&amp;DITE_FEBRERO_2026[[#This Row],[SUPER]],TablaMeta[],7,0)</f>
        <v>S0</v>
      </c>
    </row>
    <row r="12" spans="1:87" x14ac:dyDescent="0.25">
      <c r="A12" s="36" t="str">
        <f>D1_FEBRERO_2026[[#This Row],[SUPER2]]</f>
        <v>JORGE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6">
        <f>IF(D1_FEBRERO_2026[[#This Row],[RECUPERO]]="VACACIONES","VACACIONES",IFERROR(D1_FEBRERO_2026[[#This Row],[RECUPERO]]/D1_FEBRERO_2026[[#This Row],[META]],""))</f>
        <v>0.71235714285714291</v>
      </c>
      <c r="E12" s="36" t="s">
        <v>2</v>
      </c>
      <c r="F12" s="35" t="s">
        <v>15</v>
      </c>
      <c r="G12" s="37">
        <v>19946</v>
      </c>
      <c r="H12" s="35" t="s">
        <v>428</v>
      </c>
      <c r="I12" s="65">
        <v>44733</v>
      </c>
      <c r="J12" s="65" t="s">
        <v>521</v>
      </c>
      <c r="K12" s="65"/>
      <c r="L12" s="57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6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2">
        <f>VLOOKUP($M$3&amp;$N$3&amp;DITE_FEBRERO_2026[[#This Row],[SUPER]],TablaMeta[],5,0)</f>
        <v>543573</v>
      </c>
      <c r="BA12" s="12">
        <f>MAX(DITE_FEBRERO_2026[[#This Row],[SUPER]:[CARTERA]])</f>
        <v>563693</v>
      </c>
      <c r="BB12" s="18">
        <f>IFERROR(DITE_FEBRERO_2026[[#This Row],[RECUPERO SUPERVISOR]]/DITE_FEBRERO_2026[[#This Row],[META SUPER]],"")</f>
        <v>1.0370143476589162</v>
      </c>
      <c r="BC12" s="12" t="s">
        <v>125</v>
      </c>
      <c r="BD12" s="47">
        <v>1760</v>
      </c>
      <c r="BE12" s="47">
        <v>6198</v>
      </c>
      <c r="BF12" s="47">
        <v>27728</v>
      </c>
      <c r="BG12" s="47">
        <v>63728</v>
      </c>
      <c r="BH12" s="47">
        <v>84658</v>
      </c>
      <c r="BI12" s="47">
        <v>136808</v>
      </c>
      <c r="BJ12" s="47">
        <v>136808</v>
      </c>
      <c r="BK12" s="47">
        <v>136808</v>
      </c>
      <c r="BL12" s="47">
        <v>187848</v>
      </c>
      <c r="BM12" s="47">
        <v>198590</v>
      </c>
      <c r="BN12" s="47">
        <v>245790</v>
      </c>
      <c r="BO12" s="47">
        <v>262440</v>
      </c>
      <c r="BP12" s="47">
        <v>291340</v>
      </c>
      <c r="BQ12" s="47">
        <v>291340</v>
      </c>
      <c r="BR12" s="47">
        <v>291340</v>
      </c>
      <c r="BS12" s="47">
        <v>323210</v>
      </c>
      <c r="BT12" s="47">
        <v>335255</v>
      </c>
      <c r="BU12" s="47">
        <v>360455</v>
      </c>
      <c r="BV12" s="47">
        <v>369291</v>
      </c>
      <c r="BW12" s="47">
        <v>385653</v>
      </c>
      <c r="BX12" s="47">
        <v>385872</v>
      </c>
      <c r="BY12" s="47">
        <v>385872</v>
      </c>
      <c r="BZ12" s="47">
        <v>398812</v>
      </c>
      <c r="CA12" s="47">
        <v>429140</v>
      </c>
      <c r="CB12" s="47">
        <v>433120</v>
      </c>
      <c r="CC12" s="47">
        <v>481011</v>
      </c>
      <c r="CD12" s="47">
        <v>543046</v>
      </c>
      <c r="CE12" s="47">
        <v>563693</v>
      </c>
      <c r="CF12" s="47">
        <v>563693</v>
      </c>
      <c r="CG12" s="47">
        <v>563693</v>
      </c>
      <c r="CH12" s="47">
        <v>563693</v>
      </c>
      <c r="CI12" s="12" t="str">
        <f>VLOOKUP($M$3&amp;$N$3&amp;DITE_FEBRERO_2026[[#This Row],[SUPER]],TablaMeta[],7,0)</f>
        <v>S1</v>
      </c>
    </row>
    <row r="13" spans="1:87" x14ac:dyDescent="0.25">
      <c r="A13" s="36" t="str">
        <f>D1_FEBRERO_2026[[#This Row],[SUPER2]]</f>
        <v>JOHAN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IF(D1_FEBRERO_2026[[#This Row],[RECUPERO]]="VACACIONES","VACACIONES",IFERROR(D1_FEBRERO_2026[[#This Row],[RECUPERO]]/D1_FEBRERO_2026[[#This Row],[META]],""))</f>
        <v>0.65459999999999996</v>
      </c>
      <c r="E13" s="36" t="s">
        <v>125</v>
      </c>
      <c r="F13" s="35" t="s">
        <v>85</v>
      </c>
      <c r="G13" s="37">
        <v>32730</v>
      </c>
      <c r="H13" s="35" t="s">
        <v>398</v>
      </c>
      <c r="I13" s="65">
        <v>46055</v>
      </c>
      <c r="J13" s="65" t="s">
        <v>521</v>
      </c>
      <c r="K13" s="65"/>
      <c r="L13" s="57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6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1">
        <f>VLOOKUP($M$3&amp;$N$3&amp;DITE_FEBRERO_2026[[#This Row],[SUPER]],TablaMeta[],5,0)</f>
        <v>294869</v>
      </c>
      <c r="BA13" s="11">
        <f>MAX(DITE_FEBRERO_2026[[#This Row],[SUPER]:[CARTERA]])</f>
        <v>282587.52000000002</v>
      </c>
      <c r="BB13" s="17">
        <f>IFERROR(DITE_FEBRERO_2026[[#This Row],[RECUPERO SUPERVISOR]]/DITE_FEBRERO_2026[[#This Row],[META SUPER]],"")</f>
        <v>0.95834936870271215</v>
      </c>
      <c r="BC13" s="11" t="s">
        <v>124</v>
      </c>
      <c r="BD13" s="47">
        <v>260</v>
      </c>
      <c r="BE13" s="47">
        <v>3478</v>
      </c>
      <c r="BF13" s="46">
        <v>4593</v>
      </c>
      <c r="BG13" s="47">
        <v>18051</v>
      </c>
      <c r="BH13" s="47">
        <v>33389</v>
      </c>
      <c r="BI13" s="47">
        <v>40864</v>
      </c>
      <c r="BJ13" s="47">
        <v>41114</v>
      </c>
      <c r="BK13" s="46">
        <v>41394</v>
      </c>
      <c r="BL13" s="47">
        <v>48369</v>
      </c>
      <c r="BM13" s="47">
        <v>66714</v>
      </c>
      <c r="BN13" s="47">
        <v>76611.520000000004</v>
      </c>
      <c r="BO13" s="46">
        <v>83696.52</v>
      </c>
      <c r="BP13" s="47">
        <v>112061.52</v>
      </c>
      <c r="BQ13" s="47">
        <v>115061.52</v>
      </c>
      <c r="BR13" s="47">
        <v>115661.52</v>
      </c>
      <c r="BS13" s="47">
        <v>125934.52</v>
      </c>
      <c r="BT13" s="47">
        <v>134260.52000000002</v>
      </c>
      <c r="BU13" s="47">
        <v>146176.52000000002</v>
      </c>
      <c r="BV13" s="47">
        <v>154406.52000000002</v>
      </c>
      <c r="BW13" s="47">
        <v>161006.52000000002</v>
      </c>
      <c r="BX13" s="47">
        <v>161301.52000000002</v>
      </c>
      <c r="BY13" s="47">
        <v>161301.52000000002</v>
      </c>
      <c r="BZ13" s="47">
        <v>177621.52000000002</v>
      </c>
      <c r="CA13" s="47">
        <v>181312.52000000002</v>
      </c>
      <c r="CB13" s="47">
        <v>215102.52000000002</v>
      </c>
      <c r="CC13" s="47">
        <v>250247.52000000002</v>
      </c>
      <c r="CD13" s="47">
        <v>270437.52</v>
      </c>
      <c r="CE13" s="47">
        <v>282587.52000000002</v>
      </c>
      <c r="CF13" s="47">
        <v>282587.52000000002</v>
      </c>
      <c r="CG13" s="47">
        <v>282587.52000000002</v>
      </c>
      <c r="CH13" s="47">
        <v>282587.52000000002</v>
      </c>
      <c r="CI13" s="11" t="str">
        <f>VLOOKUP($M$3&amp;$N$3&amp;DITE_FEBRERO_2026[[#This Row],[SUPER]],TablaMeta[],7,0)</f>
        <v>S2-3-4</v>
      </c>
    </row>
    <row r="14" spans="1:87" x14ac:dyDescent="0.25">
      <c r="A14" s="36" t="str">
        <f>D1_FEBRERO_2026[[#This Row],[SUPER2]]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6">
        <f>IF(D1_FEBRERO_2026[[#This Row],[RECUPERO]]="VACACIONES","VACACIONES",IFERROR(D1_FEBRERO_2026[[#This Row],[RECUPERO]]/D1_FEBRERO_2026[[#This Row],[META]],""))</f>
        <v>1.6344255319148937</v>
      </c>
      <c r="E14" s="36" t="s">
        <v>124</v>
      </c>
      <c r="F14" s="35" t="s">
        <v>174</v>
      </c>
      <c r="G14" s="37">
        <v>38409</v>
      </c>
      <c r="H14" s="35" t="s">
        <v>510</v>
      </c>
      <c r="I14" s="65">
        <v>45992</v>
      </c>
      <c r="J14" s="65" t="s">
        <v>521</v>
      </c>
      <c r="K14" s="65"/>
      <c r="L14" s="57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6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6" t="str">
        <f>D1_FEBRERO_2026[[#This Row],[SUPER2]]</f>
        <v>KENNETH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6">
        <f>IF(D1_FEBRERO_2026[[#This Row],[RECUPERO]]="VACACIONES","VACACIONES",IFERROR(D1_FEBRERO_2026[[#This Row],[RECUPERO]]/D1_FEBRERO_2026[[#This Row],[META]],""))</f>
        <v>2.7223396226415093</v>
      </c>
      <c r="E15" s="36" t="s">
        <v>6</v>
      </c>
      <c r="F15" s="35" t="s">
        <v>19</v>
      </c>
      <c r="G15" s="37">
        <v>72142</v>
      </c>
      <c r="H15" s="35" t="s">
        <v>417</v>
      </c>
      <c r="I15" s="65">
        <v>44671</v>
      </c>
      <c r="J15" s="65" t="s">
        <v>521</v>
      </c>
      <c r="K15" s="65"/>
      <c r="L15" s="57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6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6"/>
      <c r="BK15" s="46"/>
      <c r="BL15" s="46"/>
      <c r="BN15" s="46"/>
    </row>
    <row r="16" spans="1:87" x14ac:dyDescent="0.25">
      <c r="A16" s="36" t="str">
        <f>D1_FEBRERO_2026[[#This Row],[SUPER2]]</f>
        <v>JOHAN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IF(D1_FEBRERO_2026[[#This Row],[RECUPERO]]="VACACIONES","VACACIONES",IFERROR(D1_FEBRERO_2026[[#This Row],[RECUPERO]]/D1_FEBRERO_2026[[#This Row],[META]],""))</f>
        <v>0.93776000000000004</v>
      </c>
      <c r="E16" s="36" t="s">
        <v>125</v>
      </c>
      <c r="F16" s="35" t="s">
        <v>61</v>
      </c>
      <c r="G16" s="37">
        <v>46888</v>
      </c>
      <c r="H16" s="35" t="s">
        <v>429</v>
      </c>
      <c r="I16" s="65">
        <v>44907</v>
      </c>
      <c r="J16" s="65" t="s">
        <v>521</v>
      </c>
      <c r="K16" s="65"/>
      <c r="L16" s="57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6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8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6"/>
      <c r="BJ16" s="46"/>
      <c r="BK16" s="46"/>
      <c r="BL16" s="46"/>
      <c r="BN16" s="46"/>
      <c r="BO16" s="46"/>
      <c r="BP16" s="46"/>
      <c r="BX16" s="46"/>
    </row>
    <row r="17" spans="1:76" x14ac:dyDescent="0.25">
      <c r="A17" s="36" t="str">
        <f>D1_FEBRERO_2026[[#This Row],[SUPER2]]</f>
        <v>KENNETH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6">
        <f>IF(D1_FEBRERO_2026[[#This Row],[RECUPERO]]="VACACIONES","VACACIONES",IFERROR(D1_FEBRERO_2026[[#This Row],[RECUPERO]]/D1_FEBRERO_2026[[#This Row],[META]],""))</f>
        <v>0.23339622641509433</v>
      </c>
      <c r="E17" s="36" t="s">
        <v>6</v>
      </c>
      <c r="F17" t="s">
        <v>80</v>
      </c>
      <c r="G17" s="3">
        <v>6185</v>
      </c>
      <c r="H17" t="s">
        <v>451</v>
      </c>
      <c r="I17" s="57">
        <v>45281</v>
      </c>
      <c r="J17" s="57" t="s">
        <v>521</v>
      </c>
      <c r="K17" s="65"/>
      <c r="L17" s="57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6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8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6"/>
      <c r="BJ17" s="46"/>
      <c r="BK17" s="48"/>
      <c r="BL17" s="48"/>
      <c r="BN17" s="48"/>
      <c r="BO17" s="46"/>
      <c r="BP17" s="46"/>
      <c r="BR17" s="46"/>
      <c r="BW17" s="46"/>
      <c r="BX17" s="46"/>
    </row>
    <row r="18" spans="1:76" x14ac:dyDescent="0.25">
      <c r="A18" s="36" t="str">
        <f>D1_FEBRERO_2026[[#This Row],[SUPER2]]</f>
        <v>KENNETH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6">
        <f>IF(D1_FEBRERO_2026[[#This Row],[RECUPERO]]="VACACIONES","VACACIONES",IFERROR(D1_FEBRERO_2026[[#This Row],[RECUPERO]]/D1_FEBRERO_2026[[#This Row],[META]],""))</f>
        <v>1.2093584905660377</v>
      </c>
      <c r="E18" s="36" t="s">
        <v>6</v>
      </c>
      <c r="F18" t="s">
        <v>81</v>
      </c>
      <c r="G18" s="3">
        <v>32048</v>
      </c>
      <c r="H18" t="s">
        <v>443</v>
      </c>
      <c r="I18" s="57">
        <v>45511</v>
      </c>
      <c r="J18" s="57" t="s">
        <v>521</v>
      </c>
      <c r="K18" s="57"/>
      <c r="L18" s="57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8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6"/>
      <c r="BJ18" s="48"/>
      <c r="BK18" s="46"/>
      <c r="BL18" s="46"/>
      <c r="BN18" s="46"/>
      <c r="BO18" s="48"/>
      <c r="BP18" s="48"/>
      <c r="BR18" s="46"/>
      <c r="BS18" s="46"/>
      <c r="BW18" s="46"/>
      <c r="BX18" s="48"/>
    </row>
    <row r="19" spans="1:76" x14ac:dyDescent="0.25">
      <c r="A19" s="36" t="str">
        <f>D1_FEBRERO_2026[[#This Row],[SUPER2]]</f>
        <v>SANDY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6">
        <f>IF(D1_FEBRERO_2026[[#This Row],[RECUPERO]]="VACACIONES","VACACIONES",IFERROR(D1_FEBRERO_2026[[#This Row],[RECUPERO]]/D1_FEBRERO_2026[[#This Row],[META]],""))</f>
        <v>0.36</v>
      </c>
      <c r="E19" s="36" t="s">
        <v>3</v>
      </c>
      <c r="F19" t="s">
        <v>395</v>
      </c>
      <c r="G19" s="3">
        <v>18000</v>
      </c>
      <c r="H19" t="s">
        <v>554</v>
      </c>
      <c r="I19" s="57">
        <v>46038</v>
      </c>
      <c r="J19" s="57" t="s">
        <v>521</v>
      </c>
      <c r="K19" s="57"/>
      <c r="L19" s="57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6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6"/>
      <c r="BJ19" s="48"/>
      <c r="BK19" s="46"/>
      <c r="BL19" s="46"/>
      <c r="BN19" s="46"/>
      <c r="BO19" s="48"/>
      <c r="BP19" s="48"/>
      <c r="BR19" s="46"/>
      <c r="BS19" s="46"/>
      <c r="BW19" s="48"/>
      <c r="BX19" s="48"/>
    </row>
    <row r="20" spans="1:76" x14ac:dyDescent="0.25">
      <c r="A20" s="36" t="str">
        <f>D1_FEBRERO_2026[[#This Row],[SUPER2]]</f>
        <v>GUSTAVO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6">
        <f>IF(D1_FEBRERO_2026[[#This Row],[RECUPERO]]="VACACIONES","VACACIONES",IFERROR(D1_FEBRERO_2026[[#This Row],[RECUPERO]]/D1_FEBRERO_2026[[#This Row],[META]],""))</f>
        <v>1.1409787234042552</v>
      </c>
      <c r="E20" s="36" t="s">
        <v>124</v>
      </c>
      <c r="F20" t="s">
        <v>514</v>
      </c>
      <c r="G20" s="3">
        <v>26813</v>
      </c>
      <c r="H20" t="s">
        <v>567</v>
      </c>
      <c r="I20" s="57">
        <v>46052</v>
      </c>
      <c r="J20" s="57" t="s">
        <v>521</v>
      </c>
      <c r="K20" s="57"/>
      <c r="L20" s="57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395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8"/>
      <c r="BJ20" s="46"/>
      <c r="BP20" s="46"/>
      <c r="BR20" s="46"/>
      <c r="BS20" s="48"/>
      <c r="BV20" s="46"/>
      <c r="BW20" s="48"/>
      <c r="BX20" s="46"/>
    </row>
    <row r="21" spans="1:76" x14ac:dyDescent="0.25">
      <c r="A21" s="36" t="str">
        <f>D1_FEBRERO_2026[[#This Row],[SUPER2]]</f>
        <v>SANDY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6">
        <f>IF(D1_FEBRERO_2026[[#This Row],[RECUPERO]]="VACACIONES","VACACIONES",IFERROR(D1_FEBRERO_2026[[#This Row],[RECUPERO]]/D1_FEBRERO_2026[[#This Row],[META]],""))</f>
        <v>0.57640000000000002</v>
      </c>
      <c r="E21" s="36" t="s">
        <v>3</v>
      </c>
      <c r="F21" t="s">
        <v>22</v>
      </c>
      <c r="G21" s="3">
        <v>28820</v>
      </c>
      <c r="H21" t="s">
        <v>460</v>
      </c>
      <c r="I21" s="57">
        <v>45295</v>
      </c>
      <c r="J21" s="57" t="s">
        <v>521</v>
      </c>
      <c r="K21" s="57"/>
      <c r="L21" s="57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514</v>
      </c>
      <c r="S21" s="46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8"/>
      <c r="BR21" s="46"/>
      <c r="BS21" s="48"/>
      <c r="BV21" s="46"/>
      <c r="BW21" s="46"/>
    </row>
    <row r="22" spans="1:76" x14ac:dyDescent="0.25">
      <c r="A22" s="36" t="str">
        <f>D1_FEBRERO_2026[[#This Row],[SUPER2]]</f>
        <v>KENNETH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6">
        <f>IF(D1_FEBRERO_2026[[#This Row],[RECUPERO]]="VACACIONES","VACACIONES",IFERROR(D1_FEBRERO_2026[[#This Row],[RECUPERO]]/D1_FEBRERO_2026[[#This Row],[META]],""))</f>
        <v>1.5618867924528301</v>
      </c>
      <c r="E22" s="36" t="s">
        <v>6</v>
      </c>
      <c r="F22" t="s">
        <v>105</v>
      </c>
      <c r="G22" s="3">
        <v>41390</v>
      </c>
      <c r="H22" t="s">
        <v>481</v>
      </c>
      <c r="I22" s="57">
        <v>46027</v>
      </c>
      <c r="J22" s="57" t="s">
        <v>521</v>
      </c>
      <c r="K22" s="57"/>
      <c r="L22" s="57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6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6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6"/>
      <c r="BR22" s="48"/>
      <c r="BS22" s="46"/>
      <c r="BV22" s="46"/>
    </row>
    <row r="23" spans="1:76" x14ac:dyDescent="0.25">
      <c r="A23" s="36" t="str">
        <f>D1_FEBRERO_2026[[#This Row],[SUPER2]]</f>
        <v>GUSTAVO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6">
        <f>IF(D1_FEBRERO_2026[[#This Row],[RECUPERO]]="VACACIONES","VACACIONES",IFERROR(D1_FEBRERO_2026[[#This Row],[RECUPERO]]/D1_FEBRERO_2026[[#This Row],[META]],""))</f>
        <v>1.3866382978723404</v>
      </c>
      <c r="E23" s="36" t="s">
        <v>124</v>
      </c>
      <c r="F23" t="s">
        <v>512</v>
      </c>
      <c r="G23" s="3">
        <v>32586</v>
      </c>
      <c r="H23" t="s">
        <v>566</v>
      </c>
      <c r="I23" s="57">
        <v>46052</v>
      </c>
      <c r="J23" s="57" t="s">
        <v>521</v>
      </c>
      <c r="K23" s="57"/>
      <c r="L23" s="57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6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6"/>
    </row>
    <row r="24" spans="1:76" x14ac:dyDescent="0.25">
      <c r="A24" s="36" t="str">
        <f>D1_FEBRERO_2026[[#This Row],[SUPER2]]</f>
        <v>JOHAN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6">
        <f>IF(D1_FEBRERO_2026[[#This Row],[RECUPERO]]="VACACIONES","VACACIONES",IFERROR(D1_FEBRERO_2026[[#This Row],[RECUPERO]]/D1_FEBRERO_2026[[#This Row],[META]],""))</f>
        <v>0.94379999999999997</v>
      </c>
      <c r="E24" s="36" t="s">
        <v>125</v>
      </c>
      <c r="F24" t="s">
        <v>12</v>
      </c>
      <c r="G24" s="3">
        <v>47190</v>
      </c>
      <c r="H24" t="s">
        <v>407</v>
      </c>
      <c r="I24" s="57">
        <v>44868</v>
      </c>
      <c r="J24" s="57" t="s">
        <v>521</v>
      </c>
      <c r="K24" s="57"/>
      <c r="L24" s="57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6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512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6"/>
    </row>
    <row r="25" spans="1:76" x14ac:dyDescent="0.25">
      <c r="A25" s="36" t="str">
        <f>D1_FEBRERO_2026[[#This Row],[SUPER2]]</f>
        <v>GUSTAVO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6">
        <f>IF(D1_FEBRERO_2026[[#This Row],[RECUPERO]]="VACACIONES","VACACIONES",IFERROR(D1_FEBRERO_2026[[#This Row],[RECUPERO]]/D1_FEBRERO_2026[[#This Row],[META]],""))</f>
        <v>0.77842553191489361</v>
      </c>
      <c r="E25" s="36" t="s">
        <v>124</v>
      </c>
      <c r="F25" t="s">
        <v>51</v>
      </c>
      <c r="G25" s="3">
        <v>18293</v>
      </c>
      <c r="H25" t="s">
        <v>431</v>
      </c>
      <c r="I25" s="57">
        <v>45678</v>
      </c>
      <c r="J25" s="57" t="s">
        <v>521</v>
      </c>
      <c r="K25" s="57"/>
      <c r="L25" s="57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6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6" t="str">
        <f>D1_FEBRERO_2026[[#This Row],[SUPER2]]</f>
        <v>SANDY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6">
        <f>IF(D1_FEBRERO_2026[[#This Row],[RECUPERO]]="VACACIONES","VACACIONES",IFERROR(D1_FEBRERO_2026[[#This Row],[RECUPERO]]/D1_FEBRERO_2026[[#This Row],[META]],""))</f>
        <v>1.3184</v>
      </c>
      <c r="E26" s="36" t="s">
        <v>3</v>
      </c>
      <c r="F26" t="s">
        <v>13</v>
      </c>
      <c r="G26" s="3">
        <v>65920</v>
      </c>
      <c r="H26" t="s">
        <v>400</v>
      </c>
      <c r="I26" s="57">
        <v>44809</v>
      </c>
      <c r="J26" s="57" t="s">
        <v>521</v>
      </c>
      <c r="K26" s="57"/>
      <c r="L26" s="57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6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6" t="str">
        <f>D1_FEBRERO_2026[[#This Row],[SUPER2]]</f>
        <v>SANDY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6">
        <f>IF(D1_FEBRERO_2026[[#This Row],[RECUPERO]]="VACACIONES","VACACIONES",IFERROR(D1_FEBRERO_2026[[#This Row],[RECUPERO]]/D1_FEBRERO_2026[[#This Row],[META]],""))</f>
        <v>1.3682000000000001</v>
      </c>
      <c r="E27" s="36" t="s">
        <v>3</v>
      </c>
      <c r="F27" t="s">
        <v>32</v>
      </c>
      <c r="G27" s="3">
        <v>68410</v>
      </c>
      <c r="H27" t="s">
        <v>408</v>
      </c>
      <c r="I27" s="57">
        <v>45526</v>
      </c>
      <c r="J27" s="57" t="s">
        <v>521</v>
      </c>
      <c r="K27" s="57"/>
      <c r="L27" s="57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6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6" t="str">
        <f>D1_FEBRERO_2026[[#This Row],[SUPER2]]</f>
        <v>JORGE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6">
        <f>IF(D1_FEBRERO_2026[[#This Row],[RECUPERO]]="VACACIONES","VACACIONES",IFERROR(D1_FEBRERO_2026[[#This Row],[RECUPERO]]/D1_FEBRERO_2026[[#This Row],[META]],""))</f>
        <v>0.70364285714285713</v>
      </c>
      <c r="E28" s="36" t="s">
        <v>2</v>
      </c>
      <c r="F28" t="s">
        <v>42</v>
      </c>
      <c r="G28" s="3">
        <v>19702</v>
      </c>
      <c r="H28" t="s">
        <v>433</v>
      </c>
      <c r="I28" s="57">
        <v>45398</v>
      </c>
      <c r="J28" s="57" t="s">
        <v>521</v>
      </c>
      <c r="K28" s="57"/>
      <c r="L28" s="57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6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6" t="str">
        <f>D1_FEBRERO_2026[[#This Row],[SUPER2]]</f>
        <v>GUSTAVO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6">
        <f>IF(D1_FEBRERO_2026[[#This Row],[RECUPERO]]="VACACIONES","VACACIONES",IFERROR(D1_FEBRERO_2026[[#This Row],[RECUPERO]]/D1_FEBRERO_2026[[#This Row],[META]],""))</f>
        <v>0.93251063829787229</v>
      </c>
      <c r="E29" s="36" t="s">
        <v>124</v>
      </c>
      <c r="F29" t="s">
        <v>49</v>
      </c>
      <c r="G29" s="3">
        <v>21914</v>
      </c>
      <c r="H29" t="s">
        <v>454</v>
      </c>
      <c r="I29" s="57">
        <v>43313</v>
      </c>
      <c r="J29" s="57" t="s">
        <v>521</v>
      </c>
      <c r="K29" s="57"/>
      <c r="L29" s="57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6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6" t="str">
        <f>D1_FEBRERO_2026[[#This Row],[SUPER2]]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6">
        <f>IF(D1_FEBRERO_2026[[#This Row],[RECUPERO]]="VACACIONES","VACACIONES",IFERROR(D1_FEBRERO_2026[[#This Row],[RECUPERO]]/D1_FEBRERO_2026[[#This Row],[META]],""))</f>
        <v>1.6580754716981132</v>
      </c>
      <c r="E30" s="36" t="s">
        <v>6</v>
      </c>
      <c r="F30" t="s">
        <v>26</v>
      </c>
      <c r="G30" s="3">
        <v>43939</v>
      </c>
      <c r="H30" t="s">
        <v>409</v>
      </c>
      <c r="I30" s="57">
        <v>44257</v>
      </c>
      <c r="J30" s="57" t="s">
        <v>521</v>
      </c>
      <c r="K30" s="57"/>
      <c r="L30" s="57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6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6" t="str">
        <f>D1_FEBRERO_2026[[#This Row],[SUPER2]]</f>
        <v>JOHAN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6">
        <f>IF(D1_FEBRERO_2026[[#This Row],[RECUPERO]]="VACACIONES","VACACIONES",IFERROR(D1_FEBRERO_2026[[#This Row],[RECUPERO]]/D1_FEBRERO_2026[[#This Row],[META]],""))</f>
        <v>0.71779999999999999</v>
      </c>
      <c r="E31" s="36" t="s">
        <v>125</v>
      </c>
      <c r="F31" t="s">
        <v>122</v>
      </c>
      <c r="G31" s="3">
        <v>35890</v>
      </c>
      <c r="H31" t="s">
        <v>444</v>
      </c>
      <c r="I31" s="57">
        <v>45971</v>
      </c>
      <c r="J31" s="57" t="s">
        <v>521</v>
      </c>
      <c r="K31" s="57"/>
      <c r="L31" s="57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6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6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6" t="str">
        <f>D1_FEBRERO_2026[[#This Row],[SUPER2]]</f>
        <v>SANDY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6">
        <f>IF(D1_FEBRERO_2026[[#This Row],[RECUPERO]]="VACACIONES","VACACIONES",IFERROR(D1_FEBRERO_2026[[#This Row],[RECUPERO]]/D1_FEBRERO_2026[[#This Row],[META]],""))</f>
        <v>1.05236</v>
      </c>
      <c r="E32" s="36" t="s">
        <v>3</v>
      </c>
      <c r="F32" t="s">
        <v>96</v>
      </c>
      <c r="G32" s="3">
        <v>52618</v>
      </c>
      <c r="H32" t="s">
        <v>455</v>
      </c>
      <c r="I32" s="57">
        <v>45882</v>
      </c>
      <c r="J32" s="57" t="s">
        <v>521</v>
      </c>
      <c r="K32" s="57"/>
      <c r="L32" s="57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6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6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6" t="str">
        <f>D1_FEBRERO_2026[[#This Row],[SUPER2]]</f>
        <v>SANDY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6">
        <f>IF(D1_FEBRERO_2026[[#This Row],[RECUPERO]]="VACACIONES","VACACIONES",IFERROR(D1_FEBRERO_2026[[#This Row],[RECUPERO]]/D1_FEBRERO_2026[[#This Row],[META]],""))</f>
        <v>0.7581</v>
      </c>
      <c r="E33" s="36" t="s">
        <v>3</v>
      </c>
      <c r="F33" t="s">
        <v>65</v>
      </c>
      <c r="G33" s="3">
        <v>37905</v>
      </c>
      <c r="H33" t="s">
        <v>456</v>
      </c>
      <c r="I33" s="57">
        <v>45019</v>
      </c>
      <c r="J33" s="57" t="s">
        <v>521</v>
      </c>
      <c r="K33" s="57"/>
      <c r="L33" s="57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6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6" t="str">
        <f>D1_FEBRERO_2026[[#This Row],[SUPER2]]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6">
        <f>IF(D1_FEBRERO_2026[[#This Row],[RECUPERO]]="VACACIONES","VACACIONES",IFERROR(D1_FEBRERO_2026[[#This Row],[RECUPERO]]/D1_FEBRERO_2026[[#This Row],[META]],""))</f>
        <v>1.1268388888888889</v>
      </c>
      <c r="E34" s="36" t="s">
        <v>6</v>
      </c>
      <c r="F34" t="s">
        <v>37</v>
      </c>
      <c r="G34" s="3">
        <v>101415.5</v>
      </c>
      <c r="H34" t="s">
        <v>418</v>
      </c>
      <c r="I34" s="57">
        <v>45112</v>
      </c>
      <c r="J34" s="57" t="s">
        <v>521</v>
      </c>
      <c r="K34" s="57"/>
      <c r="L34" s="57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6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6" t="str">
        <f>D1_FEBRERO_2026[[#This Row],[SUPER2]]</f>
        <v>GUSTAVO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6">
        <f>IF(D1_FEBRERO_2026[[#This Row],[RECUPERO]]="VACACIONES","VACACIONES",IFERROR(D1_FEBRERO_2026[[#This Row],[RECUPERO]]/D1_FEBRERO_2026[[#This Row],[META]],""))</f>
        <v>2.7234042553191489E-2</v>
      </c>
      <c r="E35" s="36" t="s">
        <v>124</v>
      </c>
      <c r="F35" t="s">
        <v>571</v>
      </c>
      <c r="G35" s="3">
        <v>640</v>
      </c>
      <c r="H35" t="s">
        <v>572</v>
      </c>
      <c r="I35" s="57">
        <v>46064</v>
      </c>
      <c r="J35" s="57" t="s">
        <v>521</v>
      </c>
      <c r="K35" s="57"/>
      <c r="L35" s="57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6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6" t="str">
        <f>D1_FEBRERO_2026[[#This Row],[SUPER2]]</f>
        <v>GUSTAVO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6">
        <f>IF(D1_FEBRERO_2026[[#This Row],[RECUPERO]]="VACACIONES","VACACIONES",IFERROR(D1_FEBRERO_2026[[#This Row],[RECUPERO]]/D1_FEBRERO_2026[[#This Row],[META]],""))</f>
        <v>1.0220221276595745</v>
      </c>
      <c r="E36" s="36" t="s">
        <v>124</v>
      </c>
      <c r="F36" t="s">
        <v>77</v>
      </c>
      <c r="G36" s="3">
        <v>24017.52</v>
      </c>
      <c r="H36" t="s">
        <v>411</v>
      </c>
      <c r="I36" s="57">
        <v>44838</v>
      </c>
      <c r="J36" s="57" t="s">
        <v>521</v>
      </c>
      <c r="K36" s="57"/>
      <c r="L36" s="57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571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6" t="str">
        <f>D1_FEBRERO_2026[[#This Row],[SUPER2]]</f>
        <v>KENNETH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6">
        <f>IF(D1_FEBRERO_2026[[#This Row],[RECUPERO]]="VACACIONES","VACACIONES",IFERROR(D1_FEBRERO_2026[[#This Row],[RECUPERO]]/D1_FEBRERO_2026[[#This Row],[META]],""))</f>
        <v>1.3504444444444443</v>
      </c>
      <c r="E37" s="36" t="s">
        <v>6</v>
      </c>
      <c r="F37" t="s">
        <v>35</v>
      </c>
      <c r="G37" s="3">
        <v>121540</v>
      </c>
      <c r="H37" t="s">
        <v>419</v>
      </c>
      <c r="I37" s="57">
        <v>44746</v>
      </c>
      <c r="J37" s="57" t="s">
        <v>521</v>
      </c>
      <c r="K37" s="57"/>
      <c r="L37" s="57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6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6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6" t="str">
        <f>D1_FEBRERO_2026[[#This Row],[SUPER2]]</f>
        <v>KENNETH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6">
        <f>IF(D1_FEBRERO_2026[[#This Row],[RECUPERO]]="VACACIONES","VACACIONES",IFERROR(D1_FEBRERO_2026[[#This Row],[RECUPERO]]/D1_FEBRERO_2026[[#This Row],[META]],""))</f>
        <v>0.6435849056603774</v>
      </c>
      <c r="E38" s="36" t="s">
        <v>6</v>
      </c>
      <c r="F38" t="s">
        <v>50</v>
      </c>
      <c r="G38" s="3">
        <v>17055</v>
      </c>
      <c r="H38" t="s">
        <v>420</v>
      </c>
      <c r="I38" s="57">
        <v>45789</v>
      </c>
      <c r="J38" s="57" t="s">
        <v>521</v>
      </c>
      <c r="K38" s="57"/>
      <c r="L38" s="57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6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6" t="str">
        <f>D1_FEBRERO_2026[[#This Row],[SUPER2]]</f>
        <v>SANDY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6.6159999999999997E-2</v>
      </c>
      <c r="E39" s="36" t="s">
        <v>3</v>
      </c>
      <c r="F39" t="s">
        <v>33</v>
      </c>
      <c r="G39" s="3">
        <v>3308</v>
      </c>
      <c r="H39" t="s">
        <v>457</v>
      </c>
      <c r="I39" s="57">
        <v>44867</v>
      </c>
      <c r="J39" s="57" t="s">
        <v>521</v>
      </c>
      <c r="K39" s="57"/>
      <c r="L39" s="57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6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6" t="str">
        <f>D1_FEBRERO_2026[[#This Row],[SUPER2]]</f>
        <v>SANDY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1.4429000000000001</v>
      </c>
      <c r="E40" s="36" t="s">
        <v>3</v>
      </c>
      <c r="F40" t="s">
        <v>23</v>
      </c>
      <c r="G40" s="3">
        <v>72145</v>
      </c>
      <c r="H40" t="s">
        <v>463</v>
      </c>
      <c r="I40" s="57">
        <v>44109</v>
      </c>
      <c r="J40" s="57" t="s">
        <v>521</v>
      </c>
      <c r="K40" s="57"/>
      <c r="L40" s="57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6" t="str">
        <f>D1_FEBRERO_2026[[#This Row],[SUPER2]]</f>
        <v>SANDY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0.57272000000000001</v>
      </c>
      <c r="E41" s="36" t="s">
        <v>3</v>
      </c>
      <c r="F41" t="s">
        <v>31</v>
      </c>
      <c r="G41" s="3">
        <v>28636</v>
      </c>
      <c r="H41" t="s">
        <v>421</v>
      </c>
      <c r="I41" s="57">
        <v>45334</v>
      </c>
      <c r="J41" s="57" t="s">
        <v>521</v>
      </c>
      <c r="K41" s="57"/>
      <c r="L41" s="57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6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6" t="str">
        <f>D1_FEBRERO_2026[[#This Row],[SUPER2]]</f>
        <v>JORGE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6">
        <f>IF(D1_FEBRERO_2026[[#This Row],[RECUPERO]]="VACACIONES","VACACIONES",IFERROR(D1_FEBRERO_2026[[#This Row],[RECUPERO]]/D1_FEBRERO_2026[[#This Row],[META]],""))</f>
        <v>1.2064250000000001</v>
      </c>
      <c r="E42" s="36" t="s">
        <v>2</v>
      </c>
      <c r="F42" t="s">
        <v>29</v>
      </c>
      <c r="G42" s="3">
        <v>33779.9</v>
      </c>
      <c r="H42" t="s">
        <v>434</v>
      </c>
      <c r="I42" s="57">
        <v>44685</v>
      </c>
      <c r="J42" s="57" t="s">
        <v>521</v>
      </c>
      <c r="K42" s="57"/>
      <c r="L42" s="57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6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6" t="str">
        <f>D1_FEBRERO_2026[[#This Row],[SUPER2]]</f>
        <v>JORGE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6">
        <f>IF(D1_FEBRERO_2026[[#This Row],[RECUPERO]]="VACACIONES","VACACIONES",IFERROR(D1_FEBRERO_2026[[#This Row],[RECUPERO]]/D1_FEBRERO_2026[[#This Row],[META]],""))</f>
        <v>0.97503571428571434</v>
      </c>
      <c r="E43" s="36" t="s">
        <v>2</v>
      </c>
      <c r="F43" t="s">
        <v>25</v>
      </c>
      <c r="G43" s="3">
        <v>27301</v>
      </c>
      <c r="H43" t="s">
        <v>464</v>
      </c>
      <c r="I43" s="57">
        <v>44818</v>
      </c>
      <c r="J43" s="57" t="s">
        <v>521</v>
      </c>
      <c r="K43" s="57"/>
      <c r="L43" s="57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6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6" t="str">
        <f>D1_FEBRERO_2026[[#This Row],[SUPER2]]</f>
        <v>SANDY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1.6110899999999999</v>
      </c>
      <c r="E44" s="36" t="s">
        <v>3</v>
      </c>
      <c r="F44" t="s">
        <v>17</v>
      </c>
      <c r="G44" s="3">
        <v>80554.5</v>
      </c>
      <c r="H44" t="s">
        <v>403</v>
      </c>
      <c r="I44" s="57">
        <v>44886</v>
      </c>
      <c r="J44" s="57" t="s">
        <v>521</v>
      </c>
      <c r="K44" s="57"/>
      <c r="L44" s="57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6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6" t="str">
        <f>D1_FEBRERO_2026[[#This Row],[SUPER2]]</f>
        <v>SANDY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0.74525279999999994</v>
      </c>
      <c r="E45" s="36" t="s">
        <v>3</v>
      </c>
      <c r="F45" t="s">
        <v>208</v>
      </c>
      <c r="G45" s="3">
        <v>37262.639999999999</v>
      </c>
      <c r="H45" t="s">
        <v>556</v>
      </c>
      <c r="I45" s="57">
        <v>46029</v>
      </c>
      <c r="J45" s="57" t="s">
        <v>521</v>
      </c>
      <c r="K45" s="57"/>
      <c r="L45" s="57"/>
      <c r="M45" s="5">
        <f>DATA_FEBRERO_2026[[#This Row],[RECUPERO]]/DATA_FEBRERO_2026[[#This Row],[META]]</f>
        <v>1.6110899999999999</v>
      </c>
      <c r="N45" s="55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6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6" t="str">
        <f>D1_FEBRERO_2026[[#This Row],[SUPER2]]</f>
        <v>JORGE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6">
        <f>IF(D1_FEBRERO_2026[[#This Row],[RECUPERO]]="VACACIONES","VACACIONES",IFERROR(D1_FEBRERO_2026[[#This Row],[RECUPERO]]/D1_FEBRERO_2026[[#This Row],[META]],""))</f>
        <v>1.2590714285714286</v>
      </c>
      <c r="E46" s="36" t="s">
        <v>2</v>
      </c>
      <c r="F46" t="s">
        <v>38</v>
      </c>
      <c r="G46" s="3">
        <v>35254</v>
      </c>
      <c r="H46" t="s">
        <v>487</v>
      </c>
      <c r="I46" s="57">
        <v>45800</v>
      </c>
      <c r="J46" s="57" t="s">
        <v>521</v>
      </c>
      <c r="K46" s="57"/>
      <c r="L46" s="57"/>
      <c r="M46" s="5">
        <f>DATA_FEBRERO_2026[[#This Row],[RECUPERO]]/DATA_FEBRERO_2026[[#This Row],[META]]</f>
        <v>0.74525279999999994</v>
      </c>
      <c r="N46" s="55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6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208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6" t="str">
        <f>D1_FEBRERO_2026[[#This Row],[SUPER2]]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IF(D1_FEBRERO_2026[[#This Row],[RECUPERO]]="VACACIONES","VACACIONES",IFERROR(D1_FEBRERO_2026[[#This Row],[RECUPERO]]/D1_FEBRERO_2026[[#This Row],[META]],""))</f>
        <v>1.5582400000000001</v>
      </c>
      <c r="E47" s="36" t="s">
        <v>125</v>
      </c>
      <c r="F47" t="s">
        <v>75</v>
      </c>
      <c r="G47" s="3">
        <v>77912</v>
      </c>
      <c r="H47" t="s">
        <v>446</v>
      </c>
      <c r="I47" s="57">
        <v>44714</v>
      </c>
      <c r="J47" s="57" t="s">
        <v>521</v>
      </c>
      <c r="K47" s="57"/>
      <c r="L47" s="57"/>
      <c r="M47" s="5">
        <f>DATA_FEBRERO_2026[[#This Row],[RECUPERO]]/DATA_FEBRERO_2026[[#This Row],[META]]</f>
        <v>1.2590714285714286</v>
      </c>
      <c r="N47" s="55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6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6" t="str">
        <f>D1_FEBRERO_2026[[#This Row],[SUPER2]]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IF(D1_FEBRERO_2026[[#This Row],[RECUPERO]]="VACACIONES","VACACIONES",IFERROR(D1_FEBRERO_2026[[#This Row],[RECUPERO]]/D1_FEBRERO_2026[[#This Row],[META]],""))</f>
        <v>0.24057999999999999</v>
      </c>
      <c r="E48" s="36" t="s">
        <v>125</v>
      </c>
      <c r="F48" t="s">
        <v>207</v>
      </c>
      <c r="G48" s="3">
        <v>12029</v>
      </c>
      <c r="H48" t="s">
        <v>555</v>
      </c>
      <c r="I48" s="57">
        <v>46024</v>
      </c>
      <c r="J48" s="57" t="s">
        <v>521</v>
      </c>
      <c r="K48" s="57"/>
      <c r="L48" s="57"/>
      <c r="M48" s="5">
        <f>DATA_FEBRERO_2026[[#This Row],[RECUPERO]]/DATA_FEBRERO_2026[[#This Row],[META]]</f>
        <v>1.5582400000000001</v>
      </c>
      <c r="N48" s="55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6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6" t="str">
        <f>D1_FEBRERO_2026[[#This Row],[SUPER2]]</f>
        <v>GUSTAVO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6">
        <f>IF(D1_FEBRERO_2026[[#This Row],[RECUPERO]]="VACACIONES","VACACIONES",IFERROR(D1_FEBRERO_2026[[#This Row],[RECUPERO]]/D1_FEBRERO_2026[[#This Row],[META]],""))</f>
        <v>0.73574468085106381</v>
      </c>
      <c r="E49" s="36" t="s">
        <v>124</v>
      </c>
      <c r="F49" t="s">
        <v>55</v>
      </c>
      <c r="G49" s="3">
        <v>17290</v>
      </c>
      <c r="H49" t="s">
        <v>493</v>
      </c>
      <c r="I49" s="57">
        <v>45813</v>
      </c>
      <c r="J49" s="57" t="s">
        <v>521</v>
      </c>
      <c r="K49" s="57"/>
      <c r="L49" s="57"/>
      <c r="M49" s="5">
        <f>DATA_FEBRERO_2026[[#This Row],[RECUPERO]]/DATA_FEBRERO_2026[[#This Row],[META]]</f>
        <v>0.24057999999999999</v>
      </c>
      <c r="N49" s="5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207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6" t="str">
        <f>D1_FEBRERO_2026[[#This Row],[SUPER2]]</f>
        <v>JORGE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6">
        <f>IF(D1_FEBRERO_2026[[#This Row],[RECUPERO]]="VACACIONES","VACACIONES",IFERROR(D1_FEBRERO_2026[[#This Row],[RECUPERO]]/D1_FEBRERO_2026[[#This Row],[META]],""))</f>
        <v>3.5717857142857143</v>
      </c>
      <c r="E50" s="36" t="s">
        <v>2</v>
      </c>
      <c r="F50" t="s">
        <v>79</v>
      </c>
      <c r="G50" s="3">
        <v>100010</v>
      </c>
      <c r="H50" t="s">
        <v>471</v>
      </c>
      <c r="I50" s="57">
        <v>45145</v>
      </c>
      <c r="J50" s="57" t="s">
        <v>521</v>
      </c>
      <c r="K50" s="57"/>
      <c r="L50" s="57"/>
      <c r="M50" s="5">
        <f>DATA_FEBRERO_2026[[#This Row],[RECUPERO]]/DATA_FEBRERO_2026[[#This Row],[META]]</f>
        <v>0.73574468085106381</v>
      </c>
      <c r="N50" s="55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6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6" t="str">
        <f>D1_FEBRERO_2026[[#This Row],[SUPER2]]</f>
        <v>KENNETH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6">
        <f>IF(D1_FEBRERO_2026[[#This Row],[RECUPERO]]="VACACIONES","VACACIONES",IFERROR(D1_FEBRERO_2026[[#This Row],[RECUPERO]]/D1_FEBRERO_2026[[#This Row],[META]],""))</f>
        <v>1.2969843333333335</v>
      </c>
      <c r="E51" s="36" t="s">
        <v>6</v>
      </c>
      <c r="F51" t="s">
        <v>97</v>
      </c>
      <c r="G51" s="3">
        <v>116728.59000000001</v>
      </c>
      <c r="H51" t="s">
        <v>503</v>
      </c>
      <c r="I51" s="57">
        <v>45884</v>
      </c>
      <c r="J51" s="57" t="s">
        <v>521</v>
      </c>
      <c r="K51" s="57"/>
      <c r="L51" s="57"/>
      <c r="M51" s="5">
        <f>DATA_FEBRERO_2026[[#This Row],[RECUPERO]]/DATA_FEBRERO_2026[[#This Row],[META]]</f>
        <v>3.5717857142857143</v>
      </c>
      <c r="N51" s="5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6" t="str">
        <f>D1_FEBRERO_2026[[#This Row],[SUPER2]]</f>
        <v>JOHAN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IF(D1_FEBRERO_2026[[#This Row],[RECUPERO]]="VACACIONES","VACACIONES",IFERROR(D1_FEBRERO_2026[[#This Row],[RECUPERO]]/D1_FEBRERO_2026[[#This Row],[META]],""))</f>
        <v>2.0816599999999998</v>
      </c>
      <c r="E52" s="36" t="s">
        <v>125</v>
      </c>
      <c r="F52" t="s">
        <v>59</v>
      </c>
      <c r="G52" s="3">
        <v>104083</v>
      </c>
      <c r="H52" t="s">
        <v>448</v>
      </c>
      <c r="I52" s="57">
        <v>45344</v>
      </c>
      <c r="J52" s="57" t="s">
        <v>521</v>
      </c>
      <c r="K52" s="57"/>
      <c r="L52" s="57"/>
      <c r="M52" s="5">
        <f>DATA_FEBRERO_2026[[#This Row],[RECUPERO]]/DATA_FEBRERO_2026[[#This Row],[META]]</f>
        <v>1.2969843333333335</v>
      </c>
      <c r="N52" s="55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6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6" t="str">
        <f>D1_FEBRERO_2026[[#This Row],[SUPER2]]</f>
        <v>GUSTAVO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6">
        <f>IF(D1_FEBRERO_2026[[#This Row],[RECUPERO]]="VACACIONES","VACACIONES",IFERROR(D1_FEBRERO_2026[[#This Row],[RECUPERO]]/D1_FEBRERO_2026[[#This Row],[META]],""))</f>
        <v>1.1970212765957446</v>
      </c>
      <c r="E53" s="36" t="s">
        <v>124</v>
      </c>
      <c r="F53" t="s">
        <v>73</v>
      </c>
      <c r="G53" s="3">
        <v>28130</v>
      </c>
      <c r="H53" t="s">
        <v>438</v>
      </c>
      <c r="I53" s="57">
        <v>45141</v>
      </c>
      <c r="J53" s="57" t="s">
        <v>521</v>
      </c>
      <c r="K53" s="57"/>
      <c r="L53" s="57"/>
      <c r="M53" s="5">
        <f>DATA_FEBRERO_2026[[#This Row],[RECUPERO]]/DATA_FEBRERO_2026[[#This Row],[META]]</f>
        <v>2.0816599999999998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6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6" t="str">
        <f>D1_FEBRERO_2026[[#This Row],[SUPER2]]</f>
        <v>KENNETH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6">
        <f>IF(D1_FEBRERO_2026[[#This Row],[RECUPERO]]="VACACIONES","VACACIONES",IFERROR(D1_FEBRERO_2026[[#This Row],[RECUPERO]]/D1_FEBRERO_2026[[#This Row],[META]],""))</f>
        <v>2.0901132075471698</v>
      </c>
      <c r="E54" s="36" t="s">
        <v>6</v>
      </c>
      <c r="F54" t="s">
        <v>34</v>
      </c>
      <c r="G54" s="3">
        <v>55388</v>
      </c>
      <c r="H54" t="s">
        <v>425</v>
      </c>
      <c r="I54" s="57">
        <v>45173</v>
      </c>
      <c r="J54" s="57" t="s">
        <v>521</v>
      </c>
      <c r="K54" s="57"/>
      <c r="M54" s="5">
        <f>DATA_FEBRERO_2026[[#This Row],[RECUPERO]]/DATA_FEBRERO_2026[[#This Row],[META]]</f>
        <v>1.1970212765957446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6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6" t="str">
        <f>D1_FEBRERO_2026[[#This Row],[SUPER2]]</f>
        <v>KENNETH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6">
        <f>IF(D1_FEBRERO_2026[[#This Row],[RECUPERO]]="VACACIONES","VACACIONES",IFERROR(D1_FEBRERO_2026[[#This Row],[RECUPERO]]/D1_FEBRERO_2026[[#This Row],[META]],""))</f>
        <v>0.95699999999999996</v>
      </c>
      <c r="E55" s="36" t="s">
        <v>6</v>
      </c>
      <c r="F55" t="s">
        <v>78</v>
      </c>
      <c r="G55" s="3">
        <v>86130</v>
      </c>
      <c r="H55" t="s">
        <v>415</v>
      </c>
      <c r="I55" s="57">
        <v>44943</v>
      </c>
      <c r="J55" s="57" t="s">
        <v>521</v>
      </c>
      <c r="K55" s="57"/>
      <c r="M55" s="5">
        <f>DATA_FEBRERO_2026[[#This Row],[RECUPERO]]/DATA_FEBRERO_2026[[#This Row],[META]]</f>
        <v>2.0901132075471698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6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6" t="str">
        <f>D1_FEBRERO_2026[[#This Row],[SUPER2]]</f>
        <v>GUSTAVO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6">
        <f>IF(D1_FEBRERO_2026[[#This Row],[RECUPERO]]="VACACIONES","VACACIONES",IFERROR(D1_FEBRERO_2026[[#This Row],[RECUPERO]]/D1_FEBRERO_2026[[#This Row],[META]],""))</f>
        <v>1.1959574468085106</v>
      </c>
      <c r="E56" s="36" t="s">
        <v>124</v>
      </c>
      <c r="F56" t="s">
        <v>48</v>
      </c>
      <c r="G56" s="3">
        <v>28105</v>
      </c>
      <c r="H56" t="s">
        <v>439</v>
      </c>
      <c r="I56" s="57">
        <v>44746</v>
      </c>
      <c r="J56" s="57" t="s">
        <v>521</v>
      </c>
      <c r="K56" s="57"/>
      <c r="M56" s="5">
        <f>DATA_FEBRERO_2026[[#This Row],[RECUPERO]]/DATA_FEBRERO_2026[[#This Row],[META]]</f>
        <v>0.95699999999999996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6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6" t="str">
        <f>D1_FEBRERO_2026[[#This Row],[SUPER2]]</f>
        <v>JOHAN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7">
        <f>IF(D1_FEBRERO_2026[[#This Row],[RECUPERO]]="","",VLOOKUP($M$3&amp;$N$3&amp;D1_FEBRERO_2026[[#This Row],[SUPER]],TablaMeta[],6,0))</f>
        <v>50000</v>
      </c>
      <c r="D57" s="36">
        <f>IF(D1_FEBRERO_2026[[#This Row],[RECUPERO]]="VACACIONES","VACACIONES",IFERROR(D1_FEBRERO_2026[[#This Row],[RECUPERO]]/D1_FEBRERO_2026[[#This Row],[META]],""))</f>
        <v>0.96316000000000002</v>
      </c>
      <c r="E57" s="36" t="s">
        <v>125</v>
      </c>
      <c r="F57" t="s">
        <v>10</v>
      </c>
      <c r="G57" s="3">
        <v>48158</v>
      </c>
      <c r="H57" t="s">
        <v>467</v>
      </c>
      <c r="I57" s="57">
        <v>44704</v>
      </c>
      <c r="J57" s="57" t="s">
        <v>521</v>
      </c>
      <c r="M57" s="5">
        <f>DATA_FEBRERO_2026[[#This Row],[RECUPERO]]/DATA_FEBRERO_2026[[#This Row],[META]]</f>
        <v>1.1959574468085106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6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6" t="str">
        <f>D1_FEBRERO_2026[[#This Row],[SUPER2]]</f>
        <v>JORGE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7">
        <f>IF(D1_FEBRERO_2026[[#This Row],[RECUPERO]]="","",VLOOKUP($M$3&amp;$N$3&amp;D1_FEBRERO_2026[[#This Row],[SUPER]],TablaMeta[],6,0))</f>
        <v>28000</v>
      </c>
      <c r="D58" s="36">
        <f>IF(D1_FEBRERO_2026[[#This Row],[RECUPERO]]="VACACIONES","VACACIONES",IFERROR(D1_FEBRERO_2026[[#This Row],[RECUPERO]]/D1_FEBRERO_2026[[#This Row],[META]],""))</f>
        <v>0.82267857142857148</v>
      </c>
      <c r="E58" s="36" t="s">
        <v>2</v>
      </c>
      <c r="F58" t="s">
        <v>76</v>
      </c>
      <c r="G58" s="3">
        <v>23035</v>
      </c>
      <c r="H58" t="s">
        <v>426</v>
      </c>
      <c r="I58" s="57">
        <v>44817</v>
      </c>
      <c r="J58" s="57" t="s">
        <v>521</v>
      </c>
      <c r="M58" s="5">
        <f>DATA_FEBRERO_2026[[#This Row],[RECUPERO]]/DATA_FEBRERO_2026[[#This Row],[META]]</f>
        <v>0.96316000000000002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6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5"/>
      <c r="B59" s="35"/>
      <c r="C59" s="36"/>
      <c r="D59" s="36"/>
      <c r="E59" s="36"/>
      <c r="M59" s="5">
        <f>DATA_FEBRERO_2026[[#This Row],[RECUPERO]]/DATA_FEBRERO_2026[[#This Row],[META]]</f>
        <v>0.82267857142857148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6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topLeftCell="A26" zoomScale="70" zoomScaleNormal="70" workbookViewId="0">
      <selection activeCell="F43" sqref="F42:F43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customWidth="1"/>
    <col min="48" max="53" width="12" customWidth="1"/>
    <col min="54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7"/>
      <c r="K1" s="57"/>
      <c r="L1" s="57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580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69" ht="26.25" x14ac:dyDescent="0.4">
      <c r="A3" s="66" t="str">
        <f>IFERROR(VLOOKUP(D1_MARZO_2026[[#This Row],[ASESOR_CRR]],PLANTILLA_ACTUAL[],2,0),"")</f>
        <v>LEONOR</v>
      </c>
      <c r="B3" s="66" t="str" cm="1">
        <f t="array" ref="B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ALEJANDRA QUISPE</v>
      </c>
      <c r="C3" s="67"/>
      <c r="D3" s="67"/>
      <c r="E3" s="67" t="str">
        <f>IFERROR(VLOOKUP(D1_MARZO_2026[[#This Row],[ASESOR_CRR]],PLANTILLA_ACTUAL[],2,0),"")</f>
        <v>LEONOR</v>
      </c>
      <c r="F3" s="66" t="s">
        <v>58</v>
      </c>
      <c r="G3" s="66"/>
      <c r="H3" s="66">
        <f>VLOOKUP(D1_MARZO_2026[[#This Row],[ASESOR_CRR]],DIM!$C:$E,2,0)</f>
        <v>72519113</v>
      </c>
      <c r="I3" s="68">
        <f>VLOOKUP(D1_MARZO_2026[[#This Row],[ASESOR_CRR]],DIM!$C:$E,3,0)</f>
        <v>43119</v>
      </c>
      <c r="J3" s="68" t="str">
        <f>VLOOKUP(D1_MARZO_2026[[#This Row],[ASESOR_CRR]],PLANTILLA_ACTUAL[],6,0)</f>
        <v>VACACIONES</v>
      </c>
      <c r="K3" s="65"/>
      <c r="L3" s="57"/>
      <c r="M3" s="34">
        <v>2026</v>
      </c>
      <c r="N3" s="34" t="s">
        <v>141</v>
      </c>
      <c r="O3" s="34">
        <v>21</v>
      </c>
    </row>
    <row r="4" spans="1:69" x14ac:dyDescent="0.25">
      <c r="A4" s="66" t="str">
        <f>IFERROR(VLOOKUP(D1_MARZO_2026[[#This Row],[ASESOR_CRR]],PLANTILLA_ACTUAL[],2,0),"")</f>
        <v>KENNETH</v>
      </c>
      <c r="B4" s="66" t="str" cm="1">
        <f t="array" ref="B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LAZARO</v>
      </c>
      <c r="C4" s="67"/>
      <c r="D4" s="67"/>
      <c r="E4" s="67" t="str">
        <f>IFERROR(VLOOKUP(D1_MARZO_2026[[#This Row],[ASESOR_CRR]],PLANTILLA_ACTUAL[],2,0),"")</f>
        <v>KENNETH</v>
      </c>
      <c r="F4" s="66" t="s">
        <v>26</v>
      </c>
      <c r="G4" s="66"/>
      <c r="H4" s="66">
        <f>VLOOKUP(D1_MARZO_2026[[#This Row],[ASESOR_CRR]],DIM!$C:$E,2,0)</f>
        <v>41005089</v>
      </c>
      <c r="I4" s="68">
        <f>VLOOKUP(D1_MARZO_2026[[#This Row],[ASESOR_CRR]],DIM!$C:$E,3,0)</f>
        <v>44257</v>
      </c>
      <c r="J4" s="68" t="str">
        <f>VLOOKUP(D1_MARZO_2026[[#This Row],[ASESOR_CRR]],PLANTILLA_ACTUAL[],6,0)</f>
        <v>VACACIONES</v>
      </c>
      <c r="K4" s="65"/>
      <c r="L4" s="57"/>
      <c r="N4" s="5"/>
      <c r="O4"/>
      <c r="S4" s="46"/>
    </row>
    <row r="5" spans="1:69" x14ac:dyDescent="0.25">
      <c r="A5" s="66" t="str">
        <f>IFERROR(VLOOKUP(D1_MARZO_2026[[#This Row],[ASESOR_CRR]],PLANTILLA_ACTUAL[],2,0),"")</f>
        <v>JOHAN</v>
      </c>
      <c r="B5" s="66" t="str" cm="1">
        <f t="array" ref="B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TASAYCO</v>
      </c>
      <c r="C5" s="67"/>
      <c r="D5" s="67"/>
      <c r="E5" s="67" t="str">
        <f>IFERROR(VLOOKUP(D1_MARZO_2026[[#This Row],[ASESOR_CRR]],PLANTILLA_ACTUAL[],2,0),"")</f>
        <v>JOHAN</v>
      </c>
      <c r="F5" s="66" t="s">
        <v>10</v>
      </c>
      <c r="G5" s="66"/>
      <c r="H5" s="66">
        <f>VLOOKUP(D1_MARZO_2026[[#This Row],[ASESOR_CRR]],DIM!$C:$E,2,0)</f>
        <v>40980108</v>
      </c>
      <c r="I5" s="68">
        <f>VLOOKUP(D1_MARZO_2026[[#This Row],[ASESOR_CRR]],DIM!$C:$E,3,0)</f>
        <v>44704</v>
      </c>
      <c r="J5" s="68" t="str">
        <f>VLOOKUP(D1_MARZO_2026[[#This Row],[ASESOR_CRR]],PLANTILLA_ACTUAL[],6,0)</f>
        <v>VACACIONES</v>
      </c>
      <c r="K5" s="65"/>
      <c r="L5" s="57"/>
      <c r="N5" s="5"/>
      <c r="O5"/>
      <c r="S5" s="46"/>
      <c r="BH5" s="46"/>
    </row>
    <row r="6" spans="1:69" x14ac:dyDescent="0.25">
      <c r="A6" s="70" t="str">
        <f>IFERROR(VLOOKUP(D1_MARZO_2026[[#This Row],[ASESOR_CRR]],PLANTILLA_ACTUAL[],2,0),"")</f>
        <v>JORGE</v>
      </c>
      <c r="B6" s="70" t="str" cm="1">
        <f t="array" ref="B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HAROLD FLORES</v>
      </c>
      <c r="C6" s="67"/>
      <c r="D6" s="67"/>
      <c r="E6" s="71" t="str">
        <f>IFERROR(VLOOKUP(D1_MARZO_2026[[#This Row],[ASESOR_CRR]],PLANTILLA_ACTUAL[],2,0),"")</f>
        <v>JORGE</v>
      </c>
      <c r="F6" s="70" t="s">
        <v>42</v>
      </c>
      <c r="G6" s="79"/>
      <c r="H6" s="70">
        <f>VLOOKUP(D1_MARZO_2026[[#This Row],[ASESOR_CRR]],DIM!$C:$E,2,0)</f>
        <v>73725129</v>
      </c>
      <c r="I6" s="72">
        <f>VLOOKUP(D1_MARZO_2026[[#This Row],[ASESOR_CRR]],DIM!$C:$E,3,0)</f>
        <v>45398</v>
      </c>
      <c r="J6" s="72" t="str">
        <f>VLOOKUP(D1_MARZO_2026[[#This Row],[ASESOR_CRR]],PLANTILLA_ACTUAL[],6,0)</f>
        <v>VACACIONES</v>
      </c>
      <c r="K6" s="65"/>
      <c r="L6" s="57"/>
      <c r="N6" s="5"/>
      <c r="O6"/>
      <c r="S6" s="46"/>
    </row>
    <row r="7" spans="1:69" x14ac:dyDescent="0.25">
      <c r="A7" s="35" t="str">
        <f>IFERROR(VLOOKUP(D1_MARZO_2026[[#This Row],[ASESOR_CRR]],PLANTILLA_ACTUAL[],2,0),"")</f>
        <v>JORGE</v>
      </c>
      <c r="B7" s="35" t="str" cm="1">
        <f t="array" ref="B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EVELY TENORIO</v>
      </c>
      <c r="C7" s="37" cm="1">
        <f t="array" ref="C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7" s="36">
        <f>IF(D1_MARZO_2026[[#This Row],[RECUPERO]]="VACACIONES","VACACIONES",IFERROR(D1_MARZO_2026[[#This Row],[RECUPERO]]/D1_MARZO_2026[[#This Row],[META]],""))</f>
        <v>0.22321428571428573</v>
      </c>
      <c r="E7" s="36" t="str">
        <f>IFERROR(VLOOKUP(D1_MARZO_2026[[#This Row],[ASESOR_CRR]],PLANTILLA_ACTUAL[],2,0),"")</f>
        <v>JORGE</v>
      </c>
      <c r="F7" s="35" t="s">
        <v>22</v>
      </c>
      <c r="G7" s="37">
        <v>12500</v>
      </c>
      <c r="H7" s="35">
        <f>VLOOKUP(D1_MARZO_2026[[#This Row],[ASESOR_CRR]],DIM!$C:$E,2,0)</f>
        <v>70551168</v>
      </c>
      <c r="I7" s="65">
        <f>VLOOKUP(D1_MARZO_2026[[#This Row],[ASESOR_CRR]],DIM!$C:$E,3,0)</f>
        <v>45295</v>
      </c>
      <c r="J7" s="65" t="str">
        <f>VLOOKUP(D1_MARZO_2026[[#This Row],[ASESOR_CRR]],PLANTILLA_ACTUAL[],6,0)</f>
        <v>CALL</v>
      </c>
      <c r="K7" s="65"/>
      <c r="L7" s="57"/>
      <c r="M7" s="1"/>
      <c r="N7" s="5"/>
      <c r="O7"/>
    </row>
    <row r="8" spans="1:69" x14ac:dyDescent="0.25">
      <c r="A8" s="35" t="str">
        <f>IFERROR(VLOOKUP(D1_MARZO_2026[[#This Row],[ASESOR_CRR]],PLANTILLA_ACTUAL[],2,0),"")</f>
        <v>JORGE</v>
      </c>
      <c r="B8" s="35" t="str" cm="1">
        <f t="array" ref="B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ANDERSON RODRIGUEZ</v>
      </c>
      <c r="C8" s="37" cm="1">
        <f t="array" ref="C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8" s="36">
        <f>IF(D1_MARZO_2026[[#This Row],[RECUPERO]]="VACACIONES","VACACIONES",IFERROR(D1_MARZO_2026[[#This Row],[RECUPERO]]/D1_MARZO_2026[[#This Row],[META]],""))</f>
        <v>0.16071428571428573</v>
      </c>
      <c r="E8" s="36" t="str">
        <f>IFERROR(VLOOKUP(D1_MARZO_2026[[#This Row],[ASESOR_CRR]],PLANTILLA_ACTUAL[],2,0),"")</f>
        <v>JORGE</v>
      </c>
      <c r="F8" s="35" t="s">
        <v>15</v>
      </c>
      <c r="G8" s="37">
        <v>9000</v>
      </c>
      <c r="H8" s="35">
        <f>VLOOKUP(D1_MARZO_2026[[#This Row],[ASESOR_CRR]],DIM!$C:$E,2,0)</f>
        <v>47587400</v>
      </c>
      <c r="I8" s="65">
        <f>VLOOKUP(D1_MARZO_2026[[#This Row],[ASESOR_CRR]],DIM!$C:$E,3,0)</f>
        <v>44733</v>
      </c>
      <c r="J8" s="65" t="str">
        <f>VLOOKUP(D1_MARZO_2026[[#This Row],[ASESOR_CRR]],PLANTILLA_ACTUAL[],6,0)</f>
        <v>CALL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523</v>
      </c>
      <c r="T8" s="14" t="s">
        <v>545</v>
      </c>
      <c r="U8" s="14" t="s">
        <v>549</v>
      </c>
      <c r="V8" s="14" t="s">
        <v>524</v>
      </c>
      <c r="W8" s="14" t="s">
        <v>525</v>
      </c>
      <c r="X8" s="14" t="s">
        <v>528</v>
      </c>
      <c r="Y8" s="14" t="s">
        <v>546</v>
      </c>
      <c r="Z8" s="14" t="s">
        <v>550</v>
      </c>
      <c r="AA8" s="14" t="s">
        <v>529</v>
      </c>
      <c r="AB8" s="14" t="s">
        <v>530</v>
      </c>
      <c r="AC8" s="14" t="s">
        <v>533</v>
      </c>
      <c r="AD8" s="14" t="s">
        <v>547</v>
      </c>
      <c r="AE8" s="14" t="s">
        <v>551</v>
      </c>
      <c r="AF8" s="14" t="s">
        <v>534</v>
      </c>
      <c r="AG8" s="14" t="s">
        <v>535</v>
      </c>
      <c r="AH8" s="14" t="s">
        <v>538</v>
      </c>
      <c r="AI8" s="14" t="s">
        <v>548</v>
      </c>
      <c r="AJ8" s="14" t="s">
        <v>552</v>
      </c>
      <c r="AK8" s="14" t="s">
        <v>539</v>
      </c>
      <c r="AL8" s="14" t="s">
        <v>540</v>
      </c>
      <c r="AM8" s="14" t="s">
        <v>543</v>
      </c>
      <c r="AN8" s="14" t="s">
        <v>544</v>
      </c>
      <c r="AO8" s="15" t="s">
        <v>522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523</v>
      </c>
      <c r="AV8" s="20" t="s">
        <v>545</v>
      </c>
      <c r="AW8" s="20" t="s">
        <v>549</v>
      </c>
      <c r="AX8" s="20" t="s">
        <v>524</v>
      </c>
      <c r="AY8" s="20" t="s">
        <v>525</v>
      </c>
      <c r="AZ8" s="20" t="s">
        <v>528</v>
      </c>
      <c r="BA8" s="20" t="s">
        <v>546</v>
      </c>
      <c r="BB8" s="20" t="s">
        <v>550</v>
      </c>
      <c r="BC8" s="20" t="s">
        <v>529</v>
      </c>
      <c r="BD8" s="20" t="s">
        <v>530</v>
      </c>
      <c r="BE8" s="20" t="s">
        <v>533</v>
      </c>
      <c r="BF8" s="20" t="s">
        <v>547</v>
      </c>
      <c r="BG8" s="20" t="s">
        <v>551</v>
      </c>
      <c r="BH8" s="20" t="s">
        <v>534</v>
      </c>
      <c r="BI8" s="20" t="s">
        <v>535</v>
      </c>
      <c r="BJ8" s="20" t="s">
        <v>538</v>
      </c>
      <c r="BK8" s="20" t="s">
        <v>548</v>
      </c>
      <c r="BL8" s="20" t="s">
        <v>552</v>
      </c>
      <c r="BM8" s="20" t="s">
        <v>539</v>
      </c>
      <c r="BN8" s="20" t="s">
        <v>540</v>
      </c>
      <c r="BO8" s="20" t="s">
        <v>543</v>
      </c>
      <c r="BP8" s="20" t="s">
        <v>544</v>
      </c>
      <c r="BQ8" s="19" t="s">
        <v>134</v>
      </c>
    </row>
    <row r="9" spans="1:69" x14ac:dyDescent="0.25">
      <c r="A9" s="35" t="str">
        <f>IFERROR(VLOOKUP(D1_MARZO_2026[[#This Row],[ASESOR_CRR]],PLANTILLA_ACTUAL[],2,0),"")</f>
        <v>JORGE</v>
      </c>
      <c r="B9" s="35" t="str" cm="1">
        <f t="array" ref="B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LISELY MERA</v>
      </c>
      <c r="C9" s="37" cm="1">
        <f t="array" ref="C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9" s="36">
        <f>IF(D1_MARZO_2026[[#This Row],[RECUPERO]]="VACACIONES","VACACIONES",IFERROR(D1_MARZO_2026[[#This Row],[RECUPERO]]/D1_MARZO_2026[[#This Row],[META]],""))</f>
        <v>6.294642857142857E-2</v>
      </c>
      <c r="E9" s="36" t="str">
        <f>IFERROR(VLOOKUP(D1_MARZO_2026[[#This Row],[ASESOR_CRR]],PLANTILLA_ACTUAL[],2,0),"")</f>
        <v>JORGE</v>
      </c>
      <c r="F9" s="35" t="s">
        <v>23</v>
      </c>
      <c r="G9" s="37">
        <v>3525</v>
      </c>
      <c r="H9" s="35">
        <f>VLOOKUP(D1_MARZO_2026[[#This Row],[ASESOR_CRR]],DIM!$C:$E,2,0)</f>
        <v>72413556</v>
      </c>
      <c r="I9" s="65">
        <f>VLOOKUP(D1_MARZO_2026[[#This Row],[ASESOR_CRR]],DIM!$C:$E,3,0)</f>
        <v>44109</v>
      </c>
      <c r="J9" s="65" t="str">
        <f>VLOOKUP(D1_MARZO_2026[[#This Row],[ASESOR_CRR]],PLANTILLA_ACTUAL[],6,0)</f>
        <v>CALL</v>
      </c>
      <c r="K9" s="65"/>
      <c r="L9" s="57"/>
      <c r="M9" s="5">
        <f>DATA_MARZO_2026[[#This Row],[RECUPERO]]/DATA_MARZO_2026[[#This Row],[META]]</f>
        <v>5.3571428571428572E-3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IFERROR(VLOOKUP(DATA_MARZO_2026[[#This Row],[ASER_]],$B:$G,4,0),"")</f>
        <v>JORGE</v>
      </c>
      <c r="P9" s="6">
        <f>VLOOKUP(DATA_MARZO_2026[[#This Row],[ASER_]],D1_MARZO_2026[[ASESOR_CRR]:[RECUPERO]],6,0)</f>
        <v>300</v>
      </c>
      <c r="Q9" s="6">
        <f>VLOOKUP(DATA_MARZO_2026[[#This Row],[ASER_]],D1_MARZO_2026[[ASESOR_CRR]:[META]],2,0)</f>
        <v>56000</v>
      </c>
      <c r="R9" t="s">
        <v>208</v>
      </c>
      <c r="S9">
        <v>0</v>
      </c>
      <c r="T9">
        <v>0</v>
      </c>
      <c r="AO9" t="str">
        <f>VLOOKUP($M$3&amp;$N$3&amp;DATA_MARZO_2026[[#This Row],[SUPERVISOR]],TablaMeta[],7,0)</f>
        <v>S1</v>
      </c>
      <c r="AQ9" s="11">
        <f>VLOOKUP($M$3&amp;$N$3&amp;DITE_MARZO_2026[[#This Row],[SUPER]],TablaMeta[],5,0)</f>
        <v>509500</v>
      </c>
      <c r="AR9" s="11">
        <f>MAX(DITE_MARZO_2026[[#This Row],[SUPER]:[CARTERA]])</f>
        <v>33458</v>
      </c>
      <c r="AS9" s="17">
        <f>IFERROR(DITE_MARZO_2026[[#This Row],[RECUPERO SUPERVISOR]]/DITE_MARZO_2026[[#This Row],[META SUPER]],"")</f>
        <v>6.5668302257114813E-2</v>
      </c>
      <c r="AT9" s="11" t="s">
        <v>3</v>
      </c>
      <c r="AU9" s="47">
        <v>6083.4</v>
      </c>
      <c r="AV9" s="47">
        <v>33458</v>
      </c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11" t="str">
        <f>VLOOKUP($M$3&amp;$N$3&amp;DITE_MARZO_2026[[#This Row],[SUPER]],TablaMeta[],7,0)</f>
        <v>S0</v>
      </c>
    </row>
    <row r="10" spans="1:69" x14ac:dyDescent="0.25">
      <c r="A10" s="35" t="str">
        <f>IFERROR(VLOOKUP(D1_MARZO_2026[[#This Row],[ASESOR_CRR]],PLANTILLA_ACTUAL[],2,0),"")</f>
        <v>JORGE</v>
      </c>
      <c r="B10" s="35" t="str" cm="1">
        <f t="array" ref="B1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JHONATAN CHAVEZ</v>
      </c>
      <c r="C10" s="37" cm="1">
        <f t="array" ref="C1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0" s="36">
        <f>IF(D1_MARZO_2026[[#This Row],[RECUPERO]]="VACACIONES","VACACIONES",IFERROR(D1_MARZO_2026[[#This Row],[RECUPERO]]/D1_MARZO_2026[[#This Row],[META]],""))</f>
        <v>1.2500000000000001E-2</v>
      </c>
      <c r="E10" s="36" t="str">
        <f>IFERROR(VLOOKUP(D1_MARZO_2026[[#This Row],[ASESOR_CRR]],PLANTILLA_ACTUAL[],2,0),"")</f>
        <v>JORGE</v>
      </c>
      <c r="F10" s="35" t="s">
        <v>65</v>
      </c>
      <c r="G10" s="37">
        <v>700</v>
      </c>
      <c r="H10" s="35">
        <f>VLOOKUP(D1_MARZO_2026[[#This Row],[ASESOR_CRR]],DIM!$C:$E,2,0)</f>
        <v>47659267</v>
      </c>
      <c r="I10" s="65">
        <f>VLOOKUP(D1_MARZO_2026[[#This Row],[ASESOR_CRR]],DIM!$C:$E,3,0)</f>
        <v>45019</v>
      </c>
      <c r="J10" s="65" t="str">
        <f>VLOOKUP(D1_MARZO_2026[[#This Row],[ASESOR_CRR]],PLANTILLA_ACTUAL[],6,0)</f>
        <v>CALL</v>
      </c>
      <c r="K10" s="65"/>
      <c r="L10" s="57"/>
      <c r="M10" s="5">
        <f>DATA_MARZO_2026[[#This Row],[RECUPERO]]/DATA_MARZO_2026[[#This Row],[META]]</f>
        <v>0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6" t="str">
        <f>IFERROR(VLOOKUP(DATA_MARZO_2026[[#This Row],[ASER_]],$B:$G,4,0),"")</f>
        <v>JORGE</v>
      </c>
      <c r="P10" s="6">
        <f>VLOOKUP(DATA_MARZO_2026[[#This Row],[ASER_]],D1_MARZO_2026[[ASESOR_CRR]:[RECUPERO]],6,0)</f>
        <v>0</v>
      </c>
      <c r="Q10" s="6">
        <f>VLOOKUP(DATA_MARZO_2026[[#This Row],[ASER_]],D1_MARZO_2026[[ASESOR_CRR]:[META]],2,0)</f>
        <v>56000</v>
      </c>
      <c r="R10" t="s">
        <v>395</v>
      </c>
      <c r="S10">
        <v>0</v>
      </c>
      <c r="T10">
        <v>0</v>
      </c>
      <c r="AO10" t="str">
        <f>VLOOKUP($M$3&amp;$N$3&amp;DATA_MARZO_2026[[#This Row],[SUPERVISOR]],TablaMeta[],7,0)</f>
        <v>S1</v>
      </c>
      <c r="AQ10" s="12">
        <f>VLOOKUP($M$3&amp;$N$3&amp;DITE_MARZO_2026[[#This Row],[SUPER]],TablaMeta[],5,0)</f>
        <v>471500</v>
      </c>
      <c r="AR10" s="12">
        <f>MAX(DITE_MARZO_2026[[#This Row],[SUPER]:[CARTERA]])</f>
        <v>9375.5</v>
      </c>
      <c r="AS10" s="18">
        <f>IFERROR(DITE_MARZO_2026[[#This Row],[RECUPERO SUPERVISOR]]/DITE_MARZO_2026[[#This Row],[META SUPER]],"")</f>
        <v>1.9884411452810179E-2</v>
      </c>
      <c r="AT10" s="12" t="s">
        <v>6</v>
      </c>
      <c r="AU10" s="47">
        <v>2575.5</v>
      </c>
      <c r="AV10" s="47">
        <v>9375.5</v>
      </c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12" t="str">
        <f>VLOOKUP($M$3&amp;$N$3&amp;DITE_MARZO_2026[[#This Row],[SUPER]],TablaMeta[],7,0)</f>
        <v>S0</v>
      </c>
    </row>
    <row r="11" spans="1:69" x14ac:dyDescent="0.25">
      <c r="A11" s="35" t="str">
        <f>IFERROR(VLOOKUP(D1_MARZO_2026[[#This Row],[ASESOR_CRR]],PLANTILLA_ACTUAL[],2,0),"")</f>
        <v>JORGE</v>
      </c>
      <c r="B11" s="35" t="str" cm="1">
        <f t="array" ref="B1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MARGARITA PIANCHACHI</v>
      </c>
      <c r="C11" s="37" cm="1">
        <f t="array" ref="C1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1" s="36">
        <f>IF(D1_MARZO_2026[[#This Row],[RECUPERO]]="VACACIONES","VACACIONES",IFERROR(D1_MARZO_2026[[#This Row],[RECUPERO]]/D1_MARZO_2026[[#This Row],[META]],""))</f>
        <v>1.1357142857142857E-2</v>
      </c>
      <c r="E11" s="36" t="str">
        <f>IFERROR(VLOOKUP(D1_MARZO_2026[[#This Row],[ASESOR_CRR]],PLANTILLA_ACTUAL[],2,0),"")</f>
        <v>JORGE</v>
      </c>
      <c r="F11" s="35" t="s">
        <v>17</v>
      </c>
      <c r="G11" s="37">
        <v>636</v>
      </c>
      <c r="H11" s="35">
        <f>VLOOKUP(D1_MARZO_2026[[#This Row],[ASESOR_CRR]],DIM!$C:$E,2,0)</f>
        <v>70876605</v>
      </c>
      <c r="I11" s="65">
        <f>VLOOKUP(D1_MARZO_2026[[#This Row],[ASESOR_CRR]],DIM!$C:$E,3,0)</f>
        <v>44886</v>
      </c>
      <c r="J11" s="65" t="str">
        <f>VLOOKUP(D1_MARZO_2026[[#This Row],[ASESOR_CRR]],PLANTILLA_ACTUAL[],6,0)</f>
        <v>CALL</v>
      </c>
      <c r="K11" s="65"/>
      <c r="L11" s="57"/>
      <c r="M11" s="5">
        <f>DATA_MARZO_2026[[#This Row],[RECUPERO]]/DATA_MARZO_2026[[#This Row],[META]]</f>
        <v>6.294642857142857E-2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6" t="str">
        <f>IFERROR(VLOOKUP(DATA_MARZO_2026[[#This Row],[ASER_]],$B:$G,4,0),"")</f>
        <v>JORGE</v>
      </c>
      <c r="P11" s="6">
        <f>VLOOKUP(DATA_MARZO_2026[[#This Row],[ASER_]],D1_MARZO_2026[[ASESOR_CRR]:[RECUPERO]],6,0)</f>
        <v>3525</v>
      </c>
      <c r="Q11" s="6">
        <f>VLOOKUP(DATA_MARZO_2026[[#This Row],[ASER_]],D1_MARZO_2026[[ASESOR_CRR]:[META]],2,0)</f>
        <v>56000</v>
      </c>
      <c r="R11" t="s">
        <v>23</v>
      </c>
      <c r="S11">
        <v>420</v>
      </c>
      <c r="T11">
        <v>3105</v>
      </c>
      <c r="AO11" t="str">
        <f>VLOOKUP($M$3&amp;$N$3&amp;DATA_MARZO_2026[[#This Row],[SUPERVISOR]],TablaMeta[],7,0)</f>
        <v>S1</v>
      </c>
      <c r="AQ11" s="11">
        <f>VLOOKUP($M$3&amp;$N$3&amp;DITE_MARZO_2026[[#This Row],[SUPER]],TablaMeta[],5,0)</f>
        <v>616000</v>
      </c>
      <c r="AR11" s="11">
        <f>MAX(DITE_MARZO_2026[[#This Row],[SUPER]:[CARTERA]])</f>
        <v>27622</v>
      </c>
      <c r="AS11" s="17">
        <f>IFERROR(DITE_MARZO_2026[[#This Row],[RECUPERO SUPERVISOR]]/DITE_MARZO_2026[[#This Row],[META SUPER]],"")</f>
        <v>4.4840909090909091E-2</v>
      </c>
      <c r="AT11" s="11" t="s">
        <v>2</v>
      </c>
      <c r="AU11" s="47">
        <v>5517</v>
      </c>
      <c r="AV11" s="47">
        <v>27622</v>
      </c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11" t="str">
        <f>VLOOKUP($M$3&amp;$N$3&amp;DITE_MARZO_2026[[#This Row],[SUPER]],TablaMeta[],7,0)</f>
        <v>S1</v>
      </c>
    </row>
    <row r="12" spans="1:69" x14ac:dyDescent="0.25">
      <c r="A12" s="35" t="str">
        <f>IFERROR(VLOOKUP(D1_MARZO_2026[[#This Row],[ASESOR_CRR]],PLANTILLA_ACTUAL[],2,0),"")</f>
        <v>JORGE</v>
      </c>
      <c r="B12" s="35" t="str" cm="1">
        <f t="array" ref="B1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FRANCO HUAMANI</v>
      </c>
      <c r="C12" s="37" cm="1">
        <f t="array" ref="C1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2" s="36">
        <f>IF(D1_MARZO_2026[[#This Row],[RECUPERO]]="VACACIONES","VACACIONES",IFERROR(D1_MARZO_2026[[#This Row],[RECUPERO]]/D1_MARZO_2026[[#This Row],[META]],""))</f>
        <v>6.4464285714285717E-3</v>
      </c>
      <c r="E12" s="36" t="str">
        <f>IFERROR(VLOOKUP(D1_MARZO_2026[[#This Row],[ASESOR_CRR]],PLANTILLA_ACTUAL[],2,0),"")</f>
        <v>JORGE</v>
      </c>
      <c r="F12" s="35" t="s">
        <v>24</v>
      </c>
      <c r="G12" s="37">
        <v>361</v>
      </c>
      <c r="H12" s="35">
        <f>VLOOKUP(D1_MARZO_2026[[#This Row],[ASESOR_CRR]],DIM!$C:$E,2,0)</f>
        <v>43614775</v>
      </c>
      <c r="I12" s="65">
        <f>VLOOKUP(D1_MARZO_2026[[#This Row],[ASESOR_CRR]],DIM!$C:$E,3,0)</f>
        <v>45334</v>
      </c>
      <c r="J12" s="65" t="str">
        <f>VLOOKUP(D1_MARZO_2026[[#This Row],[ASESOR_CRR]],PLANTILLA_ACTUAL[],6,0)</f>
        <v>CALL</v>
      </c>
      <c r="K12" s="65"/>
      <c r="L12" s="57"/>
      <c r="M12" s="5">
        <f>DATA_MARZO_2026[[#This Row],[RECUPERO]]/DATA_MARZO_2026[[#This Row],[META]]</f>
        <v>1.2500000000000001E-2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IFERROR(VLOOKUP(DATA_MARZO_2026[[#This Row],[ASER_]],$B:$G,4,0),"")</f>
        <v>JORGE</v>
      </c>
      <c r="P12" s="6">
        <f>VLOOKUP(DATA_MARZO_2026[[#This Row],[ASER_]],D1_MARZO_2026[[ASESOR_CRR]:[RECUPERO]],6,0)</f>
        <v>700</v>
      </c>
      <c r="Q12" s="6">
        <f>VLOOKUP(DATA_MARZO_2026[[#This Row],[ASER_]],D1_MARZO_2026[[ASESOR_CRR]:[META]],2,0)</f>
        <v>56000</v>
      </c>
      <c r="R12" t="s">
        <v>65</v>
      </c>
      <c r="S12">
        <v>700</v>
      </c>
      <c r="T12">
        <v>0</v>
      </c>
      <c r="AO12" t="str">
        <f>VLOOKUP($M$3&amp;$N$3&amp;DATA_MARZO_2026[[#This Row],[SUPERVISOR]],TablaMeta[],7,0)</f>
        <v>S1</v>
      </c>
      <c r="AQ12" s="12">
        <f>VLOOKUP($M$3&amp;$N$3&amp;DITE_MARZO_2026[[#This Row],[SUPER]],TablaMeta[],5,0)</f>
        <v>616000</v>
      </c>
      <c r="AR12" s="12">
        <f>MAX(DITE_MARZO_2026[[#This Row],[SUPER]:[CARTERA]])</f>
        <v>29925</v>
      </c>
      <c r="AS12" s="18">
        <f>IFERROR(DITE_MARZO_2026[[#This Row],[RECUPERO SUPERVISOR]]/DITE_MARZO_2026[[#This Row],[META SUPER]],"")</f>
        <v>4.8579545454545452E-2</v>
      </c>
      <c r="AT12" s="12" t="s">
        <v>125</v>
      </c>
      <c r="AU12" s="47">
        <v>21427</v>
      </c>
      <c r="AV12" s="47">
        <v>29925</v>
      </c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12" t="str">
        <f>VLOOKUP($M$3&amp;$N$3&amp;DITE_MARZO_2026[[#This Row],[SUPER]],TablaMeta[],7,0)</f>
        <v>S1</v>
      </c>
    </row>
    <row r="13" spans="1:69" x14ac:dyDescent="0.25">
      <c r="A13" s="35" t="str">
        <f>IFERROR(VLOOKUP(D1_MARZO_2026[[#This Row],[ASESOR_CRR]],PLANTILLA_ACTUAL[],2,0),"")</f>
        <v>JORGE</v>
      </c>
      <c r="B13" s="35" t="str" cm="1">
        <f t="array" ref="B1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BARRIONUEVO</v>
      </c>
      <c r="C13" s="37" cm="1">
        <f t="array" ref="C1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3" s="36">
        <f>IF(D1_MARZO_2026[[#This Row],[RECUPERO]]="VACACIONES","VACACIONES",IFERROR(D1_MARZO_2026[[#This Row],[RECUPERO]]/D1_MARZO_2026[[#This Row],[META]],""))</f>
        <v>5.3571428571428572E-3</v>
      </c>
      <c r="E13" s="36" t="str">
        <f>IFERROR(VLOOKUP(D1_MARZO_2026[[#This Row],[ASESOR_CRR]],PLANTILLA_ACTUAL[],2,0),"")</f>
        <v>JORGE</v>
      </c>
      <c r="F13" s="35" t="s">
        <v>208</v>
      </c>
      <c r="G13" s="37">
        <v>300</v>
      </c>
      <c r="H13" s="35">
        <f>VLOOKUP(D1_MARZO_2026[[#This Row],[ASESOR_CRR]],DIM!$C:$E,2,0)</f>
        <v>75069320</v>
      </c>
      <c r="I13" s="65">
        <f>VLOOKUP(D1_MARZO_2026[[#This Row],[ASESOR_CRR]],DIM!$C:$E,3,0)</f>
        <v>46029</v>
      </c>
      <c r="J13" s="65" t="str">
        <f>VLOOKUP(D1_MARZO_2026[[#This Row],[ASESOR_CRR]],PLANTILLA_ACTUAL[],6,0)</f>
        <v>CALL</v>
      </c>
      <c r="K13" s="65"/>
      <c r="L13" s="57"/>
      <c r="M13" s="5">
        <f>DATA_MARZO_2026[[#This Row],[RECUPERO]]/DATA_MARZO_2026[[#This Row],[META]]</f>
        <v>0.16071428571428573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6" t="str">
        <f>IFERROR(VLOOKUP(DATA_MARZO_2026[[#This Row],[ASER_]],$B:$G,4,0),"")</f>
        <v>JORGE</v>
      </c>
      <c r="P13" s="6">
        <f>VLOOKUP(DATA_MARZO_2026[[#This Row],[ASER_]],D1_MARZO_2026[[ASESOR_CRR]:[RECUPERO]],6,0)</f>
        <v>9000</v>
      </c>
      <c r="Q13" s="6">
        <f>VLOOKUP(DATA_MARZO_2026[[#This Row],[ASER_]],D1_MARZO_2026[[ASESOR_CRR]:[META]],2,0)</f>
        <v>56000</v>
      </c>
      <c r="R13" t="s">
        <v>15</v>
      </c>
      <c r="S13">
        <v>3400</v>
      </c>
      <c r="T13">
        <v>5600</v>
      </c>
      <c r="AO13" t="str">
        <f>VLOOKUP($M$3&amp;$N$3&amp;DATA_MARZO_2026[[#This Row],[SUPERVISOR]],TablaMeta[],7,0)</f>
        <v>S1</v>
      </c>
      <c r="AQ13" s="11">
        <f>VLOOKUP($M$3&amp;$N$3&amp;DITE_MARZO_2026[[#This Row],[SUPER]],TablaMeta[],5,0)</f>
        <v>271000</v>
      </c>
      <c r="AR13" s="11">
        <f>MAX(DITE_MARZO_2026[[#This Row],[SUPER]:[CARTERA]])</f>
        <v>9866</v>
      </c>
      <c r="AS13" s="17">
        <f>IFERROR(DITE_MARZO_2026[[#This Row],[RECUPERO SUPERVISOR]]/DITE_MARZO_2026[[#This Row],[META SUPER]],"")</f>
        <v>3.6405904059040588E-2</v>
      </c>
      <c r="AT13" s="11" t="s">
        <v>7</v>
      </c>
      <c r="AU13" s="47">
        <v>4810</v>
      </c>
      <c r="AV13" s="47">
        <v>9866</v>
      </c>
      <c r="AW13" s="46"/>
      <c r="AX13" s="47"/>
      <c r="AY13" s="47"/>
      <c r="AZ13" s="47"/>
      <c r="BA13" s="47"/>
      <c r="BB13" s="46"/>
      <c r="BC13" s="47"/>
      <c r="BD13" s="47"/>
      <c r="BE13" s="47"/>
      <c r="BF13" s="46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11" t="str">
        <f>VLOOKUP($M$3&amp;$N$3&amp;DITE_MARZO_2026[[#This Row],[SUPER]],TablaMeta[],7,0)</f>
        <v>S2-3-4</v>
      </c>
    </row>
    <row r="14" spans="1:69" x14ac:dyDescent="0.25">
      <c r="A14" s="35" t="str">
        <f>IFERROR(VLOOKUP(D1_MARZO_2026[[#This Row],[ASESOR_CRR]],PLANTILLA_ACTUAL[],2,0),"")</f>
        <v>JORGE</v>
      </c>
      <c r="B14" s="35" t="str" cm="1">
        <f t="array" ref="B1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ELVIS GUERRERA</v>
      </c>
      <c r="C14" s="37" cm="1">
        <f t="array" ref="C1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4" s="36">
        <f>IF(D1_MARZO_2026[[#This Row],[RECUPERO]]="VACACIONES","VACACIONES",IFERROR(D1_MARZO_2026[[#This Row],[RECUPERO]]/D1_MARZO_2026[[#This Row],[META]],""))</f>
        <v>0</v>
      </c>
      <c r="E14" s="36" t="str">
        <f>IFERROR(VLOOKUP(D1_MARZO_2026[[#This Row],[ASESOR_CRR]],PLANTILLA_ACTUAL[],2,0),"")</f>
        <v>JORGE</v>
      </c>
      <c r="F14" s="35" t="s">
        <v>395</v>
      </c>
      <c r="G14" s="37">
        <v>0</v>
      </c>
      <c r="H14" s="35">
        <f>VLOOKUP(D1_MARZO_2026[[#This Row],[ASESOR_CRR]],DIM!$C:$E,2,0)</f>
        <v>44883074</v>
      </c>
      <c r="I14" s="65">
        <f>VLOOKUP(D1_MARZO_2026[[#This Row],[ASESOR_CRR]],DIM!$C:$E,3,0)</f>
        <v>46038</v>
      </c>
      <c r="J14" s="65" t="str">
        <f>VLOOKUP(D1_MARZO_2026[[#This Row],[ASESOR_CRR]],PLANTILLA_ACTUAL[],6,0)</f>
        <v>CALL</v>
      </c>
      <c r="K14" s="65"/>
      <c r="L14" s="57"/>
      <c r="M14" s="5">
        <f>DATA_MARZO_2026[[#This Row],[RECUPERO]]/DATA_MARZO_2026[[#This Row],[META]]</f>
        <v>1.1357142857142857E-2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IFERROR(VLOOKUP(DATA_MARZO_2026[[#This Row],[ASER_]],$B:$G,4,0),"")</f>
        <v>JORGE</v>
      </c>
      <c r="P14" s="6">
        <f>VLOOKUP(DATA_MARZO_2026[[#This Row],[ASER_]],D1_MARZO_2026[[ASESOR_CRR]:[RECUPERO]],6,0)</f>
        <v>636</v>
      </c>
      <c r="Q14" s="6">
        <f>VLOOKUP(DATA_MARZO_2026[[#This Row],[ASER_]],D1_MARZO_2026[[ASESOR_CRR]:[META]],2,0)</f>
        <v>56000</v>
      </c>
      <c r="R14" t="s">
        <v>17</v>
      </c>
      <c r="S14">
        <v>636</v>
      </c>
      <c r="T14">
        <v>0</v>
      </c>
      <c r="AO14" t="str">
        <f>VLOOKUP($M$3&amp;$N$3&amp;DATA_MARZO_2026[[#This Row],[SUPERVISOR]],TablaMeta[],7,0)</f>
        <v>S1</v>
      </c>
    </row>
    <row r="15" spans="1:69" x14ac:dyDescent="0.25">
      <c r="A15" s="35" t="str">
        <f>IFERROR(VLOOKUP(D1_MARZO_2026[[#This Row],[ASESOR_CRR]],PLANTILLA_ACTUAL[],2,0),"")</f>
        <v>JORGE</v>
      </c>
      <c r="B15" s="35" t="str" cm="1">
        <f t="array" ref="B1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GIANFRANCO PINEDO</v>
      </c>
      <c r="C15" s="37" cm="1">
        <f t="array" ref="C1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5" s="36">
        <f>IF(D1_MARZO_2026[[#This Row],[RECUPERO]]="VACACIONES","VACACIONES",IFERROR(D1_MARZO_2026[[#This Row],[RECUPERO]]/D1_MARZO_2026[[#This Row],[META]],""))</f>
        <v>0</v>
      </c>
      <c r="E15" s="36" t="str">
        <f>IFERROR(VLOOKUP(D1_MARZO_2026[[#This Row],[ASESOR_CRR]],PLANTILLA_ACTUAL[],2,0),"")</f>
        <v>JORGE</v>
      </c>
      <c r="F15" s="35" t="s">
        <v>13</v>
      </c>
      <c r="G15" s="37">
        <v>0</v>
      </c>
      <c r="H15" s="35">
        <f>VLOOKUP(D1_MARZO_2026[[#This Row],[ASESOR_CRR]],DIM!$C:$E,2,0)</f>
        <v>72512391</v>
      </c>
      <c r="I15" s="65">
        <f>VLOOKUP(D1_MARZO_2026[[#This Row],[ASESOR_CRR]],DIM!$C:$E,3,0)</f>
        <v>44809</v>
      </c>
      <c r="J15" s="65" t="str">
        <f>VLOOKUP(D1_MARZO_2026[[#This Row],[ASESOR_CRR]],PLANTILLA_ACTUAL[],6,0)</f>
        <v>CALL</v>
      </c>
      <c r="K15" s="65"/>
      <c r="L15" s="57"/>
      <c r="M15" s="5">
        <f>DATA_MARZO_2026[[#This Row],[RECUPERO]]/DATA_MARZO_2026[[#This Row],[META]]</f>
        <v>6.4464285714285717E-3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&gt;0%</v>
      </c>
      <c r="O15" s="56" t="str">
        <f>IFERROR(VLOOKUP(DATA_MARZO_2026[[#This Row],[ASER_]],$B:$G,4,0),"")</f>
        <v>JORGE</v>
      </c>
      <c r="P15" s="6">
        <f>VLOOKUP(DATA_MARZO_2026[[#This Row],[ASER_]],D1_MARZO_2026[[ASESOR_CRR]:[RECUPERO]],6,0)</f>
        <v>361</v>
      </c>
      <c r="Q15" s="6">
        <f>VLOOKUP(DATA_MARZO_2026[[#This Row],[ASER_]],D1_MARZO_2026[[ASESOR_CRR]:[META]],2,0)</f>
        <v>56000</v>
      </c>
      <c r="R15" t="s">
        <v>24</v>
      </c>
      <c r="S15" s="48">
        <v>361</v>
      </c>
      <c r="T15">
        <v>0</v>
      </c>
      <c r="AO15" t="str">
        <f>VLOOKUP($M$3&amp;$N$3&amp;DATA_MARZO_2026[[#This Row],[SUPERVISOR]],TablaMeta[],7,0)</f>
        <v>S1</v>
      </c>
      <c r="AZ15" s="46"/>
      <c r="BB15" s="46"/>
      <c r="BC15" s="46"/>
      <c r="BE15" s="46"/>
    </row>
    <row r="16" spans="1:69" x14ac:dyDescent="0.25">
      <c r="A16" s="35" t="str">
        <f>IFERROR(VLOOKUP(D1_MARZO_2026[[#This Row],[ASESOR_CRR]],PLANTILLA_ACTUAL[],2,0),"")</f>
        <v>JORGE</v>
      </c>
      <c r="B16" s="35" t="str" cm="1">
        <f t="array" ref="B1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MALORY MONTEBLANCO</v>
      </c>
      <c r="C16" s="37" cm="1">
        <f t="array" ref="C1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6" s="36">
        <f>IF(D1_MARZO_2026[[#This Row],[RECUPERO]]="VACACIONES","VACACIONES",IFERROR(D1_MARZO_2026[[#This Row],[RECUPERO]]/D1_MARZO_2026[[#This Row],[META]],""))</f>
        <v>0</v>
      </c>
      <c r="E16" s="36" t="str">
        <f>IFERROR(VLOOKUP(D1_MARZO_2026[[#This Row],[ASESOR_CRR]],PLANTILLA_ACTUAL[],2,0),"")</f>
        <v>JORGE</v>
      </c>
      <c r="F16" t="s">
        <v>25</v>
      </c>
      <c r="G16" s="3">
        <v>0</v>
      </c>
      <c r="H16">
        <f>VLOOKUP(D1_MARZO_2026[[#This Row],[ASESOR_CRR]],DIM!$C:$E,2,0)</f>
        <v>72373931</v>
      </c>
      <c r="I16" s="57">
        <f>VLOOKUP(D1_MARZO_2026[[#This Row],[ASESOR_CRR]],DIM!$C:$E,3,0)</f>
        <v>44818</v>
      </c>
      <c r="J16" s="57" t="str">
        <f>VLOOKUP(D1_MARZO_2026[[#This Row],[ASESOR_CRR]],PLANTILLA_ACTUAL[],6,0)</f>
        <v>CALL</v>
      </c>
      <c r="K16" s="65"/>
      <c r="L16" s="57"/>
      <c r="M16" s="5">
        <f>DATA_MARZO_2026[[#This Row],[RECUPERO]]/DATA_MARZO_2026[[#This Row],[META]]</f>
        <v>0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IFERROR(VLOOKUP(DATA_MARZO_2026[[#This Row],[ASER_]],$B:$G,4,0),"")</f>
        <v>JORGE</v>
      </c>
      <c r="P16" s="6">
        <f>VLOOKUP(DATA_MARZO_2026[[#This Row],[ASER_]],D1_MARZO_2026[[ASESOR_CRR]:[RECUPERO]],6,0)</f>
        <v>0</v>
      </c>
      <c r="Q16" s="6">
        <f>VLOOKUP(DATA_MARZO_2026[[#This Row],[ASER_]],D1_MARZO_2026[[ASESOR_CRR]:[META]],2,0)</f>
        <v>56000</v>
      </c>
      <c r="R16" t="s">
        <v>13</v>
      </c>
      <c r="S16" s="48">
        <v>0</v>
      </c>
      <c r="T16">
        <v>0</v>
      </c>
      <c r="AO16" t="str">
        <f>VLOOKUP($M$3&amp;$N$3&amp;DATA_MARZO_2026[[#This Row],[SUPERVISOR]],TablaMeta[],7,0)</f>
        <v>S1</v>
      </c>
      <c r="AZ16" s="46"/>
      <c r="BA16" s="46"/>
      <c r="BB16" s="46"/>
      <c r="BC16" s="46"/>
      <c r="BE16" s="46"/>
      <c r="BF16" s="46"/>
      <c r="BG16" s="46"/>
      <c r="BO16" s="46"/>
    </row>
    <row r="17" spans="1:67" x14ac:dyDescent="0.25">
      <c r="A17" s="35" t="str">
        <f>IFERROR(VLOOKUP(D1_MARZO_2026[[#This Row],[ASESOR_CRR]],PLANTILLA_ACTUAL[],2,0),"")</f>
        <v>JORGE</v>
      </c>
      <c r="B17" s="35" t="str" cm="1">
        <f t="array" ref="B1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QUINONES</v>
      </c>
      <c r="C17" s="37" cm="1">
        <f t="array" ref="C1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7" s="36">
        <f>IF(D1_MARZO_2026[[#This Row],[RECUPERO]]="VACACIONES","VACACIONES",IFERROR(D1_MARZO_2026[[#This Row],[RECUPERO]]/D1_MARZO_2026[[#This Row],[META]],""))</f>
        <v>0</v>
      </c>
      <c r="E17" s="36" t="str">
        <f>IFERROR(VLOOKUP(D1_MARZO_2026[[#This Row],[ASESOR_CRR]],PLANTILLA_ACTUAL[],2,0),"")</f>
        <v>JORGE</v>
      </c>
      <c r="F17" t="s">
        <v>588</v>
      </c>
      <c r="G17" s="3">
        <v>0</v>
      </c>
      <c r="H17">
        <f>VLOOKUP(D1_MARZO_2026[[#This Row],[ASESOR_CRR]],DIM!$C:$E,2,0)</f>
        <v>43184866</v>
      </c>
      <c r="I17" s="57">
        <f>VLOOKUP(D1_MARZO_2026[[#This Row],[ASESOR_CRR]],DIM!$C:$E,3,0)</f>
        <v>46083</v>
      </c>
      <c r="J17" s="57" t="str">
        <f>VLOOKUP(D1_MARZO_2026[[#This Row],[ASESOR_CRR]],PLANTILLA_ACTUAL[],6,0)</f>
        <v>CALL</v>
      </c>
      <c r="K17" s="65"/>
      <c r="L17" s="57"/>
      <c r="M17" s="5">
        <f>DATA_MARZO_2026[[#This Row],[RECUPERO]]/DATA_MARZO_2026[[#This Row],[META]]</f>
        <v>0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IFERROR(VLOOKUP(DATA_MARZO_2026[[#This Row],[ASER_]],$B:$G,4,0),"")</f>
        <v>JORGE</v>
      </c>
      <c r="P17" s="6">
        <f>VLOOKUP(DATA_MARZO_2026[[#This Row],[ASER_]],D1_MARZO_2026[[ASESOR_CRR]:[RECUPERO]],6,0)</f>
        <v>0</v>
      </c>
      <c r="Q17" s="6">
        <f>VLOOKUP(DATA_MARZO_2026[[#This Row],[ASER_]],D1_MARZO_2026[[ASESOR_CRR]:[META]],2,0)</f>
        <v>56000</v>
      </c>
      <c r="R17" t="s">
        <v>25</v>
      </c>
      <c r="S17" s="48">
        <v>0</v>
      </c>
      <c r="T17">
        <v>0</v>
      </c>
      <c r="AO17" t="str">
        <f>VLOOKUP($M$3&amp;$N$3&amp;DATA_MARZO_2026[[#This Row],[SUPERVISOR]],TablaMeta[],7,0)</f>
        <v>S1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</row>
    <row r="18" spans="1:67" x14ac:dyDescent="0.25">
      <c r="A18" s="35" t="str">
        <f>IFERROR(VLOOKUP(D1_MARZO_2026[[#This Row],[ASESOR_CRR]],PLANTILLA_ACTUAL[],2,0),"")</f>
        <v>SANDY</v>
      </c>
      <c r="B18" s="35" t="str" cm="1">
        <f t="array" ref="B1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GIANNINA AGUILAR</v>
      </c>
      <c r="C18" s="37" cm="1">
        <f t="array" ref="C1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18" s="36">
        <f>IF(D1_MARZO_2026[[#This Row],[RECUPERO]]="VACACIONES","VACACIONES",IFERROR(D1_MARZO_2026[[#This Row],[RECUPERO]]/D1_MARZO_2026[[#This Row],[META]],""))</f>
        <v>0.23076923076923078</v>
      </c>
      <c r="E18" s="36" t="str">
        <f>IFERROR(VLOOKUP(D1_MARZO_2026[[#This Row],[ASESOR_CRR]],PLANTILLA_ACTUAL[],2,0),"")</f>
        <v>SANDY</v>
      </c>
      <c r="F18" t="s">
        <v>32</v>
      </c>
      <c r="G18" s="3">
        <v>7500</v>
      </c>
      <c r="H18">
        <f>VLOOKUP(D1_MARZO_2026[[#This Row],[ASESOR_CRR]],DIM!$C:$E,2,0)</f>
        <v>48584670</v>
      </c>
      <c r="I18" s="57">
        <f>VLOOKUP(D1_MARZO_2026[[#This Row],[ASESOR_CRR]],DIM!$C:$E,3,0)</f>
        <v>45526</v>
      </c>
      <c r="J18" s="57" t="str">
        <f>VLOOKUP(D1_MARZO_2026[[#This Row],[ASESOR_CRR]],PLANTILLA_ACTUAL[],6,0)</f>
        <v>CALL</v>
      </c>
      <c r="K18" s="57"/>
      <c r="L18" s="57"/>
      <c r="M18" s="5">
        <f>DATA_MARZO_2026[[#This Row],[RECUPERO]]/DATA_MARZO_2026[[#This Row],[META]]</f>
        <v>0.22321428571428573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IFERROR(VLOOKUP(DATA_MARZO_2026[[#This Row],[ASER_]],$B:$G,4,0),"")</f>
        <v>JORGE</v>
      </c>
      <c r="P18" s="6">
        <f>VLOOKUP(DATA_MARZO_2026[[#This Row],[ASER_]],D1_MARZO_2026[[ASESOR_CRR]:[RECUPERO]],6,0)</f>
        <v>12500</v>
      </c>
      <c r="Q18" s="6">
        <f>VLOOKUP(DATA_MARZO_2026[[#This Row],[ASER_]],D1_MARZO_2026[[ASESOR_CRR]:[META]],2,0)</f>
        <v>56000</v>
      </c>
      <c r="R18" t="s">
        <v>22</v>
      </c>
      <c r="S18">
        <v>0</v>
      </c>
      <c r="T18">
        <v>12500</v>
      </c>
      <c r="AO18" t="str">
        <f>VLOOKUP($M$3&amp;$N$3&amp;DATA_MARZO_2026[[#This Row],[SUPERVISOR]],TablaMeta[],7,0)</f>
        <v>S1</v>
      </c>
      <c r="AU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</row>
    <row r="19" spans="1:67" x14ac:dyDescent="0.25">
      <c r="A19" s="35" t="str">
        <f>IFERROR(VLOOKUP(D1_MARZO_2026[[#This Row],[ASESOR_CRR]],PLANTILLA_ACTUAL[],2,0),"")</f>
        <v>SANDY</v>
      </c>
      <c r="B19" s="35" t="str" cm="1">
        <f t="array" ref="B1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JESSICA MELGAREJO</v>
      </c>
      <c r="C19" s="37" cm="1">
        <f t="array" ref="C1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19" s="36">
        <f>IF(D1_MARZO_2026[[#This Row],[RECUPERO]]="VACACIONES","VACACIONES",IFERROR(D1_MARZO_2026[[#This Row],[RECUPERO]]/D1_MARZO_2026[[#This Row],[META]],""))</f>
        <v>0.19600000000000001</v>
      </c>
      <c r="E19" s="36" t="str">
        <f>IFERROR(VLOOKUP(D1_MARZO_2026[[#This Row],[ASESOR_CRR]],PLANTILLA_ACTUAL[],2,0),"")</f>
        <v>SANDY</v>
      </c>
      <c r="F19" t="s">
        <v>96</v>
      </c>
      <c r="G19" s="3">
        <v>6370</v>
      </c>
      <c r="H19">
        <f>VLOOKUP(D1_MARZO_2026[[#This Row],[ASESOR_CRR]],DIM!$C:$E,2,0)</f>
        <v>46793103</v>
      </c>
      <c r="I19" s="57">
        <f>VLOOKUP(D1_MARZO_2026[[#This Row],[ASESOR_CRR]],DIM!$C:$E,3,0)</f>
        <v>45882</v>
      </c>
      <c r="J19" s="57" t="str">
        <f>VLOOKUP(D1_MARZO_2026[[#This Row],[ASESOR_CRR]],PLANTILLA_ACTUAL[],6,0)</f>
        <v>CALL</v>
      </c>
      <c r="K19" s="57"/>
      <c r="L19" s="57"/>
      <c r="M19" s="5">
        <f>DATA_MARZO_2026[[#This Row],[RECUPERO]]/DATA_MARZO_2026[[#This Row],[META]]</f>
        <v>0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IFERROR(VLOOKUP(DATA_MARZO_2026[[#This Row],[ASER_]],$B:$G,4,0),"")</f>
        <v>JORGE</v>
      </c>
      <c r="P19" s="6">
        <f>VLOOKUP(DATA_MARZO_2026[[#This Row],[ASER_]],D1_MARZO_2026[[ASESOR_CRR]:[RECUPERO]],6,0)</f>
        <v>0</v>
      </c>
      <c r="Q19" s="6">
        <f>VLOOKUP(DATA_MARZO_2026[[#This Row],[ASER_]],D1_MARZO_2026[[ASESOR_CRR]:[META]],2,0)</f>
        <v>56000</v>
      </c>
      <c r="R19" t="s">
        <v>586</v>
      </c>
      <c r="S19">
        <v>0</v>
      </c>
      <c r="T19">
        <v>0</v>
      </c>
      <c r="AO19" t="str">
        <f>VLOOKUP($M$3&amp;$N$3&amp;DATA_MARZO_2026[[#This Row],[SUPERVISOR]],TablaMeta[],7,0)</f>
        <v>S1</v>
      </c>
      <c r="AU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</row>
    <row r="20" spans="1:67" x14ac:dyDescent="0.25">
      <c r="A20" s="35" t="str">
        <f>IFERROR(VLOOKUP(D1_MARZO_2026[[#This Row],[ASESOR_CRR]],PLANTILLA_ACTUAL[],2,0),"")</f>
        <v>SANDY</v>
      </c>
      <c r="B20" s="35" t="str" cm="1">
        <f t="array" ref="B2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NATALIA MARIN</v>
      </c>
      <c r="C20" s="37" cm="1">
        <f t="array" ref="C2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0" s="36">
        <f>IF(D1_MARZO_2026[[#This Row],[RECUPERO]]="VACACIONES","VACACIONES",IFERROR(D1_MARZO_2026[[#This Row],[RECUPERO]]/D1_MARZO_2026[[#This Row],[META]],""))</f>
        <v>4.2153846153846153E-2</v>
      </c>
      <c r="E20" s="36" t="str">
        <f>IFERROR(VLOOKUP(D1_MARZO_2026[[#This Row],[ASESOR_CRR]],PLANTILLA_ACTUAL[],2,0),"")</f>
        <v>SANDY</v>
      </c>
      <c r="F20" t="s">
        <v>79</v>
      </c>
      <c r="G20" s="3">
        <v>1370</v>
      </c>
      <c r="H20">
        <f>VLOOKUP(D1_MARZO_2026[[#This Row],[ASESOR_CRR]],DIM!$C:$E,2,0)</f>
        <v>71262377</v>
      </c>
      <c r="I20" s="57">
        <f>VLOOKUP(D1_MARZO_2026[[#This Row],[ASESOR_CRR]],DIM!$C:$E,3,0)</f>
        <v>45145</v>
      </c>
      <c r="J20" s="57" t="str">
        <f>VLOOKUP(D1_MARZO_2026[[#This Row],[ASESOR_CRR]],PLANTILLA_ACTUAL[],6,0)</f>
        <v>CALL</v>
      </c>
      <c r="K20" s="57"/>
      <c r="L20" s="57"/>
      <c r="M20" s="5">
        <f>DATA_MARZO_2026[[#This Row],[RECUPERO]]/DATA_MARZO_2026[[#This Row],[META]]</f>
        <v>0.19600000000000001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IFERROR(VLOOKUP(DATA_MARZO_2026[[#This Row],[ASER_]],$B:$G,4,0),"")</f>
        <v>SANDY</v>
      </c>
      <c r="P20" s="6">
        <f>VLOOKUP(DATA_MARZO_2026[[#This Row],[ASER_]],D1_MARZO_2026[[ASESOR_CRR]:[RECUPERO]],6,0)</f>
        <v>6370</v>
      </c>
      <c r="Q20" s="6">
        <f>VLOOKUP(DATA_MARZO_2026[[#This Row],[ASER_]],D1_MARZO_2026[[ASESOR_CRR]:[META]],2,0)</f>
        <v>32500</v>
      </c>
      <c r="R20" t="s">
        <v>96</v>
      </c>
      <c r="S20" s="46">
        <v>4400</v>
      </c>
      <c r="T20">
        <v>1970</v>
      </c>
      <c r="AO20" t="str">
        <f>VLOOKUP($M$3&amp;$N$3&amp;DATA_MARZO_2026[[#This Row],[SUPERVISOR]],TablaMeta[],7,0)</f>
        <v>S0</v>
      </c>
      <c r="AU20" s="48"/>
      <c r="BA20" s="46"/>
      <c r="BG20" s="46"/>
      <c r="BI20" s="46"/>
      <c r="BJ20" s="48"/>
      <c r="BM20" s="46"/>
      <c r="BN20" s="48"/>
      <c r="BO20" s="46"/>
    </row>
    <row r="21" spans="1:67" x14ac:dyDescent="0.25">
      <c r="A21" s="35" t="str">
        <f>IFERROR(VLOOKUP(D1_MARZO_2026[[#This Row],[ASESOR_CRR]],PLANTILLA_ACTUAL[],2,0),"")</f>
        <v>SANDY</v>
      </c>
      <c r="B21" s="35" t="str" cm="1">
        <f t="array" ref="B2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LUCERO JORDAN</v>
      </c>
      <c r="C21" s="37" cm="1">
        <f t="array" ref="C2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1" s="36">
        <f>IF(D1_MARZO_2026[[#This Row],[RECUPERO]]="VACACIONES","VACACIONES",IFERROR(D1_MARZO_2026[[#This Row],[RECUPERO]]/D1_MARZO_2026[[#This Row],[META]],""))</f>
        <v>3.6923076923076927E-2</v>
      </c>
      <c r="E21" s="36" t="str">
        <f>IFERROR(VLOOKUP(D1_MARZO_2026[[#This Row],[ASESOR_CRR]],PLANTILLA_ACTUAL[],2,0),"")</f>
        <v>SANDY</v>
      </c>
      <c r="F21" t="s">
        <v>68</v>
      </c>
      <c r="G21" s="3">
        <v>1200</v>
      </c>
      <c r="H21">
        <f>VLOOKUP(D1_MARZO_2026[[#This Row],[ASESOR_CRR]],DIM!$C:$E,2,0)</f>
        <v>73257316</v>
      </c>
      <c r="I21" s="57">
        <f>VLOOKUP(D1_MARZO_2026[[#This Row],[ASESOR_CRR]],DIM!$C:$E,3,0)</f>
        <v>45363</v>
      </c>
      <c r="J21" s="57" t="str">
        <f>VLOOKUP(D1_MARZO_2026[[#This Row],[ASESOR_CRR]],PLANTILLA_ACTUAL[],6,0)</f>
        <v>CALL</v>
      </c>
      <c r="K21" s="57"/>
      <c r="L21" s="57"/>
      <c r="M21" s="5">
        <f>DATA_MARZO_2026[[#This Row],[RECUPERO]]/DATA_MARZO_2026[[#This Row],[META]]</f>
        <v>4.2153846153846153E-2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6" t="str">
        <f>IFERROR(VLOOKUP(DATA_MARZO_2026[[#This Row],[ASER_]],$B:$G,4,0),"")</f>
        <v>SANDY</v>
      </c>
      <c r="P21" s="6">
        <f>VLOOKUP(DATA_MARZO_2026[[#This Row],[ASER_]],D1_MARZO_2026[[ASESOR_CRR]:[RECUPERO]],6,0)</f>
        <v>1370</v>
      </c>
      <c r="Q21" s="6">
        <f>VLOOKUP(DATA_MARZO_2026[[#This Row],[ASER_]],D1_MARZO_2026[[ASESOR_CRR]:[META]],2,0)</f>
        <v>32500</v>
      </c>
      <c r="R21" t="s">
        <v>79</v>
      </c>
      <c r="S21" s="46">
        <v>1100</v>
      </c>
      <c r="T21">
        <v>270</v>
      </c>
      <c r="AO21" t="str">
        <f>VLOOKUP($M$3&amp;$N$3&amp;DATA_MARZO_2026[[#This Row],[SUPERVISOR]],TablaMeta[],7,0)</f>
        <v>S0</v>
      </c>
      <c r="AU21" s="48"/>
      <c r="BI21" s="46"/>
      <c r="BJ21" s="48"/>
      <c r="BM21" s="46"/>
      <c r="BN21" s="46"/>
    </row>
    <row r="22" spans="1:67" x14ac:dyDescent="0.25">
      <c r="A22" s="35" t="str">
        <f>IFERROR(VLOOKUP(D1_MARZO_2026[[#This Row],[ASESOR_CRR]],PLANTILLA_ACTUAL[],2,0),"")</f>
        <v>SANDY</v>
      </c>
      <c r="B22" s="35" t="str" cm="1">
        <f t="array" ref="B2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LUIS VALLADARES</v>
      </c>
      <c r="C22" s="37" cm="1">
        <f t="array" ref="C2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2" s="36">
        <f>IF(D1_MARZO_2026[[#This Row],[RECUPERO]]="VACACIONES","VACACIONES",IFERROR(D1_MARZO_2026[[#This Row],[RECUPERO]]/D1_MARZO_2026[[#This Row],[META]],""))</f>
        <v>2.7181538461538462E-2</v>
      </c>
      <c r="E22" s="36" t="str">
        <f>IFERROR(VLOOKUP(D1_MARZO_2026[[#This Row],[ASESOR_CRR]],PLANTILLA_ACTUAL[],2,0),"")</f>
        <v>SANDY</v>
      </c>
      <c r="F22" t="s">
        <v>29</v>
      </c>
      <c r="G22" s="3">
        <v>883.4</v>
      </c>
      <c r="H22">
        <f>VLOOKUP(D1_MARZO_2026[[#This Row],[ASESOR_CRR]],DIM!$C:$E,2,0)</f>
        <v>72758956</v>
      </c>
      <c r="I22" s="57">
        <f>VLOOKUP(D1_MARZO_2026[[#This Row],[ASESOR_CRR]],DIM!$C:$E,3,0)</f>
        <v>44685</v>
      </c>
      <c r="J22" s="57" t="str">
        <f>VLOOKUP(D1_MARZO_2026[[#This Row],[ASESOR_CRR]],PLANTILLA_ACTUAL[],6,0)</f>
        <v>CALL</v>
      </c>
      <c r="K22" s="57"/>
      <c r="L22" s="57"/>
      <c r="M22" s="5">
        <f>DATA_MARZO_2026[[#This Row],[RECUPERO]]/DATA_MARZO_2026[[#This Row],[META]]</f>
        <v>2.7181538461538462E-2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IFERROR(VLOOKUP(DATA_MARZO_2026[[#This Row],[ASER_]],$B:$G,4,0),"")</f>
        <v>SANDY</v>
      </c>
      <c r="P22" s="6">
        <f>VLOOKUP(DATA_MARZO_2026[[#This Row],[ASER_]],D1_MARZO_2026[[ASESOR_CRR]:[RECUPERO]],6,0)</f>
        <v>883.4</v>
      </c>
      <c r="Q22" s="6">
        <f>VLOOKUP(DATA_MARZO_2026[[#This Row],[ASER_]],D1_MARZO_2026[[ASESOR_CRR]:[META]],2,0)</f>
        <v>32500</v>
      </c>
      <c r="R22" t="s">
        <v>29</v>
      </c>
      <c r="S22">
        <v>383.4</v>
      </c>
      <c r="T22">
        <v>500</v>
      </c>
      <c r="AO22" t="str">
        <f>VLOOKUP($M$3&amp;$N$3&amp;DATA_MARZO_2026[[#This Row],[SUPERVISOR]],TablaMeta[],7,0)</f>
        <v>S0</v>
      </c>
      <c r="AU22" s="46"/>
      <c r="BI22" s="48"/>
      <c r="BJ22" s="46"/>
      <c r="BM22" s="46"/>
    </row>
    <row r="23" spans="1:67" x14ac:dyDescent="0.25">
      <c r="A23" s="35" t="str">
        <f>IFERROR(VLOOKUP(D1_MARZO_2026[[#This Row],[ASESOR_CRR]],PLANTILLA_ACTUAL[],2,0),"")</f>
        <v>SANDY</v>
      </c>
      <c r="B23" s="35" t="str" cm="1">
        <f t="array" ref="B2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CARLA VALENCIA</v>
      </c>
      <c r="C23" s="37" cm="1">
        <f t="array" ref="C2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3" s="36">
        <f>IF(D1_MARZO_2026[[#This Row],[RECUPERO]]="VACACIONES","VACACIONES",IFERROR(D1_MARZO_2026[[#This Row],[RECUPERO]]/D1_MARZO_2026[[#This Row],[META]],""))</f>
        <v>0</v>
      </c>
      <c r="E23" s="36" t="str">
        <f>IFERROR(VLOOKUP(D1_MARZO_2026[[#This Row],[ASESOR_CRR]],PLANTILLA_ACTUAL[],2,0),"")</f>
        <v>SANDY</v>
      </c>
      <c r="F23" t="s">
        <v>174</v>
      </c>
      <c r="G23" s="3">
        <v>0</v>
      </c>
      <c r="H23">
        <f>VLOOKUP(D1_MARZO_2026[[#This Row],[ASESOR_CRR]],DIM!$C:$E,2,0)</f>
        <v>46994661</v>
      </c>
      <c r="I23" s="57">
        <f>VLOOKUP(D1_MARZO_2026[[#This Row],[ASESOR_CRR]],DIM!$C:$E,3,0)</f>
        <v>45992</v>
      </c>
      <c r="J23" s="57" t="str">
        <f>VLOOKUP(D1_MARZO_2026[[#This Row],[ASESOR_CRR]],PLANTILLA_ACTUAL[],6,0)</f>
        <v>CALL</v>
      </c>
      <c r="K23" s="57"/>
      <c r="L23" s="57"/>
      <c r="M23" s="5">
        <f>DATA_MARZO_2026[[#This Row],[RECUPERO]]/DATA_MARZO_2026[[#This Row],[META]]</f>
        <v>3.6923076923076927E-2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IFERROR(VLOOKUP(DATA_MARZO_2026[[#This Row],[ASER_]],$B:$G,4,0),"")</f>
        <v>SANDY</v>
      </c>
      <c r="P23" s="6">
        <f>VLOOKUP(DATA_MARZO_2026[[#This Row],[ASER_]],D1_MARZO_2026[[ASESOR_CRR]:[RECUPERO]],6,0)</f>
        <v>1200</v>
      </c>
      <c r="Q23" s="6">
        <f>VLOOKUP(DATA_MARZO_2026[[#This Row],[ASER_]],D1_MARZO_2026[[ASESOR_CRR]:[META]],2,0)</f>
        <v>32500</v>
      </c>
      <c r="R23" t="s">
        <v>68</v>
      </c>
      <c r="S23">
        <v>0</v>
      </c>
      <c r="T23">
        <v>1200</v>
      </c>
      <c r="AO23" t="str">
        <f>VLOOKUP($M$3&amp;$N$3&amp;DATA_MARZO_2026[[#This Row],[SUPERVISOR]],TablaMeta[],7,0)</f>
        <v>S0</v>
      </c>
      <c r="BI23" s="46"/>
    </row>
    <row r="24" spans="1:67" x14ac:dyDescent="0.25">
      <c r="A24" s="35" t="str">
        <f>IFERROR(VLOOKUP(D1_MARZO_2026[[#This Row],[ASESOR_CRR]],PLANTILLA_ACTUAL[],2,0),"")</f>
        <v>SANDY</v>
      </c>
      <c r="B24" s="35" t="str" cm="1">
        <f t="array" ref="B2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PALACIOS</v>
      </c>
      <c r="C24" s="37" cm="1">
        <f t="array" ref="C2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4" s="36">
        <f>IF(D1_MARZO_2026[[#This Row],[RECUPERO]]="VACACIONES","VACACIONES",IFERROR(D1_MARZO_2026[[#This Row],[RECUPERO]]/D1_MARZO_2026[[#This Row],[META]],""))</f>
        <v>0</v>
      </c>
      <c r="E24" s="36" t="str">
        <f>IFERROR(VLOOKUP(D1_MARZO_2026[[#This Row],[ASESOR_CRR]],PLANTILLA_ACTUAL[],2,0),"")</f>
        <v>SANDY</v>
      </c>
      <c r="F24" t="s">
        <v>512</v>
      </c>
      <c r="G24" s="3">
        <v>0</v>
      </c>
      <c r="H24">
        <f>VLOOKUP(D1_MARZO_2026[[#This Row],[ASESOR_CRR]],DIM!$C:$E,2,0)</f>
        <v>75026229</v>
      </c>
      <c r="I24" s="57">
        <f>VLOOKUP(D1_MARZO_2026[[#This Row],[ASESOR_CRR]],DIM!$C:$E,3,0)</f>
        <v>46052</v>
      </c>
      <c r="J24" s="57" t="str">
        <f>VLOOKUP(D1_MARZO_2026[[#This Row],[ASESOR_CRR]],PLANTILLA_ACTUAL[],6,0)</f>
        <v>CALL</v>
      </c>
      <c r="K24" s="57"/>
      <c r="L24" s="57"/>
      <c r="M24" s="5">
        <f>DATA_MARZO_2026[[#This Row],[RECUPERO]]/DATA_MARZO_2026[[#This Row],[META]]</f>
        <v>0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IFERROR(VLOOKUP(DATA_MARZO_2026[[#This Row],[ASER_]],$B:$G,4,0),"")</f>
        <v>SANDY</v>
      </c>
      <c r="P24" s="6">
        <f>VLOOKUP(DATA_MARZO_2026[[#This Row],[ASER_]],D1_MARZO_2026[[ASESOR_CRR]:[RECUPERO]],6,0)</f>
        <v>0</v>
      </c>
      <c r="Q24" s="6">
        <f>VLOOKUP(DATA_MARZO_2026[[#This Row],[ASER_]],D1_MARZO_2026[[ASESOR_CRR]:[META]],2,0)</f>
        <v>32500</v>
      </c>
      <c r="R24" t="s">
        <v>174</v>
      </c>
      <c r="S24">
        <v>0</v>
      </c>
      <c r="T24">
        <v>0</v>
      </c>
      <c r="AO24" t="str">
        <f>VLOOKUP($M$3&amp;$N$3&amp;DATA_MARZO_2026[[#This Row],[SUPERVISOR]],TablaMeta[],7,0)</f>
        <v>S0</v>
      </c>
      <c r="BM24" s="46"/>
    </row>
    <row r="25" spans="1:67" x14ac:dyDescent="0.25">
      <c r="A25" s="35" t="str">
        <f>IFERROR(VLOOKUP(D1_MARZO_2026[[#This Row],[ASESOR_CRR]],PLANTILLA_ACTUAL[],2,0),"")</f>
        <v>SANDY</v>
      </c>
      <c r="B25" s="35" t="str" cm="1">
        <f t="array" ref="B2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HUARCAYA</v>
      </c>
      <c r="C25" s="37" cm="1">
        <f t="array" ref="C2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25" s="36">
        <f>IF(D1_MARZO_2026[[#This Row],[RECUPERO]]="VACACIONES","VACACIONES",IFERROR(D1_MARZO_2026[[#This Row],[RECUPERO]]/D1_MARZO_2026[[#This Row],[META]],""))</f>
        <v>7.1115531914893615E-2</v>
      </c>
      <c r="E25" s="36" t="str">
        <f>IFERROR(VLOOKUP(D1_MARZO_2026[[#This Row],[ASESOR_CRR]],PLANTILLA_ACTUAL[],2,0),"")</f>
        <v>SANDY</v>
      </c>
      <c r="F25" t="s">
        <v>38</v>
      </c>
      <c r="G25" s="3">
        <v>6684.86</v>
      </c>
      <c r="H25">
        <f>VLOOKUP(D1_MARZO_2026[[#This Row],[ASESOR_CRR]],DIM!$C:$E,2,0)</f>
        <v>47411966</v>
      </c>
      <c r="I25" s="57">
        <f>VLOOKUP(D1_MARZO_2026[[#This Row],[ASESOR_CRR]],DIM!$C:$E,3,0)</f>
        <v>45800</v>
      </c>
      <c r="J25" s="57" t="str">
        <f>VLOOKUP(D1_MARZO_2026[[#This Row],[ASESOR_CRR]],PLANTILLA_ACTUAL[],6,0)</f>
        <v>CALL</v>
      </c>
      <c r="K25" s="57"/>
      <c r="L25" s="57"/>
      <c r="M25" s="5">
        <f>DATA_MARZO_2026[[#This Row],[RECUPERO]]/DATA_MARZO_2026[[#This Row],[META]]</f>
        <v>0.23076923076923078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IFERROR(VLOOKUP(DATA_MARZO_2026[[#This Row],[ASER_]],$B:$G,4,0),"")</f>
        <v>SANDY</v>
      </c>
      <c r="P25" s="6">
        <f>VLOOKUP(DATA_MARZO_2026[[#This Row],[ASER_]],D1_MARZO_2026[[ASESOR_CRR]:[RECUPERO]],6,0)</f>
        <v>7500</v>
      </c>
      <c r="Q25" s="6">
        <f>VLOOKUP(DATA_MARZO_2026[[#This Row],[ASER_]],D1_MARZO_2026[[ASESOR_CRR]:[META]],2,0)</f>
        <v>32500</v>
      </c>
      <c r="R25" t="s">
        <v>32</v>
      </c>
      <c r="S25">
        <v>0</v>
      </c>
      <c r="T25">
        <v>7500</v>
      </c>
      <c r="AO25" t="str">
        <f>VLOOKUP($M$3&amp;$N$3&amp;DATA_MARZO_2026[[#This Row],[SUPERVISOR]],TablaMeta[],7,0)</f>
        <v>S0</v>
      </c>
    </row>
    <row r="26" spans="1:67" x14ac:dyDescent="0.25">
      <c r="A26" s="35" t="str">
        <f>IFERROR(VLOOKUP(D1_MARZO_2026[[#This Row],[ASESOR_CRR]],PLANTILLA_ACTUAL[],2,0),"")</f>
        <v>SANDY</v>
      </c>
      <c r="B26" s="35" t="str" cm="1">
        <f t="array" ref="B2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URSULA CENTENO</v>
      </c>
      <c r="C26" s="37" cm="1">
        <f t="array" ref="C2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26" s="36">
        <f>IF(D1_MARZO_2026[[#This Row],[RECUPERO]]="VACACIONES","VACACIONES",IFERROR(D1_MARZO_2026[[#This Row],[RECUPERO]]/D1_MARZO_2026[[#This Row],[META]],""))</f>
        <v>6.3829787234042548E-2</v>
      </c>
      <c r="E26" s="36" t="str">
        <f>IFERROR(VLOOKUP(D1_MARZO_2026[[#This Row],[ASESOR_CRR]],PLANTILLA_ACTUAL[],2,0),"")</f>
        <v>SANDY</v>
      </c>
      <c r="F26" t="s">
        <v>78</v>
      </c>
      <c r="G26" s="3">
        <v>6000</v>
      </c>
      <c r="H26">
        <f>VLOOKUP(D1_MARZO_2026[[#This Row],[ASESOR_CRR]],DIM!$C:$E,2,0)</f>
        <v>10706451</v>
      </c>
      <c r="I26" s="57">
        <f>VLOOKUP(D1_MARZO_2026[[#This Row],[ASESOR_CRR]],DIM!$C:$E,3,0)</f>
        <v>44943</v>
      </c>
      <c r="J26" s="57" t="str">
        <f>VLOOKUP(D1_MARZO_2026[[#This Row],[ASESOR_CRR]],PLANTILLA_ACTUAL[],6,0)</f>
        <v>CALL</v>
      </c>
      <c r="K26" s="57"/>
      <c r="L26" s="57"/>
      <c r="M26" s="5">
        <f>DATA_MARZO_2026[[#This Row],[RECUPERO]]/DATA_MARZO_2026[[#This Row],[META]]</f>
        <v>0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IFERROR(VLOOKUP(DATA_MARZO_2026[[#This Row],[ASER_]],$B:$G,4,0),"")</f>
        <v>SANDY</v>
      </c>
      <c r="P26" s="6">
        <f>VLOOKUP(DATA_MARZO_2026[[#This Row],[ASER_]],D1_MARZO_2026[[ASESOR_CRR]:[RECUPERO]],6,0)</f>
        <v>0</v>
      </c>
      <c r="Q26" s="6">
        <f>VLOOKUP(DATA_MARZO_2026[[#This Row],[ASER_]],D1_MARZO_2026[[ASESOR_CRR]:[META]],2,0)</f>
        <v>32500</v>
      </c>
      <c r="R26" t="s">
        <v>512</v>
      </c>
      <c r="S26">
        <v>0</v>
      </c>
      <c r="T26">
        <v>0</v>
      </c>
      <c r="AO26" t="str">
        <f>VLOOKUP($M$3&amp;$N$3&amp;DATA_MARZO_2026[[#This Row],[SUPERVISOR]],TablaMeta[],7,0)</f>
        <v>S0</v>
      </c>
    </row>
    <row r="27" spans="1:67" x14ac:dyDescent="0.25">
      <c r="A27" s="35" t="str">
        <f>IFERROR(VLOOKUP(D1_MARZO_2026[[#This Row],[ASESOR_CRR]],PLANTILLA_ACTUAL[],2,0),"")</f>
        <v>SANDY</v>
      </c>
      <c r="B27" s="35" t="str" cm="1">
        <f t="array" ref="B2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VICTOR RAMIREZ</v>
      </c>
      <c r="C27" s="37" cm="1">
        <f t="array" ref="C2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27" s="36">
        <f>IF(D1_MARZO_2026[[#This Row],[RECUPERO]]="VACACIONES","VACACIONES",IFERROR(D1_MARZO_2026[[#This Row],[RECUPERO]]/D1_MARZO_2026[[#This Row],[META]],""))</f>
        <v>3.6702127659574466E-2</v>
      </c>
      <c r="E27" s="36" t="str">
        <f>IFERROR(VLOOKUP(D1_MARZO_2026[[#This Row],[ASESOR_CRR]],PLANTILLA_ACTUAL[],2,0),"")</f>
        <v>SANDY</v>
      </c>
      <c r="F27" t="s">
        <v>76</v>
      </c>
      <c r="G27" s="3">
        <v>3450</v>
      </c>
      <c r="H27">
        <f>VLOOKUP(D1_MARZO_2026[[#This Row],[ASESOR_CRR]],DIM!$C:$E,2,0)</f>
        <v>60914051</v>
      </c>
      <c r="I27" s="57">
        <f>VLOOKUP(D1_MARZO_2026[[#This Row],[ASESOR_CRR]],DIM!$C:$E,3,0)</f>
        <v>44817</v>
      </c>
      <c r="J27" s="57" t="str">
        <f>VLOOKUP(D1_MARZO_2026[[#This Row],[ASESOR_CRR]],PLANTILLA_ACTUAL[],6,0)</f>
        <v>CALL</v>
      </c>
      <c r="K27" s="57"/>
      <c r="L27" s="57"/>
      <c r="M27" s="5">
        <f>DATA_MARZO_2026[[#This Row],[RECUPERO]]/DATA_MARZO_2026[[#This Row],[META]]</f>
        <v>7.1115531914893615E-2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IFERROR(VLOOKUP(DATA_MARZO_2026[[#This Row],[ASER_]],$B:$G,4,0),"")</f>
        <v>SANDY</v>
      </c>
      <c r="P27" s="6">
        <f>VLOOKUP(DATA_MARZO_2026[[#This Row],[ASER_]],D1_MARZO_2026[[ASESOR_CRR]:[RECUPERO]],6,0)</f>
        <v>6684.86</v>
      </c>
      <c r="Q27" s="6">
        <f>VLOOKUP(DATA_MARZO_2026[[#This Row],[ASER_]],D1_MARZO_2026[[ASESOR_CRR]:[META]],2,0)</f>
        <v>94000</v>
      </c>
      <c r="R27" t="s">
        <v>38</v>
      </c>
      <c r="S27">
        <v>200</v>
      </c>
      <c r="T27">
        <v>6484.86</v>
      </c>
      <c r="AO27" t="str">
        <f>VLOOKUP($M$3&amp;$N$3&amp;DATA_MARZO_2026[[#This Row],[SUPERVISOR]],TablaMeta[],7,0)</f>
        <v>S0</v>
      </c>
    </row>
    <row r="28" spans="1:67" x14ac:dyDescent="0.25">
      <c r="A28" s="35" t="str">
        <f>IFERROR(VLOOKUP(D1_MARZO_2026[[#This Row],[ASESOR_CRR]],PLANTILLA_ACTUAL[],2,0),"")</f>
        <v>KENNETH</v>
      </c>
      <c r="B28" s="35" t="str" cm="1">
        <f t="array" ref="B2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LOZA</v>
      </c>
      <c r="C28" s="37" cm="1">
        <f t="array" ref="C2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28" s="36">
        <f>IF(D1_MARZO_2026[[#This Row],[RECUPERO]]="VACACIONES","VACACIONES",IFERROR(D1_MARZO_2026[[#This Row],[RECUPERO]]/D1_MARZO_2026[[#This Row],[META]],""))</f>
        <v>5.1744186046511625E-2</v>
      </c>
      <c r="E28" s="36" t="str">
        <f>IFERROR(VLOOKUP(D1_MARZO_2026[[#This Row],[ASESOR_CRR]],PLANTILLA_ACTUAL[],2,0),"")</f>
        <v>KENNETH</v>
      </c>
      <c r="F28" t="s">
        <v>35</v>
      </c>
      <c r="G28" s="3">
        <v>4450</v>
      </c>
      <c r="H28">
        <f>VLOOKUP(D1_MARZO_2026[[#This Row],[ASESOR_CRR]],DIM!$C:$E,2,0)</f>
        <v>10491198</v>
      </c>
      <c r="I28" s="57">
        <f>VLOOKUP(D1_MARZO_2026[[#This Row],[ASESOR_CRR]],DIM!$C:$E,3,0)</f>
        <v>44746</v>
      </c>
      <c r="J28" s="57" t="str">
        <f>VLOOKUP(D1_MARZO_2026[[#This Row],[ASESOR_CRR]],PLANTILLA_ACTUAL[],6,0)</f>
        <v>CALL</v>
      </c>
      <c r="K28" s="57"/>
      <c r="L28" s="57"/>
      <c r="M28" s="5">
        <f>DATA_MARZO_2026[[#This Row],[RECUPERO]]/DATA_MARZO_2026[[#This Row],[META]]</f>
        <v>3.6702127659574466E-2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IFERROR(VLOOKUP(DATA_MARZO_2026[[#This Row],[ASER_]],$B:$G,4,0),"")</f>
        <v>SANDY</v>
      </c>
      <c r="P28" s="6">
        <f>VLOOKUP(DATA_MARZO_2026[[#This Row],[ASER_]],D1_MARZO_2026[[ASESOR_CRR]:[RECUPERO]],6,0)</f>
        <v>3450</v>
      </c>
      <c r="Q28" s="6">
        <f>VLOOKUP(DATA_MARZO_2026[[#This Row],[ASER_]],D1_MARZO_2026[[ASESOR_CRR]:[META]],2,0)</f>
        <v>94000</v>
      </c>
      <c r="R28" t="s">
        <v>76</v>
      </c>
      <c r="S28">
        <v>0</v>
      </c>
      <c r="T28">
        <v>3450</v>
      </c>
      <c r="AO28" t="str">
        <f>VLOOKUP($M$3&amp;$N$3&amp;DATA_MARZO_2026[[#This Row],[SUPERVISOR]],TablaMeta[],7,0)</f>
        <v>S0</v>
      </c>
    </row>
    <row r="29" spans="1:67" x14ac:dyDescent="0.25">
      <c r="A29" s="35" t="str">
        <f>IFERROR(VLOOKUP(D1_MARZO_2026[[#This Row],[ASESOR_CRR]],PLANTILLA_ACTUAL[],2,0),"")</f>
        <v>KENNETH</v>
      </c>
      <c r="B29" s="35" t="str" cm="1">
        <f t="array" ref="B2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JIMENA MEDINA</v>
      </c>
      <c r="C29" s="37" cm="1">
        <f t="array" ref="C2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29" s="36">
        <f>IF(D1_MARZO_2026[[#This Row],[RECUPERO]]="VACACIONES","VACACIONES",IFERROR(D1_MARZO_2026[[#This Row],[RECUPERO]]/D1_MARZO_2026[[#This Row],[META]],""))</f>
        <v>1.4726744186046511E-2</v>
      </c>
      <c r="E29" s="36" t="str">
        <f>IFERROR(VLOOKUP(D1_MARZO_2026[[#This Row],[ASESOR_CRR]],PLANTILLA_ACTUAL[],2,0),"")</f>
        <v>KENNETH</v>
      </c>
      <c r="F29" t="s">
        <v>37</v>
      </c>
      <c r="G29" s="3">
        <v>1266.5</v>
      </c>
      <c r="H29">
        <f>VLOOKUP(D1_MARZO_2026[[#This Row],[ASESOR_CRR]],DIM!$C:$E,2,0)</f>
        <v>70988976</v>
      </c>
      <c r="I29" s="57">
        <f>VLOOKUP(D1_MARZO_2026[[#This Row],[ASESOR_CRR]],DIM!$C:$E,3,0)</f>
        <v>45112</v>
      </c>
      <c r="J29" s="57" t="str">
        <f>VLOOKUP(D1_MARZO_2026[[#This Row],[ASESOR_CRR]],PLANTILLA_ACTUAL[],6,0)</f>
        <v>CALL</v>
      </c>
      <c r="K29" s="57"/>
      <c r="L29" s="57"/>
      <c r="M29" s="5">
        <f>DATA_MARZO_2026[[#This Row],[RECUPERO]]/DATA_MARZO_2026[[#This Row],[META]]</f>
        <v>6.3829787234042548E-2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IFERROR(VLOOKUP(DATA_MARZO_2026[[#This Row],[ASER_]],$B:$G,4,0),"")</f>
        <v>SANDY</v>
      </c>
      <c r="P29" s="6">
        <f>VLOOKUP(DATA_MARZO_2026[[#This Row],[ASER_]],D1_MARZO_2026[[ASESOR_CRR]:[RECUPERO]],6,0)</f>
        <v>6000</v>
      </c>
      <c r="Q29" s="6">
        <f>VLOOKUP(DATA_MARZO_2026[[#This Row],[ASER_]],D1_MARZO_2026[[ASESOR_CRR]:[META]],2,0)</f>
        <v>94000</v>
      </c>
      <c r="R29" t="s">
        <v>78</v>
      </c>
      <c r="S29">
        <v>0</v>
      </c>
      <c r="T29">
        <v>6000</v>
      </c>
      <c r="AO29" t="str">
        <f>VLOOKUP($M$3&amp;$N$3&amp;DATA_MARZO_2026[[#This Row],[SUPERVISOR]],TablaMeta[],7,0)</f>
        <v>S0</v>
      </c>
    </row>
    <row r="30" spans="1:67" x14ac:dyDescent="0.25">
      <c r="A30" s="35" t="str">
        <f>IFERROR(VLOOKUP(D1_MARZO_2026[[#This Row],[ASESOR_CRR]],PLANTILLA_ACTUAL[],2,0),"")</f>
        <v>KENNETH</v>
      </c>
      <c r="B30" s="35" t="str" cm="1">
        <f t="array" ref="B3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NOEMI CHUQUILIN</v>
      </c>
      <c r="C30" s="37" cm="1">
        <f t="array" ref="C3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30" s="36">
        <f>IF(D1_MARZO_2026[[#This Row],[RECUPERO]]="VACACIONES","VACACIONES",IFERROR(D1_MARZO_2026[[#This Row],[RECUPERO]]/D1_MARZO_2026[[#This Row],[META]],""))</f>
        <v>8.7209302325581394E-3</v>
      </c>
      <c r="E30" s="36" t="str">
        <f>IFERROR(VLOOKUP(D1_MARZO_2026[[#This Row],[ASESOR_CRR]],PLANTILLA_ACTUAL[],2,0),"")</f>
        <v>KENNETH</v>
      </c>
      <c r="F30" t="s">
        <v>97</v>
      </c>
      <c r="G30" s="3">
        <v>750</v>
      </c>
      <c r="H30">
        <f>VLOOKUP(D1_MARZO_2026[[#This Row],[ASESOR_CRR]],DIM!$C:$E,2,0)</f>
        <v>74602206</v>
      </c>
      <c r="I30" s="57">
        <f>VLOOKUP(D1_MARZO_2026[[#This Row],[ASESOR_CRR]],DIM!$C:$E,3,0)</f>
        <v>45884</v>
      </c>
      <c r="J30" s="57" t="str">
        <f>VLOOKUP(D1_MARZO_2026[[#This Row],[ASESOR_CRR]],PLANTILLA_ACTUAL[],6,0)</f>
        <v>CALL</v>
      </c>
      <c r="K30" s="57"/>
      <c r="L30" s="57"/>
      <c r="M30" s="5">
        <f>DATA_MARZO_2026[[#This Row],[RECUPERO]]/DATA_MARZO_2026[[#This Row],[META]]</f>
        <v>1.4726744186046511E-2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IFERROR(VLOOKUP(DATA_MARZO_2026[[#This Row],[ASER_]],$B:$G,4,0),"")</f>
        <v>KENNETH</v>
      </c>
      <c r="P30" s="6">
        <f>VLOOKUP(DATA_MARZO_2026[[#This Row],[ASER_]],D1_MARZO_2026[[ASESOR_CRR]:[RECUPERO]],6,0)</f>
        <v>1266.5</v>
      </c>
      <c r="Q30" s="6">
        <f>VLOOKUP(DATA_MARZO_2026[[#This Row],[ASER_]],D1_MARZO_2026[[ASESOR_CRR]:[META]],2,0)</f>
        <v>86000</v>
      </c>
      <c r="R30" t="s">
        <v>37</v>
      </c>
      <c r="S30" s="46">
        <v>266.5</v>
      </c>
      <c r="T30">
        <v>1000</v>
      </c>
      <c r="AO30" t="str">
        <f>VLOOKUP($M$3&amp;$N$3&amp;DATA_MARZO_2026[[#This Row],[SUPERVISOR]],TablaMeta[],7,0)</f>
        <v>S0</v>
      </c>
    </row>
    <row r="31" spans="1:67" x14ac:dyDescent="0.25">
      <c r="A31" s="35" t="str">
        <f>IFERROR(VLOOKUP(D1_MARZO_2026[[#This Row],[ASESOR_CRR]],PLANTILLA_ACTUAL[],2,0),"")</f>
        <v>KENNETH</v>
      </c>
      <c r="B31" s="35" t="str" cm="1">
        <f t="array" ref="B3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STWUAR MACURI</v>
      </c>
      <c r="C31" s="37" cm="1">
        <f t="array" ref="C3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1" s="36">
        <f>IF(D1_MARZO_2026[[#This Row],[RECUPERO]]="VACACIONES","VACACIONES",IFERROR(D1_MARZO_2026[[#This Row],[RECUPERO]]/D1_MARZO_2026[[#This Row],[META]],""))</f>
        <v>4.0983606557377046E-2</v>
      </c>
      <c r="E31" s="36" t="str">
        <f>IFERROR(VLOOKUP(D1_MARZO_2026[[#This Row],[ASESOR_CRR]],PLANTILLA_ACTUAL[],2,0),"")</f>
        <v>KENNETH</v>
      </c>
      <c r="F31" t="s">
        <v>34</v>
      </c>
      <c r="G31" s="3">
        <v>1250</v>
      </c>
      <c r="H31">
        <f>VLOOKUP(D1_MARZO_2026[[#This Row],[ASESOR_CRR]],DIM!$C:$E,2,0)</f>
        <v>76824571</v>
      </c>
      <c r="I31" s="57">
        <f>VLOOKUP(D1_MARZO_2026[[#This Row],[ASESOR_CRR]],DIM!$C:$E,3,0)</f>
        <v>45173</v>
      </c>
      <c r="J31" s="57" t="str">
        <f>VLOOKUP(D1_MARZO_2026[[#This Row],[ASESOR_CRR]],PLANTILLA_ACTUAL[],6,0)</f>
        <v>CALL</v>
      </c>
      <c r="K31" s="57"/>
      <c r="L31" s="57"/>
      <c r="M31" s="5">
        <f>DATA_MARZO_2026[[#This Row],[RECUPERO]]/DATA_MARZO_2026[[#This Row],[META]]</f>
        <v>5.1744186046511625E-2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IFERROR(VLOOKUP(DATA_MARZO_2026[[#This Row],[ASER_]],$B:$G,4,0),"")</f>
        <v>KENNETH</v>
      </c>
      <c r="P31" s="6">
        <f>VLOOKUP(DATA_MARZO_2026[[#This Row],[ASER_]],D1_MARZO_2026[[ASESOR_CRR]:[RECUPERO]],6,0)</f>
        <v>4450</v>
      </c>
      <c r="Q31" s="6">
        <f>VLOOKUP(DATA_MARZO_2026[[#This Row],[ASER_]],D1_MARZO_2026[[ASESOR_CRR]:[META]],2,0)</f>
        <v>86000</v>
      </c>
      <c r="R31" t="s">
        <v>35</v>
      </c>
      <c r="S31" s="46">
        <v>1500</v>
      </c>
      <c r="T31">
        <v>2950</v>
      </c>
      <c r="AO31" t="str">
        <f>VLOOKUP($M$3&amp;$N$3&amp;DATA_MARZO_2026[[#This Row],[SUPERVISOR]],TablaMeta[],7,0)</f>
        <v>S0</v>
      </c>
    </row>
    <row r="32" spans="1:67" x14ac:dyDescent="0.25">
      <c r="A32" s="35" t="str">
        <f>IFERROR(VLOOKUP(D1_MARZO_2026[[#This Row],[ASESOR_CRR]],PLANTILLA_ACTUAL[],2,0),"")</f>
        <v>KENNETH</v>
      </c>
      <c r="B32" s="35" t="str" cm="1">
        <f t="array" ref="B3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DANIEL ZAPATA</v>
      </c>
      <c r="C32" s="37" cm="1">
        <f t="array" ref="C3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2" s="36">
        <f>IF(D1_MARZO_2026[[#This Row],[RECUPERO]]="VACACIONES","VACACIONES",IFERROR(D1_MARZO_2026[[#This Row],[RECUPERO]]/D1_MARZO_2026[[#This Row],[META]],""))</f>
        <v>3.2786885245901641E-2</v>
      </c>
      <c r="E32" s="36" t="str">
        <f>IFERROR(VLOOKUP(D1_MARZO_2026[[#This Row],[ASESOR_CRR]],PLANTILLA_ACTUAL[],2,0),"")</f>
        <v>KENNETH</v>
      </c>
      <c r="F32" t="s">
        <v>80</v>
      </c>
      <c r="G32" s="3">
        <v>1000</v>
      </c>
      <c r="H32">
        <f>VLOOKUP(D1_MARZO_2026[[#This Row],[ASESOR_CRR]],DIM!$C:$E,2,0)</f>
        <v>45084594</v>
      </c>
      <c r="I32" s="57">
        <f>VLOOKUP(D1_MARZO_2026[[#This Row],[ASESOR_CRR]],DIM!$C:$E,3,0)</f>
        <v>45281</v>
      </c>
      <c r="J32" s="57" t="str">
        <f>VLOOKUP(D1_MARZO_2026[[#This Row],[ASESOR_CRR]],PLANTILLA_ACTUAL[],6,0)</f>
        <v>CALL</v>
      </c>
      <c r="K32" s="57"/>
      <c r="L32" s="57"/>
      <c r="M32" s="5">
        <f>DATA_MARZO_2026[[#This Row],[RECUPERO]]/DATA_MARZO_2026[[#This Row],[META]]</f>
        <v>8.7209302325581394E-3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IFERROR(VLOOKUP(DATA_MARZO_2026[[#This Row],[ASER_]],$B:$G,4,0),"")</f>
        <v>KENNETH</v>
      </c>
      <c r="P32" s="6">
        <f>VLOOKUP(DATA_MARZO_2026[[#This Row],[ASER_]],D1_MARZO_2026[[ASESOR_CRR]:[RECUPERO]],6,0)</f>
        <v>750</v>
      </c>
      <c r="Q32" s="6">
        <f>VLOOKUP(DATA_MARZO_2026[[#This Row],[ASER_]],D1_MARZO_2026[[ASESOR_CRR]:[META]],2,0)</f>
        <v>86000</v>
      </c>
      <c r="R32" t="s">
        <v>97</v>
      </c>
      <c r="S32">
        <v>300</v>
      </c>
      <c r="T32">
        <v>450</v>
      </c>
      <c r="AO32" t="str">
        <f>VLOOKUP($M$3&amp;$N$3&amp;DATA_MARZO_2026[[#This Row],[SUPERVISOR]],TablaMeta[],7,0)</f>
        <v>S0</v>
      </c>
    </row>
    <row r="33" spans="1:41" x14ac:dyDescent="0.25">
      <c r="A33" s="35" t="str">
        <f>IFERROR(VLOOKUP(D1_MARZO_2026[[#This Row],[ASESOR_CRR]],PLANTILLA_ACTUAL[],2,0),"")</f>
        <v>KENNETH</v>
      </c>
      <c r="B33" s="35" t="str" cm="1">
        <f t="array" ref="B3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DAVID SANCHEZ</v>
      </c>
      <c r="C33" s="37" cm="1">
        <f t="array" ref="C3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3" s="36">
        <f>IF(D1_MARZO_2026[[#This Row],[RECUPERO]]="VACACIONES","VACACIONES",IFERROR(D1_MARZO_2026[[#This Row],[RECUPERO]]/D1_MARZO_2026[[#This Row],[META]],""))</f>
        <v>1.6688524590163935E-2</v>
      </c>
      <c r="E33" s="36" t="str">
        <f>IFERROR(VLOOKUP(D1_MARZO_2026[[#This Row],[ASESOR_CRR]],PLANTILLA_ACTUAL[],2,0),"")</f>
        <v>KENNETH</v>
      </c>
      <c r="F33" t="s">
        <v>81</v>
      </c>
      <c r="G33" s="3">
        <v>509</v>
      </c>
      <c r="H33">
        <f>VLOOKUP(D1_MARZO_2026[[#This Row],[ASESOR_CRR]],DIM!$C:$E,2,0)</f>
        <v>72716299</v>
      </c>
      <c r="I33" s="57">
        <f>VLOOKUP(D1_MARZO_2026[[#This Row],[ASESOR_CRR]],DIM!$C:$E,3,0)</f>
        <v>45511</v>
      </c>
      <c r="J33" s="57" t="str">
        <f>VLOOKUP(D1_MARZO_2026[[#This Row],[ASESOR_CRR]],PLANTILLA_ACTUAL[],6,0)</f>
        <v>CALL</v>
      </c>
      <c r="K33" s="57"/>
      <c r="L33" s="57"/>
      <c r="M33" s="5">
        <f>DATA_MARZO_2026[[#This Row],[RECUPERO]]/DATA_MARZO_2026[[#This Row],[META]]</f>
        <v>0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6" t="str">
        <f>IFERROR(VLOOKUP(DATA_MARZO_2026[[#This Row],[ASER_]],$B:$G,4,0),"")</f>
        <v>KENNETH</v>
      </c>
      <c r="P33" s="6">
        <f>VLOOKUP(DATA_MARZO_2026[[#This Row],[ASER_]],D1_MARZO_2026[[ASESOR_CRR]:[RECUPERO]],6,0)</f>
        <v>0</v>
      </c>
      <c r="Q33" s="6">
        <f>VLOOKUP(DATA_MARZO_2026[[#This Row],[ASER_]],D1_MARZO_2026[[ASESOR_CRR]:[META]],2,0)</f>
        <v>30500</v>
      </c>
      <c r="R33" t="s">
        <v>105</v>
      </c>
      <c r="S33">
        <v>0</v>
      </c>
      <c r="T33">
        <v>0</v>
      </c>
      <c r="AO33" t="str">
        <f>VLOOKUP($M$3&amp;$N$3&amp;DATA_MARZO_2026[[#This Row],[SUPERVISOR]],TablaMeta[],7,0)</f>
        <v>S0</v>
      </c>
    </row>
    <row r="34" spans="1:41" x14ac:dyDescent="0.25">
      <c r="A34" s="35" t="str">
        <f>IFERROR(VLOOKUP(D1_MARZO_2026[[#This Row],[ASESOR_CRR]],PLANTILLA_ACTUAL[],2,0),"")</f>
        <v>KENNETH</v>
      </c>
      <c r="B34" s="35" t="str" cm="1">
        <f t="array" ref="B3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MILAGROS QUIO</v>
      </c>
      <c r="C34" s="37" cm="1">
        <f t="array" ref="C3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4" s="36">
        <f>IF(D1_MARZO_2026[[#This Row],[RECUPERO]]="VACACIONES","VACACIONES",IFERROR(D1_MARZO_2026[[#This Row],[RECUPERO]]/D1_MARZO_2026[[#This Row],[META]],""))</f>
        <v>4.9180327868852463E-3</v>
      </c>
      <c r="E34" s="36" t="str">
        <f>IFERROR(VLOOKUP(D1_MARZO_2026[[#This Row],[ASESOR_CRR]],PLANTILLA_ACTUAL[],2,0),"")</f>
        <v>KENNETH</v>
      </c>
      <c r="F34" t="s">
        <v>11</v>
      </c>
      <c r="G34" s="3">
        <v>150</v>
      </c>
      <c r="H34">
        <f>VLOOKUP(D1_MARZO_2026[[#This Row],[ASESOR_CRR]],DIM!$C:$E,2,0)</f>
        <v>45139159</v>
      </c>
      <c r="I34" s="57">
        <f>VLOOKUP(D1_MARZO_2026[[#This Row],[ASESOR_CRR]],DIM!$C:$E,3,0)</f>
        <v>45369</v>
      </c>
      <c r="J34" s="57" t="str">
        <f>VLOOKUP(D1_MARZO_2026[[#This Row],[ASESOR_CRR]],PLANTILLA_ACTUAL[],6,0)</f>
        <v>CALL</v>
      </c>
      <c r="K34" s="57"/>
      <c r="L34" s="57"/>
      <c r="M34" s="5">
        <f>DATA_MARZO_2026[[#This Row],[RECUPERO]]/DATA_MARZO_2026[[#This Row],[META]]</f>
        <v>1.6688524590163935E-2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IFERROR(VLOOKUP(DATA_MARZO_2026[[#This Row],[ASER_]],$B:$G,4,0),"")</f>
        <v>KENNETH</v>
      </c>
      <c r="P34" s="6">
        <f>VLOOKUP(DATA_MARZO_2026[[#This Row],[ASER_]],D1_MARZO_2026[[ASESOR_CRR]:[RECUPERO]],6,0)</f>
        <v>509</v>
      </c>
      <c r="Q34" s="6">
        <f>VLOOKUP(DATA_MARZO_2026[[#This Row],[ASER_]],D1_MARZO_2026[[ASESOR_CRR]:[META]],2,0)</f>
        <v>30500</v>
      </c>
      <c r="R34" t="s">
        <v>81</v>
      </c>
      <c r="S34">
        <v>509</v>
      </c>
      <c r="T34">
        <v>0</v>
      </c>
      <c r="AO34" t="str">
        <f>VLOOKUP($M$3&amp;$N$3&amp;DATA_MARZO_2026[[#This Row],[SUPERVISOR]],TablaMeta[],7,0)</f>
        <v>S0</v>
      </c>
    </row>
    <row r="35" spans="1:41" x14ac:dyDescent="0.25">
      <c r="A35" s="35" t="str">
        <f>IFERROR(VLOOKUP(D1_MARZO_2026[[#This Row],[ASESOR_CRR]],PLANTILLA_ACTUAL[],2,0),"")</f>
        <v>KENNETH</v>
      </c>
      <c r="B35" s="35" t="str" cm="1">
        <f t="array" ref="B3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CARMEN PUMA</v>
      </c>
      <c r="C35" s="37" cm="1">
        <f t="array" ref="C3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5" s="36">
        <f>IF(D1_MARZO_2026[[#This Row],[RECUPERO]]="VACACIONES","VACACIONES",IFERROR(D1_MARZO_2026[[#This Row],[RECUPERO]]/D1_MARZO_2026[[#This Row],[META]],""))</f>
        <v>0</v>
      </c>
      <c r="E35" s="36" t="str">
        <f>IFERROR(VLOOKUP(D1_MARZO_2026[[#This Row],[ASESOR_CRR]],PLANTILLA_ACTUAL[],2,0),"")</f>
        <v>KENNETH</v>
      </c>
      <c r="F35" t="s">
        <v>19</v>
      </c>
      <c r="G35" s="3">
        <v>0</v>
      </c>
      <c r="H35">
        <f>VLOOKUP(D1_MARZO_2026[[#This Row],[ASESOR_CRR]],DIM!$C:$E,2,0)</f>
        <v>76656128</v>
      </c>
      <c r="I35" s="57">
        <f>VLOOKUP(D1_MARZO_2026[[#This Row],[ASESOR_CRR]],DIM!$C:$E,3,0)</f>
        <v>44671</v>
      </c>
      <c r="J35" s="57" t="str">
        <f>VLOOKUP(D1_MARZO_2026[[#This Row],[ASESOR_CRR]],PLANTILLA_ACTUAL[],6,0)</f>
        <v>CALL</v>
      </c>
      <c r="K35" s="57"/>
      <c r="L35" s="57"/>
      <c r="M35" s="5">
        <f>DATA_MARZO_2026[[#This Row],[RECUPERO]]/DATA_MARZO_2026[[#This Row],[META]]</f>
        <v>0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IFERROR(VLOOKUP(DATA_MARZO_2026[[#This Row],[ASER_]],$B:$G,4,0),"")</f>
        <v>KENNETH</v>
      </c>
      <c r="P35" s="6">
        <f>VLOOKUP(DATA_MARZO_2026[[#This Row],[ASER_]],D1_MARZO_2026[[ASESOR_CRR]:[RECUPERO]],6,0)</f>
        <v>0</v>
      </c>
      <c r="Q35" s="6">
        <f>VLOOKUP(DATA_MARZO_2026[[#This Row],[ASER_]],D1_MARZO_2026[[ASESOR_CRR]:[META]],2,0)</f>
        <v>30500</v>
      </c>
      <c r="R35" t="s">
        <v>19</v>
      </c>
      <c r="S35">
        <v>0</v>
      </c>
      <c r="T35">
        <v>0</v>
      </c>
      <c r="AO35" t="str">
        <f>VLOOKUP($M$3&amp;$N$3&amp;DATA_MARZO_2026[[#This Row],[SUPERVISOR]],TablaMeta[],7,0)</f>
        <v>S0</v>
      </c>
    </row>
    <row r="36" spans="1:41" x14ac:dyDescent="0.25">
      <c r="A36" s="35" t="str">
        <f>IFERROR(VLOOKUP(D1_MARZO_2026[[#This Row],[ASESOR_CRR]],PLANTILLA_ACTUAL[],2,0),"")</f>
        <v>KENNETH</v>
      </c>
      <c r="B36" s="35" t="str" cm="1">
        <f t="array" ref="B3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FRANK PACORA</v>
      </c>
      <c r="C36" s="37" cm="1">
        <f t="array" ref="C3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6" s="36">
        <f>IF(D1_MARZO_2026[[#This Row],[RECUPERO]]="VACACIONES","VACACIONES",IFERROR(D1_MARZO_2026[[#This Row],[RECUPERO]]/D1_MARZO_2026[[#This Row],[META]],""))</f>
        <v>0</v>
      </c>
      <c r="E36" s="36" t="str">
        <f>IFERROR(VLOOKUP(D1_MARZO_2026[[#This Row],[ASESOR_CRR]],PLANTILLA_ACTUAL[],2,0),"")</f>
        <v>KENNETH</v>
      </c>
      <c r="F36" t="s">
        <v>105</v>
      </c>
      <c r="G36" s="3">
        <v>0</v>
      </c>
      <c r="H36">
        <f>VLOOKUP(D1_MARZO_2026[[#This Row],[ASESOR_CRR]],DIM!$C:$E,2,0)</f>
        <v>48344037</v>
      </c>
      <c r="I36" s="57">
        <f>VLOOKUP(D1_MARZO_2026[[#This Row],[ASESOR_CRR]],DIM!$C:$E,3,0)</f>
        <v>46027</v>
      </c>
      <c r="J36" s="57" t="str">
        <f>VLOOKUP(D1_MARZO_2026[[#This Row],[ASESOR_CRR]],PLANTILLA_ACTUAL[],6,0)</f>
        <v>CALL</v>
      </c>
      <c r="K36" s="57"/>
      <c r="L36" s="57"/>
      <c r="M36" s="5">
        <f>DATA_MARZO_2026[[#This Row],[RECUPERO]]/DATA_MARZO_2026[[#This Row],[META]]</f>
        <v>0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IFERROR(VLOOKUP(DATA_MARZO_2026[[#This Row],[ASER_]],$B:$G,4,0),"")</f>
        <v>KENNETH</v>
      </c>
      <c r="P36" s="6">
        <f>VLOOKUP(DATA_MARZO_2026[[#This Row],[ASER_]],D1_MARZO_2026[[ASESOR_CRR]:[RECUPERO]],6,0)</f>
        <v>0</v>
      </c>
      <c r="Q36" s="6">
        <f>VLOOKUP(DATA_MARZO_2026[[#This Row],[ASER_]],D1_MARZO_2026[[ASESOR_CRR]:[META]],2,0)</f>
        <v>30500</v>
      </c>
      <c r="R36" t="s">
        <v>50</v>
      </c>
      <c r="S36">
        <v>0</v>
      </c>
      <c r="T36">
        <v>0</v>
      </c>
      <c r="U36" s="46"/>
      <c r="AO36" t="str">
        <f>VLOOKUP($M$3&amp;$N$3&amp;DATA_MARZO_2026[[#This Row],[SUPERVISOR]],TablaMeta[],7,0)</f>
        <v>S0</v>
      </c>
    </row>
    <row r="37" spans="1:41" x14ac:dyDescent="0.25">
      <c r="A37" s="35" t="str">
        <f>IFERROR(VLOOKUP(D1_MARZO_2026[[#This Row],[ASESOR_CRR]],PLANTILLA_ACTUAL[],2,0),"")</f>
        <v>KENNETH</v>
      </c>
      <c r="B37" s="35" t="str" cm="1">
        <f t="array" ref="B3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KIARA CANEPA</v>
      </c>
      <c r="C37" s="37" cm="1">
        <f t="array" ref="C3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7" s="36">
        <f>IF(D1_MARZO_2026[[#This Row],[RECUPERO]]="VACACIONES","VACACIONES",IFERROR(D1_MARZO_2026[[#This Row],[RECUPERO]]/D1_MARZO_2026[[#This Row],[META]],""))</f>
        <v>0</v>
      </c>
      <c r="E37" s="36" t="str">
        <f>IFERROR(VLOOKUP(D1_MARZO_2026[[#This Row],[ASESOR_CRR]],PLANTILLA_ACTUAL[],2,0),"")</f>
        <v>KENNETH</v>
      </c>
      <c r="F37" t="s">
        <v>50</v>
      </c>
      <c r="G37" s="3">
        <v>0</v>
      </c>
      <c r="H37">
        <f>VLOOKUP(D1_MARZO_2026[[#This Row],[ASESOR_CRR]],DIM!$C:$E,2,0)</f>
        <v>72733809</v>
      </c>
      <c r="I37" s="57">
        <f>VLOOKUP(D1_MARZO_2026[[#This Row],[ASESOR_CRR]],DIM!$C:$E,3,0)</f>
        <v>45789</v>
      </c>
      <c r="J37" s="57" t="str">
        <f>VLOOKUP(D1_MARZO_2026[[#This Row],[ASESOR_CRR]],PLANTILLA_ACTUAL[],6,0)</f>
        <v>CALL</v>
      </c>
      <c r="K37" s="57"/>
      <c r="L37" s="57"/>
      <c r="M37" s="5">
        <f>DATA_MARZO_2026[[#This Row],[RECUPERO]]/DATA_MARZO_2026[[#This Row],[META]]</f>
        <v>4.9180327868852463E-3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IFERROR(VLOOKUP(DATA_MARZO_2026[[#This Row],[ASER_]],$B:$G,4,0),"")</f>
        <v>KENNETH</v>
      </c>
      <c r="P37" s="6">
        <f>VLOOKUP(DATA_MARZO_2026[[#This Row],[ASER_]],D1_MARZO_2026[[ASESOR_CRR]:[RECUPERO]],6,0)</f>
        <v>150</v>
      </c>
      <c r="Q37" s="6">
        <f>VLOOKUP(DATA_MARZO_2026[[#This Row],[ASER_]],D1_MARZO_2026[[ASESOR_CRR]:[META]],2,0)</f>
        <v>30500</v>
      </c>
      <c r="R37" t="s">
        <v>11</v>
      </c>
      <c r="S37">
        <v>0</v>
      </c>
      <c r="T37">
        <v>150</v>
      </c>
      <c r="AO37" t="str">
        <f>VLOOKUP($M$3&amp;$N$3&amp;DATA_MARZO_2026[[#This Row],[SUPERVISOR]],TablaMeta[],7,0)</f>
        <v>S0</v>
      </c>
    </row>
    <row r="38" spans="1:41" x14ac:dyDescent="0.25">
      <c r="A38" s="35" t="str">
        <f>IFERROR(VLOOKUP(D1_MARZO_2026[[#This Row],[ASESOR_CRR]],PLANTILLA_ACTUAL[],2,0),"")</f>
        <v>LEONOR</v>
      </c>
      <c r="B38" s="35" t="str" cm="1">
        <f t="array" ref="B3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PANTA</v>
      </c>
      <c r="C38" s="37" cm="1">
        <f t="array" ref="C3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38" s="36">
        <f>IF(D1_MARZO_2026[[#This Row],[RECUPERO]]="VACACIONES","VACACIONES",IFERROR(D1_MARZO_2026[[#This Row],[RECUPERO]]/D1_MARZO_2026[[#This Row],[META]],""))</f>
        <v>0.28125</v>
      </c>
      <c r="E38" s="36" t="str">
        <f>IFERROR(VLOOKUP(D1_MARZO_2026[[#This Row],[ASESOR_CRR]],PLANTILLA_ACTUAL[],2,0),"")</f>
        <v>LEONOR</v>
      </c>
      <c r="F38" t="s">
        <v>514</v>
      </c>
      <c r="G38" s="3">
        <v>4500</v>
      </c>
      <c r="H38">
        <f>VLOOKUP(D1_MARZO_2026[[#This Row],[ASESOR_CRR]],DIM!$C:$E,2,0)</f>
        <v>62792399</v>
      </c>
      <c r="I38" s="57">
        <f>VLOOKUP(D1_MARZO_2026[[#This Row],[ASESOR_CRR]],DIM!$C:$E,3,0)</f>
        <v>46052</v>
      </c>
      <c r="J38" s="57" t="str">
        <f>VLOOKUP(D1_MARZO_2026[[#This Row],[ASESOR_CRR]],PLANTILLA_ACTUAL[],6,0)</f>
        <v>CALL</v>
      </c>
      <c r="K38" s="57"/>
      <c r="L38" s="57"/>
      <c r="M38" s="5">
        <f>DATA_MARZO_2026[[#This Row],[RECUPERO]]/DATA_MARZO_2026[[#This Row],[META]]</f>
        <v>3.2786885245901641E-2</v>
      </c>
      <c r="N38" s="5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IFERROR(VLOOKUP(DATA_MARZO_2026[[#This Row],[ASER_]],$B:$G,4,0),"")</f>
        <v>KENNETH</v>
      </c>
      <c r="P38" s="6">
        <f>VLOOKUP(DATA_MARZO_2026[[#This Row],[ASER_]],D1_MARZO_2026[[ASESOR_CRR]:[RECUPERO]],6,0)</f>
        <v>1000</v>
      </c>
      <c r="Q38" s="6">
        <f>VLOOKUP(DATA_MARZO_2026[[#This Row],[ASER_]],D1_MARZO_2026[[ASESOR_CRR]:[META]],2,0)</f>
        <v>30500</v>
      </c>
      <c r="R38" t="s">
        <v>80</v>
      </c>
      <c r="S38">
        <v>0</v>
      </c>
      <c r="T38">
        <v>1000</v>
      </c>
      <c r="AO38" t="str">
        <f>VLOOKUP($M$3&amp;$N$3&amp;DATA_MARZO_2026[[#This Row],[SUPERVISOR]],TablaMeta[],7,0)</f>
        <v>S0</v>
      </c>
    </row>
    <row r="39" spans="1:41" x14ac:dyDescent="0.25">
      <c r="A39" s="35" t="str">
        <f>IFERROR(VLOOKUP(D1_MARZO_2026[[#This Row],[ASESOR_CRR]],PLANTILLA_ACTUAL[],2,0),"")</f>
        <v>LEONOR</v>
      </c>
      <c r="B39" s="35" t="str" cm="1">
        <f t="array" ref="B3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CHRISTIAN ALVARADO</v>
      </c>
      <c r="C39" s="37" cm="1">
        <f t="array" ref="C3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39" s="36">
        <f>IF(D1_MARZO_2026[[#This Row],[RECUPERO]]="VACACIONES","VACACIONES",IFERROR(D1_MARZO_2026[[#This Row],[RECUPERO]]/D1_MARZO_2026[[#This Row],[META]],""))</f>
        <v>8.6624999999999994E-2</v>
      </c>
      <c r="E39" s="36" t="str">
        <f>IFERROR(VLOOKUP(D1_MARZO_2026[[#This Row],[ASESOR_CRR]],PLANTILLA_ACTUAL[],2,0),"")</f>
        <v>LEONOR</v>
      </c>
      <c r="F39" t="s">
        <v>41</v>
      </c>
      <c r="G39" s="3">
        <v>1386</v>
      </c>
      <c r="H39">
        <f>VLOOKUP(D1_MARZO_2026[[#This Row],[ASESOR_CRR]],DIM!$C:$E,2,0)</f>
        <v>46461021</v>
      </c>
      <c r="I39" s="57">
        <f>VLOOKUP(D1_MARZO_2026[[#This Row],[ASESOR_CRR]],DIM!$C:$E,3,0)</f>
        <v>45302</v>
      </c>
      <c r="J39" s="57" t="str">
        <f>VLOOKUP(D1_MARZO_2026[[#This Row],[ASESOR_CRR]],PLANTILLA_ACTUAL[],6,0)</f>
        <v>CALL</v>
      </c>
      <c r="K39" s="57"/>
      <c r="L39" s="57"/>
      <c r="M39" s="5">
        <f>DATA_MARZO_2026[[#This Row],[RECUPERO]]/DATA_MARZO_2026[[#This Row],[META]]</f>
        <v>4.0983606557377046E-2</v>
      </c>
      <c r="N39" s="5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IFERROR(VLOOKUP(DATA_MARZO_2026[[#This Row],[ASER_]],$B:$G,4,0),"")</f>
        <v>KENNETH</v>
      </c>
      <c r="P39" s="6">
        <f>VLOOKUP(DATA_MARZO_2026[[#This Row],[ASER_]],D1_MARZO_2026[[ASESOR_CRR]:[RECUPERO]],6,0)</f>
        <v>1250</v>
      </c>
      <c r="Q39" s="6">
        <f>VLOOKUP(DATA_MARZO_2026[[#This Row],[ASER_]],D1_MARZO_2026[[ASESOR_CRR]:[META]],2,0)</f>
        <v>30500</v>
      </c>
      <c r="R39" t="s">
        <v>34</v>
      </c>
      <c r="S39">
        <v>0</v>
      </c>
      <c r="T39">
        <v>1250</v>
      </c>
      <c r="AO39" t="str">
        <f>VLOOKUP($M$3&amp;$N$3&amp;DATA_MARZO_2026[[#This Row],[SUPERVISOR]],TablaMeta[],7,0)</f>
        <v>S0</v>
      </c>
    </row>
    <row r="40" spans="1:41" x14ac:dyDescent="0.25">
      <c r="A40" s="35" t="str">
        <f>IFERROR(VLOOKUP(D1_MARZO_2026[[#This Row],[ASESOR_CRR]],PLANTILLA_ACTUAL[],2,0),"")</f>
        <v>LEONOR</v>
      </c>
      <c r="B40" s="35" t="str" cm="1">
        <f t="array" ref="B4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JOSELIN MONTALVO</v>
      </c>
      <c r="C40" s="37" cm="1">
        <f t="array" ref="C4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0" s="36">
        <f>IF(D1_MARZO_2026[[#This Row],[RECUPERO]]="VACACIONES","VACACIONES",IFERROR(D1_MARZO_2026[[#This Row],[RECUPERO]]/D1_MARZO_2026[[#This Row],[META]],""))</f>
        <v>6.0624999999999998E-2</v>
      </c>
      <c r="E40" s="36" t="str">
        <f>IFERROR(VLOOKUP(D1_MARZO_2026[[#This Row],[ASESOR_CRR]],PLANTILLA_ACTUAL[],2,0),"")</f>
        <v>LEONOR</v>
      </c>
      <c r="F40" t="s">
        <v>571</v>
      </c>
      <c r="G40" s="3">
        <v>970</v>
      </c>
      <c r="H40">
        <f>VLOOKUP(D1_MARZO_2026[[#This Row],[ASESOR_CRR]],DIM!$C:$E,2,0)</f>
        <v>73233992</v>
      </c>
      <c r="I40" s="57">
        <f>VLOOKUP(D1_MARZO_2026[[#This Row],[ASESOR_CRR]],DIM!$C:$E,3,0)</f>
        <v>46065</v>
      </c>
      <c r="J40" s="57" t="str">
        <f>VLOOKUP(D1_MARZO_2026[[#This Row],[ASESOR_CRR]],PLANTILLA_ACTUAL[],6,0)</f>
        <v>CALL</v>
      </c>
      <c r="K40" s="57"/>
      <c r="L40" s="57"/>
      <c r="M40" s="5">
        <f>DATA_MARZO_2026[[#This Row],[RECUPERO]]/DATA_MARZO_2026[[#This Row],[META]]</f>
        <v>1.9375E-2</v>
      </c>
      <c r="N40" s="5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IFERROR(VLOOKUP(DATA_MARZO_2026[[#This Row],[ASER_]],$B:$G,4,0),"")</f>
        <v>LEONOR</v>
      </c>
      <c r="P40" s="6">
        <f>VLOOKUP(DATA_MARZO_2026[[#This Row],[ASER_]],D1_MARZO_2026[[ASESOR_CRR]:[RECUPERO]],6,0)</f>
        <v>310</v>
      </c>
      <c r="Q40" s="6">
        <f>VLOOKUP(DATA_MARZO_2026[[#This Row],[ASER_]],D1_MARZO_2026[[ASESOR_CRR]:[META]],2,0)</f>
        <v>16000</v>
      </c>
      <c r="R40" t="s">
        <v>55</v>
      </c>
      <c r="S40">
        <v>310</v>
      </c>
      <c r="T40">
        <v>0</v>
      </c>
      <c r="AO40" t="str">
        <f>VLOOKUP($M$3&amp;$N$3&amp;DATA_MARZO_2026[[#This Row],[SUPERVISOR]],TablaMeta[],7,0)</f>
        <v>S2-3-4</v>
      </c>
    </row>
    <row r="41" spans="1:41" x14ac:dyDescent="0.25">
      <c r="A41" s="35" t="str">
        <f>IFERROR(VLOOKUP(D1_MARZO_2026[[#This Row],[ASESOR_CRR]],PLANTILLA_ACTUAL[],2,0),"")</f>
        <v>LEONOR</v>
      </c>
      <c r="B41" s="35" t="str" cm="1">
        <f t="array" ref="B4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MAYRA AVALOS</v>
      </c>
      <c r="C41" s="37" cm="1">
        <f t="array" ref="C4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1" s="36">
        <f>IF(D1_MARZO_2026[[#This Row],[RECUPERO]]="VACACIONES","VACACIONES",IFERROR(D1_MARZO_2026[[#This Row],[RECUPERO]]/D1_MARZO_2026[[#This Row],[META]],""))</f>
        <v>1.9375E-2</v>
      </c>
      <c r="E41" s="36" t="str">
        <f>IFERROR(VLOOKUP(D1_MARZO_2026[[#This Row],[ASESOR_CRR]],PLANTILLA_ACTUAL[],2,0),"")</f>
        <v>LEONOR</v>
      </c>
      <c r="F41" t="s">
        <v>55</v>
      </c>
      <c r="G41" s="3">
        <v>310</v>
      </c>
      <c r="H41">
        <f>VLOOKUP(D1_MARZO_2026[[#This Row],[ASESOR_CRR]],DIM!$C:$E,2,0)</f>
        <v>45119892</v>
      </c>
      <c r="I41" s="57">
        <f>VLOOKUP(D1_MARZO_2026[[#This Row],[ASESOR_CRR]],DIM!$C:$E,3,0)</f>
        <v>45813</v>
      </c>
      <c r="J41" s="57" t="str">
        <f>VLOOKUP(D1_MARZO_2026[[#This Row],[ASESOR_CRR]],PLANTILLA_ACTUAL[],6,0)</f>
        <v>CALL</v>
      </c>
      <c r="K41" s="57"/>
      <c r="L41" s="57"/>
      <c r="M41" s="5">
        <f>DATA_MARZO_2026[[#This Row],[RECUPERO]]/DATA_MARZO_2026[[#This Row],[META]]</f>
        <v>0</v>
      </c>
      <c r="N41" s="5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IFERROR(VLOOKUP(DATA_MARZO_2026[[#This Row],[ASER_]],$B:$G,4,0),"")</f>
        <v>LEONOR</v>
      </c>
      <c r="P41" s="6">
        <f>VLOOKUP(DATA_MARZO_2026[[#This Row],[ASER_]],D1_MARZO_2026[[ASESOR_CRR]:[RECUPERO]],6,0)</f>
        <v>0</v>
      </c>
      <c r="Q41" s="6">
        <f>VLOOKUP(DATA_MARZO_2026[[#This Row],[ASER_]],D1_MARZO_2026[[ASESOR_CRR]:[META]],2,0)</f>
        <v>35000</v>
      </c>
      <c r="R41" t="s">
        <v>77</v>
      </c>
      <c r="S41">
        <v>0</v>
      </c>
      <c r="T41">
        <v>0</v>
      </c>
      <c r="AO41" t="str">
        <f>VLOOKUP($M$3&amp;$N$3&amp;DATA_MARZO_2026[[#This Row],[SUPERVISOR]],TablaMeta[],7,0)</f>
        <v>S2-3-4</v>
      </c>
    </row>
    <row r="42" spans="1:41" x14ac:dyDescent="0.25">
      <c r="A42" s="35" t="str">
        <f>IFERROR(VLOOKUP(D1_MARZO_2026[[#This Row],[ASESOR_CRR]],PLANTILLA_ACTUAL[],2,0),"")</f>
        <v>LEONOR</v>
      </c>
      <c r="B42" s="35" t="str" cm="1">
        <f t="array" ref="B4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JEAN ARTEAGA</v>
      </c>
      <c r="C42" s="37" cm="1">
        <f t="array" ref="C4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2" s="36">
        <f>IF(D1_MARZO_2026[[#This Row],[RECUPERO]]="VACACIONES","VACACIONES",IFERROR(D1_MARZO_2026[[#This Row],[RECUPERO]]/D1_MARZO_2026[[#This Row],[META]],""))</f>
        <v>1.2500000000000001E-2</v>
      </c>
      <c r="E42" s="36" t="str">
        <f>IFERROR(VLOOKUP(D1_MARZO_2026[[#This Row],[ASESOR_CRR]],PLANTILLA_ACTUAL[],2,0),"")</f>
        <v>LEONOR</v>
      </c>
      <c r="F42" t="s">
        <v>585</v>
      </c>
      <c r="G42" s="3">
        <v>200</v>
      </c>
      <c r="H42">
        <f>VLOOKUP(D1_MARZO_2026[[#This Row],[ASESOR_CRR]],DIM!$C:$E,2,0)</f>
        <v>78564842</v>
      </c>
      <c r="I42" s="57">
        <f>VLOOKUP(D1_MARZO_2026[[#This Row],[ASESOR_CRR]],DIM!$C:$E,3,0)</f>
        <v>46078</v>
      </c>
      <c r="J42" s="57" t="str">
        <f>VLOOKUP(D1_MARZO_2026[[#This Row],[ASESOR_CRR]],PLANTILLA_ACTUAL[],6,0)</f>
        <v>CALL</v>
      </c>
      <c r="K42" s="57"/>
      <c r="L42" s="57"/>
      <c r="M42" s="5">
        <f>DATA_MARZO_2026[[#This Row],[RECUPERO]]/DATA_MARZO_2026[[#This Row],[META]]</f>
        <v>0</v>
      </c>
      <c r="N42" s="5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IFERROR(VLOOKUP(DATA_MARZO_2026[[#This Row],[ASER_]],$B:$G,4,0),"")</f>
        <v>LEONOR</v>
      </c>
      <c r="P42" s="6">
        <f>VLOOKUP(DATA_MARZO_2026[[#This Row],[ASER_]],D1_MARZO_2026[[ASESOR_CRR]:[RECUPERO]],6,0)</f>
        <v>0</v>
      </c>
      <c r="Q42" s="6">
        <f>VLOOKUP(DATA_MARZO_2026[[#This Row],[ASER_]],D1_MARZO_2026[[ASESOR_CRR]:[META]],2,0)</f>
        <v>35000</v>
      </c>
      <c r="R42" t="s">
        <v>73</v>
      </c>
      <c r="S42">
        <v>0</v>
      </c>
      <c r="T42">
        <v>0</v>
      </c>
      <c r="AO42" t="str">
        <f>VLOOKUP($M$3&amp;$N$3&amp;DATA_MARZO_2026[[#This Row],[SUPERVISOR]],TablaMeta[],7,0)</f>
        <v>S2-3-4</v>
      </c>
    </row>
    <row r="43" spans="1:41" x14ac:dyDescent="0.25">
      <c r="A43" s="35" t="str">
        <f>IFERROR(VLOOKUP(D1_MARZO_2026[[#This Row],[ASESOR_CRR]],PLANTILLA_ACTUAL[],2,0),"")</f>
        <v>LEONOR</v>
      </c>
      <c r="B43" s="35" t="str" cm="1">
        <f t="array" ref="B4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SONIA SULLA</v>
      </c>
      <c r="C43" s="37" cm="1">
        <f t="array" ref="C4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3" s="36">
        <f>IF(D1_MARZO_2026[[#This Row],[RECUPERO]]="VACACIONES","VACACIONES",IFERROR(D1_MARZO_2026[[#This Row],[RECUPERO]]/D1_MARZO_2026[[#This Row],[META]],""))</f>
        <v>0</v>
      </c>
      <c r="E43" s="36" t="str">
        <f>IFERROR(VLOOKUP(D1_MARZO_2026[[#This Row],[ASESOR_CRR]],PLANTILLA_ACTUAL[],2,0),"")</f>
        <v>LEONOR</v>
      </c>
      <c r="F43" t="s">
        <v>579</v>
      </c>
      <c r="G43" s="3">
        <v>0</v>
      </c>
      <c r="H43">
        <f>VLOOKUP(D1_MARZO_2026[[#This Row],[ASESOR_CRR]],DIM!$C:$E,2,0)</f>
        <v>10330959</v>
      </c>
      <c r="I43" s="57">
        <f>VLOOKUP(D1_MARZO_2026[[#This Row],[ASESOR_CRR]],DIM!$C:$E,3,0)</f>
        <v>46073</v>
      </c>
      <c r="J43" s="57" t="str">
        <f>VLOOKUP(D1_MARZO_2026[[#This Row],[ASESOR_CRR]],PLANTILLA_ACTUAL[],6,0)</f>
        <v>CALL</v>
      </c>
      <c r="K43" s="57"/>
      <c r="L43" s="57"/>
      <c r="M43" s="5">
        <f>DATA_MARZO_2026[[#This Row],[RECUPERO]]/DATA_MARZO_2026[[#This Row],[META]]</f>
        <v>0</v>
      </c>
      <c r="N43" s="5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IFERROR(VLOOKUP(DATA_MARZO_2026[[#This Row],[ASER_]],$B:$G,4,0),"")</f>
        <v>LEONOR</v>
      </c>
      <c r="P43" s="6">
        <f>VLOOKUP(DATA_MARZO_2026[[#This Row],[ASER_]],D1_MARZO_2026[[ASESOR_CRR]:[RECUPERO]],6,0)</f>
        <v>0</v>
      </c>
      <c r="Q43" s="6">
        <f>VLOOKUP(DATA_MARZO_2026[[#This Row],[ASER_]],D1_MARZO_2026[[ASESOR_CRR]:[META]],2,0)</f>
        <v>35000</v>
      </c>
      <c r="R43" t="s">
        <v>48</v>
      </c>
      <c r="S43">
        <v>0</v>
      </c>
      <c r="T43">
        <v>0</v>
      </c>
      <c r="AO43" t="str">
        <f>VLOOKUP($M$3&amp;$N$3&amp;DATA_MARZO_2026[[#This Row],[SUPERVISOR]],TablaMeta[],7,0)</f>
        <v>S2-3-4</v>
      </c>
    </row>
    <row r="44" spans="1:41" x14ac:dyDescent="0.25">
      <c r="A44" s="35" t="str">
        <f>IFERROR(VLOOKUP(D1_MARZO_2026[[#This Row],[ASESOR_CRR]],PLANTILLA_ACTUAL[],2,0),"")</f>
        <v>LEONOR</v>
      </c>
      <c r="B44" s="35" t="str" cm="1">
        <f t="array" ref="B4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JESSYKA GARCIA</v>
      </c>
      <c r="C44" s="37" cm="1">
        <f t="array" ref="C4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4" s="36">
        <f>IF(D1_MARZO_2026[[#This Row],[RECUPERO]]="VACACIONES","VACACIONES",IFERROR(D1_MARZO_2026[[#This Row],[RECUPERO]]/D1_MARZO_2026[[#This Row],[META]],""))</f>
        <v>0</v>
      </c>
      <c r="E44" s="36" t="str">
        <f>IFERROR(VLOOKUP(D1_MARZO_2026[[#This Row],[ASESOR_CRR]],PLANTILLA_ACTUAL[],2,0),"")</f>
        <v>LEONOR</v>
      </c>
      <c r="F44" t="s">
        <v>587</v>
      </c>
      <c r="G44" s="3">
        <v>0</v>
      </c>
      <c r="H44">
        <f>VLOOKUP(D1_MARZO_2026[[#This Row],[ASESOR_CRR]],DIM!$C:$E,2,0)</f>
        <v>10762187</v>
      </c>
      <c r="I44" s="57">
        <f>VLOOKUP(D1_MARZO_2026[[#This Row],[ASESOR_CRR]],DIM!$C:$E,3,0)</f>
        <v>46083</v>
      </c>
      <c r="J44" s="57" t="str">
        <f>VLOOKUP(D1_MARZO_2026[[#This Row],[ASESOR_CRR]],PLANTILLA_ACTUAL[],6,0)</f>
        <v>CALL</v>
      </c>
      <c r="K44" s="57"/>
      <c r="L44" s="57"/>
      <c r="M44" s="5">
        <f>DATA_MARZO_2026[[#This Row],[RECUPERO]]/DATA_MARZO_2026[[#This Row],[META]]</f>
        <v>0</v>
      </c>
      <c r="N44" s="55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IFERROR(VLOOKUP(DATA_MARZO_2026[[#This Row],[ASER_]],$B:$G,4,0),"")</f>
        <v>LEONOR</v>
      </c>
      <c r="P44" s="6">
        <f>VLOOKUP(DATA_MARZO_2026[[#This Row],[ASER_]],D1_MARZO_2026[[ASESOR_CRR]:[RECUPERO]],6,0)</f>
        <v>0</v>
      </c>
      <c r="Q44" s="6">
        <f>VLOOKUP(DATA_MARZO_2026[[#This Row],[ASER_]],D1_MARZO_2026[[ASESOR_CRR]:[META]],2,0)</f>
        <v>35000</v>
      </c>
      <c r="R44" t="s">
        <v>51</v>
      </c>
      <c r="S44">
        <v>0</v>
      </c>
      <c r="T44">
        <v>0</v>
      </c>
      <c r="AO44" t="str">
        <f>VLOOKUP($M$3&amp;$N$3&amp;DATA_MARZO_2026[[#This Row],[SUPERVISOR]],TablaMeta[],7,0)</f>
        <v>S2-3-4</v>
      </c>
    </row>
    <row r="45" spans="1:41" x14ac:dyDescent="0.25">
      <c r="A45" s="35" t="str">
        <f>IFERROR(VLOOKUP(D1_MARZO_2026[[#This Row],[ASESOR_CRR]],PLANTILLA_ACTUAL[],2,0),"")</f>
        <v>JOHAN</v>
      </c>
      <c r="B45" s="35" t="str" cm="1">
        <f t="array" ref="B4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CRISTINA TICONA</v>
      </c>
      <c r="C45" s="37" cm="1">
        <f t="array" ref="C4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5" s="36">
        <f>IF(D1_MARZO_2026[[#This Row],[RECUPERO]]="VACACIONES","VACACIONES",IFERROR(D1_MARZO_2026[[#This Row],[RECUPERO]]/D1_MARZO_2026[[#This Row],[META]],""))</f>
        <v>0.12478571428571429</v>
      </c>
      <c r="E45" s="36" t="str">
        <f>IFERROR(VLOOKUP(D1_MARZO_2026[[#This Row],[ASESOR_CRR]],PLANTILLA_ACTUAL[],2,0),"")</f>
        <v>JOHAN</v>
      </c>
      <c r="F45" t="s">
        <v>61</v>
      </c>
      <c r="G45" s="3">
        <v>6988</v>
      </c>
      <c r="H45">
        <f>VLOOKUP(D1_MARZO_2026[[#This Row],[ASESOR_CRR]],DIM!$C:$E,2,0)</f>
        <v>44001162</v>
      </c>
      <c r="I45" s="57">
        <f>VLOOKUP(D1_MARZO_2026[[#This Row],[ASESOR_CRR]],DIM!$C:$E,3,0)</f>
        <v>44907</v>
      </c>
      <c r="J45" s="57" t="str">
        <f>VLOOKUP(D1_MARZO_2026[[#This Row],[ASESOR_CRR]],PLANTILLA_ACTUAL[],6,0)</f>
        <v>CALL</v>
      </c>
      <c r="K45" s="57"/>
      <c r="L45" s="57"/>
      <c r="M45" s="5">
        <f>DATA_MARZO_2026[[#This Row],[RECUPERO]]/DATA_MARZO_2026[[#This Row],[META]]</f>
        <v>7.1428571428571425E-2</v>
      </c>
      <c r="N45" s="55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IFERROR(VLOOKUP(DATA_MARZO_2026[[#This Row],[ASER_]],$B:$G,4,0),"")</f>
        <v>LEONOR</v>
      </c>
      <c r="P45" s="6">
        <f>VLOOKUP(DATA_MARZO_2026[[#This Row],[ASER_]],D1_MARZO_2026[[ASESOR_CRR]:[RECUPERO]],6,0)</f>
        <v>2500</v>
      </c>
      <c r="Q45" s="6">
        <f>VLOOKUP(DATA_MARZO_2026[[#This Row],[ASER_]],D1_MARZO_2026[[ASESOR_CRR]:[META]],2,0)</f>
        <v>35000</v>
      </c>
      <c r="R45" t="s">
        <v>49</v>
      </c>
      <c r="S45">
        <v>0</v>
      </c>
      <c r="T45">
        <v>2500</v>
      </c>
      <c r="AO45" t="str">
        <f>VLOOKUP($M$3&amp;$N$3&amp;DATA_MARZO_2026[[#This Row],[SUPERVISOR]],TablaMeta[],7,0)</f>
        <v>S2-3-4</v>
      </c>
    </row>
    <row r="46" spans="1:41" x14ac:dyDescent="0.25">
      <c r="A46" s="35" t="str">
        <f>IFERROR(VLOOKUP(D1_MARZO_2026[[#This Row],[ASESOR_CRR]],PLANTILLA_ACTUAL[],2,0),"")</f>
        <v>JOHAN</v>
      </c>
      <c r="B46" s="35" t="str" cm="1">
        <f t="array" ref="B4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MARTIN VARGAS</v>
      </c>
      <c r="C46" s="37" cm="1">
        <f t="array" ref="C4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6" s="36">
        <f>IF(D1_MARZO_2026[[#This Row],[RECUPERO]]="VACACIONES","VACACIONES",IFERROR(D1_MARZO_2026[[#This Row],[RECUPERO]]/D1_MARZO_2026[[#This Row],[META]],""))</f>
        <v>0.10714285714285714</v>
      </c>
      <c r="E46" s="36" t="str">
        <f>IFERROR(VLOOKUP(D1_MARZO_2026[[#This Row],[ASESOR_CRR]],PLANTILLA_ACTUAL[],2,0),"")</f>
        <v>JOHAN</v>
      </c>
      <c r="F46" t="s">
        <v>207</v>
      </c>
      <c r="G46" s="3">
        <v>6000</v>
      </c>
      <c r="H46">
        <f>VLOOKUP(D1_MARZO_2026[[#This Row],[ASESOR_CRR]],DIM!$C:$E,2,0)</f>
        <v>47497410</v>
      </c>
      <c r="I46" s="57">
        <f>VLOOKUP(D1_MARZO_2026[[#This Row],[ASESOR_CRR]],DIM!$C:$E,3,0)</f>
        <v>46024</v>
      </c>
      <c r="J46" s="57" t="str">
        <f>VLOOKUP(D1_MARZO_2026[[#This Row],[ASESOR_CRR]],PLANTILLA_ACTUAL[],6,0)</f>
        <v>CALL</v>
      </c>
      <c r="K46" s="57"/>
      <c r="L46" s="57"/>
      <c r="M46" s="5">
        <f>DATA_MARZO_2026[[#This Row],[RECUPERO]]/DATA_MARZO_2026[[#This Row],[META]]</f>
        <v>0.28125</v>
      </c>
      <c r="N46" s="55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IFERROR(VLOOKUP(DATA_MARZO_2026[[#This Row],[ASER_]],$B:$G,4,0),"")</f>
        <v>LEONOR</v>
      </c>
      <c r="P46" s="6">
        <f>VLOOKUP(DATA_MARZO_2026[[#This Row],[ASER_]],D1_MARZO_2026[[ASESOR_CRR]:[RECUPERO]],6,0)</f>
        <v>4500</v>
      </c>
      <c r="Q46" s="6">
        <f>VLOOKUP(DATA_MARZO_2026[[#This Row],[ASER_]],D1_MARZO_2026[[ASESOR_CRR]:[META]],2,0)</f>
        <v>16000</v>
      </c>
      <c r="R46" t="s">
        <v>514</v>
      </c>
      <c r="S46">
        <v>4500</v>
      </c>
      <c r="T46">
        <v>0</v>
      </c>
      <c r="AO46" t="str">
        <f>VLOOKUP($M$3&amp;$N$3&amp;DATA_MARZO_2026[[#This Row],[SUPERVISOR]],TablaMeta[],7,0)</f>
        <v>S2-3-4</v>
      </c>
    </row>
    <row r="47" spans="1:41" x14ac:dyDescent="0.25">
      <c r="A47" s="35" t="str">
        <f>IFERROR(VLOOKUP(D1_MARZO_2026[[#This Row],[ASESOR_CRR]],PLANTILLA_ACTUAL[],2,0),"")</f>
        <v>JOHAN</v>
      </c>
      <c r="B47" s="35" t="str" cm="1">
        <f t="array" ref="B4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ANTHONY VICENTE</v>
      </c>
      <c r="C47" s="37" cm="1">
        <f t="array" ref="C4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7" s="36">
        <f>IF(D1_MARZO_2026[[#This Row],[RECUPERO]]="VACACIONES","VACACIONES",IFERROR(D1_MARZO_2026[[#This Row],[RECUPERO]]/D1_MARZO_2026[[#This Row],[META]],""))</f>
        <v>7.1428571428571425E-2</v>
      </c>
      <c r="E47" s="36" t="str">
        <f>IFERROR(VLOOKUP(D1_MARZO_2026[[#This Row],[ASESOR_CRR]],PLANTILLA_ACTUAL[],2,0),"")</f>
        <v>JOHAN</v>
      </c>
      <c r="F47" t="s">
        <v>85</v>
      </c>
      <c r="G47" s="3">
        <v>4000</v>
      </c>
      <c r="H47">
        <f>VLOOKUP(D1_MARZO_2026[[#This Row],[ASESOR_CRR]],DIM!$C:$E,2,0)</f>
        <v>70477743</v>
      </c>
      <c r="I47" s="57">
        <f>VLOOKUP(D1_MARZO_2026[[#This Row],[ASESOR_CRR]],DIM!$C:$E,3,0)</f>
        <v>46055</v>
      </c>
      <c r="J47" s="57" t="str">
        <f>VLOOKUP(D1_MARZO_2026[[#This Row],[ASESOR_CRR]],PLANTILLA_ACTUAL[],6,0)</f>
        <v>CALL</v>
      </c>
      <c r="K47" s="57"/>
      <c r="L47" s="57"/>
      <c r="M47" s="5">
        <f>DATA_MARZO_2026[[#This Row],[RECUPERO]]/DATA_MARZO_2026[[#This Row],[META]]</f>
        <v>8.6624999999999994E-2</v>
      </c>
      <c r="N47" s="55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IFERROR(VLOOKUP(DATA_MARZO_2026[[#This Row],[ASER_]],$B:$G,4,0),"")</f>
        <v>LEONOR</v>
      </c>
      <c r="P47" s="6">
        <f>VLOOKUP(DATA_MARZO_2026[[#This Row],[ASER_]],D1_MARZO_2026[[ASESOR_CRR]:[RECUPERO]],6,0)</f>
        <v>1386</v>
      </c>
      <c r="Q47" s="6">
        <f>VLOOKUP(DATA_MARZO_2026[[#This Row],[ASER_]],D1_MARZO_2026[[ASESOR_CRR]:[META]],2,0)</f>
        <v>16000</v>
      </c>
      <c r="R47" t="s">
        <v>41</v>
      </c>
      <c r="S47">
        <v>0</v>
      </c>
      <c r="T47">
        <v>1386</v>
      </c>
      <c r="AO47" t="str">
        <f>VLOOKUP($M$3&amp;$N$3&amp;DATA_MARZO_2026[[#This Row],[SUPERVISOR]],TablaMeta[],7,0)</f>
        <v>S2-3-4</v>
      </c>
    </row>
    <row r="48" spans="1:41" x14ac:dyDescent="0.25">
      <c r="A48" s="35" t="str">
        <f>IFERROR(VLOOKUP(D1_MARZO_2026[[#This Row],[ASESOR_CRR]],PLANTILLA_ACTUAL[],2,0),"")</f>
        <v>JOHAN</v>
      </c>
      <c r="B48" s="35" t="str" cm="1">
        <f t="array" ref="B4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PIERINA TESEN</v>
      </c>
      <c r="C48" s="37" cm="1">
        <f t="array" ref="C4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8" s="36">
        <f>IF(D1_MARZO_2026[[#This Row],[RECUPERO]]="VACACIONES","VACACIONES",IFERROR(D1_MARZO_2026[[#This Row],[RECUPERO]]/D1_MARZO_2026[[#This Row],[META]],""))</f>
        <v>6.25E-2</v>
      </c>
      <c r="E48" s="36" t="str">
        <f>IFERROR(VLOOKUP(D1_MARZO_2026[[#This Row],[ASESOR_CRR]],PLANTILLA_ACTUAL[],2,0),"")</f>
        <v>JOHAN</v>
      </c>
      <c r="F48" t="s">
        <v>59</v>
      </c>
      <c r="G48" s="3">
        <v>3500</v>
      </c>
      <c r="H48">
        <f>VLOOKUP(D1_MARZO_2026[[#This Row],[ASESOR_CRR]],DIM!$C:$E,2,0)</f>
        <v>60870839</v>
      </c>
      <c r="I48" s="57">
        <f>VLOOKUP(D1_MARZO_2026[[#This Row],[ASESOR_CRR]],DIM!$C:$E,3,0)</f>
        <v>45344</v>
      </c>
      <c r="J48" s="57" t="str">
        <f>VLOOKUP(D1_MARZO_2026[[#This Row],[ASESOR_CRR]],PLANTILLA_ACTUAL[],6,0)</f>
        <v>CALL</v>
      </c>
      <c r="K48" s="57"/>
      <c r="L48" s="57"/>
      <c r="M48" s="5">
        <f>DATA_MARZO_2026[[#This Row],[RECUPERO]]/DATA_MARZO_2026[[#This Row],[META]]</f>
        <v>6.0624999999999998E-2</v>
      </c>
      <c r="N48" s="55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IFERROR(VLOOKUP(DATA_MARZO_2026[[#This Row],[ASER_]],$B:$G,4,0),"")</f>
        <v>LEONOR</v>
      </c>
      <c r="P48" s="6">
        <f>VLOOKUP(DATA_MARZO_2026[[#This Row],[ASER_]],D1_MARZO_2026[[ASESOR_CRR]:[RECUPERO]],6,0)</f>
        <v>970</v>
      </c>
      <c r="Q48" s="6">
        <f>VLOOKUP(DATA_MARZO_2026[[#This Row],[ASER_]],D1_MARZO_2026[[ASESOR_CRR]:[META]],2,0)</f>
        <v>16000</v>
      </c>
      <c r="R48" t="s">
        <v>571</v>
      </c>
      <c r="S48">
        <v>0</v>
      </c>
      <c r="T48">
        <v>970</v>
      </c>
      <c r="AO48" t="str">
        <f>VLOOKUP($M$3&amp;$N$3&amp;DATA_MARZO_2026[[#This Row],[SUPERVISOR]],TablaMeta[],7,0)</f>
        <v>S2-3-4</v>
      </c>
    </row>
    <row r="49" spans="1:41" x14ac:dyDescent="0.25">
      <c r="A49" s="35" t="str">
        <f>IFERROR(VLOOKUP(D1_MARZO_2026[[#This Row],[ASESOR_CRR]],PLANTILLA_ACTUAL[],2,0),"")</f>
        <v>JOHAN</v>
      </c>
      <c r="B49" s="35" t="str" cm="1">
        <f t="array" ref="B4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VILLAR</v>
      </c>
      <c r="C49" s="37" cm="1">
        <f t="array" ref="C4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9" s="36">
        <f>IF(D1_MARZO_2026[[#This Row],[RECUPERO]]="VACACIONES","VACACIONES",IFERROR(D1_MARZO_2026[[#This Row],[RECUPERO]]/D1_MARZO_2026[[#This Row],[META]],""))</f>
        <v>5.3571428571428568E-2</v>
      </c>
      <c r="E49" s="36" t="str">
        <f>IFERROR(VLOOKUP(D1_MARZO_2026[[#This Row],[ASESOR_CRR]],PLANTILLA_ACTUAL[],2,0),"")</f>
        <v>JOHAN</v>
      </c>
      <c r="F49" t="s">
        <v>72</v>
      </c>
      <c r="G49" s="3">
        <v>3000</v>
      </c>
      <c r="H49">
        <f>VLOOKUP(D1_MARZO_2026[[#This Row],[ASESOR_CRR]],DIM!$C:$E,2,0)</f>
        <v>47690367</v>
      </c>
      <c r="I49" s="57">
        <f>VLOOKUP(D1_MARZO_2026[[#This Row],[ASESOR_CRR]],DIM!$C:$E,3,0)</f>
        <v>45691</v>
      </c>
      <c r="J49" s="57" t="str">
        <f>VLOOKUP(D1_MARZO_2026[[#This Row],[ASESOR_CRR]],PLANTILLA_ACTUAL[],6,0)</f>
        <v>CALL</v>
      </c>
      <c r="K49" s="57"/>
      <c r="L49" s="57"/>
      <c r="M49" s="5">
        <f>DATA_MARZO_2026[[#This Row],[RECUPERO]]/DATA_MARZO_2026[[#This Row],[META]]</f>
        <v>0</v>
      </c>
      <c r="N49" s="55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IFERROR(VLOOKUP(DATA_MARZO_2026[[#This Row],[ASER_]],$B:$G,4,0),"")</f>
        <v>LEONOR</v>
      </c>
      <c r="P49" s="6">
        <f>VLOOKUP(DATA_MARZO_2026[[#This Row],[ASER_]],D1_MARZO_2026[[ASESOR_CRR]:[RECUPERO]],6,0)</f>
        <v>0</v>
      </c>
      <c r="Q49" s="6">
        <f>VLOOKUP(DATA_MARZO_2026[[#This Row],[ASER_]],D1_MARZO_2026[[ASESOR_CRR]:[META]],2,0)</f>
        <v>16000</v>
      </c>
      <c r="R49" t="s">
        <v>579</v>
      </c>
      <c r="S49">
        <v>0</v>
      </c>
      <c r="T49">
        <v>0</v>
      </c>
      <c r="AO49" t="str">
        <f>VLOOKUP($M$3&amp;$N$3&amp;DATA_MARZO_2026[[#This Row],[SUPERVISOR]],TablaMeta[],7,0)</f>
        <v>S2-3-4</v>
      </c>
    </row>
    <row r="50" spans="1:41" x14ac:dyDescent="0.25">
      <c r="A50" s="35" t="str">
        <f>IFERROR(VLOOKUP(D1_MARZO_2026[[#This Row],[ASESOR_CRR]],PLANTILLA_ACTUAL[],2,0),"")</f>
        <v>JOHAN</v>
      </c>
      <c r="B50" s="35" t="str" cm="1">
        <f t="array" ref="B5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ANALUCIA PONCE</v>
      </c>
      <c r="C50" s="37" cm="1">
        <f t="array" ref="C5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0" s="36">
        <f>IF(D1_MARZO_2026[[#This Row],[RECUPERO]]="VACACIONES","VACACIONES",IFERROR(D1_MARZO_2026[[#This Row],[RECUPERO]]/D1_MARZO_2026[[#This Row],[META]],""))</f>
        <v>4.9053571428571426E-2</v>
      </c>
      <c r="E50" s="36" t="str">
        <f>IFERROR(VLOOKUP(D1_MARZO_2026[[#This Row],[ASESOR_CRR]],PLANTILLA_ACTUAL[],2,0),"")</f>
        <v>JOHAN</v>
      </c>
      <c r="F50" t="s">
        <v>60</v>
      </c>
      <c r="G50" s="3">
        <v>2747</v>
      </c>
      <c r="H50">
        <f>VLOOKUP(D1_MARZO_2026[[#This Row],[ASESOR_CRR]],DIM!$C:$E,2,0)</f>
        <v>72839865</v>
      </c>
      <c r="I50" s="57">
        <f>VLOOKUP(D1_MARZO_2026[[#This Row],[ASESOR_CRR]],DIM!$C:$E,3,0)</f>
        <v>45854</v>
      </c>
      <c r="J50" s="57" t="str">
        <f>VLOOKUP(D1_MARZO_2026[[#This Row],[ASESOR_CRR]],PLANTILLA_ACTUAL[],6,0)</f>
        <v>CALL</v>
      </c>
      <c r="K50" s="57"/>
      <c r="L50" s="57"/>
      <c r="M50" s="5">
        <f>DATA_MARZO_2026[[#This Row],[RECUPERO]]/DATA_MARZO_2026[[#This Row],[META]]</f>
        <v>1.2500000000000001E-2</v>
      </c>
      <c r="N50" s="55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IFERROR(VLOOKUP(DATA_MARZO_2026[[#This Row],[ASER_]],$B:$G,4,0),"")</f>
        <v>LEONOR</v>
      </c>
      <c r="P50" s="6">
        <f>VLOOKUP(DATA_MARZO_2026[[#This Row],[ASER_]],D1_MARZO_2026[[ASESOR_CRR]:[RECUPERO]],6,0)</f>
        <v>200</v>
      </c>
      <c r="Q50" s="6">
        <f>VLOOKUP(DATA_MARZO_2026[[#This Row],[ASER_]],D1_MARZO_2026[[ASESOR_CRR]:[META]],2,0)</f>
        <v>16000</v>
      </c>
      <c r="R50" t="s">
        <v>585</v>
      </c>
      <c r="S50">
        <v>200</v>
      </c>
      <c r="T50">
        <v>0</v>
      </c>
      <c r="AO50" t="str">
        <f>VLOOKUP($M$3&amp;$N$3&amp;DATA_MARZO_2026[[#This Row],[SUPERVISOR]],TablaMeta[],7,0)</f>
        <v>S2-3-4</v>
      </c>
    </row>
    <row r="51" spans="1:41" x14ac:dyDescent="0.25">
      <c r="A51" s="35" t="str">
        <f>IFERROR(VLOOKUP(D1_MARZO_2026[[#This Row],[ASESOR_CRR]],PLANTILLA_ACTUAL[],2,0),"")</f>
        <v>JOHAN</v>
      </c>
      <c r="B51" s="35" t="str" cm="1">
        <f t="array" ref="B5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TINTAYA</v>
      </c>
      <c r="C51" s="37" cm="1">
        <f t="array" ref="C5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1" s="36">
        <f>IF(D1_MARZO_2026[[#This Row],[RECUPERO]]="VACACIONES","VACACIONES",IFERROR(D1_MARZO_2026[[#This Row],[RECUPERO]]/D1_MARZO_2026[[#This Row],[META]],""))</f>
        <v>3.5714285714285712E-2</v>
      </c>
      <c r="E51" s="36" t="str">
        <f>IFERROR(VLOOKUP(D1_MARZO_2026[[#This Row],[ASESOR_CRR]],PLANTILLA_ACTUAL[],2,0),"")</f>
        <v>JOHAN</v>
      </c>
      <c r="F51" t="s">
        <v>75</v>
      </c>
      <c r="G51" s="3">
        <v>2000</v>
      </c>
      <c r="H51">
        <f>VLOOKUP(D1_MARZO_2026[[#This Row],[ASESOR_CRR]],DIM!$C:$E,2,0)</f>
        <v>71264767</v>
      </c>
      <c r="I51" s="57">
        <f>VLOOKUP(D1_MARZO_2026[[#This Row],[ASESOR_CRR]],DIM!$C:$E,3,0)</f>
        <v>44714</v>
      </c>
      <c r="J51" s="57" t="str">
        <f>VLOOKUP(D1_MARZO_2026[[#This Row],[ASESOR_CRR]],PLANTILLA_ACTUAL[],6,0)</f>
        <v>CALL</v>
      </c>
      <c r="K51" s="57"/>
      <c r="L51" s="57"/>
      <c r="M51" s="5">
        <f>DATA_MARZO_2026[[#This Row],[RECUPERO]]/DATA_MARZO_2026[[#This Row],[META]]</f>
        <v>0</v>
      </c>
      <c r="N51" s="55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6" t="str">
        <f>IFERROR(VLOOKUP(DATA_MARZO_2026[[#This Row],[ASER_]],$B:$G,4,0),"")</f>
        <v>LEONOR</v>
      </c>
      <c r="P51" s="6">
        <f>VLOOKUP(DATA_MARZO_2026[[#This Row],[ASER_]],D1_MARZO_2026[[ASESOR_CRR]:[RECUPERO]],6,0)</f>
        <v>0</v>
      </c>
      <c r="Q51" s="6">
        <f>VLOOKUP(DATA_MARZO_2026[[#This Row],[ASER_]],D1_MARZO_2026[[ASESOR_CRR]:[META]],2,0)</f>
        <v>16000</v>
      </c>
      <c r="R51" t="s">
        <v>587</v>
      </c>
      <c r="S51">
        <v>0</v>
      </c>
      <c r="T51">
        <v>0</v>
      </c>
      <c r="X51" s="5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t="str">
        <f>VLOOKUP($M$3&amp;$N$3&amp;DATA_MARZO_2026[[#This Row],[SUPERVISOR]],TablaMeta[],7,0)</f>
        <v>S2-3-4</v>
      </c>
    </row>
    <row r="52" spans="1:41" x14ac:dyDescent="0.25">
      <c r="A52" s="35" t="str">
        <f>IFERROR(VLOOKUP(D1_MARZO_2026[[#This Row],[ASESOR_CRR]],PLANTILLA_ACTUAL[],2,0),"")</f>
        <v>JOHAN</v>
      </c>
      <c r="B52" s="35" t="str" cm="1">
        <f t="array" ref="B5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ALEJANDRO GONZALES</v>
      </c>
      <c r="C52" s="37" cm="1">
        <f t="array" ref="C5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2" s="36">
        <f>IF(D1_MARZO_2026[[#This Row],[RECUPERO]]="VACACIONES","VACACIONES",IFERROR(D1_MARZO_2026[[#This Row],[RECUPERO]]/D1_MARZO_2026[[#This Row],[META]],""))</f>
        <v>1.7857142857142856E-2</v>
      </c>
      <c r="E52" s="36" t="str">
        <f>IFERROR(VLOOKUP(D1_MARZO_2026[[#This Row],[ASESOR_CRR]],PLANTILLA_ACTUAL[],2,0),"")</f>
        <v>JOHAN</v>
      </c>
      <c r="F52" t="s">
        <v>109</v>
      </c>
      <c r="G52" s="3">
        <v>1000</v>
      </c>
      <c r="H52">
        <f>VLOOKUP(D1_MARZO_2026[[#This Row],[ASESOR_CRR]],DIM!$C:$E,2,0)</f>
        <v>74626735</v>
      </c>
      <c r="I52" s="57">
        <f>VLOOKUP(D1_MARZO_2026[[#This Row],[ASESOR_CRR]],DIM!$C:$E,3,0)</f>
        <v>46024</v>
      </c>
      <c r="J52" s="57" t="str">
        <f>VLOOKUP(D1_MARZO_2026[[#This Row],[ASESOR_CRR]],PLANTILLA_ACTUAL[],6,0)</f>
        <v>CALL</v>
      </c>
      <c r="K52" s="57"/>
      <c r="L52" s="57"/>
      <c r="M52" s="5">
        <f>DATA_MARZO_2026[[#This Row],[RECUPERO]]/DATA_MARZO_2026[[#This Row],[META]]</f>
        <v>6.25E-2</v>
      </c>
      <c r="N52" s="55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IFERROR(VLOOKUP(DATA_MARZO_2026[[#This Row],[ASER_]],$B:$G,4,0),"")</f>
        <v>JOHAN</v>
      </c>
      <c r="P52" s="6">
        <f>VLOOKUP(DATA_MARZO_2026[[#This Row],[ASER_]],D1_MARZO_2026[[ASESOR_CRR]:[RECUPERO]],6,0)</f>
        <v>3500</v>
      </c>
      <c r="Q52" s="6">
        <f>VLOOKUP(DATA_MARZO_2026[[#This Row],[ASER_]],D1_MARZO_2026[[ASESOR_CRR]:[META]],2,0)</f>
        <v>56000</v>
      </c>
      <c r="R52" t="s">
        <v>59</v>
      </c>
      <c r="S52">
        <v>3500</v>
      </c>
      <c r="T52">
        <v>0</v>
      </c>
      <c r="X52" s="5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t="str">
        <f>VLOOKUP($M$3&amp;$N$3&amp;DATA_MARZO_2026[[#This Row],[SUPERVISOR]],TablaMeta[],7,0)</f>
        <v>S1</v>
      </c>
    </row>
    <row r="53" spans="1:41" x14ac:dyDescent="0.25">
      <c r="A53" s="35" t="str">
        <f>IFERROR(VLOOKUP(D1_MARZO_2026[[#This Row],[ASESOR_CRR]],PLANTILLA_ACTUAL[],2,0),"")</f>
        <v>JOHAN</v>
      </c>
      <c r="B53" s="35" t="str" cm="1">
        <f t="array" ref="B5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JEREMIAS ROJAS</v>
      </c>
      <c r="C53" s="37" cm="1">
        <f t="array" ref="C5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3" s="36">
        <f>IF(D1_MARZO_2026[[#This Row],[RECUPERO]]="VACACIONES","VACACIONES",IFERROR(D1_MARZO_2026[[#This Row],[RECUPERO]]/D1_MARZO_2026[[#This Row],[META]],""))</f>
        <v>1.125E-2</v>
      </c>
      <c r="E53" s="36" t="str">
        <f>IFERROR(VLOOKUP(D1_MARZO_2026[[#This Row],[ASESOR_CRR]],PLANTILLA_ACTUAL[],2,0),"")</f>
        <v>JOHAN</v>
      </c>
      <c r="F53" t="s">
        <v>122</v>
      </c>
      <c r="G53" s="3">
        <v>630</v>
      </c>
      <c r="H53">
        <f>VLOOKUP(D1_MARZO_2026[[#This Row],[ASESOR_CRR]],DIM!$C:$E,2,0)</f>
        <v>76586998</v>
      </c>
      <c r="I53" s="57">
        <f>VLOOKUP(D1_MARZO_2026[[#This Row],[ASESOR_CRR]],DIM!$C:$E,3,0)</f>
        <v>45971</v>
      </c>
      <c r="J53" s="57" t="str">
        <f>VLOOKUP(D1_MARZO_2026[[#This Row],[ASESOR_CRR]],PLANTILLA_ACTUAL[],6,0)</f>
        <v>CALL</v>
      </c>
      <c r="K53" s="57"/>
      <c r="L53" s="57"/>
      <c r="M53" s="5">
        <f>DATA_MARZO_2026[[#This Row],[RECUPERO]]/DATA_MARZO_2026[[#This Row],[META]]</f>
        <v>4.9053571428571426E-2</v>
      </c>
      <c r="N53" s="55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IFERROR(VLOOKUP(DATA_MARZO_2026[[#This Row],[ASER_]],$B:$G,4,0),"")</f>
        <v>JOHAN</v>
      </c>
      <c r="P53" s="6">
        <f>VLOOKUP(DATA_MARZO_2026[[#This Row],[ASER_]],D1_MARZO_2026[[ASESOR_CRR]:[RECUPERO]],6,0)</f>
        <v>2747</v>
      </c>
      <c r="Q53" s="6">
        <f>VLOOKUP(DATA_MARZO_2026[[#This Row],[ASER_]],D1_MARZO_2026[[ASESOR_CRR]:[META]],2,0)</f>
        <v>56000</v>
      </c>
      <c r="R53" t="s">
        <v>60</v>
      </c>
      <c r="S53">
        <v>1377</v>
      </c>
      <c r="T53">
        <v>1370</v>
      </c>
      <c r="X53" s="5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t="str">
        <f>VLOOKUP($M$3&amp;$N$3&amp;DATA_MARZO_2026[[#This Row],[SUPERVISOR]],TablaMeta[],7,0)</f>
        <v>S1</v>
      </c>
    </row>
    <row r="54" spans="1:41" x14ac:dyDescent="0.25">
      <c r="A54" s="35" t="str">
        <f>IFERROR(VLOOKUP(D1_MARZO_2026[[#This Row],[ASESOR_CRR]],PLANTILLA_ACTUAL[],2,0),"")</f>
        <v>JOHAN</v>
      </c>
      <c r="B54" s="35" t="str" cm="1">
        <f t="array" ref="B5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VICUNA</v>
      </c>
      <c r="C54" s="37" cm="1">
        <f t="array" ref="C5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4" s="36">
        <f>IF(D1_MARZO_2026[[#This Row],[RECUPERO]]="VACACIONES","VACACIONES",IFERROR(D1_MARZO_2026[[#This Row],[RECUPERO]]/D1_MARZO_2026[[#This Row],[META]],""))</f>
        <v>0</v>
      </c>
      <c r="E54" s="36" t="str">
        <f>IFERROR(VLOOKUP(D1_MARZO_2026[[#This Row],[ASESOR_CRR]],PLANTILLA_ACTUAL[],2,0),"")</f>
        <v>JOHAN</v>
      </c>
      <c r="F54" t="s">
        <v>12</v>
      </c>
      <c r="G54" s="3">
        <v>0</v>
      </c>
      <c r="H54">
        <f>VLOOKUP(D1_MARZO_2026[[#This Row],[ASESOR_CRR]],DIM!$C:$E,2,0)</f>
        <v>45262585</v>
      </c>
      <c r="I54" s="57">
        <f>VLOOKUP(D1_MARZO_2026[[#This Row],[ASESOR_CRR]],DIM!$C:$E,3,0)</f>
        <v>44868</v>
      </c>
      <c r="J54" s="57" t="str">
        <f>VLOOKUP(D1_MARZO_2026[[#This Row],[ASESOR_CRR]],PLANTILLA_ACTUAL[],6,0)</f>
        <v>CALL</v>
      </c>
      <c r="K54" s="57"/>
      <c r="M54" s="5">
        <f>DATA_MARZO_2026[[#This Row],[RECUPERO]]/DATA_MARZO_2026[[#This Row],[META]]</f>
        <v>3.5714285714285712E-2</v>
      </c>
      <c r="N54" s="55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IFERROR(VLOOKUP(DATA_MARZO_2026[[#This Row],[ASER_]],$B:$G,4,0),"")</f>
        <v>JOHAN</v>
      </c>
      <c r="P54" s="6">
        <f>VLOOKUP(DATA_MARZO_2026[[#This Row],[ASER_]],D1_MARZO_2026[[ASESOR_CRR]:[RECUPERO]],6,0)</f>
        <v>2000</v>
      </c>
      <c r="Q54" s="6">
        <f>VLOOKUP(DATA_MARZO_2026[[#This Row],[ASER_]],D1_MARZO_2026[[ASESOR_CRR]:[META]],2,0)</f>
        <v>56000</v>
      </c>
      <c r="R54" t="s">
        <v>75</v>
      </c>
      <c r="S54">
        <v>0</v>
      </c>
      <c r="T54">
        <v>2000</v>
      </c>
      <c r="X54" s="5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t="str">
        <f>VLOOKUP($M$3&amp;$N$3&amp;DATA_MARZO_2026[[#This Row],[SUPERVISOR]],TablaMeta[],7,0)</f>
        <v>S1</v>
      </c>
    </row>
    <row r="55" spans="1:41" x14ac:dyDescent="0.25">
      <c r="A55" s="35" t="str">
        <f>IFERROR(VLOOKUP(D1_MARZO_2026[[#This Row],[ASESOR_CRR]],PLANTILLA_ACTUAL[],2,0),"")</f>
        <v>JOHAN</v>
      </c>
      <c r="B55" s="35" t="str" cm="1">
        <f t="array" ref="B5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ALEIDITH GUEVARA</v>
      </c>
      <c r="C55" s="37" cm="1">
        <f t="array" ref="C5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5" s="36">
        <f>IF(D1_MARZO_2026[[#This Row],[RECUPERO]]="VACACIONES","VACACIONES",IFERROR(D1_MARZO_2026[[#This Row],[RECUPERO]]/D1_MARZO_2026[[#This Row],[META]],""))</f>
        <v>0</v>
      </c>
      <c r="E55" s="36" t="str">
        <f>IFERROR(VLOOKUP(D1_MARZO_2026[[#This Row],[ASESOR_CRR]],PLANTILLA_ACTUAL[],2,0),"")</f>
        <v>JOHAN</v>
      </c>
      <c r="F55" t="s">
        <v>18</v>
      </c>
      <c r="G55" s="3">
        <v>0</v>
      </c>
      <c r="H55">
        <f>VLOOKUP(D1_MARZO_2026[[#This Row],[ASESOR_CRR]],DIM!$C:$E,2,0)</f>
        <v>76214436</v>
      </c>
      <c r="I55" s="57">
        <f>VLOOKUP(D1_MARZO_2026[[#This Row],[ASESOR_CRR]],DIM!$C:$E,3,0)</f>
        <v>45132</v>
      </c>
      <c r="J55" s="57" t="str">
        <f>VLOOKUP(D1_MARZO_2026[[#This Row],[ASESOR_CRR]],PLANTILLA_ACTUAL[],6,0)</f>
        <v>CALL</v>
      </c>
      <c r="K55" s="57"/>
      <c r="M55" s="5">
        <f>DATA_MARZO_2026[[#This Row],[RECUPERO]]/DATA_MARZO_2026[[#This Row],[META]]</f>
        <v>5.3571428571428568E-2</v>
      </c>
      <c r="N55" s="55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IFERROR(VLOOKUP(DATA_MARZO_2026[[#This Row],[ASER_]],$B:$G,4,0),"")</f>
        <v>JOHAN</v>
      </c>
      <c r="P55" s="6">
        <f>VLOOKUP(DATA_MARZO_2026[[#This Row],[ASER_]],D1_MARZO_2026[[ASESOR_CRR]:[RECUPERO]],6,0)</f>
        <v>3000</v>
      </c>
      <c r="Q55" s="6">
        <f>VLOOKUP(DATA_MARZO_2026[[#This Row],[ASER_]],D1_MARZO_2026[[ASESOR_CRR]:[META]],2,0)</f>
        <v>56000</v>
      </c>
      <c r="R55" t="s">
        <v>72</v>
      </c>
      <c r="S55">
        <v>0</v>
      </c>
      <c r="T55">
        <v>3000</v>
      </c>
      <c r="X55" s="5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t="str">
        <f>VLOOKUP($M$3&amp;$N$3&amp;DATA_MARZO_2026[[#This Row],[SUPERVISOR]],TablaMeta[],7,0)</f>
        <v>S1</v>
      </c>
    </row>
    <row r="56" spans="1:41" x14ac:dyDescent="0.25">
      <c r="A56" s="35" t="str">
        <f>IFERROR(VLOOKUP(D1_MARZO_2026[[#This Row],[ASESOR_CRR]],PLANTILLA_ACTUAL[],2,0),"")</f>
        <v>LEONOR</v>
      </c>
      <c r="B56" s="35" t="str" cm="1">
        <f t="array" ref="B5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JANETH PORTOCARRERO</v>
      </c>
      <c r="C56" s="37" cm="1">
        <f t="array" ref="C5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56" s="36">
        <f>IF(D1_MARZO_2026[[#This Row],[RECUPERO]]="VACACIONES","VACACIONES",IFERROR(D1_MARZO_2026[[#This Row],[RECUPERO]]/D1_MARZO_2026[[#This Row],[META]],""))</f>
        <v>7.1428571428571425E-2</v>
      </c>
      <c r="E56" s="36" t="str">
        <f>IFERROR(VLOOKUP(D1_MARZO_2026[[#This Row],[ASESOR_CRR]],PLANTILLA_ACTUAL[],2,0),"")</f>
        <v>LEONOR</v>
      </c>
      <c r="F56" t="s">
        <v>49</v>
      </c>
      <c r="G56" s="3">
        <v>2500</v>
      </c>
      <c r="H56">
        <f>VLOOKUP(D1_MARZO_2026[[#This Row],[ASESOR_CRR]],DIM!$C:$E,2,0)</f>
        <v>40702064</v>
      </c>
      <c r="I56" s="57">
        <f>VLOOKUP(D1_MARZO_2026[[#This Row],[ASESOR_CRR]],DIM!$C:$E,3,0)</f>
        <v>43313</v>
      </c>
      <c r="J56" s="57" t="str">
        <f>VLOOKUP(D1_MARZO_2026[[#This Row],[ASESOR_CRR]],PLANTILLA_ACTUAL[],6,0)</f>
        <v>CALL</v>
      </c>
      <c r="K56" s="57"/>
      <c r="M56" s="5">
        <f>DATA_MARZO_2026[[#This Row],[RECUPERO]]/DATA_MARZO_2026[[#This Row],[META]]</f>
        <v>0</v>
      </c>
      <c r="N56" s="55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IFERROR(VLOOKUP(DATA_MARZO_2026[[#This Row],[ASER_]],$B:$G,4,0),"")</f>
        <v>JOHAN</v>
      </c>
      <c r="P56" s="6">
        <f>VLOOKUP(DATA_MARZO_2026[[#This Row],[ASER_]],D1_MARZO_2026[[ASESOR_CRR]:[RECUPERO]],6,0)</f>
        <v>0</v>
      </c>
      <c r="Q56" s="6">
        <f>VLOOKUP(DATA_MARZO_2026[[#This Row],[ASER_]],D1_MARZO_2026[[ASESOR_CRR]:[META]],2,0)</f>
        <v>56000</v>
      </c>
      <c r="R56" t="s">
        <v>12</v>
      </c>
      <c r="S56">
        <v>0</v>
      </c>
      <c r="T56">
        <v>0</v>
      </c>
      <c r="X56" s="5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t="str">
        <f>VLOOKUP($M$3&amp;$N$3&amp;DATA_MARZO_2026[[#This Row],[SUPERVISOR]],TablaMeta[],7,0)</f>
        <v>S1</v>
      </c>
    </row>
    <row r="57" spans="1:41" x14ac:dyDescent="0.25">
      <c r="A57" s="35" t="str">
        <f>IFERROR(VLOOKUP(D1_MARZO_2026[[#This Row],[ASESOR_CRR]],PLANTILLA_ACTUAL[],2,0),"")</f>
        <v>LEONOR</v>
      </c>
      <c r="B57" s="35" t="str" cm="1">
        <f t="array" ref="B5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ALANOCCA</v>
      </c>
      <c r="C57" s="37" cm="1">
        <f t="array" ref="C5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57" s="36">
        <f>IF(D1_MARZO_2026[[#This Row],[RECUPERO]]="VACACIONES","VACACIONES",IFERROR(D1_MARZO_2026[[#This Row],[RECUPERO]]/D1_MARZO_2026[[#This Row],[META]],""))</f>
        <v>0</v>
      </c>
      <c r="E57" s="36" t="str">
        <f>IFERROR(VLOOKUP(D1_MARZO_2026[[#This Row],[ASESOR_CRR]],PLANTILLA_ACTUAL[],2,0),"")</f>
        <v>LEONOR</v>
      </c>
      <c r="F57" t="s">
        <v>77</v>
      </c>
      <c r="G57" s="3">
        <v>0</v>
      </c>
      <c r="H57">
        <f>VLOOKUP(D1_MARZO_2026[[#This Row],[ASESOR_CRR]],DIM!$C:$E,2,0)</f>
        <v>42251780</v>
      </c>
      <c r="I57" s="57">
        <f>VLOOKUP(D1_MARZO_2026[[#This Row],[ASESOR_CRR]],DIM!$C:$E,3,0)</f>
        <v>44838</v>
      </c>
      <c r="J57" s="57" t="str">
        <f>VLOOKUP(D1_MARZO_2026[[#This Row],[ASESOR_CRR]],PLANTILLA_ACTUAL[],6,0)</f>
        <v>CALL</v>
      </c>
      <c r="M57" s="5">
        <f>DATA_MARZO_2026[[#This Row],[RECUPERO]]/DATA_MARZO_2026[[#This Row],[META]]</f>
        <v>0</v>
      </c>
      <c r="N57" s="55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IFERROR(VLOOKUP(DATA_MARZO_2026[[#This Row],[ASER_]],$B:$G,4,0),"")</f>
        <v>JOHAN</v>
      </c>
      <c r="P57" s="6">
        <f>VLOOKUP(DATA_MARZO_2026[[#This Row],[ASER_]],D1_MARZO_2026[[ASESOR_CRR]:[RECUPERO]],6,0)</f>
        <v>0</v>
      </c>
      <c r="Q57" s="6">
        <f>VLOOKUP(DATA_MARZO_2026[[#This Row],[ASER_]],D1_MARZO_2026[[ASESOR_CRR]:[META]],2,0)</f>
        <v>56000</v>
      </c>
      <c r="R57" t="s">
        <v>18</v>
      </c>
      <c r="S57">
        <v>0</v>
      </c>
      <c r="T57">
        <v>0</v>
      </c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 t="str">
        <f>VLOOKUP($M$3&amp;$N$3&amp;DATA_MARZO_2026[[#This Row],[SUPERVISOR]],TablaMeta[],7,0)</f>
        <v>S1</v>
      </c>
    </row>
    <row r="58" spans="1:41" x14ac:dyDescent="0.25">
      <c r="A58" s="35" t="str">
        <f>IFERROR(VLOOKUP(D1_MARZO_2026[[#This Row],[ASESOR_CRR]],PLANTILLA_ACTUAL[],2,0),"")</f>
        <v>LEONOR</v>
      </c>
      <c r="B58" s="35" t="str" cm="1">
        <f t="array" ref="B5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SARITA GARAY</v>
      </c>
      <c r="C58" s="37" cm="1">
        <f t="array" ref="C5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58" s="36">
        <f>IF(D1_MARZO_2026[[#This Row],[RECUPERO]]="VACACIONES","VACACIONES",IFERROR(D1_MARZO_2026[[#This Row],[RECUPERO]]/D1_MARZO_2026[[#This Row],[META]],""))</f>
        <v>0</v>
      </c>
      <c r="E58" s="36" t="str">
        <f>IFERROR(VLOOKUP(D1_MARZO_2026[[#This Row],[ASESOR_CRR]],PLANTILLA_ACTUAL[],2,0),"")</f>
        <v>LEONOR</v>
      </c>
      <c r="F58" t="s">
        <v>73</v>
      </c>
      <c r="G58" s="3">
        <v>0</v>
      </c>
      <c r="H58">
        <f>VLOOKUP(D1_MARZO_2026[[#This Row],[ASESOR_CRR]],DIM!$C:$E,2,0)</f>
        <v>40318129</v>
      </c>
      <c r="I58" s="57">
        <f>VLOOKUP(D1_MARZO_2026[[#This Row],[ASESOR_CRR]],DIM!$C:$E,3,0)</f>
        <v>45141</v>
      </c>
      <c r="J58" s="57" t="str">
        <f>VLOOKUP(D1_MARZO_2026[[#This Row],[ASESOR_CRR]],PLANTILLA_ACTUAL[],6,0)</f>
        <v>CALL</v>
      </c>
      <c r="M58" s="5">
        <f>DATA_MARZO_2026[[#This Row],[RECUPERO]]/DATA_MARZO_2026[[#This Row],[META]]</f>
        <v>1.125E-2</v>
      </c>
      <c r="N58" s="55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IFERROR(VLOOKUP(DATA_MARZO_2026[[#This Row],[ASER_]],$B:$G,4,0),"")</f>
        <v>JOHAN</v>
      </c>
      <c r="P58" s="6">
        <f>VLOOKUP(DATA_MARZO_2026[[#This Row],[ASER_]],D1_MARZO_2026[[ASESOR_CRR]:[RECUPERO]],6,0)</f>
        <v>630</v>
      </c>
      <c r="Q58" s="6">
        <f>VLOOKUP(DATA_MARZO_2026[[#This Row],[ASER_]],D1_MARZO_2026[[ASESOR_CRR]:[META]],2,0)</f>
        <v>56000</v>
      </c>
      <c r="R58" t="s">
        <v>122</v>
      </c>
      <c r="S58">
        <v>0</v>
      </c>
      <c r="T58">
        <v>630</v>
      </c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 t="str">
        <f>VLOOKUP($M$3&amp;$N$3&amp;DATA_MARZO_2026[[#This Row],[SUPERVISOR]],TablaMeta[],7,0)</f>
        <v>S1</v>
      </c>
    </row>
    <row r="59" spans="1:41" x14ac:dyDescent="0.25">
      <c r="A59" s="35" t="str">
        <f>IFERROR(VLOOKUP(D1_MARZO_2026[[#This Row],[ASESOR_CRR]],PLANTILLA_ACTUAL[],2,0),"")</f>
        <v>LEONOR</v>
      </c>
      <c r="B59" s="35" t="str" cm="1">
        <f t="array" ref="B5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HUARCA</v>
      </c>
      <c r="C59" s="37" cm="1">
        <f t="array" ref="C5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59" s="36">
        <f>IF(D1_MARZO_2026[[#This Row],[RECUPERO]]="VACACIONES","VACACIONES",IFERROR(D1_MARZO_2026[[#This Row],[RECUPERO]]/D1_MARZO_2026[[#This Row],[META]],""))</f>
        <v>0</v>
      </c>
      <c r="E59" s="36" t="str">
        <f>IFERROR(VLOOKUP(D1_MARZO_2026[[#This Row],[ASESOR_CRR]],PLANTILLA_ACTUAL[],2,0),"")</f>
        <v>LEONOR</v>
      </c>
      <c r="F59" t="s">
        <v>48</v>
      </c>
      <c r="G59" s="3">
        <v>0</v>
      </c>
      <c r="H59">
        <f>VLOOKUP(D1_MARZO_2026[[#This Row],[ASESOR_CRR]],DIM!$C:$E,2,0)</f>
        <v>43307898</v>
      </c>
      <c r="I59" s="57">
        <f>VLOOKUP(D1_MARZO_2026[[#This Row],[ASESOR_CRR]],DIM!$C:$E,3,0)</f>
        <v>44746</v>
      </c>
      <c r="J59" s="57" t="str">
        <f>VLOOKUP(D1_MARZO_2026[[#This Row],[ASESOR_CRR]],PLANTILLA_ACTUAL[],6,0)</f>
        <v>CALL</v>
      </c>
      <c r="M59" s="5">
        <f>DATA_MARZO_2026[[#This Row],[RECUPERO]]/DATA_MARZO_2026[[#This Row],[META]]</f>
        <v>0.10714285714285714</v>
      </c>
      <c r="N59" s="55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IFERROR(VLOOKUP(DATA_MARZO_2026[[#This Row],[ASER_]],$B:$G,4,0),"")</f>
        <v>JOHAN</v>
      </c>
      <c r="P59" s="6">
        <f>VLOOKUP(DATA_MARZO_2026[[#This Row],[ASER_]],D1_MARZO_2026[[ASESOR_CRR]:[RECUPERO]],6,0)</f>
        <v>6000</v>
      </c>
      <c r="Q59" s="6">
        <f>VLOOKUP(DATA_MARZO_2026[[#This Row],[ASER_]],D1_MARZO_2026[[ASESOR_CRR]:[META]],2,0)</f>
        <v>56000</v>
      </c>
      <c r="R59" t="s">
        <v>207</v>
      </c>
      <c r="S59">
        <v>6000</v>
      </c>
      <c r="T59">
        <v>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 t="str">
        <f>VLOOKUP($M$3&amp;$N$3&amp;DATA_MARZO_2026[[#This Row],[SUPERVISOR]],TablaMeta[],7,0)</f>
        <v>S1</v>
      </c>
    </row>
    <row r="60" spans="1:41" x14ac:dyDescent="0.25">
      <c r="A60" s="35" t="str">
        <f>IFERROR(VLOOKUP(D1_MARZO_2026[[#This Row],[ASESOR_CRR]],PLANTILLA_ACTUAL[],2,0),"")</f>
        <v>LEONOR</v>
      </c>
      <c r="B60" s="35" t="str" cm="1">
        <f t="array" ref="B6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GERALDINE ARROYO</v>
      </c>
      <c r="C60" s="37" cm="1">
        <f t="array" ref="C6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60" s="36">
        <f>IF(D1_MARZO_2026[[#This Row],[RECUPERO]]="VACACIONES","VACACIONES",IFERROR(D1_MARZO_2026[[#This Row],[RECUPERO]]/D1_MARZO_2026[[#This Row],[META]],""))</f>
        <v>0</v>
      </c>
      <c r="E60" s="36" t="str">
        <f>IFERROR(VLOOKUP(D1_MARZO_2026[[#This Row],[ASESOR_CRR]],PLANTILLA_ACTUAL[],2,0),"")</f>
        <v>LEONOR</v>
      </c>
      <c r="F60" t="s">
        <v>51</v>
      </c>
      <c r="G60" s="3">
        <v>0</v>
      </c>
      <c r="H60">
        <f>VLOOKUP(D1_MARZO_2026[[#This Row],[ASESOR_CRR]],DIM!$C:$E,2,0)</f>
        <v>76089925</v>
      </c>
      <c r="I60" s="57">
        <f>VLOOKUP(D1_MARZO_2026[[#This Row],[ASESOR_CRR]],DIM!$C:$E,3,0)</f>
        <v>45678</v>
      </c>
      <c r="J60" s="57" t="str">
        <f>VLOOKUP(D1_MARZO_2026[[#This Row],[ASESOR_CRR]],PLANTILLA_ACTUAL[],6,0)</f>
        <v>CALL</v>
      </c>
      <c r="M60" s="5">
        <f>DATA_MARZO_2026[[#This Row],[RECUPERO]]/DATA_MARZO_2026[[#This Row],[META]]</f>
        <v>1.7857142857142856E-2</v>
      </c>
      <c r="N60" s="55" t="str" cm="1">
        <f t="array" ref="N60">IF(DATA_MARZO_2026[[#This Row],[ASER_]]="","",IFERROR(_xlfn.IFS(M60&gt;=100%,"&gt;100%",AND(M60&lt;100%,M60&gt;=70%),"&gt;70%",AND(M60&lt;70%,M60&gt;=40%),"&gt;40%",AND(M60&lt;40%,M60&gt;=0%),"&gt;0%"),""))</f>
        <v>&gt;0%</v>
      </c>
      <c r="O60" s="56" t="str">
        <f>IFERROR(VLOOKUP(DATA_MARZO_2026[[#This Row],[ASER_]],$B:$G,4,0),"")</f>
        <v>JOHAN</v>
      </c>
      <c r="P60" s="6">
        <f>VLOOKUP(DATA_MARZO_2026[[#This Row],[ASER_]],D1_MARZO_2026[[ASESOR_CRR]:[RECUPERO]],6,0)</f>
        <v>1000</v>
      </c>
      <c r="Q60" s="6">
        <f>VLOOKUP(DATA_MARZO_2026[[#This Row],[ASER_]],D1_MARZO_2026[[ASESOR_CRR]:[META]],2,0)</f>
        <v>56000</v>
      </c>
      <c r="R60" t="s">
        <v>109</v>
      </c>
      <c r="S60">
        <v>0</v>
      </c>
      <c r="T60">
        <v>1000</v>
      </c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 t="str">
        <f>VLOOKUP($M$3&amp;$N$3&amp;DATA_MARZO_2026[[#This Row],[SUPERVISOR]],TablaMeta[],7,0)</f>
        <v>S1</v>
      </c>
    </row>
    <row r="61" spans="1:41" x14ac:dyDescent="0.25">
      <c r="H61"/>
      <c r="M61" s="5">
        <f>DATA_MARZO_2026[[#This Row],[RECUPERO]]/DATA_MARZO_2026[[#This Row],[META]]</f>
        <v>0.12478571428571429</v>
      </c>
      <c r="N61" s="55" t="str" cm="1">
        <f t="array" ref="N61">IF(DATA_MARZO_2026[[#This Row],[ASER_]]="","",IFERROR(_xlfn.IFS(M61&gt;=100%,"&gt;100%",AND(M61&lt;100%,M61&gt;=70%),"&gt;70%",AND(M61&lt;70%,M61&gt;=40%),"&gt;40%",AND(M61&lt;40%,M61&gt;=0%),"&gt;0%"),""))</f>
        <v>&gt;0%</v>
      </c>
      <c r="O61" s="56" t="str">
        <f>IFERROR(VLOOKUP(DATA_MARZO_2026[[#This Row],[ASER_]],$B:$G,4,0),"")</f>
        <v>JOHAN</v>
      </c>
      <c r="P61" s="6">
        <f>VLOOKUP(DATA_MARZO_2026[[#This Row],[ASER_]],D1_MARZO_2026[[ASESOR_CRR]:[RECUPERO]],6,0)</f>
        <v>6988</v>
      </c>
      <c r="Q61" s="6">
        <f>VLOOKUP(DATA_MARZO_2026[[#This Row],[ASER_]],D1_MARZO_2026[[ASESOR_CRR]:[META]],2,0)</f>
        <v>56000</v>
      </c>
      <c r="R61" t="s">
        <v>61</v>
      </c>
      <c r="S61">
        <v>6550</v>
      </c>
      <c r="T61">
        <v>438</v>
      </c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 t="str">
        <f>VLOOKUP($M$3&amp;$N$3&amp;DATA_MARZO_2026[[#This Row],[SUPERVISOR]],TablaMeta[],7,0)</f>
        <v>S1</v>
      </c>
    </row>
    <row r="62" spans="1:41" x14ac:dyDescent="0.25">
      <c r="H62"/>
      <c r="M62" s="5">
        <f>DATA_MARZO_2026[[#This Row],[RECUPERO]]/DATA_MARZO_2026[[#This Row],[META]]</f>
        <v>7.1428571428571425E-2</v>
      </c>
      <c r="N62" s="55" t="str" cm="1">
        <f t="array" ref="N62">IF(DATA_MARZO_2026[[#This Row],[ASER_]]="","",IFERROR(_xlfn.IFS(M62&gt;=100%,"&gt;100%",AND(M62&lt;100%,M62&gt;=70%),"&gt;70%",AND(M62&lt;70%,M62&gt;=40%),"&gt;40%",AND(M62&lt;40%,M62&gt;=0%),"&gt;0%"),""))</f>
        <v>&gt;0%</v>
      </c>
      <c r="O62" s="56" t="str">
        <f>IFERROR(VLOOKUP(DATA_MARZO_2026[[#This Row],[ASER_]],$B:$G,4,0),"")</f>
        <v>JOHAN</v>
      </c>
      <c r="P62" s="6">
        <f>VLOOKUP(DATA_MARZO_2026[[#This Row],[ASER_]],D1_MARZO_2026[[ASESOR_CRR]:[RECUPERO]],6,0)</f>
        <v>4000</v>
      </c>
      <c r="Q62" s="6">
        <f>VLOOKUP(DATA_MARZO_2026[[#This Row],[ASER_]],D1_MARZO_2026[[ASESOR_CRR]:[META]],2,0)</f>
        <v>56000</v>
      </c>
      <c r="R62" t="s">
        <v>85</v>
      </c>
      <c r="S62">
        <v>4000</v>
      </c>
      <c r="T62">
        <v>0</v>
      </c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 t="str">
        <f>VLOOKUP($M$3&amp;$N$3&amp;DATA_MARZO_2026[[#This Row],[SUPERVISOR]],TablaMeta[],7,0)</f>
        <v>S1</v>
      </c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H64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F66" s="3"/>
      <c r="G66" s="1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spans="24:43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spans="24:43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spans="24:43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</row>
    <row r="103" spans="24:43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</row>
    <row r="104" spans="24:43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</row>
    <row r="105" spans="24:43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</row>
    <row r="106" spans="24:43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</row>
    <row r="107" spans="24:43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</row>
    <row r="108" spans="24:43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</row>
    <row r="109" spans="24:43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</row>
    <row r="110" spans="24:43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60">
    <cfRule type="containsText" dxfId="1" priority="1" operator="containsText" text="kenneth">
      <formula>NOT(ISERROR(SEARCH("kenneth",E3)))</formula>
    </cfRule>
  </conditionalFormatting>
  <conditionalFormatting sqref="R9:R62">
    <cfRule type="duplicateValues" dxfId="0" priority="25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topLeftCell="A7" workbookViewId="0">
      <selection activeCell="C79" sqref="C79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357</v>
      </c>
      <c r="C1" t="s">
        <v>351</v>
      </c>
      <c r="D1" t="s">
        <v>350</v>
      </c>
      <c r="E1" t="s">
        <v>355</v>
      </c>
      <c r="F1" t="s">
        <v>136</v>
      </c>
      <c r="G1" t="s">
        <v>356</v>
      </c>
    </row>
    <row r="2" spans="1:7" x14ac:dyDescent="0.25">
      <c r="A2" t="s">
        <v>220</v>
      </c>
      <c r="B2" t="s">
        <v>133</v>
      </c>
      <c r="C2" s="57">
        <v>35909</v>
      </c>
      <c r="D2" t="s">
        <v>221</v>
      </c>
      <c r="E2" t="s">
        <v>352</v>
      </c>
      <c r="F2" t="str">
        <f>UPPER(TEXT(pbi_ListaEmpleadosExpertis[[#This Row],[FEC_NAC]],"mmmm"))</f>
        <v>ABRIL</v>
      </c>
      <c r="G2">
        <f>DAY(pbi_ListaEmpleadosExpertis[[#This Row],[FEC_NAC]])</f>
        <v>24</v>
      </c>
    </row>
    <row r="3" spans="1:7" x14ac:dyDescent="0.25">
      <c r="A3" t="s">
        <v>231</v>
      </c>
      <c r="B3" t="s">
        <v>365</v>
      </c>
      <c r="C3" s="57">
        <v>32245</v>
      </c>
      <c r="D3" t="s">
        <v>232</v>
      </c>
      <c r="E3" t="s">
        <v>352</v>
      </c>
      <c r="F3" t="str">
        <f>UPPER(TEXT(pbi_ListaEmpleadosExpertis[[#This Row],[FEC_NAC]],"mmmm"))</f>
        <v>ABRIL</v>
      </c>
      <c r="G3">
        <f>DAY(pbi_ListaEmpleadosExpertis[[#This Row],[FEC_NAC]])</f>
        <v>12</v>
      </c>
    </row>
    <row r="4" spans="1:7" x14ac:dyDescent="0.25">
      <c r="A4" t="s">
        <v>19</v>
      </c>
      <c r="B4" t="s">
        <v>358</v>
      </c>
      <c r="C4" s="57">
        <v>35905</v>
      </c>
      <c r="D4" t="s">
        <v>248</v>
      </c>
      <c r="E4" t="s">
        <v>0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29</v>
      </c>
      <c r="B5" t="s">
        <v>358</v>
      </c>
      <c r="C5" s="57">
        <v>34083</v>
      </c>
      <c r="D5" t="s">
        <v>251</v>
      </c>
      <c r="E5" t="s">
        <v>0</v>
      </c>
      <c r="F5" t="str">
        <f>UPPER(TEXT(pbi_ListaEmpleadosExpertis[[#This Row],[FEC_NAC]],"mmmm"))</f>
        <v>ABRIL</v>
      </c>
      <c r="G5">
        <f>DAY(pbi_ListaEmpleadosExpertis[[#This Row],[FEC_NAC]])</f>
        <v>24</v>
      </c>
    </row>
    <row r="6" spans="1:7" x14ac:dyDescent="0.25">
      <c r="A6" t="s">
        <v>48</v>
      </c>
      <c r="B6" t="s">
        <v>358</v>
      </c>
      <c r="C6" s="57">
        <v>31158</v>
      </c>
      <c r="D6" t="s">
        <v>256</v>
      </c>
      <c r="E6" t="s">
        <v>0</v>
      </c>
      <c r="F6" t="str">
        <f>UPPER(TEXT(pbi_ListaEmpleadosExpertis[[#This Row],[FEC_NAC]],"mmmm"))</f>
        <v>ABRIL</v>
      </c>
      <c r="G6">
        <f>DAY(pbi_ListaEmpleadosExpertis[[#This Row],[FEC_NAC]])</f>
        <v>21</v>
      </c>
    </row>
    <row r="7" spans="1:7" x14ac:dyDescent="0.25">
      <c r="A7" t="s">
        <v>25</v>
      </c>
      <c r="B7" t="s">
        <v>358</v>
      </c>
      <c r="C7" s="57">
        <v>36267</v>
      </c>
      <c r="D7" t="s">
        <v>259</v>
      </c>
      <c r="E7" t="s">
        <v>0</v>
      </c>
      <c r="F7" t="str">
        <f>UPPER(TEXT(pbi_ListaEmpleadosExpertis[[#This Row],[FEC_NAC]],"mmmm"))</f>
        <v>ABRIL</v>
      </c>
      <c r="G7">
        <f>DAY(pbi_ListaEmpleadosExpertis[[#This Row],[FEC_NAC]])</f>
        <v>17</v>
      </c>
    </row>
    <row r="8" spans="1:7" x14ac:dyDescent="0.25">
      <c r="A8" t="s">
        <v>72</v>
      </c>
      <c r="B8" t="s">
        <v>358</v>
      </c>
      <c r="C8" s="57">
        <v>34072</v>
      </c>
      <c r="D8" t="s">
        <v>271</v>
      </c>
      <c r="E8" t="s">
        <v>0</v>
      </c>
      <c r="F8" t="str">
        <f>UPPER(TEXT(pbi_ListaEmpleadosExpertis[[#This Row],[FEC_NAC]],"mmmm"))</f>
        <v>ABRIL</v>
      </c>
      <c r="G8">
        <f>DAY(pbi_ListaEmpleadosExpertis[[#This Row],[FEC_NAC]])</f>
        <v>13</v>
      </c>
    </row>
    <row r="9" spans="1:7" x14ac:dyDescent="0.25">
      <c r="A9" t="s">
        <v>11</v>
      </c>
      <c r="B9" t="s">
        <v>358</v>
      </c>
      <c r="C9" s="57">
        <v>32262</v>
      </c>
      <c r="D9" t="s">
        <v>286</v>
      </c>
      <c r="E9" t="s">
        <v>0</v>
      </c>
      <c r="F9" t="str">
        <f>UPPER(TEXT(pbi_ListaEmpleadosExpertis[[#This Row],[FEC_NAC]],"mmmm"))</f>
        <v>ABRIL</v>
      </c>
      <c r="G9">
        <f>DAY(pbi_ListaEmpleadosExpertis[[#This Row],[FEC_NAC]])</f>
        <v>29</v>
      </c>
    </row>
    <row r="10" spans="1:7" x14ac:dyDescent="0.25">
      <c r="A10" t="s">
        <v>291</v>
      </c>
      <c r="B10" t="s">
        <v>372</v>
      </c>
      <c r="C10" s="57">
        <v>37354</v>
      </c>
      <c r="D10" t="s">
        <v>292</v>
      </c>
      <c r="E10" t="s">
        <v>352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300</v>
      </c>
      <c r="B11" t="s">
        <v>375</v>
      </c>
      <c r="C11" s="57">
        <v>32983</v>
      </c>
      <c r="D11" t="s">
        <v>301</v>
      </c>
      <c r="E11" t="s">
        <v>352</v>
      </c>
      <c r="F11" t="str">
        <f>UPPER(TEXT(pbi_ListaEmpleadosExpertis[[#This Row],[FEC_NAC]],"mmmm"))</f>
        <v>ABRIL</v>
      </c>
      <c r="G11">
        <f>DAY(pbi_ListaEmpleadosExpertis[[#This Row],[FEC_NAC]])</f>
        <v>20</v>
      </c>
    </row>
    <row r="12" spans="1:7" x14ac:dyDescent="0.25">
      <c r="A12" t="s">
        <v>331</v>
      </c>
      <c r="B12" t="s">
        <v>388</v>
      </c>
      <c r="C12" s="57">
        <v>38097</v>
      </c>
      <c r="D12" t="s">
        <v>332</v>
      </c>
      <c r="E12" t="s">
        <v>352</v>
      </c>
      <c r="F12" t="str">
        <f>UPPER(TEXT(pbi_ListaEmpleadosExpertis[[#This Row],[FEC_NAC]],"mmmm"))</f>
        <v>ABRIL</v>
      </c>
      <c r="G12">
        <f>DAY(pbi_ListaEmpleadosExpertis[[#This Row],[FEC_NAC]])</f>
        <v>20</v>
      </c>
    </row>
    <row r="13" spans="1:7" x14ac:dyDescent="0.25">
      <c r="A13" t="s">
        <v>571</v>
      </c>
      <c r="B13" t="s">
        <v>582</v>
      </c>
      <c r="C13" s="57">
        <v>34446</v>
      </c>
      <c r="D13" t="s">
        <v>583</v>
      </c>
      <c r="E13" t="s">
        <v>352</v>
      </c>
      <c r="F13" t="str">
        <f>UPPER(TEXT(pbi_ListaEmpleadosExpertis[[#This Row],[FEC_NAC]],"mmmm"))</f>
        <v>ABRIL</v>
      </c>
      <c r="G13">
        <f>DAY(pbi_ListaEmpleadosExpertis[[#This Row],[FEC_NAC]])</f>
        <v>22</v>
      </c>
    </row>
    <row r="14" spans="1:7" x14ac:dyDescent="0.25">
      <c r="A14" t="s">
        <v>235</v>
      </c>
      <c r="B14" t="s">
        <v>359</v>
      </c>
      <c r="C14" s="57">
        <v>34917</v>
      </c>
      <c r="D14" t="s">
        <v>236</v>
      </c>
      <c r="E14" t="s">
        <v>352</v>
      </c>
      <c r="F14" t="str">
        <f>UPPER(TEXT(pbi_ListaEmpleadosExpertis[[#This Row],[FEC_NAC]],"mmmm"))</f>
        <v>AGOSTO</v>
      </c>
      <c r="G14">
        <f>DAY(pbi_ListaEmpleadosExpertis[[#This Row],[FEC_NAC]])</f>
        <v>6</v>
      </c>
    </row>
    <row r="15" spans="1:7" x14ac:dyDescent="0.25">
      <c r="A15" t="s">
        <v>215</v>
      </c>
      <c r="B15" t="s">
        <v>133</v>
      </c>
      <c r="C15" s="57">
        <v>32748</v>
      </c>
      <c r="D15" t="s">
        <v>216</v>
      </c>
      <c r="E15" t="s">
        <v>352</v>
      </c>
      <c r="F15" t="str">
        <f>UPPER(TEXT(pbi_ListaEmpleadosExpertis[[#This Row],[FEC_NAC]],"mmmm"))</f>
        <v>AGOSTO</v>
      </c>
      <c r="G15">
        <f>DAY(pbi_ListaEmpleadosExpertis[[#This Row],[FEC_NAC]])</f>
        <v>28</v>
      </c>
    </row>
    <row r="16" spans="1:7" x14ac:dyDescent="0.25">
      <c r="A16" t="s">
        <v>49</v>
      </c>
      <c r="B16" t="s">
        <v>358</v>
      </c>
      <c r="C16" s="57">
        <v>29446</v>
      </c>
      <c r="D16" t="s">
        <v>218</v>
      </c>
      <c r="E16" t="s">
        <v>0</v>
      </c>
      <c r="F16" t="str">
        <f>UPPER(TEXT(pbi_ListaEmpleadosExpertis[[#This Row],[FEC_NAC]],"mmmm"))</f>
        <v>AGOSTO</v>
      </c>
      <c r="G16">
        <f>DAY(pbi_ListaEmpleadosExpertis[[#This Row],[FEC_NAC]])</f>
        <v>13</v>
      </c>
    </row>
    <row r="17" spans="1:7" x14ac:dyDescent="0.25">
      <c r="A17" t="s">
        <v>26</v>
      </c>
      <c r="B17" t="s">
        <v>358</v>
      </c>
      <c r="C17" s="57">
        <v>29802</v>
      </c>
      <c r="D17" t="s">
        <v>222</v>
      </c>
      <c r="E17" t="s">
        <v>0</v>
      </c>
      <c r="F17" t="str">
        <f>UPPER(TEXT(pbi_ListaEmpleadosExpertis[[#This Row],[FEC_NAC]],"mmmm"))</f>
        <v>AGOSTO</v>
      </c>
      <c r="G17">
        <f>DAY(pbi_ListaEmpleadosExpertis[[#This Row],[FEC_NAC]])</f>
        <v>4</v>
      </c>
    </row>
    <row r="18" spans="1:7" x14ac:dyDescent="0.25">
      <c r="A18" t="s">
        <v>41</v>
      </c>
      <c r="B18" t="s">
        <v>358</v>
      </c>
      <c r="C18" s="57">
        <v>32742</v>
      </c>
      <c r="D18" t="s">
        <v>246</v>
      </c>
      <c r="E18" t="s">
        <v>0</v>
      </c>
      <c r="F18" t="str">
        <f>UPPER(TEXT(pbi_ListaEmpleadosExpertis[[#This Row],[FEC_NAC]],"mmmm"))</f>
        <v>AGOSTO</v>
      </c>
      <c r="G18">
        <f>DAY(pbi_ListaEmpleadosExpertis[[#This Row],[FEC_NAC]])</f>
        <v>22</v>
      </c>
    </row>
    <row r="19" spans="1:7" x14ac:dyDescent="0.25">
      <c r="A19" t="s">
        <v>75</v>
      </c>
      <c r="B19" t="s">
        <v>358</v>
      </c>
      <c r="C19" s="57">
        <v>34563</v>
      </c>
      <c r="D19" t="s">
        <v>253</v>
      </c>
      <c r="E19" t="s">
        <v>0</v>
      </c>
      <c r="F19" t="str">
        <f>UPPER(TEXT(pbi_ListaEmpleadosExpertis[[#This Row],[FEC_NAC]],"mmmm"))</f>
        <v>AGOSTO</v>
      </c>
      <c r="G19">
        <f>DAY(pbi_ListaEmpleadosExpertis[[#This Row],[FEC_NAC]])</f>
        <v>17</v>
      </c>
    </row>
    <row r="20" spans="1:7" x14ac:dyDescent="0.25">
      <c r="A20" t="s">
        <v>77</v>
      </c>
      <c r="B20" t="s">
        <v>358</v>
      </c>
      <c r="C20" s="57">
        <v>30549</v>
      </c>
      <c r="D20" t="s">
        <v>262</v>
      </c>
      <c r="E20" t="s">
        <v>0</v>
      </c>
      <c r="F20" t="str">
        <f>UPPER(TEXT(pbi_ListaEmpleadosExpertis[[#This Row],[FEC_NAC]],"mmmm"))</f>
        <v>AGOSTO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358</v>
      </c>
      <c r="C21" s="57">
        <v>31644</v>
      </c>
      <c r="D21" t="s">
        <v>267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73</v>
      </c>
      <c r="B22" t="s">
        <v>358</v>
      </c>
      <c r="C22" s="57">
        <v>29084</v>
      </c>
      <c r="D22" t="s">
        <v>273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17</v>
      </c>
    </row>
    <row r="23" spans="1:7" x14ac:dyDescent="0.25">
      <c r="A23" t="s">
        <v>304</v>
      </c>
      <c r="B23" t="s">
        <v>377</v>
      </c>
      <c r="C23" s="57">
        <v>34575</v>
      </c>
      <c r="D23" t="s">
        <v>305</v>
      </c>
      <c r="E23" t="s">
        <v>352</v>
      </c>
      <c r="F23" t="str">
        <f>UPPER(TEXT(pbi_ListaEmpleadosExpertis[[#This Row],[FEC_NAC]],"mmmm"))</f>
        <v>AGOSTO</v>
      </c>
      <c r="G23">
        <f>DAY(pbi_ListaEmpleadosExpertis[[#This Row],[FEC_NAC]])</f>
        <v>29</v>
      </c>
    </row>
    <row r="24" spans="1:7" x14ac:dyDescent="0.25">
      <c r="A24" t="s">
        <v>306</v>
      </c>
      <c r="B24" t="s">
        <v>378</v>
      </c>
      <c r="C24" s="57">
        <v>32019</v>
      </c>
      <c r="D24" t="s">
        <v>307</v>
      </c>
      <c r="E24" t="s">
        <v>352</v>
      </c>
      <c r="F24" t="str">
        <f>UPPER(TEXT(pbi_ListaEmpleadosExpertis[[#This Row],[FEC_NAC]],"mmmm"))</f>
        <v>AGOSTO</v>
      </c>
      <c r="G24">
        <f>DAY(pbi_ListaEmpleadosExpertis[[#This Row],[FEC_NAC]])</f>
        <v>30</v>
      </c>
    </row>
    <row r="25" spans="1:7" x14ac:dyDescent="0.25">
      <c r="A25" t="s">
        <v>38</v>
      </c>
      <c r="B25" t="s">
        <v>358</v>
      </c>
      <c r="C25" s="57">
        <v>33472</v>
      </c>
      <c r="D25" t="s">
        <v>318</v>
      </c>
      <c r="E25" t="s">
        <v>0</v>
      </c>
      <c r="F25" t="str">
        <f>UPPER(TEXT(pbi_ListaEmpleadosExpertis[[#This Row],[FEC_NAC]],"mmmm"))</f>
        <v>AGOSTO</v>
      </c>
      <c r="G25">
        <f>DAY(pbi_ListaEmpleadosExpertis[[#This Row],[FEC_NAC]])</f>
        <v>22</v>
      </c>
    </row>
    <row r="26" spans="1:7" x14ac:dyDescent="0.25">
      <c r="A26" t="s">
        <v>213</v>
      </c>
      <c r="B26" t="s">
        <v>133</v>
      </c>
      <c r="C26" s="57">
        <v>34332</v>
      </c>
      <c r="D26" t="s">
        <v>214</v>
      </c>
      <c r="E26" t="s">
        <v>352</v>
      </c>
      <c r="F26" t="str">
        <f>UPPER(TEXT(pbi_ListaEmpleadosExpertis[[#This Row],[FEC_NAC]],"mmmm"))</f>
        <v>DICIEMBRE</v>
      </c>
      <c r="G26">
        <f>DAY(pbi_ListaEmpleadosExpertis[[#This Row],[FEC_NAC]])</f>
        <v>29</v>
      </c>
    </row>
    <row r="27" spans="1:7" x14ac:dyDescent="0.25">
      <c r="A27" t="s">
        <v>229</v>
      </c>
      <c r="B27" t="s">
        <v>364</v>
      </c>
      <c r="C27" s="57">
        <v>32507</v>
      </c>
      <c r="D27" t="s">
        <v>230</v>
      </c>
      <c r="E27" t="s">
        <v>352</v>
      </c>
      <c r="F27" t="str">
        <f>UPPER(TEXT(pbi_ListaEmpleadosExpertis[[#This Row],[FEC_NAC]],"mmmm"))</f>
        <v>DICIEMBRE</v>
      </c>
      <c r="G27">
        <f>DAY(pbi_ListaEmpleadosExpertis[[#This Row],[FEC_NAC]])</f>
        <v>30</v>
      </c>
    </row>
    <row r="28" spans="1:7" x14ac:dyDescent="0.25">
      <c r="A28" t="s">
        <v>65</v>
      </c>
      <c r="B28" t="s">
        <v>358</v>
      </c>
      <c r="C28" s="57">
        <v>33579</v>
      </c>
      <c r="D28" t="s">
        <v>269</v>
      </c>
      <c r="E28" t="s">
        <v>0</v>
      </c>
      <c r="F28" t="str">
        <f>UPPER(TEXT(pbi_ListaEmpleadosExpertis[[#This Row],[FEC_NAC]],"mmmm"))</f>
        <v>DICIEMBRE</v>
      </c>
      <c r="G28">
        <f>DAY(pbi_ListaEmpleadosExpertis[[#This Row],[FEC_NAC]])</f>
        <v>7</v>
      </c>
    </row>
    <row r="29" spans="1:7" x14ac:dyDescent="0.25">
      <c r="A29" t="s">
        <v>60</v>
      </c>
      <c r="B29" t="s">
        <v>358</v>
      </c>
      <c r="C29" s="57">
        <v>36877</v>
      </c>
      <c r="D29" t="s">
        <v>281</v>
      </c>
      <c r="E29" t="s">
        <v>0</v>
      </c>
      <c r="F29" t="str">
        <f>UPPER(TEXT(pbi_ListaEmpleadosExpertis[[#This Row],[FEC_NAC]],"mmmm"))</f>
        <v>DICIEMBRE</v>
      </c>
      <c r="G29">
        <f>DAY(pbi_ListaEmpleadosExpertis[[#This Row],[FEC_NAC]])</f>
        <v>17</v>
      </c>
    </row>
    <row r="30" spans="1:7" x14ac:dyDescent="0.25">
      <c r="A30" t="s">
        <v>96</v>
      </c>
      <c r="B30" t="s">
        <v>358</v>
      </c>
      <c r="C30" s="57">
        <v>33230</v>
      </c>
      <c r="D30" t="s">
        <v>308</v>
      </c>
      <c r="E30" t="s">
        <v>0</v>
      </c>
      <c r="F30" t="str">
        <f>UPPER(TEXT(pbi_ListaEmpleadosExpertis[[#This Row],[FEC_NAC]],"mmmm"))</f>
        <v>DICIEMBRE</v>
      </c>
      <c r="G30">
        <f>DAY(pbi_ListaEmpleadosExpertis[[#This Row],[FEC_NAC]])</f>
        <v>23</v>
      </c>
    </row>
    <row r="31" spans="1:7" x14ac:dyDescent="0.25">
      <c r="A31" t="s">
        <v>327</v>
      </c>
      <c r="B31" t="s">
        <v>386</v>
      </c>
      <c r="C31" s="57">
        <v>34307</v>
      </c>
      <c r="D31" t="s">
        <v>328</v>
      </c>
      <c r="E31" t="s">
        <v>352</v>
      </c>
      <c r="F31" t="str">
        <f>UPPER(TEXT(pbi_ListaEmpleadosExpertis[[#This Row],[FEC_NAC]],"mmmm"))</f>
        <v>DICIEMBRE</v>
      </c>
      <c r="G31">
        <f>DAY(pbi_ListaEmpleadosExpertis[[#This Row],[FEC_NAC]])</f>
        <v>4</v>
      </c>
    </row>
    <row r="32" spans="1:7" x14ac:dyDescent="0.25">
      <c r="A32" t="s">
        <v>329</v>
      </c>
      <c r="B32" t="s">
        <v>387</v>
      </c>
      <c r="C32" s="57">
        <v>34317</v>
      </c>
      <c r="D32" t="s">
        <v>330</v>
      </c>
      <c r="E32" t="s">
        <v>352</v>
      </c>
      <c r="F32" t="str">
        <f>UPPER(TEXT(pbi_ListaEmpleadosExpertis[[#This Row],[FEC_NAC]],"mmmm"))</f>
        <v>DICIEMBRE</v>
      </c>
      <c r="G32">
        <f>DAY(pbi_ListaEmpleadosExpertis[[#This Row],[FEC_NAC]])</f>
        <v>14</v>
      </c>
    </row>
    <row r="33" spans="1:7" x14ac:dyDescent="0.25">
      <c r="A33" t="s">
        <v>333</v>
      </c>
      <c r="B33" t="s">
        <v>389</v>
      </c>
      <c r="C33" s="57">
        <v>34677</v>
      </c>
      <c r="D33" t="s">
        <v>334</v>
      </c>
      <c r="E33" t="s">
        <v>352</v>
      </c>
      <c r="F33" t="str">
        <f>UPPER(TEXT(pbi_ListaEmpleadosExpertis[[#This Row],[FEC_NAC]],"mmmm"))</f>
        <v>DICIEMBRE</v>
      </c>
      <c r="G33">
        <f>DAY(pbi_ListaEmpleadosExpertis[[#This Row],[FEC_NAC]])</f>
        <v>9</v>
      </c>
    </row>
    <row r="34" spans="1:7" x14ac:dyDescent="0.25">
      <c r="A34" t="s">
        <v>237</v>
      </c>
      <c r="B34" t="s">
        <v>360</v>
      </c>
      <c r="C34" s="57">
        <v>32523</v>
      </c>
      <c r="D34" t="s">
        <v>238</v>
      </c>
      <c r="E34" t="s">
        <v>352</v>
      </c>
      <c r="F34" t="str">
        <f>UPPER(TEXT(pbi_ListaEmpleadosExpertis[[#This Row],[FEC_NAC]],"mmmm"))</f>
        <v>ENERO</v>
      </c>
      <c r="G34">
        <f>DAY(pbi_ListaEmpleadosExpertis[[#This Row],[FEC_NAC]])</f>
        <v>15</v>
      </c>
    </row>
    <row r="35" spans="1:7" x14ac:dyDescent="0.25">
      <c r="A35" t="s">
        <v>15</v>
      </c>
      <c r="B35" t="s">
        <v>358</v>
      </c>
      <c r="C35" s="57">
        <v>33997</v>
      </c>
      <c r="D35" t="s">
        <v>254</v>
      </c>
      <c r="E35" t="s">
        <v>0</v>
      </c>
      <c r="F35" t="str">
        <f>UPPER(TEXT(pbi_ListaEmpleadosExpertis[[#This Row],[FEC_NAC]],"mmmm"))</f>
        <v>ENERO</v>
      </c>
      <c r="G35">
        <f>DAY(pbi_ListaEmpleadosExpertis[[#This Row],[FEC_NAC]])</f>
        <v>28</v>
      </c>
    </row>
    <row r="36" spans="1:7" x14ac:dyDescent="0.25">
      <c r="A36" t="s">
        <v>260</v>
      </c>
      <c r="B36" t="s">
        <v>367</v>
      </c>
      <c r="C36" s="57">
        <v>33261</v>
      </c>
      <c r="D36" t="s">
        <v>261</v>
      </c>
      <c r="E36" t="s">
        <v>352</v>
      </c>
      <c r="F36" t="str">
        <f>UPPER(TEXT(pbi_ListaEmpleadosExpertis[[#This Row],[FEC_NAC]],"mmmm"))</f>
        <v>ENERO</v>
      </c>
      <c r="G36">
        <f>DAY(pbi_ListaEmpleadosExpertis[[#This Row],[FEC_NAC]])</f>
        <v>23</v>
      </c>
    </row>
    <row r="37" spans="1:7" x14ac:dyDescent="0.25">
      <c r="A37" t="s">
        <v>59</v>
      </c>
      <c r="B37" t="s">
        <v>358</v>
      </c>
      <c r="C37" s="57">
        <v>38004</v>
      </c>
      <c r="D37" t="s">
        <v>284</v>
      </c>
      <c r="E37" t="s">
        <v>0</v>
      </c>
      <c r="F37" t="str">
        <f>UPPER(TEXT(pbi_ListaEmpleadosExpertis[[#This Row],[FEC_NAC]],"mmmm"))</f>
        <v>ENERO</v>
      </c>
      <c r="G37">
        <f>DAY(pbi_ListaEmpleadosExpertis[[#This Row],[FEC_NAC]])</f>
        <v>18</v>
      </c>
    </row>
    <row r="38" spans="1:7" x14ac:dyDescent="0.25">
      <c r="A38" t="s">
        <v>81</v>
      </c>
      <c r="B38" t="s">
        <v>358</v>
      </c>
      <c r="C38" s="57">
        <v>34710</v>
      </c>
      <c r="D38" t="s">
        <v>293</v>
      </c>
      <c r="E38" t="s">
        <v>0</v>
      </c>
      <c r="F38" t="str">
        <f>UPPER(TEXT(pbi_ListaEmpleadosExpertis[[#This Row],[FEC_NAC]],"mmmm"))</f>
        <v>ENERO</v>
      </c>
      <c r="G38">
        <f>DAY(pbi_ListaEmpleadosExpertis[[#This Row],[FEC_NAC]])</f>
        <v>11</v>
      </c>
    </row>
    <row r="39" spans="1:7" x14ac:dyDescent="0.25">
      <c r="A39" t="s">
        <v>564</v>
      </c>
      <c r="B39" t="s">
        <v>358</v>
      </c>
      <c r="C39" s="57">
        <v>38372</v>
      </c>
      <c r="D39" t="s">
        <v>565</v>
      </c>
      <c r="E39" t="s">
        <v>0</v>
      </c>
      <c r="F39" t="str">
        <f>UPPER(TEXT(pbi_ListaEmpleadosExpertis[[#This Row],[FEC_NAC]],"mmmm"))</f>
        <v>ENERO</v>
      </c>
      <c r="G39">
        <f>DAY(pbi_ListaEmpleadosExpertis[[#This Row],[FEC_NAC]])</f>
        <v>20</v>
      </c>
    </row>
    <row r="40" spans="1:7" x14ac:dyDescent="0.25">
      <c r="A40" t="s">
        <v>341</v>
      </c>
      <c r="B40" t="s">
        <v>392</v>
      </c>
      <c r="C40" s="57">
        <v>35081</v>
      </c>
      <c r="D40" t="s">
        <v>342</v>
      </c>
      <c r="E40" t="s">
        <v>352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207</v>
      </c>
      <c r="B41" t="s">
        <v>358</v>
      </c>
      <c r="C41" s="57">
        <v>33627</v>
      </c>
      <c r="D41" t="s">
        <v>348</v>
      </c>
      <c r="E41" t="s">
        <v>0</v>
      </c>
      <c r="F41" t="str">
        <f>UPPER(TEXT(pbi_ListaEmpleadosExpertis[[#This Row],[FEC_NAC]],"mmmm"))</f>
        <v>ENERO</v>
      </c>
      <c r="G41">
        <f>DAY(pbi_ListaEmpleadosExpertis[[#This Row],[FEC_NAC]])</f>
        <v>24</v>
      </c>
    </row>
    <row r="42" spans="1:7" x14ac:dyDescent="0.25">
      <c r="A42" t="s">
        <v>395</v>
      </c>
      <c r="B42" t="s">
        <v>358</v>
      </c>
      <c r="C42" s="57">
        <v>32157</v>
      </c>
      <c r="D42" t="s">
        <v>511</v>
      </c>
      <c r="E42" t="s">
        <v>0</v>
      </c>
      <c r="F42" t="str">
        <f>UPPER(TEXT(pbi_ListaEmpleadosExpertis[[#This Row],[FEC_NAC]],"mmmm"))</f>
        <v>ENERO</v>
      </c>
      <c r="G42">
        <f>DAY(pbi_ListaEmpleadosExpertis[[#This Row],[FEC_NAC]])</f>
        <v>15</v>
      </c>
    </row>
    <row r="43" spans="1:7" x14ac:dyDescent="0.25">
      <c r="A43" t="s">
        <v>516</v>
      </c>
      <c r="B43" t="s">
        <v>358</v>
      </c>
      <c r="C43" s="57">
        <v>26670</v>
      </c>
      <c r="D43" t="s">
        <v>517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6</v>
      </c>
    </row>
    <row r="44" spans="1:7" x14ac:dyDescent="0.25">
      <c r="A44" t="s">
        <v>225</v>
      </c>
      <c r="B44" t="s">
        <v>133</v>
      </c>
      <c r="C44" s="57">
        <v>34369</v>
      </c>
      <c r="D44" t="s">
        <v>226</v>
      </c>
      <c r="E44" t="s">
        <v>352</v>
      </c>
      <c r="F44" t="str">
        <f>UPPER(TEXT(pbi_ListaEmpleadosExpertis[[#This Row],[FEC_NAC]],"mmmm"))</f>
        <v>FEBRERO</v>
      </c>
      <c r="G44">
        <f>DAY(pbi_ListaEmpleadosExpertis[[#This Row],[FEC_NAC]])</f>
        <v>4</v>
      </c>
    </row>
    <row r="45" spans="1:7" x14ac:dyDescent="0.25">
      <c r="A45" t="s">
        <v>18</v>
      </c>
      <c r="B45" t="s">
        <v>358</v>
      </c>
      <c r="C45" s="57">
        <v>35472</v>
      </c>
      <c r="D45" t="s">
        <v>272</v>
      </c>
      <c r="E45" t="s">
        <v>0</v>
      </c>
      <c r="F45" t="str">
        <f>UPPER(TEXT(pbi_ListaEmpleadosExpertis[[#This Row],[FEC_NAC]],"mmmm"))</f>
        <v>FEBRERO</v>
      </c>
      <c r="G45">
        <f>DAY(pbi_ListaEmpleadosExpertis[[#This Row],[FEC_NAC]])</f>
        <v>11</v>
      </c>
    </row>
    <row r="46" spans="1:7" x14ac:dyDescent="0.25">
      <c r="A46" t="s">
        <v>68</v>
      </c>
      <c r="B46" t="s">
        <v>358</v>
      </c>
      <c r="C46" s="57">
        <v>35108</v>
      </c>
      <c r="D46" t="s">
        <v>285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13</v>
      </c>
    </row>
    <row r="47" spans="1:7" x14ac:dyDescent="0.25">
      <c r="A47" t="s">
        <v>239</v>
      </c>
      <c r="B47" t="s">
        <v>362</v>
      </c>
      <c r="C47" s="57">
        <v>30884</v>
      </c>
      <c r="D47" t="s">
        <v>240</v>
      </c>
      <c r="E47" t="s">
        <v>352</v>
      </c>
      <c r="F47" t="str">
        <f>UPPER(TEXT(pbi_ListaEmpleadosExpertis[[#This Row],[FEC_NAC]],"mmmm"))</f>
        <v>JULIO</v>
      </c>
      <c r="G47">
        <f>DAY(pbi_ListaEmpleadosExpertis[[#This Row],[FEC_NAC]])</f>
        <v>21</v>
      </c>
    </row>
    <row r="48" spans="1:7" x14ac:dyDescent="0.25">
      <c r="A48" t="s">
        <v>227</v>
      </c>
      <c r="B48" t="s">
        <v>133</v>
      </c>
      <c r="C48" s="57">
        <v>34159</v>
      </c>
      <c r="D48" t="s">
        <v>228</v>
      </c>
      <c r="E48" t="s">
        <v>352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79</v>
      </c>
      <c r="B49" t="s">
        <v>358</v>
      </c>
      <c r="C49" s="57">
        <v>35268</v>
      </c>
      <c r="D49" t="s">
        <v>245</v>
      </c>
      <c r="E49" t="s">
        <v>0</v>
      </c>
      <c r="F49" t="str">
        <f>UPPER(TEXT(pbi_ListaEmpleadosExpertis[[#This Row],[FEC_NAC]],"mmmm"))</f>
        <v>JULIO</v>
      </c>
      <c r="G49">
        <f>DAY(pbi_ListaEmpleadosExpertis[[#This Row],[FEC_NAC]])</f>
        <v>22</v>
      </c>
    </row>
    <row r="50" spans="1:7" x14ac:dyDescent="0.25">
      <c r="A50" t="s">
        <v>12</v>
      </c>
      <c r="B50" t="s">
        <v>358</v>
      </c>
      <c r="C50" s="57">
        <v>32342</v>
      </c>
      <c r="D50" t="s">
        <v>265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18</v>
      </c>
    </row>
    <row r="51" spans="1:7" x14ac:dyDescent="0.25">
      <c r="A51" t="s">
        <v>122</v>
      </c>
      <c r="B51" t="s">
        <v>358</v>
      </c>
      <c r="C51" s="57">
        <v>34546</v>
      </c>
      <c r="D51" t="s">
        <v>270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31</v>
      </c>
    </row>
    <row r="52" spans="1:7" x14ac:dyDescent="0.25">
      <c r="A52" t="s">
        <v>34</v>
      </c>
      <c r="B52" t="s">
        <v>358</v>
      </c>
      <c r="C52" s="57">
        <v>35634</v>
      </c>
      <c r="D52" t="s">
        <v>274</v>
      </c>
      <c r="E52" t="s">
        <v>0</v>
      </c>
      <c r="F52" t="str">
        <f>UPPER(TEXT(pbi_ListaEmpleadosExpertis[[#This Row],[FEC_NAC]],"mmmm"))</f>
        <v>JULIO</v>
      </c>
      <c r="G52">
        <f>DAY(pbi_ListaEmpleadosExpertis[[#This Row],[FEC_NAC]])</f>
        <v>23</v>
      </c>
    </row>
    <row r="53" spans="1:7" x14ac:dyDescent="0.25">
      <c r="A53" t="s">
        <v>32</v>
      </c>
      <c r="B53" t="s">
        <v>358</v>
      </c>
      <c r="C53" s="57">
        <v>34529</v>
      </c>
      <c r="D53" t="s">
        <v>295</v>
      </c>
      <c r="E53" t="s">
        <v>0</v>
      </c>
      <c r="F53" t="str">
        <f>UPPER(TEXT(pbi_ListaEmpleadosExpertis[[#This Row],[FEC_NAC]],"mmmm"))</f>
        <v>JULIO</v>
      </c>
      <c r="G53">
        <f>DAY(pbi_ListaEmpleadosExpertis[[#This Row],[FEC_NAC]])</f>
        <v>14</v>
      </c>
    </row>
    <row r="54" spans="1:7" x14ac:dyDescent="0.25">
      <c r="A54" t="s">
        <v>51</v>
      </c>
      <c r="B54" t="s">
        <v>358</v>
      </c>
      <c r="C54" s="57">
        <v>35642</v>
      </c>
      <c r="D54" t="s">
        <v>309</v>
      </c>
      <c r="E54" t="s">
        <v>0</v>
      </c>
      <c r="F54" t="str">
        <f>UPPER(TEXT(pbi_ListaEmpleadosExpertis[[#This Row],[FEC_NAC]],"mmmm"))</f>
        <v>JULIO</v>
      </c>
      <c r="G54">
        <f>DAY(pbi_ListaEmpleadosExpertis[[#This Row],[FEC_NAC]])</f>
        <v>31</v>
      </c>
    </row>
    <row r="55" spans="1:7" x14ac:dyDescent="0.25">
      <c r="A55" t="s">
        <v>337</v>
      </c>
      <c r="B55" t="s">
        <v>390</v>
      </c>
      <c r="C55" s="57">
        <v>37080</v>
      </c>
      <c r="D55" t="s">
        <v>338</v>
      </c>
      <c r="E55" t="s">
        <v>352</v>
      </c>
      <c r="F55" t="str">
        <f>UPPER(TEXT(pbi_ListaEmpleadosExpertis[[#This Row],[FEC_NAC]],"mmmm"))</f>
        <v>JULIO</v>
      </c>
      <c r="G55">
        <f>DAY(pbi_ListaEmpleadosExpertis[[#This Row],[FEC_NAC]])</f>
        <v>8</v>
      </c>
    </row>
    <row r="56" spans="1:7" x14ac:dyDescent="0.25">
      <c r="A56" t="s">
        <v>174</v>
      </c>
      <c r="B56" t="s">
        <v>358</v>
      </c>
      <c r="C56" s="57">
        <v>32697</v>
      </c>
      <c r="D56" t="s">
        <v>343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8</v>
      </c>
    </row>
    <row r="57" spans="1:7" x14ac:dyDescent="0.25">
      <c r="A57" t="s">
        <v>346</v>
      </c>
      <c r="B57" t="s">
        <v>581</v>
      </c>
      <c r="C57" s="57">
        <v>31980</v>
      </c>
      <c r="D57" t="s">
        <v>347</v>
      </c>
      <c r="E57" t="s">
        <v>352</v>
      </c>
      <c r="F57" t="str">
        <f>UPPER(TEXT(pbi_ListaEmpleadosExpertis[[#This Row],[FEC_NAC]],"mmmm"))</f>
        <v>JULIO</v>
      </c>
      <c r="G57">
        <f>DAY(pbi_ListaEmpleadosExpertis[[#This Row],[FEC_NAC]])</f>
        <v>22</v>
      </c>
    </row>
    <row r="58" spans="1:7" x14ac:dyDescent="0.25">
      <c r="A58" t="s">
        <v>579</v>
      </c>
      <c r="B58" t="s">
        <v>358</v>
      </c>
      <c r="C58" s="57">
        <v>27960</v>
      </c>
      <c r="D58" t="s">
        <v>584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19</v>
      </c>
    </row>
    <row r="59" spans="1:7" x14ac:dyDescent="0.25">
      <c r="A59" t="s">
        <v>223</v>
      </c>
      <c r="B59" t="s">
        <v>133</v>
      </c>
      <c r="C59" s="57">
        <v>37410</v>
      </c>
      <c r="D59" t="s">
        <v>224</v>
      </c>
      <c r="E59" t="s">
        <v>352</v>
      </c>
      <c r="F59" t="str">
        <f>UPPER(TEXT(pbi_ListaEmpleadosExpertis[[#This Row],[FEC_NAC]],"mmmm"))</f>
        <v>JUNIO</v>
      </c>
      <c r="G59">
        <f>DAY(pbi_ListaEmpleadosExpertis[[#This Row],[FEC_NAC]])</f>
        <v>3</v>
      </c>
    </row>
    <row r="60" spans="1:7" x14ac:dyDescent="0.25">
      <c r="A60" t="s">
        <v>105</v>
      </c>
      <c r="B60" t="s">
        <v>358</v>
      </c>
      <c r="C60" s="57">
        <v>34138</v>
      </c>
      <c r="D60" t="s">
        <v>247</v>
      </c>
      <c r="E60" t="s">
        <v>0</v>
      </c>
      <c r="F60" t="str">
        <f>UPPER(TEXT(pbi_ListaEmpleadosExpertis[[#This Row],[FEC_NAC]],"mmmm"))</f>
        <v>JUNIO</v>
      </c>
      <c r="G60">
        <f>DAY(pbi_ListaEmpleadosExpertis[[#This Row],[FEC_NAC]])</f>
        <v>18</v>
      </c>
    </row>
    <row r="61" spans="1:7" x14ac:dyDescent="0.25">
      <c r="A61" t="s">
        <v>76</v>
      </c>
      <c r="B61" t="s">
        <v>358</v>
      </c>
      <c r="C61" s="57">
        <v>35600</v>
      </c>
      <c r="D61" t="s">
        <v>258</v>
      </c>
      <c r="E61" t="s">
        <v>0</v>
      </c>
      <c r="F61" t="str">
        <f>UPPER(TEXT(pbi_ListaEmpleadosExpertis[[#This Row],[FEC_NAC]],"mmmm"))</f>
        <v>JUNIO</v>
      </c>
      <c r="G61">
        <f>DAY(pbi_ListaEmpleadosExpertis[[#This Row],[FEC_NAC]])</f>
        <v>19</v>
      </c>
    </row>
    <row r="62" spans="1:7" x14ac:dyDescent="0.25">
      <c r="A62" t="s">
        <v>40</v>
      </c>
      <c r="B62" t="s">
        <v>358</v>
      </c>
      <c r="C62" s="57">
        <v>35241</v>
      </c>
      <c r="D62" t="s">
        <v>288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320</v>
      </c>
      <c r="B63" t="s">
        <v>383</v>
      </c>
      <c r="C63" s="57">
        <v>37051</v>
      </c>
      <c r="D63" t="s">
        <v>321</v>
      </c>
      <c r="E63" t="s">
        <v>352</v>
      </c>
      <c r="F63" t="str">
        <f>UPPER(TEXT(pbi_ListaEmpleadosExpertis[[#This Row],[FEC_NAC]],"mmmm"))</f>
        <v>JUNIO</v>
      </c>
      <c r="G63">
        <f>DAY(pbi_ListaEmpleadosExpertis[[#This Row],[FEC_NAC]])</f>
        <v>9</v>
      </c>
    </row>
    <row r="64" spans="1:7" x14ac:dyDescent="0.25">
      <c r="A64" t="s">
        <v>514</v>
      </c>
      <c r="B64" t="s">
        <v>358</v>
      </c>
      <c r="C64" s="57">
        <v>37054</v>
      </c>
      <c r="D64" t="s">
        <v>515</v>
      </c>
      <c r="E64" t="s">
        <v>0</v>
      </c>
      <c r="F64" t="str">
        <f>UPPER(TEXT(pbi_ListaEmpleadosExpertis[[#This Row],[FEC_NAC]],"mmmm"))</f>
        <v>JUNIO</v>
      </c>
      <c r="G64">
        <f>DAY(pbi_ListaEmpleadosExpertis[[#This Row],[FEC_NAC]])</f>
        <v>12</v>
      </c>
    </row>
    <row r="65" spans="1:7" x14ac:dyDescent="0.25">
      <c r="A65" t="s">
        <v>23</v>
      </c>
      <c r="B65" t="s">
        <v>358</v>
      </c>
      <c r="C65" s="57">
        <v>35504</v>
      </c>
      <c r="D65" t="s">
        <v>212</v>
      </c>
      <c r="E65" t="s">
        <v>0</v>
      </c>
      <c r="F65" t="str">
        <f>UPPER(TEXT(pbi_ListaEmpleadosExpertis[[#This Row],[FEC_NAC]],"mmmm"))</f>
        <v>MARZO</v>
      </c>
      <c r="G65">
        <f>DAY(pbi_ListaEmpleadosExpertis[[#This Row],[FEC_NAC]])</f>
        <v>15</v>
      </c>
    </row>
    <row r="66" spans="1:7" x14ac:dyDescent="0.25">
      <c r="A66" t="s">
        <v>69</v>
      </c>
      <c r="B66" t="s">
        <v>358</v>
      </c>
      <c r="C66" s="57">
        <v>35864</v>
      </c>
      <c r="D66" t="s">
        <v>570</v>
      </c>
      <c r="E66" t="s">
        <v>0</v>
      </c>
      <c r="F66" t="str">
        <f>UPPER(TEXT(pbi_ListaEmpleadosExpertis[[#This Row],[FEC_NAC]],"mmmm"))</f>
        <v>MARZO</v>
      </c>
      <c r="G66">
        <f>DAY(pbi_ListaEmpleadosExpertis[[#This Row],[FEC_NAC]])</f>
        <v>10</v>
      </c>
    </row>
    <row r="67" spans="1:7" x14ac:dyDescent="0.25">
      <c r="A67" t="s">
        <v>10</v>
      </c>
      <c r="B67" t="s">
        <v>358</v>
      </c>
      <c r="C67" s="57">
        <v>29662</v>
      </c>
      <c r="D67" t="s">
        <v>252</v>
      </c>
      <c r="E67" t="s">
        <v>0</v>
      </c>
      <c r="F67" t="str">
        <f>UPPER(TEXT(pbi_ListaEmpleadosExpertis[[#This Row],[FEC_NAC]],"mmmm"))</f>
        <v>MARZO</v>
      </c>
      <c r="G67">
        <f>DAY(pbi_ListaEmpleadosExpertis[[#This Row],[FEC_NAC]])</f>
        <v>17</v>
      </c>
    </row>
    <row r="68" spans="1:7" x14ac:dyDescent="0.25">
      <c r="A68" t="s">
        <v>263</v>
      </c>
      <c r="B68" t="s">
        <v>368</v>
      </c>
      <c r="C68" s="57">
        <v>36240</v>
      </c>
      <c r="D68" t="s">
        <v>264</v>
      </c>
      <c r="E68" t="s">
        <v>352</v>
      </c>
      <c r="F68" t="str">
        <f>UPPER(TEXT(pbi_ListaEmpleadosExpertis[[#This Row],[FEC_NAC]],"mmmm"))</f>
        <v>MARZO</v>
      </c>
      <c r="G68">
        <f>DAY(pbi_ListaEmpleadosExpertis[[#This Row],[FEC_NAC]])</f>
        <v>21</v>
      </c>
    </row>
    <row r="69" spans="1:7" x14ac:dyDescent="0.25">
      <c r="A69" t="s">
        <v>17</v>
      </c>
      <c r="B69" t="s">
        <v>358</v>
      </c>
      <c r="C69" s="57">
        <v>35492</v>
      </c>
      <c r="D69" t="s">
        <v>266</v>
      </c>
      <c r="E69" t="s">
        <v>0</v>
      </c>
      <c r="F69" t="str">
        <f>UPPER(TEXT(pbi_ListaEmpleadosExpertis[[#This Row],[FEC_NAC]],"mmmm"))</f>
        <v>MARZO</v>
      </c>
      <c r="G69">
        <f>DAY(pbi_ListaEmpleadosExpertis[[#This Row],[FEC_NAC]])</f>
        <v>3</v>
      </c>
    </row>
    <row r="70" spans="1:7" x14ac:dyDescent="0.25">
      <c r="A70" t="s">
        <v>22</v>
      </c>
      <c r="B70" t="s">
        <v>358</v>
      </c>
      <c r="C70" s="57">
        <v>34422</v>
      </c>
      <c r="D70" t="s">
        <v>278</v>
      </c>
      <c r="E70" t="s">
        <v>0</v>
      </c>
      <c r="F70" t="str">
        <f>UPPER(TEXT(pbi_ListaEmpleadosExpertis[[#This Row],[FEC_NAC]],"mmmm"))</f>
        <v>MARZO</v>
      </c>
      <c r="G70">
        <f>DAY(pbi_ListaEmpleadosExpertis[[#This Row],[FEC_NAC]])</f>
        <v>29</v>
      </c>
    </row>
    <row r="71" spans="1:7" x14ac:dyDescent="0.25">
      <c r="A71" t="s">
        <v>24</v>
      </c>
      <c r="B71" t="s">
        <v>358</v>
      </c>
      <c r="C71" s="57">
        <v>31492</v>
      </c>
      <c r="D71" t="s">
        <v>283</v>
      </c>
      <c r="E71" t="s">
        <v>0</v>
      </c>
      <c r="F71" t="str">
        <f>UPPER(TEXT(pbi_ListaEmpleadosExpertis[[#This Row],[FEC_NAC]],"mmmm"))</f>
        <v>MARZO</v>
      </c>
      <c r="G71">
        <f>DAY(pbi_ListaEmpleadosExpertis[[#This Row],[FEC_NAC]])</f>
        <v>21</v>
      </c>
    </row>
    <row r="72" spans="1:7" x14ac:dyDescent="0.25">
      <c r="A72" t="s">
        <v>42</v>
      </c>
      <c r="B72" t="s">
        <v>358</v>
      </c>
      <c r="C72" s="57">
        <v>37683</v>
      </c>
      <c r="D72" t="s">
        <v>287</v>
      </c>
      <c r="E72" t="s">
        <v>0</v>
      </c>
      <c r="F72" t="str">
        <f>UPPER(TEXT(pbi_ListaEmpleadosExpertis[[#This Row],[FEC_NAC]],"mmmm"))</f>
        <v>MARZO</v>
      </c>
      <c r="G72">
        <f>DAY(pbi_ListaEmpleadosExpertis[[#This Row],[FEC_NAC]])</f>
        <v>3</v>
      </c>
    </row>
    <row r="73" spans="1:7" x14ac:dyDescent="0.25">
      <c r="A73" t="s">
        <v>312</v>
      </c>
      <c r="B73" t="s">
        <v>380</v>
      </c>
      <c r="C73" s="57">
        <v>30385</v>
      </c>
      <c r="D73" t="s">
        <v>313</v>
      </c>
      <c r="E73" t="s">
        <v>352</v>
      </c>
      <c r="F73" t="str">
        <f>UPPER(TEXT(pbi_ListaEmpleadosExpertis[[#This Row],[FEC_NAC]],"mmmm"))</f>
        <v>MARZO</v>
      </c>
      <c r="G73">
        <f>DAY(pbi_ListaEmpleadosExpertis[[#This Row],[FEC_NAC]])</f>
        <v>10</v>
      </c>
    </row>
    <row r="74" spans="1:7" x14ac:dyDescent="0.25">
      <c r="A74" t="s">
        <v>314</v>
      </c>
      <c r="B74" t="s">
        <v>381</v>
      </c>
      <c r="C74" s="57">
        <v>34782</v>
      </c>
      <c r="D74" t="s">
        <v>315</v>
      </c>
      <c r="E74" t="s">
        <v>352</v>
      </c>
      <c r="F74" t="str">
        <f>UPPER(TEXT(pbi_ListaEmpleadosExpertis[[#This Row],[FEC_NAC]],"mmmm"))</f>
        <v>MARZO</v>
      </c>
      <c r="G74">
        <f>DAY(pbi_ListaEmpleadosExpertis[[#This Row],[FEC_NAC]])</f>
        <v>24</v>
      </c>
    </row>
    <row r="75" spans="1:7" x14ac:dyDescent="0.25">
      <c r="A75" t="s">
        <v>55</v>
      </c>
      <c r="B75" t="s">
        <v>358</v>
      </c>
      <c r="C75" s="57">
        <v>32222</v>
      </c>
      <c r="D75" t="s">
        <v>319</v>
      </c>
      <c r="E75" t="s">
        <v>0</v>
      </c>
      <c r="F75" t="str">
        <f>UPPER(TEXT(pbi_ListaEmpleadosExpertis[[#This Row],[FEC_NAC]],"mmmm"))</f>
        <v>MARZO</v>
      </c>
      <c r="G75">
        <f>DAY(pbi_ListaEmpleadosExpertis[[#This Row],[FEC_NAC]])</f>
        <v>20</v>
      </c>
    </row>
    <row r="76" spans="1:7" x14ac:dyDescent="0.25">
      <c r="A76" t="s">
        <v>58</v>
      </c>
      <c r="B76" t="s">
        <v>358</v>
      </c>
      <c r="C76" s="57">
        <v>34110</v>
      </c>
      <c r="D76" t="s">
        <v>217</v>
      </c>
      <c r="E76" t="s">
        <v>0</v>
      </c>
      <c r="F76" t="str">
        <f>UPPER(TEXT(pbi_ListaEmpleadosExpertis[[#This Row],[FEC_NAC]],"mmmm"))</f>
        <v>MAYO</v>
      </c>
      <c r="G76">
        <f>DAY(pbi_ListaEmpleadosExpertis[[#This Row],[FEC_NAC]])</f>
        <v>21</v>
      </c>
    </row>
    <row r="77" spans="1:7" x14ac:dyDescent="0.25">
      <c r="A77" t="s">
        <v>249</v>
      </c>
      <c r="B77" t="s">
        <v>133</v>
      </c>
      <c r="C77" s="57">
        <v>31900</v>
      </c>
      <c r="D77" t="s">
        <v>250</v>
      </c>
      <c r="E77" t="s">
        <v>352</v>
      </c>
      <c r="F77" t="str">
        <f>UPPER(TEXT(pbi_ListaEmpleadosExpertis[[#This Row],[FEC_NAC]],"mmmm"))</f>
        <v>MAYO</v>
      </c>
      <c r="G77">
        <f>DAY(pbi_ListaEmpleadosExpertis[[#This Row],[FEC_NAC]])</f>
        <v>3</v>
      </c>
    </row>
    <row r="78" spans="1:7" x14ac:dyDescent="0.25">
      <c r="A78" t="s">
        <v>85</v>
      </c>
      <c r="B78" t="s">
        <v>358</v>
      </c>
      <c r="C78" s="57">
        <v>36674</v>
      </c>
      <c r="D78" t="s">
        <v>563</v>
      </c>
      <c r="E78" t="s">
        <v>0</v>
      </c>
      <c r="F78" t="str">
        <f>UPPER(TEXT(pbi_ListaEmpleadosExpertis[[#This Row],[FEC_NAC]],"mmmm"))</f>
        <v>MAYO</v>
      </c>
      <c r="G78">
        <f>DAY(pbi_ListaEmpleadosExpertis[[#This Row],[FEC_NAC]])</f>
        <v>28</v>
      </c>
    </row>
    <row r="79" spans="1:7" x14ac:dyDescent="0.25">
      <c r="A79" t="s">
        <v>78</v>
      </c>
      <c r="B79" t="s">
        <v>358</v>
      </c>
      <c r="C79" s="57">
        <v>27152</v>
      </c>
      <c r="D79" t="s">
        <v>268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3</v>
      </c>
    </row>
    <row r="80" spans="1:7" x14ac:dyDescent="0.25">
      <c r="A80" t="s">
        <v>275</v>
      </c>
      <c r="B80" t="s">
        <v>369</v>
      </c>
      <c r="C80" s="57">
        <v>29359</v>
      </c>
      <c r="D80" t="s">
        <v>276</v>
      </c>
      <c r="E80" t="s">
        <v>352</v>
      </c>
      <c r="F80" t="str">
        <f>UPPER(TEXT(pbi_ListaEmpleadosExpertis[[#This Row],[FEC_NAC]],"mmmm"))</f>
        <v>MAYO</v>
      </c>
      <c r="G80">
        <f>DAY(pbi_ListaEmpleadosExpertis[[#This Row],[FEC_NAC]])</f>
        <v>18</v>
      </c>
    </row>
    <row r="81" spans="1:7" x14ac:dyDescent="0.25">
      <c r="A81" t="s">
        <v>80</v>
      </c>
      <c r="B81" t="s">
        <v>358</v>
      </c>
      <c r="C81" s="57">
        <v>32273</v>
      </c>
      <c r="D81" t="s">
        <v>277</v>
      </c>
      <c r="E81" t="s">
        <v>0</v>
      </c>
      <c r="F81" t="str">
        <f>UPPER(TEXT(pbi_ListaEmpleadosExpertis[[#This Row],[FEC_NAC]],"mmmm"))</f>
        <v>MAYO</v>
      </c>
      <c r="G81">
        <f>DAY(pbi_ListaEmpleadosExpertis[[#This Row],[FEC_NAC]])</f>
        <v>10</v>
      </c>
    </row>
    <row r="82" spans="1:7" x14ac:dyDescent="0.25">
      <c r="A82" t="s">
        <v>353</v>
      </c>
      <c r="B82" t="s">
        <v>370</v>
      </c>
      <c r="C82" s="57">
        <v>36301</v>
      </c>
      <c r="D82" t="s">
        <v>354</v>
      </c>
      <c r="E82" t="s">
        <v>352</v>
      </c>
      <c r="F82" t="str">
        <f>UPPER(TEXT(pbi_ListaEmpleadosExpertis[[#This Row],[FEC_NAC]],"mmmm"))</f>
        <v>MAYO</v>
      </c>
      <c r="G82">
        <f>DAY(pbi_ListaEmpleadosExpertis[[#This Row],[FEC_NAC]])</f>
        <v>21</v>
      </c>
    </row>
    <row r="83" spans="1:7" x14ac:dyDescent="0.25">
      <c r="A83" t="s">
        <v>50</v>
      </c>
      <c r="B83" t="s">
        <v>358</v>
      </c>
      <c r="C83" s="57">
        <v>33383</v>
      </c>
      <c r="D83" t="s">
        <v>294</v>
      </c>
      <c r="E83" t="s">
        <v>0</v>
      </c>
      <c r="F83" t="str">
        <f>UPPER(TEXT(pbi_ListaEmpleadosExpertis[[#This Row],[FEC_NAC]],"mmmm"))</f>
        <v>MAYO</v>
      </c>
      <c r="G83">
        <f>DAY(pbi_ListaEmpleadosExpertis[[#This Row],[FEC_NAC]])</f>
        <v>25</v>
      </c>
    </row>
    <row r="84" spans="1:7" x14ac:dyDescent="0.25">
      <c r="A84" t="s">
        <v>322</v>
      </c>
      <c r="B84" t="s">
        <v>384</v>
      </c>
      <c r="C84" s="57">
        <v>38500</v>
      </c>
      <c r="D84" t="s">
        <v>323</v>
      </c>
      <c r="E84" t="s">
        <v>352</v>
      </c>
      <c r="F84" t="str">
        <f>UPPER(TEXT(pbi_ListaEmpleadosExpertis[[#This Row],[FEC_NAC]],"mmmm"))</f>
        <v>MAYO</v>
      </c>
      <c r="G84">
        <f>DAY(pbi_ListaEmpleadosExpertis[[#This Row],[FEC_NAC]])</f>
        <v>28</v>
      </c>
    </row>
    <row r="85" spans="1:7" x14ac:dyDescent="0.25">
      <c r="A85" t="s">
        <v>97</v>
      </c>
      <c r="B85" t="s">
        <v>358</v>
      </c>
      <c r="C85" s="57">
        <v>34832</v>
      </c>
      <c r="D85" t="s">
        <v>324</v>
      </c>
      <c r="E85" t="s">
        <v>0</v>
      </c>
      <c r="F85" t="str">
        <f>UPPER(TEXT(pbi_ListaEmpleadosExpertis[[#This Row],[FEC_NAC]],"mmmm"))</f>
        <v>MAYO</v>
      </c>
      <c r="G85">
        <f>DAY(pbi_ListaEmpleadosExpertis[[#This Row],[FEC_NAC]])</f>
        <v>13</v>
      </c>
    </row>
    <row r="86" spans="1:7" x14ac:dyDescent="0.25">
      <c r="A86" t="s">
        <v>233</v>
      </c>
      <c r="B86" t="s">
        <v>363</v>
      </c>
      <c r="C86" s="57">
        <v>35013</v>
      </c>
      <c r="D86" t="s">
        <v>234</v>
      </c>
      <c r="E86" t="s">
        <v>352</v>
      </c>
      <c r="F86" t="str">
        <f>UPPER(TEXT(pbi_ListaEmpleadosExpertis[[#This Row],[FEC_NAC]],"mmmm"))</f>
        <v>NOVIEMBRE</v>
      </c>
      <c r="G86">
        <f>DAY(pbi_ListaEmpleadosExpertis[[#This Row],[FEC_NAC]])</f>
        <v>10</v>
      </c>
    </row>
    <row r="87" spans="1:7" x14ac:dyDescent="0.25">
      <c r="A87" t="s">
        <v>243</v>
      </c>
      <c r="B87" t="s">
        <v>366</v>
      </c>
      <c r="C87" s="57">
        <v>28072</v>
      </c>
      <c r="D87" t="s">
        <v>244</v>
      </c>
      <c r="E87" t="s">
        <v>352</v>
      </c>
      <c r="F87" t="str">
        <f>UPPER(TEXT(pbi_ListaEmpleadosExpertis[[#This Row],[FEC_NAC]],"mmmm"))</f>
        <v>NOVIEMBRE</v>
      </c>
      <c r="G87">
        <f>DAY(pbi_ListaEmpleadosExpertis[[#This Row],[FEC_NAC]])</f>
        <v>8</v>
      </c>
    </row>
    <row r="88" spans="1:7" x14ac:dyDescent="0.25">
      <c r="A88" t="s">
        <v>302</v>
      </c>
      <c r="B88" t="s">
        <v>376</v>
      </c>
      <c r="C88" s="57">
        <v>30628</v>
      </c>
      <c r="D88" t="s">
        <v>303</v>
      </c>
      <c r="E88" t="s">
        <v>352</v>
      </c>
      <c r="F88" t="str">
        <f>UPPER(TEXT(pbi_ListaEmpleadosExpertis[[#This Row],[FEC_NAC]],"mmmm"))</f>
        <v>NOVIEMBRE</v>
      </c>
      <c r="G88">
        <f>DAY(pbi_ListaEmpleadosExpertis[[#This Row],[FEC_NAC]])</f>
        <v>8</v>
      </c>
    </row>
    <row r="89" spans="1:7" x14ac:dyDescent="0.25">
      <c r="A89" t="s">
        <v>344</v>
      </c>
      <c r="B89" t="s">
        <v>393</v>
      </c>
      <c r="C89" s="57">
        <v>35388</v>
      </c>
      <c r="D89" t="s">
        <v>345</v>
      </c>
      <c r="E89" t="s">
        <v>352</v>
      </c>
      <c r="F89" t="str">
        <f>UPPER(TEXT(pbi_ListaEmpleadosExpertis[[#This Row],[FEC_NAC]],"mmmm"))</f>
        <v>NOVIEMBRE</v>
      </c>
      <c r="G89">
        <f>DAY(pbi_ListaEmpleadosExpertis[[#This Row],[FEC_NAC]])</f>
        <v>19</v>
      </c>
    </row>
    <row r="90" spans="1:7" x14ac:dyDescent="0.25">
      <c r="A90" t="s">
        <v>241</v>
      </c>
      <c r="B90" t="s">
        <v>361</v>
      </c>
      <c r="C90" s="57">
        <v>31700</v>
      </c>
      <c r="D90" t="s">
        <v>242</v>
      </c>
      <c r="E90" t="s">
        <v>352</v>
      </c>
      <c r="F90" t="str">
        <f>UPPER(TEXT(pbi_ListaEmpleadosExpertis[[#This Row],[FEC_NAC]],"mmmm"))</f>
        <v>OCTUBRE</v>
      </c>
      <c r="G90">
        <f>DAY(pbi_ListaEmpleadosExpertis[[#This Row],[FEC_NAC]])</f>
        <v>15</v>
      </c>
    </row>
    <row r="91" spans="1:7" x14ac:dyDescent="0.25">
      <c r="A91" t="s">
        <v>37</v>
      </c>
      <c r="B91" t="s">
        <v>358</v>
      </c>
      <c r="C91" s="57">
        <v>36072</v>
      </c>
      <c r="D91" t="s">
        <v>219</v>
      </c>
      <c r="E91" t="s">
        <v>0</v>
      </c>
      <c r="F91" t="str">
        <f>UPPER(TEXT(pbi_ListaEmpleadosExpertis[[#This Row],[FEC_NAC]],"mmmm"))</f>
        <v>OCTUBRE</v>
      </c>
      <c r="G91">
        <f>DAY(pbi_ListaEmpleadosExpertis[[#This Row],[FEC_NAC]])</f>
        <v>4</v>
      </c>
    </row>
    <row r="92" spans="1:7" x14ac:dyDescent="0.25">
      <c r="A92" t="s">
        <v>13</v>
      </c>
      <c r="B92" t="s">
        <v>358</v>
      </c>
      <c r="C92" s="57">
        <v>35346</v>
      </c>
      <c r="D92" t="s">
        <v>257</v>
      </c>
      <c r="E92" t="s">
        <v>0</v>
      </c>
      <c r="F92" t="str">
        <f>UPPER(TEXT(pbi_ListaEmpleadosExpertis[[#This Row],[FEC_NAC]],"mmmm"))</f>
        <v>OCTUBRE</v>
      </c>
      <c r="G92">
        <f>DAY(pbi_ListaEmpleadosExpertis[[#This Row],[FEC_NAC]])</f>
        <v>8</v>
      </c>
    </row>
    <row r="93" spans="1:7" x14ac:dyDescent="0.25">
      <c r="A93" t="s">
        <v>279</v>
      </c>
      <c r="B93" t="s">
        <v>368</v>
      </c>
      <c r="C93" s="57">
        <v>34263</v>
      </c>
      <c r="D93" t="s">
        <v>280</v>
      </c>
      <c r="E93" t="s">
        <v>352</v>
      </c>
      <c r="F93" t="str">
        <f>UPPER(TEXT(pbi_ListaEmpleadosExpertis[[#This Row],[FEC_NAC]],"mmmm"))</f>
        <v>OCTUBRE</v>
      </c>
      <c r="G93">
        <f>DAY(pbi_ListaEmpleadosExpertis[[#This Row],[FEC_NAC]])</f>
        <v>21</v>
      </c>
    </row>
    <row r="94" spans="1:7" x14ac:dyDescent="0.25">
      <c r="A94" t="s">
        <v>109</v>
      </c>
      <c r="B94" t="s">
        <v>358</v>
      </c>
      <c r="C94" s="57">
        <v>35706</v>
      </c>
      <c r="D94" t="s">
        <v>282</v>
      </c>
      <c r="E94" t="s">
        <v>0</v>
      </c>
      <c r="F94" t="str">
        <f>UPPER(TEXT(pbi_ListaEmpleadosExpertis[[#This Row],[FEC_NAC]],"mmmm"))</f>
        <v>OCTUBRE</v>
      </c>
      <c r="G94">
        <f>DAY(pbi_ListaEmpleadosExpertis[[#This Row],[FEC_NAC]])</f>
        <v>3</v>
      </c>
    </row>
    <row r="95" spans="1:7" x14ac:dyDescent="0.25">
      <c r="A95" t="s">
        <v>289</v>
      </c>
      <c r="B95" t="s">
        <v>371</v>
      </c>
      <c r="C95" s="57">
        <v>36801</v>
      </c>
      <c r="D95" t="s">
        <v>290</v>
      </c>
      <c r="E95" t="s">
        <v>352</v>
      </c>
      <c r="F95" t="str">
        <f>UPPER(TEXT(pbi_ListaEmpleadosExpertis[[#This Row],[FEC_NAC]],"mmmm"))</f>
        <v>OCTUBRE</v>
      </c>
      <c r="G95">
        <f>DAY(pbi_ListaEmpleadosExpertis[[#This Row],[FEC_NAC]])</f>
        <v>2</v>
      </c>
    </row>
    <row r="96" spans="1:7" x14ac:dyDescent="0.25">
      <c r="A96" t="s">
        <v>298</v>
      </c>
      <c r="B96" t="s">
        <v>374</v>
      </c>
      <c r="C96" s="57">
        <v>34610</v>
      </c>
      <c r="D96" t="s">
        <v>299</v>
      </c>
      <c r="E96" t="s">
        <v>352</v>
      </c>
      <c r="F96" t="str">
        <f>UPPER(TEXT(pbi_ListaEmpleadosExpertis[[#This Row],[FEC_NAC]],"mmmm"))</f>
        <v>OCTUBRE</v>
      </c>
      <c r="G96">
        <f>DAY(pbi_ListaEmpleadosExpertis[[#This Row],[FEC_NAC]])</f>
        <v>3</v>
      </c>
    </row>
    <row r="97" spans="1:7" x14ac:dyDescent="0.25">
      <c r="A97" t="s">
        <v>310</v>
      </c>
      <c r="B97" t="s">
        <v>379</v>
      </c>
      <c r="C97" s="57">
        <v>36819</v>
      </c>
      <c r="D97" t="s">
        <v>311</v>
      </c>
      <c r="E97" t="s">
        <v>352</v>
      </c>
      <c r="F97" t="str">
        <f>UPPER(TEXT(pbi_ListaEmpleadosExpertis[[#This Row],[FEC_NAC]],"mmmm"))</f>
        <v>OCTUBRE</v>
      </c>
      <c r="G97">
        <f>DAY(pbi_ListaEmpleadosExpertis[[#This Row],[FEC_NAC]])</f>
        <v>20</v>
      </c>
    </row>
    <row r="98" spans="1:7" x14ac:dyDescent="0.25">
      <c r="A98" t="s">
        <v>316</v>
      </c>
      <c r="B98" t="s">
        <v>382</v>
      </c>
      <c r="C98" s="57">
        <v>35356</v>
      </c>
      <c r="D98" t="s">
        <v>317</v>
      </c>
      <c r="E98" t="s">
        <v>352</v>
      </c>
      <c r="F98" t="str">
        <f>UPPER(TEXT(pbi_ListaEmpleadosExpertis[[#This Row],[FEC_NAC]],"mmmm"))</f>
        <v>OCTUBRE</v>
      </c>
      <c r="G98">
        <f>DAY(pbi_ListaEmpleadosExpertis[[#This Row],[FEC_NAC]])</f>
        <v>18</v>
      </c>
    </row>
    <row r="99" spans="1:7" x14ac:dyDescent="0.25">
      <c r="A99" t="s">
        <v>325</v>
      </c>
      <c r="B99" t="s">
        <v>385</v>
      </c>
      <c r="C99" s="57">
        <v>30965</v>
      </c>
      <c r="D99" t="s">
        <v>326</v>
      </c>
      <c r="E99" t="s">
        <v>352</v>
      </c>
      <c r="F99" t="str">
        <f>UPPER(TEXT(pbi_ListaEmpleadosExpertis[[#This Row],[FEC_NAC]],"mmmm"))</f>
        <v>OCTUBRE</v>
      </c>
      <c r="G99">
        <f>DAY(pbi_ListaEmpleadosExpertis[[#This Row],[FEC_NAC]])</f>
        <v>10</v>
      </c>
    </row>
    <row r="100" spans="1:7" x14ac:dyDescent="0.25">
      <c r="A100" t="s">
        <v>335</v>
      </c>
      <c r="B100" t="s">
        <v>381</v>
      </c>
      <c r="C100" s="57">
        <v>33158</v>
      </c>
      <c r="D100" t="s">
        <v>336</v>
      </c>
      <c r="E100" t="s">
        <v>352</v>
      </c>
      <c r="F100" t="str">
        <f>UPPER(TEXT(pbi_ListaEmpleadosExpertis[[#This Row],[FEC_NAC]],"mmmm"))</f>
        <v>OCTUBRE</v>
      </c>
      <c r="G100">
        <f>DAY(pbi_ListaEmpleadosExpertis[[#This Row],[FEC_NAC]])</f>
        <v>12</v>
      </c>
    </row>
    <row r="101" spans="1:7" x14ac:dyDescent="0.25">
      <c r="A101" t="s">
        <v>339</v>
      </c>
      <c r="B101" t="s">
        <v>391</v>
      </c>
      <c r="C101" s="57">
        <v>37550</v>
      </c>
      <c r="D101" t="s">
        <v>340</v>
      </c>
      <c r="E101" t="s">
        <v>352</v>
      </c>
      <c r="F101" t="str">
        <f>UPPER(TEXT(pbi_ListaEmpleadosExpertis[[#This Row],[FEC_NAC]],"mmmm"))</f>
        <v>OCTUBRE</v>
      </c>
      <c r="G101">
        <f>DAY(pbi_ListaEmpleadosExpertis[[#This Row],[FEC_NAC]])</f>
        <v>21</v>
      </c>
    </row>
    <row r="102" spans="1:7" x14ac:dyDescent="0.25">
      <c r="A102" t="s">
        <v>35</v>
      </c>
      <c r="B102" t="s">
        <v>358</v>
      </c>
      <c r="C102" s="57">
        <v>28011</v>
      </c>
      <c r="D102" t="s">
        <v>255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8</v>
      </c>
    </row>
    <row r="103" spans="1:7" x14ac:dyDescent="0.25">
      <c r="A103" t="s">
        <v>296</v>
      </c>
      <c r="B103" t="s">
        <v>373</v>
      </c>
      <c r="C103" s="57">
        <v>33496</v>
      </c>
      <c r="D103" t="s">
        <v>297</v>
      </c>
      <c r="E103" t="s">
        <v>352</v>
      </c>
      <c r="F103" t="str">
        <f>UPPER(TEXT(pbi_ListaEmpleadosExpertis[[#This Row],[FEC_NAC]],"mmmm"))</f>
        <v>SETIEMBRE</v>
      </c>
      <c r="G103">
        <f>DAY(pbi_ListaEmpleadosExpertis[[#This Row],[FEC_NAC]])</f>
        <v>15</v>
      </c>
    </row>
    <row r="104" spans="1:7" x14ac:dyDescent="0.25">
      <c r="A104" t="s">
        <v>208</v>
      </c>
      <c r="B104" t="s">
        <v>358</v>
      </c>
      <c r="C104" s="57">
        <v>37156</v>
      </c>
      <c r="D104" t="s">
        <v>349</v>
      </c>
      <c r="E104" t="s">
        <v>0</v>
      </c>
      <c r="F104" t="str">
        <f>UPPER(TEXT(pbi_ListaEmpleadosExpertis[[#This Row],[FEC_NAC]],"mmmm"))</f>
        <v>SETIEMBRE</v>
      </c>
      <c r="G104">
        <f>DAY(pbi_ListaEmpleadosExpertis[[#This Row],[FEC_NAC]])</f>
        <v>22</v>
      </c>
    </row>
    <row r="105" spans="1:7" x14ac:dyDescent="0.25">
      <c r="A105" t="s">
        <v>512</v>
      </c>
      <c r="B105" t="s">
        <v>358</v>
      </c>
      <c r="C105" s="57">
        <v>36795</v>
      </c>
      <c r="D105" t="s">
        <v>513</v>
      </c>
      <c r="E105" t="s">
        <v>0</v>
      </c>
      <c r="F105" t="str">
        <f>UPPER(TEXT(pbi_ListaEmpleadosExpertis[[#This Row],[FEC_NAC]],"mmmm"))</f>
        <v>SETIEMBRE</v>
      </c>
      <c r="G105">
        <f>DAY(pbi_ListaEmpleadosExpertis[[#This Row],[FEC_NAC]])</f>
        <v>26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9"/>
  <sheetViews>
    <sheetView topLeftCell="A31" workbookViewId="0">
      <selection activeCell="B41" sqref="B41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394</v>
      </c>
      <c r="E1" s="5" t="s">
        <v>580</v>
      </c>
      <c r="F1" s="5" t="s">
        <v>519</v>
      </c>
    </row>
    <row r="2" spans="1:6" x14ac:dyDescent="0.25">
      <c r="A2" s="5" t="s">
        <v>58</v>
      </c>
      <c r="B2" s="5" t="s">
        <v>7</v>
      </c>
      <c r="C2" s="5" t="s">
        <v>58</v>
      </c>
      <c r="D2" s="61">
        <v>72519113</v>
      </c>
      <c r="E2" s="58">
        <v>43119</v>
      </c>
      <c r="F2" s="5" t="s">
        <v>520</v>
      </c>
    </row>
    <row r="3" spans="1:6" x14ac:dyDescent="0.25">
      <c r="A3" s="5" t="s">
        <v>49</v>
      </c>
      <c r="B3" s="5" t="s">
        <v>7</v>
      </c>
      <c r="C3" s="5" t="s">
        <v>49</v>
      </c>
      <c r="D3" s="61">
        <v>40702064</v>
      </c>
      <c r="E3" s="58">
        <v>43313</v>
      </c>
      <c r="F3" s="5" t="s">
        <v>521</v>
      </c>
    </row>
    <row r="4" spans="1:6" x14ac:dyDescent="0.25">
      <c r="A4" s="5" t="s">
        <v>23</v>
      </c>
      <c r="B4" s="5" t="s">
        <v>2</v>
      </c>
      <c r="C4" s="5" t="s">
        <v>23</v>
      </c>
      <c r="D4" s="61">
        <v>72413556</v>
      </c>
      <c r="E4" s="58">
        <v>44109</v>
      </c>
      <c r="F4" s="5" t="s">
        <v>521</v>
      </c>
    </row>
    <row r="5" spans="1:6" x14ac:dyDescent="0.25">
      <c r="A5" s="5" t="s">
        <v>26</v>
      </c>
      <c r="B5" s="5" t="s">
        <v>6</v>
      </c>
      <c r="C5" s="5" t="s">
        <v>26</v>
      </c>
      <c r="D5" s="61">
        <v>41005089</v>
      </c>
      <c r="E5" s="58">
        <v>44257</v>
      </c>
      <c r="F5" s="5" t="s">
        <v>520</v>
      </c>
    </row>
    <row r="6" spans="1:6" x14ac:dyDescent="0.25">
      <c r="A6" s="5" t="s">
        <v>19</v>
      </c>
      <c r="B6" s="5" t="s">
        <v>6</v>
      </c>
      <c r="C6" s="5" t="s">
        <v>19</v>
      </c>
      <c r="D6" s="61">
        <v>76656128</v>
      </c>
      <c r="E6" s="58">
        <v>44671</v>
      </c>
      <c r="F6" s="5" t="s">
        <v>521</v>
      </c>
    </row>
    <row r="7" spans="1:6" x14ac:dyDescent="0.25">
      <c r="A7" s="5" t="s">
        <v>29</v>
      </c>
      <c r="B7" s="5" t="s">
        <v>3</v>
      </c>
      <c r="C7" s="5" t="s">
        <v>29</v>
      </c>
      <c r="D7" s="61">
        <v>72758956</v>
      </c>
      <c r="E7" s="58">
        <v>44685</v>
      </c>
      <c r="F7" s="5" t="s">
        <v>521</v>
      </c>
    </row>
    <row r="8" spans="1:6" x14ac:dyDescent="0.25">
      <c r="A8" s="5" t="s">
        <v>10</v>
      </c>
      <c r="B8" s="5" t="s">
        <v>125</v>
      </c>
      <c r="C8" s="5" t="s">
        <v>10</v>
      </c>
      <c r="D8" s="61">
        <v>40980108</v>
      </c>
      <c r="E8" s="58">
        <v>44704</v>
      </c>
      <c r="F8" s="5" t="s">
        <v>520</v>
      </c>
    </row>
    <row r="9" spans="1:6" x14ac:dyDescent="0.25">
      <c r="A9" s="5" t="s">
        <v>75</v>
      </c>
      <c r="B9" s="5" t="s">
        <v>125</v>
      </c>
      <c r="C9" s="5" t="s">
        <v>75</v>
      </c>
      <c r="D9" s="61">
        <v>71264767</v>
      </c>
      <c r="E9" s="58">
        <v>44714</v>
      </c>
      <c r="F9" s="5" t="s">
        <v>521</v>
      </c>
    </row>
    <row r="10" spans="1:6" x14ac:dyDescent="0.25">
      <c r="A10" s="5" t="s">
        <v>15</v>
      </c>
      <c r="B10" s="5" t="s">
        <v>2</v>
      </c>
      <c r="C10" s="5" t="s">
        <v>15</v>
      </c>
      <c r="D10" s="61">
        <v>47587400</v>
      </c>
      <c r="E10" s="58">
        <v>44733</v>
      </c>
      <c r="F10" s="5" t="s">
        <v>521</v>
      </c>
    </row>
    <row r="11" spans="1:6" x14ac:dyDescent="0.25">
      <c r="A11" s="5" t="s">
        <v>48</v>
      </c>
      <c r="B11" s="5" t="s">
        <v>7</v>
      </c>
      <c r="C11" s="5" t="s">
        <v>48</v>
      </c>
      <c r="D11" s="61">
        <v>43307898</v>
      </c>
      <c r="E11" s="58">
        <v>44746</v>
      </c>
      <c r="F11" s="5" t="s">
        <v>521</v>
      </c>
    </row>
    <row r="12" spans="1:6" x14ac:dyDescent="0.25">
      <c r="A12" s="5" t="s">
        <v>35</v>
      </c>
      <c r="B12" s="5" t="s">
        <v>6</v>
      </c>
      <c r="C12" s="5" t="s">
        <v>35</v>
      </c>
      <c r="D12" s="61">
        <v>10491198</v>
      </c>
      <c r="E12" s="58">
        <v>44746</v>
      </c>
      <c r="F12" s="5" t="s">
        <v>521</v>
      </c>
    </row>
    <row r="13" spans="1:6" x14ac:dyDescent="0.25">
      <c r="A13" s="5" t="s">
        <v>13</v>
      </c>
      <c r="B13" s="5" t="s">
        <v>2</v>
      </c>
      <c r="C13" s="5" t="s">
        <v>13</v>
      </c>
      <c r="D13" s="61">
        <v>72512391</v>
      </c>
      <c r="E13" s="58">
        <v>44809</v>
      </c>
      <c r="F13" s="5" t="s">
        <v>521</v>
      </c>
    </row>
    <row r="14" spans="1:6" x14ac:dyDescent="0.25">
      <c r="A14" s="5" t="s">
        <v>76</v>
      </c>
      <c r="B14" s="5" t="s">
        <v>3</v>
      </c>
      <c r="C14" s="5" t="s">
        <v>76</v>
      </c>
      <c r="D14" s="61">
        <v>60914051</v>
      </c>
      <c r="E14" s="58">
        <v>44817</v>
      </c>
      <c r="F14" s="5" t="s">
        <v>521</v>
      </c>
    </row>
    <row r="15" spans="1:6" x14ac:dyDescent="0.25">
      <c r="A15" s="5" t="s">
        <v>25</v>
      </c>
      <c r="B15" s="5" t="s">
        <v>2</v>
      </c>
      <c r="C15" s="5" t="s">
        <v>25</v>
      </c>
      <c r="D15" s="61">
        <v>72373931</v>
      </c>
      <c r="E15" s="58">
        <v>44818</v>
      </c>
      <c r="F15" s="5" t="s">
        <v>521</v>
      </c>
    </row>
    <row r="16" spans="1:6" x14ac:dyDescent="0.25">
      <c r="A16" s="5" t="s">
        <v>77</v>
      </c>
      <c r="B16" s="5" t="s">
        <v>7</v>
      </c>
      <c r="C16" s="5" t="s">
        <v>77</v>
      </c>
      <c r="D16" s="61">
        <v>42251780</v>
      </c>
      <c r="E16" s="58">
        <v>44838</v>
      </c>
      <c r="F16" s="5" t="s">
        <v>521</v>
      </c>
    </row>
    <row r="17" spans="1:6" x14ac:dyDescent="0.25">
      <c r="A17" s="5" t="s">
        <v>12</v>
      </c>
      <c r="B17" s="5" t="s">
        <v>125</v>
      </c>
      <c r="C17" s="5" t="s">
        <v>12</v>
      </c>
      <c r="D17" s="61">
        <v>45262585</v>
      </c>
      <c r="E17" s="58">
        <v>44868</v>
      </c>
      <c r="F17" s="5" t="s">
        <v>521</v>
      </c>
    </row>
    <row r="18" spans="1:6" x14ac:dyDescent="0.25">
      <c r="A18" s="5" t="s">
        <v>17</v>
      </c>
      <c r="B18" s="5" t="s">
        <v>2</v>
      </c>
      <c r="C18" s="5" t="s">
        <v>17</v>
      </c>
      <c r="D18" s="61">
        <v>70876605</v>
      </c>
      <c r="E18" s="58">
        <v>44886</v>
      </c>
      <c r="F18" s="5" t="s">
        <v>521</v>
      </c>
    </row>
    <row r="19" spans="1:6" x14ac:dyDescent="0.25">
      <c r="A19" s="5" t="s">
        <v>61</v>
      </c>
      <c r="B19" s="5" t="s">
        <v>125</v>
      </c>
      <c r="C19" s="5" t="s">
        <v>61</v>
      </c>
      <c r="D19" s="61">
        <v>44001162</v>
      </c>
      <c r="E19" s="58">
        <v>44907</v>
      </c>
      <c r="F19" s="5" t="s">
        <v>521</v>
      </c>
    </row>
    <row r="20" spans="1:6" x14ac:dyDescent="0.25">
      <c r="A20" s="5" t="s">
        <v>78</v>
      </c>
      <c r="B20" s="5" t="s">
        <v>3</v>
      </c>
      <c r="C20" s="5" t="s">
        <v>78</v>
      </c>
      <c r="D20" s="61">
        <v>10706451</v>
      </c>
      <c r="E20" s="58">
        <v>44943</v>
      </c>
      <c r="F20" s="5" t="s">
        <v>521</v>
      </c>
    </row>
    <row r="21" spans="1:6" x14ac:dyDescent="0.25">
      <c r="A21" s="5" t="s">
        <v>65</v>
      </c>
      <c r="B21" s="5" t="s">
        <v>2</v>
      </c>
      <c r="C21" s="5" t="s">
        <v>65</v>
      </c>
      <c r="D21" s="61">
        <v>47659267</v>
      </c>
      <c r="E21" s="58">
        <v>45019</v>
      </c>
      <c r="F21" s="5" t="s">
        <v>521</v>
      </c>
    </row>
    <row r="22" spans="1:6" x14ac:dyDescent="0.25">
      <c r="A22" s="5" t="s">
        <v>37</v>
      </c>
      <c r="B22" s="5" t="s">
        <v>6</v>
      </c>
      <c r="C22" s="5" t="s">
        <v>37</v>
      </c>
      <c r="D22" s="61">
        <v>70988976</v>
      </c>
      <c r="E22" s="58">
        <v>45112</v>
      </c>
      <c r="F22" s="5" t="s">
        <v>521</v>
      </c>
    </row>
    <row r="23" spans="1:6" x14ac:dyDescent="0.25">
      <c r="A23" s="5" t="s">
        <v>18</v>
      </c>
      <c r="B23" s="5" t="s">
        <v>125</v>
      </c>
      <c r="C23" s="5" t="s">
        <v>18</v>
      </c>
      <c r="D23" s="61">
        <v>76214436</v>
      </c>
      <c r="E23" s="58">
        <v>45132</v>
      </c>
      <c r="F23" s="5" t="s">
        <v>521</v>
      </c>
    </row>
    <row r="24" spans="1:6" x14ac:dyDescent="0.25">
      <c r="A24" s="5" t="s">
        <v>73</v>
      </c>
      <c r="B24" s="5" t="s">
        <v>7</v>
      </c>
      <c r="C24" s="5" t="s">
        <v>73</v>
      </c>
      <c r="D24" s="61">
        <v>40318129</v>
      </c>
      <c r="E24" s="58">
        <v>45141</v>
      </c>
      <c r="F24" s="5" t="s">
        <v>521</v>
      </c>
    </row>
    <row r="25" spans="1:6" x14ac:dyDescent="0.25">
      <c r="A25" s="5" t="s">
        <v>79</v>
      </c>
      <c r="B25" s="5" t="s">
        <v>3</v>
      </c>
      <c r="C25" s="5" t="s">
        <v>79</v>
      </c>
      <c r="D25" s="61">
        <v>71262377</v>
      </c>
      <c r="E25" s="58">
        <v>45145</v>
      </c>
      <c r="F25" s="5" t="s">
        <v>521</v>
      </c>
    </row>
    <row r="26" spans="1:6" x14ac:dyDescent="0.25">
      <c r="A26" s="5" t="s">
        <v>34</v>
      </c>
      <c r="B26" s="5" t="s">
        <v>6</v>
      </c>
      <c r="C26" s="5" t="s">
        <v>34</v>
      </c>
      <c r="D26" s="61">
        <v>76824571</v>
      </c>
      <c r="E26" s="58">
        <v>45173</v>
      </c>
      <c r="F26" s="5" t="s">
        <v>521</v>
      </c>
    </row>
    <row r="27" spans="1:6" x14ac:dyDescent="0.25">
      <c r="A27" s="5" t="s">
        <v>80</v>
      </c>
      <c r="B27" s="5" t="s">
        <v>6</v>
      </c>
      <c r="C27" s="5" t="s">
        <v>80</v>
      </c>
      <c r="D27" s="61">
        <v>45084594</v>
      </c>
      <c r="E27" s="58">
        <v>45281</v>
      </c>
      <c r="F27" s="5" t="s">
        <v>521</v>
      </c>
    </row>
    <row r="28" spans="1:6" x14ac:dyDescent="0.25">
      <c r="A28" s="5" t="s">
        <v>22</v>
      </c>
      <c r="B28" s="5" t="s">
        <v>2</v>
      </c>
      <c r="C28" s="5" t="s">
        <v>22</v>
      </c>
      <c r="D28" s="61">
        <v>70551168</v>
      </c>
      <c r="E28" s="58">
        <v>45295</v>
      </c>
      <c r="F28" s="5" t="s">
        <v>521</v>
      </c>
    </row>
    <row r="29" spans="1:6" x14ac:dyDescent="0.25">
      <c r="A29" s="5" t="s">
        <v>41</v>
      </c>
      <c r="B29" s="5" t="s">
        <v>7</v>
      </c>
      <c r="C29" s="5" t="s">
        <v>41</v>
      </c>
      <c r="D29" s="61">
        <v>46461021</v>
      </c>
      <c r="E29" s="58">
        <v>45302</v>
      </c>
      <c r="F29" s="5" t="s">
        <v>521</v>
      </c>
    </row>
    <row r="30" spans="1:6" x14ac:dyDescent="0.25">
      <c r="A30" s="5" t="s">
        <v>24</v>
      </c>
      <c r="B30" s="5" t="s">
        <v>2</v>
      </c>
      <c r="C30" s="5" t="s">
        <v>24</v>
      </c>
      <c r="D30" s="61">
        <v>43614775</v>
      </c>
      <c r="E30" s="58">
        <v>45334</v>
      </c>
      <c r="F30" s="5" t="s">
        <v>521</v>
      </c>
    </row>
    <row r="31" spans="1:6" x14ac:dyDescent="0.25">
      <c r="A31" s="5" t="s">
        <v>59</v>
      </c>
      <c r="B31" s="5" t="s">
        <v>125</v>
      </c>
      <c r="C31" s="5" t="s">
        <v>59</v>
      </c>
      <c r="D31" s="61">
        <v>60870839</v>
      </c>
      <c r="E31" s="58">
        <v>45344</v>
      </c>
      <c r="F31" s="5" t="s">
        <v>521</v>
      </c>
    </row>
    <row r="32" spans="1:6" x14ac:dyDescent="0.25">
      <c r="A32" s="5" t="s">
        <v>68</v>
      </c>
      <c r="B32" s="5" t="s">
        <v>3</v>
      </c>
      <c r="C32" s="5" t="s">
        <v>68</v>
      </c>
      <c r="D32" s="61">
        <v>73257316</v>
      </c>
      <c r="E32" s="58">
        <v>45363</v>
      </c>
      <c r="F32" s="5" t="s">
        <v>521</v>
      </c>
    </row>
    <row r="33" spans="1:6" x14ac:dyDescent="0.25">
      <c r="A33" s="5" t="s">
        <v>11</v>
      </c>
      <c r="B33" s="5" t="s">
        <v>6</v>
      </c>
      <c r="C33" s="5" t="s">
        <v>11</v>
      </c>
      <c r="D33" s="61">
        <v>45139159</v>
      </c>
      <c r="E33" s="58">
        <v>45369</v>
      </c>
      <c r="F33" s="5" t="s">
        <v>521</v>
      </c>
    </row>
    <row r="34" spans="1:6" x14ac:dyDescent="0.25">
      <c r="A34" s="5" t="s">
        <v>42</v>
      </c>
      <c r="B34" s="5" t="s">
        <v>2</v>
      </c>
      <c r="C34" s="5" t="s">
        <v>42</v>
      </c>
      <c r="D34" s="61">
        <v>73725129</v>
      </c>
      <c r="E34" s="58">
        <v>45398</v>
      </c>
      <c r="F34" s="5" t="s">
        <v>520</v>
      </c>
    </row>
    <row r="35" spans="1:6" x14ac:dyDescent="0.25">
      <c r="A35" s="5" t="s">
        <v>81</v>
      </c>
      <c r="B35" s="5" t="s">
        <v>6</v>
      </c>
      <c r="C35" s="5" t="s">
        <v>81</v>
      </c>
      <c r="D35" s="61">
        <v>72716299</v>
      </c>
      <c r="E35" s="58">
        <v>45511</v>
      </c>
      <c r="F35" s="5" t="s">
        <v>521</v>
      </c>
    </row>
    <row r="36" spans="1:6" x14ac:dyDescent="0.25">
      <c r="A36" s="5" t="s">
        <v>32</v>
      </c>
      <c r="B36" s="5" t="s">
        <v>3</v>
      </c>
      <c r="C36" s="5" t="s">
        <v>32</v>
      </c>
      <c r="D36" s="61">
        <v>48584670</v>
      </c>
      <c r="E36" s="58">
        <v>45526</v>
      </c>
      <c r="F36" s="5" t="s">
        <v>521</v>
      </c>
    </row>
    <row r="37" spans="1:6" x14ac:dyDescent="0.25">
      <c r="A37" s="5" t="s">
        <v>51</v>
      </c>
      <c r="B37" s="5" t="s">
        <v>7</v>
      </c>
      <c r="C37" s="5" t="s">
        <v>51</v>
      </c>
      <c r="D37" s="61">
        <v>76089925</v>
      </c>
      <c r="E37" s="58">
        <v>45678</v>
      </c>
      <c r="F37" s="5" t="s">
        <v>521</v>
      </c>
    </row>
    <row r="38" spans="1:6" x14ac:dyDescent="0.25">
      <c r="A38" s="5" t="s">
        <v>72</v>
      </c>
      <c r="B38" s="5" t="s">
        <v>125</v>
      </c>
      <c r="C38" s="5" t="s">
        <v>72</v>
      </c>
      <c r="D38" s="61">
        <v>47690367</v>
      </c>
      <c r="E38" s="58">
        <v>45691</v>
      </c>
      <c r="F38" s="5" t="s">
        <v>521</v>
      </c>
    </row>
    <row r="39" spans="1:6" x14ac:dyDescent="0.25">
      <c r="A39" s="5" t="s">
        <v>50</v>
      </c>
      <c r="B39" s="5" t="s">
        <v>6</v>
      </c>
      <c r="C39" s="5" t="s">
        <v>50</v>
      </c>
      <c r="D39" s="61">
        <v>72733809</v>
      </c>
      <c r="E39" s="58">
        <v>45789</v>
      </c>
      <c r="F39" s="5" t="s">
        <v>521</v>
      </c>
    </row>
    <row r="40" spans="1:6" x14ac:dyDescent="0.25">
      <c r="A40" s="5" t="s">
        <v>38</v>
      </c>
      <c r="B40" s="5" t="s">
        <v>3</v>
      </c>
      <c r="C40" s="5" t="s">
        <v>38</v>
      </c>
      <c r="D40" s="61">
        <v>47411966</v>
      </c>
      <c r="E40" s="58">
        <v>45800</v>
      </c>
      <c r="F40" s="5" t="s">
        <v>521</v>
      </c>
    </row>
    <row r="41" spans="1:6" x14ac:dyDescent="0.25">
      <c r="A41" s="5" t="s">
        <v>55</v>
      </c>
      <c r="B41" s="5" t="s">
        <v>7</v>
      </c>
      <c r="C41" s="5" t="s">
        <v>55</v>
      </c>
      <c r="D41" s="61">
        <v>45119892</v>
      </c>
      <c r="E41" s="58">
        <v>45813</v>
      </c>
      <c r="F41" s="5" t="s">
        <v>521</v>
      </c>
    </row>
    <row r="42" spans="1:6" x14ac:dyDescent="0.25">
      <c r="A42" s="5" t="s">
        <v>60</v>
      </c>
      <c r="B42" s="5" t="s">
        <v>125</v>
      </c>
      <c r="C42" s="5" t="s">
        <v>60</v>
      </c>
      <c r="D42" s="61">
        <v>72839865</v>
      </c>
      <c r="E42" s="58">
        <v>45854</v>
      </c>
      <c r="F42" s="5" t="s">
        <v>521</v>
      </c>
    </row>
    <row r="43" spans="1:6" x14ac:dyDescent="0.25">
      <c r="A43" s="5" t="s">
        <v>96</v>
      </c>
      <c r="B43" s="5" t="s">
        <v>3</v>
      </c>
      <c r="C43" s="5" t="s">
        <v>96</v>
      </c>
      <c r="D43" s="61">
        <v>46793103</v>
      </c>
      <c r="E43" s="58">
        <v>45882</v>
      </c>
      <c r="F43" s="5" t="s">
        <v>521</v>
      </c>
    </row>
    <row r="44" spans="1:6" x14ac:dyDescent="0.25">
      <c r="A44" s="5" t="s">
        <v>97</v>
      </c>
      <c r="B44" s="5" t="s">
        <v>6</v>
      </c>
      <c r="C44" s="5" t="s">
        <v>97</v>
      </c>
      <c r="D44" s="61">
        <v>74602206</v>
      </c>
      <c r="E44" s="58">
        <v>45884</v>
      </c>
      <c r="F44" s="5" t="s">
        <v>521</v>
      </c>
    </row>
    <row r="45" spans="1:6" x14ac:dyDescent="0.25">
      <c r="A45" s="5" t="s">
        <v>122</v>
      </c>
      <c r="B45" s="5" t="s">
        <v>125</v>
      </c>
      <c r="C45" s="5" t="s">
        <v>122</v>
      </c>
      <c r="D45" s="61">
        <v>76586998</v>
      </c>
      <c r="E45" s="58">
        <v>45971</v>
      </c>
      <c r="F45" s="5" t="s">
        <v>521</v>
      </c>
    </row>
    <row r="46" spans="1:6" x14ac:dyDescent="0.25">
      <c r="A46" s="5" t="s">
        <v>174</v>
      </c>
      <c r="B46" s="5" t="s">
        <v>3</v>
      </c>
      <c r="C46" s="5" t="s">
        <v>174</v>
      </c>
      <c r="D46" s="61">
        <v>46994661</v>
      </c>
      <c r="E46" s="58">
        <v>45992</v>
      </c>
      <c r="F46" s="5" t="s">
        <v>521</v>
      </c>
    </row>
    <row r="47" spans="1:6" x14ac:dyDescent="0.25">
      <c r="A47" s="5" t="s">
        <v>109</v>
      </c>
      <c r="B47" s="5" t="s">
        <v>125</v>
      </c>
      <c r="C47" s="5" t="s">
        <v>109</v>
      </c>
      <c r="D47" s="61">
        <v>74626735</v>
      </c>
      <c r="E47" s="58">
        <v>46024</v>
      </c>
      <c r="F47" s="5" t="s">
        <v>521</v>
      </c>
    </row>
    <row r="48" spans="1:6" x14ac:dyDescent="0.25">
      <c r="A48" s="5" t="s">
        <v>207</v>
      </c>
      <c r="B48" s="5" t="s">
        <v>125</v>
      </c>
      <c r="C48" s="5" t="s">
        <v>207</v>
      </c>
      <c r="D48" s="61">
        <v>47497410</v>
      </c>
      <c r="E48" s="58">
        <v>46024</v>
      </c>
      <c r="F48" s="5" t="s">
        <v>521</v>
      </c>
    </row>
    <row r="49" spans="1:6" x14ac:dyDescent="0.25">
      <c r="A49" s="5" t="s">
        <v>105</v>
      </c>
      <c r="B49" s="5" t="s">
        <v>6</v>
      </c>
      <c r="C49" s="5" t="s">
        <v>105</v>
      </c>
      <c r="D49" s="61">
        <v>48344037</v>
      </c>
      <c r="E49" s="58">
        <v>46027</v>
      </c>
      <c r="F49" s="5" t="s">
        <v>521</v>
      </c>
    </row>
    <row r="50" spans="1:6" x14ac:dyDescent="0.25">
      <c r="A50" s="5" t="s">
        <v>208</v>
      </c>
      <c r="B50" s="5" t="s">
        <v>2</v>
      </c>
      <c r="C50" s="5" t="s">
        <v>208</v>
      </c>
      <c r="D50" s="61">
        <v>75069320</v>
      </c>
      <c r="E50" s="58">
        <v>46029</v>
      </c>
      <c r="F50" s="5" t="s">
        <v>521</v>
      </c>
    </row>
    <row r="51" spans="1:6" x14ac:dyDescent="0.25">
      <c r="A51" s="5" t="s">
        <v>395</v>
      </c>
      <c r="B51" s="5" t="s">
        <v>2</v>
      </c>
      <c r="C51" s="5" t="s">
        <v>395</v>
      </c>
      <c r="D51" s="61">
        <v>44883074</v>
      </c>
      <c r="E51" s="58">
        <v>46038</v>
      </c>
      <c r="F51" s="5" t="s">
        <v>521</v>
      </c>
    </row>
    <row r="52" spans="1:6" x14ac:dyDescent="0.25">
      <c r="A52" s="5" t="s">
        <v>512</v>
      </c>
      <c r="B52" s="5" t="s">
        <v>3</v>
      </c>
      <c r="C52" s="5" t="s">
        <v>512</v>
      </c>
      <c r="D52" s="61">
        <v>75026229</v>
      </c>
      <c r="E52" s="58">
        <v>46052</v>
      </c>
      <c r="F52" s="5" t="s">
        <v>521</v>
      </c>
    </row>
    <row r="53" spans="1:6" x14ac:dyDescent="0.25">
      <c r="A53" s="5" t="s">
        <v>514</v>
      </c>
      <c r="B53" s="5" t="s">
        <v>7</v>
      </c>
      <c r="C53" s="5" t="s">
        <v>514</v>
      </c>
      <c r="D53" s="61">
        <v>62792399</v>
      </c>
      <c r="E53" s="58">
        <v>46052</v>
      </c>
      <c r="F53" s="5" t="s">
        <v>521</v>
      </c>
    </row>
    <row r="54" spans="1:6" x14ac:dyDescent="0.25">
      <c r="A54" s="5" t="s">
        <v>85</v>
      </c>
      <c r="B54" s="5" t="s">
        <v>125</v>
      </c>
      <c r="C54" s="5" t="s">
        <v>85</v>
      </c>
      <c r="D54" s="61">
        <v>70477743</v>
      </c>
      <c r="E54" s="58">
        <v>46055</v>
      </c>
      <c r="F54" s="5" t="s">
        <v>521</v>
      </c>
    </row>
    <row r="55" spans="1:6" x14ac:dyDescent="0.25">
      <c r="A55" s="5" t="s">
        <v>571</v>
      </c>
      <c r="B55" s="5" t="s">
        <v>7</v>
      </c>
      <c r="C55" s="5" t="s">
        <v>571</v>
      </c>
      <c r="D55" s="61">
        <v>73233992</v>
      </c>
      <c r="E55" s="58">
        <v>46065</v>
      </c>
      <c r="F55" s="5" t="s">
        <v>521</v>
      </c>
    </row>
    <row r="56" spans="1:6" x14ac:dyDescent="0.25">
      <c r="A56" s="5" t="s">
        <v>579</v>
      </c>
      <c r="B56" s="5" t="s">
        <v>7</v>
      </c>
      <c r="C56" s="5" t="s">
        <v>579</v>
      </c>
      <c r="D56" s="61">
        <v>10330959</v>
      </c>
      <c r="E56" s="58">
        <v>46073</v>
      </c>
      <c r="F56" s="5" t="s">
        <v>521</v>
      </c>
    </row>
    <row r="57" spans="1:6" x14ac:dyDescent="0.25">
      <c r="A57" s="5" t="s">
        <v>585</v>
      </c>
      <c r="B57" s="5" t="s">
        <v>7</v>
      </c>
      <c r="C57" s="5" t="s">
        <v>585</v>
      </c>
      <c r="D57" s="61">
        <v>78564842</v>
      </c>
      <c r="E57" s="58">
        <v>46078</v>
      </c>
      <c r="F57" s="5" t="s">
        <v>521</v>
      </c>
    </row>
    <row r="58" spans="1:6" x14ac:dyDescent="0.25">
      <c r="A58" s="5" t="s">
        <v>586</v>
      </c>
      <c r="B58" s="5" t="s">
        <v>2</v>
      </c>
      <c r="C58" s="5" t="s">
        <v>586</v>
      </c>
      <c r="D58" s="61">
        <v>43184866</v>
      </c>
      <c r="E58" s="58">
        <v>46083</v>
      </c>
      <c r="F58" s="5" t="s">
        <v>521</v>
      </c>
    </row>
    <row r="59" spans="1:6" x14ac:dyDescent="0.25">
      <c r="A59" s="5" t="s">
        <v>587</v>
      </c>
      <c r="B59" s="5" t="s">
        <v>7</v>
      </c>
      <c r="C59" s="5" t="s">
        <v>587</v>
      </c>
      <c r="D59" s="61">
        <v>10762187</v>
      </c>
      <c r="E59" s="58">
        <v>46083</v>
      </c>
      <c r="F59" s="5" t="s">
        <v>521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E189" sqref="E189:E193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13" t="s">
        <v>3</v>
      </c>
      <c r="E184" s="9">
        <v>543573</v>
      </c>
      <c r="F184" s="9">
        <v>50000</v>
      </c>
      <c r="G184" s="40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13" t="s">
        <v>125</v>
      </c>
      <c r="E185" s="9">
        <v>543573</v>
      </c>
      <c r="F185" s="9">
        <v>50000</v>
      </c>
      <c r="G185" s="40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13" t="s">
        <v>2</v>
      </c>
      <c r="E186" s="9">
        <v>194963</v>
      </c>
      <c r="F186" s="9">
        <v>28000</v>
      </c>
      <c r="G186" s="40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13" t="s">
        <v>6</v>
      </c>
      <c r="E187" s="9">
        <v>540042</v>
      </c>
      <c r="F187" s="9">
        <v>26500</v>
      </c>
      <c r="G187" s="40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29" t="s">
        <v>124</v>
      </c>
      <c r="E188" s="30">
        <v>294869</v>
      </c>
      <c r="F188" s="30">
        <v>23500</v>
      </c>
      <c r="G188" s="54" t="s">
        <v>175</v>
      </c>
    </row>
    <row r="189" spans="1:12" x14ac:dyDescent="0.25">
      <c r="A189" s="52" t="str">
        <f>_xlfn.CONCAT(TablaMeta[[#This Row],[AÑO]],TablaMeta[[#This Row],[mes]],TablaMeta[[#This Row],[Equipo]])</f>
        <v>2026MARZOSANDY</v>
      </c>
      <c r="B189" s="49" t="s">
        <v>209</v>
      </c>
      <c r="C189" s="27" t="s">
        <v>141</v>
      </c>
      <c r="D189" s="82" t="s">
        <v>3</v>
      </c>
      <c r="E189" s="80">
        <v>509500</v>
      </c>
      <c r="F189" s="80">
        <v>32500</v>
      </c>
      <c r="G189" s="77" t="s">
        <v>210</v>
      </c>
    </row>
    <row r="190" spans="1:12" x14ac:dyDescent="0.25">
      <c r="A190" s="52" t="str">
        <f>_xlfn.CONCAT(TablaMeta[[#This Row],[AÑO]],TablaMeta[[#This Row],[mes]],TablaMeta[[#This Row],[Equipo]])</f>
        <v>2026MARZOJOHAN</v>
      </c>
      <c r="B190" s="49" t="s">
        <v>209</v>
      </c>
      <c r="C190" s="27" t="s">
        <v>141</v>
      </c>
      <c r="D190" s="82" t="s">
        <v>125</v>
      </c>
      <c r="E190" s="80">
        <v>616000</v>
      </c>
      <c r="F190" s="80">
        <v>56000</v>
      </c>
      <c r="G190" s="77" t="s">
        <v>159</v>
      </c>
    </row>
    <row r="191" spans="1:12" x14ac:dyDescent="0.25">
      <c r="A191" s="52" t="str">
        <f>_xlfn.CONCAT(TablaMeta[[#This Row],[AÑO]],TablaMeta[[#This Row],[mes]],TablaMeta[[#This Row],[Equipo]])</f>
        <v>2026MARZOJORGE</v>
      </c>
      <c r="B191" s="49" t="s">
        <v>209</v>
      </c>
      <c r="C191" s="27" t="s">
        <v>141</v>
      </c>
      <c r="D191" s="82" t="s">
        <v>2</v>
      </c>
      <c r="E191" s="80">
        <v>616000</v>
      </c>
      <c r="F191" s="80">
        <v>56000</v>
      </c>
      <c r="G191" s="77" t="s">
        <v>159</v>
      </c>
    </row>
    <row r="192" spans="1:12" x14ac:dyDescent="0.25">
      <c r="A192" s="52" t="str">
        <f>_xlfn.CONCAT(TablaMeta[[#This Row],[AÑO]],TablaMeta[[#This Row],[mes]],TablaMeta[[#This Row],[Equipo]])</f>
        <v>2026MARZOKENNETH</v>
      </c>
      <c r="B192" s="49" t="s">
        <v>209</v>
      </c>
      <c r="C192" s="27" t="s">
        <v>141</v>
      </c>
      <c r="D192" s="82" t="s">
        <v>6</v>
      </c>
      <c r="E192" s="80">
        <v>471500</v>
      </c>
      <c r="F192" s="80">
        <v>30500</v>
      </c>
      <c r="G192" s="77" t="s">
        <v>210</v>
      </c>
    </row>
    <row r="193" spans="1:7" x14ac:dyDescent="0.25">
      <c r="A193" s="53" t="str">
        <f>_xlfn.CONCAT(TablaMeta[[#This Row],[AÑO]],TablaMeta[[#This Row],[mes]],TablaMeta[[#This Row],[Equipo]])</f>
        <v>2026MARZOLEONOR</v>
      </c>
      <c r="B193" s="50" t="s">
        <v>209</v>
      </c>
      <c r="C193" s="27" t="s">
        <v>141</v>
      </c>
      <c r="D193" s="83" t="s">
        <v>7</v>
      </c>
      <c r="E193" s="81">
        <v>271000</v>
      </c>
      <c r="F193" s="81">
        <v>16000</v>
      </c>
      <c r="G193" s="78" t="s">
        <v>175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2026-03-04T19:51:21Z</dcterms:modified>
</cp:coreProperties>
</file>