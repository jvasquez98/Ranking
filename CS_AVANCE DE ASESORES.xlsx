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8461ED8E-ED2A-47FF-9F3E-772031BABB35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7" l="1" a="1"/>
  <c r="B57" i="17"/>
  <c r="A57" i="17" s="1" a="1"/>
  <c r="A57" i="17" s="1"/>
  <c r="H57" i="17" a="1"/>
  <c r="H57" i="17" s="1"/>
  <c r="I57" i="17" a="1"/>
  <c r="I57" i="17" s="1"/>
  <c r="J57" i="17" a="1"/>
  <c r="J57" i="17" s="1"/>
  <c r="K57" i="17" a="1"/>
  <c r="K57" i="17" s="1"/>
  <c r="AN56" i="17" a="1"/>
  <c r="AN56" i="17" s="1"/>
  <c r="B56" i="17" a="1"/>
  <c r="B56" i="17" s="1"/>
  <c r="B7" i="17" a="1"/>
  <c r="B7" i="17" s="1"/>
  <c r="A6" i="30"/>
  <c r="B42" i="17" a="1"/>
  <c r="B42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K51" i="17" s="1" a="1"/>
  <c r="K51" i="17" s="1"/>
  <c r="B52" i="17" a="1"/>
  <c r="B52" i="17" s="1"/>
  <c r="B53" i="17" a="1"/>
  <c r="B53" i="17" s="1"/>
  <c r="B54" i="17" a="1"/>
  <c r="B54" i="17" s="1"/>
  <c r="B55" i="17" a="1"/>
  <c r="B55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E57" i="17" l="1"/>
  <c r="C57" i="17" a="1"/>
  <c r="C57" i="17" s="1"/>
  <c r="D57" i="17" s="1"/>
  <c r="P56" i="17"/>
  <c r="K56" i="17" a="1"/>
  <c r="K56" i="17" s="1"/>
  <c r="H56" i="17" a="1"/>
  <c r="H56" i="17" s="1"/>
  <c r="I56" i="17" a="1"/>
  <c r="I56" i="17" s="1"/>
  <c r="J56" i="17" a="1"/>
  <c r="J56" i="17" s="1"/>
  <c r="A56" i="17" a="1"/>
  <c r="A56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2" i="17" a="1"/>
  <c r="J42" i="17" s="1"/>
  <c r="A42" i="17" a="1"/>
  <c r="A42" i="17" s="1"/>
  <c r="K42" i="17" a="1"/>
  <c r="K42" i="17" s="1"/>
  <c r="I42" i="17" a="1"/>
  <c r="I42" i="17" s="1"/>
  <c r="H42" i="17" a="1"/>
  <c r="H42" i="17" s="1"/>
  <c r="P55" i="17"/>
  <c r="K55" i="17" a="1"/>
  <c r="K55" i="17" s="1"/>
  <c r="J55" i="17" a="1"/>
  <c r="J55" i="17" s="1"/>
  <c r="I55" i="17" a="1"/>
  <c r="I55" i="17" s="1"/>
  <c r="H55" i="17" a="1"/>
  <c r="H55" i="17" s="1"/>
  <c r="A55" i="17" a="1"/>
  <c r="A55" i="17" s="1"/>
  <c r="E55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4" i="17" a="1"/>
  <c r="A54" i="17" s="1"/>
  <c r="J54" i="17" a="1"/>
  <c r="J54" i="17" s="1"/>
  <c r="K54" i="17" a="1"/>
  <c r="K54" i="17" s="1"/>
  <c r="H54" i="17" a="1"/>
  <c r="H54" i="17" s="1"/>
  <c r="I54" i="17" a="1"/>
  <c r="I54" i="17" s="1"/>
  <c r="A53" i="17" a="1"/>
  <c r="A53" i="17" s="1"/>
  <c r="J53" i="17" a="1"/>
  <c r="J53" i="17" s="1"/>
  <c r="K53" i="17" a="1"/>
  <c r="K53" i="17" s="1"/>
  <c r="H53" i="17" a="1"/>
  <c r="H53" i="17" s="1"/>
  <c r="I53" i="17" a="1"/>
  <c r="I53" i="17" s="1"/>
  <c r="K52" i="17" a="1"/>
  <c r="K52" i="17" s="1"/>
  <c r="H52" i="17" a="1"/>
  <c r="H52" i="17" s="1"/>
  <c r="J52" i="17" a="1"/>
  <c r="J52" i="17" s="1"/>
  <c r="I52" i="17" a="1"/>
  <c r="I52" i="17" s="1"/>
  <c r="A52" i="17" a="1"/>
  <c r="A52" i="17" s="1"/>
  <c r="A51" i="17" a="1"/>
  <c r="A51" i="17" s="1"/>
  <c r="J51" i="17" a="1"/>
  <c r="J51" i="17" s="1"/>
  <c r="I51" i="17" a="1"/>
  <c r="I51" i="17" s="1"/>
  <c r="H51" i="17" a="1"/>
  <c r="H51" i="17" s="1"/>
  <c r="K50" i="17" a="1"/>
  <c r="K50" i="17" s="1"/>
  <c r="A50" i="17" a="1"/>
  <c r="A50" i="17" s="1"/>
  <c r="H50" i="17" a="1"/>
  <c r="H50" i="17" s="1"/>
  <c r="I50" i="17" a="1"/>
  <c r="I50" i="17" s="1"/>
  <c r="J50" i="17" a="1"/>
  <c r="J50" i="17" s="1"/>
  <c r="E56" i="17" l="1"/>
  <c r="C56" i="17" a="1"/>
  <c r="C56" i="17" s="1"/>
  <c r="D56" i="17" s="1"/>
  <c r="E7" i="17"/>
  <c r="C7" i="17" a="1"/>
  <c r="C7" i="17" s="1"/>
  <c r="D7" i="17" s="1"/>
  <c r="E42" i="17"/>
  <c r="C42" i="17" a="1"/>
  <c r="C42" i="17" s="1"/>
  <c r="D42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4" i="17"/>
  <c r="E53" i="17"/>
  <c r="E52" i="17"/>
  <c r="E51" i="17"/>
  <c r="E50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9" i="17" l="1" a="1"/>
  <c r="A49" i="17" s="1"/>
  <c r="E49" i="17" s="1"/>
  <c r="H49" i="17" a="1"/>
  <c r="H49" i="17" s="1"/>
  <c r="I49" i="17" a="1"/>
  <c r="I49" i="17" s="1"/>
  <c r="J49" i="17" a="1"/>
  <c r="J49" i="17" s="1"/>
  <c r="K49" i="17" a="1"/>
  <c r="K49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1" i="17" a="1"/>
  <c r="K41" i="17" s="1"/>
  <c r="J41" i="17" a="1"/>
  <c r="J41" i="17" s="1"/>
  <c r="H41" i="17" a="1"/>
  <c r="H41" i="17" s="1"/>
  <c r="I41" i="17" a="1"/>
  <c r="I41" i="17" s="1"/>
  <c r="K40" i="17" a="1"/>
  <c r="K40" i="17" s="1"/>
  <c r="H40" i="17" a="1"/>
  <c r="H40" i="17" s="1"/>
  <c r="I40" i="17" a="1"/>
  <c r="I40" i="17" s="1"/>
  <c r="J40" i="17" a="1"/>
  <c r="J40" i="17" s="1"/>
  <c r="J37" i="17" a="1"/>
  <c r="J37" i="17" s="1"/>
  <c r="I37" i="17" a="1"/>
  <c r="I37" i="17" s="1"/>
  <c r="K37" i="17" a="1"/>
  <c r="K37" i="17" s="1"/>
  <c r="H37" i="17" a="1"/>
  <c r="H37" i="17" s="1"/>
  <c r="K36" i="17" a="1"/>
  <c r="K36" i="17" s="1"/>
  <c r="J36" i="17" a="1"/>
  <c r="J36" i="17" s="1"/>
  <c r="H36" i="17" a="1"/>
  <c r="H36" i="17" s="1"/>
  <c r="I36" i="17" a="1"/>
  <c r="I36" i="17" s="1"/>
  <c r="H35" i="17" a="1"/>
  <c r="H35" i="17" s="1"/>
  <c r="I35" i="17" a="1"/>
  <c r="I35" i="17" s="1"/>
  <c r="J35" i="17" a="1"/>
  <c r="J35" i="17" s="1"/>
  <c r="K35" i="17" a="1"/>
  <c r="K35" i="17" s="1"/>
  <c r="P34" i="17"/>
  <c r="P38" i="17"/>
  <c r="P37" i="17"/>
  <c r="P39" i="17"/>
  <c r="P40" i="17"/>
  <c r="P35" i="17"/>
  <c r="P41" i="17"/>
  <c r="P36" i="17"/>
  <c r="H39" i="17" a="1"/>
  <c r="H39" i="17" s="1"/>
  <c r="I39" i="17" a="1"/>
  <c r="I39" i="17" s="1"/>
  <c r="J39" i="17" a="1"/>
  <c r="J39" i="17" s="1"/>
  <c r="K39" i="17" a="1"/>
  <c r="K39" i="17" s="1"/>
  <c r="H38" i="17" a="1"/>
  <c r="H38" i="17" s="1"/>
  <c r="I38" i="17" a="1"/>
  <c r="I38" i="17" s="1"/>
  <c r="J38" i="17" a="1"/>
  <c r="J38" i="17" s="1"/>
  <c r="K38" i="17" a="1"/>
  <c r="K38" i="17" s="1"/>
  <c r="P52" i="17"/>
  <c r="P51" i="17"/>
  <c r="P50" i="17"/>
  <c r="P49" i="17"/>
  <c r="A48" i="17" a="1"/>
  <c r="A48" i="17" s="1"/>
  <c r="J48" i="17" a="1"/>
  <c r="J48" i="17" s="1"/>
  <c r="H48" i="17" a="1"/>
  <c r="H48" i="17" s="1"/>
  <c r="I48" i="17" a="1"/>
  <c r="I48" i="17" s="1"/>
  <c r="K48" i="17" a="1"/>
  <c r="K48" i="17" s="1"/>
  <c r="H47" i="17" a="1"/>
  <c r="H47" i="17" s="1"/>
  <c r="P48" i="17"/>
  <c r="K47" i="17" a="1"/>
  <c r="K47" i="17" s="1"/>
  <c r="J47" i="17" a="1"/>
  <c r="J47" i="17" s="1"/>
  <c r="A47" i="17" a="1"/>
  <c r="A47" i="17" s="1"/>
  <c r="I47" i="17" a="1"/>
  <c r="I47" i="17" s="1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P47" i="17"/>
  <c r="A45" i="17" a="1"/>
  <c r="A45" i="17" s="1"/>
  <c r="J45" i="17" a="1"/>
  <c r="J45" i="17" s="1"/>
  <c r="H45" i="17" a="1"/>
  <c r="H45" i="17" s="1"/>
  <c r="I45" i="17" a="1"/>
  <c r="I45" i="17" s="1"/>
  <c r="K45" i="17" a="1"/>
  <c r="K45" i="17" s="1"/>
  <c r="P46" i="17"/>
  <c r="P45" i="17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A43" i="17" a="1"/>
  <c r="A43" i="17" s="1"/>
  <c r="E43" i="17" s="1"/>
  <c r="H43" i="17" a="1"/>
  <c r="H43" i="17" s="1"/>
  <c r="I43" i="17" a="1"/>
  <c r="I43" i="17" s="1"/>
  <c r="P44" i="17"/>
  <c r="K43" i="17" a="1"/>
  <c r="K43" i="17" s="1"/>
  <c r="J43" i="17" a="1"/>
  <c r="J43" i="17" s="1"/>
  <c r="P43" i="17"/>
  <c r="A41" i="17" a="1"/>
  <c r="A41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8" i="17" a="1"/>
  <c r="A38" i="17" s="1"/>
  <c r="H31" i="17" a="1"/>
  <c r="H31" i="17" s="1"/>
  <c r="K31" i="17" a="1"/>
  <c r="K31" i="17" s="1"/>
  <c r="A31" i="17" a="1"/>
  <c r="A31" i="17" s="1"/>
  <c r="I31" i="17" a="1"/>
  <c r="I31" i="17" s="1"/>
  <c r="J31" i="17" a="1"/>
  <c r="J31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7" i="17" a="1"/>
  <c r="A37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30" i="17" a="1"/>
  <c r="K30" i="17" s="1"/>
  <c r="J30" i="17" a="1"/>
  <c r="J30" i="17" s="1"/>
  <c r="H30" i="17" a="1"/>
  <c r="H30" i="17" s="1"/>
  <c r="A30" i="17" a="1"/>
  <c r="A30" i="17" s="1"/>
  <c r="I30" i="17" a="1"/>
  <c r="I30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5" i="17" a="1"/>
  <c r="A35" i="17" s="1"/>
  <c r="K29" i="17" a="1"/>
  <c r="K29" i="17" s="1"/>
  <c r="H29" i="17" a="1"/>
  <c r="H29" i="17" s="1"/>
  <c r="J29" i="17" a="1"/>
  <c r="J29" i="17" s="1"/>
  <c r="A29" i="17" a="1"/>
  <c r="A29" i="17" s="1"/>
  <c r="I29" i="17" a="1"/>
  <c r="I29" i="17" s="1"/>
  <c r="H28" i="17" a="1"/>
  <c r="H28" i="17" s="1"/>
  <c r="I28" i="17" a="1"/>
  <c r="I28" i="17" s="1"/>
  <c r="K28" i="17" a="1"/>
  <c r="K28" i="17" s="1"/>
  <c r="J28" i="17" a="1"/>
  <c r="J28" i="17" s="1"/>
  <c r="A28" i="17" a="1"/>
  <c r="A28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0" i="17" a="1"/>
  <c r="A40" i="17" s="1"/>
  <c r="A34" i="17" a="1"/>
  <c r="A34" i="17" s="1"/>
  <c r="J34" i="17" a="1"/>
  <c r="J34" i="17" s="1"/>
  <c r="K34" i="17" a="1"/>
  <c r="K34" i="17" s="1"/>
  <c r="I34" i="17" a="1"/>
  <c r="I34" i="17" s="1"/>
  <c r="H34" i="17" a="1"/>
  <c r="H34" i="17" s="1"/>
  <c r="A25" i="17" a="1"/>
  <c r="A25" i="17" s="1"/>
  <c r="J25" i="17" a="1"/>
  <c r="J25" i="17" s="1"/>
  <c r="I25" i="17" a="1"/>
  <c r="I25" i="17" s="1"/>
  <c r="K25" i="17" a="1"/>
  <c r="K25" i="17" s="1"/>
  <c r="H25" i="17" a="1"/>
  <c r="H25" i="17" s="1"/>
  <c r="A39" i="17" a="1"/>
  <c r="A39" i="17" s="1"/>
  <c r="A33" i="17" a="1"/>
  <c r="A33" i="17" s="1"/>
  <c r="K33" i="17" a="1"/>
  <c r="K33" i="17" s="1"/>
  <c r="J33" i="17" a="1"/>
  <c r="J33" i="17" s="1"/>
  <c r="I33" i="17" a="1"/>
  <c r="I33" i="17" s="1"/>
  <c r="H33" i="17" a="1"/>
  <c r="H33" i="17" s="1"/>
  <c r="A24" i="17" a="1"/>
  <c r="A24" i="17" s="1"/>
  <c r="K24" i="17" a="1"/>
  <c r="K24" i="17" s="1"/>
  <c r="I24" i="17" a="1"/>
  <c r="I24" i="17" s="1"/>
  <c r="H24" i="17" a="1"/>
  <c r="H24" i="17" s="1"/>
  <c r="J24" i="17" a="1"/>
  <c r="J24" i="17" s="1"/>
  <c r="K32" i="17" a="1"/>
  <c r="K32" i="17" s="1"/>
  <c r="A32" i="17" a="1"/>
  <c r="A32" i="17" s="1"/>
  <c r="H32" i="17" a="1"/>
  <c r="H32" i="17" s="1"/>
  <c r="I32" i="17" a="1"/>
  <c r="I32" i="17" s="1"/>
  <c r="J32" i="17" a="1"/>
  <c r="J32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8" i="17" l="1"/>
  <c r="E47" i="17"/>
  <c r="E45" i="17"/>
  <c r="E18" i="17"/>
  <c r="E41" i="17"/>
  <c r="E17" i="17"/>
  <c r="E19" i="17"/>
  <c r="E37" i="17"/>
  <c r="E38" i="17"/>
  <c r="O56" i="17" s="1"/>
  <c r="E40" i="17"/>
  <c r="E39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5" i="17" l="1" a="1"/>
  <c r="C55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1" i="17" a="1"/>
  <c r="C41" i="17" s="1"/>
  <c r="D41" i="17" s="1"/>
  <c r="C45" i="17" a="1"/>
  <c r="C45" i="17" s="1"/>
  <c r="D45" i="17" s="1"/>
  <c r="C47" i="17" a="1"/>
  <c r="C47" i="17" s="1"/>
  <c r="D47" i="17" s="1"/>
  <c r="C46" i="17" a="1"/>
  <c r="C46" i="17" s="1"/>
  <c r="D46" i="17" s="1"/>
  <c r="C48" i="17" a="1"/>
  <c r="C48" i="17" s="1"/>
  <c r="D48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1" i="17" a="1"/>
  <c r="C51" i="17" s="1"/>
  <c r="D51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4" i="17" a="1"/>
  <c r="C54" i="17" s="1"/>
  <c r="D54" i="17" s="1"/>
  <c r="C53" i="17" a="1"/>
  <c r="C53" i="17" s="1"/>
  <c r="D53" i="17" s="1"/>
  <c r="C50" i="17" a="1"/>
  <c r="C50" i="17" s="1"/>
  <c r="D50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2" i="17" a="1"/>
  <c r="C52" i="17" s="1"/>
  <c r="D52" i="17" s="1"/>
  <c r="C51" i="36" a="1"/>
  <c r="C51" i="36" s="1"/>
  <c r="C48" i="36" a="1"/>
  <c r="C48" i="36" s="1"/>
  <c r="C49" i="17" a="1"/>
  <c r="C49" i="17" s="1"/>
  <c r="D49" i="17" s="1"/>
  <c r="C35" i="17" a="1"/>
  <c r="C35" i="17" s="1"/>
  <c r="C24" i="17" a="1"/>
  <c r="C24" i="17" s="1"/>
  <c r="C25" i="17" a="1"/>
  <c r="C25" i="17" s="1"/>
  <c r="C12" i="17" a="1"/>
  <c r="C12" i="17" s="1"/>
  <c r="C31" i="17" a="1"/>
  <c r="C31" i="17" s="1"/>
  <c r="C5" i="17" a="1"/>
  <c r="C5" i="17" s="1"/>
  <c r="C4" i="17" a="1"/>
  <c r="C4" i="17" s="1"/>
  <c r="C23" i="17" a="1"/>
  <c r="C23" i="17" s="1"/>
  <c r="C19" i="17" a="1"/>
  <c r="C19" i="17" s="1"/>
  <c r="C3" i="17" a="1"/>
  <c r="C3" i="17" s="1"/>
  <c r="C10" i="17" a="1"/>
  <c r="C10" i="17" s="1"/>
  <c r="C30" i="17" a="1"/>
  <c r="C30" i="17" s="1"/>
  <c r="C11" i="17" a="1"/>
  <c r="C11" i="17" s="1"/>
  <c r="C37" i="17" a="1"/>
  <c r="C37" i="17" s="1"/>
  <c r="D37" i="17" s="1"/>
  <c r="C43" i="17" a="1"/>
  <c r="C43" i="17" s="1"/>
  <c r="D43" i="17" s="1"/>
  <c r="C8" i="17" a="1"/>
  <c r="C8" i="17" s="1"/>
  <c r="C13" i="17" a="1"/>
  <c r="C13" i="17" s="1"/>
  <c r="C18" i="17" a="1"/>
  <c r="C18" i="17" s="1"/>
  <c r="C34" i="17" a="1"/>
  <c r="C34" i="17" s="1"/>
  <c r="C28" i="17" a="1"/>
  <c r="C28" i="17" s="1"/>
  <c r="C14" i="17" a="1"/>
  <c r="C14" i="17" s="1"/>
  <c r="C26" i="17" a="1"/>
  <c r="C26" i="17" s="1"/>
  <c r="C40" i="17" a="1"/>
  <c r="C40" i="17" s="1"/>
  <c r="D40" i="17" s="1"/>
  <c r="C39" i="17" a="1"/>
  <c r="C39" i="17" s="1"/>
  <c r="C17" i="17" a="1"/>
  <c r="C17" i="17" s="1"/>
  <c r="D17" i="17" s="1"/>
  <c r="C32" i="17" a="1"/>
  <c r="C32" i="17" s="1"/>
  <c r="C20" i="17" a="1"/>
  <c r="C20" i="17" s="1"/>
  <c r="C29" i="17" a="1"/>
  <c r="C29" i="17" s="1"/>
  <c r="C27" i="17" a="1"/>
  <c r="C27" i="17" s="1"/>
  <c r="C36" i="17" a="1"/>
  <c r="C36" i="17" s="1"/>
  <c r="D36" i="17" s="1"/>
  <c r="C21" i="17" a="1"/>
  <c r="C21" i="17" s="1"/>
  <c r="C9" i="17" a="1"/>
  <c r="C9" i="17" s="1"/>
  <c r="C15" i="17" a="1"/>
  <c r="C15" i="17" s="1"/>
  <c r="C16" i="17" a="1"/>
  <c r="C16" i="17" s="1"/>
  <c r="C33" i="17" a="1"/>
  <c r="C33" i="17" s="1"/>
  <c r="C22" i="17" a="1"/>
  <c r="C22" i="17" s="1"/>
  <c r="AP11" i="17"/>
  <c r="AP12" i="17"/>
  <c r="AP13" i="17"/>
  <c r="AP9" i="17"/>
  <c r="AP10" i="17"/>
  <c r="C38" i="17" a="1"/>
  <c r="C38" i="17" s="1"/>
  <c r="Q56" i="17" s="1"/>
  <c r="M56" i="17" s="1"/>
  <c r="N56" i="17" s="1" a="1"/>
  <c r="N56" i="17" s="1"/>
  <c r="C6" i="17" a="1"/>
  <c r="C6" i="17" s="1"/>
  <c r="C44" i="17" a="1"/>
  <c r="C44" i="17" s="1"/>
  <c r="D44" i="17" s="1"/>
  <c r="E36" i="17"/>
  <c r="E35" i="17"/>
  <c r="O55" i="17" s="1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4" i="17"/>
  <c r="E8" i="17"/>
  <c r="E33" i="17"/>
  <c r="E32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5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9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D18" i="17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8" i="17"/>
  <c r="Q47" i="17"/>
  <c r="M47" i="17" s="1"/>
  <c r="N47" i="17" s="1" a="1"/>
  <c r="N47" i="17" s="1"/>
  <c r="Q45" i="17"/>
  <c r="M45" i="17" s="1"/>
  <c r="N45" i="17" s="1" a="1"/>
  <c r="N45" i="17" s="1"/>
  <c r="D39" i="17"/>
  <c r="D35" i="17"/>
  <c r="Q43" i="17"/>
  <c r="M43" i="17" s="1"/>
  <c r="N43" i="17" s="1" a="1"/>
  <c r="N43" i="17" s="1"/>
  <c r="E31" i="17"/>
  <c r="D31" i="17"/>
  <c r="E16" i="17"/>
  <c r="D16" i="17"/>
  <c r="E26" i="17"/>
  <c r="O49" i="17" s="1"/>
  <c r="D26" i="17"/>
  <c r="E21" i="17"/>
  <c r="D21" i="17"/>
  <c r="E30" i="17"/>
  <c r="D30" i="17"/>
  <c r="E28" i="17"/>
  <c r="D28" i="17"/>
  <c r="E20" i="17"/>
  <c r="D20" i="17"/>
  <c r="E27" i="17"/>
  <c r="D27" i="17"/>
  <c r="E23" i="17"/>
  <c r="E22" i="17"/>
  <c r="D22" i="17"/>
  <c r="E29" i="17"/>
  <c r="D29" i="17"/>
  <c r="E14" i="17"/>
  <c r="D14" i="17"/>
  <c r="E24" i="17"/>
  <c r="D24" i="17"/>
  <c r="E15" i="17"/>
  <c r="D15" i="17"/>
  <c r="E11" i="17"/>
  <c r="D11" i="17"/>
  <c r="E13" i="17"/>
  <c r="D13" i="17"/>
  <c r="E12" i="17"/>
  <c r="D12" i="17"/>
  <c r="E25" i="17"/>
  <c r="D25" i="17"/>
  <c r="D8" i="17"/>
  <c r="D10" i="17"/>
  <c r="D9" i="17"/>
  <c r="D3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38" i="17" l="1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3" i="17"/>
  <c r="D32" i="17"/>
  <c r="D33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<sst xmlns="http://schemas.openxmlformats.org/spreadsheetml/2006/main" count="16156" uniqueCount="638">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</sst>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DATA_MARZO_2026[[#This Row],[RECUPERO]]/DATA_MARZO_2026[[#This Row],[META]]</calculatedColumnFormula>
    </tableColumn>
    <tableColumn id="2" xr3:uid="{6F4F1AB6-BBA7-498F-8826-77193C5F7DE1}" name="CLASIFICACIÓN" dataDxfId="1354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IFERROR(VLOOKUP(DATA_MARZO_2026[[#This Row],[ASER_]],$B:$G,4,0),"")</calculatedColumnFormula>
    </tableColumn>
    <tableColumn id="1" xr3:uid="{9CEE94D1-F610-44F2-BECC-051BA76BFF42}" name="RECUPERO" dataDxfId="1352">
      <calculatedColumnFormula>VLOOKUP(DATA_MARZO_2026[[#This Row],[ASER_]],D1_MARZO_2026[[ASESOR_CRR]:[RECUPERO]],6,0)</calculatedColumnFormula>
    </tableColumn>
    <tableColumn id="6" xr3:uid="{3562AB11-2CE4-4155-B81B-115DFB69AAAB}" name="META" dataDxfId="1351">
      <calculatedColumnFormula>VLOOKUP(DATA_MARZO_2026[[#This Row],[ASER_]],D1_MARZO_2026[[ASESOR_CRR]:[META]],2,0)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327">
  <autoFilter ref="A2:K57" xr:uid="{AB1967BC-98FE-49B9-B96E-7F91454A75DF}"/>
  <tableColumns count="11">
    <tableColumn id="1" xr3:uid="{E8C9BFA3-A821-4545-B3F0-1D85338E10F0}" name="SUPER" dataDxfId="132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calculatedColumnFormula>
    </tableColumn>
    <tableColumn id="5" xr3:uid="{7C7088C3-8DB2-45AA-8DFC-FF615EA517B7}" name="META" dataDxfId="1324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323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322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310">
      <calculatedColumnFormula>MAX(DITE_MARZO_2026[[#This Row],[SUPER]:[CARTERA]])</calculatedColumnFormula>
    </tableColumn>
    <tableColumn id="4" xr3:uid="{F9F9E33D-CF47-4A7B-B383-5185C72E6DBF}" name="ALCANCE SUPERVISOR" dataDxfId="1309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zoomScale="70" zoomScaleNormal="70" workbookViewId="0">
      <selection activeCell="G13" sqref="G13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6" width="7.85546875" bestFit="1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DAVID SANCHEZ</v>
      </c>
      <c r="C7" s="62" t="e" cm="1">
        <f t="array" ref="C7">_xlfn.XLOOKUP(1,(TablaMeta[CONCAT]=$M$3&amp;$N$3&amp;D1_MARZO_2026[[#This Row],[SUPER]])*(TablaMeta[SEGG]=D1_MARZO_2026[[#This Row],[SEGMENTO]]),TablaMeta[Meta_Asesor])</f>
        <v>#N/A</v>
      </c>
      <c r="D7" s="63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LICENCIA</v>
      </c>
      <c r="F7" s="66" t="s">
        <v>81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SARITA GARAY</v>
      </c>
      <c r="C8" s="66" t="e" cm="1">
        <f t="array" ref="C8">_xlfn.XLOOKUP(1,(TablaMeta[CONCAT]=$M$3&amp;$N$3&amp;D1_MARZO_2026[[#This Row],[SUPER]])*(TablaMeta[SEGG]=D1_MARZO_2026[[#This Row],[SEGMENTO]]),TablaMeta[Meta_Asesor])</f>
        <v>#N/A</v>
      </c>
      <c r="D8" s="67" t="str">
        <f>IF(D1_MARZO_2026[[#This Row],[RECUPERO]]="VACACIONES","VACACIONES",IFERROR(D1_MARZO_2026[[#This Row],[RECUPERO]]/D1_MARZO_2026[[#This Row],[META]],""))</f>
        <v/>
      </c>
      <c r="E8" s="67" t="str">
        <f>D1_MARZO_2026[[#This Row],[SUPER]]</f>
        <v>VACACIONES</v>
      </c>
      <c r="F8" s="66" t="s">
        <v>73</v>
      </c>
      <c r="G8" s="73"/>
      <c r="H8" s="66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NATALIA MARIN</v>
      </c>
      <c r="C9" s="34" cm="1">
        <f t="array" ref="C9">_xlfn.XLOOKUP(1,(TablaMeta[CONCAT]=$M$3&amp;$N$3&amp;D1_MARZO_2026[[#This Row],[SUPER]])*(TablaMeta[SEGG]=D1_MARZO_2026[[#This Row],[SEGMENTO]]),TablaMeta[Meta_Asesor])</f>
        <v>38500</v>
      </c>
      <c r="D9" s="35">
        <f>IF(D1_MARZO_2026[[#This Row],[RECUPERO]]="VACACIONES","VACACIONES",IFERROR(D1_MARZO_2026[[#This Row],[RECUPERO]]/D1_MARZO_2026[[#This Row],[META]],""))</f>
        <v>1.177142857142857</v>
      </c>
      <c r="E9" s="35" t="str">
        <f>D1_MARZO_2026[[#This Row],[SUPER]]</f>
        <v>SANDY</v>
      </c>
      <c r="F9" s="34" t="s">
        <v>79</v>
      </c>
      <c r="G9" s="36">
        <v>45320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DATA_MARZO_2026[[#This Row],[RECUPERO]]/DATA_MARZO_2026[[#This Row],[META]]</f>
        <v>0.10246085011185682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4580</v>
      </c>
      <c r="Q9" s="6">
        <f>VLOOKUP(DATA_MARZO_2026[[#This Row],[ASER_]],D1_MARZO_2026[[ASESOR_CRR]:[META]],2,0)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206282</v>
      </c>
      <c r="AR9" s="16">
        <f>IFERROR(DITE_MARZO_2026[[#This Row],[RECUPERO SUPERVISOR]]/DITE_MARZO_2026[[#This Row],[META SUPER]],"")</f>
        <v>0.53661417118002985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LUCERO JORDAN</v>
      </c>
      <c r="C10" s="34" cm="1">
        <f t="array" ref="C10">_xlfn.XLOOKUP(1,(TablaMeta[CONCAT]=$M$3&amp;$N$3&amp;D1_MARZO_2026[[#This Row],[SUPER]])*(TablaMeta[SEGG]=D1_MARZO_2026[[#This Row],[SEGMENTO]]),TablaMeta[Meta_Asesor])</f>
        <v>38500</v>
      </c>
      <c r="D10" s="35">
        <f>IF(D1_MARZO_2026[[#This Row],[RECUPERO]]="VACACIONES","VACACIONES",IFERROR(D1_MARZO_2026[[#This Row],[RECUPERO]]/D1_MARZO_2026[[#This Row],[META]],""))</f>
        <v>0.6194025974025974</v>
      </c>
      <c r="E10" s="35" t="str">
        <f>D1_MARZO_2026[[#This Row],[SUPER]]</f>
        <v>SANDY</v>
      </c>
      <c r="F10" s="34" t="s">
        <v>68</v>
      </c>
      <c r="G10" s="36">
        <v>23847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DATA_MARZO_2026[[#This Row],[RECUPERO]]/DATA_MARZO_2026[[#This Row],[META]]</f>
        <v>0.35011185682326623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15650</v>
      </c>
      <c r="Q10" s="6">
        <f>VLOOKUP(DATA_MARZO_2026[[#This Row],[ASER_]],D1_MARZO_2026[[ASESOR_CRR]:[META]],2,0)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204274.17</v>
      </c>
      <c r="AR10" s="17">
        <f>IFERROR(DITE_MARZO_2026[[#This Row],[RECUPERO SUPERVISOR]]/DITE_MARZO_2026[[#This Row],[META SUPER]],"")</f>
        <v>0.47606591188753827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PALACIOS</v>
      </c>
      <c r="C11" s="34" cm="1">
        <f t="array" ref="C11">_xlfn.XLOOKUP(1,(TablaMeta[CONCAT]=$M$3&amp;$N$3&amp;D1_MARZO_2026[[#This Row],[SUPER]])*(TablaMeta[SEGG]=D1_MARZO_2026[[#This Row],[SEGMENTO]]),TablaMeta[Meta_Asesor])</f>
        <v>38500</v>
      </c>
      <c r="D11" s="35">
        <f>IF(D1_MARZO_2026[[#This Row],[RECUPERO]]="VACACIONES","VACACIONES",IFERROR(D1_MARZO_2026[[#This Row],[RECUPERO]]/D1_MARZO_2026[[#This Row],[META]],""))</f>
        <v>0.55480519480519486</v>
      </c>
      <c r="E11" s="35" t="str">
        <f>D1_MARZO_2026[[#This Row],[SUPER]]</f>
        <v>SANDY</v>
      </c>
      <c r="F11" s="34" t="s">
        <v>493</v>
      </c>
      <c r="G11" s="36">
        <v>21360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DATA_MARZO_2026[[#This Row],[RECUPERO]]/DATA_MARZO_2026[[#This Row],[META]]</f>
        <v>0.23664429530201342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10578</v>
      </c>
      <c r="Q11" s="6">
        <f>VLOOKUP(DATA_MARZO_2026[[#This Row],[ASER_]],D1_MARZO_2026[[ASESOR_CRR]:[META]],2,0)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224052.87</v>
      </c>
      <c r="AR11" s="16">
        <f>IFERROR(DITE_MARZO_2026[[#This Row],[RECUPERO SUPERVISOR]]/DITE_MARZO_2026[[#This Row],[META SUPER]],"")</f>
        <v>0.50188356808773715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VALLADARES</v>
      </c>
      <c r="C12" s="34" cm="1">
        <f t="array" ref="C12">_xlfn.XLOOKUP(1,(TablaMeta[CONCAT]=$M$3&amp;$N$3&amp;D1_MARZO_2026[[#This Row],[SUPER]])*(TablaMeta[SEGG]=D1_MARZO_2026[[#This Row],[SEGMENTO]]),TablaMeta[Meta_Asesor])</f>
        <v>38500</v>
      </c>
      <c r="D12" s="35">
        <f>IF(D1_MARZO_2026[[#This Row],[RECUPERO]]="VACACIONES","VACACIONES",IFERROR(D1_MARZO_2026[[#This Row],[RECUPERO]]/D1_MARZO_2026[[#This Row],[META]],""))</f>
        <v>0.53776623376623378</v>
      </c>
      <c r="E12" s="35" t="str">
        <f>D1_MARZO_2026[[#This Row],[SUPER]]</f>
        <v>SANDY</v>
      </c>
      <c r="F12" t="s">
        <v>29</v>
      </c>
      <c r="G12" s="3">
        <v>20704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DATA_MARZO_2026[[#This Row],[RECUPERO]]/DATA_MARZO_2026[[#This Row],[META]]</f>
        <v>0.28635346756152125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12800</v>
      </c>
      <c r="Q12" s="6">
        <f>VLOOKUP(DATA_MARZO_2026[[#This Row],[ASER_]],D1_MARZO_2026[[ASESOR_CRR]:[META]],2,0)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152994</v>
      </c>
      <c r="AR12" s="17">
        <f>IFERROR(DITE_MARZO_2026[[#This Row],[RECUPERO SUPERVISOR]]/DITE_MARZO_2026[[#This Row],[META SUPER]],"")</f>
        <v>0.52726188712017563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JESSICA MELGAREJO</v>
      </c>
      <c r="C13" s="34" cm="1">
        <f t="array" ref="C13">_xlfn.XLOOKUP(1,(TablaMeta[CONCAT]=$M$3&amp;$N$3&amp;D1_MARZO_2026[[#This Row],[SUPER]])*(TablaMeta[SEGG]=D1_MARZO_2026[[#This Row],[SEGMENTO]]),TablaMeta[Meta_Asesor])</f>
        <v>38500</v>
      </c>
      <c r="D13" s="35">
        <f>IF(D1_MARZO_2026[[#This Row],[RECUPERO]]="VACACIONES","VACACIONES",IFERROR(D1_MARZO_2026[[#This Row],[RECUPERO]]/D1_MARZO_2026[[#This Row],[META]],""))</f>
        <v>0.51418181818181818</v>
      </c>
      <c r="E13" s="35" t="str">
        <f>D1_MARZO_2026[[#This Row],[SUPER]]</f>
        <v>SANDY</v>
      </c>
      <c r="F13" t="s">
        <v>96</v>
      </c>
      <c r="G13" s="3">
        <v>19796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DATA_MARZO_2026[[#This Row],[RECUPERO]]/DATA_MARZO_2026[[#This Row],[META]]</f>
        <v>0.15436241610738255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6900</v>
      </c>
      <c r="Q13" s="6">
        <f>VLOOKUP(DATA_MARZO_2026[[#This Row],[ASER_]],D1_MARZO_2026[[ASESOR_CRR]:[META]],2,0)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450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154998</v>
      </c>
      <c r="AR13" s="16">
        <f>IFERROR(DITE_MARZO_2026[[#This Row],[RECUPERO SUPERVISOR]]/DITE_MARZO_2026[[#This Row],[META SUPER]],"")</f>
        <v>0.34719907531853128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QUINONES</v>
      </c>
      <c r="C14" s="34" cm="1">
        <f t="array" ref="C14">_xlfn.XLOOKUP(1,(TablaMeta[CONCAT]=$M$3&amp;$N$3&amp;D1_MARZO_2026[[#This Row],[SUPER]])*(TablaMeta[SEGG]=D1_MARZO_2026[[#This Row],[SEGMENTO]]),TablaMeta[Meta_Asesor])</f>
        <v>38500</v>
      </c>
      <c r="D14" s="35">
        <f>IF(D1_MARZO_2026[[#This Row],[RECUPERO]]="VACACIONES","VACACIONES",IFERROR(D1_MARZO_2026[[#This Row],[RECUPERO]]/D1_MARZO_2026[[#This Row],[META]],""))</f>
        <v>0.4497922077922078</v>
      </c>
      <c r="E14" s="35" t="str">
        <f>D1_MARZO_2026[[#This Row],[SUPER]]</f>
        <v>SANDY</v>
      </c>
      <c r="F14" t="s">
        <v>627</v>
      </c>
      <c r="G14" s="3">
        <v>17317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DATA_MARZO_2026[[#This Row],[RECUPERO]]/DATA_MARZO_2026[[#This Row],[META]]</f>
        <v>0.50527964205816556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22586</v>
      </c>
      <c r="Q14" s="6">
        <f>VLOOKUP(DATA_MARZO_2026[[#This Row],[ASER_]],D1_MARZO_2026[[ASESOR_CRR]:[META]],2,0)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ANTHONY VICENTE</v>
      </c>
      <c r="C15" s="34" cm="1">
        <f t="array" ref="C15">_xlfn.XLOOKUP(1,(TablaMeta[CONCAT]=$M$3&amp;$N$3&amp;D1_MARZO_2026[[#This Row],[SUPER]])*(TablaMeta[SEGG]=D1_MARZO_2026[[#This Row],[SEGMENTO]]),TablaMeta[Meta_Asesor])</f>
        <v>38500</v>
      </c>
      <c r="D15" s="35">
        <f>IF(D1_MARZO_2026[[#This Row],[RECUPERO]]="VACACIONES","VACACIONES",IFERROR(D1_MARZO_2026[[#This Row],[RECUPERO]]/D1_MARZO_2026[[#This Row],[META]],""))</f>
        <v>0.44423376623376626</v>
      </c>
      <c r="E15" s="35" t="str">
        <f>D1_MARZO_2026[[#This Row],[SUPER]]</f>
        <v>SANDY</v>
      </c>
      <c r="F15" t="s">
        <v>85</v>
      </c>
      <c r="G15" s="3">
        <v>17103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DATA_MARZO_2026[[#This Row],[RECUPERO]]/DATA_MARZO_2026[[#This Row],[META]]</f>
        <v>0.7113646532438479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31798</v>
      </c>
      <c r="Q15" s="6">
        <f>VLOOKUP(DATA_MARZO_2026[[#This Row],[ASER_]],D1_MARZO_2026[[ASESOR_CRR]:[META]],2,0)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4588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GIANNINA AGUILAR</v>
      </c>
      <c r="C16" s="34" cm="1">
        <f t="array" ref="C16">_xlfn.XLOOKUP(1,(TablaMeta[CONCAT]=$M$3&amp;$N$3&amp;D1_MARZO_2026[[#This Row],[SUPER]])*(TablaMeta[SEGG]=D1_MARZO_2026[[#This Row],[SEGMENTO]]),TablaMeta[Meta_Asesor])</f>
        <v>38500</v>
      </c>
      <c r="D16" s="35">
        <f>IF(D1_MARZO_2026[[#This Row],[RECUPERO]]="VACACIONES","VACACIONES",IFERROR(D1_MARZO_2026[[#This Row],[RECUPERO]]/D1_MARZO_2026[[#This Row],[META]],""))</f>
        <v>0.39563636363636362</v>
      </c>
      <c r="E16" s="35" t="str">
        <f>D1_MARZO_2026[[#This Row],[SUPER]]</f>
        <v>SANDY</v>
      </c>
      <c r="F16" t="s">
        <v>32</v>
      </c>
      <c r="G16" s="3">
        <v>15232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DATA_MARZO_2026[[#This Row],[RECUPERO]]/DATA_MARZO_2026[[#This Row],[META]]</f>
        <v>0.32483221476510066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14520</v>
      </c>
      <c r="Q16" s="6">
        <f>VLOOKUP(DATA_MARZO_2026[[#This Row],[ASER_]],D1_MARZO_2026[[ASESOR_CRR]:[META]],2,0)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ALEJANDRA QUISPE</v>
      </c>
      <c r="C17" s="34" cm="1">
        <f t="array" ref="C17">_xlfn.XLOOKUP(1,(TablaMeta[CONCAT]=$M$3&amp;$N$3&amp;D1_MARZO_2026[[#This Row],[SUPER]])*(TablaMeta[SEGG]=D1_MARZO_2026[[#This Row],[SEGMENTO]]),TablaMeta[Meta_Asesor])</f>
        <v>38500</v>
      </c>
      <c r="D17" s="35">
        <f>IF(D1_MARZO_2026[[#This Row],[RECUPERO]]="VACACIONES","VACACIONES",IFERROR(D1_MARZO_2026[[#This Row],[RECUPERO]]/D1_MARZO_2026[[#This Row],[META]],""))</f>
        <v>0.29584415584415585</v>
      </c>
      <c r="E17" s="35" t="str">
        <f>D1_MARZO_2026[[#This Row],[SUPER]]</f>
        <v>SANDY</v>
      </c>
      <c r="F17" t="s">
        <v>58</v>
      </c>
      <c r="G17" s="3">
        <v>11390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DATA_MARZO_2026[[#This Row],[RECUPERO]]/DATA_MARZO_2026[[#This Row],[META]]</f>
        <v>0.53883668903803128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24086</v>
      </c>
      <c r="Q17" s="6">
        <f>VLOOKUP(DATA_MARZO_2026[[#This Row],[ASER_]],D1_MARZO_2026[[ASESOR_CRR]:[META]],2,0)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3816.45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CARLA VALENCIA</v>
      </c>
      <c r="C18" s="34" cm="1">
        <f t="array" ref="C18">_xlfn.XLOOKUP(1,(TablaMeta[CONCAT]=$M$3&amp;$N$3&amp;D1_MARZO_2026[[#This Row],[SUPER]])*(TablaMeta[SEGG]=D1_MARZO_2026[[#This Row],[SEGMENTO]]),TablaMeta[Meta_Asesor])</f>
        <v>38500</v>
      </c>
      <c r="D18" s="35">
        <f>IF(D1_MARZO_2026[[#This Row],[RECUPERO]]="VACACIONES","VACACIONES",IFERROR(D1_MARZO_2026[[#This Row],[RECUPERO]]/D1_MARZO_2026[[#This Row],[META]],""))</f>
        <v>0.10942857142857143</v>
      </c>
      <c r="E18" s="35" t="str">
        <f>D1_MARZO_2026[[#This Row],[SUPER]]</f>
        <v>SANDY</v>
      </c>
      <c r="F18" t="s">
        <v>174</v>
      </c>
      <c r="G18" s="3">
        <v>4213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0.13870246085011187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6200</v>
      </c>
      <c r="Q18" s="6">
        <f>VLOOKUP(DATA_MARZO_2026[[#This Row],[ASER_]],D1_MARZO_2026[[ASESOR_CRR]:[META]],2,0)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NOEMI CHUQUILIN</v>
      </c>
      <c r="C19" s="34" cm="1">
        <f t="array" ref="C19">_xlfn.XLOOKUP(1,(TablaMeta[CONCAT]=$M$3&amp;$N$3&amp;D1_MARZO_2026[[#This Row],[SUPER]])*(TablaMeta[SEGG]=D1_MARZO_2026[[#This Row],[SEGMENTO]]),TablaMeta[Meta_Asesor])</f>
        <v>61300</v>
      </c>
      <c r="D19" s="35">
        <f>IF(D1_MARZO_2026[[#This Row],[RECUPERO]]="VACACIONES","VACACIONES",IFERROR(D1_MARZO_2026[[#This Row],[RECUPERO]]/D1_MARZO_2026[[#This Row],[META]],""))</f>
        <v>0.7236732463295269</v>
      </c>
      <c r="E19" s="35" t="str">
        <f>D1_MARZO_2026[[#This Row],[SUPER]]</f>
        <v>KENNETH</v>
      </c>
      <c r="F19" t="s">
        <v>97</v>
      </c>
      <c r="G19" s="3">
        <v>44361.17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9.0375203915171287E-2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5540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MILAGROS QUIO</v>
      </c>
      <c r="C20" s="34" cm="1">
        <f t="array" ref="C20">_xlfn.XLOOKUP(1,(TablaMeta[CONCAT]=$M$3&amp;$N$3&amp;D1_MARZO_2026[[#This Row],[SUPER]])*(TablaMeta[SEGG]=D1_MARZO_2026[[#This Row],[SEGMENTO]]),TablaMeta[Meta_Asesor])</f>
        <v>61300</v>
      </c>
      <c r="D20" s="35">
        <f>IF(D1_MARZO_2026[[#This Row],[RECUPERO]]="VACACIONES","VACACIONES",IFERROR(D1_MARZO_2026[[#This Row],[RECUPERO]]/D1_MARZO_2026[[#This Row],[META]],""))</f>
        <v>0.60032626427406199</v>
      </c>
      <c r="E20" s="35" t="str">
        <f>D1_MARZO_2026[[#This Row],[SUPER]]</f>
        <v>KENNETH</v>
      </c>
      <c r="F20" t="s">
        <v>11</v>
      </c>
      <c r="G20" s="3">
        <v>36800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0.45804241435562804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28078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STWUAR MACURI</v>
      </c>
      <c r="C21" s="34" cm="1">
        <f t="array" ref="C21">_xlfn.XLOOKUP(1,(TablaMeta[CONCAT]=$M$3&amp;$N$3&amp;D1_MARZO_2026[[#This Row],[SUPER]])*(TablaMeta[SEGG]=D1_MARZO_2026[[#This Row],[SEGMENTO]]),TablaMeta[Meta_Asesor])</f>
        <v>61300</v>
      </c>
      <c r="D21" s="35">
        <f>IF(D1_MARZO_2026[[#This Row],[RECUPERO]]="VACACIONES","VACACIONES",IFERROR(D1_MARZO_2026[[#This Row],[RECUPERO]]/D1_MARZO_2026[[#This Row],[META]],""))</f>
        <v>0.54355628058727568</v>
      </c>
      <c r="E21" s="35" t="str">
        <f>D1_MARZO_2026[[#This Row],[SUPER]]</f>
        <v>KENNETH</v>
      </c>
      <c r="F21" t="s">
        <v>34</v>
      </c>
      <c r="G21" s="3">
        <v>33320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0.7236732463295269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44361.17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1500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FRANK PACORA</v>
      </c>
      <c r="C22" s="34" cm="1">
        <f t="array" ref="C22">_xlfn.XLOOKUP(1,(TablaMeta[CONCAT]=$M$3&amp;$N$3&amp;D1_MARZO_2026[[#This Row],[SUPER]])*(TablaMeta[SEGG]=D1_MARZO_2026[[#This Row],[SEGMENTO]]),TablaMeta[Meta_Asesor])</f>
        <v>61300</v>
      </c>
      <c r="D22" s="35">
        <f>IF(D1_MARZO_2026[[#This Row],[RECUPERO]]="VACACIONES","VACACIONES",IFERROR(D1_MARZO_2026[[#This Row],[RECUPERO]]/D1_MARZO_2026[[#This Row],[META]],""))</f>
        <v>0.53996737357259383</v>
      </c>
      <c r="E22" s="35" t="str">
        <f>D1_MARZO_2026[[#This Row],[SUPER]]</f>
        <v>KENNETH</v>
      </c>
      <c r="F22" t="s">
        <v>105</v>
      </c>
      <c r="G22" s="3">
        <v>33100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0.53996737357259383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33100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LOZA</v>
      </c>
      <c r="C23" s="34" cm="1">
        <f t="array" ref="C23">_xlfn.XLOOKUP(1,(TablaMeta[CONCAT]=$M$3&amp;$N$3&amp;D1_MARZO_2026[[#This Row],[SUPER]])*(TablaMeta[SEGG]=D1_MARZO_2026[[#This Row],[SEGMENTO]]),TablaMeta[Meta_Asesor])</f>
        <v>61300</v>
      </c>
      <c r="D23" s="35">
        <f>IF(D1_MARZO_2026[[#This Row],[RECUPERO]]="VACACIONES","VACACIONES",IFERROR(D1_MARZO_2026[[#This Row],[RECUPERO]]/D1_MARZO_2026[[#This Row],[META]],""))</f>
        <v>0.45804241435562804</v>
      </c>
      <c r="E23" s="35" t="str">
        <f>D1_MARZO_2026[[#This Row],[SUPER]]</f>
        <v>KENNETH</v>
      </c>
      <c r="F23" t="s">
        <v>35</v>
      </c>
      <c r="G23" s="3">
        <v>28078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0.60032626427406199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36800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CARMEN PUMA</v>
      </c>
      <c r="C24" s="34" cm="1">
        <f t="array" ref="C24">_xlfn.XLOOKUP(1,(TablaMeta[CONCAT]=$M$3&amp;$N$3&amp;D1_MARZO_2026[[#This Row],[SUPER]])*(TablaMeta[SEGG]=D1_MARZO_2026[[#This Row],[SEGMENTO]]),TablaMeta[Meta_Asesor])</f>
        <v>61300</v>
      </c>
      <c r="D24" s="35">
        <f>IF(D1_MARZO_2026[[#This Row],[RECUPERO]]="VACACIONES","VACACIONES",IFERROR(D1_MARZO_2026[[#This Row],[RECUPERO]]/D1_MARZO_2026[[#This Row],[META]],""))</f>
        <v>0.37642740619902121</v>
      </c>
      <c r="E24" s="35" t="str">
        <f>D1_MARZO_2026[[#This Row],[SUPER]]</f>
        <v>KENNETH</v>
      </c>
      <c r="F24" t="s">
        <v>19</v>
      </c>
      <c r="G24" s="3">
        <v>23075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DATA_MARZO_2026[[#This Row],[RECUPERO]]/DATA_MARZO_2026[[#This Row],[META]]</f>
        <v>0.37642740619902121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23075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VICTOR RAMIREZ</v>
      </c>
      <c r="C25" s="34" cm="1">
        <f t="array" ref="C25">_xlfn.XLOOKUP(1,(TablaMeta[CONCAT]=$M$3&amp;$N$3&amp;D1_MARZO_2026[[#This Row],[SUPER]])*(TablaMeta[SEGG]=D1_MARZO_2026[[#This Row],[SEGMENTO]]),TablaMeta[Meta_Asesor])</f>
        <v>61300</v>
      </c>
      <c r="D25" s="35">
        <f>IF(D1_MARZO_2026[[#This Row],[RECUPERO]]="VACACIONES","VACACIONES",IFERROR(D1_MARZO_2026[[#This Row],[RECUPERO]]/D1_MARZO_2026[[#This Row],[META]],""))</f>
        <v>9.0375203915171287E-2</v>
      </c>
      <c r="E25" s="35" t="str">
        <f>D1_MARZO_2026[[#This Row],[SUPER]]</f>
        <v>KENNETH</v>
      </c>
      <c r="F25" t="s">
        <v>76</v>
      </c>
      <c r="G25" s="3">
        <v>5540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DATA_MARZO_2026[[#This Row],[RECUPERO]]/DATA_MARZO_2026[[#This Row],[META]]</f>
        <v>0.54355628058727568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33320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TASAYCO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0.80087248322147653</v>
      </c>
      <c r="E26" s="35" t="str">
        <f>D1_MARZO_2026[[#This Row],[SUPER]]</f>
        <v>JORGE</v>
      </c>
      <c r="F26" t="s">
        <v>10</v>
      </c>
      <c r="G26" s="3">
        <v>35799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0.29584415584415585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SANDY</v>
      </c>
      <c r="P26" s="6">
        <f>VLOOKUP(DATA_MARZO_2026[[#This Row],[ASER_]],D1_MARZO_2026[[ASESOR_CRR]:[RECUPERO]],6,0)</f>
        <v>11390</v>
      </c>
      <c r="Q26" s="6">
        <f>VLOOKUP(DATA_MARZO_2026[[#This Row],[ASER_]],D1_MARZO_2026[[ASESOR_CRR]:[META]],2,0)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FRANCO HUAMANI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0.69921700223713645</v>
      </c>
      <c r="E27" s="35" t="str">
        <f>D1_MARZO_2026[[#This Row],[SUPER]]</f>
        <v>JORGE</v>
      </c>
      <c r="F27" t="s">
        <v>24</v>
      </c>
      <c r="G27" s="3">
        <v>31255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0.6194025974025974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IFERROR(VLOOKUP(DATA_MARZO_2026[[#This Row],[ASER_]],$B:$G,4,0),"")</f>
        <v>SANDY</v>
      </c>
      <c r="P27" s="6">
        <f>VLOOKUP(DATA_MARZO_2026[[#This Row],[ASER_]],D1_MARZO_2026[[ASESOR_CRR]:[RECUPERO]],6,0)</f>
        <v>23847</v>
      </c>
      <c r="Q27" s="6">
        <f>VLOOKUP(DATA_MARZO_2026[[#This Row],[ASER_]],D1_MARZO_2026[[ASESOR_CRR]:[META]],2,0)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GIANFRANCO PINEDO</v>
      </c>
      <c r="C28" s="34" cm="1">
        <f t="array" ref="C28">_xlfn.XLOOKUP(1,(TablaMeta[CONCAT]=$M$3&amp;$N$3&amp;D1_MARZO_2026[[#This Row],[SUPER]])*(TablaMeta[SEGG]=D1_MARZO_2026[[#This Row],[SEGMENTO]]),TablaMeta[Meta_Asesor])</f>
        <v>44700</v>
      </c>
      <c r="D28" s="35">
        <f>IF(D1_MARZO_2026[[#This Row],[RECUPERO]]="VACACIONES","VACACIONES",IFERROR(D1_MARZO_2026[[#This Row],[RECUPERO]]/D1_MARZO_2026[[#This Row],[META]],""))</f>
        <v>0.66778523489932884</v>
      </c>
      <c r="E28" s="35" t="str">
        <f>D1_MARZO_2026[[#This Row],[SUPER]]</f>
        <v>JORGE</v>
      </c>
      <c r="F28" t="s">
        <v>13</v>
      </c>
      <c r="G28" s="3">
        <v>29850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0.55480519480519486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IFERROR(VLOOKUP(DATA_MARZO_2026[[#This Row],[ASER_]],$B:$G,4,0),"")</f>
        <v>SANDY</v>
      </c>
      <c r="P28" s="6">
        <f>VLOOKUP(DATA_MARZO_2026[[#This Row],[ASER_]],D1_MARZO_2026[[ASESOR_CRR]:[RECUPERO]],6,0)</f>
        <v>21360</v>
      </c>
      <c r="Q28" s="6">
        <f>VLOOKUP(DATA_MARZO_2026[[#This Row],[ASER_]],D1_MARZO_2026[[ASESOR_CRR]:[META]],2,0)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LUIS CENTENO</v>
      </c>
      <c r="C29" s="34" cm="1">
        <f t="array" ref="C29">_xlfn.XLOOKUP(1,(TablaMeta[CONCAT]=$M$3&amp;$N$3&amp;D1_MARZO_2026[[#This Row],[SUPER]])*(TablaMeta[SEGG]=D1_MARZO_2026[[#This Row],[SEGMENTO]]),TablaMeta[Meta_Asesor])</f>
        <v>44700</v>
      </c>
      <c r="D29" s="35">
        <f>IF(D1_MARZO_2026[[#This Row],[RECUPERO]]="VACACIONES","VACACIONES",IFERROR(D1_MARZO_2026[[#This Row],[RECUPERO]]/D1_MARZO_2026[[#This Row],[META]],""))</f>
        <v>0.53747203579418346</v>
      </c>
      <c r="E29" s="35" t="str">
        <f>D1_MARZO_2026[[#This Row],[SUPER]]</f>
        <v>JORGE</v>
      </c>
      <c r="F29" t="s">
        <v>31</v>
      </c>
      <c r="G29" s="3">
        <v>24025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0.53776623376623378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IFERROR(VLOOKUP(DATA_MARZO_2026[[#This Row],[ASER_]],$B:$G,4,0),"")</f>
        <v>SANDY</v>
      </c>
      <c r="P29" s="6">
        <f>VLOOKUP(DATA_MARZO_2026[[#This Row],[ASER_]],D1_MARZO_2026[[ASESOR_CRR]:[RECUPERO]],6,0)</f>
        <v>20704</v>
      </c>
      <c r="Q29" s="6">
        <f>VLOOKUP(DATA_MARZO_2026[[#This Row],[ASER_]],D1_MARZO_2026[[ASESOR_CRR]:[META]],2,0)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JHONATAN CHAVEZ</v>
      </c>
      <c r="C30" s="34" cm="1">
        <f t="array" ref="C30">_xlfn.XLOOKUP(1,(TablaMeta[CONCAT]=$M$3&amp;$N$3&amp;D1_MARZO_2026[[#This Row],[SUPER]])*(TablaMeta[SEGG]=D1_MARZO_2026[[#This Row],[SEGMENTO]]),TablaMeta[Meta_Asesor])</f>
        <v>44700</v>
      </c>
      <c r="D30" s="35">
        <f>IF(D1_MARZO_2026[[#This Row],[RECUPERO]]="VACACIONES","VACACIONES",IFERROR(D1_MARZO_2026[[#This Row],[RECUPERO]]/D1_MARZO_2026[[#This Row],[META]],""))</f>
        <v>0.52756152125279643</v>
      </c>
      <c r="E30" s="35" t="str">
        <f>D1_MARZO_2026[[#This Row],[SUPER]]</f>
        <v>JORGE</v>
      </c>
      <c r="F30" t="s">
        <v>65</v>
      </c>
      <c r="G30" s="3">
        <v>23582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0.44423376623376626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IFERROR(VLOOKUP(DATA_MARZO_2026[[#This Row],[ASER_]],$B:$G,4,0),"")</f>
        <v>SANDY</v>
      </c>
      <c r="P30" s="6">
        <f>VLOOKUP(DATA_MARZO_2026[[#This Row],[ASER_]],D1_MARZO_2026[[ASESOR_CRR]:[RECUPERO]],6,0)</f>
        <v>17103</v>
      </c>
      <c r="Q30" s="6">
        <f>VLOOKUP(DATA_MARZO_2026[[#This Row],[ASER_]],D1_MARZO_2026[[ASESOR_CRR]:[META]],2,0)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MALORY MONTEBLANCO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0.51856823266219243</v>
      </c>
      <c r="E31" s="35" t="str">
        <f>D1_MARZO_2026[[#This Row],[SUPER]]</f>
        <v>JORGE</v>
      </c>
      <c r="F31" t="s">
        <v>25</v>
      </c>
      <c r="G31" s="3">
        <v>23180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1.177142857142857</v>
      </c>
      <c r="N31" s="54" t="str" cm="1">
        <f t="array" ref="N31">IF(DATA_MARZO_2026[[#This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IFERROR(VLOOKUP(DATA_MARZO_2026[[#This Row],[ASER_]],$B:$G,4,0),"")</f>
        <v>SANDY</v>
      </c>
      <c r="P31" s="6">
        <f>VLOOKUP(DATA_MARZO_2026[[#This Row],[ASER_]],D1_MARZO_2026[[ASESOR_CRR]:[RECUPERO]],6,0)</f>
        <v>45320</v>
      </c>
      <c r="Q31" s="6">
        <f>VLOOKUP(DATA_MARZO_2026[[#This Row],[ASER_]],D1_MARZO_2026[[ASESOR_CRR]:[META]],2,0)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EVELY TENORIO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0.47010894854586127</v>
      </c>
      <c r="E32" s="35" t="str">
        <f>D1_MARZO_2026[[#This Row],[SUPER]]</f>
        <v>JORGE</v>
      </c>
      <c r="F32" t="s">
        <v>22</v>
      </c>
      <c r="G32" s="3">
        <v>21013.87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0.51418181818181818</v>
      </c>
      <c r="N32" s="54" t="str" cm="1">
        <f t="array" ref="N32">IF(DATA_MARZO_2026[[#This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IFERROR(VLOOKUP(DATA_MARZO_2026[[#This Row],[ASER_]],$B:$G,4,0),"")</f>
        <v>SANDY</v>
      </c>
      <c r="P32" s="6">
        <f>VLOOKUP(DATA_MARZO_2026[[#This Row],[ASER_]],D1_MARZO_2026[[ASESOR_CRR]:[RECUPERO]],6,0)</f>
        <v>19796</v>
      </c>
      <c r="Q32" s="6">
        <f>VLOOKUP(DATA_MARZO_2026[[#This Row],[ASER_]],D1_MARZO_2026[[ASESOR_CRR]:[META]],2,0)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HAROLD FLORES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0.27539149888143177</v>
      </c>
      <c r="E33" s="35" t="str">
        <f>D1_MARZO_2026[[#This Row],[SUPER]]</f>
        <v>JORGE</v>
      </c>
      <c r="F33" t="s">
        <v>42</v>
      </c>
      <c r="G33" s="3">
        <v>12310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0.39563636363636362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SANDY</v>
      </c>
      <c r="P33" s="6">
        <f>VLOOKUP(DATA_MARZO_2026[[#This Row],[ASER_]],D1_MARZO_2026[[ASESOR_CRR]:[RECUPERO]],6,0)</f>
        <v>15232</v>
      </c>
      <c r="Q33" s="6">
        <f>VLOOKUP(DATA_MARZO_2026[[#This Row],[ASER_]],D1_MARZO_2026[[ASESOR_CRR]:[META]],2,0)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/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JIMENA MEDINA</v>
      </c>
      <c r="C34" s="34" cm="1">
        <f t="array" ref="C34">_xlfn.XLOOKUP(1,(TablaMeta[CONCAT]=$M$3&amp;$N$3&amp;D1_MARZO_2026[[#This Row],[SUPER]])*(TablaMeta[SEGG]=D1_MARZO_2026[[#This Row],[SEGMENTO]]),TablaMeta[Meta_Asesor])</f>
        <v>44700</v>
      </c>
      <c r="D34" s="35">
        <f>IF(D1_MARZO_2026[[#This Row],[RECUPERO]]="VACACIONES","VACACIONES",IFERROR(D1_MARZO_2026[[#This Row],[RECUPERO]]/D1_MARZO_2026[[#This Row],[META]],""))</f>
        <v>0.25539149888143176</v>
      </c>
      <c r="E34" s="35" t="str">
        <f>D1_MARZO_2026[[#This Row],[SUPER]]</f>
        <v>JORGE</v>
      </c>
      <c r="F34" t="s">
        <v>37</v>
      </c>
      <c r="G34" s="3">
        <v>11416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0.4497922077922078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&gt;40%</v>
      </c>
      <c r="O34" s="55" t="str">
        <f>IFERROR(VLOOKUP(DATA_MARZO_2026[[#This Row],[ASER_]],$B:$G,4,0),"")</f>
        <v>SANDY</v>
      </c>
      <c r="P34" s="6">
        <f>VLOOKUP(DATA_MARZO_2026[[#This Row],[ASER_]],D1_MARZO_2026[[ASESOR_CRR]:[RECUPERO]],6,0)</f>
        <v>17317</v>
      </c>
      <c r="Q34" s="6">
        <f>VLOOKUP(DATA_MARZO_2026[[#This Row],[ASER_]],D1_MARZO_2026[[ASESOR_CRR]:[META]],2,0)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/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CHRISTIAN ALVARADO</v>
      </c>
      <c r="C35" s="34" cm="1">
        <f t="array" ref="C35">_xlfn.XLOOKUP(1,(TablaMeta[CONCAT]=$M$3&amp;$N$3&amp;D1_MARZO_2026[[#This Row],[SUPER]])*(TablaMeta[SEGG]=D1_MARZO_2026[[#This Row],[SEGMENTO]]),TablaMeta[Meta_Asesor])</f>
        <v>18100</v>
      </c>
      <c r="D35" s="35">
        <f>IF(D1_MARZO_2026[[#This Row],[RECUPERO]]="VACACIONES","VACACIONES",IFERROR(D1_MARZO_2026[[#This Row],[RECUPERO]]/D1_MARZO_2026[[#This Row],[META]],""))</f>
        <v>0.76248618784530386</v>
      </c>
      <c r="E35" s="35" t="str">
        <f>D1_MARZO_2026[[#This Row],[SUPER]]</f>
        <v>LISELY</v>
      </c>
      <c r="F35" t="s">
        <v>41</v>
      </c>
      <c r="G35" s="3">
        <v>13801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DATA_MARZO_2026[[#This Row],[RECUPERO]]/DATA_MARZO_2026[[#This Row],[META]]</f>
        <v>0.27539149888143177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JORGE</v>
      </c>
      <c r="P35" s="6">
        <f>VLOOKUP(DATA_MARZO_2026[[#This Row],[ASER_]],D1_MARZO_2026[[ASESOR_CRR]:[RECUPERO]],6,0)</f>
        <v>12310</v>
      </c>
      <c r="Q35" s="6">
        <f>VLOOKUP(DATA_MARZO_2026[[#This Row],[ASER_]],D1_MARZO_2026[[ASESOR_CRR]:[META]],2,0)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/>
      <c r="AI35" s="6"/>
      <c r="AJ35" s="6"/>
      <c r="AK35" s="6"/>
      <c r="AL35" s="6"/>
      <c r="AM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JOSELIN MONTALVO</v>
      </c>
      <c r="C36" s="34" cm="1">
        <f t="array" ref="C36">_xlfn.XLOOKUP(1,(TablaMeta[CONCAT]=$M$3&amp;$N$3&amp;D1_MARZO_2026[[#This Row],[SUPER]])*(TablaMeta[SEGG]=D1_MARZO_2026[[#This Row],[SEGMENTO]]),TablaMeta[Meta_Asesor])</f>
        <v>18100</v>
      </c>
      <c r="D36" s="35">
        <f>IF(D1_MARZO_2026[[#This Row],[RECUPERO]]="VACACIONES","VACACIONES",IFERROR(D1_MARZO_2026[[#This Row],[RECUPERO]]/D1_MARZO_2026[[#This Row],[META]],""))</f>
        <v>0.43281767955801104</v>
      </c>
      <c r="E36" s="35" t="str">
        <f>D1_MARZO_2026[[#This Row],[SUPER]]</f>
        <v>LISELY</v>
      </c>
      <c r="F36" t="s">
        <v>549</v>
      </c>
      <c r="G36" s="3">
        <v>7834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DATA_MARZO_2026[[#This Row],[RECUPERO]]/DATA_MARZO_2026[[#This Row],[META]]</f>
        <v>0.52756152125279643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JORGE</v>
      </c>
      <c r="P36" s="6">
        <f>VLOOKUP(DATA_MARZO_2026[[#This Row],[ASER_]],D1_MARZO_2026[[ASESOR_CRR]:[RECUPERO]],6,0)</f>
        <v>23582</v>
      </c>
      <c r="Q36" s="6">
        <f>VLOOKUP(DATA_MARZO_2026[[#This Row],[ASER_]],D1_MARZO_2026[[ASESOR_CRR]:[META]],2,0)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/>
      <c r="AI36" s="6"/>
      <c r="AJ36" s="6"/>
      <c r="AK36" s="6"/>
      <c r="AL36" s="6"/>
      <c r="AM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MAYRA AVALOS</v>
      </c>
      <c r="C37" s="34" cm="1">
        <f t="array" ref="C37">_xlfn.XLOOKUP(1,(TablaMeta[CONCAT]=$M$3&amp;$N$3&amp;D1_MARZO_2026[[#This Row],[SUPER]])*(TablaMeta[SEGG]=D1_MARZO_2026[[#This Row],[SEGMENTO]]),TablaMeta[Meta_Asesor])</f>
        <v>18100</v>
      </c>
      <c r="D37" s="35">
        <f>IF(D1_MARZO_2026[[#This Row],[RECUPERO]]="VACACIONES","VACACIONES",IFERROR(D1_MARZO_2026[[#This Row],[RECUPERO]]/D1_MARZO_2026[[#This Row],[META]],""))</f>
        <v>0.19171270718232045</v>
      </c>
      <c r="E37" s="35" t="str">
        <f>D1_MARZO_2026[[#This Row],[SUPER]]</f>
        <v>LISELY</v>
      </c>
      <c r="F37" t="s">
        <v>55</v>
      </c>
      <c r="G37" s="3">
        <v>3470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DATA_MARZO_2026[[#This Row],[RECUPERO]]/DATA_MARZO_2026[[#This Row],[META]]</f>
        <v>0.80087248322147653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IFERROR(VLOOKUP(DATA_MARZO_2026[[#This Row],[ASER_]],$B:$G,4,0),"")</f>
        <v>JORGE</v>
      </c>
      <c r="P37" s="6">
        <f>VLOOKUP(DATA_MARZO_2026[[#This Row],[ASER_]],D1_MARZO_2026[[ASESOR_CRR]:[RECUPERO]],6,0)</f>
        <v>35799</v>
      </c>
      <c r="Q37" s="6">
        <f>VLOOKUP(DATA_MARZO_2026[[#This Row],[ASER_]],D1_MARZO_2026[[ASESOR_CRR]:[META]],2,0)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/>
      <c r="AI37" s="6"/>
      <c r="AJ37" s="6"/>
      <c r="AK37" s="6"/>
      <c r="AL37" s="6"/>
      <c r="AM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ZAYDA CORTEZ</v>
      </c>
      <c r="C38" s="34" cm="1">
        <f t="array" ref="C38">_xlfn.XLOOKUP(1,(TablaMeta[CONCAT]=$M$3&amp;$N$3&amp;D1_MARZO_2026[[#This Row],[SUPER]])*(TablaMeta[SEGG]=D1_MARZO_2026[[#This Row],[SEGMENTO]]),TablaMeta[Meta_Asesor])</f>
        <v>18100</v>
      </c>
      <c r="D38" s="35">
        <f>IF(D1_MARZO_2026[[#This Row],[RECUPERO]]="VACACIONES","VACACIONES",IFERROR(D1_MARZO_2026[[#This Row],[RECUPERO]]/D1_MARZO_2026[[#This Row],[META]],""))</f>
        <v>0.14088397790055249</v>
      </c>
      <c r="E38" s="35" t="str">
        <f>D1_MARZO_2026[[#This Row],[SUPER]]</f>
        <v>LISELY</v>
      </c>
      <c r="F38" t="s">
        <v>601</v>
      </c>
      <c r="G38" s="3">
        <v>2550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0.25539149888143176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JORGE</v>
      </c>
      <c r="P38" s="6">
        <f>VLOOKUP(DATA_MARZO_2026[[#This Row],[ASER_]],D1_MARZO_2026[[ASESOR_CRR]:[RECUPERO]],6,0)</f>
        <v>11416</v>
      </c>
      <c r="Q38" s="6">
        <f>VLOOKUP(DATA_MARZO_2026[[#This Row],[ASER_]],D1_MARZO_2026[[ASESOR_CRR]:[META]],2,0)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JEREMY RODRIGUEZ</v>
      </c>
      <c r="C39" s="34" cm="1">
        <f t="array" ref="C39">_xlfn.XLOOKUP(1,(TablaMeta[CONCAT]=$M$3&amp;$N$3&amp;D1_MARZO_2026[[#This Row],[SUPER]])*(TablaMeta[SEGG]=D1_MARZO_2026[[#This Row],[SEGMENTO]]),TablaMeta[Meta_Asesor])</f>
        <v>18100</v>
      </c>
      <c r="D39" s="35">
        <f>IF(D1_MARZO_2026[[#This Row],[RECUPERO]]="VACACIONES","VACACIONES",IFERROR(D1_MARZO_2026[[#This Row],[RECUPERO]]/D1_MARZO_2026[[#This Row],[META]],""))</f>
        <v>0.12734806629834255</v>
      </c>
      <c r="E39" s="35" t="str">
        <f>D1_MARZO_2026[[#This Row],[SUPER]]</f>
        <v>LISELY</v>
      </c>
      <c r="F39" t="s">
        <v>599</v>
      </c>
      <c r="G39" s="3">
        <v>2305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0.69921700223713645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JORGE</v>
      </c>
      <c r="P39" s="6">
        <f>VLOOKUP(DATA_MARZO_2026[[#This Row],[ASER_]],D1_MARZO_2026[[ASESOR_CRR]:[RECUPERO]],6,0)</f>
        <v>31255</v>
      </c>
      <c r="Q39" s="6">
        <f>VLOOKUP(DATA_MARZO_2026[[#This Row],[ASER_]],D1_MARZO_2026[[ASESOR_CRR]:[META]],2,0)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NICOLE CAURURO</v>
      </c>
      <c r="C40" s="34" cm="1">
        <f t="array" ref="C40">_xlfn.XLOOKUP(1,(TablaMeta[CONCAT]=$M$3&amp;$N$3&amp;D1_MARZO_2026[[#This Row],[SUPER]])*(TablaMeta[SEGG]=D1_MARZO_2026[[#This Row],[SEGMENTO]]),TablaMeta[Meta_Asesor])</f>
        <v>18100</v>
      </c>
      <c r="D40" s="35">
        <f>IF(D1_MARZO_2026[[#This Row],[RECUPERO]]="VACACIONES","VACACIONES",IFERROR(D1_MARZO_2026[[#This Row],[RECUPERO]]/D1_MARZO_2026[[#This Row],[META]],""))</f>
        <v>0.10911602209944751</v>
      </c>
      <c r="E40" s="35" t="str">
        <f>D1_MARZO_2026[[#This Row],[SUPER]]</f>
        <v>LISELY</v>
      </c>
      <c r="F40" t="s">
        <v>566</v>
      </c>
      <c r="G40" s="3">
        <v>1975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0.66778523489932884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29850</v>
      </c>
      <c r="Q40" s="6">
        <f>VLOOKUP(DATA_MARZO_2026[[#This Row],[ASER_]],D1_MARZO_2026[[ASESOR_CRR]:[META]],2,0)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2000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VERONICA HUARCA</v>
      </c>
      <c r="C41" s="34" cm="1">
        <f t="array" ref="C41">_xlfn.XLOOKUP(1,(TablaMeta[CONCAT]=$M$3&amp;$N$3&amp;D1_MARZO_2026[[#This Row],[SUPER]])*(TablaMeta[SEGG]=D1_MARZO_2026[[#This Row],[SEGMENTO]]),TablaMeta[Meta_Asesor])</f>
        <v>22800</v>
      </c>
      <c r="D41" s="35">
        <f>IF(D1_MARZO_2026[[#This Row],[RECUPERO]]="VACACIONES","VACACIONES",IFERROR(D1_MARZO_2026[[#This Row],[RECUPERO]]/D1_MARZO_2026[[#This Row],[META]],""))</f>
        <v>0.77280701754385961</v>
      </c>
      <c r="E41" s="35" t="str">
        <f>D1_MARZO_2026[[#This Row],[SUPER]]</f>
        <v>LISELY</v>
      </c>
      <c r="F41" t="s">
        <v>48</v>
      </c>
      <c r="G41" s="3">
        <v>17620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DATA_MARZO_2026[[#This Row],[RECUPERO]]/DATA_MARZO_2026[[#This Row],[META]]</f>
        <v>0.51856823266219243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23180</v>
      </c>
      <c r="Q41" s="6">
        <f>VLOOKUP(DATA_MARZO_2026[[#This Row],[ASER_]],D1_MARZO_2026[[ASESOR_CRR]:[META]],2,0)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PANTA</v>
      </c>
      <c r="C42" s="34" cm="1">
        <f t="array" ref="C42">_xlfn.XLOOKUP(1,(TablaMeta[CONCAT]=$M$3&amp;$N$3&amp;D1_MARZO_2026[[#This Row],[SUPER]])*(TablaMeta[SEGG]=D1_MARZO_2026[[#This Row],[SEGMENTO]]),TablaMeta[Meta_Asesor])</f>
        <v>22800</v>
      </c>
      <c r="D42" s="35">
        <f>IF(D1_MARZO_2026[[#This Row],[RECUPERO]]="VACACIONES","VACACIONES",IFERROR(D1_MARZO_2026[[#This Row],[RECUPERO]]/D1_MARZO_2026[[#This Row],[META]],""))</f>
        <v>0.76578947368421058</v>
      </c>
      <c r="E42" s="35" t="str">
        <f>D1_MARZO_2026[[#This Row],[SUPER]]</f>
        <v>LISELY</v>
      </c>
      <c r="F42" t="s">
        <v>495</v>
      </c>
      <c r="G42" s="3">
        <v>17460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DATA_MARZO_2026[[#This Row],[RECUPERO]]/DATA_MARZO_2026[[#This Row],[META]]</f>
        <v>0.47010894854586127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21013.87</v>
      </c>
      <c r="Q42" s="6">
        <f>VLOOKUP(DATA_MARZO_2026[[#This Row],[ASER_]],D1_MARZO_2026[[ASESOR_CRR]:[META]],2,0)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JUAN ALANOCCA</v>
      </c>
      <c r="C43" s="34" cm="1">
        <f t="array" ref="C43">_xlfn.XLOOKUP(1,(TablaMeta[CONCAT]=$M$3&amp;$N$3&amp;D1_MARZO_2026[[#This Row],[SUPER]])*(TablaMeta[SEGG]=D1_MARZO_2026[[#This Row],[SEGMENTO]]),TablaMeta[Meta_Asesor])</f>
        <v>22800</v>
      </c>
      <c r="D43" s="35">
        <f>IF(D1_MARZO_2026[[#This Row],[RECUPERO]]="VACACIONES","VACACIONES",IFERROR(D1_MARZO_2026[[#This Row],[RECUPERO]]/D1_MARZO_2026[[#This Row],[META]],""))</f>
        <v>0.5161842105263158</v>
      </c>
      <c r="E43" s="35" t="str">
        <f>D1_MARZO_2026[[#This Row],[SUPER]]</f>
        <v>LISELY</v>
      </c>
      <c r="F43" t="s">
        <v>626</v>
      </c>
      <c r="G43" s="3">
        <v>11769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DATA_MARZO_2026[[#This Row],[RECUPERO]]/DATA_MARZO_2026[[#This Row],[META]]</f>
        <v>0.53747203579418346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24025</v>
      </c>
      <c r="Q43" s="6">
        <f>VLOOKUP(DATA_MARZO_2026[[#This Row],[ASER_]],D1_MARZO_2026[[ASESOR_CRR]:[META]],2,0)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JANETH PORTOCARRERO</v>
      </c>
      <c r="C44" s="34" cm="1">
        <f t="array" ref="C44">_xlfn.XLOOKUP(1,(TablaMeta[CONCAT]=$M$3&amp;$N$3&amp;D1_MARZO_2026[[#This Row],[SUPER]])*(TablaMeta[SEGG]=D1_MARZO_2026[[#This Row],[SEGMENTO]]),TablaMeta[Meta_Asesor])</f>
        <v>22800</v>
      </c>
      <c r="D44" s="35">
        <f>IF(D1_MARZO_2026[[#This Row],[RECUPERO]]="VACACIONES","VACACIONES",IFERROR(D1_MARZO_2026[[#This Row],[RECUPERO]]/D1_MARZO_2026[[#This Row],[META]],""))</f>
        <v>0.49342105263157893</v>
      </c>
      <c r="E44" s="35" t="str">
        <f>D1_MARZO_2026[[#This Row],[SUPER]]</f>
        <v>LISELY</v>
      </c>
      <c r="F44" t="s">
        <v>49</v>
      </c>
      <c r="G44" s="3">
        <v>11250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0.76578947368421058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17460</v>
      </c>
      <c r="Q44" s="6">
        <f>VLOOKUP(DATA_MARZO_2026[[#This Row],[ASER_]],D1_MARZO_2026[[ASESOR_CRR]:[META]],2,0)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URSULA CENTENO</v>
      </c>
      <c r="C45" s="34" cm="1">
        <f t="array" ref="C45">_xlfn.XLOOKUP(1,(TablaMeta[CONCAT]=$M$3&amp;$N$3&amp;D1_MARZO_2026[[#This Row],[SUPER]])*(TablaMeta[SEGG]=D1_MARZO_2026[[#This Row],[SEGMENTO]]),TablaMeta[Meta_Asesor])</f>
        <v>22800</v>
      </c>
      <c r="D45" s="35">
        <f>IF(D1_MARZO_2026[[#This Row],[RECUPERO]]="VACACIONES","VACACIONES",IFERROR(D1_MARZO_2026[[#This Row],[RECUPERO]]/D1_MARZO_2026[[#This Row],[META]],""))</f>
        <v>0.25789473684210529</v>
      </c>
      <c r="E45" s="35" t="str">
        <f>D1_MARZO_2026[[#This Row],[SUPER]]</f>
        <v>LISELY</v>
      </c>
      <c r="F45" t="s">
        <v>78</v>
      </c>
      <c r="G45" s="3">
        <v>5880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0.23596491228070177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5380</v>
      </c>
      <c r="Q45" s="6">
        <f>VLOOKUP(DATA_MARZO_2026[[#This Row],[ASER_]],D1_MARZO_2026[[ASESOR_CRR]:[META]],2,0)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ALEJANDRO GONZALES</v>
      </c>
      <c r="C46" s="34" cm="1">
        <f t="array" ref="C46">_xlfn.XLOOKUP(1,(TablaMeta[CONCAT]=$M$3&amp;$N$3&amp;D1_MARZO_2026[[#This Row],[SUPER]])*(TablaMeta[SEGG]=D1_MARZO_2026[[#This Row],[SEGMENTO]]),TablaMeta[Meta_Asesor])</f>
        <v>22800</v>
      </c>
      <c r="D46" s="35">
        <f>IF(D1_MARZO_2026[[#This Row],[RECUPERO]]="VACACIONES","VACACIONES",IFERROR(D1_MARZO_2026[[#This Row],[RECUPERO]]/D1_MARZO_2026[[#This Row],[META]],""))</f>
        <v>0.23596491228070177</v>
      </c>
      <c r="E46" s="35" t="str">
        <f>D1_MARZO_2026[[#This Row],[SUPER]]</f>
        <v>LISELY</v>
      </c>
      <c r="F46" t="s">
        <v>109</v>
      </c>
      <c r="G46" s="3">
        <v>5380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0.49342105263157893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11250</v>
      </c>
      <c r="Q46" s="6">
        <f>VLOOKUP(DATA_MARZO_2026[[#This Row],[ASER_]],D1_MARZO_2026[[ASESOR_CRR]:[META]],2,0)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FERNANDA APAZA</v>
      </c>
      <c r="C47" s="34" cm="1">
        <f t="array" ref="C47">_xlfn.XLOOKUP(1,(TablaMeta[CONCAT]=$M$3&amp;$N$3&amp;D1_MARZO_2026[[#This Row],[SUPER]])*(TablaMeta[SEGG]=D1_MARZO_2026[[#This Row],[SEGMENTO]]),TablaMeta[Meta_Asesor])</f>
        <v>22800</v>
      </c>
      <c r="D47" s="35">
        <f>IF(D1_MARZO_2026[[#This Row],[RECUPERO]]="VACACIONES","VACACIONES",IFERROR(D1_MARZO_2026[[#This Row],[RECUPERO]]/D1_MARZO_2026[[#This Row],[META]],""))</f>
        <v>0.16228070175438597</v>
      </c>
      <c r="E47" s="35" t="str">
        <f>D1_MARZO_2026[[#This Row],[SUPER]]</f>
        <v>LISELY</v>
      </c>
      <c r="F47" t="s">
        <v>600</v>
      </c>
      <c r="G47" s="3">
        <v>3700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0.5161842105263158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11769</v>
      </c>
      <c r="Q47" s="6">
        <f>VLOOKUP(DATA_MARZO_2026[[#This Row],[ASER_]],D1_MARZO_2026[[ASESOR_CRR]:[META]],2,0)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PIERINA TESEN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0.7113646532438479</v>
      </c>
      <c r="E48" s="35" t="str">
        <f>D1_MARZO_2026[[#This Row],[SUPER]]</f>
        <v>LEONOR</v>
      </c>
      <c r="F48" t="s">
        <v>628</v>
      </c>
      <c r="G48" s="3">
        <v>31798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0.16228070175438597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3700</v>
      </c>
      <c r="Q48" s="6">
        <f>VLOOKUP(DATA_MARZO_2026[[#This Row],[ASER_]],D1_MARZO_2026[[ASESOR_CRR]:[META]],2,0)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ANALUCIA PONCE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0.53883668903803128</v>
      </c>
      <c r="E49" s="35" t="str">
        <f>D1_MARZO_2026[[#This Row],[SUPER]]</f>
        <v>LEONOR</v>
      </c>
      <c r="F49" t="s">
        <v>631</v>
      </c>
      <c r="G49" s="3">
        <v>24086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0.77280701754385961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IFERROR(VLOOKUP(DATA_MARZO_2026[[#This Row],[ASER_]],$B:$G,4,0),"")</f>
        <v>LISELY</v>
      </c>
      <c r="P49" s="6">
        <f>VLOOKUP(DATA_MARZO_2026[[#This Row],[ASER_]],D1_MARZO_2026[[ASESOR_CRR]:[RECUPERO]],6,0)</f>
        <v>17620</v>
      </c>
      <c r="Q49" s="6">
        <f>VLOOKUP(DATA_MARZO_2026[[#This Row],[ASER_]],D1_MARZO_2026[[ASESOR_CRR]:[META]],2,0)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CRISTINA TICONA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0.50527964205816556</v>
      </c>
      <c r="E50" s="35" t="str">
        <f>D1_MARZO_2026[[#This Row],[SUPER]]</f>
        <v>LEONOR</v>
      </c>
      <c r="F50" t="s">
        <v>61</v>
      </c>
      <c r="G50" s="3">
        <v>22586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0.25789473684210529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LISELY</v>
      </c>
      <c r="P50" s="6">
        <f>VLOOKUP(DATA_MARZO_2026[[#This Row],[ASER_]],D1_MARZO_2026[[ASESOR_CRR]:[RECUPERO]],6,0)</f>
        <v>5880</v>
      </c>
      <c r="Q50" s="6">
        <f>VLOOKUP(DATA_MARZO_2026[[#This Row],[ASER_]],D1_MARZO_2026[[ASESOR_CRR]:[META]],2,0)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ALEIDITH GUEVARA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0.35011185682326623</v>
      </c>
      <c r="E51" s="35" t="str">
        <f>D1_MARZO_2026[[#This Row],[SUPER]]</f>
        <v>LEONOR</v>
      </c>
      <c r="F51" t="s">
        <v>18</v>
      </c>
      <c r="G51" s="3">
        <v>15650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0.43281767955801104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IFERROR(VLOOKUP(DATA_MARZO_2026[[#This Row],[ASER_]],$B:$G,4,0),"")</f>
        <v>LISELY</v>
      </c>
      <c r="P51" s="6">
        <f>VLOOKUP(DATA_MARZO_2026[[#This Row],[ASER_]],D1_MARZO_2026[[ASESOR_CRR]:[RECUPERO]],6,0)</f>
        <v>7834</v>
      </c>
      <c r="Q51" s="6">
        <f>VLOOKUP(DATA_MARZO_2026[[#This Row],[ASER_]],D1_MARZO_2026[[ASESOR_CRR]:[META]],2,0)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ERIKA VILLAR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0.32483221476510066</v>
      </c>
      <c r="E52" s="35" t="str">
        <f>D1_MARZO_2026[[#This Row],[SUPER]]</f>
        <v>LEONOR</v>
      </c>
      <c r="F52" t="s">
        <v>629</v>
      </c>
      <c r="G52" s="3">
        <v>14520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0.12734806629834255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LISELY</v>
      </c>
      <c r="P52" s="6">
        <f>VLOOKUP(DATA_MARZO_2026[[#This Row],[ASER_]],D1_MARZO_2026[[ASESOR_CRR]:[RECUPERO]],6,0)</f>
        <v>2305</v>
      </c>
      <c r="Q52" s="6">
        <f>VLOOKUP(DATA_MARZO_2026[[#This Row],[ASER_]],D1_MARZO_2026[[ASESOR_CRR]:[META]],2,0)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DANIEL ZAPATA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0.28635346756152125</v>
      </c>
      <c r="E53" s="35" t="str">
        <f>D1_MARZO_2026[[#This Row],[SUPER]]</f>
        <v>LEONOR</v>
      </c>
      <c r="F53" t="s">
        <v>630</v>
      </c>
      <c r="G53" s="3">
        <v>12800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0.76248618784530386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IFERROR(VLOOKUP(DATA_MARZO_2026[[#This Row],[ASER_]],$B:$G,4,0),"")</f>
        <v>LISELY</v>
      </c>
      <c r="P53" s="6">
        <f>VLOOKUP(DATA_MARZO_2026[[#This Row],[ASER_]],D1_MARZO_2026[[ASESOR_CRR]:[RECUPERO]],6,0)</f>
        <v>13801</v>
      </c>
      <c r="Q53" s="6">
        <f>VLOOKUP(DATA_MARZO_2026[[#This Row],[ASER_]],D1_MARZO_2026[[ASESOR_CRR]:[META]],2,0)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GENESIS VICUNA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0.23664429530201342</v>
      </c>
      <c r="E54" s="35" t="str">
        <f>D1_MARZO_2026[[#This Row],[SUPER]]</f>
        <v>LEONOR</v>
      </c>
      <c r="F54" t="s">
        <v>632</v>
      </c>
      <c r="G54" s="3">
        <v>10578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0.10911602209944751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LISELY</v>
      </c>
      <c r="P54" s="6">
        <f>VLOOKUP(DATA_MARZO_2026[[#This Row],[ASER_]],D1_MARZO_2026[[ASESOR_CRR]:[RECUPERO]],6,0)</f>
        <v>1975</v>
      </c>
      <c r="Q54" s="6">
        <f>VLOOKUP(DATA_MARZO_2026[[#This Row],[ASER_]],D1_MARZO_2026[[ASESOR_CRR]:[META]],2,0)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JENY LAZARO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0.15436241610738255</v>
      </c>
      <c r="E55" s="35" t="str">
        <f>D1_MARZO_2026[[#This Row],[SUPER]]</f>
        <v>LEONOR</v>
      </c>
      <c r="F55" t="s">
        <v>633</v>
      </c>
      <c r="G55" s="3">
        <v>6900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0.19171270718232045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LISELY</v>
      </c>
      <c r="P55" s="6">
        <f>VLOOKUP(DATA_MARZO_2026[[#This Row],[ASER_]],D1_MARZO_2026[[ASESOR_CRR]:[RECUPERO]],6,0)</f>
        <v>3470</v>
      </c>
      <c r="Q55" s="6">
        <f>VLOOKUP(DATA_MARZO_2026[[#This Row],[ASER_]],D1_MARZO_2026[[ASESOR_CRR]:[META]],2,0)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0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MARIA TINTAYA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0.13870246085011187</v>
      </c>
      <c r="E56" s="35" t="str">
        <f>D1_MARZO_2026[[#This Row],[SUPER]]</f>
        <v>LEONOR</v>
      </c>
      <c r="F56" t="s">
        <v>634</v>
      </c>
      <c r="G56" s="3">
        <v>6200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0.14088397790055249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LISELY</v>
      </c>
      <c r="P56" s="6">
        <f>VLOOKUP(DATA_MARZO_2026[[#This Row],[ASER_]],D1_MARZO_2026[[ASESOR_CRR]:[RECUPERO]],6,0)</f>
        <v>2550</v>
      </c>
      <c r="Q56" s="6">
        <f>VLOOKUP(DATA_MARZO_2026[[#This Row],[ASER_]],D1_MARZO_2026[[ASESOR_CRR]:[META]],2,0)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A57" s="79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79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Row],[ASESOR]]="CRISTINA TINOCA ","CRISTINA TICONA",D1_MARZO_2026[[#This Row],[ASESOR]]="GERALDINE TENORIO","GERALDINE ARROYO",D1_MARZO_2026[[#This Row],[ASESOR]]="JUAN ALANOCA","JUAN ALANOCCA",D1_MARZO_2026[[#This Row],[ASESOR]]="JENY QUIÑONEZ","JENY QUINONES",D1_MARZO_2026[[#This Row],[ASESOR]]="JENY QUIÑONES","JENY QUINONES",D1_MARZO_2026[[#This Row],[ASESOR]]="JENY QUIÑONES","JENY QUINONES",D1_MARZO_2026[[#This Row],[ASESOR]]="JENY QUIÑONES","JENY QUINONES",D1_MARZO_2026[[#This Row],[ASESOR]]="JENY QUIÑONES","JENY QUINONES"),D1_MARZO_2026[[#This Row],[ASESOR]]))</f>
        <v>GERALDINE ARROYO</v>
      </c>
      <c r="C57" s="79" cm="1">
        <f t="array" ref="C57">_xlfn.XLOOKUP(1,(TablaMeta[CONCAT]=$M$3&amp;$N$3&amp;D1_MARZO_2026[[#This Row],[SUPER]])*(TablaMeta[SEGG]=D1_MARZO_2026[[#This Row],[SEGMENTO]]),TablaMeta[Meta_Asesor])</f>
        <v>44700</v>
      </c>
      <c r="D57" s="80">
        <f>IF(D1_MARZO_2026[[#This Row],[RECUPERO]]="VACACIONES","VACACIONES",IFERROR(D1_MARZO_2026[[#This Row],[RECUPERO]]/D1_MARZO_2026[[#This Row],[META]],""))</f>
        <v>0.10246085011185682</v>
      </c>
      <c r="E57" s="35" t="str">
        <f>D1_MARZO_2026[[#This Row],[SUPER]]</f>
        <v>LEONOR</v>
      </c>
      <c r="F57" t="s">
        <v>635</v>
      </c>
      <c r="G57" s="3">
        <v>4580</v>
      </c>
      <c r="H57" s="81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2026-05-25T15:03:53Z</dcterms:modified>
</cp:coreProperties>
</file>