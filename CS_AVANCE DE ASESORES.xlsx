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queryTables/queryTable1.xml" ContentType="application/vnd.openxmlformats-officedocument.spreadsheetml.query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115D07A-8843-4943-96E1-44013D44D504}" xr6:coauthVersionLast="47" xr6:coauthVersionMax="47" xr10:uidLastSave="{00000000-0000-0000-0000-000000000000}"/>
  <bookViews>
    <workbookView xWindow="-120" yWindow="-120" windowWidth="20730" windowHeight="11040" firstSheet="13" activeTab="15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17" r:id="rId16"/>
    <sheet name="INF" sheetId="28" r:id="rId17"/>
    <sheet name="DIM" sheetId="20" r:id="rId18"/>
    <sheet name="METAS" sheetId="22" r:id="rId19"/>
    <sheet name="CAPA" sheetId="29" r:id="rId20"/>
  </sheets>
  <definedNames>
    <definedName name="_xlnm._FilterDatabase" localSheetId="8" hidden="1">JULIO_2025!#REF!</definedName>
    <definedName name="DatosExternos_1" localSheetId="16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9" i="17" l="1"/>
  <c r="N59" i="17" s="1" a="1"/>
  <c r="N59" i="17" s="1"/>
  <c r="O59" i="17"/>
  <c r="P59" i="17" s="1"/>
  <c r="Q59" i="17"/>
  <c r="AN59" i="17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58" i="17" a="1"/>
  <c r="B58" i="17" s="1"/>
  <c r="F60" i="28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B57" i="17" a="1"/>
  <c r="B57" i="17" s="1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D21" i="30" l="1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8" i="17"/>
  <c r="E58" i="17"/>
  <c r="H58" i="17"/>
  <c r="I58" i="17"/>
  <c r="J58" i="17"/>
  <c r="A57" i="17"/>
  <c r="E57" i="17"/>
  <c r="H57" i="17"/>
  <c r="I57" i="17"/>
  <c r="J57" i="17"/>
  <c r="A56" i="17"/>
  <c r="J56" i="17"/>
  <c r="A55" i="17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E19" i="17" s="1"/>
  <c r="B18" i="17" a="1"/>
  <c r="B18" i="17" s="1"/>
  <c r="E18" i="17" s="1"/>
  <c r="B17" i="17" a="1"/>
  <c r="B17" i="17" s="1"/>
  <c r="E17" i="17" s="1"/>
  <c r="B16" i="17" a="1"/>
  <c r="B16" i="17" s="1"/>
  <c r="E16" i="17" s="1"/>
  <c r="B15" i="17" a="1"/>
  <c r="B15" i="17" s="1"/>
  <c r="E15" i="17" s="1"/>
  <c r="B14" i="17" a="1"/>
  <c r="B14" i="17" s="1"/>
  <c r="E14" i="17" s="1"/>
  <c r="B13" i="17" a="1"/>
  <c r="B13" i="17" s="1"/>
  <c r="E13" i="17" s="1"/>
  <c r="B12" i="17" a="1"/>
  <c r="B12" i="17" s="1"/>
  <c r="E12" i="17" s="1"/>
  <c r="B11" i="17" a="1"/>
  <c r="B11" i="17" s="1"/>
  <c r="E11" i="17" s="1"/>
  <c r="B10" i="17" a="1"/>
  <c r="B10" i="17" s="1"/>
  <c r="E10" i="17" s="1"/>
  <c r="B9" i="17" a="1"/>
  <c r="B9" i="17" s="1"/>
  <c r="E9" i="17" s="1"/>
  <c r="B8" i="17" a="1"/>
  <c r="B8" i="17" s="1"/>
  <c r="E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M58" i="17" l="1"/>
  <c r="N58" i="17" s="1" a="1"/>
  <c r="N58" i="17" s="1"/>
  <c r="Q58" i="17"/>
  <c r="O58" i="17"/>
  <c r="M57" i="17"/>
  <c r="N57" i="17" s="1" a="1"/>
  <c r="N57" i="17" s="1"/>
  <c r="O57" i="17"/>
  <c r="Q57" i="17"/>
  <c r="O56" i="17"/>
  <c r="O54" i="17"/>
  <c r="P54" i="17" s="1"/>
  <c r="C56" i="17"/>
  <c r="D56" i="17" s="1"/>
  <c r="C55" i="17"/>
  <c r="D55" i="17" s="1"/>
  <c r="C57" i="17"/>
  <c r="D57" i="17" s="1"/>
  <c r="M56" i="17" s="1"/>
  <c r="N56" i="17" s="1" a="1"/>
  <c r="N56" i="17" s="1"/>
  <c r="C58" i="17"/>
  <c r="D58" i="17" s="1"/>
  <c r="O53" i="17"/>
  <c r="H40" i="17"/>
  <c r="A11" i="17"/>
  <c r="C11" i="17" s="1"/>
  <c r="D11" i="17" s="1"/>
  <c r="J12" i="17"/>
  <c r="A46" i="17"/>
  <c r="C46" i="17" s="1"/>
  <c r="D46" i="17" s="1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E53" i="17"/>
  <c r="O55" i="17" s="1"/>
  <c r="A14" i="17"/>
  <c r="C14" i="17" s="1"/>
  <c r="D14" i="17" s="1"/>
  <c r="M55" i="17" s="1"/>
  <c r="N55" i="17" s="1" a="1"/>
  <c r="N55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J17" i="17"/>
  <c r="I17" i="17"/>
  <c r="J18" i="17"/>
  <c r="A18" i="17"/>
  <c r="C18" i="17" s="1"/>
  <c r="D18" i="17" s="1"/>
  <c r="A5" i="17"/>
  <c r="I5" i="17"/>
  <c r="J5" i="17"/>
  <c r="H5" i="17"/>
  <c r="E40" i="17"/>
  <c r="H9" i="17"/>
  <c r="I9" i="17"/>
  <c r="J9" i="17"/>
  <c r="A24" i="17"/>
  <c r="C24" i="17" s="1"/>
  <c r="D24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19" i="17"/>
  <c r="C19" i="17" s="1"/>
  <c r="J19" i="17"/>
  <c r="I19" i="17"/>
  <c r="H19" i="17"/>
  <c r="I22" i="17"/>
  <c r="H22" i="17"/>
  <c r="A22" i="17"/>
  <c r="C22" i="17" s="1"/>
  <c r="D22" i="17" s="1"/>
  <c r="J22" i="17"/>
  <c r="E22" i="17"/>
  <c r="I10" i="17"/>
  <c r="J10" i="17"/>
  <c r="H10" i="17"/>
  <c r="A10" i="17"/>
  <c r="C10" i="17" s="1"/>
  <c r="D10" i="17" s="1"/>
  <c r="J13" i="17"/>
  <c r="I13" i="17"/>
  <c r="H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I16" i="17"/>
  <c r="A16" i="17"/>
  <c r="C16" i="17" s="1"/>
  <c r="E36" i="17"/>
  <c r="I44" i="17"/>
  <c r="A47" i="17"/>
  <c r="C47" i="17" s="1"/>
  <c r="D47" i="17" s="1"/>
  <c r="J47" i="17"/>
  <c r="I47" i="17"/>
  <c r="H47" i="17"/>
  <c r="E25" i="17"/>
  <c r="H12" i="17"/>
  <c r="H25" i="17"/>
  <c r="E39" i="17"/>
  <c r="J46" i="17"/>
  <c r="I46" i="17"/>
  <c r="E6" i="17"/>
  <c r="I12" i="17"/>
  <c r="O52" i="17"/>
  <c r="E24" i="17"/>
  <c r="I25" i="17"/>
  <c r="H39" i="17"/>
  <c r="E47" i="17"/>
  <c r="H6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H46" i="17"/>
  <c r="J53" i="17"/>
  <c r="I53" i="17"/>
  <c r="H53" i="17"/>
  <c r="E25" i="29"/>
  <c r="A7" i="17"/>
  <c r="I14" i="17"/>
  <c r="H18" i="17"/>
  <c r="A36" i="17"/>
  <c r="C36" i="17" s="1"/>
  <c r="D36" i="17" s="1"/>
  <c r="A44" i="17"/>
  <c r="C44" i="17" s="1"/>
  <c r="D44" i="17" s="1"/>
  <c r="A48" i="17"/>
  <c r="C48" i="17" s="1"/>
  <c r="D48" i="17" s="1"/>
  <c r="E6" i="29"/>
  <c r="E19" i="29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P58" i="17" l="1"/>
  <c r="AN58" i="17"/>
  <c r="P57" i="17"/>
  <c r="AN57" i="17"/>
  <c r="Q56" i="17"/>
  <c r="P56" i="17"/>
  <c r="AN56" i="17"/>
  <c r="Q55" i="17"/>
  <c r="M53" i="17"/>
  <c r="N53" i="17" s="1" a="1"/>
  <c r="N53" i="17" s="1"/>
  <c r="P55" i="17"/>
  <c r="AN55" i="17"/>
  <c r="AN54" i="17"/>
  <c r="Q53" i="17"/>
  <c r="D19" i="17"/>
  <c r="M54" i="17" s="1"/>
  <c r="N54" i="17" s="1" a="1"/>
  <c r="N54" i="17" s="1"/>
  <c r="Q54" i="17"/>
  <c r="P53" i="17"/>
  <c r="AN53" i="17"/>
  <c r="D16" i="17"/>
  <c r="M52" i="17" s="1"/>
  <c r="N52" i="17" s="1" a="1"/>
  <c r="N52" i="17" s="1"/>
  <c r="Q52" i="17"/>
  <c r="P52" i="17"/>
  <c r="AN52" i="17"/>
  <c r="AR11" i="17"/>
  <c r="D31" i="29"/>
  <c r="O48" i="17"/>
  <c r="P48" i="17" s="1"/>
  <c r="O47" i="17"/>
  <c r="AN47" i="17" s="1"/>
  <c r="O38" i="17"/>
  <c r="P38" i="17" s="1"/>
  <c r="O14" i="17"/>
  <c r="AN14" i="17" s="1"/>
  <c r="AR13" i="17"/>
  <c r="O43" i="17"/>
  <c r="P43" i="17" s="1"/>
  <c r="O44" i="17"/>
  <c r="AN44" i="17" s="1"/>
  <c r="O28" i="17"/>
  <c r="P28" i="17" s="1"/>
  <c r="O32" i="17"/>
  <c r="P32" i="17" s="1"/>
  <c r="O42" i="17"/>
  <c r="AN42" i="17" s="1"/>
  <c r="O41" i="17"/>
  <c r="AN41" i="17" s="1"/>
  <c r="O31" i="17"/>
  <c r="P31" i="17" s="1"/>
  <c r="O45" i="17"/>
  <c r="AN45" i="17" s="1"/>
  <c r="O49" i="17"/>
  <c r="P49" i="17" s="1"/>
  <c r="O23" i="17"/>
  <c r="AN23" i="17" s="1"/>
  <c r="D28" i="29"/>
  <c r="D18" i="29"/>
  <c r="O34" i="17"/>
  <c r="AN34" i="17" s="1"/>
  <c r="D2" i="29"/>
  <c r="O39" i="17"/>
  <c r="AN39" i="17" s="1"/>
  <c r="O30" i="17"/>
  <c r="AN30" i="17" s="1"/>
  <c r="O9" i="17"/>
  <c r="AN9" i="17" s="1"/>
  <c r="O10" i="17"/>
  <c r="AN10" i="17" s="1"/>
  <c r="O21" i="17"/>
  <c r="P21" i="17" s="1"/>
  <c r="O19" i="17"/>
  <c r="P19" i="17" s="1"/>
  <c r="O18" i="17"/>
  <c r="P18" i="17" s="1"/>
  <c r="O11" i="17"/>
  <c r="AN11" i="17" s="1"/>
  <c r="O22" i="17"/>
  <c r="P22" i="17" s="1"/>
  <c r="D29" i="29"/>
  <c r="D20" i="29"/>
  <c r="O29" i="17"/>
  <c r="AN29" i="17" s="1"/>
  <c r="O25" i="17"/>
  <c r="P25" i="17" s="1"/>
  <c r="D7" i="29"/>
  <c r="D24" i="29"/>
  <c r="O33" i="17"/>
  <c r="AN33" i="17" s="1"/>
  <c r="D13" i="29"/>
  <c r="D17" i="29"/>
  <c r="D6" i="29"/>
  <c r="D23" i="29"/>
  <c r="D4" i="29"/>
  <c r="D5" i="29"/>
  <c r="O35" i="17"/>
  <c r="P35" i="17" s="1"/>
  <c r="D22" i="29"/>
  <c r="O24" i="17"/>
  <c r="P24" i="17" s="1"/>
  <c r="D25" i="29"/>
  <c r="D11" i="29"/>
  <c r="D16" i="29"/>
  <c r="O26" i="17"/>
  <c r="AN26" i="17" s="1"/>
  <c r="O51" i="17"/>
  <c r="P51" i="17" s="1"/>
  <c r="O46" i="17"/>
  <c r="P46" i="17" s="1"/>
  <c r="O27" i="17"/>
  <c r="AN27" i="17" s="1"/>
  <c r="O50" i="17"/>
  <c r="AN50" i="17" s="1"/>
  <c r="O16" i="17"/>
  <c r="AN16" i="17" s="1"/>
  <c r="O20" i="17"/>
  <c r="AN20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0" i="17"/>
  <c r="P40" i="17" s="1"/>
  <c r="D8" i="29"/>
  <c r="D21" i="29"/>
  <c r="O12" i="17"/>
  <c r="AN12" i="17" s="1"/>
  <c r="D3" i="29"/>
  <c r="O17" i="17"/>
  <c r="AN17" i="17" s="1"/>
  <c r="O15" i="17"/>
  <c r="P15" i="17" s="1"/>
  <c r="D19" i="29"/>
  <c r="O36" i="17"/>
  <c r="AN36" i="17" s="1"/>
  <c r="O37" i="17"/>
  <c r="P37" i="17" s="1"/>
  <c r="P44" i="17" l="1"/>
  <c r="AN48" i="17"/>
  <c r="P47" i="17"/>
  <c r="AN38" i="17"/>
  <c r="P14" i="17"/>
  <c r="AN43" i="17"/>
  <c r="P41" i="17"/>
  <c r="P45" i="17"/>
  <c r="Q36" i="17"/>
  <c r="M40" i="17"/>
  <c r="N40" i="17" s="1" a="1"/>
  <c r="N40" i="17" s="1"/>
  <c r="AN28" i="17"/>
  <c r="AN31" i="17"/>
  <c r="M39" i="17"/>
  <c r="N39" i="17" s="1" a="1"/>
  <c r="N39" i="17" s="1"/>
  <c r="M41" i="17"/>
  <c r="N41" i="17" s="1" a="1"/>
  <c r="N41" i="17" s="1"/>
  <c r="AN32" i="17"/>
  <c r="P29" i="17"/>
  <c r="P42" i="17"/>
  <c r="M51" i="17"/>
  <c r="N51" i="17" s="1" a="1"/>
  <c r="N51" i="17" s="1"/>
  <c r="AN49" i="17"/>
  <c r="Q31" i="17"/>
  <c r="M33" i="17"/>
  <c r="N33" i="17" s="1" a="1"/>
  <c r="N33" i="17" s="1"/>
  <c r="P23" i="17"/>
  <c r="M31" i="17"/>
  <c r="N31" i="17" s="1" a="1"/>
  <c r="N31" i="17" s="1"/>
  <c r="Q33" i="17"/>
  <c r="Q51" i="17"/>
  <c r="Q13" i="17"/>
  <c r="Q12" i="17"/>
  <c r="AN35" i="17"/>
  <c r="P39" i="17"/>
  <c r="P34" i="17"/>
  <c r="P30" i="17"/>
  <c r="M42" i="17"/>
  <c r="N42" i="17" s="1" a="1"/>
  <c r="N42" i="17" s="1"/>
  <c r="M43" i="17"/>
  <c r="N43" i="17" s="1" a="1"/>
  <c r="N43" i="17" s="1"/>
  <c r="Q32" i="17"/>
  <c r="P10" i="17"/>
  <c r="P33" i="17"/>
  <c r="Q47" i="17"/>
  <c r="M17" i="17"/>
  <c r="N17" i="17" s="1" a="1"/>
  <c r="N17" i="17" s="1"/>
  <c r="M47" i="17"/>
  <c r="N47" i="17" s="1" a="1"/>
  <c r="N47" i="17" s="1"/>
  <c r="Q43" i="17"/>
  <c r="Q42" i="17"/>
  <c r="Q41" i="17"/>
  <c r="M27" i="17"/>
  <c r="N27" i="17" s="1" a="1"/>
  <c r="N27" i="17" s="1"/>
  <c r="M32" i="17"/>
  <c r="N32" i="17" s="1" a="1"/>
  <c r="N32" i="17" s="1"/>
  <c r="M36" i="17"/>
  <c r="N36" i="17" s="1" a="1"/>
  <c r="N36" i="17" s="1"/>
  <c r="Q35" i="17"/>
  <c r="Q38" i="17"/>
  <c r="M38" i="17"/>
  <c r="N38" i="17" s="1" a="1"/>
  <c r="N38" i="17" s="1"/>
  <c r="AN18" i="17"/>
  <c r="AN21" i="17"/>
  <c r="M22" i="17"/>
  <c r="N22" i="17" s="1" a="1"/>
  <c r="N22" i="17" s="1"/>
  <c r="P20" i="17"/>
  <c r="P11" i="17"/>
  <c r="Q27" i="17"/>
  <c r="Q20" i="17"/>
  <c r="AN24" i="17"/>
  <c r="P9" i="17"/>
  <c r="M20" i="17"/>
  <c r="N20" i="17" s="1" a="1"/>
  <c r="N20" i="17" s="1"/>
  <c r="Q19" i="17"/>
  <c r="M18" i="17"/>
  <c r="N18" i="17" s="1" a="1"/>
  <c r="N18" i="17" s="1"/>
  <c r="M12" i="17"/>
  <c r="N12" i="17" s="1" a="1"/>
  <c r="N12" i="17" s="1"/>
  <c r="M13" i="17"/>
  <c r="N13" i="17" s="1" a="1"/>
  <c r="N13" i="17" s="1"/>
  <c r="AN22" i="17"/>
  <c r="Q24" i="17"/>
  <c r="AN19" i="17"/>
  <c r="AN25" i="17"/>
  <c r="M19" i="17"/>
  <c r="N19" i="17" s="1" a="1"/>
  <c r="N19" i="17" s="1"/>
  <c r="M24" i="17"/>
  <c r="N24" i="17" s="1" a="1"/>
  <c r="N24" i="17" s="1"/>
  <c r="Q22" i="17"/>
  <c r="Q17" i="17"/>
  <c r="M11" i="17"/>
  <c r="N11" i="17" s="1" a="1"/>
  <c r="N11" i="17" s="1"/>
  <c r="P16" i="17"/>
  <c r="Q11" i="17"/>
  <c r="Q49" i="17"/>
  <c r="Q21" i="17"/>
  <c r="M35" i="17"/>
  <c r="N35" i="17" s="1" a="1"/>
  <c r="N35" i="17" s="1"/>
  <c r="P26" i="17"/>
  <c r="M49" i="17"/>
  <c r="N49" i="17" s="1" a="1"/>
  <c r="N49" i="17" s="1"/>
  <c r="AN51" i="17"/>
  <c r="M34" i="17"/>
  <c r="N34" i="17" s="1" a="1"/>
  <c r="N34" i="17" s="1"/>
  <c r="M44" i="17"/>
  <c r="N44" i="17" s="1" a="1"/>
  <c r="N44" i="17" s="1"/>
  <c r="Q25" i="17"/>
  <c r="Q39" i="17"/>
  <c r="Q37" i="17"/>
  <c r="Q30" i="17"/>
  <c r="Q18" i="17"/>
  <c r="M46" i="17"/>
  <c r="N46" i="17" s="1" a="1"/>
  <c r="N46" i="17" s="1"/>
  <c r="M37" i="17"/>
  <c r="N37" i="17" s="1" a="1"/>
  <c r="N37" i="17" s="1"/>
  <c r="Q34" i="17"/>
  <c r="Q40" i="17"/>
  <c r="Q26" i="17"/>
  <c r="M30" i="17"/>
  <c r="N30" i="17" s="1" a="1"/>
  <c r="N30" i="17" s="1"/>
  <c r="M26" i="17"/>
  <c r="N26" i="17" s="1" a="1"/>
  <c r="N26" i="17" s="1"/>
  <c r="Q44" i="17"/>
  <c r="M45" i="17"/>
  <c r="N45" i="17" s="1" a="1"/>
  <c r="N45" i="17" s="1"/>
  <c r="Q48" i="17"/>
  <c r="P27" i="17"/>
  <c r="Q50" i="17"/>
  <c r="Q45" i="17"/>
  <c r="AN46" i="17"/>
  <c r="Q29" i="17"/>
  <c r="Q28" i="17"/>
  <c r="M50" i="17"/>
  <c r="N50" i="17" s="1" a="1"/>
  <c r="N50" i="17" s="1"/>
  <c r="M48" i="17"/>
  <c r="N48" i="17" s="1" a="1"/>
  <c r="N48" i="17" s="1"/>
  <c r="P50" i="17"/>
  <c r="M25" i="17"/>
  <c r="N25" i="17" s="1" a="1"/>
  <c r="N25" i="17" s="1"/>
  <c r="M29" i="17"/>
  <c r="N29" i="17" s="1" a="1"/>
  <c r="N29" i="17" s="1"/>
  <c r="M28" i="17"/>
  <c r="N28" i="17" s="1" a="1"/>
  <c r="N28" i="17" s="1"/>
  <c r="Q46" i="17"/>
  <c r="Q14" i="17"/>
  <c r="Q23" i="17"/>
  <c r="M14" i="17"/>
  <c r="N14" i="17" s="1" a="1"/>
  <c r="N14" i="17" s="1"/>
  <c r="AN13" i="17"/>
  <c r="M23" i="17"/>
  <c r="N23" i="17" s="1" a="1"/>
  <c r="N23" i="17" s="1"/>
  <c r="M21" i="17"/>
  <c r="N21" i="17" s="1" a="1"/>
  <c r="N21" i="17" s="1"/>
  <c r="Q10" i="17"/>
  <c r="Q16" i="17"/>
  <c r="M10" i="17"/>
  <c r="N10" i="17" s="1" a="1"/>
  <c r="N10" i="17" s="1"/>
  <c r="M15" i="17"/>
  <c r="N15" i="17" s="1" a="1"/>
  <c r="N15" i="17" s="1"/>
  <c r="M16" i="17"/>
  <c r="N16" i="17" s="1" a="1"/>
  <c r="N16" i="17" s="1"/>
  <c r="Q15" i="17"/>
  <c r="Q9" i="17"/>
  <c r="M9" i="17"/>
  <c r="N9" i="17" s="1" a="1"/>
  <c r="N9" i="17" s="1"/>
  <c r="AN40" i="17"/>
  <c r="P36" i="17"/>
  <c r="AN3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<sst xmlns="http://schemas.openxmlformats.org/spreadsheetml/2006/main" count="11840" uniqueCount="583">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</sst>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9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989"/>
    </tableStyle>
    <tableStyle name="Estilo de tabla dinámica 2" table="0" count="1" xr9:uid="{9E60CF16-845A-4669-9AA4-E5ACD7B8B1A8}">
      <tableStyleElement type="headerRow" dxfId="988"/>
    </tableStyle>
    <tableStyle name="Estilo de tabla dinámica 3" table="0" count="1" xr9:uid="{A9F08836-5681-4078-A387-711930301837}">
      <tableStyleElement type="headerRow" dxfId="9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986" tableBorderDxfId="985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984">
      <calculatedColumnFormula>DATA_NOVIEMBRE_2024[[#This Row],[RECUPERO]]/DATA_NOVIEMBRE_2024[[#This Row],[META]]</calculatedColumnFormula>
    </tableColumn>
    <tableColumn id="2" xr3:uid="{8B46A38D-7233-499F-B1DE-FB511E519FF9}" name="CLASIFICACIÓN" dataDxfId="983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82"/>
    <tableColumn id="1" xr3:uid="{6BE1DCAD-FFC1-41E5-BE9A-DDFCB075F86E}" name="RECUPERO" dataDxfId="981">
      <calculatedColumnFormula>SUM(DATA_NOVIEMBRE_2024[[#This Row],[1]:[31]])</calculatedColumnFormula>
    </tableColumn>
    <tableColumn id="6" xr3:uid="{9DC6CD9E-A550-4452-954F-6EA70609499E}" name="META" dataDxfId="980"/>
    <tableColumn id="7" xr3:uid="{253195A7-7D47-486A-80F6-796ADB20EC53}" name="ASER_" dataDxfId="979"/>
    <tableColumn id="4" xr3:uid="{202FFDF7-B7CF-4672-95EA-680792362409}" name="1" dataDxfId="978"/>
    <tableColumn id="8" xr3:uid="{72687A8D-B0F6-4DDB-88CE-1067530F054A}" name="2" dataDxfId="977"/>
    <tableColumn id="9" xr3:uid="{F4E2F670-BFF9-4FD3-A0D4-C9CAB825BC0C}" name="3" dataDxfId="976"/>
    <tableColumn id="10" xr3:uid="{DBA3AC26-F584-4CBE-8D86-75C4463192B1}" name="4" dataDxfId="975"/>
    <tableColumn id="11" xr3:uid="{219202FB-F58A-440D-8D19-01059AA56BAB}" name="5" dataDxfId="974"/>
    <tableColumn id="12" xr3:uid="{2AF7B6E4-01F3-401E-BF95-3CFAB27577BC}" name="6" dataDxfId="973"/>
    <tableColumn id="13" xr3:uid="{24CA335A-580E-4429-A4F8-DFAB61DD23F8}" name="7" dataDxfId="972"/>
    <tableColumn id="14" xr3:uid="{4A96EC6B-C7D3-4A7F-8B4B-F3D8AF9FE594}" name="8" dataDxfId="971"/>
    <tableColumn id="15" xr3:uid="{BA9F52F9-841F-49D0-AFFC-4D571D566DE4}" name="9" dataDxfId="970"/>
    <tableColumn id="16" xr3:uid="{409BE12D-B77E-48C5-951D-B87CB101AD44}" name="10" dataDxfId="969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68"/>
    <tableColumn id="18" xr3:uid="{517449FB-ABB0-4312-822F-083501FE4456}" name="23" dataDxfId="967"/>
    <tableColumn id="19" xr3:uid="{F22CE4E7-E04E-47AF-97E3-BEAFF6BC2F5E}" name="24" dataDxfId="966"/>
    <tableColumn id="20" xr3:uid="{FE9C6881-7986-46E5-B896-D446A4BEF596}" name="25" dataDxfId="965"/>
    <tableColumn id="21" xr3:uid="{32A09EFC-675D-4983-B360-4DBEAB2EE4FA}" name="26" dataDxfId="964"/>
    <tableColumn id="22" xr3:uid="{02F89659-315D-4DE1-BE9C-A8C4FBB65511}" name="27" dataDxfId="963"/>
    <tableColumn id="23" xr3:uid="{E556EC76-1435-4562-B8FF-767920C873C4}" name="28" dataDxfId="962"/>
    <tableColumn id="24" xr3:uid="{E42123DE-6B43-4653-BF5B-323243D5FCAD}" name="29" dataDxfId="961"/>
    <tableColumn id="25" xr3:uid="{71D65AF5-510E-457D-B0E2-F9582E783D67}" name="30" dataDxfId="960"/>
    <tableColumn id="26" xr3:uid="{3E966EE9-5B51-4732-8107-B252301503A4}" name="31" dataDxfId="959"/>
    <tableColumn id="27" xr3:uid="{6F804D29-D57D-4925-9B25-DD58FD9CD4C1}" name="CARTERA ASESOR" dataDxfId="9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57">
  <autoFilter ref="A2:J72" xr:uid="{AEA51657-9DFD-4518-856A-D830285E4602}"/>
  <tableColumns count="10">
    <tableColumn id="1" xr3:uid="{471651EC-762A-4439-9E09-36CE7484C7DB}" name="SUPER" dataDxfId="956"/>
    <tableColumn id="2" xr3:uid="{85C17B1E-7CF3-4112-8B36-78A801EE3005}" name="ASESOR_CRR" dataDxfId="955">
      <calculatedColumnFormula>D1_NOVIEMBRE_2024[[#This Row],[ASESOR]]</calculatedColumnFormula>
    </tableColumn>
    <tableColumn id="5" xr3:uid="{0BDBF623-DEA9-4A29-8D28-4030A786FE51}" name="META" dataDxfId="954">
      <calculatedColumnFormula>VLOOKUP(D1_NOVIEMBRE_2024[[#This Row],[SUPER]],DATA_NOVIEMBRE_2024[[SUPERVISOR]:[META]],3,0)</calculatedColumnFormula>
    </tableColumn>
    <tableColumn id="6" xr3:uid="{C702AF9F-4896-48CF-895F-224FB32B617C}" name="ALCANCE" dataDxfId="953">
      <calculatedColumnFormula>D1_NOVIEMBRE_2024[[#This Row],[RECUPERO]]/D1_NOVIEMBRE_2024[[#This Row],[META]]</calculatedColumnFormula>
    </tableColumn>
    <tableColumn id="7" xr3:uid="{D7917A8B-F33C-40CB-980B-776F1F99832F}" name="SUPER2" dataDxfId="952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51"/>
    <tableColumn id="8" xr3:uid="{C288ADF8-0B7D-46E8-A515-7A398BFBAFF5}" name="DNI" dataDxfId="950"/>
    <tableColumn id="9" xr3:uid="{9816B6C7-AE6F-49DA-A0C6-21A173A63635}" name="FECHA DE INGRESO" dataDxfId="949"/>
    <tableColumn id="10" xr3:uid="{342ACA45-E672-4A50-BD93-4F29AC6175A9}" name="ESTADO" dataDxfId="9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47" dataDxfId="945" headerRowBorderDxfId="946" tableBorderDxfId="944" totalsRowBorderDxfId="943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42"/>
    <tableColumn id="3" xr3:uid="{734C6C88-3899-4B11-A8BB-68F60FEB745F}" name="RECUPERO SUPERVISOR" dataDxfId="941">
      <calculatedColumnFormula>MAX(DITE_NOVIEMBRE_2024[[#This Row],[1]:[31]])</calculatedColumnFormula>
    </tableColumn>
    <tableColumn id="4" xr3:uid="{ECE5B99F-FD83-4520-9BD0-C6F22F1D89DE}" name="ALCANCE SUPERVISOR" dataDxfId="940">
      <calculatedColumnFormula>DITE_NOVIEMBRE_2024[[#This Row],[RECUPERO SUPERVISOR]]/AZ9</calculatedColumnFormula>
    </tableColumn>
    <tableColumn id="1" xr3:uid="{3C6266ED-8A4A-4ABB-A9C5-F6D7C3A28E1C}" name="SUPER" dataDxfId="939"/>
    <tableColumn id="6" xr3:uid="{8E1962E6-B227-403D-959C-EC0A84512E7F}" name="1" dataDxfId="938"/>
    <tableColumn id="7" xr3:uid="{82013CDA-2013-412E-8FF7-7857EB3BAAEB}" name="2" dataDxfId="937"/>
    <tableColumn id="36" xr3:uid="{F80449E7-9C09-4D54-AD2B-6D30BBE4BFFD}" name="3" dataDxfId="936"/>
    <tableColumn id="8" xr3:uid="{6BAF72DE-4BC7-441F-A85E-9041EF3899D9}" name="4" dataDxfId="935"/>
    <tableColumn id="9" xr3:uid="{3D9FCE7A-2F3D-4CC9-8A91-10BD16A7E640}" name="5" dataDxfId="934"/>
    <tableColumn id="10" xr3:uid="{BEDD9763-065B-45CB-AE2B-710FA8B66ADE}" name="6" dataDxfId="933"/>
    <tableColumn id="11" xr3:uid="{BC3C528B-42C9-4B2F-9619-B254969267D0}" name="7" dataDxfId="932"/>
    <tableColumn id="12" xr3:uid="{0A48E3CB-F739-4C32-945D-648E7EB8070E}" name="8" dataDxfId="931"/>
    <tableColumn id="13" xr3:uid="{B96192EF-9446-4291-B1F2-DB704B1D3A04}" name="9" dataDxfId="930"/>
    <tableColumn id="14" xr3:uid="{604B61A4-751B-4BF0-9D80-954CAB1D08B0}" name="10" dataDxfId="929"/>
    <tableColumn id="15" xr3:uid="{9BAD68A4-5571-4BDA-97CB-9067D42459EC}" name="11" dataDxfId="928"/>
    <tableColumn id="32" xr3:uid="{D6886672-9386-4ADF-AED9-8A33D204EF56}" name="12" dataDxfId="927"/>
    <tableColumn id="33" xr3:uid="{3D371433-AC3E-4391-8C88-2354E3462A27}" name="13" dataDxfId="926"/>
    <tableColumn id="35" xr3:uid="{58EC2E80-FD81-492B-8002-FCEB99DCCCA5}" name="14" dataDxfId="925"/>
    <tableColumn id="34" xr3:uid="{BBD59636-2F98-4BBE-8F44-00F7C13015FB}" name="15" dataDxfId="924"/>
    <tableColumn id="29" xr3:uid="{DD6F0447-F620-4F38-AAE2-F94C7BD1301A}" name="16" dataDxfId="923"/>
    <tableColumn id="30" xr3:uid="{AEA6202E-0E43-491B-9DE9-B12618DFE3C3}" name="17" dataDxfId="922"/>
    <tableColumn id="31" xr3:uid="{7F0C4991-2DDA-47D6-8952-EF0420833FE2}" name="18" dataDxfId="921"/>
    <tableColumn id="26" xr3:uid="{63319244-ED6C-4CB6-91C9-FD0B33FFFA44}" name="19" dataDxfId="920"/>
    <tableColumn id="27" xr3:uid="{3ED47FDF-F24A-4EC8-9029-689369682758}" name="20" dataDxfId="919"/>
    <tableColumn id="28" xr3:uid="{B5758593-5927-4B15-9EF3-08A6AA13FEE5}" name="21" dataDxfId="918"/>
    <tableColumn id="16" xr3:uid="{A79A9DD4-74CF-4F17-A260-30A614552C96}" name="22" dataDxfId="917"/>
    <tableColumn id="17" xr3:uid="{A3AD1A97-629C-494C-8C66-6BA86E905D7F}" name="23" dataDxfId="916"/>
    <tableColumn id="18" xr3:uid="{BF0972B0-617B-4546-9271-F4E0D9F96151}" name="24" dataDxfId="915"/>
    <tableColumn id="19" xr3:uid="{A9D6B970-56DB-403D-9EC5-9A1114D18DD8}" name="25" dataDxfId="914"/>
    <tableColumn id="20" xr3:uid="{87CB9ADC-EDEB-4C07-8A41-D10A3E379763}" name="26" dataDxfId="913"/>
    <tableColumn id="21" xr3:uid="{4E36C293-1144-4926-8E91-3475130D3D19}" name="27" dataDxfId="912"/>
    <tableColumn id="22" xr3:uid="{ACDA0744-1D85-4327-BD2E-0D10C5E5827D}" name="28" dataDxfId="911"/>
    <tableColumn id="23" xr3:uid="{A55279AC-F17C-48C7-B6F4-AFD7642F257E}" name="29" dataDxfId="910"/>
    <tableColumn id="24" xr3:uid="{B30A56B6-4B82-41A1-BE7F-1D370BF48A8B}" name="30" dataDxfId="909"/>
    <tableColumn id="25" xr3:uid="{2121F136-11EF-4DC1-9A0A-C968CE5BD71B}" name="31" dataDxfId="908"/>
    <tableColumn id="5" xr3:uid="{9A6ECD1E-A39C-4D33-BBF6-B37C7AF2A67C}" name="CARTERA" dataDxfId="90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06" tableBorderDxfId="905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04">
      <calculatedColumnFormula>DATA_DICIEMBRE_2024[[#This Row],[RECUPERO]]/DATA_DICIEMBRE_2024[[#This Row],[META]]</calculatedColumnFormula>
    </tableColumn>
    <tableColumn id="2" xr3:uid="{AE497F25-36CD-42FB-B18F-59D419263CBC}" name="CLASIFICACIÓN" dataDxfId="903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02"/>
    <tableColumn id="1" xr3:uid="{ACC31C15-573E-4606-A6FB-ECDC2B30F8A4}" name="RECUPERO" dataDxfId="901">
      <calculatedColumnFormula>SUM(DATA_DICIEMBRE_2024[[#This Row],[1]:[31]])</calculatedColumnFormula>
    </tableColumn>
    <tableColumn id="6" xr3:uid="{0A0FD23F-3FE0-43BD-93B2-D5A21E0A8419}" name="META" dataDxfId="900"/>
    <tableColumn id="7" xr3:uid="{BAAC5683-E69F-4D8D-9823-6A62CD920015}" name="ASER_" dataDxfId="899"/>
    <tableColumn id="4" xr3:uid="{E80ABAB5-F841-47AC-9407-E06974270343}" name="1" dataDxfId="898"/>
    <tableColumn id="8" xr3:uid="{38214265-844B-4AAB-9AAF-66AE68E1B01F}" name="2" dataDxfId="897"/>
    <tableColumn id="9" xr3:uid="{9DE83FFA-F0EB-48A8-9B9B-94D3A5F4EA89}" name="3" dataDxfId="896"/>
    <tableColumn id="10" xr3:uid="{F01FCEA0-C6B5-45DC-BF35-2E20D08D1987}" name="4" dataDxfId="895"/>
    <tableColumn id="11" xr3:uid="{486A6BCD-590A-4F51-95FC-FF8E80EED672}" name="5" dataDxfId="894"/>
    <tableColumn id="12" xr3:uid="{6A13993E-4132-4D1F-8103-9B935139982B}" name="6" dataDxfId="893"/>
    <tableColumn id="13" xr3:uid="{24798E59-2FD3-45E0-9839-56EDF52F39D9}" name="7" dataDxfId="892"/>
    <tableColumn id="14" xr3:uid="{0A505D6A-B620-43DD-BE95-5375CFEB2C9E}" name="8" dataDxfId="891"/>
    <tableColumn id="15" xr3:uid="{B4A01763-2933-4990-84AC-2EE6364157A1}" name="9" dataDxfId="890"/>
    <tableColumn id="16" xr3:uid="{BF1956FE-127F-474F-B12A-D74A62785650}" name="10" dataDxfId="889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888"/>
    <tableColumn id="18" xr3:uid="{43369C00-795D-4124-B5FB-CE33A1429479}" name="23" dataDxfId="887"/>
    <tableColumn id="19" xr3:uid="{34A49AC6-3FC3-4ACE-8C81-C9AB9CD6BF1C}" name="24" dataDxfId="886"/>
    <tableColumn id="20" xr3:uid="{62E7E367-E664-47D4-A998-F69A442883A3}" name="25" dataDxfId="885"/>
    <tableColumn id="21" xr3:uid="{38ED713F-D0AE-4A42-8586-07C0CFE7FD0D}" name="26" dataDxfId="884"/>
    <tableColumn id="22" xr3:uid="{777A8FFE-C36F-4CC0-9736-E3B5572BB43B}" name="27" dataDxfId="883"/>
    <tableColumn id="23" xr3:uid="{9793EF6D-52A7-486F-9DA0-5EC6B4742B0D}" name="28" dataDxfId="882"/>
    <tableColumn id="24" xr3:uid="{8675AF28-0AC8-42A2-9C9D-B652E1F578AA}" name="29" dataDxfId="881"/>
    <tableColumn id="25" xr3:uid="{69A4324E-C083-46F7-9045-4F5A0A8A7029}" name="30" dataDxfId="880"/>
    <tableColumn id="26" xr3:uid="{DBC5694B-2026-414C-ACC6-93144006A162}" name="31" dataDxfId="879"/>
    <tableColumn id="27" xr3:uid="{823ED1C1-B820-4301-889D-715B402B64AE}" name="CARTERA ASESOR" dataDxfId="87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77">
  <autoFilter ref="A2:J76" xr:uid="{F6E10C3A-51B0-46B0-AC7A-178487A186FC}"/>
  <tableColumns count="10">
    <tableColumn id="1" xr3:uid="{27AC9715-D9AF-4425-8467-97D5ACDF32DB}" name="SUPER" dataDxfId="876"/>
    <tableColumn id="2" xr3:uid="{60BCBFC1-6517-433B-923C-CCB32F89496C}" name="ASESOR_CRR" dataDxfId="875">
      <calculatedColumnFormula>D1_DICIEMBRE_2024[[#This Row],[ASESOR]]</calculatedColumnFormula>
    </tableColumn>
    <tableColumn id="5" xr3:uid="{FE528A67-2FD9-481D-A3BD-D0593BF1728D}" name="META" dataDxfId="874">
      <calculatedColumnFormula>VLOOKUP(D1_DICIEMBRE_2024[[#This Row],[SUPER]],DATA_DICIEMBRE_2024[[SUPERVISOR]:[META]],3,0)</calculatedColumnFormula>
    </tableColumn>
    <tableColumn id="6" xr3:uid="{9F920DCF-74DA-4A35-AEB6-9874EC115540}" name="ALCANCE" dataDxfId="873">
      <calculatedColumnFormula>D1_DICIEMBRE_2024[[#This Row],[RECUPERO]]/D1_DICIEMBRE_2024[[#This Row],[META]]</calculatedColumnFormula>
    </tableColumn>
    <tableColumn id="7" xr3:uid="{A0A51D41-B7D6-4CCC-ACCB-42E0C653AD2F}" name="SUPER2" dataDxfId="872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71"/>
    <tableColumn id="8" xr3:uid="{894A3BEA-774F-4F80-88D8-1B289CA5BA86}" name="DNI" dataDxfId="870"/>
    <tableColumn id="9" xr3:uid="{803AE20B-2CCD-451D-A530-6F128D73F913}" name="FECHA DE INGRESO" dataDxfId="869"/>
    <tableColumn id="10" xr3:uid="{49EAA54F-6677-4846-BCD1-109279DB3A73}" name="ESTADO" dataDxfId="86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67" dataDxfId="865" headerRowBorderDxfId="866" tableBorderDxfId="864" totalsRowBorderDxfId="863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62"/>
    <tableColumn id="3" xr3:uid="{ABE326D8-B04B-4CEC-9F6E-FE25C0EE8AA0}" name="RECUPERO SUPERVISOR" dataDxfId="861">
      <calculatedColumnFormula>MAX(DITE_DICIEMBRE_2024[[#This Row],[1]:[31]])</calculatedColumnFormula>
    </tableColumn>
    <tableColumn id="4" xr3:uid="{9E55702C-7024-420F-8940-D2C1A0A3CA1D}" name="ALCANCE SUPERVISOR" dataDxfId="860">
      <calculatedColumnFormula>DITE_DICIEMBRE_2024[[#This Row],[RECUPERO SUPERVISOR]]/AZ9</calculatedColumnFormula>
    </tableColumn>
    <tableColumn id="1" xr3:uid="{5009DC4C-3EA4-45D5-A15D-072373F4AE20}" name="SUPER" dataDxfId="859"/>
    <tableColumn id="6" xr3:uid="{D0AF21FC-B7C0-49FB-B06D-CEE18869F451}" name="1" dataDxfId="858"/>
    <tableColumn id="7" xr3:uid="{13740F97-8E6D-486C-956C-27845E43364F}" name="2" dataDxfId="857"/>
    <tableColumn id="36" xr3:uid="{D8D06FB7-6376-4BDE-8C73-E14742A693D2}" name="3" dataDxfId="856"/>
    <tableColumn id="8" xr3:uid="{6A7AE4CF-8204-4E27-89B3-519888750343}" name="4" dataDxfId="855"/>
    <tableColumn id="9" xr3:uid="{E68D0942-B003-4636-896B-C7F7CC5DF30B}" name="5" dataDxfId="854"/>
    <tableColumn id="10" xr3:uid="{A130D834-D24E-4226-8974-EAEEC5239084}" name="6" dataDxfId="853"/>
    <tableColumn id="11" xr3:uid="{B74AC268-8591-43DA-A0A0-8EED3A99A7E6}" name="7" dataDxfId="852"/>
    <tableColumn id="12" xr3:uid="{3E5A00D6-9077-4087-98FC-A1F995D9E85D}" name="8" dataDxfId="851"/>
    <tableColumn id="13" xr3:uid="{1C1866E7-047F-4D10-9606-401FEC40FA49}" name="9" dataDxfId="850"/>
    <tableColumn id="14" xr3:uid="{1A856C2F-9F0A-48E6-A1F8-02744BF96124}" name="10" dataDxfId="849"/>
    <tableColumn id="15" xr3:uid="{4AF6AE1F-C32E-4098-A90E-906C45E577A6}" name="11" dataDxfId="848"/>
    <tableColumn id="32" xr3:uid="{22F83872-EA87-4B20-AC9C-A5E2ACD10B99}" name="12" dataDxfId="847"/>
    <tableColumn id="33" xr3:uid="{98BD9E2A-AADA-4033-A5CA-E179FF24557D}" name="13" dataDxfId="846"/>
    <tableColumn id="35" xr3:uid="{700503A6-DBA0-45CB-A088-D89AE0558CCF}" name="14" dataDxfId="845"/>
    <tableColumn id="34" xr3:uid="{C5A60DDC-0D8C-41E0-A0F0-FBB45535E86A}" name="15" dataDxfId="844"/>
    <tableColumn id="29" xr3:uid="{D5EC2BDA-E6C3-4A4D-A6AD-950B2D0490AB}" name="16" dataDxfId="843"/>
    <tableColumn id="30" xr3:uid="{349CB117-97C5-4862-848C-38A5D8F531C9}" name="17" dataDxfId="842"/>
    <tableColumn id="31" xr3:uid="{C11D4844-CCFA-4F14-88FA-CE5B9B605A6F}" name="18" dataDxfId="841"/>
    <tableColumn id="26" xr3:uid="{F17C536A-13C6-44BF-A1D0-9E0F529A2288}" name="19" dataDxfId="840"/>
    <tableColumn id="27" xr3:uid="{784AEED1-4141-49AA-B4F6-24141E5B4FA4}" name="20" dataDxfId="839"/>
    <tableColumn id="28" xr3:uid="{5FA3E61C-F996-45DB-8D68-7A355B9D9345}" name="21" dataDxfId="838"/>
    <tableColumn id="16" xr3:uid="{3CDD7303-1AA0-4E13-B85B-07CCE6B3675D}" name="22" dataDxfId="837"/>
    <tableColumn id="17" xr3:uid="{81F4684D-1734-49FB-8F57-68B80EB1FD1D}" name="23" dataDxfId="836"/>
    <tableColumn id="18" xr3:uid="{9DA7B90E-288E-45A3-BD0A-31904382DB50}" name="24" dataDxfId="835"/>
    <tableColumn id="19" xr3:uid="{A0AC125C-0C19-47E9-B7BD-9F657DD56BC2}" name="25" dataDxfId="834"/>
    <tableColumn id="20" xr3:uid="{E1B67347-A852-4F21-A3C3-D6E44F51E9FF}" name="26" dataDxfId="833"/>
    <tableColumn id="21" xr3:uid="{992748FE-9359-4D4E-B06A-59F7A48309B5}" name="27" dataDxfId="832"/>
    <tableColumn id="22" xr3:uid="{3732AEA5-9CC9-4EE6-A93B-386050E291B1}" name="28" dataDxfId="831"/>
    <tableColumn id="23" xr3:uid="{20A4F952-B20F-4E0E-95CC-77C648A54699}" name="29" dataDxfId="830"/>
    <tableColumn id="24" xr3:uid="{26953009-23ED-4318-9CEE-07B704B9665A}" name="30" dataDxfId="829"/>
    <tableColumn id="25" xr3:uid="{267CBC9B-29BE-4672-94C3-393B627CB1FD}" name="31" dataDxfId="828"/>
    <tableColumn id="5" xr3:uid="{EE07FFF3-9A6D-4F12-ACF6-244205791333}" name="CARTERA" dataDxfId="827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6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5"/>
    <tableColumn id="5" xr3:uid="{42625339-8FE7-49A5-82AC-5EDD10C3C984}" name="ASESOR"/>
    <tableColumn id="6" xr3:uid="{BD1A5411-32FB-4DF7-B264-96C059BE5C56}" name="RECUPERO" dataDxfId="824"/>
    <tableColumn id="8" xr3:uid="{8B3B2929-A591-41D7-9D44-B220287F0F2A}" name="DNI" dataDxfId="823"/>
    <tableColumn id="9" xr3:uid="{AAABF626-1A15-4E7A-A444-7423611F1BB2}" name="FECHA DE INGRESO" dataDxfId="822"/>
    <tableColumn id="10" xr3:uid="{CACFA6D6-8D93-432C-AAD6-E9CBF58F5197}" name="ESTADO" dataDxfId="82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20" headerRowBorderDxfId="819" tableBorderDxfId="818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7">
      <calculatedColumnFormula>DATA_ENERO_2025[[#This Row],[RECUPERO]]/DATA_ENERO_2025[[#This Row],[META]]</calculatedColumnFormula>
    </tableColumn>
    <tableColumn id="3" xr3:uid="{16F39E06-76AE-43AD-903E-9F641E37CB06}" name="CLASIFICACIÓN" dataDxfId="816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5"/>
    <tableColumn id="6" xr3:uid="{087774B2-9699-454D-B0E9-E9D62B239262}" name="RECUPERO" dataDxfId="814">
      <calculatedColumnFormula>SUM(DATA_ENERO_2025[[#This Row],[1]:[31]])</calculatedColumnFormula>
    </tableColumn>
    <tableColumn id="7" xr3:uid="{B938E452-5678-4623-B9AD-47B290EB3B56}" name="META" dataDxfId="813"/>
    <tableColumn id="5" xr3:uid="{A39094CA-883F-4450-A53A-370F0AE54B0C}" name="ASER_" dataDxfId="812"/>
    <tableColumn id="28" xr3:uid="{BA402970-CDDC-479B-AF0C-DE6FB6DEA3A2}" name="1" dataDxfId="811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10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9" dataDxfId="807" headerRowBorderDxfId="808" tableBorderDxfId="806" totalsRowBorderDxfId="805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4"/>
    <tableColumn id="1" xr3:uid="{5A7C4C9C-3E71-483D-9C6F-3AFA18F0B768}" name="RECUPERO SUPERVISOR" dataDxfId="803">
      <calculatedColumnFormula>MAX(DITE_ENERO_2025[[#This Row],[1]:[31]])</calculatedColumnFormula>
    </tableColumn>
    <tableColumn id="2" xr3:uid="{1DBABE23-BC0D-4016-A3DE-102C34B93437}" name="ALCANCE SUPERVISOR" dataDxfId="802">
      <calculatedColumnFormula>DITE_ENERO_2025[[#This Row],[RECUPERO SUPERVISOR]]/DITE_ENERO_2025[[#This Row],[META SUPER]]</calculatedColumnFormula>
    </tableColumn>
    <tableColumn id="4" xr3:uid="{AAFE5F6A-D443-4B76-896C-3012A63A21B1}" name="SUPER" dataDxfId="801"/>
    <tableColumn id="6" xr3:uid="{CAC1468E-FE7F-46E8-8FA8-2EBFE78F55CF}" name="1" dataDxfId="800"/>
    <tableColumn id="7" xr3:uid="{2C1F1DCC-5615-43E9-8493-73A6B92A7B8C}" name="2" dataDxfId="799"/>
    <tableColumn id="8" xr3:uid="{CB1DD332-E0A5-4BEF-8B71-8820CA4A145B}" name="3" dataDxfId="798"/>
    <tableColumn id="9" xr3:uid="{1BB0DD4F-A73A-4F8E-93FB-252CA932D637}" name="4" dataDxfId="797"/>
    <tableColumn id="10" xr3:uid="{F4A27082-EDDE-411F-B0E7-C50309499B06}" name="5" dataDxfId="796"/>
    <tableColumn id="11" xr3:uid="{DDC3545E-22B2-4DEC-A217-59650C8BAC95}" name="6" dataDxfId="795"/>
    <tableColumn id="12" xr3:uid="{F4B5BD15-E4EF-4A2E-9071-FE5F69E48F1F}" name="7" dataDxfId="794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3"/>
    <tableColumn id="14" xr3:uid="{1DE13FA2-B93D-487E-A105-3A5622C997DE}" name="18" dataDxfId="792"/>
    <tableColumn id="15" xr3:uid="{6273FFBE-FC81-40C7-91CB-E95ECAD8BE5D}" name="19" dataDxfId="791"/>
    <tableColumn id="16" xr3:uid="{35253537-0DA1-45D4-B9A3-D1CBC6E92B8B}" name="20" dataDxfId="790"/>
    <tableColumn id="17" xr3:uid="{4BF3707C-841F-4140-B63C-5B47863B4CA4}" name="21" dataDxfId="789"/>
    <tableColumn id="18" xr3:uid="{1F7B79C3-A22C-49D8-9C1F-629E6C41B955}" name="22" dataDxfId="788"/>
    <tableColumn id="19" xr3:uid="{361B16CF-A887-4C9E-88B3-E8A7F4F314B0}" name="23" dataDxfId="787"/>
    <tableColumn id="20" xr3:uid="{9B3EDA9C-6CB0-4D9F-965A-6EB0593C19D9}" name="24" dataDxfId="786"/>
    <tableColumn id="21" xr3:uid="{B02655DA-D4F9-4926-88A4-5E8B2F4DF911}" name="25" dataDxfId="785"/>
    <tableColumn id="22" xr3:uid="{43854B99-1BF7-4DF3-8A04-A277447DE3B8}" name="26" dataDxfId="784"/>
    <tableColumn id="23" xr3:uid="{CAC2F677-42BD-4EFA-8E99-ABA2036DAF56}" name="27" dataDxfId="783"/>
    <tableColumn id="24" xr3:uid="{20489B5B-5885-4E43-B5F0-4EAAEE4E8EB8}" name="28" dataDxfId="782"/>
    <tableColumn id="25" xr3:uid="{B4D29A08-5206-4DCD-AF4C-9B7ABB8D3CFF}" name="29" dataDxfId="781"/>
    <tableColumn id="26" xr3:uid="{7B49DBDA-317E-4CFB-B7FA-841DFC27E42B}" name="30" dataDxfId="780"/>
    <tableColumn id="27" xr3:uid="{0126152E-7354-43DB-A75E-4841194C453D}" name="31" dataDxfId="779"/>
    <tableColumn id="3" xr3:uid="{93315C06-D400-4502-BDDD-AC5886091EC6}" name="CARTERA" dataDxfId="778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7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6"/>
    <tableColumn id="5" xr3:uid="{44178C41-B41B-4820-A8E8-222FE453335F}" name="ASESOR" dataDxfId="775"/>
    <tableColumn id="6" xr3:uid="{AC6EB590-A7E8-408F-A892-A1851BCCF0B5}" name="RECUPERO" dataDxfId="774"/>
    <tableColumn id="8" xr3:uid="{9B60B527-D768-46F8-BB97-824B255159D2}" name="DNI" dataDxfId="773"/>
    <tableColumn id="9" xr3:uid="{BDF8C571-22FC-498B-99CF-8D578B086437}" name="FECHA DE INGRESO" dataDxfId="772"/>
    <tableColumn id="10" xr3:uid="{4A0E2A05-69C0-48C2-B0D3-4D952F052DB2}" name="ESTADO" dataDxfId="77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70" headerRowBorderDxfId="769" tableBorderDxfId="768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7">
      <calculatedColumnFormula>DATA_FEBRERO_2025[[#This Row],[RECUPERO]]/DATA_FEBRERO_2025[[#This Row],[META]]</calculatedColumnFormula>
    </tableColumn>
    <tableColumn id="3" xr3:uid="{AE4A1FA5-3083-4CA4-B657-D2D0F2E20004}" name="CLASIFICACIÓN" dataDxfId="766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5"/>
    <tableColumn id="6" xr3:uid="{2DE1A6CE-7493-4B20-83EE-59078393B5AF}" name="RECUPERO" dataDxfId="764">
      <calculatedColumnFormula>SUM(DATA_FEBRERO_2025[[#This Row],[1]:[31]])</calculatedColumnFormula>
    </tableColumn>
    <tableColumn id="7" xr3:uid="{24FB90FB-A888-41AB-9B19-627A74DA2062}" name="META" dataDxfId="763"/>
    <tableColumn id="5" xr3:uid="{E6A5C563-3502-4EF4-8D06-C88816E905A8}" name="ASER_" dataDxfId="762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61"/>
    <tableColumn id="8" xr3:uid="{E99C6359-BA67-4127-80B1-429613DA94CB}" name="31"/>
    <tableColumn id="4" xr3:uid="{1AB4C76D-3918-4961-B05E-216E9D0F2A8C}" name="CARTERA ASESOR" dataDxfId="76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9" dataDxfId="757" headerRowBorderDxfId="758" tableBorderDxfId="756" totalsRowBorderDxfId="755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4"/>
    <tableColumn id="1" xr3:uid="{C46409A5-9201-4E30-A3EB-7B6FC2DAF473}" name="RECUPERO SUPERVISOR" dataDxfId="753">
      <calculatedColumnFormula>MAX(DITE_FEBRERO_2025[[#This Row],[1]:[31]])</calculatedColumnFormula>
    </tableColumn>
    <tableColumn id="2" xr3:uid="{445C2C89-5F44-46FD-8C70-EF4EE30F232E}" name="ALCANCE SUPERVISOR" dataDxfId="752">
      <calculatedColumnFormula>DITE_FEBRERO_2025[[#This Row],[RECUPERO SUPERVISOR]]/DITE_FEBRERO_2025[[#This Row],[META SUPER]]</calculatedColumnFormula>
    </tableColumn>
    <tableColumn id="4" xr3:uid="{55D4E2C7-B609-4C8C-A5DE-AABFFD74BEB8}" name="SUPER" dataDxfId="751"/>
    <tableColumn id="6" xr3:uid="{29925D04-B597-415A-B40B-62A3FBA8B23D}" name="1" dataDxfId="750"/>
    <tableColumn id="7" xr3:uid="{31865A72-E634-4CB8-8660-811FA8147632}" name="2" dataDxfId="749"/>
    <tableColumn id="8" xr3:uid="{C70A98A0-1CB0-425B-975B-D4464009CDD0}" name="3" dataDxfId="748"/>
    <tableColumn id="9" xr3:uid="{F56CF612-0AA5-44CB-878D-FA59D84052AD}" name="4" dataDxfId="747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6"/>
    <tableColumn id="11" xr3:uid="{A6DAF4DF-EAFF-47AB-9A6F-0B2896AE1A18}" name="17" dataDxfId="745"/>
    <tableColumn id="12" xr3:uid="{3DC03FF0-BAC6-4F5D-B5DE-18A95E2C1B97}" name="18" dataDxfId="744"/>
    <tableColumn id="13" xr3:uid="{A90729AA-CC5E-4236-924F-A736B7A4BE93}" name="19" dataDxfId="743"/>
    <tableColumn id="14" xr3:uid="{B48B5FF0-5C49-4DDC-AC33-B45D349AD044}" name="20" dataDxfId="742"/>
    <tableColumn id="15" xr3:uid="{D36E617E-0BBB-4BC1-BBF1-EB24E3C2CE90}" name="21" dataDxfId="741"/>
    <tableColumn id="16" xr3:uid="{BD346F05-FCC2-4EA9-8F0F-B55AB2E68BE0}" name="22" dataDxfId="740"/>
    <tableColumn id="17" xr3:uid="{F5BB9730-A5AE-4489-9CB0-182052BA6557}" name="23" dataDxfId="739"/>
    <tableColumn id="18" xr3:uid="{B3DEF063-7A67-4F08-9D09-8310B4B64F2B}" name="24" dataDxfId="738"/>
    <tableColumn id="19" xr3:uid="{558BE332-1E67-4EF7-9FF1-541A019A7066}" name="25" dataDxfId="737"/>
    <tableColumn id="20" xr3:uid="{073BAAB2-EF92-4A82-B7FE-8339FF3A62EA}" name="26" dataDxfId="736"/>
    <tableColumn id="21" xr3:uid="{6EC9D118-EB0A-4FDC-A694-0A630EB1048E}" name="27" dataDxfId="735"/>
    <tableColumn id="22" xr3:uid="{DFF298CB-C24B-4F90-BD14-F99C28391208}" name="28" dataDxfId="734"/>
    <tableColumn id="23" xr3:uid="{7EF0365B-2B81-4022-84F3-7A3859D35934}" name="29" dataDxfId="733"/>
    <tableColumn id="24" xr3:uid="{D92D6A29-5A30-4405-A019-D7F8F39E4176}" name="30" dataDxfId="732"/>
    <tableColumn id="25" xr3:uid="{9BFA1186-4A61-452A-8EAC-4FE410743029}" name="31" dataDxfId="731"/>
    <tableColumn id="3" xr3:uid="{5EBD9DD4-78E3-4E78-8FD5-A71A2DE2CBE8}" name="CARTERA" dataDxfId="73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8">
      <calculatedColumnFormula>D1_MARZO_2025[[#This Row],[RECUPERO]]/D1_MARZO_2025[[#This Row],[META]]</calculatedColumnFormula>
    </tableColumn>
    <tableColumn id="7" xr3:uid="{7155E541-BC22-41C0-914A-E54D790D436D}" name="SUPER2" dataDxfId="727"/>
    <tableColumn id="5" xr3:uid="{C9BC0167-A73A-4B66-AB0E-BCC22F3CD7BF}" name="ASESOR" dataDxfId="726"/>
    <tableColumn id="6" xr3:uid="{32E44CF1-7B46-45AA-916C-7D5322097EFD}" name="RECUPERO" dataDxfId="725"/>
    <tableColumn id="8" xr3:uid="{5504CD70-2376-413C-9DD9-7E1FC1D78F37}" name="DNI" dataDxfId="724"/>
    <tableColumn id="9" xr3:uid="{27659D49-6FC1-457B-BF33-A19DBF78CDF2}" name="FECHA DE INGRESO" dataDxfId="723"/>
    <tableColumn id="10" xr3:uid="{79E50096-FDE3-4403-8568-FF008447BCC2}" name="ESTADO" dataDxfId="7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21" headerRowBorderDxfId="720" tableBorderDxfId="719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8">
      <calculatedColumnFormula>DATA_MARZO_2025[[#This Row],[RECUPERO]]/DATA_MARZO_2025[[#This Row],[META]]</calculatedColumnFormula>
    </tableColumn>
    <tableColumn id="3" xr3:uid="{6050B278-B3D2-4B4C-8475-D701C9B8AB17}" name="CLASIFICACIÓN" dataDxfId="717"/>
    <tableColumn id="1" xr3:uid="{A94CCC19-556A-4124-8949-24896CDBE45E}" name="SUPERVISOR" dataDxfId="716"/>
    <tableColumn id="6" xr3:uid="{EBBFD24C-8909-45B0-B8CB-4ED73B62F2AB}" name="RECUPERO" dataDxfId="715">
      <calculatedColumnFormula>SUM(DATA_MARZO_2025[[#This Row],[1]:[31]])</calculatedColumnFormula>
    </tableColumn>
    <tableColumn id="7" xr3:uid="{D5702432-6067-40C7-B647-63D5EBDD13C2}" name="META" dataDxfId="714"/>
    <tableColumn id="5" xr3:uid="{40A208DF-2D8B-4D71-B923-6BFFA76CDA11}" name="ASER_" dataDxfId="713"/>
    <tableColumn id="38" xr3:uid="{1F074B40-AB13-4BEE-BC21-9D178D274909}" name="1"/>
    <tableColumn id="41" xr3:uid="{936D83D8-C85E-4C4D-9E8D-BA3D7C54F99A}" name="2" dataDxfId="712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11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1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9" dataDxfId="707" headerRowBorderDxfId="708" tableBorderDxfId="706" totalsRowBorderDxfId="705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4"/>
    <tableColumn id="1" xr3:uid="{23B67F77-728E-46C0-B5B1-11CE8E08D862}" name="RECUPERO SUPERVISOR" dataDxfId="703">
      <calculatedColumnFormula>MAX(DITE_MARZO_2025[[#This Row],[1]:[31]])</calculatedColumnFormula>
    </tableColumn>
    <tableColumn id="2" xr3:uid="{0BAE08AE-6A16-447E-9DDD-8800D68BFFA3}" name="ALCANCE SUPERVISOR" dataDxfId="702">
      <calculatedColumnFormula>DITE_MARZO_2025[[#This Row],[RECUPERO SUPERVISOR]]/DITE_MARZO_2025[[#This Row],[META SUPER]]</calculatedColumnFormula>
    </tableColumn>
    <tableColumn id="4" xr3:uid="{663301EA-2B77-4C76-B8E0-713CAAD1AC41}" name="SUPER" dataDxfId="701"/>
    <tableColumn id="6" xr3:uid="{9A6FEB31-48E4-456F-8C1F-14055131E9D6}" name="1" dataDxfId="700"/>
    <tableColumn id="7" xr3:uid="{B8154FAF-39D2-4ED9-8DD7-C179156ECA39}" name="2" dataDxfId="699"/>
    <tableColumn id="8" xr3:uid="{E58A14C1-44D1-46A4-9137-21E70261FA76}" name="3" dataDxfId="698"/>
    <tableColumn id="9" xr3:uid="{EFDA2093-809C-4DA2-80F9-0388CCC5E290}" name="4" dataDxfId="697"/>
    <tableColumn id="10" xr3:uid="{634CF5F0-F36D-4B26-8143-8C3A6FB59216}" name="5" dataDxfId="696"/>
    <tableColumn id="11" xr3:uid="{77A0553B-7BDF-49B7-B459-701A77496BEA}" name="6" dataDxfId="695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4"/>
    <tableColumn id="13" xr3:uid="{C6D91E97-E16B-4E76-BE55-A08C2A1131DD}" name="18" dataDxfId="693"/>
    <tableColumn id="14" xr3:uid="{2A5F1078-A097-4171-BD28-7B9B623471D0}" name="19" dataDxfId="692"/>
    <tableColumn id="15" xr3:uid="{5E883D61-775A-4AD4-A304-156DCFD9F825}" name="20" dataDxfId="691"/>
    <tableColumn id="16" xr3:uid="{BEFB5788-590D-4EFA-8707-20BAAF7026F1}" name="21" dataDxfId="690"/>
    <tableColumn id="17" xr3:uid="{8FC06E69-FAE9-4DBE-9C75-7A6598DE29C6}" name="22" dataDxfId="689"/>
    <tableColumn id="18" xr3:uid="{966EC934-1D25-407E-AE13-8147AC3FF531}" name="23" dataDxfId="688"/>
    <tableColumn id="19" xr3:uid="{5437FF24-6F5D-412D-82EE-8C668C7DC853}" name="24" dataDxfId="687"/>
    <tableColumn id="20" xr3:uid="{204A7CBC-2C07-4027-851F-021033B930C1}" name="25" dataDxfId="686"/>
    <tableColumn id="21" xr3:uid="{DF491418-AC74-4C6A-852F-F0797487D11C}" name="26" dataDxfId="685"/>
    <tableColumn id="22" xr3:uid="{E184F0A4-EF1A-48F5-8166-10085FC40D13}" name="27" dataDxfId="684"/>
    <tableColumn id="23" xr3:uid="{66C12B87-BC6D-46BE-AF31-D0C68A22BC7E}" name="28" dataDxfId="683"/>
    <tableColumn id="24" xr3:uid="{A2DB9C74-4CB6-4BBF-A230-DF50FDE9380D}" name="29" dataDxfId="682"/>
    <tableColumn id="25" xr3:uid="{D54E02BE-AA16-43C7-ABD3-89326740EA63}" name="30" dataDxfId="681"/>
    <tableColumn id="26" xr3:uid="{11172EA7-856A-4297-8329-62917B649E9A}" name="31" dataDxfId="680"/>
    <tableColumn id="3" xr3:uid="{42C6AD34-2DFF-436B-BB22-6DE170226F44}" name="CARTERA" dataDxfId="67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8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7"/>
    <tableColumn id="5" xr3:uid="{D789E66F-CC8C-4715-A998-7AE532E85E8A}" name="ASESOR" dataDxfId="676"/>
    <tableColumn id="6" xr3:uid="{3455DB8A-5A64-4A8F-8153-2471763CA60D}" name="RECUPERO" dataDxfId="675"/>
    <tableColumn id="8" xr3:uid="{F8575E1F-78C1-4E15-B505-1AECE8857345}" name="DNI" dataDxfId="674"/>
    <tableColumn id="9" xr3:uid="{BE130F2A-9B67-45D5-AA49-051D2F0A515B}" name="FECHA DE INGRESO" dataDxfId="673"/>
    <tableColumn id="10" xr3:uid="{31096FEC-094E-478E-A9F3-0023192798F0}" name="ESTADO" dataDxfId="67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71" headerRowBorderDxfId="670" tableBorderDxfId="66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8">
      <calculatedColumnFormula>DATA_ABRIL_2025[[#This Row],[RECUPERO]]/DATA_ABRIL_2025[[#This Row],[META]]</calculatedColumnFormula>
    </tableColumn>
    <tableColumn id="3" xr3:uid="{1B1E8B7A-D562-46FD-89DE-12ADBC7146F2}" name="CLASIFICACIÓN" dataDxfId="66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6"/>
    <tableColumn id="6" xr3:uid="{9C2D93B7-85A2-4E07-8DD4-3C81F7BF7EBF}" name="RECUPERO" dataDxfId="665">
      <calculatedColumnFormula>SUM(DATA_ABRIL_2025[[#This Row],[1]:[31]])</calculatedColumnFormula>
    </tableColumn>
    <tableColumn id="7" xr3:uid="{8F4173FF-BB8D-4C61-A5E9-1B6F872C619C}" name="META" dataDxfId="664"/>
    <tableColumn id="5" xr3:uid="{64151D2C-B822-41DF-8964-343214960730}" name="ASER_" dataDxfId="66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61" dataDxfId="659" headerRowBorderDxfId="660" tableBorderDxfId="658" totalsRowBorderDxfId="65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6"/>
    <tableColumn id="1" xr3:uid="{56AD13BC-F67F-4EBC-8601-073AD9D41E5D}" name="RECUPERO SUPERVISOR" dataDxfId="655">
      <calculatedColumnFormula>MAX(DITE_ABRIL_2025[[#This Row],[1]:[31]])</calculatedColumnFormula>
    </tableColumn>
    <tableColumn id="2" xr3:uid="{B40C8394-DA7A-4DDD-89EA-AE757C76DD20}" name="ALCANCE SUPERVISOR" dataDxfId="654">
      <calculatedColumnFormula>BA9/DITE_ABRIL_2025[[#This Row],[META SUPER]]</calculatedColumnFormula>
    </tableColumn>
    <tableColumn id="4" xr3:uid="{B71408F8-B985-4B11-8661-52EFC6FA8097}" name="SUPER" dataDxfId="653"/>
    <tableColumn id="6" xr3:uid="{9E37ADBB-A64C-4E4B-9AF4-6087C797FB5E}" name="1" dataDxfId="652"/>
    <tableColumn id="7" xr3:uid="{09E3EE83-45B5-4808-842B-71D4652DE46A}" name="2" dataDxfId="651"/>
    <tableColumn id="8" xr3:uid="{243F9102-2670-48D4-B25D-8432658D89F6}" name="3" dataDxfId="650"/>
    <tableColumn id="9" xr3:uid="{06003E0F-B470-4925-ACE4-1381347B3E87}" name="4" dataDxfId="649"/>
    <tableColumn id="10" xr3:uid="{DF8C4E72-181D-4E2F-A34D-2BB7FD231520}" name="5" dataDxfId="648"/>
    <tableColumn id="11" xr3:uid="{56E37C44-85E9-4431-A560-A54606105B9D}" name="6" dataDxfId="647"/>
    <tableColumn id="12" xr3:uid="{9ADEA573-5E4A-46C0-8569-AFED61AE0141}" name="7" dataDxfId="646"/>
    <tableColumn id="13" xr3:uid="{D44E56ED-D810-4F08-ACAA-0850A2CBA861}" name="8" dataDxfId="645"/>
    <tableColumn id="14" xr3:uid="{4F1A46EB-156C-42BB-A090-307A483EDA59}" name="9" dataDxfId="64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3"/>
    <tableColumn id="16" xr3:uid="{C78E77EC-88A1-4EFD-AD1A-7DF788C46683}" name="22" dataDxfId="642"/>
    <tableColumn id="17" xr3:uid="{D5FD8172-0B95-4406-9239-1ABAD08F1B45}" name="23" dataDxfId="641"/>
    <tableColumn id="18" xr3:uid="{8E9BAC3F-3B04-449B-88EE-DBF57FA626AC}" name="24" dataDxfId="640"/>
    <tableColumn id="19" xr3:uid="{BFA3B7EB-0BC7-4311-8FCE-7C69A9357A03}" name="25" dataDxfId="639"/>
    <tableColumn id="20" xr3:uid="{D2BE25CA-961F-40EE-9EC1-A49EEA4DDB5A}" name="26" dataDxfId="638"/>
    <tableColumn id="21" xr3:uid="{77AAB025-517F-4236-B11B-AEE9B7399348}" name="27" dataDxfId="637"/>
    <tableColumn id="22" xr3:uid="{E35C7392-A09A-482A-9C37-79B0D6711E60}" name="28" dataDxfId="636"/>
    <tableColumn id="23" xr3:uid="{B9F1E360-1FEC-4978-B5DB-3DECA1925AE9}" name="29" dataDxfId="635"/>
    <tableColumn id="24" xr3:uid="{89A20735-1F9D-4A38-9BEB-B3BD56D1FD35}" name="30" dataDxfId="634"/>
    <tableColumn id="25" xr3:uid="{4BE1A809-8A7F-4933-9AB7-B0E4C9CDDD7E}" name="31" dataDxfId="633"/>
    <tableColumn id="3" xr3:uid="{8BAF39B2-F0EB-433E-8F3A-FEAC89C5F9BF}" name="CARTERA" dataDxfId="63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3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30">
      <calculatedColumnFormula>D1_MAYO_2025[[#This Row],[RECUPERO]]/D1_MAYO_2025[[#This Row],[META]]</calculatedColumnFormula>
    </tableColumn>
    <tableColumn id="7" xr3:uid="{7C5F88F0-9FF3-49CF-BE68-2D455D9DEE81}" name="SUPER2" dataDxfId="629"/>
    <tableColumn id="5" xr3:uid="{5FAC7613-1036-4D50-9A09-AB4F41D88D12}" name="ASESOR" dataDxfId="628"/>
    <tableColumn id="6" xr3:uid="{373B07DA-C176-4486-843D-36C5A3043867}" name="RECUPERO" dataDxfId="627"/>
    <tableColumn id="8" xr3:uid="{CDBFB8A5-E15E-4513-B245-3523278CBBD2}" name="DNI" dataDxfId="626"/>
    <tableColumn id="9" xr3:uid="{64A6BF66-DB3B-4ED3-B1A9-2DF71B8D1ACE}" name="FECHA DE INGRESO" dataDxfId="625"/>
    <tableColumn id="10" xr3:uid="{9DD10A75-AE91-4226-BF53-FBC3A38A3094}" name="ESTADO" dataDxfId="62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3" headerRowBorderDxfId="622" tableBorderDxfId="621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20">
      <calculatedColumnFormula>DATA_MAYO_2025[[#This Row],[RECUPERO]]/DATA_MAYO_2025[[#This Row],[META]]</calculatedColumnFormula>
    </tableColumn>
    <tableColumn id="3" xr3:uid="{8551335D-BE40-494B-A806-42FAA211C207}" name="CLASIFICACIÓN" dataDxfId="619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8"/>
    <tableColumn id="6" xr3:uid="{85DC5B94-4FF7-4224-A993-E56A00A5F6DA}" name="RECUPERO" dataDxfId="617">
      <calculatedColumnFormula>SUM(DATA_MAYO_2025[[#This Row],[1]:[31]])</calculatedColumnFormula>
    </tableColumn>
    <tableColumn id="7" xr3:uid="{E2EB46E1-D5BC-46B2-859F-8C05EBBE26F5}" name="META" dataDxfId="616"/>
    <tableColumn id="5" xr3:uid="{A8ED42EF-7F3D-47A1-A928-02CDC650D596}" name="ASER_" dataDxfId="615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3" dataDxfId="611" headerRowBorderDxfId="612" tableBorderDxfId="610" totalsRowBorderDxfId="609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8"/>
    <tableColumn id="1" xr3:uid="{E8B4D119-C811-4392-9EE6-8F0C79BEE9E9}" name="RECUPERO SUPERVISOR" dataDxfId="607">
      <calculatedColumnFormula>MAX(DITE_MAYO_2025[[#This Row],[1]:[31]])</calculatedColumnFormula>
    </tableColumn>
    <tableColumn id="2" xr3:uid="{B44E621C-D444-4670-8FB8-CA1A1E3293FE}" name="ALCANCE SUPERVISOR" dataDxfId="606">
      <calculatedColumnFormula>DITE_MAYO_2025[[#This Row],[RECUPERO SUPERVISOR]]/DITE_MAYO_2025[[#This Row],[META SUPER]]</calculatedColumnFormula>
    </tableColumn>
    <tableColumn id="4" xr3:uid="{63B60F11-ECE7-4839-BADE-F875CF35D6C8}" name="SUPER" dataDxfId="605"/>
    <tableColumn id="6" xr3:uid="{795F9848-930D-4B49-893D-00DA36A6069C}" name="1" dataDxfId="604"/>
    <tableColumn id="7" xr3:uid="{A0F1B09B-45CD-4449-B0E0-2A746353F5F6}" name="2" dataDxfId="603"/>
    <tableColumn id="8" xr3:uid="{42485F8E-3938-40CB-B75A-E12120AF085D}" name="3" dataDxfId="602"/>
    <tableColumn id="9" xr3:uid="{16CE59CD-D621-412D-8F6E-F5B8FEEFCBB4}" name="4" dataDxfId="601"/>
    <tableColumn id="10" xr3:uid="{D1B5939A-E95A-4BE2-BA16-796CFB62C7BB}" name="5" dataDxfId="600"/>
    <tableColumn id="11" xr3:uid="{42606FA2-25C4-48F7-BC25-B75CFBF93D7E}" name="6" dataDxfId="599"/>
    <tableColumn id="12" xr3:uid="{91DD2662-D657-4CF0-B378-5B3D9B374F80}" name="7" dataDxfId="598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7"/>
    <tableColumn id="14" xr3:uid="{FDAEFC46-2A8B-451E-929D-76EC4BC7CA39}" name="19" dataDxfId="596"/>
    <tableColumn id="15" xr3:uid="{1F944C9F-2359-45A9-8922-617195550B92}" name="20" dataDxfId="595"/>
    <tableColumn id="16" xr3:uid="{D023EA95-922B-4435-8A92-F165E2F3A560}" name="21" dataDxfId="594"/>
    <tableColumn id="17" xr3:uid="{7AC3BA92-E630-483B-B27E-18C40869116B}" name="22" dataDxfId="593"/>
    <tableColumn id="18" xr3:uid="{3609A57C-B1DB-4D87-9574-007183221000}" name="23" dataDxfId="592"/>
    <tableColumn id="19" xr3:uid="{98740490-1047-4343-85C8-834AE6AF935A}" name="24" dataDxfId="591"/>
    <tableColumn id="20" xr3:uid="{CE682DBD-B5A8-49C9-8A73-515C0BB553A8}" name="25" dataDxfId="590"/>
    <tableColumn id="21" xr3:uid="{2C63A6DB-A36B-488F-8D7C-F86E11CED59A}" name="26" dataDxfId="589"/>
    <tableColumn id="22" xr3:uid="{01511E88-F7F3-4FDD-998C-292B28698241}" name="27" dataDxfId="588"/>
    <tableColumn id="23" xr3:uid="{B0CE642E-7F10-4E00-9DD1-FC5CF0499DC2}" name="28" dataDxfId="587"/>
    <tableColumn id="24" xr3:uid="{EE9469B0-D486-4046-8AA2-36629B9D9667}" name="29" dataDxfId="586"/>
    <tableColumn id="25" xr3:uid="{D05B2A45-8E05-43BB-9FFA-CC56C7D8C31E}" name="30" dataDxfId="585"/>
    <tableColumn id="26" xr3:uid="{AE78D865-FDC9-4B75-AADF-A48F19C319DC}" name="31" dataDxfId="584"/>
    <tableColumn id="3" xr3:uid="{0887DE9C-F035-4EEC-B2F4-4C2CEB11922C}" name="CARTERA" dataDxfId="58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8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81"/>
    <tableColumn id="5" xr3:uid="{1BF578D9-FB1B-48B0-B732-40F721FD7C19}" name="ASESOR" dataDxfId="580"/>
    <tableColumn id="6" xr3:uid="{CA995F17-DCA5-4D19-B2E1-FD9362121A39}" name="RECUPERO"/>
    <tableColumn id="8" xr3:uid="{9BC620F7-3E10-4417-B0EA-F37D1F039447}" name="DNI" dataDxfId="579"/>
    <tableColumn id="9" xr3:uid="{0CBCBA61-9BA1-4E3D-B6CE-38E6C9A1078C}" name="FECHA DE INGRESO" dataDxfId="578"/>
    <tableColumn id="10" xr3:uid="{3A23F58F-8B92-4D7C-82D9-23C8B3B51E6F}" name="ESTADO" dataDxfId="57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6" headerRowBorderDxfId="575" tableBorderDxfId="574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3">
      <calculatedColumnFormula>DATA_JUNIO_2025[[#This Row],[RECUPERO]]/DATA_JUNIO_2025[[#This Row],[META]]</calculatedColumnFormula>
    </tableColumn>
    <tableColumn id="3" xr3:uid="{78E201C6-658E-4437-AC52-3D0E669D8389}" name="CLASIFICACIÓN" dataDxfId="572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71"/>
    <tableColumn id="6" xr3:uid="{3AD4A449-DB0B-4879-AD61-28FA40E45717}" name="RECUPERO" dataDxfId="570">
      <calculatedColumnFormula>SUM(DATA_JUNIO_2025[[#This Row],[1]:[31]])</calculatedColumnFormula>
    </tableColumn>
    <tableColumn id="7" xr3:uid="{2BD9FB92-38FC-44A8-B5F2-890569E48C37}" name="META" dataDxfId="569"/>
    <tableColumn id="5" xr3:uid="{9812F1F1-AB5A-41A6-A84D-86B290FCB7E7}" name="ASER_" dataDxfId="568"/>
    <tableColumn id="37" xr3:uid="{834796BA-53F4-4194-919E-D8B97FEA7F3F}" name="1" dataDxfId="567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5" dataDxfId="563" headerRowBorderDxfId="564" tableBorderDxfId="562" totalsRowBorderDxfId="561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60"/>
    <tableColumn id="1" xr3:uid="{1A75BF93-811F-4AFA-86B4-9AD496200913}" name="RECUPERO SUPERVISOR" dataDxfId="559"/>
    <tableColumn id="2" xr3:uid="{60B107BC-0938-4363-BE59-47C4E7777D14}" name="ALCANCE SUPERVISOR" dataDxfId="558">
      <calculatedColumnFormula>DITE_JUNIO_2025[[#This Row],[RECUPERO SUPERVISOR]]/DITE_JUNIO_2025[[#This Row],[META SUPER]]</calculatedColumnFormula>
    </tableColumn>
    <tableColumn id="4" xr3:uid="{846684E8-1F2C-4021-AB12-AFBE9E56FAA4}" name="SUPER" dataDxfId="557"/>
    <tableColumn id="6" xr3:uid="{A217DEAD-ACD7-4C63-A622-E2E01ECF328C}" name="1" dataDxfId="556"/>
    <tableColumn id="7" xr3:uid="{5CA18C0A-7D47-455B-B153-EFA8D01D32D6}" name="2" dataDxfId="555"/>
    <tableColumn id="8" xr3:uid="{3CBBE086-E28B-4224-AF45-5A4E7A009E3F}" name="3" dataDxfId="554"/>
    <tableColumn id="9" xr3:uid="{4B327145-F7C9-4ABC-A911-6EB2E553C986}" name="4" dataDxfId="553"/>
    <tableColumn id="10" xr3:uid="{C644450F-2149-4D87-8E04-D3DD6B99C066}" name="5" dataDxfId="552"/>
    <tableColumn id="11" xr3:uid="{92D6DA00-2083-479D-96F6-4B48312C9C12}" name="6" dataDxfId="551"/>
    <tableColumn id="12" xr3:uid="{2EC613D6-BDCD-416F-817F-42C8018B90FE}" name="7" dataDxfId="550"/>
    <tableColumn id="13" xr3:uid="{B55C5834-2D46-4D83-8429-14D18D9B95EF}" name="8" dataDxfId="549"/>
    <tableColumn id="14" xr3:uid="{5C6DF4C8-EDC0-4827-AA8B-9C2B7202A4DA}" name="9" dataDxfId="548"/>
    <tableColumn id="15" xr3:uid="{764D7AA1-F3E2-4E06-A4A9-952B47F95E76}" name="10" dataDxfId="547"/>
    <tableColumn id="16" xr3:uid="{6D896E44-118D-4124-BF4A-2E06B8568517}" name="11" dataDxfId="546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5"/>
    <tableColumn id="18" xr3:uid="{E97C32F3-7B30-46E7-B4CD-72B412E48E28}" name="22" dataDxfId="544"/>
    <tableColumn id="19" xr3:uid="{FD784BF8-211E-4275-A9B4-168979C2AFD1}" name="23" dataDxfId="543"/>
    <tableColumn id="20" xr3:uid="{766DA9FA-C407-4AC5-BFFB-BF6A1B6D5B26}" name="24" dataDxfId="542"/>
    <tableColumn id="21" xr3:uid="{CD1B765C-53CF-4C5C-A708-487BC53AF68A}" name="25" dataDxfId="541"/>
    <tableColumn id="22" xr3:uid="{2800A805-A560-4CF0-B47E-4486A92755E4}" name="26" dataDxfId="540"/>
    <tableColumn id="23" xr3:uid="{7067EFFA-F2EA-4FFF-A281-8E3E0E718C87}" name="27" dataDxfId="539"/>
    <tableColumn id="24" xr3:uid="{BB01C4B5-FEB4-44E1-BF58-4C9BF81261B1}" name="28" dataDxfId="538"/>
    <tableColumn id="25" xr3:uid="{2116D7DE-6632-4314-9539-6B4BA9407512}" name="29" dataDxfId="537"/>
    <tableColumn id="37" xr3:uid="{CBFA4429-3DA2-46C7-A9A0-49B669AE33A6}" name="30"/>
    <tableColumn id="26" xr3:uid="{B0D188FD-F41F-4C43-A42F-87048D9F3347}" name="31" dataDxfId="536"/>
    <tableColumn id="3" xr3:uid="{153A774F-FA3D-4DE9-A743-A193E9EC2BE7}" name="CARTERA" dataDxfId="53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4" headerRowBorderDxfId="533" tableBorderDxfId="53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31">
      <calculatedColumnFormula>DATA_JULIO_2025[[#This Row],[RECUPERO]]/DATA_JULIO_2025[[#This Row],[META]]</calculatedColumnFormula>
    </tableColumn>
    <tableColumn id="3" xr3:uid="{1754C817-3C23-490F-BEA3-3ACD2AC34A65}" name="CLASIFICACIÓN" dataDxfId="530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9"/>
    <tableColumn id="6" xr3:uid="{BCDF5A35-E274-481A-8FAA-7585E0413D78}" name="RECUPERO" dataDxfId="528">
      <calculatedColumnFormula>SUM(DATA_JULIO_2025[[#This Row],[1]:[31]])</calculatedColumnFormula>
    </tableColumn>
    <tableColumn id="7" xr3:uid="{8DE1FEE0-51D3-4EA8-A46E-89BEBA12056E}" name="META" dataDxfId="527"/>
    <tableColumn id="1" xr3:uid="{3C41F150-757E-4673-8594-D891B2820E33}" name="ASER_" dataDxfId="52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5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3" headerRowBorderDxfId="524" tableBorderDxfId="522">
  <autoFilter ref="A2:J85" xr:uid="{F460AB3C-55A7-4610-B74D-44400B82E396}"/>
  <tableColumns count="10">
    <tableColumn id="1" xr3:uid="{174E92CC-5FBB-42E6-ABBA-A2148115201A}" name="SUPER" dataDxfId="521">
      <calculatedColumnFormula>D1_JULIO_2025[[#This Row],[SUPER2]]</calculatedColumnFormula>
    </tableColumn>
    <tableColumn id="6" xr3:uid="{D87E1435-21B2-485D-8BCD-1C27FC523EEA}" name="ASESOR_CRR" dataDxfId="520"/>
    <tableColumn id="2" xr3:uid="{FC570054-965C-4F29-B04A-C58608AEAECA}" name="META" dataDxfId="519">
      <calculatedColumnFormula>VLOOKUP(D1_JULIO_2025[[#This Row],[SUPER]],DATA_JULIO_2025[[SUPERVISOR]:[META]],3,0)</calculatedColumnFormula>
    </tableColumn>
    <tableColumn id="3" xr3:uid="{CF023A93-4AFB-4349-9235-179A60BC2249}" name="ALCANCE" dataDxfId="518">
      <calculatedColumnFormula>D1_JULIO_2025[[#This Row],[RECUPERO]]/C3</calculatedColumnFormula>
    </tableColumn>
    <tableColumn id="7" xr3:uid="{59576C9E-00A8-419A-8EFC-86D74D6B4B3F}" name="SUPER2" dataDxfId="517"/>
    <tableColumn id="4" xr3:uid="{6F567985-92B6-498E-BDE9-81AA438ECD22}" name="ASESOR" dataDxfId="516"/>
    <tableColumn id="5" xr3:uid="{2DFC340F-6B74-4E64-B475-782D4A5F8B3E}" name="RECUPERO" dataDxfId="515"/>
    <tableColumn id="8" xr3:uid="{D42D0BDD-24C5-4390-9867-D5F3D45952CE}" name="DNI" dataDxfId="514"/>
    <tableColumn id="9" xr3:uid="{A9555617-B6CF-4123-9AD8-5E9DB6528E74}" name="FECHA DE INGRESO" dataDxfId="513"/>
    <tableColumn id="10" xr3:uid="{1C792B0A-E0F3-406D-8123-75E932FC95A1}" name="ESTADO" dataDxfId="5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11" dataDxfId="509" headerRowBorderDxfId="510" tableBorderDxfId="508" totalsRowBorderDxfId="50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6"/>
    <tableColumn id="1" xr3:uid="{4CE2BFB4-C324-4ECE-B3B7-77A433373BEC}" name="RECUPERO SUPERVISOR" dataDxfId="505"/>
    <tableColumn id="2" xr3:uid="{76C6BCA1-6820-46A6-B790-01B3E88F6266}" name="ALCANCE SUPERVISOR" dataDxfId="504">
      <calculatedColumnFormula>BA9/DITE_JULIO_2025[[#This Row],[META SUPER]]</calculatedColumnFormula>
    </tableColumn>
    <tableColumn id="4" xr3:uid="{FE9C5289-6F21-4D71-92B6-F36B6C9748E7}" name="SUPER" dataDxfId="503"/>
    <tableColumn id="6" xr3:uid="{A5188244-D142-4196-92CC-15B237C3E734}" name="1" dataDxfId="502"/>
    <tableColumn id="7" xr3:uid="{9754BD88-AFD1-4BCB-AF69-DA7B55E3A053}" name="2" dataDxfId="501"/>
    <tableColumn id="8" xr3:uid="{851C8CA8-D257-4BFB-B6BE-D82354200CA7}" name="3" dataDxfId="500"/>
    <tableColumn id="9" xr3:uid="{AE769B63-903F-46E5-A3F0-8DA27C689974}" name="4" dataDxfId="499"/>
    <tableColumn id="10" xr3:uid="{D09A5961-EE10-491A-BFFE-C5ABD80598A8}" name="5" dataDxfId="498"/>
    <tableColumn id="11" xr3:uid="{EC4AF483-303E-4488-AFA2-DD9A058F071A}" name="6" dataDxfId="49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6"/>
    <tableColumn id="13" xr3:uid="{377D024A-00DD-4A77-A549-5C6BEBE894D0}" name="19" dataDxfId="495"/>
    <tableColumn id="14" xr3:uid="{8FABF999-C8BA-4B7D-980A-2659F766178B}" name="20" dataDxfId="494"/>
    <tableColumn id="15" xr3:uid="{06AC6AD7-A191-47DD-AE3F-9A0525AF8DD6}" name="21" dataDxfId="493"/>
    <tableColumn id="16" xr3:uid="{BB465107-63D7-443B-8989-EF197F62D322}" name="22" dataDxfId="492"/>
    <tableColumn id="17" xr3:uid="{3DFE5CBD-1315-4CBA-A14E-1763583D7BEC}" name="23" dataDxfId="491"/>
    <tableColumn id="18" xr3:uid="{5DB3135E-36A1-4F0D-890E-50AC461B96C4}" name="24" dataDxfId="490"/>
    <tableColumn id="19" xr3:uid="{57CA79FE-F6A3-4697-8926-36322AD1BC6C}" name="25" dataDxfId="489"/>
    <tableColumn id="20" xr3:uid="{A99C4302-A806-4344-ABAF-AF753E7EF30D}" name="26" dataDxfId="488"/>
    <tableColumn id="21" xr3:uid="{D1C3F20A-0988-4CC4-8D06-ED3EE15A7AB1}" name="27" dataDxfId="487"/>
    <tableColumn id="22" xr3:uid="{ECEC5739-F3E4-44C4-9408-4DAA6DE5069C}" name="28" dataDxfId="486"/>
    <tableColumn id="23" xr3:uid="{CD77FB96-6C17-47A0-82BA-2ABEA1725A41}" name="29" dataDxfId="485"/>
    <tableColumn id="24" xr3:uid="{87D0EFA1-B9FB-444F-B737-EE4C1B838FBC}" name="30" dataDxfId="484"/>
    <tableColumn id="25" xr3:uid="{BF0F5A29-80D1-482F-9C53-48E4478A5F1D}" name="31" dataDxfId="483"/>
    <tableColumn id="3" xr3:uid="{51B2E01F-098B-4EAB-AB37-99A7A456DDF6}" name="CARTERA" dataDxfId="48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80" headerRowBorderDxfId="481" tableBorderDxfId="479">
  <autoFilter ref="A2:J91" xr:uid="{816CEBCE-101B-42C2-A45C-8113A647428A}"/>
  <tableColumns count="10">
    <tableColumn id="1" xr3:uid="{596664E6-24CF-4AF3-A84D-121AC4745B4C}" name="SUPER" dataDxfId="478"/>
    <tableColumn id="6" xr3:uid="{CA4B13E9-2CAB-42E2-A028-4DFB844CF726}" name="ASESOR_CRR" dataDxfId="477"/>
    <tableColumn id="2" xr3:uid="{B3C2F90C-6F59-4998-9F82-960596BF09D8}" name="META" dataDxfId="476">
      <calculatedColumnFormula>VLOOKUP(D1_AGOSTO_2025[[#This Row],[SUPER]],DATA_AGOSTO_2025[[SUPERVISOR]:[META]],3,0)</calculatedColumnFormula>
    </tableColumn>
    <tableColumn id="3" xr3:uid="{6CE379C4-19C8-4C90-81DB-EA83E873B03A}" name="ALCANCE" dataDxfId="475"/>
    <tableColumn id="7" xr3:uid="{28AC502F-3113-4B59-AA88-4F9E0E7D938B}" name="SUPER2" dataDxfId="474"/>
    <tableColumn id="4" xr3:uid="{9AE19661-0B03-4D03-9661-4B81FCE456D3}" name="ASESOR" dataDxfId="473"/>
    <tableColumn id="5" xr3:uid="{9CCAC285-FD2E-415B-BE6E-AD7E20CECF29}" name="RECUPERO" dataDxfId="472">
      <calculatedColumnFormula>VLOOKUP(D1_AGOSTO_2025[[#This Row],[ASESOR]],$E$95:$F$176,2,0)</calculatedColumnFormula>
    </tableColumn>
    <tableColumn id="8" xr3:uid="{043E81D5-B688-480A-9A28-C451E6CC8ACE}" name="DNI" dataDxfId="471"/>
    <tableColumn id="9" xr3:uid="{1F9CE105-EFA8-4FFE-9C5C-0AB581B961DE}" name="FECHA DE INGRESO" dataDxfId="470"/>
    <tableColumn id="10" xr3:uid="{6CA7DA08-8CCF-441D-AE86-422E2259780A}" name="ESTADO" dataDxfId="46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8" headerRowBorderDxfId="467" tableBorderDxfId="466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5">
      <calculatedColumnFormula>DATA_AGOSTO_2025[[#This Row],[RECUPERO]]/DATA_AGOSTO_2025[[#This Row],[META]]</calculatedColumnFormula>
    </tableColumn>
    <tableColumn id="3" xr3:uid="{88C3CECE-F881-4C05-BA2B-95B253894A39}" name="CLASIFICACIÓN" dataDxfId="464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3"/>
    <tableColumn id="6" xr3:uid="{40820BC6-7E2D-416A-AC23-B4520FC0957D}" name="RECUPERO" dataDxfId="462">
      <calculatedColumnFormula>SUM(DATA_AGOSTO_2025[[#This Row],[1]:[31]])</calculatedColumnFormula>
    </tableColumn>
    <tableColumn id="7" xr3:uid="{F7BC8835-EC2E-4047-8AE9-C742ABE03445}" name="META" dataDxfId="461"/>
    <tableColumn id="5" xr3:uid="{22298E20-98EB-421A-8978-F019348D2A10}" name="ASER_" dataDxfId="460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9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8" dataDxfId="456" headerRowBorderDxfId="457" tableBorderDxfId="455" totalsRowBorderDxfId="454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3"/>
    <tableColumn id="1" xr3:uid="{D853C78B-294B-4C5B-87F9-8B837DBCA858}" name="RECUPERO SUPERVISOR" dataDxfId="452">
      <calculatedColumnFormula>MAX(DITE_AGOSTO_2025[[#This Row],[1]:[31]])</calculatedColumnFormula>
    </tableColumn>
    <tableColumn id="2" xr3:uid="{A6B49739-8C7F-42B7-AB2B-2D9B8785D8A7}" name="ALCANCE SUPERVISOR" dataDxfId="451">
      <calculatedColumnFormula>DITE_AGOSTO_2025[[#This Row],[RECUPERO SUPERVISOR]]/DITE_AGOSTO_2025[[#This Row],[META SUPER]]</calculatedColumnFormula>
    </tableColumn>
    <tableColumn id="4" xr3:uid="{96D2A1C2-9EA3-4132-B41A-8B57BBB00DD3}" name="SUPER" dataDxfId="450"/>
    <tableColumn id="6" xr3:uid="{49EEE6CA-AF7B-4615-AE46-CA713F4E9209}" name="1" dataDxfId="449"/>
    <tableColumn id="7" xr3:uid="{61649C96-BFE5-4D18-BCE1-727E2E74D883}" name="2" dataDxfId="448"/>
    <tableColumn id="8" xr3:uid="{3D095B63-6086-4E9E-85B2-511507890CD8}" name="3" dataDxfId="447"/>
    <tableColumn id="9" xr3:uid="{36CD21E6-51F3-49C9-8448-36B269029EF6}" name="4" dataDxfId="446"/>
    <tableColumn id="10" xr3:uid="{D4DBAD01-5AE1-474A-AF64-A98DFD56153A}" name="5" dataDxfId="445"/>
    <tableColumn id="11" xr3:uid="{FDF3CA30-E7DF-4684-9747-03744CC16AAE}" name="6" dataDxfId="444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3"/>
    <tableColumn id="13" xr3:uid="{55EA3D15-E74B-4AB3-B0D5-B387C3EAAB83}" name="19" dataDxfId="442"/>
    <tableColumn id="14" xr3:uid="{507E3CA9-692F-4A2D-BA96-B401D04EEDD0}" name="20" dataDxfId="441"/>
    <tableColumn id="15" xr3:uid="{E5F719C0-0646-408A-976E-C57966E876F4}" name="21" dataDxfId="440"/>
    <tableColumn id="16" xr3:uid="{8AC2AE0D-50EC-4387-A0A4-A1F2DF092A3C}" name="22" dataDxfId="439"/>
    <tableColumn id="17" xr3:uid="{7B1EE470-E258-4B37-BEC3-E798950632D8}" name="23" dataDxfId="438"/>
    <tableColumn id="18" xr3:uid="{F77C3800-E94B-4C32-A796-122D364094EA}" name="24" dataDxfId="437"/>
    <tableColumn id="19" xr3:uid="{0DA4161D-30F3-4E97-BCBB-4C1E891B36FB}" name="25" dataDxfId="436"/>
    <tableColumn id="20" xr3:uid="{94B916D9-415F-4F66-A6C0-0EE398A152E9}" name="26" dataDxfId="435"/>
    <tableColumn id="21" xr3:uid="{D814BC25-89A4-4A6B-B889-6BF06DD3D2EC}" name="27" dataDxfId="434"/>
    <tableColumn id="22" xr3:uid="{7DEFEDE7-498F-4CCF-A7C2-F63ACE1BA092}" name="28" dataDxfId="433"/>
    <tableColumn id="23" xr3:uid="{CA36A7C5-BBBD-47FB-AAB4-1F5CBDA1EE93}" name="29" dataDxfId="432"/>
    <tableColumn id="24" xr3:uid="{958DFD93-9566-47EC-807E-E21861CB1F39}" name="30" dataDxfId="431"/>
    <tableColumn id="25" xr3:uid="{C690FBB6-6A9F-4B4D-AEF8-49C27DFF4FCF}" name="31" dataDxfId="430"/>
    <tableColumn id="3" xr3:uid="{C5283215-E8BB-41D8-B093-AA31F8252394}" name="CARTERA" dataDxfId="429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7" headerRowBorderDxfId="428" tableBorderDxfId="426">
  <autoFilter ref="A2:I80" xr:uid="{111BC5E6-A71D-437E-ABD5-0E09FCDEF3FD}"/>
  <tableColumns count="9">
    <tableColumn id="1" xr3:uid="{EABDBA5F-3C1B-4AC8-8F40-8C9EED5560F3}" name="SUPER" dataDxfId="425"/>
    <tableColumn id="6" xr3:uid="{C37701A2-99CA-45B9-AA89-63D54C88C5B9}" name="ASESOR_CRR" dataDxfId="424"/>
    <tableColumn id="2" xr3:uid="{8360BA59-782B-4699-ABEA-458A3C9299AD}" name="RECUP" dataDxfId="423"/>
    <tableColumn id="3" xr3:uid="{BD5C8833-8CBB-40D9-BC66-F164208CFEC0}" name="ALCANCE" dataDxfId="422"/>
    <tableColumn id="7" xr3:uid="{07FA8551-F17A-4D20-BAC6-4B128B0ECF57}" name="SUPER2" dataDxfId="421"/>
    <tableColumn id="4" xr3:uid="{91470BB1-1A8E-4802-9D93-28E5A1DF6790}" name="ASESOR" dataDxfId="420"/>
    <tableColumn id="5" xr3:uid="{2B49EE5D-87EB-458C-99B1-7F94B8EDDE4B}" name="RECUPERO" dataDxfId="419"/>
    <tableColumn id="8" xr3:uid="{1A69791E-D827-4498-A9B8-C02ED9E8C0C0}" name="DNI" dataDxfId="418"/>
    <tableColumn id="9" xr3:uid="{17EC964E-623C-4526-9375-D1DFD0BBB147}" name="FECHA DE INGRESO" dataDxfId="4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6" headerRowBorderDxfId="415" tableBorderDxfId="414">
  <autoFilter ref="J8:O86" xr:uid="{91775BD2-E36D-479B-95DE-48127C3410BC}"/>
  <tableColumns count="6">
    <tableColumn id="2" xr3:uid="{033A6CF7-EC22-4EEE-8FF0-8C343161421D}" name="AL_AC" dataDxfId="413"/>
    <tableColumn id="3" xr3:uid="{2234E43A-FB04-4BD5-A5FB-BE681630D39D}" name="CLASIFICACIÓN" dataDxfId="412"/>
    <tableColumn id="1" xr3:uid="{E68E03C4-584B-48EC-AA41-D10E171DF6E2}" name="SUPERVISOR" dataDxfId="411"/>
    <tableColumn id="6" xr3:uid="{8FEE60A3-7153-47ED-82A3-25E3E95BD5B9}" name="RECUPERO" dataDxfId="410"/>
    <tableColumn id="5" xr3:uid="{96DEFE26-B796-4F9F-BB26-62A9B1295009}" name="META" dataDxfId="409"/>
    <tableColumn id="4" xr3:uid="{98491906-C3E6-4CCF-96D0-36184A648156}" name="ASER_" dataDxfId="408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7" dataDxfId="405" headerRowBorderDxfId="406" tableBorderDxfId="404" totalsRowBorderDxfId="403">
  <autoFilter ref="Q8:AQ16" xr:uid="{B03330B9-97D2-48C8-8B43-740321917DA5}"/>
  <tableColumns count="27">
    <tableColumn id="5" xr3:uid="{4E3B6BB8-3B21-487C-8667-D21D7F0B0DDF}" name="META SUPER" dataDxfId="402"/>
    <tableColumn id="1" xr3:uid="{C390EAAF-612A-443A-A32B-07A66CB5EF93}" name="RECUPERO SUPERVISOR" dataDxfId="401"/>
    <tableColumn id="2" xr3:uid="{BF66D468-0BA9-433F-A558-DB3EB49638C0}" name="ALCANCE SUPERVISOR" dataDxfId="400"/>
    <tableColumn id="4" xr3:uid="{833C2FF4-09CC-46A1-B127-078899129ED2}" name="SUPER" dataDxfId="399"/>
    <tableColumn id="6" xr3:uid="{7268ABE3-61CC-4084-9F8D-F9F866838337}" name="1-Set" dataDxfId="398"/>
    <tableColumn id="7" xr3:uid="{934984E8-2516-4844-B21B-29330A07EEE9}" name="2-Set" dataDxfId="397"/>
    <tableColumn id="8" xr3:uid="{5F8B97B9-8D43-4455-9D8F-E58FD0EDAC17}" name="3-Set" dataDxfId="396"/>
    <tableColumn id="9" xr3:uid="{85D24C9E-9252-4D30-9E54-18DBF77A6C70}" name="4-Set" dataDxfId="395"/>
    <tableColumn id="10" xr3:uid="{5A78F08C-1794-450A-88A4-F02CE65D2409}" name="5-Set" dataDxfId="394"/>
    <tableColumn id="11" xr3:uid="{C9868C58-D704-4A31-95DB-6D8FBCC63D90}" name="8-Set" dataDxfId="393"/>
    <tableColumn id="12" xr3:uid="{5A69AB6F-1CBE-456F-9AB1-9CFA02551564}" name="9-Set" dataDxfId="392"/>
    <tableColumn id="13" xr3:uid="{2FB09AC7-C3A6-45CD-8892-0B683DF946C3}" name="10-Set" dataDxfId="391"/>
    <tableColumn id="14" xr3:uid="{B8720ED9-AC2B-41EC-BFA3-A12BF9C966CC}" name="11-Set" dataDxfId="390"/>
    <tableColumn id="15" xr3:uid="{31CBBA73-A7BD-468C-BD0B-435687D2ACAD}" name="12-Set" dataDxfId="389"/>
    <tableColumn id="16" xr3:uid="{02C13EA1-381F-4C2D-B917-AF0FF1A9F773}" name="15-Set" dataDxfId="388"/>
    <tableColumn id="17" xr3:uid="{E6B04D90-5126-40CD-BDA1-E2B120BAD73C}" name="16-Set" dataDxfId="387"/>
    <tableColumn id="18" xr3:uid="{7CB5014E-CB0D-4F8A-A9D7-BD9A166A1B37}" name="17-Set" dataDxfId="386"/>
    <tableColumn id="19" xr3:uid="{040ABF10-1BFC-447A-AE21-D052CBC2ED82}" name="18-Set" dataDxfId="385"/>
    <tableColumn id="20" xr3:uid="{44DFBCB9-0C1E-48F5-ACC2-AC0990D1520D}" name="19-Set" dataDxfId="384"/>
    <tableColumn id="21" xr3:uid="{AFFC2ABC-F24F-4F16-B5DD-03747097DBCC}" name="22-Set" dataDxfId="383"/>
    <tableColumn id="22" xr3:uid="{E8A652BF-A601-498B-965E-DF95F032A19E}" name="23-Set" dataDxfId="382"/>
    <tableColumn id="23" xr3:uid="{E1A1F3EC-A932-4B54-BD80-6B3004BAC18C}" name="24-Set" dataDxfId="381"/>
    <tableColumn id="24" xr3:uid="{7F5C1B88-4DF8-4775-AEFB-F5F5D12AD778}" name="25-Set" dataDxfId="380"/>
    <tableColumn id="25" xr3:uid="{B40C371A-A255-4AD7-B43D-47350B1FF421}" name="26-Set" dataDxfId="379"/>
    <tableColumn id="26" xr3:uid="{AFFE8D31-2DD6-4039-8ED5-AD63D5758F88}" name="29-Set" dataDxfId="378"/>
    <tableColumn id="27" xr3:uid="{041693B7-E11C-4B55-8C93-8CFB39922E84}" name="30-Set" dataDxfId="377"/>
    <tableColumn id="3" xr3:uid="{1DAB60E5-FA3D-4422-89D0-AD46643BF45E}" name="CARTERA" dataDxfId="37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5"/>
    <tableColumn id="5" xr3:uid="{2D06A3B4-3271-49A3-9C7C-FFC311CAB0D8}" name="ASESOR"/>
    <tableColumn id="6" xr3:uid="{7C83291E-5126-4377-B991-EBB23328360F}" name="RECUPERO" dataDxfId="374">
      <calculatedColumnFormula>VLOOKUP(D1_OCTUBRE_2025[[#This Row],[ASESOR]],F78:$G$155,2,0)</calculatedColumnFormula>
    </tableColumn>
    <tableColumn id="8" xr3:uid="{7F2D2756-92A6-4522-A15C-2F10A82AAD95}" name="DNI" dataDxfId="373"/>
    <tableColumn id="9" xr3:uid="{B01E98C6-A76C-417B-B7FA-B0F1C8C2C7C6}" name="FECHA DE INGRESO" dataDxfId="372"/>
    <tableColumn id="10" xr3:uid="{DEB6156D-2B0C-4157-8EE4-0EE1578CCF4A}" name="ESTADO" dataDxfId="371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70" tableBorderDxfId="369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8">
      <calculatedColumnFormula>DATA_OCTUBRE_2025[[#This Row],[RECUPERO]]/DATA_OCTUBRE_2025[[#This Row],[META]]</calculatedColumnFormula>
    </tableColumn>
    <tableColumn id="3" xr3:uid="{EE681579-D463-48E9-A57F-B73D04925E37}" name="CLASIFICACIÓN" dataDxfId="367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6"/>
    <tableColumn id="6" xr3:uid="{3B45E8CF-4BCD-492C-B1A3-3E157855AA4E}" name="RECUPERO" dataDxfId="365">
      <calculatedColumnFormula>SUM(DATA_OCTUBRE_2025[[#This Row],[1]:[31]])</calculatedColumnFormula>
    </tableColumn>
    <tableColumn id="7" xr3:uid="{2D762908-0860-493B-A482-9514EAD41E9B}" name="META" dataDxfId="364"/>
    <tableColumn id="4" xr3:uid="{B03F71B4-D73E-47CB-8F19-B1EBCB980D51}" name="ASER_" dataDxfId="363"/>
    <tableColumn id="8" xr3:uid="{DADEF8E1-B4EF-4A54-BDEA-772F65B2659B}" name="1" dataDxfId="362"/>
    <tableColumn id="9" xr3:uid="{09759773-B387-4885-980B-3377FCF2784C}" name="2" dataDxfId="361"/>
    <tableColumn id="10" xr3:uid="{0BEF3C74-7822-4935-9DEF-DBB8EF94B2E8}" name="3" dataDxfId="360"/>
    <tableColumn id="11" xr3:uid="{AB623BA8-8BC3-4899-82B4-0D2F75C64AC1}" name="4" dataDxfId="359"/>
    <tableColumn id="12" xr3:uid="{F3FF380C-FA1C-400D-953D-2426EC1D78FF}" name="5" dataDxfId="358"/>
    <tableColumn id="13" xr3:uid="{513A526B-B8DC-4F0A-BB71-A3C5DCBEE598}" name="6" dataDxfId="357"/>
    <tableColumn id="14" xr3:uid="{FE79AC7F-62E7-4115-BE1B-AAF936521653}" name="7" dataDxfId="356"/>
    <tableColumn id="15" xr3:uid="{68C170E4-F271-468B-91F8-3408D287CC52}" name="8" dataDxfId="355"/>
    <tableColumn id="16" xr3:uid="{AD7DCB27-1227-49CE-B962-67316F312A49}" name="9" dataDxfId="354"/>
    <tableColumn id="17" xr3:uid="{A28A426F-20DF-4E28-817D-D45F6DE67B10}" name="10" dataDxfId="353"/>
    <tableColumn id="18" xr3:uid="{E8A185AF-1E28-4F0F-9855-74F54DBD006B}" name="11" dataDxfId="352"/>
    <tableColumn id="19" xr3:uid="{63732328-29EA-40C6-ACD8-4B4DD4B4CF86}" name="12" dataDxfId="351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50"/>
    <tableColumn id="21" xr3:uid="{C17C4587-18F5-4FBD-868F-EBEC86A07A20}" name="23" dataDxfId="349"/>
    <tableColumn id="22" xr3:uid="{A943FEC5-F867-455B-820F-28C4395DB276}" name="24" dataDxfId="348"/>
    <tableColumn id="23" xr3:uid="{A8FFD2FC-7F1E-4386-AF41-D5EEEF19CDD0}" name="25" dataDxfId="347"/>
    <tableColumn id="24" xr3:uid="{ADF6FE87-D285-4286-AA45-3909EFB078E5}" name="26" dataDxfId="346"/>
    <tableColumn id="25" xr3:uid="{2F0BE83F-F151-4F99-839F-143CA77B5B85}" name="27" dataDxfId="345"/>
    <tableColumn id="26" xr3:uid="{380107E6-E719-4EEB-80BE-3FC920AAB0D8}" name="28" dataDxfId="344"/>
    <tableColumn id="27" xr3:uid="{E4578405-DBB6-4571-976F-D9686E90472D}" name="29" dataDxfId="343"/>
    <tableColumn id="28" xr3:uid="{C03A0B6A-D740-474A-B5C0-16AD1C50D0EF}" name="30" dataDxfId="342"/>
    <tableColumn id="29" xr3:uid="{ABC45238-95B8-44E1-B32D-323E0E09BD1E}" name="31" dataDxfId="341"/>
    <tableColumn id="5" xr3:uid="{DFC53255-43CA-45C9-9269-4215B54AB062}" name="CARTERA ASESOR" dataDxfId="340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9" dataDxfId="337" headerRowBorderDxfId="338" tableBorderDxfId="336" totalsRowBorderDxfId="335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4">
      <calculatedColumnFormula>VLOOKUP($M$3&amp;$N$3&amp;DITE_OCTUBRE_2025[[#This Row],[SUPER]],TablaMeta[],5,0)</calculatedColumnFormula>
    </tableColumn>
    <tableColumn id="1" xr3:uid="{2B34CFC4-0C9F-41CE-999A-2588C7446A9F}" name="RECUPERO SUPERVISOR" dataDxfId="333">
      <calculatedColumnFormula>MAX(DITE_OCTUBRE_2025[[#This Row],[1]:[31]])</calculatedColumnFormula>
    </tableColumn>
    <tableColumn id="2" xr3:uid="{12F44D75-C159-4886-875E-F84E5B64A541}" name="ALCANCE SUPERVISOR" dataDxfId="33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31"/>
    <tableColumn id="6" xr3:uid="{949DC2F4-4585-4646-A396-157D2DF8052D}" name="1" dataDxfId="330"/>
    <tableColumn id="7" xr3:uid="{97391D14-7779-42A7-9DB8-C0989C430B43}" name="2" dataDxfId="329"/>
    <tableColumn id="8" xr3:uid="{6354D769-4310-45AC-8145-E44CED72B4A9}" name="3" dataDxfId="328"/>
    <tableColumn id="9" xr3:uid="{4656D04C-0F05-4626-AF66-C82B40AEFAD8}" name="4" dataDxfId="327"/>
    <tableColumn id="10" xr3:uid="{7D1ED70B-0155-4C0E-8A2F-37B332A6F313}" name="5" dataDxfId="326"/>
    <tableColumn id="11" xr3:uid="{0111FAC8-499F-4CC3-8375-0BF99A4C35FA}" name="6" dataDxfId="325"/>
    <tableColumn id="12" xr3:uid="{C0C00B80-78A4-43E2-93D4-3EE00B3626FF}" name="7" dataDxfId="324"/>
    <tableColumn id="13" xr3:uid="{83880E56-1497-4302-8CA7-1D39E0DC1A97}" name="8" dataDxfId="323"/>
    <tableColumn id="14" xr3:uid="{BE01EA14-2F15-437D-A238-21FF4B75A0DE}" name="9" dataDxfId="322"/>
    <tableColumn id="15" xr3:uid="{EB92F6CE-8ACE-4537-AECA-46B61474948E}" name="10" dataDxfId="321"/>
    <tableColumn id="16" xr3:uid="{6D6490DB-3DEB-438C-AB40-C97EC626F0BE}" name="11" dataDxfId="320"/>
    <tableColumn id="17" xr3:uid="{0392FF10-F85D-41D2-8460-C3A186218696}" name="12" dataDxfId="319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8"/>
    <tableColumn id="19" xr3:uid="{3D252296-5BDD-4576-BACF-EBAA4EDD5204}" name="23" dataDxfId="317"/>
    <tableColumn id="20" xr3:uid="{23EB3C4F-7D5A-4D3B-8B24-D8DE6128BA5F}" name="24" dataDxfId="316"/>
    <tableColumn id="21" xr3:uid="{129CAF30-1851-4238-9880-454B24575BB9}" name="25" dataDxfId="315"/>
    <tableColumn id="22" xr3:uid="{72C02609-42DC-4EDE-B4E1-44D533A24355}" name="26" dataDxfId="314"/>
    <tableColumn id="23" xr3:uid="{9123D15C-9492-4356-8328-1BE17F140523}" name="27" dataDxfId="313"/>
    <tableColumn id="24" xr3:uid="{9D5D7ED1-F248-4C81-8326-BBA9C067C915}" name="28" dataDxfId="312"/>
    <tableColumn id="25" xr3:uid="{AF14494A-3DA5-4A85-BD20-353698E70147}" name="29" dataDxfId="311"/>
    <tableColumn id="26" xr3:uid="{B48EAE26-54B8-4E0C-A4A1-6956DA0D148E}" name="30" dataDxfId="310"/>
    <tableColumn id="27" xr3:uid="{85AC05C5-FE82-41A6-837C-F1F547FD8C2F}" name="31" dataDxfId="309"/>
    <tableColumn id="3" xr3:uid="{1CA2638D-96F9-4A0C-980A-6DAE6545AFFA}" name="CARTERA" dataDxfId="308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7" tableBorderDxfId="306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5">
      <calculatedColumnFormula>DATA_NOVIEMBRE_2025[[#This Row],[RECUPERO]]/DATA_NOVIEMBRE_2025[[#This Row],[META]]</calculatedColumnFormula>
    </tableColumn>
    <tableColumn id="3" xr3:uid="{855F5F44-294A-4871-9840-A24614956994}" name="CLASIFICACIÓN" dataDxfId="304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3"/>
    <tableColumn id="6" xr3:uid="{C0A22187-40B7-435A-ABDA-27944F0D7030}" name="RECUPERO" dataDxfId="302">
      <calculatedColumnFormula>SUM(DATA_NOVIEMBRE_2025[[#This Row],[1]:[31]])</calculatedColumnFormula>
    </tableColumn>
    <tableColumn id="7" xr3:uid="{72E7F13E-9273-4AED-98D2-5508FB4A326C}" name="META" dataDxfId="301"/>
    <tableColumn id="30" xr3:uid="{CFEB99FE-9EED-4763-A696-5BC3DA916AC5}" name="ASER_"/>
    <tableColumn id="8" xr3:uid="{00AE5065-FE4D-45E6-A294-E826836A1E33}" name="1" dataDxfId="300"/>
    <tableColumn id="9" xr3:uid="{EF6C35AD-ACD8-4C7F-8937-91D53147656D}" name="2" dataDxfId="299"/>
    <tableColumn id="10" xr3:uid="{CF32F196-CA95-4750-A946-3E0AC1A85184}" name="3" dataDxfId="298"/>
    <tableColumn id="11" xr3:uid="{9F563EAD-A249-4851-B979-F5575DE957AB}" name="4" dataDxfId="297"/>
    <tableColumn id="12" xr3:uid="{D6A6323F-D160-499D-BD7C-7C323AE07CB0}" name="5" dataDxfId="296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5"/>
    <tableColumn id="14" xr3:uid="{46BCBBD6-EB67-46A1-A356-989FA4845EF7}" name="17" dataDxfId="294"/>
    <tableColumn id="15" xr3:uid="{B50A5F7B-5C7E-48C1-80DA-278B6510B811}" name="18" dataDxfId="293"/>
    <tableColumn id="16" xr3:uid="{05796B28-1DD1-422E-9658-78C2FB73FD83}" name="19" dataDxfId="292"/>
    <tableColumn id="17" xr3:uid="{DB0D6520-FFC2-440C-B97F-9604384ED84D}" name="20" dataDxfId="291"/>
    <tableColumn id="18" xr3:uid="{50423629-1D31-4CC8-B9D0-046394DFED68}" name="21" dataDxfId="290"/>
    <tableColumn id="19" xr3:uid="{80B70DB0-A059-4A28-A799-0529D6BF1263}" name="22" dataDxfId="289"/>
    <tableColumn id="20" xr3:uid="{CE0AE96C-2D78-4B18-ADD7-C86E26CE69AB}" name="23" dataDxfId="288"/>
    <tableColumn id="21" xr3:uid="{D6CA8ADF-F50B-4822-B7AD-A49AC8CD28E8}" name="24" dataDxfId="287"/>
    <tableColumn id="22" xr3:uid="{8D2522DF-F1BC-4031-89AD-8B4B3515396A}" name="25" dataDxfId="286"/>
    <tableColumn id="23" xr3:uid="{293ABA54-17AB-40AD-A5F9-E0308A358390}" name="26" dataDxfId="285"/>
    <tableColumn id="24" xr3:uid="{099B62F0-F67D-4CF2-8C6A-AD383B297F15}" name="27" dataDxfId="284"/>
    <tableColumn id="25" xr3:uid="{104E6C24-1381-41DA-BF76-0DD6D49DF0C1}" name="28" dataDxfId="283"/>
    <tableColumn id="26" xr3:uid="{095F601D-F187-4396-A356-C09936718FF5}" name="29" dataDxfId="282"/>
    <tableColumn id="27" xr3:uid="{4F9FCA77-406D-4319-913A-82D308726F04}" name="30" dataDxfId="281"/>
    <tableColumn id="28" xr3:uid="{5825F9EE-936A-4C38-B210-9DA3DA553F75}" name="31" dataDxfId="280"/>
    <tableColumn id="1" xr3:uid="{D8CEB774-F634-4903-AC1C-0BF18BDD3A03}" name="CARTERA ASESOR" dataDxfId="279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8"/>
    <tableColumn id="2" xr3:uid="{7E004A30-FB94-4ABB-88FD-3005F8FA00C6}" name="ASESOR_CRR" dataDxfId="277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6"/>
    <tableColumn id="7" xr3:uid="{AA9D9715-8EBE-4ECB-8BB4-3F41AF689173}" name="SUPER2" dataDxfId="275"/>
    <tableColumn id="5" xr3:uid="{DDD5C800-04E2-4D8A-8C83-C410D5DF7F70}" name="ASESOR" dataDxfId="274"/>
    <tableColumn id="6" xr3:uid="{88DDFA81-E306-4531-9C28-1EEEFB91AC37}" name="RECUPERO" dataDxfId="273">
      <calculatedColumnFormula>VLOOKUP(D1_NOVIEMBRE_2025[[#This Row],[ASESOR]],$F$70:$G$130,2,0)</calculatedColumnFormula>
    </tableColumn>
    <tableColumn id="9" xr3:uid="{B4E0C179-9219-4DFF-AA71-3C7E15DC0CCB}" name="DNI" dataDxfId="272"/>
    <tableColumn id="10" xr3:uid="{A57DDDED-46A0-4CB6-B58A-B5F5FD8B6714}" name="FECHA DE INGRESO" dataDxfId="271"/>
    <tableColumn id="8" xr3:uid="{6D0B725E-AD90-4FB1-ACD9-0C7E61DBD30D}" name="ESTADO" dataDxfId="27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9" dataDxfId="268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7"/>
    <tableColumn id="2" xr3:uid="{39564DF7-490C-4B42-BA0D-A0C7965369AD}" name="RECUPERO SUPERVISOR" dataDxfId="266">
      <calculatedColumnFormula>MAX(DITE_NOVIEMBRE_2025[[#This Row],[1]:[31]])</calculatedColumnFormula>
    </tableColumn>
    <tableColumn id="3" xr3:uid="{714DADEA-706C-4919-B3C2-F0BF1111E161}" name="ALCANCE SUPERVISOR" dataDxfId="265">
      <calculatedColumnFormula>DITE_NOVIEMBRE_2025[[#This Row],[RECUPERO SUPERVISOR]]/DITE_NOVIEMBRE_2025[[#This Row],[META SUPER]]</calculatedColumnFormula>
    </tableColumn>
    <tableColumn id="1" xr3:uid="{9452BB90-F5DE-4B57-AF8A-BBAB41BDA625}" name="SUPER" dataDxfId="264"/>
    <tableColumn id="6" xr3:uid="{87C598B5-62D4-4EE7-861E-EEAA52C00585}" name="1" dataDxfId="263"/>
    <tableColumn id="7" xr3:uid="{633891A0-1EBF-4F76-A7F4-F66318664C43}" name="2" dataDxfId="262"/>
    <tableColumn id="8" xr3:uid="{0592F328-9F13-4B6C-80C9-E9F1845891CB}" name="3" dataDxfId="261"/>
    <tableColumn id="9" xr3:uid="{AE7882D8-BBFD-45AE-B2CB-28F66322BAEE}" name="4" dataDxfId="260"/>
    <tableColumn id="10" xr3:uid="{05F48497-7C3E-4EF2-8908-E3DDE502B309}" name="5" dataDxfId="259"/>
    <tableColumn id="11" xr3:uid="{BD05847D-8156-476D-9D43-53BF9B333675}" name="6" dataDxfId="258"/>
    <tableColumn id="12" xr3:uid="{407098C8-B89E-46C0-9B9A-DA4AD2929032}" name="7" dataDxfId="257"/>
    <tableColumn id="13" xr3:uid="{91FC56B9-68A8-46E6-AF86-C055E5241ADE}" name="8" dataDxfId="256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5"/>
    <tableColumn id="15" xr3:uid="{6D9CB553-B7A7-4211-8DDF-E67D0F75BD0A}" name="20" dataDxfId="254"/>
    <tableColumn id="16" xr3:uid="{C060B537-6CE4-430B-8A22-7A540BACE464}" name="21" dataDxfId="253"/>
    <tableColumn id="17" xr3:uid="{4C8D59DE-F0E8-4B3F-8552-A394ADA4C013}" name="22" dataDxfId="252"/>
    <tableColumn id="18" xr3:uid="{3AB7DFB9-4558-4621-AB3C-3891ECC67DB4}" name="23" dataDxfId="251"/>
    <tableColumn id="19" xr3:uid="{ECC2D027-50E3-4374-BA37-6384A463E763}" name="24" dataDxfId="250"/>
    <tableColumn id="20" xr3:uid="{03C4446D-2883-4E24-87C6-489668916C57}" name="25" dataDxfId="249"/>
    <tableColumn id="21" xr3:uid="{1D103BD3-6849-47BB-B1AD-9FF31C3432E4}" name="26" dataDxfId="248"/>
    <tableColumn id="22" xr3:uid="{E2A6B954-BE7E-4918-9A92-245143E3726C}" name="27" dataDxfId="247"/>
    <tableColumn id="23" xr3:uid="{3BE5D700-08A4-480A-8651-AFBBD596763A}" name="28" dataDxfId="246"/>
    <tableColumn id="24" xr3:uid="{16A1ECF5-0D22-4B11-B95E-D5BF2A42B1A3}" name="29" dataDxfId="245"/>
    <tableColumn id="25" xr3:uid="{AACA19B9-FD00-4B90-8B58-181F058F24E3}" name="30" dataDxfId="244"/>
    <tableColumn id="26" xr3:uid="{2DE2D547-EE6E-49C4-858B-C4D674245BFC}" name="31" dataDxfId="243"/>
    <tableColumn id="4" xr3:uid="{9AD4619F-F825-4B54-8AE2-92E8B9E9E57F}" name="CARTERA" dataDxfId="242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41" tableBorderDxfId="24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9">
      <calculatedColumnFormula>DATA_DICIEMBRE_2025[[#This Row],[RECUPERO]]/DATA_DICIEMBRE_2025[[#This Row],[META]]</calculatedColumnFormula>
    </tableColumn>
    <tableColumn id="2" xr3:uid="{B5D97F6A-AE7C-4FC3-8428-5737699DFEB1}" name="CLASIFICACIÓN" dataDxfId="238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7"/>
    <tableColumn id="1" xr3:uid="{47FCFB9B-5515-45CC-BFF9-2785144AD854}" name="RECUPERO" dataDxfId="236">
      <calculatedColumnFormula>SUM(DATA_DICIEMBRE_2025[[#This Row],[1]:[31]])</calculatedColumnFormula>
    </tableColumn>
    <tableColumn id="6" xr3:uid="{ED7BE75E-3624-4159-BFE7-645CEA862C3E}" name="META" dataDxfId="235"/>
    <tableColumn id="7" xr3:uid="{AD05A858-B012-4836-80E5-BF630A338442}" name="ASER_" dataDxfId="234"/>
    <tableColumn id="4" xr3:uid="{6792E8BB-5B6A-4E20-BC71-7F342FD1DE33}" name="1" dataDxfId="233"/>
    <tableColumn id="8" xr3:uid="{AFF95CFC-A6A6-4F82-9A47-D8F9735B080F}" name="2" dataDxfId="232"/>
    <tableColumn id="9" xr3:uid="{3EE2031A-4396-4C20-9B21-B423FD7A4983}" name="3" dataDxfId="231"/>
    <tableColumn id="10" xr3:uid="{98A61AE3-7932-414B-AE75-E4B9F37090B7}" name="4" dataDxfId="230"/>
    <tableColumn id="11" xr3:uid="{2B37FA03-0832-40E1-966B-188EC131A687}" name="5" dataDxfId="229"/>
    <tableColumn id="12" xr3:uid="{9A4E011C-C4A7-4F49-AD1B-BB28BEA4BF8C}" name="6" dataDxfId="228"/>
    <tableColumn id="13" xr3:uid="{EFB94F58-F00C-45C8-B4D0-E0C1802DF92E}" name="7" dataDxfId="227"/>
    <tableColumn id="14" xr3:uid="{F8800705-9DF6-4EEA-8D67-8321AE1E80D1}" name="8" dataDxfId="226"/>
    <tableColumn id="15" xr3:uid="{7B6D79FE-5D1B-462C-8037-0CACAB6F3911}" name="9" dataDxfId="225"/>
    <tableColumn id="16" xr3:uid="{E0E24420-1BF8-4BED-A5CC-D5EF1C7DF685}" name="10" dataDxfId="22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3"/>
    <tableColumn id="18" xr3:uid="{388429A9-C1D2-4EE1-BB12-A7C9C48AA9F0}" name="23" dataDxfId="222"/>
    <tableColumn id="19" xr3:uid="{6D1522B5-D820-4F42-ADD5-A6062E68E06A}" name="24" dataDxfId="221"/>
    <tableColumn id="20" xr3:uid="{A78EF6CB-6A5A-488F-8EC5-34C0267191BD}" name="25" dataDxfId="220"/>
    <tableColumn id="21" xr3:uid="{0817989E-B5E4-435D-99FF-C9E1A1D429CD}" name="26" dataDxfId="219"/>
    <tableColumn id="22" xr3:uid="{5AE7BF00-6E17-4434-AFC3-A082971963E9}" name="27" dataDxfId="218"/>
    <tableColumn id="23" xr3:uid="{AC4528BB-516C-4650-8587-2267B9400C8D}" name="28" dataDxfId="217"/>
    <tableColumn id="24" xr3:uid="{AB7921F2-B36A-4ABC-9DBC-BB0EC20ACC62}" name="29" dataDxfId="216"/>
    <tableColumn id="25" xr3:uid="{5D1446EA-3DB7-4807-AE25-EB2149040D6D}" name="30" dataDxfId="215"/>
    <tableColumn id="26" xr3:uid="{B5F2A170-57DC-49D6-9752-24386332D295}" name="31" dataDxfId="214"/>
    <tableColumn id="27" xr3:uid="{D1831881-0F77-44D4-82FA-57779D5E74BA}" name="CARTERA ASESOR" dataDxfId="213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12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11"/>
    <tableColumn id="2" xr3:uid="{C1D8B208-A530-42D3-A6B3-202247844AC6}" name="ASESOR_CRR" dataDxfId="210"/>
    <tableColumn id="5" xr3:uid="{0E2E2A96-2FDE-425E-A454-24F26F26F817}" name="META" dataDxfId="209">
      <calculatedColumnFormula>VLOOKUP(D1_DICIEMBRE_2025[[#This Row],[SUPER]],DATA_DICIEMBRE_2025[[SUPERVISOR]:[META]],3,0)</calculatedColumnFormula>
    </tableColumn>
    <tableColumn id="6" xr3:uid="{99265ED5-3CFF-4A20-97B4-3560EE99C717}" name="ALCANCE" dataDxfId="208">
      <calculatedColumnFormula>D1_DICIEMBRE_2025[[#This Row],[RECUPERO]]/D1_DICIEMBRE_2025[[#This Row],[META]]</calculatedColumnFormula>
    </tableColumn>
    <tableColumn id="7" xr3:uid="{374D40BE-0CEA-496A-A350-4762CACC979E}" name="SUPER2" dataDxfId="207"/>
    <tableColumn id="3" xr3:uid="{CE2FC99C-C2FA-4CF8-B4D5-38DB34F6C4C0}" name="ASESOR"/>
    <tableColumn id="4" xr3:uid="{1034AC9B-8A72-4332-A474-8471A1B8C391}" name="RECUPERO" dataDxfId="206"/>
    <tableColumn id="8" xr3:uid="{51D1D4C9-F574-4F9F-BB5F-619CFC8367F6}" name="DNI" dataDxfId="205"/>
    <tableColumn id="9" xr3:uid="{1F94989E-BD68-4711-BF6F-AABBC6D00AD3}" name="FECHA DE INGRESO" dataDxfId="204"/>
    <tableColumn id="10" xr3:uid="{26BBC886-44C6-4729-85D8-0B926A843BA1}" name="ESTADO" dataDxfId="203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02" dataDxfId="200" headerRowBorderDxfId="201" tableBorderDxfId="199" totalsRowBorderDxfId="198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7"/>
    <tableColumn id="3" xr3:uid="{DED03312-7BDA-4CEA-9273-AA5DB2237A5F}" name="RECUPERO SUPERVISOR" dataDxfId="196">
      <calculatedColumnFormula>MAX(DITE_DICIEMBRE_2025[[#This Row],[1]:[31]])</calculatedColumnFormula>
    </tableColumn>
    <tableColumn id="4" xr3:uid="{5A956735-F760-4B1F-B874-402D928B71EA}" name="ALCANCE SUPERVISOR" dataDxfId="195">
      <calculatedColumnFormula>DITE_DICIEMBRE_2025[[#This Row],[RECUPERO SUPERVISOR]]/AZ9</calculatedColumnFormula>
    </tableColumn>
    <tableColumn id="1" xr3:uid="{ED2A948C-9442-4C47-9BE9-277A3D6239D3}" name="SUPER" dataDxfId="194"/>
    <tableColumn id="6" xr3:uid="{6E784300-7704-4F45-8E90-F7C2D4F71F66}" name="1" dataDxfId="193"/>
    <tableColumn id="7" xr3:uid="{EA789C05-CA47-4D66-B493-7D6222022389}" name="2" dataDxfId="192"/>
    <tableColumn id="36" xr3:uid="{E83A454A-CB07-409E-B2F9-FEFD108C0456}" name="3" dataDxfId="191"/>
    <tableColumn id="8" xr3:uid="{4ACB3C1D-600B-4503-9368-987BC1B3B0EA}" name="4" dataDxfId="190"/>
    <tableColumn id="9" xr3:uid="{B5C8B277-5A83-47A1-95FD-A620D749E785}" name="5" dataDxfId="189"/>
    <tableColumn id="10" xr3:uid="{FB101921-E892-41E0-B8B7-4141F51A83BB}" name="6" dataDxfId="188"/>
    <tableColumn id="11" xr3:uid="{C777EEA2-F048-439C-9EA1-0C4C731AA6E9}" name="7" dataDxfId="187"/>
    <tableColumn id="12" xr3:uid="{7AA80CD7-0570-4507-8C49-9CF331F01C83}" name="8" dataDxfId="186"/>
    <tableColumn id="13" xr3:uid="{F115F6D4-E69D-46D7-AD4B-F13AFDF74268}" name="9" dataDxfId="185"/>
    <tableColumn id="14" xr3:uid="{393E1035-13E1-4131-B853-53B4CA536CF0}" name="10" dataDxfId="184"/>
    <tableColumn id="15" xr3:uid="{7FF1CB48-1402-460C-BDDE-C67F81F66807}" name="11" dataDxfId="183"/>
    <tableColumn id="32" xr3:uid="{8F13018F-0746-40A8-8063-7F1351A273EA}" name="12" dataDxfId="182"/>
    <tableColumn id="33" xr3:uid="{5FD9BED8-7FEA-4B06-9B27-A0BFD046EB49}" name="13" dataDxfId="181"/>
    <tableColumn id="35" xr3:uid="{8D88E3F7-E581-49D0-B55A-812661F85CB6}" name="14" dataDxfId="180"/>
    <tableColumn id="34" xr3:uid="{98E6CACB-4217-4732-B54A-899D22A2EAF6}" name="15" dataDxfId="179"/>
    <tableColumn id="29" xr3:uid="{7C19F65B-AFA4-4BDB-849B-78B44514C8F1}" name="16" dataDxfId="178"/>
    <tableColumn id="30" xr3:uid="{5B8DAC84-4B56-4ED2-BCA8-C8513518494E}" name="17" dataDxfId="177"/>
    <tableColumn id="31" xr3:uid="{6135134A-5BCC-4221-AD87-B5C8D80AB6D3}" name="18" dataDxfId="176"/>
    <tableColumn id="26" xr3:uid="{2569A07A-57D5-45E4-94CF-9442436AFDAE}" name="19" dataDxfId="175"/>
    <tableColumn id="27" xr3:uid="{828CBD1E-742A-4B46-99B1-A5B0163441D5}" name="20" dataDxfId="174"/>
    <tableColumn id="28" xr3:uid="{773F208D-F15B-4823-A2FA-144A370D1B7A}" name="21" dataDxfId="173"/>
    <tableColumn id="16" xr3:uid="{419173FA-3C44-4167-9CA2-3C07CF180C9B}" name="22" dataDxfId="172"/>
    <tableColumn id="17" xr3:uid="{A8A10E2B-AFD7-46D0-8149-9A05D1EC2C03}" name="23" dataDxfId="171"/>
    <tableColumn id="18" xr3:uid="{CF29209E-568F-4788-AE4E-864CF179A3F5}" name="24" dataDxfId="170"/>
    <tableColumn id="19" xr3:uid="{C33D5154-B635-4235-8170-2F374C119543}" name="25" dataDxfId="169"/>
    <tableColumn id="20" xr3:uid="{70E870EC-47B5-4461-AC8F-7662212D49E0}" name="26" dataDxfId="168"/>
    <tableColumn id="21" xr3:uid="{2215DAF3-2DFC-47A4-940A-DC348054A7EB}" name="27" dataDxfId="167"/>
    <tableColumn id="22" xr3:uid="{BE707551-BD9D-4E46-9F38-1BF8DA272627}" name="28" dataDxfId="166"/>
    <tableColumn id="23" xr3:uid="{BA6108F0-3F12-4B54-8E19-7FF232FA9893}" name="29" dataDxfId="165"/>
    <tableColumn id="24" xr3:uid="{B18366FB-64C7-4779-8DB9-91A30E111223}" name="30" dataDxfId="164"/>
    <tableColumn id="25" xr3:uid="{8BD30A4B-DE19-4C3A-8A9E-7FFE10B8C56B}" name="31" dataDxfId="163"/>
    <tableColumn id="5" xr3:uid="{1A8ADD20-D8A3-4981-B322-7C16CBD19ABB}" name="CARTERA" dataDxfId="162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61"/>
    <tableColumn id="2" xr3:uid="{09FFA9EA-077A-4B1E-BBB0-BEFE3719755F}" name="ASESOR_CRR" dataDxfId="160"/>
    <tableColumn id="3" xr3:uid="{B2B98848-02EC-4CE4-B2C4-CF726670ADA0}" name="META" dataDxfId="159"/>
    <tableColumn id="4" xr3:uid="{843076CD-455D-4677-9B9B-753164881BDC}" name="ALCANCE" dataDxfId="158"/>
    <tableColumn id="5" xr3:uid="{27191708-D634-47D0-B6EF-7903B523F721}" name="SUPER2" dataDxfId="157"/>
    <tableColumn id="6" xr3:uid="{F95ADB27-E512-47F7-962C-D178A524B971}" name="ASESOR"/>
    <tableColumn id="7" xr3:uid="{32C145E4-25CE-4365-A7D9-EB2FB110C794}" name="RECUPERO" dataDxfId="156"/>
    <tableColumn id="8" xr3:uid="{20773954-0FEB-4980-9B49-FA8A9DD97C3C}" name="DNI" dataDxfId="155"/>
    <tableColumn id="9" xr3:uid="{0ACD1DB4-5167-41A6-9528-D0663730532D}" name="FECHA DE INGRESO" dataDxfId="154"/>
    <tableColumn id="10" xr3:uid="{4C5570D8-15F0-4535-849A-56408975F639}" name="ESTADO" dataDxfId="153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52" headerRowBorderDxfId="151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50">
      <calculatedColumnFormula>DATA_ENERO_2026[[#This Row],[RECUPERO]]/DATA_ENERO_2026[[#This Row],[META]]</calculatedColumnFormula>
    </tableColumn>
    <tableColumn id="2" xr3:uid="{7E513578-A5D7-4721-8AB2-4CF3CDD2FC39}" name="CLASIFICACIÓN" dataDxfId="149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8"/>
    <tableColumn id="4" xr3:uid="{41268A33-B17E-413A-B074-C6D8798C61CA}" name="RECUPERO" dataDxfId="147">
      <calculatedColumnFormula>SUM(DATA_ENERO_2026[[#This Row],[1]:[31]])</calculatedColumnFormula>
    </tableColumn>
    <tableColumn id="5" xr3:uid="{62F2A8A0-46E7-4D7F-AB57-24AB0CDE4B51}" name="META" dataDxfId="146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5" headerRowBorderDxfId="144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3"/>
    <tableColumn id="2" xr3:uid="{15ACA161-61F0-4530-82A1-17E6DBF20240}" name="RECUPERO SUPERVISOR" dataDxfId="142">
      <calculatedColumnFormula>MAX(DITE_ENERO_2026[[#This Row],[1]:[31]])</calculatedColumnFormula>
    </tableColumn>
    <tableColumn id="3" xr3:uid="{778859E8-B3B0-4937-8B5F-DE4BE24B1DFD}" name="ALCANCE SUPERVISOR" dataDxfId="141">
      <calculatedColumnFormula>DITE_ENERO_2026[[#This Row],[RECUPERO SUPERVISOR]]/DITE_ENERO_2026[[#This Row],[META SUPER]]</calculatedColumnFormula>
    </tableColumn>
    <tableColumn id="4" xr3:uid="{2A98F79A-DD24-4D83-8BA6-82D08E13FF65}" name="SUPER" dataDxfId="140"/>
    <tableColumn id="5" xr3:uid="{3F9C0B21-F246-40F5-B83B-6E1442CF2131}" name="1" dataDxfId="139"/>
    <tableColumn id="6" xr3:uid="{82FC80A9-9A41-42BE-ADC0-0CD59C900786}" name="2" dataDxfId="138"/>
    <tableColumn id="36" xr3:uid="{CA81CA44-827C-45E8-AC06-DC9981750310}" name="3" dataDxfId="137"/>
    <tableColumn id="35" xr3:uid="{4D1DEC94-6331-4F09-BA9E-B7A8C033B218}" name="4" dataDxfId="136"/>
    <tableColumn id="34" xr3:uid="{DB9BA0C3-7EE6-4EF0-BFE4-DFA6138CC954}" name="5" dataDxfId="135"/>
    <tableColumn id="33" xr3:uid="{555EB36D-2BD4-463A-AA30-BC4E2AF59577}" name="6" dataDxfId="134"/>
    <tableColumn id="32" xr3:uid="{CD594F14-E668-4171-B224-2D1EB8F12904}" name="7" dataDxfId="133"/>
    <tableColumn id="31" xr3:uid="{CE1693BC-730F-4221-A5EC-B12B2C08D967}" name="8" dataDxfId="132"/>
    <tableColumn id="30" xr3:uid="{D62E1F60-4782-4F2D-B690-7D11A373BFEE}" name="9" dataDxfId="131"/>
    <tableColumn id="29" xr3:uid="{67AA1F0E-6FD5-4227-8FC3-54350952F274}" name="10" dataDxfId="130"/>
    <tableColumn id="28" xr3:uid="{D4CCC202-871A-430E-A7C4-8C2E1F633660}" name="11" dataDxfId="129"/>
    <tableColumn id="7" xr3:uid="{77D5DF82-95A0-430A-9509-AA047E6F6BB6}" name="12" dataDxfId="128"/>
    <tableColumn id="8" xr3:uid="{45052ACC-BEA6-4143-B55C-D2927C794547}" name="13" dataDxfId="127"/>
    <tableColumn id="9" xr3:uid="{A76A60E2-ABB3-4CA9-876C-F0E146A4EE28}" name="14" dataDxfId="126"/>
    <tableColumn id="10" xr3:uid="{5361F0A7-C153-4400-A683-ADB185B2D1E4}" name="15" dataDxfId="125"/>
    <tableColumn id="11" xr3:uid="{5C1E0CB3-E70D-4999-8E10-8E327EB2D410}" name="16" dataDxfId="124"/>
    <tableColumn id="12" xr3:uid="{4E264E92-011A-4E01-B78E-20B2B900F7FB}" name="17" dataDxfId="123"/>
    <tableColumn id="13" xr3:uid="{4DE23C2E-4F9B-4579-9BCE-93EAD290F9A8}" name="18" dataDxfId="122"/>
    <tableColumn id="14" xr3:uid="{ADE81A92-9983-4367-83CB-C4FA26CF8415}" name="19" dataDxfId="121"/>
    <tableColumn id="15" xr3:uid="{28467DBF-6C6B-430A-98CA-67317F73CD23}" name="20" dataDxfId="120"/>
    <tableColumn id="16" xr3:uid="{19E54854-D1FF-45D4-94D2-82215DE354F0}" name="21" dataDxfId="119"/>
    <tableColumn id="17" xr3:uid="{1F67BAFC-1AE0-4A70-9864-2C684E0743C1}" name="22" dataDxfId="118"/>
    <tableColumn id="18" xr3:uid="{4887B78E-B1D4-490D-BDE4-66011785EB0B}" name="23" dataDxfId="117"/>
    <tableColumn id="19" xr3:uid="{A4E77FFD-C128-4F89-ACB7-5A19C9AC8068}" name="24" dataDxfId="116"/>
    <tableColumn id="20" xr3:uid="{3166AEA9-9CE1-49E0-85A7-B06251784AF0}" name="25" dataDxfId="115"/>
    <tableColumn id="21" xr3:uid="{D0F8CB31-F152-441F-95C0-C8F116F8FBD4}" name="26" dataDxfId="114"/>
    <tableColumn id="22" xr3:uid="{F8CD3E26-00FA-4CB1-AB01-D0E528D7E8B4}" name="27" dataDxfId="113"/>
    <tableColumn id="23" xr3:uid="{19608BA9-8EEF-49C7-B4A7-B9B3571F8643}" name="28" dataDxfId="112"/>
    <tableColumn id="24" xr3:uid="{FAD90248-66B1-421C-B230-68841EB2A0B9}" name="29" dataDxfId="111"/>
    <tableColumn id="25" xr3:uid="{9307F5B0-B35B-4416-BE7C-74E539966F44}" name="30" dataDxfId="110"/>
    <tableColumn id="26" xr3:uid="{0FA7DA7F-AD3E-4DD3-B407-DD15600893BE}" name="31" dataDxfId="109"/>
    <tableColumn id="27" xr3:uid="{CAD2B4E3-016B-42FA-AD88-18A28731A184}" name="CARTERA" dataDxfId="108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7" tableBorderDxfId="106">
  <autoFilter ref="M8:AN59" xr:uid="{C43AC382-896C-48E3-967E-003D8C3BB4E1}"/>
  <tableColumns count="28">
    <tableColumn id="5" xr3:uid="{3070F4BF-8DA0-42C9-A329-60BF3937C6CD}" name="AL_AC" dataDxfId="105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4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3">
      <calculatedColumnFormula>IFERROR(VLOOKUP(DATA_FEBRERO_2026[[#This Row],[ASER_]],$B:$G,4,0),"")</calculatedColumnFormula>
    </tableColumn>
    <tableColumn id="1" xr3:uid="{9CEE94D1-F610-44F2-BECC-051BA76BFF42}" name="RECUPERO" dataDxfId="102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101">
      <calculatedColumnFormula>VLOOKUP(DATA_FEBRERO_2026[[#This Row],[ASER_]],D1_FEBRERO_2026[[ASESOR_CRR]:[META]],2,0)</calculatedColumnFormula>
    </tableColumn>
    <tableColumn id="7" xr3:uid="{AC7A2592-ACAD-4ED6-8351-E4B65FF33302}" name="ASER_" dataDxfId="100"/>
    <tableColumn id="4" xr3:uid="{DA0D3C8E-070D-4088-AECD-5F2EBC6508EA}" name="2" dataDxfId="99"/>
    <tableColumn id="8" xr3:uid="{D7FBF1F2-5A46-485F-925D-86EC9088EE46}" name="3" dataDxfId="98"/>
    <tableColumn id="9" xr3:uid="{98D48677-E650-4067-8686-1CC9080B6D71}" name="4" dataDxfId="97"/>
    <tableColumn id="10" xr3:uid="{A974A4A9-21AF-43B2-9C93-C6F103E8C411}" name="5" dataDxfId="96"/>
    <tableColumn id="11" xr3:uid="{D058D028-4AAB-47B9-A7D3-876CEDD146AA}" name="6" dataDxfId="95"/>
    <tableColumn id="12" xr3:uid="{307618CA-E43D-42A3-8C03-88388003A5BF}" name="9" dataDxfId="94"/>
    <tableColumn id="13" xr3:uid="{65D16E27-3C15-4385-9A4F-B28821EF4DF6}" name="10" dataDxfId="93"/>
    <tableColumn id="14" xr3:uid="{5A29EA5C-756B-4F6D-B764-BBEF2AB98C7D}" name="11" dataDxfId="92"/>
    <tableColumn id="15" xr3:uid="{3B9CE493-BFF8-40F7-8EBA-E6D80D76579A}" name="12" dataDxfId="91"/>
    <tableColumn id="16" xr3:uid="{AEBDE2A8-76B9-42D9-9059-4EA0D9C9EF1E}" name="13" dataDxfId="90"/>
    <tableColumn id="17" xr3:uid="{0874DB56-268A-4369-AFDE-AC61ECA55C23}" name="16" dataDxfId="89"/>
    <tableColumn id="18" xr3:uid="{E7197C37-94F8-4DE8-B898-F87CE13A355A}" name="17" dataDxfId="88"/>
    <tableColumn id="19" xr3:uid="{0266C1AC-EA27-4324-B7B0-8AB3B4A997D1}" name="18" dataDxfId="87"/>
    <tableColumn id="20" xr3:uid="{645E39B2-DC80-4E66-9458-0C362658FA9E}" name="19" dataDxfId="86"/>
    <tableColumn id="21" xr3:uid="{D0A909F0-E9C1-4BFB-A1C7-251196BA5DC0}" name="20" dataDxfId="85"/>
    <tableColumn id="22" xr3:uid="{CD196172-6AE3-4DE5-A06F-949E71EBEB0F}" name="23" dataDxfId="84"/>
    <tableColumn id="23" xr3:uid="{F4228B36-78DF-4ADD-88C1-72728A3AEB39}" name="24" dataDxfId="83"/>
    <tableColumn id="24" xr3:uid="{E94F1207-568E-4B89-8DB0-06CEBC5513E0}" name="25" dataDxfId="82"/>
    <tableColumn id="25" xr3:uid="{8DA8D870-2FE5-422D-A1EF-11DB81F83097}" name="26" dataDxfId="81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80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9">
  <autoFilter ref="A2:J58" xr:uid="{AB1967BC-98FE-49B9-B96E-7F91454A75DF}"/>
  <tableColumns count="10">
    <tableColumn id="1" xr3:uid="{E8C9BFA3-A821-4545-B3F0-1D85338E10F0}" name="SUPER" dataDxfId="78">
      <calculatedColumnFormula>IFERROR(VLOOKUP(D1_FEBRERO_2026[[#This Row],[ASESOR_CRR]],PLANTILLA_ACTUAL[],2,0),"")</calculatedColumnFormula>
    </tableColumn>
    <tableColumn id="2" xr3:uid="{3FE812CA-3CC6-4126-82E1-67F5FCA4D1F0}" name="ASESOR_CRR" dataDxfId="77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6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5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74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3"/>
    <tableColumn id="11" xr3:uid="{F601E667-9F29-4288-9F5A-767AD7CB84C9}" name="DNI" dataDxfId="72">
      <calculatedColumnFormula>VLOOKUP(D1_FEBRERO_2026[[#This Row],[ASESOR_CRR]],DIM!$C:$E,2,0)</calculatedColumnFormula>
    </tableColumn>
    <tableColumn id="12" xr3:uid="{8CE4D8BD-BFA8-4524-B7CC-97B4155A1DC0}" name="FECHA DE INGRESO" dataDxfId="71">
      <calculatedColumnFormula>VLOOKUP(D1_FEBRERO_2026[[#This Row],[ASESOR_CRR]],DIM!$C:$E,3,0)</calculatedColumnFormula>
    </tableColumn>
    <tableColumn id="8" xr3:uid="{38F96A8E-46ED-488B-B51E-F10392587B25}" name="ESTADO" dataDxfId="70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9" dataDxfId="67" headerRowBorderDxfId="68" tableBorderDxfId="66" totalsRowBorderDxfId="65">
  <autoFilter ref="AP8:BO13" xr:uid="{D9D89D51-DAB1-406D-9BCC-FA9DDE7F1EF0}"/>
  <tableColumns count="26">
    <tableColumn id="2" xr3:uid="{08060355-86C1-47A6-9DB1-6B46E3007B8A}" name="META SUPER" dataDxfId="64">
      <calculatedColumnFormula>VLOOKUP($M$3&amp;$N$3&amp;DITE_FEBRERO_2026[[#This Row],[SUPER]],TablaMeta[],5,0)</calculatedColumnFormula>
    </tableColumn>
    <tableColumn id="3" xr3:uid="{FDF7E5B8-6E43-422A-BFC9-1CCD7EE7F4E8}" name="RECUPERO SUPERVISOR" dataDxfId="63">
      <calculatedColumnFormula>MAX(DITE_FEBRERO_2026[[#This Row],[SUPER]:[CARTERA]])</calculatedColumnFormula>
    </tableColumn>
    <tableColumn id="4" xr3:uid="{F9F9E33D-CF47-4A7B-B383-5185C72E6DBF}" name="ALCANCE SUPERVISOR" dataDxfId="62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61"/>
    <tableColumn id="6" xr3:uid="{C6BD95E9-37E9-4C3B-8FAC-71C063D3CCCF}" name="2" dataDxfId="60"/>
    <tableColumn id="7" xr3:uid="{154D80CB-9358-4F70-B790-869141CEED69}" name="3" dataDxfId="59"/>
    <tableColumn id="27" xr3:uid="{B1E200F5-8C17-45BD-9A07-4B3CFCF2F55B}" name="4" dataDxfId="58"/>
    <tableColumn id="26" xr3:uid="{C4A34376-F48F-4D30-891F-680F0DC972B5}" name="5" dataDxfId="57"/>
    <tableColumn id="8" xr3:uid="{B8634A52-4E10-47C7-A2E2-7268D75FF3B1}" name="6" dataDxfId="56"/>
    <tableColumn id="9" xr3:uid="{50F52F97-2FFF-429B-8205-9821B5E2DDA3}" name="9" dataDxfId="55"/>
    <tableColumn id="10" xr3:uid="{6CA0D076-C021-4ECD-9708-296693BD3D20}" name="10" dataDxfId="54"/>
    <tableColumn id="11" xr3:uid="{60AC6543-9932-43CA-8508-68010867604A}" name="11" dataDxfId="53"/>
    <tableColumn id="12" xr3:uid="{0838B302-CF6C-41FA-9981-2C61DC3D728B}" name="12" dataDxfId="52"/>
    <tableColumn id="13" xr3:uid="{26042530-89B3-48FD-877D-23191B67C000}" name="13" dataDxfId="51"/>
    <tableColumn id="14" xr3:uid="{995CAE1C-81F5-4376-9FBF-9057F92CEBA2}" name="16" dataDxfId="50"/>
    <tableColumn id="15" xr3:uid="{CE078F22-32E6-477A-8610-B39D8802D198}" name="17" dataDxfId="49"/>
    <tableColumn id="16" xr3:uid="{E61DEB3E-541F-4914-B1D0-C31E52B10974}" name="18" dataDxfId="48"/>
    <tableColumn id="17" xr3:uid="{EC1E57C1-8228-4A17-A0ED-ACC28C9F0842}" name="19" dataDxfId="47"/>
    <tableColumn id="18" xr3:uid="{2DA8EC35-62DF-44D7-9B0C-1DA9FD7CFD91}" name="20" dataDxfId="46"/>
    <tableColumn id="19" xr3:uid="{302180D2-EA42-43C4-9FEA-201681FA861E}" name="23" dataDxfId="45"/>
    <tableColumn id="20" xr3:uid="{451825B8-387D-40FA-8E98-2EFAE991267E}" name="24" dataDxfId="44"/>
    <tableColumn id="21" xr3:uid="{026C2977-2F45-419E-AE54-92E82A6FE474}" name="25" dataDxfId="43"/>
    <tableColumn id="22" xr3:uid="{3BBAF7E2-3A2C-4E90-AE74-EEF9947AB60E}" name="26" dataDxfId="42"/>
    <tableColumn id="23" xr3:uid="{8879B076-C842-409F-9B19-61F59EF05584}" name="27" dataDxfId="41"/>
    <tableColumn id="24" xr3:uid="{AF13A28F-47F7-4494-B809-B096327E1B45}" name="28" dataDxfId="40"/>
    <tableColumn id="5" xr3:uid="{E0FECB44-CCD1-447F-A9BF-090DD9D8B323}" name="CARTERA" dataDxfId="39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32" dataDxfId="31">
  <autoFilter ref="A1:F60" xr:uid="{4B4B5CC4-5C3C-461A-AA1A-DC9321B1B957}"/>
  <tableColumns count="6">
    <tableColumn id="2" xr3:uid="{B4EEF3CC-7678-42BF-B035-CD88AB68C0D3}" name="ASESOR" dataDxfId="30"/>
    <tableColumn id="3" xr3:uid="{FB1CB57E-C468-417E-ABD0-3CE9B78E9634}" name="SUPERVISOR" dataDxfId="29"/>
    <tableColumn id="1" xr3:uid="{F397A808-BFC5-4F06-9B9C-381F51115E45}" name="PO" dataDxfId="28"/>
    <tableColumn id="4" xr3:uid="{014C9F4C-C2F1-4CF8-BCC7-D113C12A1316}" name="DNI" dataDxfId="27"/>
    <tableColumn id="5" xr3:uid="{8A032F20-8CA2-40BD-8E54-462A8D907821}" name="FECHA DE INGRESO" dataDxfId="26"/>
    <tableColumn id="6" xr3:uid="{ABB44D38-5F55-4F91-B375-D4C8E4A5B56A}" name="ESTADO" dataDxfId="25"/>
  </tableColumns>
  <tableStyleInfo name="TableStyleLight14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4" headerRowBorderDxfId="23" tableBorderDxfId="22" totalsRowBorderDxfId="21">
  <autoFilter ref="A1:G188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3"/>
    <tableColumn id="1" xr3:uid="{A623E76D-4FA0-4B02-8A90-7970B94DF34B}" name="ASESOR" dataDxfId="12"/>
    <tableColumn id="2" xr3:uid="{9E723AA3-04D3-429E-B399-716F0DC3F71B}" name="DNI" dataDxfId="11">
      <calculatedColumnFormula>VLOOKUP(Tabla31[[#This Row],[ASESOR]],DIM!$A:$D,4,0)</calculatedColumnFormula>
    </tableColumn>
    <tableColumn id="5" xr3:uid="{92D90274-A82D-4355-9559-8897FF3C2E5E}" name="EQUIPO" dataDxfId="10">
      <calculatedColumnFormula>VLOOKUP(Tabla31[[#This Row],[ASESOR]],FEBRERO_2026!$B:$E,4,0)</calculatedColumnFormula>
    </tableColumn>
    <tableColumn id="4" xr3:uid="{6C714FD8-5FBA-40C9-B203-737ABF147461}" name="RECUPERO" dataDxfId="9">
      <calculatedColumnFormula>VLOOKUP(Tabla31[[#This Row],[ASESOR]],FEBRERO_2026!B:G,6,0)</calculatedColumnFormula>
    </tableColumn>
    <tableColumn id="6" xr3:uid="{6F1879E2-7433-4097-83E7-004BFF482A1A}" name="MONTO" dataDxfId="8"/>
    <tableColumn id="7" xr3:uid="{3479ECBD-4505-4CB0-83C8-6F46A3C0F87C}" name="META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AX5" sqref="AX5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429</v>
      </c>
      <c r="I7" s="57">
        <v>44735</v>
      </c>
      <c r="J7" s="57" t="s">
        <v>525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505</v>
      </c>
      <c r="I8" s="57">
        <v>45399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398</v>
      </c>
      <c r="I9" s="57">
        <v>44461</v>
      </c>
      <c r="J9" s="57" t="s">
        <v>525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399</v>
      </c>
      <c r="I10" s="57">
        <v>44811</v>
      </c>
      <c r="J10" s="57" t="s">
        <v>525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400</v>
      </c>
      <c r="I11" s="57">
        <v>44811</v>
      </c>
      <c r="J11" s="57" t="s">
        <v>525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451</v>
      </c>
      <c r="I12" s="57">
        <v>45133</v>
      </c>
      <c r="J12" s="57" t="s">
        <v>525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417</v>
      </c>
      <c r="I13" s="57">
        <v>44357</v>
      </c>
      <c r="J13" s="57" t="s">
        <v>525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418</v>
      </c>
      <c r="I14" s="57">
        <v>44673</v>
      </c>
      <c r="J14" s="57" t="s">
        <v>525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430</v>
      </c>
      <c r="I15" s="57">
        <v>44909</v>
      </c>
      <c r="J15" s="57" t="s">
        <v>525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452</v>
      </c>
      <c r="I16" s="57">
        <v>45285</v>
      </c>
      <c r="J16" s="57" t="s">
        <v>525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443</v>
      </c>
      <c r="I17" s="57">
        <v>45429</v>
      </c>
      <c r="J17" s="57" t="s">
        <v>525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444</v>
      </c>
      <c r="I18" s="57">
        <v>45506</v>
      </c>
      <c r="J18" s="57" t="s">
        <v>525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461</v>
      </c>
      <c r="I19" s="57">
        <v>45299</v>
      </c>
      <c r="J19" s="57" t="s">
        <v>525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453</v>
      </c>
      <c r="I20" s="57">
        <v>45334</v>
      </c>
      <c r="J20" s="57" t="s">
        <v>525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482</v>
      </c>
      <c r="I21" s="57">
        <v>44657</v>
      </c>
      <c r="J21" s="57" t="s">
        <v>525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407</v>
      </c>
      <c r="I22" s="57">
        <v>45334</v>
      </c>
      <c r="J22" s="57" t="s">
        <v>525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408</v>
      </c>
      <c r="I23" s="57">
        <v>44870</v>
      </c>
      <c r="J23" s="57" t="s">
        <v>525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401</v>
      </c>
      <c r="I24" s="57">
        <v>44811</v>
      </c>
      <c r="J24" s="57" t="s">
        <v>525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409</v>
      </c>
      <c r="I25" s="57">
        <v>45530</v>
      </c>
      <c r="J25" s="57" t="s">
        <v>525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402</v>
      </c>
      <c r="I26" s="57">
        <v>45449</v>
      </c>
      <c r="J26" s="57" t="s">
        <v>525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433</v>
      </c>
      <c r="I27" s="57">
        <v>45423</v>
      </c>
      <c r="J27" s="57" t="s">
        <v>525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478</v>
      </c>
      <c r="I28" s="57">
        <v>45721</v>
      </c>
      <c r="J28" s="57" t="s">
        <v>525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434</v>
      </c>
      <c r="I29" s="57">
        <v>45399</v>
      </c>
      <c r="J29" s="57" t="s">
        <v>525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454</v>
      </c>
      <c r="I30" s="57">
        <v>44937</v>
      </c>
      <c r="J30" s="57" t="s">
        <v>525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462</v>
      </c>
      <c r="I31" s="57">
        <v>45590</v>
      </c>
      <c r="J31" s="57" t="s">
        <v>525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455</v>
      </c>
      <c r="I32" s="57">
        <v>42814</v>
      </c>
      <c r="J32" s="57" t="s">
        <v>525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410</v>
      </c>
      <c r="I33" s="57">
        <v>44259</v>
      </c>
      <c r="J33" s="57" t="s">
        <v>525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445</v>
      </c>
      <c r="I34" s="57">
        <v>45082</v>
      </c>
      <c r="J34" s="57" t="s">
        <v>525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403</v>
      </c>
      <c r="I35" s="57">
        <v>45075</v>
      </c>
      <c r="J35" s="57" t="s">
        <v>525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577</v>
      </c>
      <c r="G36" s="3">
        <v>500</v>
      </c>
      <c r="H36" t="s">
        <v>579</v>
      </c>
      <c r="I36" s="57">
        <v>45512</v>
      </c>
      <c r="J36" s="57" t="s">
        <v>525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457</v>
      </c>
      <c r="I37" s="57">
        <v>45021</v>
      </c>
      <c r="J37" s="57" t="s">
        <v>525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446</v>
      </c>
      <c r="I38" s="57">
        <v>45142</v>
      </c>
      <c r="J38" s="57" t="s">
        <v>525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419</v>
      </c>
      <c r="I39" s="57">
        <v>43132</v>
      </c>
      <c r="J39" s="57" t="s">
        <v>525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411</v>
      </c>
      <c r="I40" s="57">
        <v>44748</v>
      </c>
      <c r="J40" s="57" t="s">
        <v>525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412</v>
      </c>
      <c r="I41" s="57">
        <v>44840</v>
      </c>
      <c r="J41" s="57" t="s">
        <v>525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420</v>
      </c>
      <c r="I42" s="57">
        <v>44748</v>
      </c>
      <c r="J42" s="57" t="s">
        <v>525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577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413</v>
      </c>
      <c r="I43" s="57">
        <v>45344</v>
      </c>
      <c r="J43" s="57" t="s">
        <v>525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421</v>
      </c>
      <c r="I44" s="57">
        <v>45523</v>
      </c>
      <c r="J44" s="57" t="s">
        <v>525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458</v>
      </c>
      <c r="I45" s="57">
        <v>44869</v>
      </c>
      <c r="J45" s="57" t="s">
        <v>525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565</v>
      </c>
      <c r="G46" s="3">
        <v>22661</v>
      </c>
      <c r="H46" t="s">
        <v>566</v>
      </c>
      <c r="I46" s="57">
        <v>45131</v>
      </c>
      <c r="J46" s="57" t="s">
        <v>525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464</v>
      </c>
      <c r="I47" s="57">
        <v>44111</v>
      </c>
      <c r="J47" s="57" t="s">
        <v>525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578</v>
      </c>
      <c r="G48" s="3">
        <v>16189</v>
      </c>
      <c r="H48" t="s">
        <v>580</v>
      </c>
      <c r="I48" s="57">
        <v>44830</v>
      </c>
      <c r="J48" s="57" t="s">
        <v>525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422</v>
      </c>
      <c r="I49" s="57">
        <v>45334</v>
      </c>
      <c r="J49" s="57" t="s">
        <v>525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435</v>
      </c>
      <c r="I50" s="57">
        <v>44687</v>
      </c>
      <c r="J50" s="57" t="s">
        <v>525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465</v>
      </c>
      <c r="I51" s="57">
        <v>44820</v>
      </c>
      <c r="J51" s="57" t="s">
        <v>525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436</v>
      </c>
      <c r="I52" s="57">
        <v>44510</v>
      </c>
      <c r="J52" s="57" t="s">
        <v>525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565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404</v>
      </c>
      <c r="I53" s="57">
        <v>44888</v>
      </c>
      <c r="J53" s="57" t="s">
        <v>525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423</v>
      </c>
      <c r="I54" s="57">
        <v>45441</v>
      </c>
      <c r="J54" s="57" t="s">
        <v>525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447</v>
      </c>
      <c r="I55" s="57">
        <v>44716</v>
      </c>
      <c r="J55" s="57" t="s">
        <v>525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561</v>
      </c>
      <c r="G56" s="3">
        <v>3930</v>
      </c>
      <c r="H56" t="s">
        <v>563</v>
      </c>
      <c r="I56" s="57">
        <v>44716</v>
      </c>
      <c r="J56" s="57" t="s">
        <v>525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424</v>
      </c>
      <c r="I57" s="57">
        <v>45471</v>
      </c>
      <c r="J57" s="57" t="s">
        <v>525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425</v>
      </c>
      <c r="I58" s="57">
        <v>44941</v>
      </c>
      <c r="J58" s="57" t="s">
        <v>525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405</v>
      </c>
      <c r="I59" s="57">
        <v>45334</v>
      </c>
      <c r="J59" s="57" t="s">
        <v>525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437</v>
      </c>
      <c r="I60" s="57">
        <v>44971</v>
      </c>
      <c r="J60" s="57" t="s">
        <v>525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448</v>
      </c>
      <c r="I61" s="57">
        <v>45371</v>
      </c>
      <c r="J61" s="57" t="s">
        <v>525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414</v>
      </c>
      <c r="I62" s="57">
        <v>44470</v>
      </c>
      <c r="J62" s="57" t="s">
        <v>525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561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466</v>
      </c>
      <c r="I63" s="57">
        <v>45316</v>
      </c>
      <c r="J63" s="57" t="s">
        <v>525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581</v>
      </c>
      <c r="G64" s="3">
        <v>1931</v>
      </c>
      <c r="H64" t="s">
        <v>582</v>
      </c>
      <c r="I64" s="57">
        <v>45454</v>
      </c>
      <c r="J64" s="57" t="s">
        <v>525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568</v>
      </c>
      <c r="G65" s="3">
        <v>300</v>
      </c>
      <c r="H65" t="s">
        <v>572</v>
      </c>
      <c r="I65" s="57">
        <v>45544</v>
      </c>
      <c r="J65" s="57" t="s">
        <v>525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438</v>
      </c>
      <c r="I66" s="57">
        <v>45451</v>
      </c>
      <c r="J66" s="57" t="s">
        <v>525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439</v>
      </c>
      <c r="I67" s="57">
        <v>45145</v>
      </c>
      <c r="J67" s="57" t="s">
        <v>525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467</v>
      </c>
      <c r="I68" s="57">
        <v>45399</v>
      </c>
      <c r="J68" s="57" t="s">
        <v>525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416</v>
      </c>
      <c r="I69" s="57">
        <v>44945</v>
      </c>
      <c r="J69" s="57" t="s">
        <v>525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440</v>
      </c>
      <c r="I70" s="57">
        <v>44748</v>
      </c>
      <c r="J70" s="57" t="s">
        <v>525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581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468</v>
      </c>
      <c r="I71" s="57">
        <v>44706</v>
      </c>
      <c r="J71" s="57" t="s">
        <v>525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568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427</v>
      </c>
      <c r="I72" s="57">
        <v>44819</v>
      </c>
      <c r="J72" s="57" t="s">
        <v>525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6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3" sqref="K3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442</v>
      </c>
      <c r="I7" s="57">
        <v>45323</v>
      </c>
      <c r="J7" s="57" t="s">
        <v>525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429</v>
      </c>
      <c r="I8" s="57">
        <v>44735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505</v>
      </c>
      <c r="I9" s="57">
        <v>45399</v>
      </c>
      <c r="J9" s="57" t="s">
        <v>525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398</v>
      </c>
      <c r="I10" s="57">
        <v>44461</v>
      </c>
      <c r="J10" s="57" t="s">
        <v>525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399</v>
      </c>
      <c r="I11" s="57">
        <v>44811</v>
      </c>
      <c r="J11" s="57" t="s">
        <v>525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400</v>
      </c>
      <c r="I12" s="57">
        <v>44811</v>
      </c>
      <c r="J12" s="57" t="s">
        <v>525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451</v>
      </c>
      <c r="I13" s="57">
        <v>45133</v>
      </c>
      <c r="J13" s="57" t="s">
        <v>525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417</v>
      </c>
      <c r="I14" s="57">
        <v>44357</v>
      </c>
      <c r="J14" s="57" t="s">
        <v>525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418</v>
      </c>
      <c r="I15" s="57">
        <v>44673</v>
      </c>
      <c r="J15" s="57" t="s">
        <v>525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406</v>
      </c>
      <c r="I16" s="57">
        <v>45304</v>
      </c>
      <c r="J16" s="57" t="s">
        <v>525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430</v>
      </c>
      <c r="I17" s="57">
        <v>44909</v>
      </c>
      <c r="J17" s="57" t="s">
        <v>525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452</v>
      </c>
      <c r="I18" s="57">
        <v>45285</v>
      </c>
      <c r="J18" s="57" t="s">
        <v>525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443</v>
      </c>
      <c r="I19" s="57">
        <v>45429</v>
      </c>
      <c r="J19" s="57" t="s">
        <v>525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444</v>
      </c>
      <c r="I20" s="57">
        <v>45506</v>
      </c>
      <c r="J20" s="57" t="s">
        <v>525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461</v>
      </c>
      <c r="I21" s="57">
        <v>45299</v>
      </c>
      <c r="J21" s="57" t="s">
        <v>525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453</v>
      </c>
      <c r="I22" s="57">
        <v>45334</v>
      </c>
      <c r="J22" s="57" t="s">
        <v>525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482</v>
      </c>
      <c r="I23" s="57">
        <v>44657</v>
      </c>
      <c r="J23" s="57" t="s">
        <v>525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407</v>
      </c>
      <c r="I24" s="57">
        <v>45334</v>
      </c>
      <c r="J24" s="57" t="s">
        <v>525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408</v>
      </c>
      <c r="I25" s="57">
        <v>44870</v>
      </c>
      <c r="J25" s="57" t="s">
        <v>525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401</v>
      </c>
      <c r="I26" s="57">
        <v>44811</v>
      </c>
      <c r="J26" s="57" t="s">
        <v>525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409</v>
      </c>
      <c r="I27" s="57">
        <v>45530</v>
      </c>
      <c r="J27" s="57" t="s">
        <v>525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433</v>
      </c>
      <c r="I28" s="57">
        <v>45423</v>
      </c>
      <c r="J28" s="57" t="s">
        <v>525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478</v>
      </c>
      <c r="I29" s="57">
        <v>45721</v>
      </c>
      <c r="J29" s="57" t="s">
        <v>525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434</v>
      </c>
      <c r="I30" s="57">
        <v>45399</v>
      </c>
      <c r="J30" s="57" t="s">
        <v>525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454</v>
      </c>
      <c r="I31" s="57">
        <v>44937</v>
      </c>
      <c r="J31" s="57" t="s">
        <v>525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462</v>
      </c>
      <c r="I32" s="57">
        <v>45590</v>
      </c>
      <c r="J32" s="57" t="s">
        <v>525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455</v>
      </c>
      <c r="I33" s="57">
        <v>42814</v>
      </c>
      <c r="J33" s="57" t="s">
        <v>525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410</v>
      </c>
      <c r="I34" s="57">
        <v>44259</v>
      </c>
      <c r="J34" s="57" t="s">
        <v>525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445</v>
      </c>
      <c r="I35" s="57">
        <v>45082</v>
      </c>
      <c r="J35" s="57" t="s">
        <v>525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403</v>
      </c>
      <c r="I36" s="57">
        <v>45075</v>
      </c>
      <c r="J36" s="57" t="s">
        <v>525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577</v>
      </c>
      <c r="G37" s="3">
        <v>13600</v>
      </c>
      <c r="H37" t="s">
        <v>579</v>
      </c>
      <c r="I37" s="57">
        <v>45512</v>
      </c>
      <c r="J37" s="57" t="s">
        <v>525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457</v>
      </c>
      <c r="I38" s="57">
        <v>45021</v>
      </c>
      <c r="J38" s="57" t="s">
        <v>525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446</v>
      </c>
      <c r="I39" s="57">
        <v>45142</v>
      </c>
      <c r="J39" s="57" t="s">
        <v>525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419</v>
      </c>
      <c r="I40" s="57">
        <v>43132</v>
      </c>
      <c r="J40" s="57" t="s">
        <v>525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411</v>
      </c>
      <c r="I41" s="57">
        <v>44748</v>
      </c>
      <c r="J41" s="57" t="s">
        <v>525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463</v>
      </c>
      <c r="I42" s="57">
        <v>0</v>
      </c>
      <c r="J42" s="57" t="s">
        <v>525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412</v>
      </c>
      <c r="I43" s="57">
        <v>44840</v>
      </c>
      <c r="J43" s="57" t="s">
        <v>525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420</v>
      </c>
      <c r="I44" s="57">
        <v>44748</v>
      </c>
      <c r="J44" s="57" t="s">
        <v>525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413</v>
      </c>
      <c r="I45" s="57">
        <v>45344</v>
      </c>
      <c r="J45" s="57" t="s">
        <v>525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421</v>
      </c>
      <c r="I46" s="57">
        <v>45523</v>
      </c>
      <c r="J46" s="57" t="s">
        <v>525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458</v>
      </c>
      <c r="I47" s="57">
        <v>44869</v>
      </c>
      <c r="J47" s="57" t="s">
        <v>525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565</v>
      </c>
      <c r="G48" s="3">
        <v>67343</v>
      </c>
      <c r="H48" t="s">
        <v>566</v>
      </c>
      <c r="I48" s="57">
        <v>45131</v>
      </c>
      <c r="J48" s="57" t="s">
        <v>525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464</v>
      </c>
      <c r="I49" s="57">
        <v>44111</v>
      </c>
      <c r="J49" s="57" t="s">
        <v>525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578</v>
      </c>
      <c r="G50" s="3">
        <v>3836</v>
      </c>
      <c r="H50" t="s">
        <v>580</v>
      </c>
      <c r="I50" s="57">
        <v>44830</v>
      </c>
      <c r="J50" s="57" t="s">
        <v>525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459</v>
      </c>
      <c r="I51" s="57">
        <v>45364</v>
      </c>
      <c r="J51" s="57" t="s">
        <v>525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422</v>
      </c>
      <c r="I52" s="57">
        <v>45334</v>
      </c>
      <c r="J52" s="57" t="s">
        <v>525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435</v>
      </c>
      <c r="I53" s="57">
        <v>44687</v>
      </c>
      <c r="J53" s="57" t="s">
        <v>525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465</v>
      </c>
      <c r="I54" s="57">
        <v>44820</v>
      </c>
      <c r="J54" s="57" t="s">
        <v>525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565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436</v>
      </c>
      <c r="I55" s="57">
        <v>44510</v>
      </c>
      <c r="J55" s="57" t="s">
        <v>525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404</v>
      </c>
      <c r="I56" s="57">
        <v>44888</v>
      </c>
      <c r="J56" s="57" t="s">
        <v>525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423</v>
      </c>
      <c r="I57" s="57">
        <v>45441</v>
      </c>
      <c r="J57" s="57" t="s">
        <v>525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447</v>
      </c>
      <c r="I58" s="57">
        <v>44716</v>
      </c>
      <c r="J58" s="57" t="s">
        <v>525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561</v>
      </c>
      <c r="G59" s="3">
        <v>8065</v>
      </c>
      <c r="H59" t="s">
        <v>563</v>
      </c>
      <c r="I59" s="57">
        <v>44716</v>
      </c>
      <c r="J59" s="57" t="s">
        <v>525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424</v>
      </c>
      <c r="I60" s="57">
        <v>45471</v>
      </c>
      <c r="J60" s="57" t="s">
        <v>525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425</v>
      </c>
      <c r="I61" s="57">
        <v>44941</v>
      </c>
      <c r="J61" s="57" t="s">
        <v>525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405</v>
      </c>
      <c r="I62" s="57">
        <v>45334</v>
      </c>
      <c r="J62" s="57" t="s">
        <v>525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437</v>
      </c>
      <c r="I63" s="57">
        <v>44971</v>
      </c>
      <c r="J63" s="57" t="s">
        <v>525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448</v>
      </c>
      <c r="I64" s="57">
        <v>45371</v>
      </c>
      <c r="J64" s="57" t="s">
        <v>525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414</v>
      </c>
      <c r="I65" s="57">
        <v>44470</v>
      </c>
      <c r="J65" s="57" t="s">
        <v>525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561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562</v>
      </c>
      <c r="G66" s="3">
        <v>9580</v>
      </c>
      <c r="H66" t="s">
        <v>564</v>
      </c>
      <c r="I66" s="57">
        <v>45343</v>
      </c>
      <c r="J66" s="57" t="s">
        <v>525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449</v>
      </c>
      <c r="I67" s="57">
        <v>45348</v>
      </c>
      <c r="J67" s="57" t="s">
        <v>525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466</v>
      </c>
      <c r="I68" s="57">
        <v>45316</v>
      </c>
      <c r="J68" s="57" t="s">
        <v>525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438</v>
      </c>
      <c r="I69" s="57">
        <v>45451</v>
      </c>
      <c r="J69" s="57" t="s">
        <v>525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439</v>
      </c>
      <c r="I70" s="57">
        <v>45145</v>
      </c>
      <c r="J70" s="57" t="s">
        <v>525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426</v>
      </c>
      <c r="I71" s="57">
        <v>45175</v>
      </c>
      <c r="J71" s="57" t="s">
        <v>525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467</v>
      </c>
      <c r="I72" s="57">
        <v>45399</v>
      </c>
      <c r="J72" s="57" t="s">
        <v>525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562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416</v>
      </c>
      <c r="I73" s="57">
        <v>44945</v>
      </c>
      <c r="J73" s="57" t="s">
        <v>525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440</v>
      </c>
      <c r="I74" s="57">
        <v>44748</v>
      </c>
      <c r="J74" s="57" t="s">
        <v>525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468</v>
      </c>
      <c r="I75" s="57">
        <v>44706</v>
      </c>
      <c r="J75" s="57" t="s">
        <v>525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427</v>
      </c>
      <c r="I76" s="57">
        <v>44819</v>
      </c>
      <c r="J76" s="57" t="s">
        <v>525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5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D11" sqref="D1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B15" sqref="B3:B7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H26" sqref="H26:I2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21" zoomScale="70" zoomScaleNormal="70" workbookViewId="0">
      <selection activeCell="I36" sqref="I3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45748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topLeftCell="A26" zoomScale="70" zoomScaleNormal="70" workbookViewId="0">
      <selection activeCell="I41" sqref="I4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45748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29" zoomScale="70" zoomScaleNormal="70" workbookViewId="0">
      <selection activeCell="I44" sqref="I44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45748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39" zoomScale="70" zoomScaleNormal="70" workbookViewId="0">
      <selection activeCell="I54" sqref="I54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45748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47" zoomScale="70" zoomScaleNormal="70" workbookViewId="0">
      <selection activeCell="I62" sqref="I6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45748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topLeftCell="A43" zoomScale="70" zoomScaleNormal="70" workbookViewId="0">
      <selection activeCell="G58" sqref="G5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45748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A36" zoomScale="70" zoomScaleNormal="70" workbookViewId="0">
      <selection activeCell="E51" sqref="E5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45748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G6" sqref="G6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450</v>
      </c>
      <c r="I3" s="57">
        <v>45133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442</v>
      </c>
      <c r="I6" s="57">
        <v>45323</v>
      </c>
      <c r="J6" s="57" t="s">
        <v>525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429</v>
      </c>
      <c r="I7" s="57">
        <v>44735</v>
      </c>
      <c r="J7" s="57" t="s">
        <v>525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511</v>
      </c>
      <c r="I8" s="57">
        <v>45995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418</v>
      </c>
      <c r="I9" s="57">
        <v>44673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406</v>
      </c>
      <c r="I10" s="57">
        <v>45304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430</v>
      </c>
      <c r="I11" s="57">
        <v>44909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452</v>
      </c>
      <c r="I12" s="57">
        <v>45285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443</v>
      </c>
      <c r="I13" s="57">
        <v>45429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444</v>
      </c>
      <c r="I14" s="57">
        <v>45506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469</v>
      </c>
      <c r="I15" s="57">
        <v>45084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461</v>
      </c>
      <c r="I16" s="57">
        <v>45299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453</v>
      </c>
      <c r="I17" s="57">
        <v>45334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408</v>
      </c>
      <c r="I18" s="57">
        <v>44870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432</v>
      </c>
      <c r="I19" s="57">
        <v>45674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401</v>
      </c>
      <c r="I20" s="57">
        <v>44811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409</v>
      </c>
      <c r="I21" s="57">
        <v>45530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434</v>
      </c>
      <c r="I22" s="57">
        <v>45399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509</v>
      </c>
      <c r="I23" s="57">
        <v>45917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462</v>
      </c>
      <c r="I24" s="57">
        <v>45590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455</v>
      </c>
      <c r="I25" s="57">
        <v>42814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410</v>
      </c>
      <c r="I26" s="57">
        <v>44259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445</v>
      </c>
      <c r="I27" s="57">
        <v>45082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457</v>
      </c>
      <c r="I29" s="57">
        <v>45021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419</v>
      </c>
      <c r="I30" s="57">
        <v>43132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412</v>
      </c>
      <c r="I31" s="57">
        <v>44840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420</v>
      </c>
      <c r="I32" s="57">
        <v>44748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421</v>
      </c>
      <c r="I33" s="57">
        <v>45523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458</v>
      </c>
      <c r="I34" s="57">
        <v>44869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464</v>
      </c>
      <c r="I35" s="57">
        <v>44111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459</v>
      </c>
      <c r="I36" s="57">
        <v>45364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422</v>
      </c>
      <c r="I37" s="57">
        <v>45334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435</v>
      </c>
      <c r="I38" s="57">
        <v>44687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465</v>
      </c>
      <c r="I39" s="57">
        <v>44820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404</v>
      </c>
      <c r="I40" s="57">
        <v>44888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488</v>
      </c>
      <c r="I41" s="57">
        <v>45805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447</v>
      </c>
      <c r="I42" s="57">
        <v>44716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494</v>
      </c>
      <c r="I43" s="57">
        <v>45818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448</v>
      </c>
      <c r="I44" s="57">
        <v>45371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472</v>
      </c>
      <c r="I45" s="57">
        <v>44566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504</v>
      </c>
      <c r="I46" s="57">
        <v>45889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449</v>
      </c>
      <c r="I47" s="57">
        <v>45348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439</v>
      </c>
      <c r="I48" s="57">
        <v>45145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426</v>
      </c>
      <c r="I49" s="57">
        <v>45175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416</v>
      </c>
      <c r="I50" s="57">
        <v>44945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440</v>
      </c>
      <c r="I51" s="57">
        <v>44748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468</v>
      </c>
      <c r="I52" s="57">
        <v>44706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427</v>
      </c>
      <c r="I53" s="57">
        <v>44819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G9" sqref="G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7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H1" zoomScale="70" zoomScaleNormal="70" workbookViewId="0">
      <selection activeCell="AQ23" sqref="AQ22:AQ23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hidden="1" customWidth="1"/>
    <col min="32" max="32" width="13" hidden="1" customWidth="1"/>
    <col min="33" max="33" width="13.42578125" hidden="1" customWidth="1"/>
    <col min="34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8" width="13" hidden="1" customWidth="1"/>
    <col min="59" max="59" width="13.42578125" hidden="1" customWidth="1"/>
    <col min="60" max="60" width="13" hidden="1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/>
      <c r="D3" s="68"/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/>
      <c r="D4" s="68"/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/>
      <c r="D5" s="68"/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8"/>
      <c r="D6" s="68"/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8"/>
      <c r="D7" s="68"/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JOHAN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1.8757999999999999</v>
      </c>
      <c r="E8" s="36" t="str">
        <f>IFERROR(VLOOKUP(D1_FEBRERO_2026[[#This Row],[ASESOR_CRR]],PLANTILLA_ACTUAL[],2,0),"")</f>
        <v>JOHAN</v>
      </c>
      <c r="F8" s="35" t="s">
        <v>59</v>
      </c>
      <c r="G8" s="37">
        <v>93790</v>
      </c>
      <c r="H8" s="35" t="str">
        <f>VLOOKUP(D1_FEBRERO_2026[[#This Row],[ASESOR_CRR]],DIM!$C:$E,2,0)</f>
        <v>60870839</v>
      </c>
      <c r="I8" s="66">
        <f>VLOOKUP(D1_FEBRERO_2026[[#This Row],[ASESOR_CRR]],DIM!$C:$E,3,0)</f>
        <v>45344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JOHAN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9" s="36">
        <f>IF(D1_FEBRERO_2026[[#This Row],[RECUPERO]]="VACACIONES","VACACIONES",IFERROR(D1_FEBRERO_2026[[#This Row],[RECUPERO]]/D1_FEBRERO_2026[[#This Row],[META]],""))</f>
        <v>1.3922000000000001</v>
      </c>
      <c r="E9" s="36" t="str">
        <f>IFERROR(VLOOKUP(D1_FEBRERO_2026[[#This Row],[ASESOR_CRR]],PLANTILLA_ACTUAL[],2,0),"")</f>
        <v>JOHAN</v>
      </c>
      <c r="F9" s="35" t="s">
        <v>60</v>
      </c>
      <c r="G9" s="37">
        <v>69610</v>
      </c>
      <c r="H9" s="35" t="str">
        <f>VLOOKUP(D1_FEBRERO_2026[[#This Row],[ASESOR_CRR]],DIM!$C:$E,2,0)</f>
        <v>72839865</v>
      </c>
      <c r="I9" s="66">
        <f>VLOOKUP(D1_FEBRERO_2026[[#This Row],[ASESOR_CRR]],DIM!$C:$E,3,0)</f>
        <v>45854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1.2661702127659575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&gt;100%</v>
      </c>
      <c r="O9" s="56" t="str">
        <f>IFERROR(VLOOKUP(DATA_FEBRERO_2026[[#This Row],[ASER_]],$B:$G,4,0),"")</f>
        <v>GUSTAVO</v>
      </c>
      <c r="P9" s="6">
        <f>IF(DATA_FEBRERO_2026[[#This Row],[SUPERVISOR]]="","",VLOOKUP(DATA_FEBRERO_2026[[#This Row],[ASER_]],$B:$G,6,0))</f>
        <v>29755</v>
      </c>
      <c r="Q9" s="6">
        <f>VLOOKUP(DATA_FEBRERO_2026[[#This Row],[ASER_]],D1_FEBRERO_2026[[ASESOR_CRR]:[META]],2,0)</f>
        <v>23500</v>
      </c>
      <c r="R9" t="s">
        <v>58</v>
      </c>
      <c r="S9">
        <v>0</v>
      </c>
      <c r="T9">
        <v>0</v>
      </c>
      <c r="U9">
        <v>280</v>
      </c>
      <c r="V9">
        <v>10100</v>
      </c>
      <c r="W9">
        <v>205</v>
      </c>
      <c r="X9">
        <v>0</v>
      </c>
      <c r="Y9">
        <v>7000</v>
      </c>
      <c r="Z9">
        <v>0</v>
      </c>
      <c r="AA9">
        <v>1500</v>
      </c>
      <c r="AB9">
        <v>600</v>
      </c>
      <c r="AC9">
        <v>0</v>
      </c>
      <c r="AD9">
        <v>0</v>
      </c>
      <c r="AE9">
        <v>250</v>
      </c>
      <c r="AF9">
        <v>230</v>
      </c>
      <c r="AG9">
        <v>500</v>
      </c>
      <c r="AH9">
        <v>1500</v>
      </c>
      <c r="AI9">
        <v>1340</v>
      </c>
      <c r="AJ9">
        <v>6250</v>
      </c>
      <c r="AN9" t="str">
        <f>VLOOKUP($M$3&amp;$N$3&amp;DATA_FEBRERO_2026[[#This Row],[SUPERVISOR]],TablaMeta[],7,0)</f>
        <v>S2-3-4</v>
      </c>
      <c r="AP9" s="11">
        <f>VLOOKUP($M$3&amp;$N$3&amp;DITE_FEBRERO_2026[[#This Row],[SUPER]],TablaMeta[],5,0)</f>
        <v>543573</v>
      </c>
      <c r="AQ9" s="11">
        <f>MAX(DITE_FEBRERO_2026[[#This Row],[SUPER]:[CARTERA]])</f>
        <v>404566</v>
      </c>
      <c r="AR9" s="17">
        <f>IFERROR(DITE_FEBRERO_2026[[#This Row],[RECUPERO SUPERVISOR]]/DITE_FEBRERO_2026[[#This Row],[META SUPER]],"")</f>
        <v>0.74427169855750741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>
        <v>206770</v>
      </c>
      <c r="BF9" s="47">
        <v>262358</v>
      </c>
      <c r="BG9" s="47">
        <v>281599</v>
      </c>
      <c r="BH9" s="47">
        <v>301302</v>
      </c>
      <c r="BI9" s="47">
        <v>322752</v>
      </c>
      <c r="BJ9" s="47">
        <v>384056</v>
      </c>
      <c r="BK9" s="47">
        <v>404566</v>
      </c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JOHAN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1.0509999999999999</v>
      </c>
      <c r="E10" s="36" t="str">
        <f>IFERROR(VLOOKUP(D1_FEBRERO_2026[[#This Row],[ASESOR_CRR]],PLANTILLA_ACTUAL[],2,0),"")</f>
        <v>JOHAN</v>
      </c>
      <c r="F10" s="35" t="s">
        <v>75</v>
      </c>
      <c r="G10" s="37">
        <v>52550</v>
      </c>
      <c r="H10" s="35" t="str">
        <f>VLOOKUP(D1_FEBRERO_2026[[#This Row],[ASESOR_CRR]],DIM!$C:$E,2,0)</f>
        <v>71264767</v>
      </c>
      <c r="I10" s="66">
        <f>VLOOKUP(D1_FEBRERO_2026[[#This Row],[ASESOR_CRR]],DIM!$C:$E,3,0)</f>
        <v>44714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0.74651063829787234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&gt;70%</v>
      </c>
      <c r="O10" s="56" t="str">
        <f>IFERROR(VLOOKUP(DATA_FEBRERO_2026[[#This Row],[ASER_]],$B:$G,4,0),"")</f>
        <v>GUSTAVO</v>
      </c>
      <c r="P10" s="6">
        <f>IF(DATA_FEBRERO_2026[[#This Row],[SUPERVISOR]]="","",VLOOKUP(DATA_FEBRERO_2026[[#This Row],[ASER_]],$B:$G,6,0))</f>
        <v>17543</v>
      </c>
      <c r="Q10" s="6">
        <f>VLOOKUP(DATA_FEBRERO_2026[[#This Row],[ASER_]],D1_FEBRERO_2026[[ASESOR_CRR]:[META]],2,0)</f>
        <v>23500</v>
      </c>
      <c r="R10" t="s">
        <v>515</v>
      </c>
      <c r="S10">
        <v>1108</v>
      </c>
      <c r="T10">
        <v>750</v>
      </c>
      <c r="U10">
        <v>1800</v>
      </c>
      <c r="V10">
        <v>180</v>
      </c>
      <c r="W10">
        <v>0</v>
      </c>
      <c r="X10">
        <v>275</v>
      </c>
      <c r="Y10">
        <v>115</v>
      </c>
      <c r="Z10">
        <v>790</v>
      </c>
      <c r="AA10">
        <v>2500</v>
      </c>
      <c r="AB10">
        <v>1325</v>
      </c>
      <c r="AC10">
        <v>1050</v>
      </c>
      <c r="AD10">
        <v>0</v>
      </c>
      <c r="AE10">
        <v>0</v>
      </c>
      <c r="AF10">
        <v>5500</v>
      </c>
      <c r="AG10">
        <v>0</v>
      </c>
      <c r="AH10">
        <v>200</v>
      </c>
      <c r="AI10">
        <v>900</v>
      </c>
      <c r="AJ10">
        <v>1050</v>
      </c>
      <c r="AN10" t="str">
        <f>VLOOKUP($M$3&amp;$N$3&amp;DATA_FEBRERO_2026[[#This Row],[SUPERVISOR]],TablaMeta[],7,0)</f>
        <v>S2-3-4</v>
      </c>
      <c r="AP10" s="12">
        <f>VLOOKUP($M$3&amp;$N$3&amp;DITE_FEBRERO_2026[[#This Row],[SUPER]],TablaMeta[],5,0)</f>
        <v>543573</v>
      </c>
      <c r="AQ10" s="12">
        <f>MAX(DITE_FEBRERO_2026[[#This Row],[SUPER]:[CARTERA]])</f>
        <v>432625</v>
      </c>
      <c r="AR10" s="18">
        <f>IFERROR(DITE_FEBRERO_2026[[#This Row],[RECUPERO SUPERVISOR]]/DITE_FEBRERO_2026[[#This Row],[META SUPER]],"")</f>
        <v>0.79589126023551571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>
        <v>334760</v>
      </c>
      <c r="BF10" s="47">
        <v>359960</v>
      </c>
      <c r="BG10" s="47">
        <v>368796</v>
      </c>
      <c r="BH10" s="47">
        <v>385377</v>
      </c>
      <c r="BI10" s="47">
        <v>398317</v>
      </c>
      <c r="BJ10" s="47">
        <v>428645</v>
      </c>
      <c r="BK10" s="47">
        <v>432625</v>
      </c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JOHAN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0.78</v>
      </c>
      <c r="E11" s="36" t="str">
        <f>IFERROR(VLOOKUP(D1_FEBRERO_2026[[#This Row],[ASESOR_CRR]],PLANTILLA_ACTUAL[],2,0),"")</f>
        <v>JOHAN</v>
      </c>
      <c r="F11" s="35" t="s">
        <v>12</v>
      </c>
      <c r="G11" s="37">
        <v>39000</v>
      </c>
      <c r="H11" s="35" t="str">
        <f>VLOOKUP(D1_FEBRERO_2026[[#This Row],[ASESOR_CRR]],DIM!$C:$E,2,0)</f>
        <v>45262585</v>
      </c>
      <c r="I11" s="66">
        <f>VLOOKUP(D1_FEBRERO_2026[[#This Row],[ASESOR_CRR]],DIM!$C:$E,3,0)</f>
        <v>44868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1.2972765957446808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&gt;100%</v>
      </c>
      <c r="O11" s="56" t="str">
        <f>IFERROR(VLOOKUP(DATA_FEBRERO_2026[[#This Row],[ASER_]],$B:$G,4,0),"")</f>
        <v>GUSTAVO</v>
      </c>
      <c r="P11" s="6">
        <f>IF(DATA_FEBRERO_2026[[#This Row],[SUPERVISOR]]="","",VLOOKUP(DATA_FEBRERO_2026[[#This Row],[ASER_]],$B:$G,6,0))</f>
        <v>30486</v>
      </c>
      <c r="Q11" s="6">
        <f>VLOOKUP(DATA_FEBRERO_2026[[#This Row],[ASER_]],D1_FEBRERO_2026[[ASESOR_CRR]:[META]],2,0)</f>
        <v>23500</v>
      </c>
      <c r="R11" t="s">
        <v>513</v>
      </c>
      <c r="S11">
        <v>0</v>
      </c>
      <c r="T11">
        <v>0</v>
      </c>
      <c r="U11">
        <v>0</v>
      </c>
      <c r="V11">
        <v>1436</v>
      </c>
      <c r="W11">
        <v>500</v>
      </c>
      <c r="X11">
        <v>600</v>
      </c>
      <c r="Y11">
        <v>3700</v>
      </c>
      <c r="Z11">
        <v>1250</v>
      </c>
      <c r="AA11">
        <v>0</v>
      </c>
      <c r="AB11">
        <v>3800</v>
      </c>
      <c r="AC11">
        <v>3700</v>
      </c>
      <c r="AD11">
        <v>2000</v>
      </c>
      <c r="AE11">
        <v>0</v>
      </c>
      <c r="AF11">
        <v>0</v>
      </c>
      <c r="AG11">
        <v>5000</v>
      </c>
      <c r="AH11">
        <v>1500</v>
      </c>
      <c r="AI11">
        <v>0</v>
      </c>
      <c r="AJ11">
        <v>7000</v>
      </c>
      <c r="AN11" t="str">
        <f>VLOOKUP($M$3&amp;$N$3&amp;DATA_FEBRERO_2026[[#This Row],[SUPERVISOR]],TablaMeta[],7,0)</f>
        <v>S2-3-4</v>
      </c>
      <c r="AP11" s="11">
        <f>VLOOKUP($M$3&amp;$N$3&amp;DITE_FEBRERO_2026[[#This Row],[SUPER]],TablaMeta[],5,0)</f>
        <v>194963</v>
      </c>
      <c r="AQ11" s="11">
        <f>MAX(DITE_FEBRERO_2026[[#This Row],[SUPER]:[CARTERA]])</f>
        <v>191922.4</v>
      </c>
      <c r="AR11" s="17">
        <f>IFERROR(DITE_FEBRERO_2026[[#This Row],[RECUPERO SUPERVISOR]]/DITE_FEBRERO_2026[[#This Row],[META SUPER]],"")</f>
        <v>0.98440422028795205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>
        <v>141316.4</v>
      </c>
      <c r="BF11" s="47">
        <v>143580.4</v>
      </c>
      <c r="BG11" s="47">
        <v>145690.4</v>
      </c>
      <c r="BH11" s="47">
        <v>154392.4</v>
      </c>
      <c r="BI11" s="47">
        <v>157752.4</v>
      </c>
      <c r="BJ11" s="47">
        <v>177422.4</v>
      </c>
      <c r="BK11" s="47">
        <v>191922.4</v>
      </c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JOHAN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2" s="36">
        <f>IF(D1_FEBRERO_2026[[#This Row],[RECUPERO]]="VACACIONES","VACACIONES",IFERROR(D1_FEBRERO_2026[[#This Row],[RECUPERO]]/D1_FEBRERO_2026[[#This Row],[META]],""))</f>
        <v>0.62580000000000002</v>
      </c>
      <c r="E12" s="36" t="str">
        <f>IFERROR(VLOOKUP(D1_FEBRERO_2026[[#This Row],[ASESOR_CRR]],PLANTILLA_ACTUAL[],2,0),"")</f>
        <v>JOHAN</v>
      </c>
      <c r="F12" s="35" t="s">
        <v>18</v>
      </c>
      <c r="G12" s="37">
        <v>31290</v>
      </c>
      <c r="H12" s="35" t="str">
        <f>VLOOKUP(D1_FEBRERO_2026[[#This Row],[ASESOR_CRR]],DIM!$C:$E,2,0)</f>
        <v>76214436</v>
      </c>
      <c r="I12" s="66">
        <f>VLOOKUP(D1_FEBRERO_2026[[#This Row],[ASESOR_CRR]],DIM!$C:$E,3,0)</f>
        <v>45132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1.228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GUSTAVO</v>
      </c>
      <c r="P12" s="6">
        <f>IF(DATA_FEBRERO_2026[[#This Row],[SUPERVISOR]]="","",VLOOKUP(DATA_FEBRERO_2026[[#This Row],[ASER_]],$B:$G,6,0))</f>
        <v>28858</v>
      </c>
      <c r="Q12" s="6">
        <f>VLOOKUP(DATA_FEBRERO_2026[[#This Row],[ASER_]],D1_FEBRERO_2026[[ASESOR_CRR]:[META]],2,0)</f>
        <v>23500</v>
      </c>
      <c r="R12" t="s">
        <v>174</v>
      </c>
      <c r="S12">
        <v>0</v>
      </c>
      <c r="T12">
        <v>0</v>
      </c>
      <c r="U12">
        <v>0</v>
      </c>
      <c r="V12">
        <v>300</v>
      </c>
      <c r="W12">
        <v>0</v>
      </c>
      <c r="X12">
        <v>0</v>
      </c>
      <c r="Y12">
        <v>2830</v>
      </c>
      <c r="Z12">
        <v>2220</v>
      </c>
      <c r="AA12">
        <v>0</v>
      </c>
      <c r="AB12">
        <v>13520</v>
      </c>
      <c r="AC12">
        <v>200</v>
      </c>
      <c r="AD12">
        <v>5168</v>
      </c>
      <c r="AE12">
        <v>0</v>
      </c>
      <c r="AF12">
        <v>2300</v>
      </c>
      <c r="AG12">
        <v>0</v>
      </c>
      <c r="AH12">
        <v>320</v>
      </c>
      <c r="AI12">
        <v>0</v>
      </c>
      <c r="AJ12">
        <v>2000</v>
      </c>
      <c r="AN12" t="str">
        <f>VLOOKUP($M$3&amp;$N$3&amp;DATA_FEBRERO_2026[[#This Row],[SUPERVISOR]],TablaMeta[],7,0)</f>
        <v>S2-3-4</v>
      </c>
      <c r="AP12" s="12">
        <f>VLOOKUP($M$3&amp;$N$3&amp;DITE_FEBRERO_2026[[#This Row],[SUPER]],TablaMeta[],5,0)</f>
        <v>540042</v>
      </c>
      <c r="AQ12" s="12">
        <f>MAX(DITE_FEBRERO_2026[[#This Row],[SUPER]:[CARTERA]])</f>
        <v>547812.48</v>
      </c>
      <c r="AR12" s="18">
        <f>IFERROR(DITE_FEBRERO_2026[[#This Row],[RECUPERO SUPERVISOR]]/DITE_FEBRERO_2026[[#This Row],[META SUPER]],"")</f>
        <v>1.014388658659882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>
        <v>345389.48</v>
      </c>
      <c r="BF12" s="47">
        <v>390047.48</v>
      </c>
      <c r="BG12" s="47">
        <v>420798.48</v>
      </c>
      <c r="BH12" s="47">
        <v>469747.48</v>
      </c>
      <c r="BI12" s="47">
        <v>496882.48</v>
      </c>
      <c r="BJ12" s="47">
        <v>516552.48</v>
      </c>
      <c r="BK12" s="47">
        <v>547812.48</v>
      </c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JOHAN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0.5806</v>
      </c>
      <c r="E13" s="36" t="str">
        <f>IFERROR(VLOOKUP(D1_FEBRERO_2026[[#This Row],[ASESOR_CRR]],PLANTILLA_ACTUAL[],2,0),"")</f>
        <v>JOHAN</v>
      </c>
      <c r="F13" s="35" t="s">
        <v>122</v>
      </c>
      <c r="G13" s="37">
        <v>29030</v>
      </c>
      <c r="H13" s="35" t="str">
        <f>VLOOKUP(D1_FEBRERO_2026[[#This Row],[ASESOR_CRR]],DIM!$C:$E,2,0)</f>
        <v>76586998</v>
      </c>
      <c r="I13" s="66">
        <f>VLOOKUP(D1_FEBRERO_2026[[#This Row],[ASESOR_CRR]],DIM!$C:$E,3,0)</f>
        <v>45971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0.91089361702127658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GUSTAVO</v>
      </c>
      <c r="P13" s="6">
        <f>IF(DATA_FEBRERO_2026[[#This Row],[SUPERVISOR]]="","",VLOOKUP(DATA_FEBRERO_2026[[#This Row],[ASER_]],$B:$G,6,0))</f>
        <v>21406</v>
      </c>
      <c r="Q13" s="6">
        <f>VLOOKUP(DATA_FEBRERO_2026[[#This Row],[ASER_]],D1_FEBRERO_2026[[ASESOR_CRR]:[META]],2,0)</f>
        <v>23500</v>
      </c>
      <c r="R13" t="s">
        <v>49</v>
      </c>
      <c r="S13">
        <v>0</v>
      </c>
      <c r="T13">
        <v>0</v>
      </c>
      <c r="U13">
        <v>500</v>
      </c>
      <c r="V13">
        <v>400</v>
      </c>
      <c r="W13">
        <v>4500</v>
      </c>
      <c r="X13">
        <v>0</v>
      </c>
      <c r="Y13">
        <v>2000</v>
      </c>
      <c r="Z13">
        <v>730</v>
      </c>
      <c r="AA13">
        <v>0</v>
      </c>
      <c r="AB13">
        <v>5620</v>
      </c>
      <c r="AC13">
        <v>600</v>
      </c>
      <c r="AD13">
        <v>0</v>
      </c>
      <c r="AE13">
        <v>506</v>
      </c>
      <c r="AF13">
        <v>0</v>
      </c>
      <c r="AG13">
        <v>0</v>
      </c>
      <c r="AH13">
        <v>1200</v>
      </c>
      <c r="AI13">
        <v>1100</v>
      </c>
      <c r="AJ13">
        <v>4250</v>
      </c>
      <c r="AN13" t="str">
        <f>VLOOKUP($M$3&amp;$N$3&amp;DATA_FEBRERO_2026[[#This Row],[SUPERVISOR]],TablaMeta[],7,0)</f>
        <v>S2-3-4</v>
      </c>
      <c r="AP13" s="11">
        <f>VLOOKUP($M$3&amp;$N$3&amp;DITE_FEBRERO_2026[[#This Row],[SUPER]],TablaMeta[],5,0)</f>
        <v>294869</v>
      </c>
      <c r="AQ13" s="11">
        <f>MAX(DITE_FEBRERO_2026[[#This Row],[SUPER]:[CARTERA]])</f>
        <v>205889</v>
      </c>
      <c r="AR13" s="17">
        <f>IFERROR(DITE_FEBRERO_2026[[#This Row],[RECUPERO SUPERVISOR]]/DITE_FEBRERO_2026[[#This Row],[META SUPER]],"")</f>
        <v>0.69823887895980929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>
        <v>128438</v>
      </c>
      <c r="BF13" s="47">
        <v>140354</v>
      </c>
      <c r="BG13" s="47">
        <v>148354</v>
      </c>
      <c r="BH13" s="47">
        <v>155284</v>
      </c>
      <c r="BI13" s="47">
        <v>169099</v>
      </c>
      <c r="BJ13" s="47">
        <v>172499</v>
      </c>
      <c r="BK13" s="47">
        <v>205889</v>
      </c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JOHAN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4" s="36">
        <f>IF(D1_FEBRERO_2026[[#This Row],[RECUPERO]]="VACACIONES","VACACIONES",IFERROR(D1_FEBRERO_2026[[#This Row],[RECUPERO]]/D1_FEBRERO_2026[[#This Row],[META]],""))</f>
        <v>0.51659999999999995</v>
      </c>
      <c r="E14" s="36" t="str">
        <f>IFERROR(VLOOKUP(D1_FEBRERO_2026[[#This Row],[ASESOR_CRR]],PLANTILLA_ACTUAL[],2,0),"")</f>
        <v>JOHAN</v>
      </c>
      <c r="F14" s="35" t="s">
        <v>85</v>
      </c>
      <c r="G14" s="37">
        <v>25830</v>
      </c>
      <c r="H14" s="35" t="str">
        <f>VLOOKUP(D1_FEBRERO_2026[[#This Row],[ASESOR_CRR]],DIM!$C:$E,2,0)</f>
        <v>70477743</v>
      </c>
      <c r="I14" s="66">
        <f>VLOOKUP(D1_FEBRERO_2026[[#This Row],[ASESOR_CRR]],DIM!$C:$E,3,0)</f>
        <v>46055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0.16808510638297872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GUSTAVO</v>
      </c>
      <c r="P14" s="6">
        <f>IF(DATA_FEBRERO_2026[[#This Row],[SUPERVISOR]]="","",VLOOKUP(DATA_FEBRERO_2026[[#This Row],[ASER_]],$B:$G,6,0))</f>
        <v>3950</v>
      </c>
      <c r="Q14" s="6">
        <f>VLOOKUP(DATA_FEBRERO_2026[[#This Row],[ASER_]],D1_FEBRERO_2026[[ASESOR_CRR]:[META]],2,0)</f>
        <v>23500</v>
      </c>
      <c r="R14" t="s">
        <v>568</v>
      </c>
      <c r="S14">
        <v>0</v>
      </c>
      <c r="T14">
        <v>0</v>
      </c>
      <c r="U14">
        <v>0</v>
      </c>
      <c r="V14">
        <v>1000</v>
      </c>
      <c r="W14">
        <v>1100</v>
      </c>
      <c r="X14">
        <v>0</v>
      </c>
      <c r="Y14">
        <v>700</v>
      </c>
      <c r="Z14">
        <v>0</v>
      </c>
      <c r="AA14">
        <v>0</v>
      </c>
      <c r="AB14">
        <v>0</v>
      </c>
      <c r="AC14">
        <v>150</v>
      </c>
      <c r="AD14">
        <v>0</v>
      </c>
      <c r="AE14">
        <v>1000</v>
      </c>
      <c r="AF14">
        <v>0</v>
      </c>
      <c r="AG14">
        <v>0</v>
      </c>
      <c r="AH14">
        <v>0</v>
      </c>
      <c r="AI14">
        <v>0</v>
      </c>
      <c r="AJ14">
        <v>0</v>
      </c>
      <c r="AN14" t="str">
        <f>VLOOKUP($M$3&amp;$N$3&amp;DATA_FEBRERO_2026[[#This Row],[SUPERVISOR]],TablaMeta[],7,0)</f>
        <v>S2-3-4</v>
      </c>
    </row>
    <row r="15" spans="1:67" x14ac:dyDescent="0.25">
      <c r="A15" s="35" t="str">
        <f>IFERROR(VLOOKUP(D1_FEBRERO_2026[[#This Row],[ASESOR_CRR]],PLANTILLA_ACTUAL[],2,0),"")</f>
        <v>JOHAN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5" s="36">
        <f>IF(D1_FEBRERO_2026[[#This Row],[RECUPERO]]="VACACIONES","VACACIONES",IFERROR(D1_FEBRERO_2026[[#This Row],[RECUPERO]]/D1_FEBRERO_2026[[#This Row],[META]],""))</f>
        <v>0.51315999999999995</v>
      </c>
      <c r="E15" s="36" t="str">
        <f>IFERROR(VLOOKUP(D1_FEBRERO_2026[[#This Row],[ASESOR_CRR]],PLANTILLA_ACTUAL[],2,0),"")</f>
        <v>JOHAN</v>
      </c>
      <c r="F15" s="35" t="s">
        <v>10</v>
      </c>
      <c r="G15" s="37">
        <v>25658</v>
      </c>
      <c r="H15" s="35" t="str">
        <f>VLOOKUP(D1_FEBRERO_2026[[#This Row],[ASESOR_CRR]],DIM!$C:$E,2,0)</f>
        <v>40980108</v>
      </c>
      <c r="I15" s="66">
        <f>VLOOKUP(D1_FEBRERO_2026[[#This Row],[ASESOR_CRR]],DIM!$C:$E,3,0)</f>
        <v>44704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0.89021276595744681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&gt;70%</v>
      </c>
      <c r="O15" s="56" t="str">
        <f>IFERROR(VLOOKUP(DATA_FEBRERO_2026[[#This Row],[ASER_]],$B:$G,4,0),"")</f>
        <v>GUSTAVO</v>
      </c>
      <c r="P15" s="6">
        <f>IF(DATA_FEBRERO_2026[[#This Row],[SUPERVISOR]]="","",VLOOKUP(DATA_FEBRERO_2026[[#This Row],[ASER_]],$B:$G,6,0))</f>
        <v>20920</v>
      </c>
      <c r="Q15" s="6">
        <f>VLOOKUP(DATA_FEBRERO_2026[[#This Row],[ASER_]],D1_FEBRERO_2026[[ASESOR_CRR]:[META]],2,0)</f>
        <v>23500</v>
      </c>
      <c r="R15" t="s">
        <v>48</v>
      </c>
      <c r="S15">
        <v>300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4160</v>
      </c>
      <c r="AA15">
        <v>0</v>
      </c>
      <c r="AB15">
        <v>6000</v>
      </c>
      <c r="AC15">
        <v>2000</v>
      </c>
      <c r="AD15">
        <v>300</v>
      </c>
      <c r="AE15">
        <v>4660</v>
      </c>
      <c r="AF15">
        <v>0</v>
      </c>
      <c r="AG15">
        <v>0</v>
      </c>
      <c r="AH15">
        <v>3500</v>
      </c>
      <c r="AI15">
        <v>0</v>
      </c>
      <c r="AJ15">
        <v>0</v>
      </c>
      <c r="AN15" t="str">
        <f>VLOOKUP($M$3&amp;$N$3&amp;DATA_FEBRERO_2026[[#This Row],[SUPERVISOR]],TablaMeta[],7,0)</f>
        <v>S2-3-4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JOHAN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0.36975999999999998</v>
      </c>
      <c r="E16" s="36" t="str">
        <f>IFERROR(VLOOKUP(D1_FEBRERO_2026[[#This Row],[ASESOR_CRR]],PLANTILLA_ACTUAL[],2,0),"")</f>
        <v>JOHAN</v>
      </c>
      <c r="F16" s="35" t="s">
        <v>61</v>
      </c>
      <c r="G16" s="37">
        <v>18488</v>
      </c>
      <c r="H16" s="35" t="str">
        <f>VLOOKUP(D1_FEBRERO_2026[[#This Row],[ASESOR_CRR]],DIM!$C:$E,2,0)</f>
        <v>44001162</v>
      </c>
      <c r="I16" s="66">
        <f>VLOOKUP(D1_FEBRERO_2026[[#This Row],[ASESOR_CRR]],DIM!$C:$E,3,0)</f>
        <v>44907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0.6588510638297872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&gt;40%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15483</v>
      </c>
      <c r="Q16" s="6">
        <f>VLOOKUP(DATA_FEBRERO_2026[[#This Row],[ASER_]],D1_FEBRERO_2026[[ASESOR_CRR]:[META]],2,0)</f>
        <v>23500</v>
      </c>
      <c r="R16" t="s">
        <v>51</v>
      </c>
      <c r="S16">
        <v>260</v>
      </c>
      <c r="T16">
        <v>0</v>
      </c>
      <c r="U16">
        <v>6000</v>
      </c>
      <c r="V16">
        <v>0</v>
      </c>
      <c r="W16">
        <v>0</v>
      </c>
      <c r="X16">
        <v>6100</v>
      </c>
      <c r="Y16">
        <v>0</v>
      </c>
      <c r="Z16">
        <v>0</v>
      </c>
      <c r="AA16">
        <v>0</v>
      </c>
      <c r="AB16">
        <v>0</v>
      </c>
      <c r="AC16">
        <v>573</v>
      </c>
      <c r="AD16">
        <v>200</v>
      </c>
      <c r="AE16">
        <v>0</v>
      </c>
      <c r="AF16">
        <v>0</v>
      </c>
      <c r="AG16">
        <v>1050</v>
      </c>
      <c r="AH16">
        <v>1300</v>
      </c>
      <c r="AI16">
        <v>0</v>
      </c>
      <c r="AJ16">
        <v>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JOHAN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7" s="36">
        <f>IF(D1_FEBRERO_2026[[#This Row],[RECUPERO]]="VACACIONES","VACACIONES",IFERROR(D1_FEBRERO_2026[[#This Row],[RECUPERO]]/D1_FEBRERO_2026[[#This Row],[META]],""))</f>
        <v>0.24979999999999999</v>
      </c>
      <c r="E17" s="36" t="str">
        <f>IFERROR(VLOOKUP(D1_FEBRERO_2026[[#This Row],[ASESOR_CRR]],PLANTILLA_ACTUAL[],2,0),"")</f>
        <v>JOHAN</v>
      </c>
      <c r="F17" t="s">
        <v>109</v>
      </c>
      <c r="G17" s="3">
        <v>12490</v>
      </c>
      <c r="H17" t="str">
        <f>VLOOKUP(D1_FEBRERO_2026[[#This Row],[ASESOR_CRR]],DIM!$C:$E,2,0)</f>
        <v>74626735</v>
      </c>
      <c r="I17" s="57">
        <f>VLOOKUP(D1_FEBRERO_2026[[#This Row],[ASESOR_CRR]],DIM!$C:$E,3,0)</f>
        <v>46024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0.3556595744680851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8358</v>
      </c>
      <c r="Q17" s="6">
        <f>VLOOKUP(DATA_FEBRERO_2026[[#This Row],[ASER_]],D1_FEBRERO_2026[[ASESOR_CRR]:[META]],2,0)</f>
        <v>23500</v>
      </c>
      <c r="R17" t="s">
        <v>77</v>
      </c>
      <c r="S17">
        <v>600</v>
      </c>
      <c r="T17">
        <v>0</v>
      </c>
      <c r="U17">
        <v>458</v>
      </c>
      <c r="V17">
        <v>1022</v>
      </c>
      <c r="W17">
        <v>0</v>
      </c>
      <c r="X17">
        <v>0</v>
      </c>
      <c r="Y17">
        <v>0</v>
      </c>
      <c r="Z17">
        <v>377.52</v>
      </c>
      <c r="AA17">
        <v>800</v>
      </c>
      <c r="AB17">
        <v>300</v>
      </c>
      <c r="AC17">
        <v>0</v>
      </c>
      <c r="AD17">
        <v>0</v>
      </c>
      <c r="AE17">
        <v>4000</v>
      </c>
      <c r="AF17">
        <v>0</v>
      </c>
      <c r="AG17">
        <v>0</v>
      </c>
      <c r="AH17">
        <v>400</v>
      </c>
      <c r="AI17">
        <v>400</v>
      </c>
      <c r="AJ17">
        <v>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JOHAN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8" s="36">
        <f>IF(D1_FEBRERO_2026[[#This Row],[RECUPERO]]="VACACIONES","VACACIONES",IFERROR(D1_FEBRERO_2026[[#This Row],[RECUPERO]]/D1_FEBRERO_2026[[#This Row],[META]],""))</f>
        <v>0.24057999999999999</v>
      </c>
      <c r="E18" s="36" t="str">
        <f>IFERROR(VLOOKUP(D1_FEBRERO_2026[[#This Row],[ASESOR_CRR]],PLANTILLA_ACTUAL[],2,0),"")</f>
        <v>JOHAN</v>
      </c>
      <c r="F18" t="s">
        <v>207</v>
      </c>
      <c r="G18" s="3">
        <v>12029</v>
      </c>
      <c r="H18" t="str">
        <f>VLOOKUP(D1_FEBRERO_2026[[#This Row],[ASESOR_CRR]],DIM!$C:$E,2,0)</f>
        <v>47497410</v>
      </c>
      <c r="I18" s="57">
        <f>VLOOKUP(D1_FEBRERO_2026[[#This Row],[ASESOR_CRR]],DIM!$C:$E,3,0)</f>
        <v>46024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0.9212765957446809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&gt;70%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21650</v>
      </c>
      <c r="Q18" s="6">
        <f>VLOOKUP(DATA_FEBRERO_2026[[#This Row],[ASER_]],D1_FEBRERO_2026[[ASESOR_CRR]:[META]],2,0)</f>
        <v>23500</v>
      </c>
      <c r="R18" t="s">
        <v>73</v>
      </c>
      <c r="S18">
        <v>400</v>
      </c>
      <c r="T18">
        <v>0</v>
      </c>
      <c r="U18">
        <v>0</v>
      </c>
      <c r="V18">
        <v>600</v>
      </c>
      <c r="W18">
        <v>750</v>
      </c>
      <c r="X18">
        <v>0</v>
      </c>
      <c r="Y18">
        <v>1500</v>
      </c>
      <c r="Z18">
        <v>0</v>
      </c>
      <c r="AA18">
        <v>1700</v>
      </c>
      <c r="AB18">
        <v>0</v>
      </c>
      <c r="AC18">
        <v>2000</v>
      </c>
      <c r="AD18">
        <v>0</v>
      </c>
      <c r="AE18">
        <v>1000</v>
      </c>
      <c r="AF18">
        <v>0</v>
      </c>
      <c r="AG18">
        <v>0</v>
      </c>
      <c r="AH18">
        <v>2200</v>
      </c>
      <c r="AI18">
        <v>0</v>
      </c>
      <c r="AJ18">
        <v>11500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KENNETH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9" s="36">
        <f>IF(D1_FEBRERO_2026[[#This Row],[RECUPERO]]="VACACIONES","VACACIONES",IFERROR(D1_FEBRERO_2026[[#This Row],[RECUPERO]]/D1_FEBRERO_2026[[#This Row],[META]],""))</f>
        <v>1.0462777777777779</v>
      </c>
      <c r="E19" s="36" t="str">
        <f>IFERROR(VLOOKUP(D1_FEBRERO_2026[[#This Row],[ASESOR_CRR]],PLANTILLA_ACTUAL[],2,0),"")</f>
        <v>KENNETH</v>
      </c>
      <c r="F19" t="s">
        <v>35</v>
      </c>
      <c r="G19" s="3">
        <v>94165</v>
      </c>
      <c r="H19" t="str">
        <f>VLOOKUP(D1_FEBRERO_2026[[#This Row],[ASESOR_CRR]],DIM!$C:$E,2,0)</f>
        <v>10491198</v>
      </c>
      <c r="I19" s="57">
        <f>VLOOKUP(D1_FEBRERO_2026[[#This Row],[ASESOR_CRR]],DIM!$C:$E,3,0)</f>
        <v>44746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0.20382978723404255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4790</v>
      </c>
      <c r="Q19" s="6">
        <f>VLOOKUP(DATA_FEBRERO_2026[[#This Row],[ASER_]],D1_FEBRERO_2026[[ASESOR_CRR]:[META]],2,0)</f>
        <v>23500</v>
      </c>
      <c r="R19" t="s">
        <v>55</v>
      </c>
      <c r="S19" s="48">
        <v>310</v>
      </c>
      <c r="T19">
        <v>0</v>
      </c>
      <c r="U19">
        <v>0</v>
      </c>
      <c r="V19">
        <v>0</v>
      </c>
      <c r="W19">
        <v>0</v>
      </c>
      <c r="X19">
        <v>280</v>
      </c>
      <c r="Y19">
        <v>0</v>
      </c>
      <c r="Z19">
        <v>120</v>
      </c>
      <c r="AA19">
        <v>1385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1695</v>
      </c>
      <c r="AI19">
        <v>0</v>
      </c>
      <c r="AJ19">
        <v>1000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KENNETH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0" s="36">
        <f>IF(D1_FEBRERO_2026[[#This Row],[RECUPERO]]="VACACIONES","VACACIONES",IFERROR(D1_FEBRERO_2026[[#This Row],[RECUPERO]]/D1_FEBRERO_2026[[#This Row],[META]],""))</f>
        <v>1.0102611111111111</v>
      </c>
      <c r="E20" s="36" t="str">
        <f>IFERROR(VLOOKUP(D1_FEBRERO_2026[[#This Row],[ASESOR_CRR]],PLANTILLA_ACTUAL[],2,0),"")</f>
        <v>KENNETH</v>
      </c>
      <c r="F20" t="s">
        <v>37</v>
      </c>
      <c r="G20" s="3">
        <v>90923.5</v>
      </c>
      <c r="H20" t="str">
        <f>VLOOKUP(D1_FEBRERO_2026[[#This Row],[ASESOR_CRR]],DIM!$C:$E,2,0)</f>
        <v>70988976</v>
      </c>
      <c r="I20" s="57">
        <f>VLOOKUP(D1_FEBRERO_2026[[#This Row],[ASESOR_CRR]],DIM!$C:$E,3,0)</f>
        <v>45112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1.7872340425531916E-2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420</v>
      </c>
      <c r="Q20" s="6">
        <f>VLOOKUP(DATA_FEBRERO_2026[[#This Row],[ASER_]],D1_FEBRERO_2026[[ASESOR_CRR]:[META]],2,0)</f>
        <v>23500</v>
      </c>
      <c r="R20" t="s">
        <v>575</v>
      </c>
      <c r="S20" s="48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420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KENNETH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1" s="36">
        <f>IF(D1_FEBRERO_2026[[#This Row],[RECUPERO]]="VACACIONES","VACACIONES",IFERROR(D1_FEBRERO_2026[[#This Row],[RECUPERO]]/D1_FEBRERO_2026[[#This Row],[META]],""))</f>
        <v>0.95253311111111105</v>
      </c>
      <c r="E21" s="36" t="str">
        <f>IFERROR(VLOOKUP(D1_FEBRERO_2026[[#This Row],[ASESOR_CRR]],PLANTILLA_ACTUAL[],2,0),"")</f>
        <v>KENNETH</v>
      </c>
      <c r="F21" t="s">
        <v>97</v>
      </c>
      <c r="G21" s="3">
        <v>85727.98</v>
      </c>
      <c r="H21" t="str">
        <f>VLOOKUP(D1_FEBRERO_2026[[#This Row],[ASESOR_CRR]],DIM!$C:$E,2,0)</f>
        <v>74602206</v>
      </c>
      <c r="I21" s="57">
        <f>VLOOKUP(D1_FEBRERO_2026[[#This Row],[ASESOR_CRR]],DIM!$C:$E,3,0)</f>
        <v>45884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1.03546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SANDY</v>
      </c>
      <c r="P21" s="6">
        <f>IF(DATA_FEBRERO_2026[[#This Row],[SUPERVISOR]]="","",VLOOKUP(DATA_FEBRERO_2026[[#This Row],[ASER_]],$B:$G,6,0))</f>
        <v>51773</v>
      </c>
      <c r="Q21" s="6">
        <f>VLOOKUP(DATA_FEBRERO_2026[[#This Row],[ASER_]],D1_FEBRERO_2026[[ASESOR_CRR]:[META]],2,0)</f>
        <v>50000</v>
      </c>
      <c r="R21" t="s">
        <v>23</v>
      </c>
      <c r="S21" s="48">
        <v>3805</v>
      </c>
      <c r="T21">
        <v>2505</v>
      </c>
      <c r="U21">
        <v>0</v>
      </c>
      <c r="V21">
        <v>1700</v>
      </c>
      <c r="W21">
        <v>6580</v>
      </c>
      <c r="X21">
        <v>1239</v>
      </c>
      <c r="Y21">
        <v>268</v>
      </c>
      <c r="Z21">
        <v>2000</v>
      </c>
      <c r="AA21">
        <v>250</v>
      </c>
      <c r="AB21">
        <v>4938</v>
      </c>
      <c r="AC21">
        <v>1957</v>
      </c>
      <c r="AD21">
        <v>1000</v>
      </c>
      <c r="AE21">
        <v>6528</v>
      </c>
      <c r="AF21">
        <v>4050</v>
      </c>
      <c r="AG21">
        <v>6403</v>
      </c>
      <c r="AH21">
        <v>550</v>
      </c>
      <c r="AI21">
        <v>8000</v>
      </c>
      <c r="AJ21">
        <v>0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2" s="36">
        <f>IF(D1_FEBRERO_2026[[#This Row],[RECUPERO]]="VACACIONES","VACACIONES",IFERROR(D1_FEBRERO_2026[[#This Row],[RECUPERO]]/D1_FEBRERO_2026[[#This Row],[META]],""))</f>
        <v>0.5939444444444445</v>
      </c>
      <c r="E22" s="36" t="str">
        <f>IFERROR(VLOOKUP(D1_FEBRERO_2026[[#This Row],[ASESOR_CRR]],PLANTILLA_ACTUAL[],2,0),"")</f>
        <v>KENNETH</v>
      </c>
      <c r="F22" t="s">
        <v>78</v>
      </c>
      <c r="G22" s="3">
        <v>53455</v>
      </c>
      <c r="H22" t="str">
        <f>VLOOKUP(D1_FEBRERO_2026[[#This Row],[ASESOR_CRR]],DIM!$C:$E,2,0)</f>
        <v>10706451</v>
      </c>
      <c r="I22" s="57">
        <f>VLOOKUP(D1_FEBRERO_2026[[#This Row],[ASESOR_CRR]],DIM!$C:$E,3,0)</f>
        <v>44943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1.3850899999999999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&gt;100%</v>
      </c>
      <c r="O22" s="56" t="str">
        <f>IFERROR(VLOOKUP(DATA_FEBRERO_2026[[#This Row],[ASER_]],$B:$G,4,0),"")</f>
        <v>SANDY</v>
      </c>
      <c r="P22" s="6">
        <f>IF(DATA_FEBRERO_2026[[#This Row],[SUPERVISOR]]="","",VLOOKUP(DATA_FEBRERO_2026[[#This Row],[ASER_]],$B:$G,6,0))</f>
        <v>69254.5</v>
      </c>
      <c r="Q22" s="6">
        <f>VLOOKUP(DATA_FEBRERO_2026[[#This Row],[ASER_]],D1_FEBRERO_2026[[ASESOR_CRR]:[META]],2,0)</f>
        <v>50000</v>
      </c>
      <c r="R22" t="s">
        <v>17</v>
      </c>
      <c r="S22">
        <v>2136</v>
      </c>
      <c r="T22">
        <v>0</v>
      </c>
      <c r="U22">
        <v>0</v>
      </c>
      <c r="V22">
        <v>0</v>
      </c>
      <c r="W22">
        <v>34000</v>
      </c>
      <c r="X22">
        <v>1000</v>
      </c>
      <c r="Y22">
        <v>7000</v>
      </c>
      <c r="Z22">
        <v>12000</v>
      </c>
      <c r="AA22">
        <v>400</v>
      </c>
      <c r="AB22">
        <v>500</v>
      </c>
      <c r="AC22">
        <v>1312.5</v>
      </c>
      <c r="AD22">
        <v>320</v>
      </c>
      <c r="AE22">
        <v>0</v>
      </c>
      <c r="AF22">
        <v>656</v>
      </c>
      <c r="AG22">
        <v>0</v>
      </c>
      <c r="AH22">
        <v>0</v>
      </c>
      <c r="AI22">
        <v>9330</v>
      </c>
      <c r="AJ22">
        <v>930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KENNETH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3" s="36">
        <f>IF(D1_FEBRERO_2026[[#This Row],[RECUPERO]]="VACACIONES","VACACIONES",IFERROR(D1_FEBRERO_2026[[#This Row],[RECUPERO]]/D1_FEBRERO_2026[[#This Row],[META]],""))</f>
        <v>1.9553207547169811</v>
      </c>
      <c r="E23" s="36" t="str">
        <f>IFERROR(VLOOKUP(D1_FEBRERO_2026[[#This Row],[ASESOR_CRR]],PLANTILLA_ACTUAL[],2,0),"")</f>
        <v>KENNETH</v>
      </c>
      <c r="F23" t="s">
        <v>19</v>
      </c>
      <c r="G23" s="3">
        <v>51816</v>
      </c>
      <c r="H23" t="str">
        <f>VLOOKUP(D1_FEBRERO_2026[[#This Row],[ASESOR_CRR]],DIM!$C:$E,2,0)</f>
        <v>76656128</v>
      </c>
      <c r="I23" s="57">
        <f>VLOOKUP(D1_FEBRERO_2026[[#This Row],[ASESOR_CRR]],DIM!$C:$E,3,0)</f>
        <v>44671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1.1952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SANDY</v>
      </c>
      <c r="P23" s="6">
        <f>IF(DATA_FEBRERO_2026[[#This Row],[SUPERVISOR]]="","",VLOOKUP(DATA_FEBRERO_2026[[#This Row],[ASER_]],$B:$G,6,0))</f>
        <v>59760</v>
      </c>
      <c r="Q23" s="6">
        <f>VLOOKUP(DATA_FEBRERO_2026[[#This Row],[ASER_]],D1_FEBRERO_2026[[ASESOR_CRR]:[META]],2,0)</f>
        <v>50000</v>
      </c>
      <c r="R23" t="s">
        <v>32</v>
      </c>
      <c r="S23">
        <v>1273</v>
      </c>
      <c r="T23">
        <v>0</v>
      </c>
      <c r="U23">
        <v>0</v>
      </c>
      <c r="V23">
        <v>2985</v>
      </c>
      <c r="W23">
        <v>0</v>
      </c>
      <c r="X23">
        <v>1353</v>
      </c>
      <c r="Y23">
        <v>800</v>
      </c>
      <c r="Z23">
        <v>7125</v>
      </c>
      <c r="AA23">
        <v>0</v>
      </c>
      <c r="AB23">
        <v>0</v>
      </c>
      <c r="AC23">
        <v>7800</v>
      </c>
      <c r="AD23">
        <v>1600</v>
      </c>
      <c r="AE23">
        <v>30000</v>
      </c>
      <c r="AF23">
        <v>615</v>
      </c>
      <c r="AG23">
        <v>0</v>
      </c>
      <c r="AH23">
        <v>0</v>
      </c>
      <c r="AI23">
        <v>4100</v>
      </c>
      <c r="AJ23">
        <v>2109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KENNETH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4" s="36">
        <f>IF(D1_FEBRERO_2026[[#This Row],[RECUPERO]]="VACACIONES","VACACIONES",IFERROR(D1_FEBRERO_2026[[#This Row],[RECUPERO]]/D1_FEBRERO_2026[[#This Row],[META]],""))</f>
        <v>1.8937735849056603</v>
      </c>
      <c r="E24" s="36" t="str">
        <f>IFERROR(VLOOKUP(D1_FEBRERO_2026[[#This Row],[ASESOR_CRR]],PLANTILLA_ACTUAL[],2,0),"")</f>
        <v>KENNETH</v>
      </c>
      <c r="F24" t="s">
        <v>34</v>
      </c>
      <c r="G24" s="3">
        <v>50185</v>
      </c>
      <c r="H24" t="str">
        <f>VLOOKUP(D1_FEBRERO_2026[[#This Row],[ASESOR_CRR]],DIM!$C:$E,2,0)</f>
        <v>76824571</v>
      </c>
      <c r="I24" s="57">
        <f>VLOOKUP(D1_FEBRERO_2026[[#This Row],[ASESOR_CRR]],DIM!$C:$E,3,0)</f>
        <v>45173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0.61899999999999999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&gt;40%</v>
      </c>
      <c r="O24" s="56" t="str">
        <f>IFERROR(VLOOKUP(DATA_FEBRERO_2026[[#This Row],[ASER_]],$B:$G,4,0),"")</f>
        <v>SANDY</v>
      </c>
      <c r="P24" s="6">
        <f>IF(DATA_FEBRERO_2026[[#This Row],[SUPERVISOR]]="","",VLOOKUP(DATA_FEBRERO_2026[[#This Row],[ASER_]],$B:$G,6,0))</f>
        <v>30950</v>
      </c>
      <c r="Q24" s="6">
        <f>VLOOKUP(DATA_FEBRERO_2026[[#This Row],[ASER_]],D1_FEBRERO_2026[[ASESOR_CRR]:[META]],2,0)</f>
        <v>50000</v>
      </c>
      <c r="R24" t="s">
        <v>65</v>
      </c>
      <c r="S24" s="46">
        <v>700</v>
      </c>
      <c r="T24">
        <v>0</v>
      </c>
      <c r="U24">
        <v>0</v>
      </c>
      <c r="V24">
        <v>3000</v>
      </c>
      <c r="W24">
        <v>0</v>
      </c>
      <c r="X24">
        <v>0</v>
      </c>
      <c r="Y24">
        <v>0</v>
      </c>
      <c r="Z24">
        <v>11000</v>
      </c>
      <c r="AA24">
        <v>0</v>
      </c>
      <c r="AB24">
        <v>0</v>
      </c>
      <c r="AC24">
        <v>0</v>
      </c>
      <c r="AD24">
        <v>0</v>
      </c>
      <c r="AE24">
        <v>2350</v>
      </c>
      <c r="AF24">
        <v>6000</v>
      </c>
      <c r="AG24">
        <v>1000</v>
      </c>
      <c r="AH24">
        <v>3100</v>
      </c>
      <c r="AI24">
        <v>0</v>
      </c>
      <c r="AJ24">
        <v>3800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KENNETH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5" s="36">
        <f>IF(D1_FEBRERO_2026[[#This Row],[RECUPERO]]="VACACIONES","VACACIONES",IFERROR(D1_FEBRERO_2026[[#This Row],[RECUPERO]]/D1_FEBRERO_2026[[#This Row],[META]],""))</f>
        <v>1.1901509433962265</v>
      </c>
      <c r="E25" s="36" t="str">
        <f>IFERROR(VLOOKUP(D1_FEBRERO_2026[[#This Row],[ASESOR_CRR]],PLANTILLA_ACTUAL[],2,0),"")</f>
        <v>KENNETH</v>
      </c>
      <c r="F25" t="s">
        <v>26</v>
      </c>
      <c r="G25" s="3">
        <v>31539</v>
      </c>
      <c r="H25" t="str">
        <f>VLOOKUP(D1_FEBRERO_2026[[#This Row],[ASESOR_CRR]],DIM!$C:$E,2,0)</f>
        <v>41005089</v>
      </c>
      <c r="I25" s="57">
        <f>VLOOKUP(D1_FEBRERO_2026[[#This Row],[ASESOR_CRR]],DIM!$C:$E,3,0)</f>
        <v>44257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0.4708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&gt;40%</v>
      </c>
      <c r="O25" s="56" t="str">
        <f>IFERROR(VLOOKUP(DATA_FEBRERO_2026[[#This Row],[ASER_]],$B:$G,4,0),"")</f>
        <v>SANDY</v>
      </c>
      <c r="P25" s="6">
        <f>IF(DATA_FEBRERO_2026[[#This Row],[SUPERVISOR]]="","",VLOOKUP(DATA_FEBRERO_2026[[#This Row],[ASER_]],$B:$G,6,0))</f>
        <v>23540</v>
      </c>
      <c r="Q25" s="6">
        <f>VLOOKUP(DATA_FEBRERO_2026[[#This Row],[ASER_]],D1_FEBRERO_2026[[ASESOR_CRR]:[META]],2,0)</f>
        <v>50000</v>
      </c>
      <c r="R25" t="s">
        <v>31</v>
      </c>
      <c r="S25" s="46">
        <v>0</v>
      </c>
      <c r="T25">
        <v>1150</v>
      </c>
      <c r="U25">
        <v>1500</v>
      </c>
      <c r="V25">
        <v>0</v>
      </c>
      <c r="W25">
        <v>0</v>
      </c>
      <c r="X25">
        <v>2500</v>
      </c>
      <c r="Y25">
        <v>0</v>
      </c>
      <c r="Z25">
        <v>0</v>
      </c>
      <c r="AA25">
        <v>0</v>
      </c>
      <c r="AB25">
        <v>8000</v>
      </c>
      <c r="AC25">
        <v>3800</v>
      </c>
      <c r="AD25">
        <v>2000</v>
      </c>
      <c r="AE25">
        <v>0</v>
      </c>
      <c r="AF25">
        <v>3890</v>
      </c>
      <c r="AG25">
        <v>700</v>
      </c>
      <c r="AH25">
        <v>0</v>
      </c>
      <c r="AI25">
        <v>0</v>
      </c>
      <c r="AJ25">
        <v>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KENNETH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6" s="36">
        <f>IF(D1_FEBRERO_2026[[#This Row],[RECUPERO]]="VACACIONES","VACACIONES",IFERROR(D1_FEBRERO_2026[[#This Row],[RECUPERO]]/D1_FEBRERO_2026[[#This Row],[META]],""))</f>
        <v>1.1616981132075472</v>
      </c>
      <c r="E26" s="36" t="str">
        <f>IFERROR(VLOOKUP(D1_FEBRERO_2026[[#This Row],[ASESOR_CRR]],PLANTILLA_ACTUAL[],2,0),"")</f>
        <v>KENNETH</v>
      </c>
      <c r="F26" t="s">
        <v>105</v>
      </c>
      <c r="G26" s="3">
        <v>30785</v>
      </c>
      <c r="H26" t="str">
        <f>VLOOKUP(D1_FEBRERO_2026[[#This Row],[ASESOR_CRR]],DIM!$C:$E,2,0)</f>
        <v>48344037</v>
      </c>
      <c r="I26" s="57">
        <f>VLOOKUP(D1_FEBRERO_2026[[#This Row],[ASESOR_CRR]],DIM!$C:$E,3,0)</f>
        <v>46027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0.26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SANDY</v>
      </c>
      <c r="P26" s="6">
        <f>IF(DATA_FEBRERO_2026[[#This Row],[SUPERVISOR]]="","",VLOOKUP(DATA_FEBRERO_2026[[#This Row],[ASER_]],$B:$G,6,0))</f>
        <v>13000</v>
      </c>
      <c r="Q26" s="6">
        <f>VLOOKUP(DATA_FEBRERO_2026[[#This Row],[ASER_]],D1_FEBRERO_2026[[ASESOR_CRR]:[META]],2,0)</f>
        <v>50000</v>
      </c>
      <c r="R26" t="s">
        <v>396</v>
      </c>
      <c r="S26" s="46">
        <v>0</v>
      </c>
      <c r="T26">
        <v>0</v>
      </c>
      <c r="U26">
        <v>0</v>
      </c>
      <c r="V26">
        <v>300</v>
      </c>
      <c r="W26">
        <v>0</v>
      </c>
      <c r="X26">
        <v>0</v>
      </c>
      <c r="Y26">
        <v>2200</v>
      </c>
      <c r="Z26">
        <v>0</v>
      </c>
      <c r="AA26">
        <v>0</v>
      </c>
      <c r="AB26">
        <v>0</v>
      </c>
      <c r="AC26">
        <v>5500</v>
      </c>
      <c r="AD26">
        <v>500</v>
      </c>
      <c r="AE26">
        <v>0</v>
      </c>
      <c r="AF26">
        <v>0</v>
      </c>
      <c r="AG26">
        <v>0</v>
      </c>
      <c r="AH26">
        <v>0</v>
      </c>
      <c r="AI26">
        <v>4500</v>
      </c>
      <c r="AJ26">
        <v>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7" s="36">
        <f>IF(D1_FEBRERO_2026[[#This Row],[RECUPERO]]="VACACIONES","VACACIONES",IFERROR(D1_FEBRERO_2026[[#This Row],[RECUPERO]]/D1_FEBRERO_2026[[#This Row],[META]],""))</f>
        <v>1.0896226415094339</v>
      </c>
      <c r="E27" s="36" t="str">
        <f>IFERROR(VLOOKUP(D1_FEBRERO_2026[[#This Row],[ASESOR_CRR]],PLANTILLA_ACTUAL[],2,0),"")</f>
        <v>KENNETH</v>
      </c>
      <c r="F27" t="s">
        <v>81</v>
      </c>
      <c r="G27" s="3">
        <v>28875</v>
      </c>
      <c r="H27" t="str">
        <f>VLOOKUP(D1_FEBRERO_2026[[#This Row],[ASESOR_CRR]],DIM!$C:$E,2,0)</f>
        <v>72716299</v>
      </c>
      <c r="I27" s="57">
        <f>VLOOKUP(D1_FEBRERO_2026[[#This Row],[ASESOR_CRR]],DIM!$C:$E,3,0)</f>
        <v>45511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0.43240000000000001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&gt;40%</v>
      </c>
      <c r="O27" s="56" t="str">
        <f>IFERROR(VLOOKUP(DATA_FEBRERO_2026[[#This Row],[ASER_]],$B:$G,4,0),"")</f>
        <v>SANDY</v>
      </c>
      <c r="P27" s="6">
        <f>IF(DATA_FEBRERO_2026[[#This Row],[SUPERVISOR]]="","",VLOOKUP(DATA_FEBRERO_2026[[#This Row],[ASER_]],$B:$G,6,0))</f>
        <v>21620</v>
      </c>
      <c r="Q27" s="6">
        <f>VLOOKUP(DATA_FEBRERO_2026[[#This Row],[ASER_]],D1_FEBRERO_2026[[ASESOR_CRR]:[META]],2,0)</f>
        <v>50000</v>
      </c>
      <c r="R27" t="s">
        <v>22</v>
      </c>
      <c r="S27" s="46">
        <v>0</v>
      </c>
      <c r="T27">
        <v>0</v>
      </c>
      <c r="U27">
        <v>760</v>
      </c>
      <c r="V27">
        <v>400</v>
      </c>
      <c r="W27">
        <v>0</v>
      </c>
      <c r="X27">
        <v>0</v>
      </c>
      <c r="Y27">
        <v>0</v>
      </c>
      <c r="Z27">
        <v>0</v>
      </c>
      <c r="AA27">
        <v>6180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3000</v>
      </c>
      <c r="AI27">
        <v>7000</v>
      </c>
      <c r="AJ27">
        <v>4280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8" s="36">
        <f>IF(D1_FEBRERO_2026[[#This Row],[RECUPERO]]="VACACIONES","VACACIONES",IFERROR(D1_FEBRERO_2026[[#This Row],[RECUPERO]]/D1_FEBRERO_2026[[#This Row],[META]],""))</f>
        <v>0.62471698113207552</v>
      </c>
      <c r="E28" s="36" t="str">
        <f>IFERROR(VLOOKUP(D1_FEBRERO_2026[[#This Row],[ASESOR_CRR]],PLANTILLA_ACTUAL[],2,0),"")</f>
        <v>KENNETH</v>
      </c>
      <c r="F28" t="s">
        <v>50</v>
      </c>
      <c r="G28" s="3">
        <v>16555</v>
      </c>
      <c r="H28" t="str">
        <f>VLOOKUP(D1_FEBRERO_2026[[#This Row],[ASESOR_CRR]],DIM!$C:$E,2,0)</f>
        <v>72733809</v>
      </c>
      <c r="I28" s="57">
        <f>VLOOKUP(D1_FEBRERO_2026[[#This Row],[ASESOR_CRR]],DIM!$C:$E,3,0)</f>
        <v>45789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1.1080000000000001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6" t="str">
        <f>IFERROR(VLOOKUP(DATA_FEBRERO_2026[[#This Row],[ASER_]],$B:$G,4,0),"")</f>
        <v>SANDY</v>
      </c>
      <c r="P28" s="6">
        <f>IF(DATA_FEBRERO_2026[[#This Row],[SUPERVISOR]]="","",VLOOKUP(DATA_FEBRERO_2026[[#This Row],[ASER_]],$B:$G,6,0))</f>
        <v>55400</v>
      </c>
      <c r="Q28" s="6">
        <f>VLOOKUP(DATA_FEBRERO_2026[[#This Row],[ASER_]],D1_FEBRERO_2026[[ASESOR_CRR]:[META]],2,0)</f>
        <v>50000</v>
      </c>
      <c r="R28" t="s">
        <v>13</v>
      </c>
      <c r="S28">
        <v>0</v>
      </c>
      <c r="T28">
        <v>0</v>
      </c>
      <c r="U28">
        <v>700</v>
      </c>
      <c r="V28">
        <v>0</v>
      </c>
      <c r="W28">
        <v>4600</v>
      </c>
      <c r="X28">
        <v>4800</v>
      </c>
      <c r="Y28">
        <v>0</v>
      </c>
      <c r="Z28">
        <v>0</v>
      </c>
      <c r="AA28">
        <v>5000</v>
      </c>
      <c r="AB28">
        <v>3300</v>
      </c>
      <c r="AC28">
        <v>1500</v>
      </c>
      <c r="AD28">
        <v>0</v>
      </c>
      <c r="AE28">
        <v>16710</v>
      </c>
      <c r="AF28">
        <v>0</v>
      </c>
      <c r="AG28">
        <v>4900</v>
      </c>
      <c r="AH28">
        <v>3800</v>
      </c>
      <c r="AI28">
        <v>0</v>
      </c>
      <c r="AJ28">
        <v>10000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9" s="36">
        <f>IF(D1_FEBRERO_2026[[#This Row],[RECUPERO]]="VACACIONES","VACACIONES",IFERROR(D1_FEBRERO_2026[[#This Row],[RECUPERO]]/D1_FEBRERO_2026[[#This Row],[META]],""))</f>
        <v>6.7396226415094337E-2</v>
      </c>
      <c r="E29" s="36" t="str">
        <f>IFERROR(VLOOKUP(D1_FEBRERO_2026[[#This Row],[ASESOR_CRR]],PLANTILLA_ACTUAL[],2,0),"")</f>
        <v>KENNETH</v>
      </c>
      <c r="F29" t="s">
        <v>80</v>
      </c>
      <c r="G29" s="3">
        <v>1786</v>
      </c>
      <c r="H29" t="str">
        <f>VLOOKUP(D1_FEBRERO_2026[[#This Row],[ASESOR_CRR]],DIM!$C:$E,2,0)</f>
        <v>45084594</v>
      </c>
      <c r="I29" s="57">
        <f>VLOOKUP(D1_FEBRERO_2026[[#This Row],[ASESOR_CRR]],DIM!$C:$E,3,0)</f>
        <v>45281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0.83760000000000001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SANDY</v>
      </c>
      <c r="P29" s="6">
        <f>IF(DATA_FEBRERO_2026[[#This Row],[SUPERVISOR]]="","",VLOOKUP(DATA_FEBRERO_2026[[#This Row],[ASER_]],$B:$G,6,0))</f>
        <v>41880</v>
      </c>
      <c r="Q29" s="6">
        <f>VLOOKUP(DATA_FEBRERO_2026[[#This Row],[ASER_]],D1_FEBRERO_2026[[ASESOR_CRR]:[META]],2,0)</f>
        <v>50000</v>
      </c>
      <c r="R29" t="s">
        <v>96</v>
      </c>
      <c r="S29">
        <v>0</v>
      </c>
      <c r="T29">
        <v>1390</v>
      </c>
      <c r="U29">
        <v>8500</v>
      </c>
      <c r="V29">
        <v>0</v>
      </c>
      <c r="W29">
        <v>6800</v>
      </c>
      <c r="X29">
        <v>0</v>
      </c>
      <c r="Y29">
        <v>2000</v>
      </c>
      <c r="Z29">
        <v>0</v>
      </c>
      <c r="AA29">
        <v>0</v>
      </c>
      <c r="AB29">
        <v>0</v>
      </c>
      <c r="AC29">
        <v>2270</v>
      </c>
      <c r="AD29">
        <v>0</v>
      </c>
      <c r="AE29">
        <v>0</v>
      </c>
      <c r="AF29">
        <v>780</v>
      </c>
      <c r="AG29">
        <v>6700</v>
      </c>
      <c r="AH29">
        <v>7000</v>
      </c>
      <c r="AI29">
        <v>6440</v>
      </c>
      <c r="AJ29">
        <v>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JORGE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0" s="36">
        <f>IF(D1_FEBRERO_2026[[#This Row],[RECUPERO]]="VACACIONES","VACACIONES",IFERROR(D1_FEBRERO_2026[[#This Row],[RECUPERO]]/D1_FEBRERO_2026[[#This Row],[META]],""))</f>
        <v>2.6175000000000002</v>
      </c>
      <c r="E30" s="36" t="str">
        <f>IFERROR(VLOOKUP(D1_FEBRERO_2026[[#This Row],[ASESOR_CRR]],PLANTILLA_ACTUAL[],2,0),"")</f>
        <v>JORGE</v>
      </c>
      <c r="F30" t="s">
        <v>79</v>
      </c>
      <c r="G30" s="3">
        <v>73290</v>
      </c>
      <c r="H30" t="str">
        <f>VLOOKUP(D1_FEBRERO_2026[[#This Row],[ASESOR_CRR]],DIM!$C:$E,2,0)</f>
        <v>71262377</v>
      </c>
      <c r="I30" s="57">
        <f>VLOOKUP(D1_FEBRERO_2026[[#This Row],[ASESOR_CRR]],DIM!$C:$E,3,0)</f>
        <v>45145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0.32850000000000001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SANDY</v>
      </c>
      <c r="P30" s="6">
        <f>IF(DATA_FEBRERO_2026[[#This Row],[SUPERVISOR]]="","",VLOOKUP(DATA_FEBRERO_2026[[#This Row],[ASER_]],$B:$G,6,0))</f>
        <v>16425</v>
      </c>
      <c r="Q30" s="6">
        <f>VLOOKUP(DATA_FEBRERO_2026[[#This Row],[ASER_]],D1_FEBRERO_2026[[ASESOR_CRR]:[META]],2,0)</f>
        <v>50000</v>
      </c>
      <c r="R30" t="s">
        <v>208</v>
      </c>
      <c r="S30">
        <v>0</v>
      </c>
      <c r="T30">
        <v>1000</v>
      </c>
      <c r="U30">
        <v>0</v>
      </c>
      <c r="V30">
        <v>950</v>
      </c>
      <c r="W30">
        <v>0</v>
      </c>
      <c r="X30">
        <v>0</v>
      </c>
      <c r="Y30">
        <v>3000</v>
      </c>
      <c r="Z30">
        <v>0</v>
      </c>
      <c r="AA30">
        <v>0</v>
      </c>
      <c r="AB30">
        <v>0</v>
      </c>
      <c r="AC30">
        <v>225</v>
      </c>
      <c r="AD30">
        <v>0</v>
      </c>
      <c r="AE30">
        <v>0</v>
      </c>
      <c r="AF30">
        <v>3250</v>
      </c>
      <c r="AG30">
        <v>0</v>
      </c>
      <c r="AH30">
        <v>0</v>
      </c>
      <c r="AI30">
        <v>8000</v>
      </c>
      <c r="AJ30">
        <v>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JORGE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1" s="36">
        <f>IF(D1_FEBRERO_2026[[#This Row],[RECUPERO]]="VACACIONES","VACACIONES",IFERROR(D1_FEBRERO_2026[[#This Row],[RECUPERO]]/D1_FEBRERO_2026[[#This Row],[META]],""))</f>
        <v>0.85153214285714296</v>
      </c>
      <c r="E31" s="36" t="str">
        <f>IFERROR(VLOOKUP(D1_FEBRERO_2026[[#This Row],[ASESOR_CRR]],PLANTILLA_ACTUAL[],2,0),"")</f>
        <v>JORGE</v>
      </c>
      <c r="F31" t="s">
        <v>29</v>
      </c>
      <c r="G31" s="3">
        <v>23842.9</v>
      </c>
      <c r="H31" t="str">
        <f>VLOOKUP(D1_FEBRERO_2026[[#This Row],[ASESOR_CRR]],DIM!$C:$E,2,0)</f>
        <v>72758956</v>
      </c>
      <c r="I31" s="57">
        <f>VLOOKUP(D1_FEBRERO_2026[[#This Row],[ASESOR_CRR]],DIM!$C:$E,3,0)</f>
        <v>44685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0.86121428571428571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&gt;70%</v>
      </c>
      <c r="O31" s="56" t="str">
        <f>IFERROR(VLOOKUP(DATA_FEBRERO_2026[[#This Row],[ASER_]],$B:$G,4,0),"")</f>
        <v>JORGE</v>
      </c>
      <c r="P31" s="6">
        <f>IF(DATA_FEBRERO_2026[[#This Row],[SUPERVISOR]]="","",VLOOKUP(DATA_FEBRERO_2026[[#This Row],[ASER_]],$B:$G,6,0))</f>
        <v>24114</v>
      </c>
      <c r="Q31" s="6">
        <f>VLOOKUP(DATA_FEBRERO_2026[[#This Row],[ASER_]],D1_FEBRERO_2026[[ASESOR_CRR]:[META]],2,0)</f>
        <v>28000</v>
      </c>
      <c r="R31" t="s">
        <v>38</v>
      </c>
      <c r="S31">
        <v>0</v>
      </c>
      <c r="T31">
        <v>320</v>
      </c>
      <c r="U31">
        <v>180</v>
      </c>
      <c r="V31">
        <v>2000</v>
      </c>
      <c r="W31">
        <v>14000</v>
      </c>
      <c r="X31">
        <v>900</v>
      </c>
      <c r="Y31">
        <v>1000</v>
      </c>
      <c r="Z31">
        <v>0</v>
      </c>
      <c r="AA31">
        <v>830</v>
      </c>
      <c r="AB31">
        <v>0</v>
      </c>
      <c r="AC31">
        <v>450</v>
      </c>
      <c r="AD31">
        <v>100</v>
      </c>
      <c r="AE31">
        <v>454</v>
      </c>
      <c r="AF31">
        <v>1000</v>
      </c>
      <c r="AG31">
        <v>300</v>
      </c>
      <c r="AH31">
        <v>1260</v>
      </c>
      <c r="AI31">
        <v>1020</v>
      </c>
      <c r="AJ31">
        <v>300</v>
      </c>
      <c r="AN31" t="str">
        <f>VLOOKUP($M$3&amp;$N$3&amp;DATA_FEBRERO_2026[[#This Row],[SUPERVISOR]],TablaMeta[],7,0)</f>
        <v>S0</v>
      </c>
    </row>
    <row r="32" spans="1:66" x14ac:dyDescent="0.25">
      <c r="A32" s="35" t="str">
        <f>IFERROR(VLOOKUP(D1_FEBRERO_2026[[#This Row],[ASESOR_CRR]],PLANTILLA_ACTUAL[],2,0),"")</f>
        <v>JORGE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2" s="36">
        <f>IF(D1_FEBRERO_2026[[#This Row],[RECUPERO]]="VACACIONES","VACACIONES",IFERROR(D1_FEBRERO_2026[[#This Row],[RECUPERO]]/D1_FEBRERO_2026[[#This Row],[META]],""))</f>
        <v>0.86121428571428571</v>
      </c>
      <c r="E32" s="36" t="str">
        <f>IFERROR(VLOOKUP(D1_FEBRERO_2026[[#This Row],[ASESOR_CRR]],PLANTILLA_ACTUAL[],2,0),"")</f>
        <v>JORGE</v>
      </c>
      <c r="F32" t="s">
        <v>38</v>
      </c>
      <c r="G32" s="3">
        <v>24114</v>
      </c>
      <c r="H32" t="str">
        <f>VLOOKUP(D1_FEBRERO_2026[[#This Row],[ASESOR_CRR]],DIM!$C:$E,2,0)</f>
        <v>47411966</v>
      </c>
      <c r="I32" s="57">
        <f>VLOOKUP(D1_FEBRERO_2026[[#This Row],[ASESOR_CRR]],DIM!$C:$E,3,0)</f>
        <v>45800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0.85153214285714296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6" t="str">
        <f>IFERROR(VLOOKUP(DATA_FEBRERO_2026[[#This Row],[ASER_]],$B:$G,4,0),"")</f>
        <v>JORGE</v>
      </c>
      <c r="P32" s="6">
        <f>IF(DATA_FEBRERO_2026[[#This Row],[SUPERVISOR]]="","",VLOOKUP(DATA_FEBRERO_2026[[#This Row],[ASER_]],$B:$G,6,0))</f>
        <v>23842.9</v>
      </c>
      <c r="Q32" s="6">
        <f>VLOOKUP(DATA_FEBRERO_2026[[#This Row],[ASER_]],D1_FEBRERO_2026[[ASESOR_CRR]:[META]],2,0)</f>
        <v>28000</v>
      </c>
      <c r="R32" t="s">
        <v>29</v>
      </c>
      <c r="S32">
        <v>1103.4000000000001</v>
      </c>
      <c r="T32">
        <v>0</v>
      </c>
      <c r="U32">
        <v>0</v>
      </c>
      <c r="V32">
        <v>2700</v>
      </c>
      <c r="W32">
        <v>4300</v>
      </c>
      <c r="X32">
        <v>0</v>
      </c>
      <c r="Y32">
        <v>0</v>
      </c>
      <c r="Z32">
        <v>0</v>
      </c>
      <c r="AA32">
        <v>0</v>
      </c>
      <c r="AB32">
        <v>1015</v>
      </c>
      <c r="AC32">
        <v>3222.5</v>
      </c>
      <c r="AD32">
        <v>2250</v>
      </c>
      <c r="AE32">
        <v>810</v>
      </c>
      <c r="AF32">
        <v>160</v>
      </c>
      <c r="AG32">
        <v>5802</v>
      </c>
      <c r="AH32">
        <v>300</v>
      </c>
      <c r="AI32">
        <v>2180</v>
      </c>
      <c r="AJ32">
        <v>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JORGE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3" s="36">
        <f>IF(D1_FEBRERO_2026[[#This Row],[RECUPERO]]="VACACIONES","VACACIONES",IFERROR(D1_FEBRERO_2026[[#This Row],[RECUPERO]]/D1_FEBRERO_2026[[#This Row],[META]],""))</f>
        <v>0.7800178571428571</v>
      </c>
      <c r="E33" s="36" t="str">
        <f>IFERROR(VLOOKUP(D1_FEBRERO_2026[[#This Row],[ASESOR_CRR]],PLANTILLA_ACTUAL[],2,0),"")</f>
        <v>JORGE</v>
      </c>
      <c r="F33" t="s">
        <v>25</v>
      </c>
      <c r="G33" s="3">
        <v>21840.5</v>
      </c>
      <c r="H33" t="str">
        <f>VLOOKUP(D1_FEBRERO_2026[[#This Row],[ASESOR_CRR]],DIM!$C:$E,2,0)</f>
        <v>72373931</v>
      </c>
      <c r="I33" s="57">
        <f>VLOOKUP(D1_FEBRERO_2026[[#This Row],[ASESOR_CRR]],DIM!$C:$E,3,0)</f>
        <v>44818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0.55500000000000005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&gt;40%</v>
      </c>
      <c r="O33" s="56" t="str">
        <f>IFERROR(VLOOKUP(DATA_FEBRERO_2026[[#This Row],[ASER_]],$B:$G,4,0),"")</f>
        <v>JORGE</v>
      </c>
      <c r="P33" s="6">
        <f>IF(DATA_FEBRERO_2026[[#This Row],[SUPERVISOR]]="","",VLOOKUP(DATA_FEBRERO_2026[[#This Row],[ASER_]],$B:$G,6,0))</f>
        <v>15540</v>
      </c>
      <c r="Q33" s="6">
        <f>VLOOKUP(DATA_FEBRERO_2026[[#This Row],[ASER_]],D1_FEBRERO_2026[[ASESOR_CRR]:[META]],2,0)</f>
        <v>28000</v>
      </c>
      <c r="R33" t="s">
        <v>42</v>
      </c>
      <c r="S33">
        <v>0</v>
      </c>
      <c r="T33">
        <v>120</v>
      </c>
      <c r="U33">
        <v>0</v>
      </c>
      <c r="V33">
        <v>0</v>
      </c>
      <c r="W33">
        <v>1900</v>
      </c>
      <c r="X33">
        <v>6620</v>
      </c>
      <c r="Y33">
        <v>0</v>
      </c>
      <c r="Z33">
        <v>210</v>
      </c>
      <c r="AA33">
        <v>90</v>
      </c>
      <c r="AB33">
        <v>600</v>
      </c>
      <c r="AC33">
        <v>0</v>
      </c>
      <c r="AD33">
        <v>1200</v>
      </c>
      <c r="AE33">
        <v>0</v>
      </c>
      <c r="AF33">
        <v>0</v>
      </c>
      <c r="AG33">
        <v>0</v>
      </c>
      <c r="AH33">
        <v>1800</v>
      </c>
      <c r="AI33">
        <v>3000</v>
      </c>
      <c r="AJ33">
        <v>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JORGE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4" s="36">
        <f>IF(D1_FEBRERO_2026[[#This Row],[RECUPERO]]="VACACIONES","VACACIONES",IFERROR(D1_FEBRERO_2026[[#This Row],[RECUPERO]]/D1_FEBRERO_2026[[#This Row],[META]],""))</f>
        <v>0.76910714285714288</v>
      </c>
      <c r="E34" s="36" t="str">
        <f>IFERROR(VLOOKUP(D1_FEBRERO_2026[[#This Row],[ASESOR_CRR]],PLANTILLA_ACTUAL[],2,0),"")</f>
        <v>JORGE</v>
      </c>
      <c r="F34" t="s">
        <v>76</v>
      </c>
      <c r="G34" s="3">
        <v>21535</v>
      </c>
      <c r="H34" t="str">
        <f>VLOOKUP(D1_FEBRERO_2026[[#This Row],[ASESOR_CRR]],DIM!$C:$E,2,0)</f>
        <v>60914051</v>
      </c>
      <c r="I34" s="57">
        <f>VLOOKUP(D1_FEBRERO_2026[[#This Row],[ASESOR_CRR]],DIM!$C:$E,3,0)</f>
        <v>44817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0.42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&gt;40%</v>
      </c>
      <c r="O34" s="56" t="str">
        <f>IFERROR(VLOOKUP(DATA_FEBRERO_2026[[#This Row],[ASER_]],$B:$G,4,0),"")</f>
        <v>JORGE</v>
      </c>
      <c r="P34" s="6">
        <f>IF(DATA_FEBRERO_2026[[#This Row],[SUPERVISOR]]="","",VLOOKUP(DATA_FEBRERO_2026[[#This Row],[ASER_]],$B:$G,6,0))</f>
        <v>11760</v>
      </c>
      <c r="Q34" s="6">
        <f>VLOOKUP(DATA_FEBRERO_2026[[#This Row],[ASER_]],D1_FEBRERO_2026[[ASESOR_CRR]:[META]],2,0)</f>
        <v>28000</v>
      </c>
      <c r="R34" t="s">
        <v>15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360</v>
      </c>
      <c r="AA34">
        <v>4000</v>
      </c>
      <c r="AB34">
        <v>0</v>
      </c>
      <c r="AC34">
        <v>0</v>
      </c>
      <c r="AD34">
        <v>2300</v>
      </c>
      <c r="AE34">
        <v>0</v>
      </c>
      <c r="AF34">
        <v>0</v>
      </c>
      <c r="AG34">
        <v>1600</v>
      </c>
      <c r="AH34">
        <v>0</v>
      </c>
      <c r="AI34">
        <v>3500</v>
      </c>
      <c r="AJ34">
        <v>0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JORGE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5" s="36">
        <f>IF(D1_FEBRERO_2026[[#This Row],[RECUPERO]]="VACACIONES","VACACIONES",IFERROR(D1_FEBRERO_2026[[#This Row],[RECUPERO]]/D1_FEBRERO_2026[[#This Row],[META]],""))</f>
        <v>0.55500000000000005</v>
      </c>
      <c r="E35" s="36" t="str">
        <f>IFERROR(VLOOKUP(D1_FEBRERO_2026[[#This Row],[ASESOR_CRR]],PLANTILLA_ACTUAL[],2,0),"")</f>
        <v>JORGE</v>
      </c>
      <c r="F35" t="s">
        <v>42</v>
      </c>
      <c r="G35" s="3">
        <v>15540</v>
      </c>
      <c r="H35" t="str">
        <f>VLOOKUP(D1_FEBRERO_2026[[#This Row],[ASESOR_CRR]],DIM!$C:$E,2,0)</f>
        <v>73725129</v>
      </c>
      <c r="I35" s="57">
        <f>VLOOKUP(D1_FEBRERO_2026[[#This Row],[ASESOR_CRR]],DIM!$C:$E,3,0)</f>
        <v>45398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0.7800178571428571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&gt;70%</v>
      </c>
      <c r="O35" s="56" t="str">
        <f>IFERROR(VLOOKUP(DATA_FEBRERO_2026[[#This Row],[ASER_]],$B:$G,4,0),"")</f>
        <v>JORGE</v>
      </c>
      <c r="P35" s="6">
        <f>IF(DATA_FEBRERO_2026[[#This Row],[SUPERVISOR]]="","",VLOOKUP(DATA_FEBRERO_2026[[#This Row],[ASER_]],$B:$G,6,0))</f>
        <v>21840.5</v>
      </c>
      <c r="Q35" s="6">
        <f>VLOOKUP(DATA_FEBRERO_2026[[#This Row],[ASER_]],D1_FEBRERO_2026[[ASESOR_CRR]:[META]],2,0)</f>
        <v>28000</v>
      </c>
      <c r="R35" t="s">
        <v>25</v>
      </c>
      <c r="S35">
        <v>0</v>
      </c>
      <c r="T35">
        <v>0</v>
      </c>
      <c r="U35">
        <v>500</v>
      </c>
      <c r="V35">
        <v>0</v>
      </c>
      <c r="W35">
        <v>0</v>
      </c>
      <c r="X35">
        <v>2530</v>
      </c>
      <c r="Y35">
        <v>0</v>
      </c>
      <c r="Z35">
        <v>3450</v>
      </c>
      <c r="AA35">
        <v>0</v>
      </c>
      <c r="AB35">
        <v>10010.5</v>
      </c>
      <c r="AC35">
        <v>5150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200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JORGE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6" s="36">
        <f>IF(D1_FEBRERO_2026[[#This Row],[RECUPERO]]="VACACIONES","VACACIONES",IFERROR(D1_FEBRERO_2026[[#This Row],[RECUPERO]]/D1_FEBRERO_2026[[#This Row],[META]],""))</f>
        <v>0.42</v>
      </c>
      <c r="E36" s="36" t="str">
        <f>IFERROR(VLOOKUP(D1_FEBRERO_2026[[#This Row],[ASESOR_CRR]],PLANTILLA_ACTUAL[],2,0),"")</f>
        <v>JORGE</v>
      </c>
      <c r="F36" t="s">
        <v>15</v>
      </c>
      <c r="G36" s="3">
        <v>11760</v>
      </c>
      <c r="H36" t="str">
        <f>VLOOKUP(D1_FEBRERO_2026[[#This Row],[ASESOR_CRR]],DIM!$C:$E,2,0)</f>
        <v>47587400</v>
      </c>
      <c r="I36" s="57">
        <f>VLOOKUP(D1_FEBRERO_2026[[#This Row],[ASESOR_CRR]],DIM!$C:$E,3,0)</f>
        <v>44733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0.76910714285714288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&gt;70%</v>
      </c>
      <c r="O36" s="56" t="str">
        <f>IFERROR(VLOOKUP(DATA_FEBRERO_2026[[#This Row],[ASER_]],$B:$G,4,0),"")</f>
        <v>JORGE</v>
      </c>
      <c r="P36" s="6">
        <f>IF(DATA_FEBRERO_2026[[#This Row],[SUPERVISOR]]="","",VLOOKUP(DATA_FEBRERO_2026[[#This Row],[ASER_]],$B:$G,6,0))</f>
        <v>21535</v>
      </c>
      <c r="Q36" s="6">
        <f>VLOOKUP(DATA_FEBRERO_2026[[#This Row],[ASER_]],D1_FEBRERO_2026[[ASESOR_CRR]:[META]],2,0)</f>
        <v>28000</v>
      </c>
      <c r="R36" t="s">
        <v>76</v>
      </c>
      <c r="S36" s="46">
        <v>4580</v>
      </c>
      <c r="T36">
        <v>4900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1105</v>
      </c>
      <c r="AD36">
        <v>8000</v>
      </c>
      <c r="AE36">
        <v>0</v>
      </c>
      <c r="AF36">
        <v>950</v>
      </c>
      <c r="AG36">
        <v>0</v>
      </c>
      <c r="AH36">
        <v>0</v>
      </c>
      <c r="AI36">
        <v>2000</v>
      </c>
      <c r="AJ36">
        <v>0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SANDY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7" s="36">
        <f>IF(D1_FEBRERO_2026[[#This Row],[RECUPERO]]="VACACIONES","VACACIONES",IFERROR(D1_FEBRERO_2026[[#This Row],[RECUPERO]]/D1_FEBRERO_2026[[#This Row],[META]],""))</f>
        <v>1.3850899999999999</v>
      </c>
      <c r="E37" s="36" t="str">
        <f>IFERROR(VLOOKUP(D1_FEBRERO_2026[[#This Row],[ASESOR_CRR]],PLANTILLA_ACTUAL[],2,0),"")</f>
        <v>SANDY</v>
      </c>
      <c r="F37" t="s">
        <v>17</v>
      </c>
      <c r="G37" s="3">
        <v>69254.5</v>
      </c>
      <c r="H37" t="str">
        <f>VLOOKUP(D1_FEBRERO_2026[[#This Row],[ASESOR_CRR]],DIM!$C:$E,2,0)</f>
        <v>70876605</v>
      </c>
      <c r="I37" s="57">
        <f>VLOOKUP(D1_FEBRERO_2026[[#This Row],[ASESOR_CRR]],DIM!$C:$E,3,0)</f>
        <v>44886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2.6175000000000002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JORGE</v>
      </c>
      <c r="P37" s="6">
        <f>IF(DATA_FEBRERO_2026[[#This Row],[SUPERVISOR]]="","",VLOOKUP(DATA_FEBRERO_2026[[#This Row],[ASER_]],$B:$G,6,0))</f>
        <v>73290</v>
      </c>
      <c r="Q37" s="6">
        <f>VLOOKUP(DATA_FEBRERO_2026[[#This Row],[ASER_]],D1_FEBRERO_2026[[ASESOR_CRR]:[META]],2,0)</f>
        <v>28000</v>
      </c>
      <c r="R37" t="s">
        <v>79</v>
      </c>
      <c r="S37" s="46">
        <v>1520</v>
      </c>
      <c r="T37">
        <v>0</v>
      </c>
      <c r="U37">
        <v>1000</v>
      </c>
      <c r="V37">
        <v>4650</v>
      </c>
      <c r="W37">
        <v>13000</v>
      </c>
      <c r="X37">
        <v>0</v>
      </c>
      <c r="Y37">
        <v>0</v>
      </c>
      <c r="Z37">
        <v>0</v>
      </c>
      <c r="AA37">
        <v>1000</v>
      </c>
      <c r="AB37">
        <v>24000</v>
      </c>
      <c r="AC37">
        <v>4000</v>
      </c>
      <c r="AD37">
        <v>150</v>
      </c>
      <c r="AE37">
        <v>1000</v>
      </c>
      <c r="AF37">
        <v>0</v>
      </c>
      <c r="AG37">
        <v>1000</v>
      </c>
      <c r="AH37">
        <v>0</v>
      </c>
      <c r="AI37">
        <v>7970</v>
      </c>
      <c r="AJ37">
        <v>14000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SANDY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IF(D1_FEBRERO_2026[[#This Row],[RECUPERO]]="VACACIONES","VACACIONES",IFERROR(D1_FEBRERO_2026[[#This Row],[RECUPERO]]/D1_FEBRERO_2026[[#This Row],[META]],""))</f>
        <v>1.1952</v>
      </c>
      <c r="E38" s="36" t="str">
        <f>IFERROR(VLOOKUP(D1_FEBRERO_2026[[#This Row],[ASESOR_CRR]],PLANTILLA_ACTUAL[],2,0),"")</f>
        <v>SANDY</v>
      </c>
      <c r="F38" t="s">
        <v>32</v>
      </c>
      <c r="G38" s="3">
        <v>59760</v>
      </c>
      <c r="H38" t="str">
        <f>VLOOKUP(D1_FEBRERO_2026[[#This Row],[ASESOR_CRR]],DIM!$C:$E,2,0)</f>
        <v>48584670</v>
      </c>
      <c r="I38" s="57">
        <f>VLOOKUP(D1_FEBRERO_2026[[#This Row],[ASESOR_CRR]],DIM!$C:$E,3,0)</f>
        <v>45526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1.0102611111111111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90923.5</v>
      </c>
      <c r="Q38" s="6">
        <f>VLOOKUP(DATA_FEBRERO_2026[[#This Row],[ASER_]],D1_FEBRERO_2026[[ASESOR_CRR]:[META]],2,0)</f>
        <v>90000</v>
      </c>
      <c r="R38" t="s">
        <v>37</v>
      </c>
      <c r="S38">
        <v>0</v>
      </c>
      <c r="T38">
        <v>9462</v>
      </c>
      <c r="U38">
        <v>325</v>
      </c>
      <c r="V38">
        <v>120</v>
      </c>
      <c r="W38">
        <v>989</v>
      </c>
      <c r="X38">
        <v>9061</v>
      </c>
      <c r="Y38">
        <v>14000</v>
      </c>
      <c r="Z38">
        <v>120</v>
      </c>
      <c r="AA38">
        <v>0</v>
      </c>
      <c r="AB38">
        <v>660.5</v>
      </c>
      <c r="AC38">
        <v>3000</v>
      </c>
      <c r="AD38">
        <v>11350</v>
      </c>
      <c r="AE38">
        <v>14000</v>
      </c>
      <c r="AF38">
        <v>15200</v>
      </c>
      <c r="AG38">
        <v>5536</v>
      </c>
      <c r="AH38">
        <v>1600</v>
      </c>
      <c r="AI38">
        <v>0</v>
      </c>
      <c r="AJ38">
        <v>5500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1.1080000000000001</v>
      </c>
      <c r="E39" s="36" t="str">
        <f>IFERROR(VLOOKUP(D1_FEBRERO_2026[[#This Row],[ASESOR_CRR]],PLANTILLA_ACTUAL[],2,0),"")</f>
        <v>SANDY</v>
      </c>
      <c r="F39" t="s">
        <v>13</v>
      </c>
      <c r="G39" s="3">
        <v>55400</v>
      </c>
      <c r="H39" t="str">
        <f>VLOOKUP(D1_FEBRERO_2026[[#This Row],[ASESOR_CRR]],DIM!$C:$E,2,0)</f>
        <v>72512391</v>
      </c>
      <c r="I39" s="57">
        <f>VLOOKUP(D1_FEBRERO_2026[[#This Row],[ASESOR_CRR]],DIM!$C:$E,3,0)</f>
        <v>44809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1.0462777777777779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&gt;100%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94165</v>
      </c>
      <c r="Q39" s="6">
        <f>VLOOKUP(DATA_FEBRERO_2026[[#This Row],[ASER_]],D1_FEBRERO_2026[[ASESOR_CRR]:[META]],2,0)</f>
        <v>90000</v>
      </c>
      <c r="R39" t="s">
        <v>35</v>
      </c>
      <c r="S39">
        <v>0</v>
      </c>
      <c r="T39">
        <v>0</v>
      </c>
      <c r="U39">
        <v>1800</v>
      </c>
      <c r="V39">
        <v>14000</v>
      </c>
      <c r="W39">
        <v>688</v>
      </c>
      <c r="X39">
        <v>10400</v>
      </c>
      <c r="Y39">
        <v>1450</v>
      </c>
      <c r="Z39">
        <v>22200</v>
      </c>
      <c r="AA39">
        <v>1381</v>
      </c>
      <c r="AB39">
        <v>238</v>
      </c>
      <c r="AC39">
        <v>25900</v>
      </c>
      <c r="AD39">
        <v>0</v>
      </c>
      <c r="AE39">
        <v>188</v>
      </c>
      <c r="AF39">
        <v>200</v>
      </c>
      <c r="AG39">
        <v>1400</v>
      </c>
      <c r="AH39">
        <v>320</v>
      </c>
      <c r="AI39">
        <v>10000</v>
      </c>
      <c r="AJ39">
        <v>4000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1.03546</v>
      </c>
      <c r="E40" s="36" t="str">
        <f>IFERROR(VLOOKUP(D1_FEBRERO_2026[[#This Row],[ASESOR_CRR]],PLANTILLA_ACTUAL[],2,0),"")</f>
        <v>SANDY</v>
      </c>
      <c r="F40" t="s">
        <v>23</v>
      </c>
      <c r="G40" s="3">
        <v>51773</v>
      </c>
      <c r="H40" t="str">
        <f>VLOOKUP(D1_FEBRERO_2026[[#This Row],[ASESOR_CRR]],DIM!$C:$E,2,0)</f>
        <v>72413556</v>
      </c>
      <c r="I40" s="57">
        <f>VLOOKUP(D1_FEBRERO_2026[[#This Row],[ASESOR_CRR]],DIM!$C:$E,3,0)</f>
        <v>44109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0.5939444444444445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&gt;40%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53455</v>
      </c>
      <c r="Q40" s="6">
        <f>VLOOKUP(DATA_FEBRERO_2026[[#This Row],[ASER_]],D1_FEBRERO_2026[[ASESOR_CRR]:[META]],2,0)</f>
        <v>90000</v>
      </c>
      <c r="R40" t="s">
        <v>78</v>
      </c>
      <c r="S40">
        <v>0</v>
      </c>
      <c r="T40">
        <v>10030</v>
      </c>
      <c r="U40">
        <v>600</v>
      </c>
      <c r="V40">
        <v>1803</v>
      </c>
      <c r="W40">
        <v>5100</v>
      </c>
      <c r="X40">
        <v>460</v>
      </c>
      <c r="Y40">
        <v>1740</v>
      </c>
      <c r="Z40">
        <v>2967</v>
      </c>
      <c r="AA40">
        <v>2220</v>
      </c>
      <c r="AB40">
        <v>7500</v>
      </c>
      <c r="AC40">
        <v>3800</v>
      </c>
      <c r="AD40">
        <v>500</v>
      </c>
      <c r="AE40">
        <v>420</v>
      </c>
      <c r="AF40">
        <v>3300</v>
      </c>
      <c r="AG40">
        <v>2405</v>
      </c>
      <c r="AH40">
        <v>10200</v>
      </c>
      <c r="AI40">
        <v>100</v>
      </c>
      <c r="AJ40">
        <v>310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0.83760000000000001</v>
      </c>
      <c r="E41" s="36" t="str">
        <f>IFERROR(VLOOKUP(D1_FEBRERO_2026[[#This Row],[ASESOR_CRR]],PLANTILLA_ACTUAL[],2,0),"")</f>
        <v>SANDY</v>
      </c>
      <c r="F41" t="s">
        <v>96</v>
      </c>
      <c r="G41" s="3">
        <v>41880</v>
      </c>
      <c r="H41" t="str">
        <f>VLOOKUP(D1_FEBRERO_2026[[#This Row],[ASESOR_CRR]],DIM!$C:$E,2,0)</f>
        <v>46793103</v>
      </c>
      <c r="I41" s="57">
        <f>VLOOKUP(D1_FEBRERO_2026[[#This Row],[ASESOR_CRR]],DIM!$C:$E,3,0)</f>
        <v>45882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0.95253311111111105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&gt;70%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85727.98</v>
      </c>
      <c r="Q41" s="6">
        <f>VLOOKUP(DATA_FEBRERO_2026[[#This Row],[ASER_]],D1_FEBRERO_2026[[ASESOR_CRR]:[META]],2,0)</f>
        <v>90000</v>
      </c>
      <c r="R41" t="s">
        <v>97</v>
      </c>
      <c r="S41">
        <v>959</v>
      </c>
      <c r="T41">
        <v>815</v>
      </c>
      <c r="U41">
        <v>920</v>
      </c>
      <c r="V41">
        <v>332.98</v>
      </c>
      <c r="W41">
        <v>0</v>
      </c>
      <c r="X41">
        <v>5700</v>
      </c>
      <c r="Y41">
        <v>15035</v>
      </c>
      <c r="Z41">
        <v>13540</v>
      </c>
      <c r="AA41">
        <v>4968</v>
      </c>
      <c r="AB41">
        <v>12060</v>
      </c>
      <c r="AC41">
        <v>7000</v>
      </c>
      <c r="AD41">
        <v>3700</v>
      </c>
      <c r="AE41">
        <v>3500</v>
      </c>
      <c r="AF41">
        <v>9330</v>
      </c>
      <c r="AG41">
        <v>1368</v>
      </c>
      <c r="AH41">
        <v>2000</v>
      </c>
      <c r="AI41">
        <v>4000</v>
      </c>
      <c r="AJ41">
        <v>500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SANDY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IF(D1_FEBRERO_2026[[#This Row],[RECUPERO]]="VACACIONES","VACACIONES",IFERROR(D1_FEBRERO_2026[[#This Row],[RECUPERO]]/D1_FEBRERO_2026[[#This Row],[META]],""))</f>
        <v>0.61899999999999999</v>
      </c>
      <c r="E42" s="36" t="str">
        <f>IFERROR(VLOOKUP(D1_FEBRERO_2026[[#This Row],[ASESOR_CRR]],PLANTILLA_ACTUAL[],2,0),"")</f>
        <v>SANDY</v>
      </c>
      <c r="F42" t="s">
        <v>65</v>
      </c>
      <c r="G42" s="3">
        <v>30950</v>
      </c>
      <c r="H42" t="str">
        <f>VLOOKUP(D1_FEBRERO_2026[[#This Row],[ASESOR_CRR]],DIM!$C:$E,2,0)</f>
        <v>47659267</v>
      </c>
      <c r="I42" s="57">
        <f>VLOOKUP(D1_FEBRERO_2026[[#This Row],[ASESOR_CRR]],DIM!$C:$E,3,0)</f>
        <v>45019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1.1616981132075472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&gt;100%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30785</v>
      </c>
      <c r="Q42" s="6">
        <f>VLOOKUP(DATA_FEBRERO_2026[[#This Row],[ASER_]],D1_FEBRERO_2026[[ASESOR_CRR]:[META]],2,0)</f>
        <v>26500</v>
      </c>
      <c r="R42" t="s">
        <v>105</v>
      </c>
      <c r="S42">
        <v>0</v>
      </c>
      <c r="T42">
        <v>0</v>
      </c>
      <c r="U42" s="46">
        <v>650</v>
      </c>
      <c r="V42">
        <v>1000</v>
      </c>
      <c r="W42">
        <v>230</v>
      </c>
      <c r="X42">
        <v>3500</v>
      </c>
      <c r="Y42">
        <v>2200</v>
      </c>
      <c r="Z42">
        <v>0</v>
      </c>
      <c r="AA42">
        <v>12605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10600</v>
      </c>
      <c r="AH42">
        <v>0</v>
      </c>
      <c r="AI42">
        <v>0</v>
      </c>
      <c r="AJ42">
        <v>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SANDY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IF(D1_FEBRERO_2026[[#This Row],[RECUPERO]]="VACACIONES","VACACIONES",IFERROR(D1_FEBRERO_2026[[#This Row],[RECUPERO]]/D1_FEBRERO_2026[[#This Row],[META]],""))</f>
        <v>0.4708</v>
      </c>
      <c r="E43" s="36" t="str">
        <f>IFERROR(VLOOKUP(D1_FEBRERO_2026[[#This Row],[ASESOR_CRR]],PLANTILLA_ACTUAL[],2,0),"")</f>
        <v>SANDY</v>
      </c>
      <c r="F43" t="s">
        <v>31</v>
      </c>
      <c r="G43" s="3">
        <v>23540</v>
      </c>
      <c r="H43" t="str">
        <f>VLOOKUP(D1_FEBRERO_2026[[#This Row],[ASESOR_CRR]],DIM!$C:$E,2,0)</f>
        <v>75882265</v>
      </c>
      <c r="I43" s="57">
        <f>VLOOKUP(D1_FEBRERO_2026[[#This Row],[ASESOR_CRR]],DIM!$C:$E,3,0)</f>
        <v>45334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1.0896226415094339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6" t="str">
        <f>IFERROR(VLOOKUP(DATA_FEBRERO_2026[[#This Row],[ASER_]],$B:$G,4,0),"")</f>
        <v>KENNETH</v>
      </c>
      <c r="P43" s="6">
        <f>IF(DATA_FEBRERO_2026[[#This Row],[SUPERVISOR]]="","",VLOOKUP(DATA_FEBRERO_2026[[#This Row],[ASER_]],$B:$G,6,0))</f>
        <v>28875</v>
      </c>
      <c r="Q43" s="6">
        <f>VLOOKUP(DATA_FEBRERO_2026[[#This Row],[ASER_]],D1_FEBRERO_2026[[ASESOR_CRR]:[META]],2,0)</f>
        <v>26500</v>
      </c>
      <c r="R43" t="s">
        <v>81</v>
      </c>
      <c r="S43">
        <v>0</v>
      </c>
      <c r="T43">
        <v>509</v>
      </c>
      <c r="U43">
        <v>0</v>
      </c>
      <c r="V43">
        <v>200</v>
      </c>
      <c r="W43">
        <v>290</v>
      </c>
      <c r="X43">
        <v>5000</v>
      </c>
      <c r="Y43">
        <v>5000</v>
      </c>
      <c r="Z43">
        <v>0</v>
      </c>
      <c r="AA43">
        <v>4005</v>
      </c>
      <c r="AB43">
        <v>0</v>
      </c>
      <c r="AC43">
        <v>5700</v>
      </c>
      <c r="AD43">
        <v>551</v>
      </c>
      <c r="AE43">
        <v>7000</v>
      </c>
      <c r="AF43">
        <v>0</v>
      </c>
      <c r="AG43">
        <v>0</v>
      </c>
      <c r="AH43">
        <v>200</v>
      </c>
      <c r="AI43">
        <v>70</v>
      </c>
      <c r="AJ43">
        <v>350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0.43240000000000001</v>
      </c>
      <c r="E44" s="36" t="str">
        <f>IFERROR(VLOOKUP(D1_FEBRERO_2026[[#This Row],[ASESOR_CRR]],PLANTILLA_ACTUAL[],2,0),"")</f>
        <v>SANDY</v>
      </c>
      <c r="F44" t="s">
        <v>22</v>
      </c>
      <c r="G44" s="3">
        <v>21620</v>
      </c>
      <c r="H44" t="str">
        <f>VLOOKUP(D1_FEBRERO_2026[[#This Row],[ASESOR_CRR]],DIM!$C:$E,2,0)</f>
        <v>70551168</v>
      </c>
      <c r="I44" s="57">
        <f>VLOOKUP(D1_FEBRERO_2026[[#This Row],[ASESOR_CRR]],DIM!$C:$E,3,0)</f>
        <v>45295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1.9553207547169811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&gt;100%</v>
      </c>
      <c r="O44" s="56" t="str">
        <f>IFERROR(VLOOKUP(DATA_FEBRERO_2026[[#This Row],[ASER_]],$B:$G,4,0),"")</f>
        <v>KENNETH</v>
      </c>
      <c r="P44" s="6">
        <f>IF(DATA_FEBRERO_2026[[#This Row],[SUPERVISOR]]="","",VLOOKUP(DATA_FEBRERO_2026[[#This Row],[ASER_]],$B:$G,6,0))</f>
        <v>51816</v>
      </c>
      <c r="Q44" s="6">
        <f>VLOOKUP(DATA_FEBRERO_2026[[#This Row],[ASER_]],D1_FEBRERO_2026[[ASESOR_CRR]:[META]],2,0)</f>
        <v>26500</v>
      </c>
      <c r="R44" t="s">
        <v>19</v>
      </c>
      <c r="S44">
        <v>0</v>
      </c>
      <c r="T44">
        <v>0</v>
      </c>
      <c r="U44">
        <v>100</v>
      </c>
      <c r="V44">
        <v>0</v>
      </c>
      <c r="W44">
        <v>0</v>
      </c>
      <c r="X44">
        <v>1100</v>
      </c>
      <c r="Y44">
        <v>14000</v>
      </c>
      <c r="Z44">
        <v>0</v>
      </c>
      <c r="AA44">
        <v>0</v>
      </c>
      <c r="AB44">
        <v>400</v>
      </c>
      <c r="AC44">
        <v>2400</v>
      </c>
      <c r="AD44">
        <v>2150</v>
      </c>
      <c r="AE44">
        <v>19000</v>
      </c>
      <c r="AF44">
        <v>1571</v>
      </c>
      <c r="AG44">
        <v>3440</v>
      </c>
      <c r="AH44">
        <v>2155</v>
      </c>
      <c r="AI44">
        <v>2500</v>
      </c>
      <c r="AJ44">
        <v>3000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0.32850000000000001</v>
      </c>
      <c r="E45" s="36" t="str">
        <f>IFERROR(VLOOKUP(D1_FEBRERO_2026[[#This Row],[ASESOR_CRR]],PLANTILLA_ACTUAL[],2,0),"")</f>
        <v>SANDY</v>
      </c>
      <c r="F45" t="s">
        <v>208</v>
      </c>
      <c r="G45" s="3">
        <v>16425</v>
      </c>
      <c r="H45" t="str">
        <f>VLOOKUP(D1_FEBRERO_2026[[#This Row],[ASESOR_CRR]],DIM!$C:$E,2,0)</f>
        <v>75069320</v>
      </c>
      <c r="I45" s="57">
        <f>VLOOKUP(D1_FEBRERO_2026[[#This Row],[ASESOR_CRR]],DIM!$C:$E,3,0)</f>
        <v>46029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0.62471698113207552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&gt;40%</v>
      </c>
      <c r="O45" s="56" t="str">
        <f>IFERROR(VLOOKUP(DATA_FEBRERO_2026[[#This Row],[ASER_]],$B:$G,4,0),"")</f>
        <v>KENNETH</v>
      </c>
      <c r="P45" s="6">
        <f>IF(DATA_FEBRERO_2026[[#This Row],[SUPERVISOR]]="","",VLOOKUP(DATA_FEBRERO_2026[[#This Row],[ASER_]],$B:$G,6,0))</f>
        <v>16555</v>
      </c>
      <c r="Q45" s="6">
        <f>VLOOKUP(DATA_FEBRERO_2026[[#This Row],[ASER_]],D1_FEBRERO_2026[[ASESOR_CRR]:[META]],2,0)</f>
        <v>26500</v>
      </c>
      <c r="R45" t="s">
        <v>50</v>
      </c>
      <c r="S45">
        <v>300</v>
      </c>
      <c r="T45">
        <v>0</v>
      </c>
      <c r="U45">
        <v>0</v>
      </c>
      <c r="V45">
        <v>860</v>
      </c>
      <c r="W45">
        <v>0</v>
      </c>
      <c r="X45">
        <v>0</v>
      </c>
      <c r="Y45">
        <v>0</v>
      </c>
      <c r="Z45">
        <v>285</v>
      </c>
      <c r="AA45">
        <v>0</v>
      </c>
      <c r="AB45">
        <v>0</v>
      </c>
      <c r="AC45">
        <v>7500</v>
      </c>
      <c r="AD45">
        <v>0</v>
      </c>
      <c r="AE45">
        <v>550</v>
      </c>
      <c r="AF45">
        <v>0</v>
      </c>
      <c r="AG45">
        <v>5200</v>
      </c>
      <c r="AH45">
        <v>360</v>
      </c>
      <c r="AI45">
        <v>0</v>
      </c>
      <c r="AJ45">
        <v>1500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SANDY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IF(D1_FEBRERO_2026[[#This Row],[RECUPERO]]="VACACIONES","VACACIONES",IFERROR(D1_FEBRERO_2026[[#This Row],[RECUPERO]]/D1_FEBRERO_2026[[#This Row],[META]],""))</f>
        <v>0.26</v>
      </c>
      <c r="E46" s="36" t="str">
        <f>IFERROR(VLOOKUP(D1_FEBRERO_2026[[#This Row],[ASESOR_CRR]],PLANTILLA_ACTUAL[],2,0),"")</f>
        <v>SANDY</v>
      </c>
      <c r="F46" t="s">
        <v>396</v>
      </c>
      <c r="G46" s="3">
        <v>13000</v>
      </c>
      <c r="H46" t="str">
        <f>VLOOKUP(D1_FEBRERO_2026[[#This Row],[ASESOR_CRR]],DIM!$C:$E,2,0)</f>
        <v>44883074</v>
      </c>
      <c r="I46" s="57">
        <f>VLOOKUP(D1_FEBRERO_2026[[#This Row],[ASESOR_CRR]],DIM!$C:$E,3,0)</f>
        <v>46038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1.1901509433962265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&gt;100%</v>
      </c>
      <c r="O46" s="56" t="str">
        <f>IFERROR(VLOOKUP(DATA_FEBRERO_2026[[#This Row],[ASER_]],$B:$G,4,0),"")</f>
        <v>KENNETH</v>
      </c>
      <c r="P46" s="6">
        <f>IF(DATA_FEBRERO_2026[[#This Row],[SUPERVISOR]]="","",VLOOKUP(DATA_FEBRERO_2026[[#This Row],[ASER_]],$B:$G,6,0))</f>
        <v>31539</v>
      </c>
      <c r="Q46" s="6">
        <f>VLOOKUP(DATA_FEBRERO_2026[[#This Row],[ASER_]],D1_FEBRERO_2026[[ASESOR_CRR]:[META]],2,0)</f>
        <v>26500</v>
      </c>
      <c r="R46" t="s">
        <v>26</v>
      </c>
      <c r="S46">
        <v>0</v>
      </c>
      <c r="T46">
        <v>320</v>
      </c>
      <c r="U46">
        <v>8000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2900</v>
      </c>
      <c r="AB46">
        <v>400</v>
      </c>
      <c r="AC46">
        <v>369</v>
      </c>
      <c r="AD46">
        <v>7500</v>
      </c>
      <c r="AE46">
        <v>0</v>
      </c>
      <c r="AF46">
        <v>0</v>
      </c>
      <c r="AG46">
        <v>10000</v>
      </c>
      <c r="AH46">
        <v>300</v>
      </c>
      <c r="AI46">
        <v>0</v>
      </c>
      <c r="AJ46">
        <v>250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GUSTAVO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7" s="36">
        <f>IF(D1_FEBRERO_2026[[#This Row],[RECUPERO]]="VACACIONES","VACACIONES",IFERROR(D1_FEBRERO_2026[[#This Row],[RECUPERO]]/D1_FEBRERO_2026[[#This Row],[META]],""))</f>
        <v>1.2972765957446808</v>
      </c>
      <c r="E47" s="36" t="str">
        <f>IFERROR(VLOOKUP(D1_FEBRERO_2026[[#This Row],[ASESOR_CRR]],PLANTILLA_ACTUAL[],2,0),"")</f>
        <v>GUSTAVO</v>
      </c>
      <c r="F47" t="s">
        <v>513</v>
      </c>
      <c r="G47" s="3">
        <v>30486</v>
      </c>
      <c r="H47" t="str">
        <f>VLOOKUP(D1_FEBRERO_2026[[#This Row],[ASESOR_CRR]],DIM!$C:$E,2,0)</f>
        <v>75026229</v>
      </c>
      <c r="I47" s="57">
        <f>VLOOKUP(D1_FEBRERO_2026[[#This Row],[ASESOR_CRR]],DIM!$C:$E,3,0)</f>
        <v>46052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6.7396226415094337E-2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KENNETH</v>
      </c>
      <c r="P47" s="6">
        <f>IF(DATA_FEBRERO_2026[[#This Row],[SUPERVISOR]]="","",VLOOKUP(DATA_FEBRERO_2026[[#This Row],[ASER_]],$B:$G,6,0))</f>
        <v>1786</v>
      </c>
      <c r="Q47" s="6">
        <f>VLOOKUP(DATA_FEBRERO_2026[[#This Row],[ASER_]],D1_FEBRERO_2026[[ASESOR_CRR]:[META]],2,0)</f>
        <v>26500</v>
      </c>
      <c r="R47" t="s">
        <v>80</v>
      </c>
      <c r="S47">
        <v>0</v>
      </c>
      <c r="T47">
        <v>256</v>
      </c>
      <c r="U47">
        <v>100</v>
      </c>
      <c r="V47">
        <v>0</v>
      </c>
      <c r="W47">
        <v>0</v>
      </c>
      <c r="X47">
        <v>0</v>
      </c>
      <c r="Y47">
        <v>0</v>
      </c>
      <c r="Z47">
        <v>0</v>
      </c>
      <c r="AA47">
        <v>600</v>
      </c>
      <c r="AB47">
        <v>0</v>
      </c>
      <c r="AC47">
        <v>0</v>
      </c>
      <c r="AD47">
        <v>330</v>
      </c>
      <c r="AE47">
        <v>0</v>
      </c>
      <c r="AF47">
        <v>500</v>
      </c>
      <c r="AG47">
        <v>0</v>
      </c>
      <c r="AH47">
        <v>0</v>
      </c>
      <c r="AI47">
        <v>0</v>
      </c>
      <c r="AJ47">
        <v>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GUSTAVO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8" s="36">
        <f>IF(D1_FEBRERO_2026[[#This Row],[RECUPERO]]="VACACIONES","VACACIONES",IFERROR(D1_FEBRERO_2026[[#This Row],[RECUPERO]]/D1_FEBRERO_2026[[#This Row],[META]],""))</f>
        <v>1.2661702127659575</v>
      </c>
      <c r="E48" s="36" t="str">
        <f>IFERROR(VLOOKUP(D1_FEBRERO_2026[[#This Row],[ASESOR_CRR]],PLANTILLA_ACTUAL[],2,0),"")</f>
        <v>GUSTAVO</v>
      </c>
      <c r="F48" t="s">
        <v>58</v>
      </c>
      <c r="G48" s="3">
        <v>29755</v>
      </c>
      <c r="H48" t="str">
        <f>VLOOKUP(D1_FEBRERO_2026[[#This Row],[ASESOR_CRR]],DIM!$C:$E,2,0)</f>
        <v>72519113</v>
      </c>
      <c r="I48" s="57">
        <f>VLOOKUP(D1_FEBRERO_2026[[#This Row],[ASESOR_CRR]],DIM!$C:$E,3,0)</f>
        <v>43119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1.8937735849056603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KENNETH</v>
      </c>
      <c r="P48" s="6">
        <f>IF(DATA_FEBRERO_2026[[#This Row],[SUPERVISOR]]="","",VLOOKUP(DATA_FEBRERO_2026[[#This Row],[ASER_]],$B:$G,6,0))</f>
        <v>50185</v>
      </c>
      <c r="Q48" s="6">
        <f>VLOOKUP(DATA_FEBRERO_2026[[#This Row],[ASER_]],D1_FEBRERO_2026[[ASESOR_CRR]:[META]],2,0)</f>
        <v>26500</v>
      </c>
      <c r="R48" t="s">
        <v>34</v>
      </c>
      <c r="S48">
        <v>0</v>
      </c>
      <c r="T48">
        <v>500</v>
      </c>
      <c r="U48">
        <v>0</v>
      </c>
      <c r="V48">
        <v>7550</v>
      </c>
      <c r="W48">
        <v>3510</v>
      </c>
      <c r="X48">
        <v>6050</v>
      </c>
      <c r="Y48">
        <v>0</v>
      </c>
      <c r="Z48">
        <v>0</v>
      </c>
      <c r="AA48">
        <v>0</v>
      </c>
      <c r="AB48">
        <v>3075</v>
      </c>
      <c r="AC48">
        <v>3000</v>
      </c>
      <c r="AD48">
        <v>0</v>
      </c>
      <c r="AE48">
        <v>0</v>
      </c>
      <c r="AF48">
        <v>650</v>
      </c>
      <c r="AG48">
        <v>9000</v>
      </c>
      <c r="AH48">
        <v>10000</v>
      </c>
      <c r="AI48">
        <v>0</v>
      </c>
      <c r="AJ48">
        <v>6850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1.228</v>
      </c>
      <c r="E49" s="36" t="str">
        <f>IFERROR(VLOOKUP(D1_FEBRERO_2026[[#This Row],[ASESOR_CRR]],PLANTILLA_ACTUAL[],2,0),"")</f>
        <v>GUSTAVO</v>
      </c>
      <c r="F49" t="s">
        <v>174</v>
      </c>
      <c r="G49" s="3">
        <v>28858</v>
      </c>
      <c r="H49" t="str">
        <f>VLOOKUP(D1_FEBRERO_2026[[#This Row],[ASESOR_CRR]],DIM!$C:$E,2,0)</f>
        <v>46994661</v>
      </c>
      <c r="I49" s="57">
        <f>VLOOKUP(D1_FEBRERO_2026[[#This Row],[ASESOR_CRR]],DIM!$C:$E,3,0)</f>
        <v>45992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1.8757999999999999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&gt;100%</v>
      </c>
      <c r="O49" s="56" t="str">
        <f>IFERROR(VLOOKUP(DATA_FEBRERO_2026[[#This Row],[ASER_]],$B:$G,4,0),"")</f>
        <v>JOHAN</v>
      </c>
      <c r="P49" s="6">
        <f>IF(DATA_FEBRERO_2026[[#This Row],[SUPERVISOR]]="","",VLOOKUP(DATA_FEBRERO_2026[[#This Row],[ASER_]],$B:$G,6,0))</f>
        <v>93790</v>
      </c>
      <c r="Q49" s="6">
        <f>VLOOKUP(DATA_FEBRERO_2026[[#This Row],[ASER_]],D1_FEBRERO_2026[[ASESOR_CRR]:[META]],2,0)</f>
        <v>50000</v>
      </c>
      <c r="R49" t="s">
        <v>59</v>
      </c>
      <c r="S49">
        <v>0</v>
      </c>
      <c r="T49">
        <v>13000</v>
      </c>
      <c r="U49">
        <v>9000</v>
      </c>
      <c r="V49">
        <v>20300</v>
      </c>
      <c r="W49">
        <v>0</v>
      </c>
      <c r="X49">
        <v>19500</v>
      </c>
      <c r="Y49">
        <v>2800</v>
      </c>
      <c r="Z49">
        <v>2000</v>
      </c>
      <c r="AA49">
        <v>0</v>
      </c>
      <c r="AB49">
        <v>9350</v>
      </c>
      <c r="AC49">
        <v>2500</v>
      </c>
      <c r="AD49">
        <v>1000</v>
      </c>
      <c r="AE49">
        <v>4500</v>
      </c>
      <c r="AF49">
        <v>3500</v>
      </c>
      <c r="AG49">
        <v>0</v>
      </c>
      <c r="AH49">
        <v>6000</v>
      </c>
      <c r="AI49">
        <v>340</v>
      </c>
      <c r="AJ49">
        <v>0</v>
      </c>
      <c r="AN49" t="str">
        <f>VLOOKUP($M$3&amp;$N$3&amp;DATA_FEBRERO_2026[[#This Row],[SUPERVISOR]],TablaMeta[],7,0)</f>
        <v>S1</v>
      </c>
    </row>
    <row r="50" spans="1:40" x14ac:dyDescent="0.25">
      <c r="A50" s="35" t="str">
        <f>IFERROR(VLOOKUP(D1_FEBRERO_2026[[#This Row],[ASESOR_CRR]],PLANTILLA_ACTUAL[],2,0),"")</f>
        <v>GUSTAVO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0" s="36">
        <f>IF(D1_FEBRERO_2026[[#This Row],[RECUPERO]]="VACACIONES","VACACIONES",IFERROR(D1_FEBRERO_2026[[#This Row],[RECUPERO]]/D1_FEBRERO_2026[[#This Row],[META]],""))</f>
        <v>0.9212765957446809</v>
      </c>
      <c r="E50" s="36" t="str">
        <f>IFERROR(VLOOKUP(D1_FEBRERO_2026[[#This Row],[ASESOR_CRR]],PLANTILLA_ACTUAL[],2,0),"")</f>
        <v>GUSTAVO</v>
      </c>
      <c r="F50" t="s">
        <v>73</v>
      </c>
      <c r="G50" s="3">
        <v>21650</v>
      </c>
      <c r="H50" t="str">
        <f>VLOOKUP(D1_FEBRERO_2026[[#This Row],[ASESOR_CRR]],DIM!$C:$E,2,0)</f>
        <v>40318129</v>
      </c>
      <c r="I50" s="57">
        <f>VLOOKUP(D1_FEBRERO_2026[[#This Row],[ASESOR_CRR]],DIM!$C:$E,3,0)</f>
        <v>45141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1.3922000000000001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&gt;100%</v>
      </c>
      <c r="O50" s="56" t="str">
        <f>IFERROR(VLOOKUP(DATA_FEBRERO_2026[[#This Row],[ASER_]],$B:$G,4,0),"")</f>
        <v>JOHAN</v>
      </c>
      <c r="P50" s="6">
        <f>IF(DATA_FEBRERO_2026[[#This Row],[SUPERVISOR]]="","",VLOOKUP(DATA_FEBRERO_2026[[#This Row],[ASER_]],$B:$G,6,0))</f>
        <v>69610</v>
      </c>
      <c r="Q50" s="6">
        <f>VLOOKUP(DATA_FEBRERO_2026[[#This Row],[ASER_]],D1_FEBRERO_2026[[ASESOR_CRR]:[META]],2,0)</f>
        <v>50000</v>
      </c>
      <c r="R50" t="s">
        <v>60</v>
      </c>
      <c r="S50">
        <v>0</v>
      </c>
      <c r="T50">
        <v>0</v>
      </c>
      <c r="U50">
        <v>5000</v>
      </c>
      <c r="V50">
        <v>12000</v>
      </c>
      <c r="W50">
        <v>6300</v>
      </c>
      <c r="X50">
        <v>5700</v>
      </c>
      <c r="Y50">
        <v>392</v>
      </c>
      <c r="Z50">
        <v>200</v>
      </c>
      <c r="AA50">
        <v>3000</v>
      </c>
      <c r="AB50">
        <v>15000</v>
      </c>
      <c r="AC50">
        <v>0</v>
      </c>
      <c r="AD50">
        <v>7600</v>
      </c>
      <c r="AE50">
        <v>7000</v>
      </c>
      <c r="AF50">
        <v>2356</v>
      </c>
      <c r="AG50">
        <v>1062</v>
      </c>
      <c r="AH50">
        <v>0</v>
      </c>
      <c r="AI50">
        <v>4000</v>
      </c>
      <c r="AJ50">
        <v>0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GUSTAVO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1" s="36">
        <f>IF(D1_FEBRERO_2026[[#This Row],[RECUPERO]]="VACACIONES","VACACIONES",IFERROR(D1_FEBRERO_2026[[#This Row],[RECUPERO]]/D1_FEBRERO_2026[[#This Row],[META]],""))</f>
        <v>0.91089361702127658</v>
      </c>
      <c r="E51" s="36" t="str">
        <f>IFERROR(VLOOKUP(D1_FEBRERO_2026[[#This Row],[ASESOR_CRR]],PLANTILLA_ACTUAL[],2,0),"")</f>
        <v>GUSTAVO</v>
      </c>
      <c r="F51" t="s">
        <v>49</v>
      </c>
      <c r="G51" s="3">
        <v>21406</v>
      </c>
      <c r="H51" t="str">
        <f>VLOOKUP(D1_FEBRERO_2026[[#This Row],[ASESOR_CRR]],DIM!$C:$E,2,0)</f>
        <v>40702064</v>
      </c>
      <c r="I51" s="57">
        <f>VLOOKUP(D1_FEBRERO_2026[[#This Row],[ASESOR_CRR]],DIM!$C:$E,3,0)</f>
        <v>43313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1.0509999999999999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JOHAN</v>
      </c>
      <c r="P51" s="6">
        <f>IF(DATA_FEBRERO_2026[[#This Row],[SUPERVISOR]]="","",VLOOKUP(DATA_FEBRERO_2026[[#This Row],[ASER_]],$B:$G,6,0))</f>
        <v>52550</v>
      </c>
      <c r="Q51" s="6">
        <f>VLOOKUP(DATA_FEBRERO_2026[[#This Row],[ASER_]],D1_FEBRERO_2026[[ASESOR_CRR]:[META]],2,0)</f>
        <v>50000</v>
      </c>
      <c r="R51" t="s">
        <v>75</v>
      </c>
      <c r="S51">
        <v>0</v>
      </c>
      <c r="T51">
        <v>0</v>
      </c>
      <c r="U51">
        <v>4500</v>
      </c>
      <c r="V51">
        <v>1900</v>
      </c>
      <c r="W51">
        <v>6200</v>
      </c>
      <c r="X51">
        <v>0</v>
      </c>
      <c r="Y51">
        <v>1850</v>
      </c>
      <c r="Z51">
        <v>3000</v>
      </c>
      <c r="AA51">
        <v>10500</v>
      </c>
      <c r="AB51">
        <v>1000</v>
      </c>
      <c r="AC51">
        <v>21000</v>
      </c>
      <c r="AD51">
        <v>1500</v>
      </c>
      <c r="AE51">
        <v>0</v>
      </c>
      <c r="AF51">
        <v>0</v>
      </c>
      <c r="AG51">
        <v>1100</v>
      </c>
      <c r="AH51">
        <v>0</v>
      </c>
      <c r="AI51">
        <v>0</v>
      </c>
      <c r="AJ51">
        <v>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GUSTAVO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2" s="36">
        <f>IF(D1_FEBRERO_2026[[#This Row],[RECUPERO]]="VACACIONES","VACACIONES",IFERROR(D1_FEBRERO_2026[[#This Row],[RECUPERO]]/D1_FEBRERO_2026[[#This Row],[META]],""))</f>
        <v>0.89021276595744681</v>
      </c>
      <c r="E52" s="36" t="str">
        <f>IFERROR(VLOOKUP(D1_FEBRERO_2026[[#This Row],[ASESOR_CRR]],PLANTILLA_ACTUAL[],2,0),"")</f>
        <v>GUSTAVO</v>
      </c>
      <c r="F52" t="s">
        <v>48</v>
      </c>
      <c r="G52" s="3">
        <v>20920</v>
      </c>
      <c r="H52" t="str">
        <f>VLOOKUP(D1_FEBRERO_2026[[#This Row],[ASESOR_CRR]],DIM!$C:$E,2,0)</f>
        <v>43307898</v>
      </c>
      <c r="I52" s="57">
        <f>VLOOKUP(D1_FEBRERO_2026[[#This Row],[ASESOR_CRR]],DIM!$C:$E,3,0)</f>
        <v>44746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0.51315999999999995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&gt;40%</v>
      </c>
      <c r="O52" s="56" t="str">
        <f>IFERROR(VLOOKUP(DATA_FEBRERO_2026[[#This Row],[ASER_]],$B:$G,4,0),"")</f>
        <v>JOHAN</v>
      </c>
      <c r="P52" s="6">
        <f>IF(DATA_FEBRERO_2026[[#This Row],[SUPERVISOR]]="","",VLOOKUP(DATA_FEBRERO_2026[[#This Row],[ASER_]],$B:$G,6,0))</f>
        <v>25658</v>
      </c>
      <c r="Q52" s="6">
        <f>VLOOKUP(DATA_FEBRERO_2026[[#This Row],[ASER_]],D1_FEBRERO_2026[[ASESOR_CRR]:[META]],2,0)</f>
        <v>50000</v>
      </c>
      <c r="R52" t="s">
        <v>10</v>
      </c>
      <c r="S52">
        <v>500</v>
      </c>
      <c r="T52">
        <v>0</v>
      </c>
      <c r="U52">
        <v>3000</v>
      </c>
      <c r="V52">
        <v>1210</v>
      </c>
      <c r="W52">
        <v>0</v>
      </c>
      <c r="X52">
        <v>0</v>
      </c>
      <c r="Y52">
        <v>0</v>
      </c>
      <c r="Z52">
        <v>0</v>
      </c>
      <c r="AA52">
        <v>2000</v>
      </c>
      <c r="AB52">
        <v>0</v>
      </c>
      <c r="AC52">
        <v>3000</v>
      </c>
      <c r="AD52">
        <v>360</v>
      </c>
      <c r="AE52">
        <v>6200</v>
      </c>
      <c r="AF52">
        <v>0</v>
      </c>
      <c r="AG52">
        <v>1000</v>
      </c>
      <c r="AH52">
        <v>1500</v>
      </c>
      <c r="AI52">
        <v>6688</v>
      </c>
      <c r="AJ52">
        <v>200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0.74651063829787234</v>
      </c>
      <c r="E53" s="36" t="str">
        <f>IFERROR(VLOOKUP(D1_FEBRERO_2026[[#This Row],[ASESOR_CRR]],PLANTILLA_ACTUAL[],2,0),"")</f>
        <v>GUSTAVO</v>
      </c>
      <c r="F53" t="s">
        <v>515</v>
      </c>
      <c r="G53" s="3">
        <v>17543</v>
      </c>
      <c r="H53" t="str">
        <f>VLOOKUP(D1_FEBRERO_2026[[#This Row],[ASESOR_CRR]],DIM!$C:$E,2,0)</f>
        <v>62792399</v>
      </c>
      <c r="I53" s="57">
        <f>VLOOKUP(D1_FEBRERO_2026[[#This Row],[ASESOR_CRR]],DIM!$C:$E,3,0)</f>
        <v>46052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0.78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&gt;70%</v>
      </c>
      <c r="O53" s="56" t="str">
        <f>IFERROR(VLOOKUP(DATA_FEBRERO_2026[[#This Row],[ASER_]],$B:$G,4,0),"")</f>
        <v>JOHAN</v>
      </c>
      <c r="P53" s="6">
        <f>IF(DATA_FEBRERO_2026[[#This Row],[SUPERVISOR]]="","",VLOOKUP(DATA_FEBRERO_2026[[#This Row],[ASER_]],$B:$G,6,0))</f>
        <v>39000</v>
      </c>
      <c r="Q53" s="6">
        <f>VLOOKUP(DATA_FEBRERO_2026[[#This Row],[ASER_]],D1_FEBRERO_2026[[ASESOR_CRR]:[META]],2,0)</f>
        <v>50000</v>
      </c>
      <c r="R53" t="s">
        <v>12</v>
      </c>
      <c r="S53">
        <v>0</v>
      </c>
      <c r="T53">
        <v>400</v>
      </c>
      <c r="U53">
        <v>0</v>
      </c>
      <c r="V53">
        <v>0</v>
      </c>
      <c r="W53">
        <v>0</v>
      </c>
      <c r="X53">
        <v>6000</v>
      </c>
      <c r="Y53">
        <v>5700</v>
      </c>
      <c r="Z53">
        <v>15900</v>
      </c>
      <c r="AA53">
        <v>350</v>
      </c>
      <c r="AB53">
        <v>0</v>
      </c>
      <c r="AC53">
        <v>2000</v>
      </c>
      <c r="AD53">
        <v>0</v>
      </c>
      <c r="AE53">
        <v>0</v>
      </c>
      <c r="AF53">
        <v>0</v>
      </c>
      <c r="AG53">
        <v>2500</v>
      </c>
      <c r="AH53">
        <v>100</v>
      </c>
      <c r="AI53">
        <v>4800</v>
      </c>
      <c r="AJ53">
        <v>1250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GUSTAVO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4" s="36">
        <f>IF(D1_FEBRERO_2026[[#This Row],[RECUPERO]]="VACACIONES","VACACIONES",IFERROR(D1_FEBRERO_2026[[#This Row],[RECUPERO]]/D1_FEBRERO_2026[[#This Row],[META]],""))</f>
        <v>0.6588510638297872</v>
      </c>
      <c r="E54" s="36" t="str">
        <f>IFERROR(VLOOKUP(D1_FEBRERO_2026[[#This Row],[ASESOR_CRR]],PLANTILLA_ACTUAL[],2,0),"")</f>
        <v>GUSTAVO</v>
      </c>
      <c r="F54" t="s">
        <v>51</v>
      </c>
      <c r="G54" s="3">
        <v>15483</v>
      </c>
      <c r="H54" t="str">
        <f>VLOOKUP(D1_FEBRERO_2026[[#This Row],[ASESOR_CRR]],DIM!$C:$E,2,0)</f>
        <v>76089925</v>
      </c>
      <c r="I54" s="57">
        <f>VLOOKUP(D1_FEBRERO_2026[[#This Row],[ASESOR_CRR]],DIM!$C:$E,3,0)</f>
        <v>45678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0.62580000000000002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&gt;40%</v>
      </c>
      <c r="O54" s="56" t="str">
        <f>IFERROR(VLOOKUP(DATA_FEBRERO_2026[[#This Row],[ASER_]],$B:$G,4,0),"")</f>
        <v>JOHAN</v>
      </c>
      <c r="P54" s="6">
        <f>IF(DATA_FEBRERO_2026[[#This Row],[SUPERVISOR]]="","",VLOOKUP(DATA_FEBRERO_2026[[#This Row],[ASER_]],$B:$G,6,0))</f>
        <v>31290</v>
      </c>
      <c r="Q54" s="6">
        <f>VLOOKUP(DATA_FEBRERO_2026[[#This Row],[ASER_]],D1_FEBRERO_2026[[ASESOR_CRR]:[META]],2,0)</f>
        <v>50000</v>
      </c>
      <c r="R54" t="s">
        <v>18</v>
      </c>
      <c r="S54">
        <v>0</v>
      </c>
      <c r="T54">
        <v>4000</v>
      </c>
      <c r="U54">
        <v>2000</v>
      </c>
      <c r="V54">
        <v>0</v>
      </c>
      <c r="W54">
        <v>5350</v>
      </c>
      <c r="X54">
        <v>8340</v>
      </c>
      <c r="Y54">
        <v>0</v>
      </c>
      <c r="Z54">
        <v>0</v>
      </c>
      <c r="AA54">
        <v>600</v>
      </c>
      <c r="AB54">
        <v>1050</v>
      </c>
      <c r="AC54">
        <v>1650</v>
      </c>
      <c r="AD54">
        <v>0</v>
      </c>
      <c r="AE54">
        <v>5000</v>
      </c>
      <c r="AF54">
        <v>0</v>
      </c>
      <c r="AG54">
        <v>1500</v>
      </c>
      <c r="AH54">
        <v>0</v>
      </c>
      <c r="AI54">
        <v>0</v>
      </c>
      <c r="AJ54">
        <v>1800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GUSTAVO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5" s="36">
        <f>IF(D1_FEBRERO_2026[[#This Row],[RECUPERO]]="VACACIONES","VACACIONES",IFERROR(D1_FEBRERO_2026[[#This Row],[RECUPERO]]/D1_FEBRERO_2026[[#This Row],[META]],""))</f>
        <v>0.3556595744680851</v>
      </c>
      <c r="E55" s="36" t="str">
        <f>IFERROR(VLOOKUP(D1_FEBRERO_2026[[#This Row],[ASESOR_CRR]],PLANTILLA_ACTUAL[],2,0),"")</f>
        <v>GUSTAVO</v>
      </c>
      <c r="F55" t="s">
        <v>77</v>
      </c>
      <c r="G55" s="3">
        <v>8358</v>
      </c>
      <c r="H55" t="str">
        <f>VLOOKUP(D1_FEBRERO_2026[[#This Row],[ASESOR_CRR]],DIM!$C:$E,2,0)</f>
        <v>42251780</v>
      </c>
      <c r="I55" s="57">
        <f>VLOOKUP(D1_FEBRERO_2026[[#This Row],[ASESOR_CRR]],DIM!$C:$E,3,0)</f>
        <v>44838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0.5806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&gt;40%</v>
      </c>
      <c r="O55" s="56" t="str">
        <f>IFERROR(VLOOKUP(DATA_FEBRERO_2026[[#This Row],[ASER_]],$B:$G,4,0),"")</f>
        <v>JOHAN</v>
      </c>
      <c r="P55" s="6">
        <f>IF(DATA_FEBRERO_2026[[#This Row],[SUPERVISOR]]="","",VLOOKUP(DATA_FEBRERO_2026[[#This Row],[ASER_]],$B:$G,6,0))</f>
        <v>29030</v>
      </c>
      <c r="Q55" s="6">
        <f>VLOOKUP(DATA_FEBRERO_2026[[#This Row],[ASER_]],D1_FEBRERO_2026[[ASESOR_CRR]:[META]],2,0)</f>
        <v>50000</v>
      </c>
      <c r="R55" t="s">
        <v>122</v>
      </c>
      <c r="S55">
        <v>3500</v>
      </c>
      <c r="T55">
        <v>2630</v>
      </c>
      <c r="U55">
        <v>0</v>
      </c>
      <c r="V55">
        <v>0</v>
      </c>
      <c r="W55">
        <v>10900</v>
      </c>
      <c r="X55">
        <v>8000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500</v>
      </c>
      <c r="AH55">
        <v>1000</v>
      </c>
      <c r="AI55">
        <v>2000</v>
      </c>
      <c r="AJ55">
        <v>500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0.20382978723404255</v>
      </c>
      <c r="E56" s="36" t="str">
        <f>IFERROR(VLOOKUP(D1_FEBRERO_2026[[#This Row],[ASESOR_CRR]],PLANTILLA_ACTUAL[],2,0),"")</f>
        <v>GUSTAVO</v>
      </c>
      <c r="F56" t="s">
        <v>55</v>
      </c>
      <c r="G56" s="3">
        <v>4790</v>
      </c>
      <c r="H56" t="str">
        <f>VLOOKUP(D1_FEBRERO_2026[[#This Row],[ASESOR_CRR]],DIM!$C:$E,2,0)</f>
        <v>45119892</v>
      </c>
      <c r="I56" s="57">
        <f>VLOOKUP(D1_FEBRERO_2026[[#This Row],[ASESOR_CRR]],DIM!$C:$E,3,0)</f>
        <v>45813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0.24057999999999999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JOHAN</v>
      </c>
      <c r="P56" s="6">
        <f>IF(DATA_FEBRERO_2026[[#This Row],[SUPERVISOR]]="","",VLOOKUP(DATA_FEBRERO_2026[[#This Row],[ASER_]],$B:$G,6,0))</f>
        <v>12029</v>
      </c>
      <c r="Q56" s="6">
        <f>VLOOKUP(DATA_FEBRERO_2026[[#This Row],[ASER_]],D1_FEBRERO_2026[[ASESOR_CRR]:[META]],2,0)</f>
        <v>50000</v>
      </c>
      <c r="R56" t="s">
        <v>207</v>
      </c>
      <c r="S56">
        <v>0</v>
      </c>
      <c r="T56">
        <v>0</v>
      </c>
      <c r="U56">
        <v>3500</v>
      </c>
      <c r="V56">
        <v>770</v>
      </c>
      <c r="W56">
        <v>0</v>
      </c>
      <c r="X56">
        <v>0</v>
      </c>
      <c r="Y56">
        <v>0</v>
      </c>
      <c r="Z56">
        <v>500</v>
      </c>
      <c r="AA56">
        <v>0</v>
      </c>
      <c r="AB56">
        <v>0</v>
      </c>
      <c r="AC56">
        <v>0</v>
      </c>
      <c r="AD56">
        <v>1090</v>
      </c>
      <c r="AE56">
        <v>0</v>
      </c>
      <c r="AF56">
        <v>2450</v>
      </c>
      <c r="AG56">
        <v>219</v>
      </c>
      <c r="AH56">
        <v>0</v>
      </c>
      <c r="AI56">
        <v>3500</v>
      </c>
      <c r="AJ56">
        <v>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GUSTAVO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57" s="37">
        <f>IF(D1_FEBRERO_2026[[#This Row],[RECUPERO]]="","",VLOOKUP($M$3&amp;$N$3&amp;D1_FEBRERO_2026[[#This Row],[SUPER]],TablaMeta[],6,0))</f>
        <v>23500</v>
      </c>
      <c r="D57" s="36">
        <f>IF(D1_FEBRERO_2026[[#This Row],[RECUPERO]]="VACACIONES","VACACIONES",IFERROR(D1_FEBRERO_2026[[#This Row],[RECUPERO]]/D1_FEBRERO_2026[[#This Row],[META]],""))</f>
        <v>0.16808510638297872</v>
      </c>
      <c r="E57" s="36" t="str">
        <f>IFERROR(VLOOKUP(D1_FEBRERO_2026[[#This Row],[ASESOR_CRR]],PLANTILLA_ACTUAL[],2,0),"")</f>
        <v>GUSTAVO</v>
      </c>
      <c r="F57" t="s">
        <v>568</v>
      </c>
      <c r="G57" s="3">
        <v>3950</v>
      </c>
      <c r="H57" t="str">
        <f>VLOOKUP(D1_FEBRERO_2026[[#This Row],[ASESOR_CRR]],DIM!$C:$E,2,0)</f>
        <v>75197920</v>
      </c>
      <c r="I57" s="57">
        <f>VLOOKUP(D1_FEBRERO_2026[[#This Row],[ASESOR_CRR]],DIM!$C:$E,3,0)</f>
        <v>46055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0.24979999999999999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JOHAN</v>
      </c>
      <c r="P57" s="6">
        <f>IF(DATA_FEBRERO_2026[[#This Row],[SUPERVISOR]]="","",VLOOKUP(DATA_FEBRERO_2026[[#This Row],[ASER_]],$B:$G,6,0))</f>
        <v>12490</v>
      </c>
      <c r="Q57" s="6">
        <f>VLOOKUP(DATA_FEBRERO_2026[[#This Row],[ASER_]],D1_FEBRERO_2026[[ASESOR_CRR]:[META]],2,0)</f>
        <v>50000</v>
      </c>
      <c r="R57" t="s">
        <v>109</v>
      </c>
      <c r="S57">
        <v>0</v>
      </c>
      <c r="T57" s="5">
        <v>0</v>
      </c>
      <c r="U57">
        <v>0</v>
      </c>
      <c r="V57">
        <v>1000</v>
      </c>
      <c r="W57">
        <v>4000</v>
      </c>
      <c r="X57">
        <v>0</v>
      </c>
      <c r="Y57" s="5">
        <v>0</v>
      </c>
      <c r="Z57">
        <v>0</v>
      </c>
      <c r="AA57">
        <v>0</v>
      </c>
      <c r="AB57">
        <v>1300</v>
      </c>
      <c r="AC57">
        <v>220</v>
      </c>
      <c r="AD57" s="5">
        <v>400</v>
      </c>
      <c r="AE57">
        <v>1000</v>
      </c>
      <c r="AF57">
        <v>0</v>
      </c>
      <c r="AG57">
        <v>0</v>
      </c>
      <c r="AH57">
        <v>4340</v>
      </c>
      <c r="AI57">
        <v>0</v>
      </c>
      <c r="AJ57">
        <v>230</v>
      </c>
      <c r="AN57" t="str">
        <f>VLOOKUP($M$3&amp;$N$3&amp;DATA_FEBRERO_2026[[#This Row],[SUPERVISOR]],TablaMeta[],7,0)</f>
        <v>S1</v>
      </c>
    </row>
    <row r="58" spans="1:40" x14ac:dyDescent="0.25">
      <c r="A58" s="35" t="str">
        <f>IFERROR(VLOOKUP(D1_FEBRERO_2026[[#This Row],[ASESOR_CRR]],PLANTILLA_ACTUAL[],2,0),"")</f>
        <v>GUSTAVO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58" s="37">
        <f>IF(D1_FEBRERO_2026[[#This Row],[RECUPERO]]="","",VLOOKUP($M$3&amp;$N$3&amp;D1_FEBRERO_2026[[#This Row],[SUPER]],TablaMeta[],6,0))</f>
        <v>23500</v>
      </c>
      <c r="D58" s="36">
        <f>IF(D1_FEBRERO_2026[[#This Row],[RECUPERO]]="VACACIONES","VACACIONES",IFERROR(D1_FEBRERO_2026[[#This Row],[RECUPERO]]/D1_FEBRERO_2026[[#This Row],[META]],""))</f>
        <v>1.7872340425531916E-2</v>
      </c>
      <c r="E58" s="36" t="str">
        <f>IFERROR(VLOOKUP(D1_FEBRERO_2026[[#This Row],[ASESOR_CRR]],PLANTILLA_ACTUAL[],2,0),"")</f>
        <v>GUSTAVO</v>
      </c>
      <c r="F58" t="s">
        <v>575</v>
      </c>
      <c r="G58" s="3">
        <v>420</v>
      </c>
      <c r="H58" t="str">
        <f>VLOOKUP(D1_FEBRERO_2026[[#This Row],[ASESOR_CRR]],DIM!$C:$E,2,0)</f>
        <v>73233992 </v>
      </c>
      <c r="I58" s="57">
        <f>VLOOKUP(D1_FEBRERO_2026[[#This Row],[ASESOR_CRR]],DIM!$C:$E,3,0)</f>
        <v>46065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0.36975999999999998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JOHAN</v>
      </c>
      <c r="P58" s="6">
        <f>IF(DATA_FEBRERO_2026[[#This Row],[SUPERVISOR]]="","",VLOOKUP(DATA_FEBRERO_2026[[#This Row],[ASER_]],$B:$G,6,0))</f>
        <v>18488</v>
      </c>
      <c r="Q58" s="6">
        <f>VLOOKUP(DATA_FEBRERO_2026[[#This Row],[ASER_]],D1_FEBRERO_2026[[ASESOR_CRR]:[META]],2,0)</f>
        <v>50000</v>
      </c>
      <c r="R58" t="s">
        <v>61</v>
      </c>
      <c r="S58">
        <v>438</v>
      </c>
      <c r="T58">
        <v>0</v>
      </c>
      <c r="U58">
        <v>9000</v>
      </c>
      <c r="V58">
        <v>2550</v>
      </c>
      <c r="W58">
        <v>0</v>
      </c>
      <c r="X58">
        <v>500</v>
      </c>
      <c r="Y58">
        <v>0</v>
      </c>
      <c r="Z58">
        <v>2000</v>
      </c>
      <c r="AA58">
        <v>0</v>
      </c>
      <c r="AB58">
        <v>1200</v>
      </c>
      <c r="AC58">
        <v>1300</v>
      </c>
      <c r="AD58">
        <v>0</v>
      </c>
      <c r="AE58">
        <v>1500</v>
      </c>
      <c r="AF58">
        <v>0</v>
      </c>
      <c r="AG58">
        <v>0</v>
      </c>
      <c r="AH58">
        <v>0</v>
      </c>
      <c r="AI58">
        <v>0</v>
      </c>
      <c r="AJ58">
        <v>0</v>
      </c>
      <c r="AN58" t="str">
        <f>VLOOKUP($M$3&amp;$N$3&amp;DATA_FEBRERO_2026[[#This Row],[SUPERVISOR]],TablaMeta[],7,0)</f>
        <v>S1</v>
      </c>
    </row>
    <row r="59" spans="1:40" x14ac:dyDescent="0.25">
      <c r="H59"/>
      <c r="M59" s="85">
        <f>IF(DATA_FEBRERO_2026[[#This Row],[ASER_]]="","",VLOOKUP(DATA_FEBRERO_2026[[#This Row],[ASER_]],$B:$G,3,0))</f>
        <v>0.51659999999999995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&gt;40%</v>
      </c>
      <c r="O59" s="86" t="str">
        <f>IFERROR(VLOOKUP(DATA_FEBRERO_2026[[#This Row],[ASER_]],$B:$G,4,0),"")</f>
        <v>JOHAN</v>
      </c>
      <c r="P59" s="87">
        <f>IF(DATA_FEBRERO_2026[[#This Row],[SUPERVISOR]]="","",VLOOKUP(DATA_FEBRERO_2026[[#This Row],[ASER_]],$B:$G,6,0))</f>
        <v>25830</v>
      </c>
      <c r="Q59" s="87">
        <f>VLOOKUP(DATA_FEBRERO_2026[[#This Row],[ASER_]],D1_FEBRERO_2026[[ASESOR_CRR]:[META]],2,0)</f>
        <v>50000</v>
      </c>
      <c r="R59" s="88" t="s">
        <v>85</v>
      </c>
      <c r="S59" s="88">
        <v>0</v>
      </c>
      <c r="T59" s="88">
        <v>1500</v>
      </c>
      <c r="U59" s="88">
        <v>0</v>
      </c>
      <c r="V59" s="88">
        <v>0</v>
      </c>
      <c r="W59" s="88">
        <v>0</v>
      </c>
      <c r="X59" s="88">
        <v>3500</v>
      </c>
      <c r="Y59" s="88">
        <v>0</v>
      </c>
      <c r="Z59" s="88">
        <v>2100</v>
      </c>
      <c r="AA59" s="88">
        <v>300</v>
      </c>
      <c r="AB59" s="88">
        <v>0</v>
      </c>
      <c r="AC59" s="88">
        <v>200</v>
      </c>
      <c r="AD59" s="88">
        <v>0</v>
      </c>
      <c r="AE59" s="88">
        <v>0</v>
      </c>
      <c r="AF59" s="88">
        <v>530</v>
      </c>
      <c r="AG59" s="88">
        <v>8700</v>
      </c>
      <c r="AH59" s="88">
        <v>0</v>
      </c>
      <c r="AI59" s="88">
        <v>9000</v>
      </c>
      <c r="AJ59" s="88">
        <v>0</v>
      </c>
      <c r="AK59" s="88"/>
      <c r="AL59" s="4"/>
      <c r="AM59" s="4"/>
      <c r="AN59" s="88" t="str">
        <f>VLOOKUP($M$3&amp;$N$3&amp;DATA_FEBRERO_2026[[#This Row],[SUPERVISOR]],TablaMeta[],7,0)</f>
        <v>S1</v>
      </c>
    </row>
    <row r="60" spans="1:40" x14ac:dyDescent="0.25"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H62"/>
      <c r="P62" s="48"/>
      <c r="R62" s="48"/>
      <c r="S62" s="48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H63"/>
      <c r="P63" s="48"/>
      <c r="R63" s="48"/>
      <c r="S63" s="48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H64"/>
      <c r="P64" s="48"/>
      <c r="R64" s="48"/>
      <c r="S64" s="48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6:41" x14ac:dyDescent="0.25">
      <c r="H65"/>
      <c r="S65" s="48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6:41" x14ac:dyDescent="0.25">
      <c r="H66"/>
      <c r="S66" s="48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6:41" x14ac:dyDescent="0.25">
      <c r="H67"/>
      <c r="S67" s="48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S68" s="4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H69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AO121" s="6"/>
      <c r="AP121" s="6"/>
      <c r="AQ121" s="7"/>
    </row>
    <row r="122" spans="24:43" x14ac:dyDescent="0.25">
      <c r="AO122" s="6"/>
      <c r="AP122" s="6"/>
      <c r="AQ122" s="7"/>
    </row>
    <row r="123" spans="24:43" x14ac:dyDescent="0.25">
      <c r="AO123" s="6"/>
      <c r="AP123" s="6"/>
      <c r="AQ123" s="7"/>
    </row>
    <row r="124" spans="24:43" x14ac:dyDescent="0.25">
      <c r="AO124" s="6"/>
      <c r="AP124" s="6"/>
      <c r="AQ124" s="7"/>
    </row>
    <row r="125" spans="24:43" x14ac:dyDescent="0.25">
      <c r="AO125" s="6"/>
      <c r="AP125" s="6"/>
      <c r="AQ125" s="7"/>
    </row>
    <row r="126" spans="24:43" x14ac:dyDescent="0.25">
      <c r="AO126" s="6"/>
      <c r="AP126" s="6"/>
      <c r="AQ126" s="7"/>
    </row>
    <row r="127" spans="24:43" x14ac:dyDescent="0.25"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2" priority="1" operator="containsText" text="kenneth">
      <formula>NOT(ISERROR(SEARCH("kenneth",E3)))</formula>
    </cfRule>
  </conditionalFormatting>
  <conditionalFormatting sqref="R9:R59">
    <cfRule type="duplicateValues" dxfId="1" priority="15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zoomScale="85" zoomScaleNormal="85" workbookViewId="0">
      <selection activeCell="H15" sqref="H15:H1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20920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85727.98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21535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73290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53455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1786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90923.5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31290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69610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23540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30950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69254.5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8358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29755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15483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21650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15540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21840.5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23842.9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93790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39000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25658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55400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41880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59760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2026-02-26T13:04:32Z</dcterms:modified>
</cp:coreProperties>
</file>