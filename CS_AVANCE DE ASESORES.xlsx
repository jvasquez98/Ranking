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BE544F9A-5E2D-4928-B456-045B7630DDD9}" xr6:coauthVersionLast="47" xr6:coauthVersionMax="47" xr10:uidLastSave="{00000000-0000-0000-0000-000000000000}"/>
  <bookViews>
    <workbookView xWindow="-120" yWindow="-120" windowWidth="20730" windowHeight="11040" firstSheet="9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SETIEMBRE_2025" sheetId="8" r:id="rId9"/>
    <sheet name="OCTUBRE_2025" sheetId="18" r:id="rId10"/>
    <sheet name="NOVIEMBRE_2025" sheetId="21" r:id="rId11"/>
    <sheet name="DICIEMBRE_2025" sheetId="23" r:id="rId12"/>
    <sheet name="ENERO_2026" sheetId="17" r:id="rId13"/>
    <sheet name="DIM" sheetId="20" r:id="rId14"/>
    <sheet name="METAS" sheetId="22" r:id="rId15"/>
  </sheets>
  <definedNames>
    <definedName name="_xlnm._FilterDatabase" localSheetId="6" hidden="1">JULIO_2025!#REF!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9" i="22" l="1"/>
  <c r="A180" i="22"/>
  <c r="A181" i="22"/>
  <c r="A182" i="22"/>
  <c r="A183" i="22"/>
  <c r="C53" i="20"/>
  <c r="B3" i="17" a="1"/>
  <c r="B3" i="17" s="1"/>
  <c r="B4" i="17" a="1"/>
  <c r="B4" i="17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/>
  <c r="B33" i="17" a="1"/>
  <c r="B33" i="17" s="1"/>
  <c r="B34" i="17" a="1"/>
  <c r="B34" i="17"/>
  <c r="B35" i="17" a="1"/>
  <c r="B35" i="17"/>
  <c r="B36" i="17" a="1"/>
  <c r="B36" i="17" s="1"/>
  <c r="B37" i="17" a="1"/>
  <c r="B37" i="17" s="1"/>
  <c r="B38" i="17" a="1"/>
  <c r="B38" i="17" s="1"/>
  <c r="B39" i="17" a="1"/>
  <c r="B39" i="17" s="1"/>
  <c r="B40" i="17" a="1"/>
  <c r="B40" i="17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C2" i="20" l="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D37" i="17" l="1"/>
  <c r="E37" i="17"/>
  <c r="D13" i="17"/>
  <c r="J42" i="17" s="1"/>
  <c r="E13" i="17"/>
  <c r="L42" i="17" s="1"/>
  <c r="M42" i="17" s="1"/>
  <c r="D36" i="17"/>
  <c r="E36" i="17"/>
  <c r="L20" i="17" s="1"/>
  <c r="M20" i="17" s="1"/>
  <c r="D24" i="17"/>
  <c r="J28" i="17" s="1"/>
  <c r="E24" i="17"/>
  <c r="L28" i="17" s="1"/>
  <c r="M28" i="17" s="1"/>
  <c r="D47" i="17"/>
  <c r="E47" i="17"/>
  <c r="D23" i="17"/>
  <c r="J27" i="17" s="1"/>
  <c r="E23" i="17"/>
  <c r="L27" i="17" s="1"/>
  <c r="M27" i="17" s="1"/>
  <c r="D11" i="17"/>
  <c r="J55" i="17" s="1"/>
  <c r="E11" i="17"/>
  <c r="L55" i="17" s="1"/>
  <c r="M55" i="17" s="1"/>
  <c r="D46" i="17"/>
  <c r="E46" i="17"/>
  <c r="D34" i="17"/>
  <c r="E34" i="17"/>
  <c r="D22" i="17"/>
  <c r="J46" i="17" s="1"/>
  <c r="E22" i="17"/>
  <c r="L46" i="17" s="1"/>
  <c r="M46" i="17" s="1"/>
  <c r="D45" i="17"/>
  <c r="E45" i="17"/>
  <c r="D21" i="17"/>
  <c r="J44" i="17" s="1"/>
  <c r="E21" i="17"/>
  <c r="L44" i="17" s="1"/>
  <c r="M44" i="17" s="1"/>
  <c r="D32" i="17"/>
  <c r="E32" i="17"/>
  <c r="D20" i="17"/>
  <c r="E20" i="17"/>
  <c r="D43" i="17"/>
  <c r="E43" i="17"/>
  <c r="L9" i="17" s="1"/>
  <c r="M9" i="17" s="1"/>
  <c r="N9" i="17" s="1"/>
  <c r="D19" i="17"/>
  <c r="E19" i="17"/>
  <c r="D42" i="17"/>
  <c r="E42" i="17"/>
  <c r="D18" i="17"/>
  <c r="J36" i="17" s="1"/>
  <c r="E18" i="17"/>
  <c r="L36" i="17" s="1"/>
  <c r="M36" i="17" s="1"/>
  <c r="D41" i="17"/>
  <c r="E41" i="17"/>
  <c r="D39" i="17"/>
  <c r="J21" i="17" s="1"/>
  <c r="E39" i="17"/>
  <c r="L21" i="17" s="1"/>
  <c r="M21" i="17" s="1"/>
  <c r="D27" i="17"/>
  <c r="J31" i="17" s="1"/>
  <c r="E27" i="17"/>
  <c r="L31" i="17" s="1"/>
  <c r="M31" i="17" s="1"/>
  <c r="D15" i="17"/>
  <c r="E15" i="17"/>
  <c r="D38" i="17"/>
  <c r="E38" i="17"/>
  <c r="D26" i="17"/>
  <c r="J30" i="17" s="1"/>
  <c r="E26" i="17"/>
  <c r="L30" i="17" s="1"/>
  <c r="M30" i="17" s="1"/>
  <c r="D14" i="17"/>
  <c r="E14" i="17"/>
  <c r="D9" i="17"/>
  <c r="J53" i="17" s="1"/>
  <c r="E9" i="17"/>
  <c r="L53" i="17" s="1"/>
  <c r="M53" i="17" s="1"/>
  <c r="D8" i="17"/>
  <c r="J52" i="17" s="1"/>
  <c r="E8" i="17"/>
  <c r="L52" i="17" s="1"/>
  <c r="M52" i="17" s="1"/>
  <c r="D7" i="17"/>
  <c r="J51" i="17" s="1"/>
  <c r="E7" i="17"/>
  <c r="L51" i="17" s="1"/>
  <c r="M51" i="17" s="1"/>
  <c r="D6" i="17"/>
  <c r="J50" i="17" s="1"/>
  <c r="E6" i="17"/>
  <c r="L50" i="17" s="1"/>
  <c r="M50" i="17" s="1"/>
  <c r="D5" i="17"/>
  <c r="J49" i="17" s="1"/>
  <c r="E5" i="17"/>
  <c r="L49" i="17" s="1"/>
  <c r="M49" i="17" s="1"/>
  <c r="D49" i="17"/>
  <c r="E49" i="17"/>
  <c r="D25" i="17"/>
  <c r="E25" i="17"/>
  <c r="D48" i="17"/>
  <c r="E48" i="17"/>
  <c r="D12" i="17"/>
  <c r="J41" i="17" s="1"/>
  <c r="E12" i="17"/>
  <c r="L41" i="17" s="1"/>
  <c r="M41" i="17" s="1"/>
  <c r="D35" i="17"/>
  <c r="J25" i="17" s="1"/>
  <c r="E35" i="17"/>
  <c r="L25" i="17" s="1"/>
  <c r="M25" i="17" s="1"/>
  <c r="D10" i="17"/>
  <c r="J54" i="17" s="1"/>
  <c r="E10" i="17"/>
  <c r="L54" i="17" s="1"/>
  <c r="M54" i="17" s="1"/>
  <c r="D33" i="17"/>
  <c r="E33" i="17"/>
  <c r="D44" i="17"/>
  <c r="E44" i="17"/>
  <c r="D31" i="17"/>
  <c r="E31" i="17"/>
  <c r="D30" i="17"/>
  <c r="J34" i="17" s="1"/>
  <c r="E30" i="17"/>
  <c r="L34" i="17" s="1"/>
  <c r="M34" i="17" s="1"/>
  <c r="D29" i="17"/>
  <c r="E29" i="17"/>
  <c r="D17" i="17"/>
  <c r="J43" i="17" s="1"/>
  <c r="E17" i="17"/>
  <c r="L43" i="17" s="1"/>
  <c r="M43" i="17" s="1"/>
  <c r="D40" i="17"/>
  <c r="E40" i="17"/>
  <c r="D28" i="17"/>
  <c r="E28" i="17"/>
  <c r="D16" i="17"/>
  <c r="J40" i="17" s="1"/>
  <c r="E16" i="17"/>
  <c r="L40" i="17" s="1"/>
  <c r="M40" i="17" s="1"/>
  <c r="D4" i="17"/>
  <c r="J48" i="17" s="1"/>
  <c r="E4" i="17"/>
  <c r="L48" i="17" s="1"/>
  <c r="M48" i="17" s="1"/>
  <c r="A3" i="17"/>
  <c r="J37" i="17" l="1"/>
  <c r="J39" i="17"/>
  <c r="L37" i="17"/>
  <c r="M37" i="17" s="1"/>
  <c r="L39" i="17"/>
  <c r="M39" i="17" s="1"/>
  <c r="L45" i="17"/>
  <c r="M45" i="17" s="1"/>
  <c r="J45" i="17"/>
  <c r="L38" i="17"/>
  <c r="M38" i="17" s="1"/>
  <c r="J38" i="17"/>
  <c r="L35" i="17"/>
  <c r="M35" i="17" s="1"/>
  <c r="J35" i="17"/>
  <c r="K35" i="17" s="1" a="1"/>
  <c r="K35" i="17" s="1"/>
  <c r="J9" i="17"/>
  <c r="K9" i="17" s="1" a="1"/>
  <c r="K9" i="17" s="1"/>
  <c r="J20" i="17"/>
  <c r="K20" i="17" s="1" a="1"/>
  <c r="K20" i="17" s="1"/>
  <c r="L32" i="17"/>
  <c r="M32" i="17" s="1"/>
  <c r="L29" i="17"/>
  <c r="M29" i="17" s="1"/>
  <c r="J32" i="17"/>
  <c r="K32" i="17" s="1" a="1"/>
  <c r="K32" i="17" s="1"/>
  <c r="J29" i="17"/>
  <c r="K29" i="17" s="1" a="1"/>
  <c r="K29" i="17" s="1"/>
  <c r="L33" i="17"/>
  <c r="M33" i="17" s="1"/>
  <c r="L12" i="17"/>
  <c r="M12" i="17" s="1"/>
  <c r="J33" i="17"/>
  <c r="J12" i="17"/>
  <c r="L19" i="17"/>
  <c r="M19" i="17" s="1"/>
  <c r="J19" i="17"/>
  <c r="K19" i="17" s="1" a="1"/>
  <c r="K19" i="17" s="1"/>
  <c r="L13" i="17"/>
  <c r="M13" i="17" s="1"/>
  <c r="L18" i="17"/>
  <c r="M18" i="17" s="1"/>
  <c r="J18" i="17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L15" i="17"/>
  <c r="M15" i="17" s="1"/>
  <c r="L14" i="17"/>
  <c r="M14" i="17" s="1"/>
  <c r="J15" i="17"/>
  <c r="J14" i="17"/>
  <c r="K14" i="17" s="1" a="1"/>
  <c r="K14" i="17" s="1"/>
  <c r="J13" i="17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K42" i="17" a="1"/>
  <c r="K42" i="17" s="1"/>
  <c r="K53" i="17" a="1"/>
  <c r="K53" i="17" s="1"/>
  <c r="K43" i="17" a="1"/>
  <c r="K43" i="17" s="1"/>
  <c r="K41" i="17" a="1"/>
  <c r="K41" i="17" s="1"/>
  <c r="K46" i="17" a="1"/>
  <c r="K46" i="17" s="1"/>
  <c r="K55" i="17" a="1"/>
  <c r="K55" i="17" s="1"/>
  <c r="K51" i="17" a="1"/>
  <c r="K51" i="17" s="1"/>
  <c r="K31" i="17" a="1"/>
  <c r="K31" i="17" s="1"/>
  <c r="K37" i="17" a="1"/>
  <c r="K37" i="17" s="1"/>
  <c r="K38" i="17" a="1"/>
  <c r="K38" i="17" s="1"/>
  <c r="K27" i="17" a="1"/>
  <c r="K27" i="17" s="1"/>
  <c r="K21" i="17" a="1"/>
  <c r="K21" i="17" s="1"/>
  <c r="K40" i="17" a="1"/>
  <c r="K40" i="17" s="1"/>
  <c r="K18" i="17" a="1"/>
  <c r="K18" i="17" s="1"/>
  <c r="K34" i="17" a="1"/>
  <c r="K34" i="17" s="1"/>
  <c r="K30" i="17" a="1"/>
  <c r="K30" i="17" s="1"/>
  <c r="K50" i="17" a="1"/>
  <c r="K50" i="17" s="1"/>
  <c r="K48" i="17" a="1"/>
  <c r="K48" i="17" s="1"/>
  <c r="K12" i="17" a="1"/>
  <c r="K12" i="17" s="1"/>
  <c r="K25" i="17" a="1"/>
  <c r="K25" i="17" s="1"/>
  <c r="K39" i="17" a="1"/>
  <c r="K39" i="17" s="1"/>
  <c r="K44" i="17" a="1"/>
  <c r="K44" i="17" s="1"/>
  <c r="K15" i="17" a="1"/>
  <c r="K15" i="17" s="1"/>
  <c r="K49" i="17" a="1"/>
  <c r="K49" i="17" s="1"/>
  <c r="K22" i="17" a="1"/>
  <c r="K22" i="17" s="1"/>
  <c r="K28" i="17" a="1"/>
  <c r="K28" i="17" s="1"/>
  <c r="D3" i="17"/>
  <c r="J47" i="17" s="1"/>
  <c r="K47" i="17" s="1" a="1"/>
  <c r="K47" i="17" s="1"/>
  <c r="E3" i="17"/>
  <c r="L47" i="17" s="1"/>
  <c r="M47" i="17" s="1"/>
  <c r="L16" i="17" l="1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13" i="17" a="1"/>
  <c r="K13" i="17" s="1"/>
  <c r="K54" i="17" a="1"/>
  <c r="K54" i="17" s="1"/>
  <c r="K45" i="17" a="1"/>
  <c r="K45" i="17" s="1"/>
  <c r="AO13" i="17" l="1"/>
  <c r="AO11" i="17"/>
  <c r="AO12" i="17"/>
  <c r="AO10" i="17"/>
  <c r="AO9" i="17"/>
  <c r="AN13" i="18"/>
  <c r="AN16" i="18"/>
  <c r="AN12" i="18"/>
  <c r="AN15" i="18"/>
  <c r="AN14" i="18"/>
  <c r="AN10" i="18"/>
  <c r="AN11" i="18"/>
  <c r="AN9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<sst xmlns="http://schemas.openxmlformats.org/spreadsheetml/2006/main" count="7703" uniqueCount="447">
  <si>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</si>
  <si>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</si>
  <si>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</si>
  <si>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</si>
  <si>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</si>
  <si>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</si>
  <si>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</si>
  <si>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</si>
  <si>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</si>
  <si>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</si>
  <si>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</si>
  <si>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</si>
  <si>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</si>
  <si>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</si>
  <si>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</si>
  <si>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</si>
  <si>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</si>
  <si>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</si>
  <si>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</si>
  <si>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</si>
  <si>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</si>
  <si>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</si>
  <si>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</si>
  <si>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</si>
  <si>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</si>
  <si>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</si>
  <si>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</si>
  <si>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</si>
  <si>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</si>
  <si>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</si>
  <si>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</si>
  <si>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</si>
  <si>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</si>
  <si>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</si>
  <si>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</si>
  <si>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</si>
  <si>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</si>
  <si>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</si>
  <si>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</si>
  <si>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</si>
  <si>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</si>
  <si>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</si>
  <si>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</si>
  <si>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</si>
  <si>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</si>
  <si>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</si>
  <si>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</si>
  <si>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</si>
  <si>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</si>
  <si>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</si>
  <si>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</si>
  <si>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</si>
  <si>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</si>
  <si>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</si>
  <si>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</si>
  <si>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</si>
  <si>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</si>
  <si>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</si>
  <si>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</si>
  <si>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</si>
  <si>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</si>
  <si>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</si>
  <si>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</si>
  <si>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</si>
  <si>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</si>
  <si>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</si>
  <si>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</si>
  <si>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</si>
  <si>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</si>
  <si>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</si>
  <si>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</si>
  <si>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</si>
  <si>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</si>
  <si>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</si>
  <si>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</si>
  <si>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</si>
  <si>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</si>
  <si>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</si>
  <si>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</si>
  <si>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</si>
  <si>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</si>
  <si>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</si>
  <si>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</si>
  <si>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</si>
  <si>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</si>
  <si>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</si>
  <si>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</si>
  <si>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</si>
  <si>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</si>
  <si>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</si>
  <si>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</si>
  <si>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</si>
  <si>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</si>
  <si>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</si>
  <si>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</si>
  <si>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</si>
  <si>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</si>
  <si>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</si>
  <si>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</si>
  <si>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</si>
  <si>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</si>
  <si>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</si>
  <si>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</si>
  <si>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</si>
  <si>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</si>
  <si>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MARCOS SARMIENTO</t>
  </si>
  <si>
    <t>FRANK PACORA</t>
  </si>
  <si>
    <t>JOANA GIL</t>
  </si>
  <si>
    <t>MICHAEL TAFUR</t>
  </si>
  <si>
    <t>ASESOR_CRR</t>
  </si>
  <si>
    <t>JENNY LAZARO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</si>
  <si>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</si>
  <si>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</si>
  <si>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</si>
  <si>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</si>
  <si>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</si>
  <si>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</si>
  <si>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</si>
  <si>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</si>
  <si>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</si>
  <si>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</si>
  <si>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</si>
  <si>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</si>
  <si>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</si>
  <si>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</si>
  <si>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</si>
  <si>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</si>
  <si>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</si>
  <si>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</si>
  <si>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</si>
  <si>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</si>
  <si>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</si>
  <si>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</si>
  <si>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</si>
  <si>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</si>
  <si>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</si>
  <si>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</si>
  <si>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</si>
  <si>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</si>
  <si>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</si>
  <si>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</si>
  <si>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</si>
  <si>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</si>
  <si>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</si>
  <si>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</si>
  <si>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</si>
  <si>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</si>
  <si>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</si>
  <si>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</si>
  <si>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</si>
  <si>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</si>
  <si>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</si>
  <si>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</si>
  <si>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</si>
  <si>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</si>
  <si>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</si>
  <si>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</si>
  <si>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</si>
  <si>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</si>
  <si>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</si>
  <si>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</si>
  <si>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</si>
  <si>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</si>
  <si>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</si>
  <si>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</si>
  <si>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</si>
  <si>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</si>
  <si>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</si>
  <si>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</si>
  <si>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</si>
  <si>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</si>
  <si>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</si>
  <si>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</si>
  <si>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</si>
  <si>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</si>
  <si>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</si>
  <si>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</si>
  <si>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</si>
  <si>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</si>
  <si>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</si>
  <si>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</si>
  <si>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</si>
  <si>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</si>
  <si>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</si>
  <si>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</si>
  <si>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</si>
  <si>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</si>
  <si>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</si>
  <si>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</si>
  <si>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</si>
  <si>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</si>
  <si>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</si>
  <si>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</si>
  <si>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</si>
  <si>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</si>
  <si>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</si>
  <si>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</si>
  <si>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</si>
  <si>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</si>
  <si>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</si>
  <si>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</si>
  <si>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</si>
  <si>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</si>
  <si>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</si>
  <si>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</si>
  <si>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</si>
  <si>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</si>
  <si>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</si>
  <si>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</si>
  <si>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</si>
  <si>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</si>
  <si>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</si>
  <si>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</si>
  <si>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</si>
  <si>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</si>
  <si>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</si>
  <si>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</si>
  <si>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</si>
  <si>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</si>
  <si>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</si>
  <si>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</si>
  <si>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</si>
  <si>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</si>
  <si>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</si>
  <si>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</si>
  <si>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</si>
  <si>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</si>
  <si>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</si>
  <si>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</si>
  <si>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</si>
  <si>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</si>
  <si>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</si>
  <si>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</si>
  <si>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</si>
  <si>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</si>
  <si>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</si>
  <si>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</si>
  <si>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</si>
  <si>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</si>
  <si>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</si>
  <si>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</si>
  <si>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</si>
  <si>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</si>
  <si>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</si>
  <si>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</si>
  <si>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</si>
  <si>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</si>
  <si>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</si>
  <si>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</si>
  <si>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</si>
  <si>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</si>
  <si>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</si>
  <si>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</si>
  <si>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</si>
  <si>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</si>
  <si>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</si>
  <si>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</si>
  <si>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</si>
  <si>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</si>
  <si>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</si>
  <si>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</si>
  <si>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</si>
  <si>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</si>
  <si>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</si>
  <si>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</si>
  <si>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</si>
  <si>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</si>
  <si>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</si>
  <si>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</si>
  <si>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</si>
  <si>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</si>
  <si>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</si>
  <si>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</si>
  <si>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</si>
  <si>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</si>
  <si>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</si>
  <si>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</si>
  <si>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</si>
  <si>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</si>
  <si>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</si>
  <si>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</si>
  <si>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</si>
  <si>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</si>
  <si>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</si>
  <si>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</si>
  <si>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</si>
  <si>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</si>
  <si>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</si>
  <si>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</si>
  <si>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</si>
  <si>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</si>
  <si>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</si>
  <si>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</si>
  <si>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</si>
  <si>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</si>
  <si>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</si>
  <si>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</si>
  <si>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</si>
  <si>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</si>
  <si>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</si>
  <si>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</si>
  <si>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</si>
  <si>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</si>
  <si>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</si>
  <si>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</si>
  <si>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</si>
  <si>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</si>
  <si>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</si>
  <si>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</si>
  <si>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</si>
  <si>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</si>
  <si>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</si>
  <si>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</si>
  <si>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</si>
  <si>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</si>
  <si>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</si>
  <si>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</si>
  <si>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</si>
  <si>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</si>
  <si>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</si>
  <si>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</si>
  <si>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</si>
  <si>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</si>
  <si>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</si>
  <si>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</si>
  <si>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</si>
  <si>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</si>
  <si>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</si>
  <si>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</si>
  <si>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</si>
  <si>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</si>
  <si>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</si>
  <si>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</si>
  <si>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</si>
  <si>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</si>
  <si>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</si>
  <si>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</si>
  <si>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</si>
  <si>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</si>
  <si>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</si>
  <si>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</si>
  <si>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</si>
  <si>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</si>
  <si>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</si>
  <si>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</si>
  <si>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</si>
  <si>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</si>
  <si>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</si>
  <si>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</si>
  <si>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</si>
  <si>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</si>
  <si>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</si>
  <si>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</si>
  <si>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</si>
  <si>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</si>
  <si>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</si>
  <si>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</si>
  <si>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</si>
  <si>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</si>
  <si>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</si>
  <si>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</si>
  <si>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</si>
  <si>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</si>
  <si>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</si>
  <si>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</si>
  <si>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</si>
  <si>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</si>
  <si>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</si>
  <si>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</si>
  <si>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</si>
  <si>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</si>
  <si>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</si>
  <si>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</si>
  <si>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</si>
  <si>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</si>
  <si>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</si>
  <si>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</si>
  <si>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</si>
  <si>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</si>
  <si>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</si>
  <si>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</si>
  <si>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</si>
  <si>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</si>
  <si>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</si>
  <si>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</si>
  <si>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</si>
  <si>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</si>
  <si>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</si>
  <si>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</si>
  <si>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</si>
  <si>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</si>
  <si>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</si>
  <si>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</si>
  <si>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</si>
  <si>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</si>
  <si>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</si>
  <si>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</si>
  <si>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</si>
  <si>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</si>
  <si>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</si>
  <si>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</si>
  <si>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</si>
  <si>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</si>
  <si>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</si>
  <si>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</si>
  <si>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</si>
  <si>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</si>
  <si>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</si>
  <si>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</si>
  <si>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</si>
  <si>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</si>
  <si>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</si>
  <si>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</si>
  <si>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</si>
  <si>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</si>
  <si>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</si>
  <si>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</si>
  <si>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</si>
  <si>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</si>
  <si>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</si>
  <si>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</si>
  <si>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</si>
  <si>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</si>
  <si>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</si>
  <si>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</si>
  <si>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</si>
  <si>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</si>
  <si>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</si>
  <si>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</si>
  <si>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</si>
  <si>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</si>
  <si>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</si>
  <si>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</si>
  <si>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</si>
  <si>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</si>
  <si>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</si>
  <si>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</si>
  <si>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</si>
  <si>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</si>
  <si>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</si>
  <si>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</si>
  <si>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</si>
  <si>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GENESIS VICUÑA</t>
  </si>
  <si>
    <t>MARTIN VARGAS</t>
  </si>
  <si>
    <t>MARIA BARRIONUEVO</t>
  </si>
  <si>
    <t>2026</t>
  </si>
  <si>
    <t>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</si>
</sst>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</cellXfs>
  <cellStyles count="2">
    <cellStyle name="Normal" xfId="0" builtinId="0"/>
    <cellStyle name="Porcentaje" xfId="1" builtinId="5"/>
  </cellStyles>
  <dxfs count="6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682"/>
    </tableStyle>
    <tableStyle name="Estilo de tabla dinámica 2" table="0" count="1" xr9:uid="{9E60CF16-845A-4669-9AA4-E5ACD7B8B1A8}">
      <tableStyleElement type="headerRow" dxfId="681"/>
    </tableStyle>
    <tableStyle name="Estilo de tabla dinámica 3" table="0" count="1" xr9:uid="{A9F08836-5681-4078-A387-711930301837}">
      <tableStyleElement type="headerRow" dxfId="680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G73" totalsRowShown="0">
  <autoFilter ref="A2:G73" xr:uid="{5E0BF7E0-4358-4425-8F4C-51CD4B862909}"/>
  <tableColumns count="7">
    <tableColumn id="1" xr3:uid="{897743D2-B6CD-40FA-805F-01550344D698}" name="SUPER"/>
    <tableColumn id="2" xr3:uid="{8CF4EF2B-0A86-499E-B672-9A6B3FF034D6}" name="ASESOR_CRR" dataDxfId="679"/>
    <tableColumn id="3" xr3:uid="{20FF4816-C34F-41D9-99D2-17B3BB8F5653}" name="RECUP"/>
    <tableColumn id="4" xr3:uid="{348E2507-E8FF-4E9C-9844-679D76D9144F}" name="ALCANCE"/>
    <tableColumn id="7" xr3:uid="{452E6504-D556-4FB6-B1BB-51828797F12A}" name="SUPER2" dataDxfId="678"/>
    <tableColumn id="5" xr3:uid="{42625339-8FE7-49A5-82AC-5EDD10C3C984}" name="ASESOR"/>
    <tableColumn id="6" xr3:uid="{BD1A5411-32FB-4DF7-B264-96C059BE5C56}" name="RECUPE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677" headerRowBorderDxfId="676" tableBorderDxfId="675">
  <autoFilter ref="J8:O79" xr:uid="{F9313B9F-39C6-4A12-8F5B-FED5B42DCC51}"/>
  <tableColumns count="6">
    <tableColumn id="2" xr3:uid="{8AB5D9E7-4408-4FC9-BFF6-A0452692116C}" name="AL_AC" dataDxfId="674"/>
    <tableColumn id="3" xr3:uid="{16F39E06-76AE-43AD-903E-9F641E37CB06}" name="CLASIFICACIÓN" dataDxfId="673"/>
    <tableColumn id="1" xr3:uid="{EEB18830-CD66-4BAC-81C5-B5940467DF41}" name="SUPERVISOR" dataDxfId="672"/>
    <tableColumn id="6" xr3:uid="{087774B2-9699-454D-B0E9-E9D62B239262}" name="RECUPERO" dataDxfId="671"/>
    <tableColumn id="7" xr3:uid="{B938E452-5678-4623-B9AD-47B290EB3B56}" name="META" dataDxfId="670"/>
    <tableColumn id="5" xr3:uid="{A39094CA-883F-4450-A53A-370F0AE54B0C}" name="ASER_" dataDxfId="66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668" dataDxfId="666" headerRowBorderDxfId="667" tableBorderDxfId="665" totalsRowBorderDxfId="664">
  <autoFilter ref="Q8:AQ15" xr:uid="{E6812878-A002-44BE-A5F5-A1BD7B73CAE8}"/>
  <tableColumns count="27">
    <tableColumn id="5" xr3:uid="{D940A1C4-A356-4E96-973D-81CE0B6B74AF}" name="META SUPER" dataDxfId="663"/>
    <tableColumn id="1" xr3:uid="{5A7C4C9C-3E71-483D-9C6F-3AFA18F0B768}" name="RECUPERO SUPERVISOR" dataDxfId="662"/>
    <tableColumn id="2" xr3:uid="{1DBABE23-BC0D-4016-A3DE-102C34B93437}" name="ALCANCE SUPERVISOR" dataDxfId="661"/>
    <tableColumn id="4" xr3:uid="{AAFE5F6A-D443-4B76-896C-3012A63A21B1}" name="SUPER" dataDxfId="660"/>
    <tableColumn id="6" xr3:uid="{CAC1468E-FE7F-46E8-8FA8-2EBFE78F55CF}" name="2-Ene" dataDxfId="659"/>
    <tableColumn id="7" xr3:uid="{2C1F1DCC-5615-43E9-8493-73A6B92A7B8C}" name="3-Ene" dataDxfId="658"/>
    <tableColumn id="8" xr3:uid="{CB1DD332-E0A5-4BEF-8B71-8820CA4A145B}" name="6-Ene" dataDxfId="657"/>
    <tableColumn id="9" xr3:uid="{1BB0DD4F-A73A-4F8E-93FB-252CA932D637}" name="7-Ene" dataDxfId="656"/>
    <tableColumn id="10" xr3:uid="{F4A27082-EDDE-411F-B0E7-C50309499B06}" name="8-Ene" dataDxfId="655"/>
    <tableColumn id="11" xr3:uid="{DDC3545E-22B2-4DEC-A217-59650C8BAC95}" name="9-Ene" dataDxfId="654"/>
    <tableColumn id="12" xr3:uid="{F4B5BD15-E4EF-4A2E-9071-FE5F69E48F1F}" name="10-Ene" dataDxfId="653"/>
    <tableColumn id="13" xr3:uid="{BB490521-3D08-4C83-9065-B52FD273A638}" name="13-Ene" dataDxfId="652"/>
    <tableColumn id="14" xr3:uid="{1DE13FA2-B93D-487E-A105-3A5622C997DE}" name="14-Ene" dataDxfId="651"/>
    <tableColumn id="15" xr3:uid="{6273FFBE-FC81-40C7-91CB-E95ECAD8BE5D}" name="15-Ene" dataDxfId="650"/>
    <tableColumn id="16" xr3:uid="{35253537-0DA1-45D4-B9A3-D1CBC6E92B8B}" name="16-Ene" dataDxfId="649"/>
    <tableColumn id="17" xr3:uid="{4BF3707C-841F-4140-B63C-5B47863B4CA4}" name="17-Ene" dataDxfId="648"/>
    <tableColumn id="18" xr3:uid="{1F7B79C3-A22C-49D8-9C1F-629E6C41B955}" name="20-Ene" dataDxfId="647"/>
    <tableColumn id="19" xr3:uid="{361B16CF-A887-4C9E-88B3-E8A7F4F314B0}" name="21-Ene" dataDxfId="646"/>
    <tableColumn id="20" xr3:uid="{9B3EDA9C-6CB0-4D9F-965A-6EB0593C19D9}" name="22-Ene" dataDxfId="645"/>
    <tableColumn id="21" xr3:uid="{B02655DA-D4F9-4926-88A4-5E8B2F4DF911}" name="23-Ene" dataDxfId="644"/>
    <tableColumn id="22" xr3:uid="{43854B99-1BF7-4DF3-8A04-A277447DE3B8}" name="24-Ene" dataDxfId="643"/>
    <tableColumn id="23" xr3:uid="{CAC2F677-42BD-4EFA-8E99-ABA2036DAF56}" name="27-Ene" dataDxfId="642"/>
    <tableColumn id="24" xr3:uid="{20489B5B-5885-4E43-B5F0-4EAAEE4E8EB8}" name="28-Ene" dataDxfId="641"/>
    <tableColumn id="25" xr3:uid="{B4D29A08-5206-4DCD-AF4C-9B7ABB8D3CFF}" name="29-Ene" dataDxfId="640"/>
    <tableColumn id="26" xr3:uid="{7B49DBDA-317E-4CFB-B7FA-841DFC27E42B}" name="30-Ene" dataDxfId="639"/>
    <tableColumn id="27" xr3:uid="{0126152E-7354-43DB-A75E-4841194C453D}" name="31-Ene" dataDxfId="638"/>
    <tableColumn id="3" xr3:uid="{93315C06-D400-4502-BDDD-AC5886091EC6}" name="CARTERA" dataDxfId="63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G72" totalsRowShown="0">
  <autoFilter ref="A2:G72" xr:uid="{B161DA1C-A389-4FF1-9E9E-C88018522EAC}"/>
  <tableColumns count="7">
    <tableColumn id="1" xr3:uid="{194DAAA7-3304-4E4C-9D6E-9CFF2A67ED22}" name="SUPER"/>
    <tableColumn id="2" xr3:uid="{26FE8EBB-B21D-443D-8AA8-93EEB7685413}" name="ASESOR_CRR" dataDxfId="636"/>
    <tableColumn id="3" xr3:uid="{9CB7A8A2-1BAD-49EB-99FB-0E0FFB717623}" name="RECUP"/>
    <tableColumn id="4" xr3:uid="{9C9CD75D-2F18-45F6-A4CC-6F35C5DC59B6}" name="ALCANCE"/>
    <tableColumn id="7" xr3:uid="{585A561D-528B-41EE-9AE4-E2B8B4F90D42}" name="SUPER2" dataDxfId="635"/>
    <tableColumn id="5" xr3:uid="{44178C41-B41B-4820-A8E8-222FE453335F}" name="ASESOR" dataDxfId="634"/>
    <tableColumn id="6" xr3:uid="{AC6EB590-A7E8-408F-A892-A1851BCCF0B5}" name="RECUPE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33" headerRowBorderDxfId="632" tableBorderDxfId="631">
  <autoFilter ref="J8:O78" xr:uid="{89A51909-AC95-49E8-8345-D544ACD1F830}"/>
  <tableColumns count="6">
    <tableColumn id="2" xr3:uid="{DAC112DC-4F95-46E1-A307-6AA9F60DB951}" name="AL_AC" dataDxfId="630"/>
    <tableColumn id="3" xr3:uid="{AE4A1FA5-3083-4CA4-B657-D2D0F2E20004}" name="CLASIFICACIÓN" dataDxfId="629"/>
    <tableColumn id="1" xr3:uid="{16B2CCFD-0F54-4846-AA70-4C06CEC9176C}" name="SUPERVISOR" dataDxfId="628"/>
    <tableColumn id="6" xr3:uid="{2DE1A6CE-7493-4B20-83EE-59078393B5AF}" name="RECUPERO" dataDxfId="627"/>
    <tableColumn id="7" xr3:uid="{24FB90FB-A888-41AB-9B19-627A74DA2062}" name="META" dataDxfId="626"/>
    <tableColumn id="5" xr3:uid="{E6A5C563-3502-4EF4-8D06-C88816E905A8}" name="ASER_" dataDxfId="625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24" dataDxfId="622" headerRowBorderDxfId="623" tableBorderDxfId="621" totalsRowBorderDxfId="620">
  <autoFilter ref="Q8:AO15" xr:uid="{E527C2E2-32E2-49CA-9D9E-F70EC25D5514}"/>
  <tableColumns count="25">
    <tableColumn id="5" xr3:uid="{27DAF7E5-964C-4280-AB26-7715BE71CF28}" name="META SUPER" dataDxfId="619"/>
    <tableColumn id="1" xr3:uid="{C46409A5-9201-4E30-A3EB-7B6FC2DAF473}" name="RECUPERO SUPERVISOR" dataDxfId="618"/>
    <tableColumn id="2" xr3:uid="{445C2C89-5F44-46FD-8C70-EF4EE30F232E}" name="ALCANCE SUPERVISOR" dataDxfId="617"/>
    <tableColumn id="4" xr3:uid="{55D4E2C7-B609-4C8C-A5DE-AABFFD74BEB8}" name="SUPER" dataDxfId="616"/>
    <tableColumn id="6" xr3:uid="{29925D04-B597-415A-B40B-62A3FBA8B23D}" name="3-Feb" dataDxfId="615"/>
    <tableColumn id="7" xr3:uid="{31865A72-E634-4CB8-8660-811FA8147632}" name="4-Feb" dataDxfId="614"/>
    <tableColumn id="8" xr3:uid="{C70A98A0-1CB0-425B-975B-D4464009CDD0}" name="5-Feb" dataDxfId="613"/>
    <tableColumn id="9" xr3:uid="{F56CF612-0AA5-44CB-878D-FA59D84052AD}" name="6-Feb" dataDxfId="612"/>
    <tableColumn id="10" xr3:uid="{3CC1D48D-8A84-4931-841A-8283B47C8687}" name="7-Feb" dataDxfId="611"/>
    <tableColumn id="11" xr3:uid="{A6DAF4DF-EAFF-47AB-9A6F-0B2896AE1A18}" name="10-Feb" dataDxfId="610"/>
    <tableColumn id="12" xr3:uid="{3DC03FF0-BAC6-4F5D-B5DE-18A95E2C1B97}" name="11-Feb" dataDxfId="609"/>
    <tableColumn id="13" xr3:uid="{A90729AA-CC5E-4236-924F-A736B7A4BE93}" name="12-Feb" dataDxfId="608"/>
    <tableColumn id="14" xr3:uid="{B48B5FF0-5C49-4DDC-AC33-B45D349AD044}" name="13-Feb" dataDxfId="607"/>
    <tableColumn id="15" xr3:uid="{D36E617E-0BBB-4BC1-BBF1-EB24E3C2CE90}" name="14-Feb" dataDxfId="606"/>
    <tableColumn id="16" xr3:uid="{BD346F05-FCC2-4EA9-8F0F-B55AB2E68BE0}" name="17-Feb" dataDxfId="605"/>
    <tableColumn id="17" xr3:uid="{F5BB9730-A5AE-4489-9CB0-182052BA6557}" name="18-Feb" dataDxfId="604"/>
    <tableColumn id="18" xr3:uid="{B3DEF063-7A67-4F08-9D09-8310B4B64F2B}" name="19-Feb" dataDxfId="603"/>
    <tableColumn id="19" xr3:uid="{558BE332-1E67-4EF7-9FF1-541A019A7066}" name="20-Feb" dataDxfId="602"/>
    <tableColumn id="20" xr3:uid="{073BAAB2-EF92-4A82-B7FE-8339FF3A62EA}" name="21-Feb" dataDxfId="601"/>
    <tableColumn id="21" xr3:uid="{6EC9D118-EB0A-4FDC-A694-0A630EB1048E}" name="24-Feb" dataDxfId="600"/>
    <tableColumn id="22" xr3:uid="{DFF298CB-C24B-4F90-BD14-F99C28391208}" name="25-Feb" dataDxfId="599"/>
    <tableColumn id="23" xr3:uid="{7EF0365B-2B81-4022-84F3-7A3859D35934}" name="26-Feb" dataDxfId="598"/>
    <tableColumn id="24" xr3:uid="{D92D6A29-5A30-4405-A019-D7F8F39E4176}" name="27-Feb" dataDxfId="597"/>
    <tableColumn id="25" xr3:uid="{9BFA1186-4A61-452A-8EAC-4FE410743029}" name="28-Feb" dataDxfId="596"/>
    <tableColumn id="3" xr3:uid="{5EBD9DD4-78E3-4E78-8FD5-A71A2DE2CBE8}" name="CARTERA" dataDxfId="59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G74" totalsRowShown="0">
  <autoFilter ref="A2:G74" xr:uid="{E9885E5F-45E0-410D-9674-725F11306A85}"/>
  <tableColumns count="7">
    <tableColumn id="1" xr3:uid="{0593917A-1291-450C-951C-78D9EC4BEB05}" name="SUPER"/>
    <tableColumn id="2" xr3:uid="{8CE134D2-655B-4065-BCE4-1E92F58C9834}" name="ASESOR_CRR" dataDxfId="594"/>
    <tableColumn id="3" xr3:uid="{63694922-673E-40A9-ABE9-A1BB5D442FC5}" name="RECUP"/>
    <tableColumn id="4" xr3:uid="{AA26A274-EA12-45E3-9488-E564DCE594A7}" name="ALCANCE"/>
    <tableColumn id="7" xr3:uid="{7155E541-BC22-41C0-914A-E54D790D436D}" name="SUPER2" dataDxfId="593"/>
    <tableColumn id="5" xr3:uid="{C9BC0167-A73A-4B66-AB0E-BCC22F3CD7BF}" name="ASESOR" dataDxfId="592"/>
    <tableColumn id="6" xr3:uid="{32E44CF1-7B46-45AA-916C-7D5322097EFD}" name="RECUPER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591" headerRowBorderDxfId="590" tableBorderDxfId="589">
  <autoFilter ref="J8:O80" xr:uid="{46A1AC28-8F5A-449B-BE41-0BD3EA45E5F4}"/>
  <tableColumns count="6">
    <tableColumn id="2" xr3:uid="{291F0275-242F-4948-BE64-7F8C6727586A}" name="AL_AC" dataDxfId="588"/>
    <tableColumn id="3" xr3:uid="{6050B278-B3D2-4B4C-8475-D701C9B8AB17}" name="CLASIFICACIÓN" dataDxfId="587"/>
    <tableColumn id="1" xr3:uid="{A94CCC19-556A-4124-8949-24896CDBE45E}" name="SUPERVISOR" dataDxfId="586"/>
    <tableColumn id="6" xr3:uid="{EBBFD24C-8909-45B0-B8CB-4ED73B62F2AB}" name="RECUPERO" dataDxfId="585"/>
    <tableColumn id="7" xr3:uid="{D5702432-6067-40C7-B647-63D5EBDD13C2}" name="META" dataDxfId="584"/>
    <tableColumn id="5" xr3:uid="{40A208DF-2D8B-4D71-B923-6BFFA76CDA11}" name="ASER_" dataDxfId="58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582" dataDxfId="580" headerRowBorderDxfId="581" tableBorderDxfId="579" totalsRowBorderDxfId="578">
  <autoFilter ref="Q8:AP15" xr:uid="{58377685-C18F-4F73-9CAA-BD0654B19E94}"/>
  <tableColumns count="26">
    <tableColumn id="5" xr3:uid="{9B6AA382-98FA-4EBD-A213-DB4460B552CB}" name="META SUPER" dataDxfId="577"/>
    <tableColumn id="1" xr3:uid="{23B67F77-728E-46C0-B5B1-11CE8E08D862}" name="RECUPERO SUPERVISOR" dataDxfId="576"/>
    <tableColumn id="2" xr3:uid="{0BAE08AE-6A16-447E-9DDD-8800D68BFFA3}" name="ALCANCE SUPERVISOR" dataDxfId="575"/>
    <tableColumn id="4" xr3:uid="{663301EA-2B77-4C76-B8E0-713CAAD1AC41}" name="SUPER" dataDxfId="574"/>
    <tableColumn id="6" xr3:uid="{9A6FEB31-48E4-456F-8C1F-14055131E9D6}" name="3-Mar" dataDxfId="573"/>
    <tableColumn id="7" xr3:uid="{B8154FAF-39D2-4ED9-8DD7-C179156ECA39}" name="4-Mar" dataDxfId="572"/>
    <tableColumn id="8" xr3:uid="{E58A14C1-44D1-46A4-9137-21E70261FA76}" name="5-Mar" dataDxfId="571"/>
    <tableColumn id="9" xr3:uid="{EFDA2093-809C-4DA2-80F9-0388CCC5E290}" name="6-Mar" dataDxfId="570"/>
    <tableColumn id="10" xr3:uid="{634CF5F0-F36D-4B26-8143-8C3A6FB59216}" name="7-Mar" dataDxfId="569"/>
    <tableColumn id="11" xr3:uid="{77A0553B-7BDF-49B7-B459-701A77496BEA}" name="10-Mar" dataDxfId="568"/>
    <tableColumn id="12" xr3:uid="{5EFD93D5-61E2-4104-88B4-214E61D06A6D}" name="11-Mar" dataDxfId="567"/>
    <tableColumn id="13" xr3:uid="{C6D91E97-E16B-4E76-BE55-A08C2A1131DD}" name="12-Mar" dataDxfId="566"/>
    <tableColumn id="14" xr3:uid="{2A5F1078-A097-4171-BD28-7B9B623471D0}" name="13-Mar" dataDxfId="565"/>
    <tableColumn id="15" xr3:uid="{5E883D61-775A-4AD4-A304-156DCFD9F825}" name="14-Mar" dataDxfId="564"/>
    <tableColumn id="16" xr3:uid="{BEFB5788-590D-4EFA-8707-20BAAF7026F1}" name="17-Mar" dataDxfId="563"/>
    <tableColumn id="17" xr3:uid="{8FC06E69-FAE9-4DBE-9C75-7A6598DE29C6}" name="18-Mar" dataDxfId="562"/>
    <tableColumn id="18" xr3:uid="{966EC934-1D25-407E-AE13-8147AC3FF531}" name="19-Mar" dataDxfId="561"/>
    <tableColumn id="19" xr3:uid="{5437FF24-6F5D-412D-82EE-8C668C7DC853}" name="20-Mar" dataDxfId="560"/>
    <tableColumn id="20" xr3:uid="{204A7CBC-2C07-4027-851F-021033B930C1}" name="21-Mar" dataDxfId="559"/>
    <tableColumn id="21" xr3:uid="{DF491418-AC74-4C6A-852F-F0797487D11C}" name="24-Mar" dataDxfId="558"/>
    <tableColumn id="22" xr3:uid="{E184F0A4-EF1A-48F5-8166-10085FC40D13}" name="25-Mar" dataDxfId="557"/>
    <tableColumn id="23" xr3:uid="{66C12B87-BC6D-46BE-AF31-D0C68A22BC7E}" name="26-Mar" dataDxfId="556"/>
    <tableColumn id="24" xr3:uid="{A2DB9C74-4CB6-4BBF-A230-DF50FDE9380D}" name="27-Mar" dataDxfId="555"/>
    <tableColumn id="25" xr3:uid="{D54E02BE-AA16-43C7-ABD3-89326740EA63}" name="28-Mar" dataDxfId="554"/>
    <tableColumn id="26" xr3:uid="{11172EA7-856A-4297-8329-62917B649E9A}" name="31-Mar" dataDxfId="553"/>
    <tableColumn id="3" xr3:uid="{42C6AD34-2DFF-436B-BB22-6DE170226F44}" name="CARTERA" dataDxfId="55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G69" totalsRowShown="0">
  <autoFilter ref="A2:G69" xr:uid="{4BD3AD9B-187F-444D-9B69-D2DA04E4A01E}"/>
  <tableColumns count="7">
    <tableColumn id="1" xr3:uid="{68211AFE-4147-4442-BDF7-CC740B01FA3C}" name="SUPER"/>
    <tableColumn id="2" xr3:uid="{D51D513B-04F6-4185-A044-49B743ABD514}" name="ASESOR_CRR" dataDxfId="551"/>
    <tableColumn id="3" xr3:uid="{91F4F1B2-268A-492D-8490-AD940FC38FC7}" name="RECUP"/>
    <tableColumn id="4" xr3:uid="{796AC97D-33DF-4278-BDC8-E283DF2D6F8C}" name="ALCANCE"/>
    <tableColumn id="7" xr3:uid="{2630B4E4-4508-4171-AC95-566BEB07715F}" name="SUPER2" dataDxfId="550"/>
    <tableColumn id="5" xr3:uid="{D789E66F-CC8C-4715-A998-7AE532E85E8A}" name="ASESOR" dataDxfId="549"/>
    <tableColumn id="6" xr3:uid="{3455DB8A-5A64-4A8F-8153-2471763CA60D}" name="RECUPER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48" headerRowBorderDxfId="547" tableBorderDxfId="546">
  <autoFilter ref="J8:O75" xr:uid="{4A270262-D445-41EE-9E8E-99052505C698}"/>
  <tableColumns count="6">
    <tableColumn id="2" xr3:uid="{ED28E462-F988-4D79-8917-612828B3B45E}" name="AL_AC" dataDxfId="545"/>
    <tableColumn id="3" xr3:uid="{1B1E8B7A-D562-46FD-89DE-12ADBC7146F2}" name="CLASIFICACIÓN" dataDxfId="544"/>
    <tableColumn id="1" xr3:uid="{B2C9AE52-4849-4DBA-83AD-3E350CC25C2D}" name="SUPERVISOR" dataDxfId="543"/>
    <tableColumn id="6" xr3:uid="{9C2D93B7-85A2-4E07-8DD4-3C81F7BF7EBF}" name="RECUPERO" dataDxfId="542"/>
    <tableColumn id="7" xr3:uid="{8F4173FF-BB8D-4C61-A5E9-1B6F872C619C}" name="META" dataDxfId="541"/>
    <tableColumn id="5" xr3:uid="{64151D2C-B822-41DF-8964-343214960730}" name="ASER_" dataDxfId="54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39" dataDxfId="537" headerRowBorderDxfId="538" tableBorderDxfId="536" totalsRowBorderDxfId="535">
  <autoFilter ref="Q8:AO16" xr:uid="{91037D17-6E76-48A2-93CB-F090733274F3}"/>
  <tableColumns count="25">
    <tableColumn id="5" xr3:uid="{F0D5233F-ED84-4824-B218-63AAB5DF69A8}" name="META SUPER" dataDxfId="534"/>
    <tableColumn id="1" xr3:uid="{56AD13BC-F67F-4EBC-8601-073AD9D41E5D}" name="RECUPERO SUPERVISOR" dataDxfId="533"/>
    <tableColumn id="2" xr3:uid="{B40C8394-DA7A-4DDD-89EA-AE757C76DD20}" name="ALCANCE SUPERVISOR" dataDxfId="532"/>
    <tableColumn id="4" xr3:uid="{B71408F8-B985-4B11-8661-52EFC6FA8097}" name="SUPER" dataDxfId="531"/>
    <tableColumn id="6" xr3:uid="{9E37ADBB-A64C-4E4B-9AF4-6087C797FB5E}" name="1-Abr" dataDxfId="530"/>
    <tableColumn id="7" xr3:uid="{09E3EE83-45B5-4808-842B-71D4652DE46A}" name="2-Abr" dataDxfId="529"/>
    <tableColumn id="8" xr3:uid="{243F9102-2670-48D4-B25D-8432658D89F6}" name="3-Abr" dataDxfId="528"/>
    <tableColumn id="9" xr3:uid="{06003E0F-B470-4925-ACE4-1381347B3E87}" name="4-Abr" dataDxfId="527"/>
    <tableColumn id="10" xr3:uid="{DF8C4E72-181D-4E2F-A34D-2BB7FD231520}" name="7-Abr" dataDxfId="526"/>
    <tableColumn id="11" xr3:uid="{56E37C44-85E9-4431-A560-A54606105B9D}" name="8-Abr" dataDxfId="525"/>
    <tableColumn id="12" xr3:uid="{9ADEA573-5E4A-46C0-8569-AFED61AE0141}" name="9-Abr" dataDxfId="524"/>
    <tableColumn id="13" xr3:uid="{D44E56ED-D810-4F08-ACAA-0850A2CBA861}" name="10-Abr" dataDxfId="523"/>
    <tableColumn id="14" xr3:uid="{4F1A46EB-156C-42BB-A090-307A483EDA59}" name="11-Abr" dataDxfId="522"/>
    <tableColumn id="15" xr3:uid="{EA2196AC-4B67-4905-BF5F-D57BA3E6F3AD}" name="14-Abr" dataDxfId="521"/>
    <tableColumn id="16" xr3:uid="{C78E77EC-88A1-4EFD-AD1A-7DF788C46683}" name="15-Abr" dataDxfId="520"/>
    <tableColumn id="17" xr3:uid="{D5FD8172-0B95-4406-9239-1ABAD08F1B45}" name="16-Abr" dataDxfId="519"/>
    <tableColumn id="18" xr3:uid="{8E9BAC3F-3B04-449B-88EE-DBF57FA626AC}" name="21-Abr" dataDxfId="518"/>
    <tableColumn id="19" xr3:uid="{BFA3B7EB-0BC7-4311-8FCE-7C69A9357A03}" name="22-Abr" dataDxfId="517"/>
    <tableColumn id="20" xr3:uid="{D2BE25CA-961F-40EE-9EC1-A49EEA4DDB5A}" name="23-Abr" dataDxfId="516"/>
    <tableColumn id="21" xr3:uid="{77AAB025-517F-4236-B11B-AEE9B7399348}" name="24-Abr" dataDxfId="515"/>
    <tableColumn id="22" xr3:uid="{E35C7392-A09A-482A-9C37-79B0D6711E60}" name="25-Abr" dataDxfId="514"/>
    <tableColumn id="23" xr3:uid="{B9F1E360-1FEC-4978-B5DB-3DECA1925AE9}" name="28-Abr" dataDxfId="513"/>
    <tableColumn id="24" xr3:uid="{89A20735-1F9D-4A38-9BEB-B3BD56D1FD35}" name="29-Abr" dataDxfId="512"/>
    <tableColumn id="25" xr3:uid="{4BE1A809-8A7F-4933-9AB7-B0E4C9CDDD7E}" name="30-Abr" dataDxfId="511"/>
    <tableColumn id="3" xr3:uid="{8BAF39B2-F0EB-433E-8F3A-FEAC89C5F9BF}" name="CARTERA" dataDxfId="51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G78" totalsRowShown="0">
  <autoFilter ref="A2:G78" xr:uid="{4C741D8E-BF5F-47B0-9DC2-611AD28D3273}"/>
  <tableColumns count="7">
    <tableColumn id="1" xr3:uid="{E152AEAC-0614-4AEE-89A1-C0945D3B66A9}" name="SUPER"/>
    <tableColumn id="2" xr3:uid="{A339CB3C-4A69-436B-9231-4EBB2149CD4A}" name="ASESOR_CRR" dataDxfId="509"/>
    <tableColumn id="3" xr3:uid="{808825E8-928F-40C5-BB2B-D49A4451356F}" name="RECUP"/>
    <tableColumn id="4" xr3:uid="{4F30B4EF-5496-4464-9B60-C442DE0D4AD3}" name="ALCANCE"/>
    <tableColumn id="7" xr3:uid="{7C5F88F0-9FF3-49CF-BE68-2D455D9DEE81}" name="SUPER2" dataDxfId="508"/>
    <tableColumn id="5" xr3:uid="{5FAC7613-1036-4D50-9A09-AB4F41D88D12}" name="ASESOR" dataDxfId="507"/>
    <tableColumn id="6" xr3:uid="{373B07DA-C176-4486-843D-36C5A3043867}" name="RECUPER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06" headerRowBorderDxfId="505" tableBorderDxfId="504">
  <autoFilter ref="J8:O84" xr:uid="{3430F05E-BC8F-402B-8A1E-08930825C5B5}"/>
  <tableColumns count="6">
    <tableColumn id="2" xr3:uid="{C6ACB1FD-DF21-4A7E-80CD-085902D05EAD}" name="AL_AC" dataDxfId="503"/>
    <tableColumn id="3" xr3:uid="{8551335D-BE40-494B-A806-42FAA211C207}" name="CLASIFICACIÓN" dataDxfId="502"/>
    <tableColumn id="1" xr3:uid="{1F17A9F8-FF2D-4D38-ADF0-9C21DD7CE96D}" name="SUPERVISOR" dataDxfId="501"/>
    <tableColumn id="6" xr3:uid="{85DC5B94-4FF7-4224-A993-E56A00A5F6DA}" name="RECUPERO" dataDxfId="500"/>
    <tableColumn id="7" xr3:uid="{E2EB46E1-D5BC-46B2-859F-8C05EBBE26F5}" name="META" dataDxfId="499"/>
    <tableColumn id="5" xr3:uid="{A8ED42EF-7F3D-47A1-A928-02CDC650D596}" name="ASER_" dataDxfId="498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497" dataDxfId="495" headerRowBorderDxfId="496" tableBorderDxfId="494" totalsRowBorderDxfId="493">
  <autoFilter ref="Q8:AP16" xr:uid="{7D264E3B-5554-4E56-BAB0-6F3EEF5A5778}"/>
  <tableColumns count="26">
    <tableColumn id="5" xr3:uid="{1904281A-2BE1-4A00-9848-D90C0A837D4D}" name="META SUPER" dataDxfId="492"/>
    <tableColumn id="1" xr3:uid="{E8B4D119-C811-4392-9EE6-8F0C79BEE9E9}" name="RECUPERO SUPERVISOR" dataDxfId="491"/>
    <tableColumn id="2" xr3:uid="{B44E621C-D444-4670-8FB8-CA1A1E3293FE}" name="ALCANCE SUPERVISOR" dataDxfId="490"/>
    <tableColumn id="4" xr3:uid="{63B60F11-ECE7-4839-BADE-F875CF35D6C8}" name="SUPER" dataDxfId="489"/>
    <tableColumn id="6" xr3:uid="{795F9848-930D-4B49-893D-00DA36A6069C}" name="2-May" dataDxfId="488"/>
    <tableColumn id="7" xr3:uid="{A0F1B09B-45CD-4449-B0E0-2A746353F5F6}" name="5-May" dataDxfId="487"/>
    <tableColumn id="8" xr3:uid="{42485F8E-3938-40CB-B75A-E12120AF085D}" name="6-May" dataDxfId="486"/>
    <tableColumn id="9" xr3:uid="{16CE59CD-D621-412D-8F6E-F5B8FEEFCBB4}" name="7-May" dataDxfId="485"/>
    <tableColumn id="10" xr3:uid="{D1B5939A-E95A-4BE2-BA16-796CFB62C7BB}" name="8-May" dataDxfId="484"/>
    <tableColumn id="11" xr3:uid="{42606FA2-25C4-48F7-BC25-B75CFBF93D7E}" name="9-May" dataDxfId="483"/>
    <tableColumn id="12" xr3:uid="{91DD2662-D657-4CF0-B378-5B3D9B374F80}" name="12-May" dataDxfId="482"/>
    <tableColumn id="13" xr3:uid="{02E91914-A4C0-4DF0-A670-ED42110CA3F2}" name="13-May" dataDxfId="481"/>
    <tableColumn id="14" xr3:uid="{FDAEFC46-2A8B-451E-929D-76EC4BC7CA39}" name="14-May" dataDxfId="480"/>
    <tableColumn id="15" xr3:uid="{1F944C9F-2359-45A9-8922-617195550B92}" name="15-May" dataDxfId="479"/>
    <tableColumn id="16" xr3:uid="{D023EA95-922B-4435-8A92-F165E2F3A560}" name="16-May" dataDxfId="478"/>
    <tableColumn id="17" xr3:uid="{7AC3BA92-E630-483B-B27E-18C40869116B}" name="19-May" dataDxfId="477"/>
    <tableColumn id="18" xr3:uid="{3609A57C-B1DB-4D87-9574-007183221000}" name="20-May" dataDxfId="476"/>
    <tableColumn id="19" xr3:uid="{98740490-1047-4343-85C8-834AE6AF935A}" name="21-May" dataDxfId="475"/>
    <tableColumn id="20" xr3:uid="{CE682DBD-B5A8-49C9-8A73-515C0BB553A8}" name="22-May" dataDxfId="474"/>
    <tableColumn id="21" xr3:uid="{2C63A6DB-A36B-488F-8D7C-F86E11CED59A}" name="23-May" dataDxfId="473"/>
    <tableColumn id="22" xr3:uid="{01511E88-F7F3-4FDD-998C-292B28698241}" name="26-May" dataDxfId="472"/>
    <tableColumn id="23" xr3:uid="{B0CE642E-7F10-4E00-9DD1-FC5CF0499DC2}" name="27-May" dataDxfId="471"/>
    <tableColumn id="24" xr3:uid="{EE9469B0-D486-4046-8AA2-36629B9D9667}" name="28-May" dataDxfId="470"/>
    <tableColumn id="25" xr3:uid="{D05B2A45-8E05-43BB-9FFA-CC56C7D8C31E}" name="29-May" dataDxfId="469"/>
    <tableColumn id="26" xr3:uid="{AE78D865-FDC9-4B75-AADF-A48F19C319DC}" name="31-May" dataDxfId="468"/>
    <tableColumn id="3" xr3:uid="{0887DE9C-F035-4EEC-B2F4-4C2CEB11922C}" name="CARTERA" dataDxfId="467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G77" totalsRowShown="0">
  <autoFilter ref="A2:G77" xr:uid="{64C0DE59-0F83-4A2B-97E4-DFA4A01B849B}"/>
  <tableColumns count="7">
    <tableColumn id="1" xr3:uid="{BE333B5A-1A5B-4E73-9860-1AA45E4E9980}" name="SUPER"/>
    <tableColumn id="2" xr3:uid="{877210DA-3F05-4E03-80B9-BC02A44F0C24}" name="ASESOR_CRR" dataDxfId="466"/>
    <tableColumn id="3" xr3:uid="{7DD4B70A-E8F7-43D2-86C8-77AB892B7A01}" name="RECUP"/>
    <tableColumn id="4" xr3:uid="{C8B374A9-FA66-4CE7-BEA1-33A15E8F71DA}" name="ALCANCE"/>
    <tableColumn id="7" xr3:uid="{70873663-B31A-4A7F-9C02-6FC72EE3AC33}" name="SUPER2" dataDxfId="465"/>
    <tableColumn id="5" xr3:uid="{1BF578D9-FB1B-48B0-B732-40F721FD7C19}" name="ASESOR" dataDxfId="464"/>
    <tableColumn id="6" xr3:uid="{CA995F17-DCA5-4D19-B2E1-FD9362121A39}" name="RECUPER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63" headerRowBorderDxfId="462" tableBorderDxfId="461">
  <autoFilter ref="J8:O83" xr:uid="{97B1AEE0-937A-4085-8A6E-FCEB23E4FC30}"/>
  <tableColumns count="6">
    <tableColumn id="2" xr3:uid="{1850D85D-70AA-4C8C-B259-0C0B744B6CE0}" name="AL_AC" dataDxfId="460"/>
    <tableColumn id="3" xr3:uid="{78E201C6-658E-4437-AC52-3D0E669D8389}" name="CLASIFICACIÓN" dataDxfId="459"/>
    <tableColumn id="1" xr3:uid="{C1D03C86-C680-4F57-A317-59AA1FC8881C}" name="SUPERVISOR" dataDxfId="458"/>
    <tableColumn id="6" xr3:uid="{3AD4A449-DB0B-4879-AD61-28FA40E45717}" name="RECUPERO" dataDxfId="457"/>
    <tableColumn id="7" xr3:uid="{2BD9FB92-38FC-44A8-B5F2-890569E48C37}" name="META" dataDxfId="456"/>
    <tableColumn id="5" xr3:uid="{9812F1F1-AB5A-41A6-A84D-86B290FCB7E7}" name="ASER_" dataDxfId="45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54" dataDxfId="452" headerRowBorderDxfId="453" tableBorderDxfId="451" totalsRowBorderDxfId="450">
  <autoFilter ref="Q8:AP16" xr:uid="{9512D78B-B0C0-473E-AE3C-7C31C89EE38A}"/>
  <tableColumns count="26">
    <tableColumn id="5" xr3:uid="{2E4B2724-B4DE-4C03-B5C0-3E36829C3373}" name="META SUPER" dataDxfId="449"/>
    <tableColumn id="1" xr3:uid="{1A75BF93-811F-4AFA-86B4-9AD496200913}" name="RECUPERO SUPERVISOR" dataDxfId="448"/>
    <tableColumn id="2" xr3:uid="{60B107BC-0938-4363-BE59-47C4E7777D14}" name="ALCANCE SUPERVISOR" dataDxfId="447"/>
    <tableColumn id="4" xr3:uid="{846684E8-1F2C-4021-AB12-AFBE9E56FAA4}" name="SUPER" dataDxfId="446"/>
    <tableColumn id="6" xr3:uid="{A217DEAD-ACD7-4C63-A622-E2E01ECF328C}" name="2-Jun" dataDxfId="445"/>
    <tableColumn id="7" xr3:uid="{5CA18C0A-7D47-455B-B153-EFA8D01D32D6}" name="3-Jun" dataDxfId="444"/>
    <tableColumn id="8" xr3:uid="{3CBBE086-E28B-4224-AF45-5A4E7A009E3F}" name="4-Jun" dataDxfId="443"/>
    <tableColumn id="9" xr3:uid="{4B327145-F7C9-4ABC-A911-6EB2E553C986}" name="5-Jun" dataDxfId="442"/>
    <tableColumn id="10" xr3:uid="{C644450F-2149-4D87-8E04-D3DD6B99C066}" name="6-Jun" dataDxfId="441"/>
    <tableColumn id="11" xr3:uid="{92D6DA00-2083-479D-96F6-4B48312C9C12}" name="9-Jun" dataDxfId="440"/>
    <tableColumn id="12" xr3:uid="{2EC613D6-BDCD-416F-817F-42C8018B90FE}" name="10-Jun" dataDxfId="439"/>
    <tableColumn id="13" xr3:uid="{B55C5834-2D46-4D83-8429-14D18D9B95EF}" name="11-Jun" dataDxfId="438"/>
    <tableColumn id="14" xr3:uid="{5C6DF4C8-EDC0-4827-AA8B-9C2B7202A4DA}" name="12-Jun" dataDxfId="437"/>
    <tableColumn id="15" xr3:uid="{764D7AA1-F3E2-4E06-A4A9-952B47F95E76}" name="13-Jun" dataDxfId="436"/>
    <tableColumn id="16" xr3:uid="{6D896E44-118D-4124-BF4A-2E06B8568517}" name="16-Jun" dataDxfId="435"/>
    <tableColumn id="17" xr3:uid="{BE609D90-F294-44A1-B944-804292CC8FAC}" name="17-Jun" dataDxfId="434"/>
    <tableColumn id="18" xr3:uid="{E97C32F3-7B30-46E7-B4CD-72B412E48E28}" name="18-Jun" dataDxfId="433"/>
    <tableColumn id="19" xr3:uid="{FD784BF8-211E-4275-A9B4-168979C2AFD1}" name="19-Jun" dataDxfId="432"/>
    <tableColumn id="20" xr3:uid="{766DA9FA-C407-4AC5-BFFB-BF6A1B6D5B26}" name="20-Jun" dataDxfId="431"/>
    <tableColumn id="21" xr3:uid="{CD1B765C-53CF-4C5C-A708-487BC53AF68A}" name="23-Jun" dataDxfId="430"/>
    <tableColumn id="22" xr3:uid="{2800A805-A560-4CF0-B47E-4486A92755E4}" name="24-Jun" dataDxfId="429"/>
    <tableColumn id="23" xr3:uid="{7067EFFA-F2EA-4FFF-A281-8E3E0E718C87}" name="25-Jun" dataDxfId="428"/>
    <tableColumn id="24" xr3:uid="{BB01C4B5-FEB4-44E1-BF58-4C9BF81261B1}" name="26-Jun" dataDxfId="427"/>
    <tableColumn id="25" xr3:uid="{2116D7DE-6632-4314-9539-6B4BA9407512}" name="27-Jun" dataDxfId="426"/>
    <tableColumn id="26" xr3:uid="{B0D188FD-F41F-4C43-A42F-87048D9F3347}" name="30-Jun" dataDxfId="425"/>
    <tableColumn id="3" xr3:uid="{153A774F-FA3D-4DE9-A743-A193E9EC2BE7}" name="CARTERA" dataDxfId="424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23" headerRowBorderDxfId="422" tableBorderDxfId="421">
  <autoFilter ref="J8:O91" xr:uid="{13D0755C-A8D1-41FD-8722-0AA4CD765999}"/>
  <tableColumns count="6">
    <tableColumn id="2" xr3:uid="{72C3FA18-E65D-4943-AF0A-CD7AC5502A56}" name="AL_AC" dataDxfId="420"/>
    <tableColumn id="3" xr3:uid="{1754C817-3C23-490F-BEA3-3ACD2AC34A65}" name="CLASIFICACIÓN" dataDxfId="419"/>
    <tableColumn id="5" xr3:uid="{635B51D1-72B4-46A4-B795-4985950C2B5D}" name="SUPERVISOR" dataDxfId="418"/>
    <tableColumn id="6" xr3:uid="{BCDF5A35-E274-481A-8FAA-7585E0413D78}" name="RECUPERO" dataDxfId="417"/>
    <tableColumn id="7" xr3:uid="{8DE1FEE0-51D3-4EA8-A46E-89BEBA12056E}" name="META" dataDxfId="416"/>
    <tableColumn id="1" xr3:uid="{3C41F150-757E-4673-8594-D891B2820E33}" name="ASER_" dataDxfId="415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G85" totalsRowShown="0" dataDxfId="413" headerRowBorderDxfId="414" tableBorderDxfId="412">
  <autoFilter ref="A2:G85" xr:uid="{F460AB3C-55A7-4610-B74D-44400B82E396}"/>
  <tableColumns count="7">
    <tableColumn id="1" xr3:uid="{174E92CC-5FBB-42E6-ABBA-A2148115201A}" name="SUPER" dataDxfId="411"/>
    <tableColumn id="6" xr3:uid="{D87E1435-21B2-485D-8BCD-1C27FC523EEA}" name="ASESOR_CRR" dataDxfId="410"/>
    <tableColumn id="2" xr3:uid="{FC570054-965C-4F29-B04A-C58608AEAECA}" name="RECUP" dataDxfId="409"/>
    <tableColumn id="3" xr3:uid="{CF023A93-4AFB-4349-9235-179A60BC2249}" name="ALCANCE" dataDxfId="408"/>
    <tableColumn id="7" xr3:uid="{59576C9E-00A8-419A-8EFC-86D74D6B4B3F}" name="SUPER2" dataDxfId="407"/>
    <tableColumn id="4" xr3:uid="{6F567985-92B6-498E-BDE9-81AA438ECD22}" name="ASESOR" dataDxfId="406"/>
    <tableColumn id="5" xr3:uid="{2DFC340F-6B74-4E64-B475-782D4A5F8B3E}" name="RECUPERO" dataDxfId="40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04" dataDxfId="402" headerRowBorderDxfId="403" tableBorderDxfId="401" totalsRowBorderDxfId="400">
  <autoFilter ref="Q8:AO16" xr:uid="{1FBB17F4-7F2F-4438-9C76-1C20A2CD5EED}"/>
  <tableColumns count="25">
    <tableColumn id="5" xr3:uid="{054DF3D6-44FE-4EF9-8B28-32077473621F}" name="META SUPER" dataDxfId="399"/>
    <tableColumn id="1" xr3:uid="{4CE2BFB4-C324-4ECE-B3B7-77A433373BEC}" name="RECUPERO SUPERVISOR" dataDxfId="398"/>
    <tableColumn id="2" xr3:uid="{76C6BCA1-6820-46A6-B790-01B3E88F6266}" name="ALCANCE SUPERVISOR" dataDxfId="397"/>
    <tableColumn id="4" xr3:uid="{FE9C5289-6F21-4D71-92B6-F36B6C9748E7}" name="SUPER" dataDxfId="396"/>
    <tableColumn id="6" xr3:uid="{A5188244-D142-4196-92CC-15B237C3E734}" name="1-Jul" dataDxfId="395"/>
    <tableColumn id="7" xr3:uid="{9754BD88-AFD1-4BCB-AF69-DA7B55E3A053}" name="2-Jul" dataDxfId="394"/>
    <tableColumn id="8" xr3:uid="{851C8CA8-D257-4BFB-B6BE-D82354200CA7}" name="3-Jul" dataDxfId="393"/>
    <tableColumn id="9" xr3:uid="{AE769B63-903F-46E5-A3F0-8DA27C689974}" name="4-Jul" dataDxfId="392"/>
    <tableColumn id="10" xr3:uid="{D09A5961-EE10-491A-BFFE-C5ABD80598A8}" name="7-Jul" dataDxfId="391"/>
    <tableColumn id="11" xr3:uid="{EC4AF483-303E-4488-AFA2-DD9A058F071A}" name="8-Jul" dataDxfId="390"/>
    <tableColumn id="12" xr3:uid="{E0699685-C582-4C4A-A838-E66961F44487}" name="9-Jul" dataDxfId="389"/>
    <tableColumn id="13" xr3:uid="{377D024A-00DD-4A77-A549-5C6BEBE894D0}" name="10-Jul" dataDxfId="388"/>
    <tableColumn id="14" xr3:uid="{8FABF999-C8BA-4B7D-980A-2659F766178B}" name="11-Jul" dataDxfId="387"/>
    <tableColumn id="15" xr3:uid="{06AC6AD7-A191-47DD-AE3F-9A0525AF8DD6}" name="14-Jul" dataDxfId="386"/>
    <tableColumn id="16" xr3:uid="{BB465107-63D7-443B-8989-EF197F62D322}" name="15-Jul" dataDxfId="385"/>
    <tableColumn id="17" xr3:uid="{3DFE5CBD-1315-4CBA-A14E-1763583D7BEC}" name="16-Jul" dataDxfId="384"/>
    <tableColumn id="18" xr3:uid="{5DB3135E-36A1-4F0D-890E-50AC461B96C4}" name="17-Jul" dataDxfId="383"/>
    <tableColumn id="19" xr3:uid="{57CA79FE-F6A3-4697-8926-36322AD1BC6C}" name="18-Jul" dataDxfId="382"/>
    <tableColumn id="20" xr3:uid="{A99C4302-A806-4344-ABAF-AF753E7EF30D}" name="21-Jul" dataDxfId="381"/>
    <tableColumn id="21" xr3:uid="{D1C3F20A-0988-4CC4-8D06-ED3EE15A7AB1}" name="22-Jul" dataDxfId="380"/>
    <tableColumn id="22" xr3:uid="{ECEC5739-F3E4-44C4-9408-4DAA6DE5069C}" name="24-Jul" dataDxfId="379"/>
    <tableColumn id="23" xr3:uid="{CD77FB96-6C17-47A0-82BA-2ABEA1725A41}" name="25-Jul" dataDxfId="378"/>
    <tableColumn id="24" xr3:uid="{87D0EFA1-B9FB-444F-B737-EE4C1B838FBC}" name="30-Jul" dataDxfId="377"/>
    <tableColumn id="25" xr3:uid="{BF0F5A29-80D1-482F-9C53-48E4478A5F1D}" name="31-Jul" dataDxfId="376"/>
    <tableColumn id="3" xr3:uid="{51B2E01F-098B-4EAB-AB37-99A7A456DDF6}" name="CARTERA" dataDxfId="37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G82" totalsRowShown="0" dataDxfId="373" headerRowBorderDxfId="374" tableBorderDxfId="372">
  <autoFilter ref="A2:G82" xr:uid="{816CEBCE-101B-42C2-A45C-8113A647428A}"/>
  <tableColumns count="7">
    <tableColumn id="1" xr3:uid="{596664E6-24CF-4AF3-A84D-121AC4745B4C}" name="SUPER" dataDxfId="371"/>
    <tableColumn id="6" xr3:uid="{CA4B13E9-2CAB-42E2-A028-4DFB844CF726}" name="ASESOR_CRR" dataDxfId="370"/>
    <tableColumn id="2" xr3:uid="{B3C2F90C-6F59-4998-9F82-960596BF09D8}" name="RECUP" dataDxfId="369"/>
    <tableColumn id="3" xr3:uid="{6CE379C4-19C8-4C90-81DB-EA83E873B03A}" name="ALCANCE" dataDxfId="368"/>
    <tableColumn id="7" xr3:uid="{28AC502F-3113-4B59-AA88-4F9E0E7D938B}" name="SUPER2" dataDxfId="367"/>
    <tableColumn id="4" xr3:uid="{9AE19661-0B03-4D03-9661-4B81FCE456D3}" name="ASESOR" dataDxfId="366"/>
    <tableColumn id="5" xr3:uid="{9CCAC285-FD2E-415B-BE6E-AD7E20CECF29}" name="RECUPERO" dataDxfId="36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64" headerRowBorderDxfId="363" tableBorderDxfId="362">
  <autoFilter ref="J8:O88" xr:uid="{DB356FA9-1639-4BCD-8041-CDF840B60928}"/>
  <tableColumns count="6">
    <tableColumn id="2" xr3:uid="{1BEFB030-F8FC-467E-8D03-CF9E8433E11F}" name="AL_AC" dataDxfId="361"/>
    <tableColumn id="3" xr3:uid="{88C3CECE-F881-4C05-BA2B-95B253894A39}" name="CLASIFICACIÓN" dataDxfId="360"/>
    <tableColumn id="1" xr3:uid="{F581F4DA-B6F3-4641-93F9-FB4CABD3B045}" name="SUPERVISOR" dataDxfId="359"/>
    <tableColumn id="6" xr3:uid="{40820BC6-7E2D-416A-AC23-B4520FC0957D}" name="RECUPERO" dataDxfId="358"/>
    <tableColumn id="7" xr3:uid="{F7BC8835-EC2E-4047-8AE9-C742ABE03445}" name="META" dataDxfId="357"/>
    <tableColumn id="5" xr3:uid="{22298E20-98EB-421A-8978-F019348D2A10}" name="ASER_" dataDxfId="35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55" dataDxfId="353" headerRowBorderDxfId="354" tableBorderDxfId="352" totalsRowBorderDxfId="351">
  <autoFilter ref="Q8:AO16" xr:uid="{90430F39-92FE-4ECF-9803-071C2A54AA46}"/>
  <tableColumns count="25">
    <tableColumn id="5" xr3:uid="{0F1D2B08-548B-4035-A7F1-689294B1B15E}" name="META SUPER" dataDxfId="350"/>
    <tableColumn id="1" xr3:uid="{D853C78B-294B-4C5B-87F9-8B837DBCA858}" name="RECUPERO SUPERVISOR" dataDxfId="349"/>
    <tableColumn id="2" xr3:uid="{A6B49739-8C7F-42B7-AB2B-2D9B8785D8A7}" name="ALCANCE SUPERVISOR" dataDxfId="348"/>
    <tableColumn id="4" xr3:uid="{96D2A1C2-9EA3-4132-B41A-8B57BBB00DD3}" name="SUPER" dataDxfId="347"/>
    <tableColumn id="6" xr3:uid="{49EEE6CA-AF7B-4615-AE46-CA713F4E9209}" name="1-Ago" dataDxfId="346"/>
    <tableColumn id="7" xr3:uid="{61649C96-BFE5-4D18-BCE1-727E2E74D883}" name="4-Ago" dataDxfId="345"/>
    <tableColumn id="8" xr3:uid="{3D095B63-6086-4E9E-85B2-511507890CD8}" name="5-Ago" dataDxfId="344"/>
    <tableColumn id="9" xr3:uid="{36CD21E6-51F3-49C9-8448-36B269029EF6}" name="7-Ago" dataDxfId="343"/>
    <tableColumn id="10" xr3:uid="{D4DBAD01-5AE1-474A-AF64-A98DFD56153A}" name="8-Ago" dataDxfId="342"/>
    <tableColumn id="11" xr3:uid="{FDF3CA30-E7DF-4684-9747-03744CC16AAE}" name="11-Ago" dataDxfId="341"/>
    <tableColumn id="12" xr3:uid="{0D320307-8BC6-475A-9E12-91C32320EC74}" name="12-Ago" dataDxfId="340"/>
    <tableColumn id="13" xr3:uid="{55EA3D15-E74B-4AB3-B0D5-B387C3EAAB83}" name="13-Ago" dataDxfId="339"/>
    <tableColumn id="14" xr3:uid="{507E3CA9-692F-4A2D-BA96-B401D04EEDD0}" name="14-Ago" dataDxfId="338"/>
    <tableColumn id="15" xr3:uid="{E5F719C0-0646-408A-976E-C57966E876F4}" name="15-Ago" dataDxfId="337"/>
    <tableColumn id="16" xr3:uid="{8AC2AE0D-50EC-4387-A0A4-A1F2DF092A3C}" name="18-Ago" dataDxfId="336"/>
    <tableColumn id="17" xr3:uid="{7B1EE470-E258-4B37-BEC3-E798950632D8}" name="19-Ago" dataDxfId="335"/>
    <tableColumn id="18" xr3:uid="{F77C3800-E94B-4C32-A796-122D364094EA}" name="20-Ago" dataDxfId="334"/>
    <tableColumn id="19" xr3:uid="{0DA4161D-30F3-4E97-BCBB-4C1E891B36FB}" name="21-Ago" dataDxfId="333"/>
    <tableColumn id="20" xr3:uid="{94B916D9-415F-4F66-A6C0-0EE398A152E9}" name="22-Ago" dataDxfId="332"/>
    <tableColumn id="21" xr3:uid="{D814BC25-89A4-4A6B-B889-6BF06DD3D2EC}" name="25-Ago" dataDxfId="331"/>
    <tableColumn id="22" xr3:uid="{7DEFEDE7-498F-4CCF-A7C2-F63ACE1BA092}" name="26-Ago" dataDxfId="330"/>
    <tableColumn id="23" xr3:uid="{CA36A7C5-BBBD-47FB-AAB4-1F5CBDA1EE93}" name="27-Ago" dataDxfId="329"/>
    <tableColumn id="24" xr3:uid="{958DFD93-9566-47EC-807E-E21861CB1F39}" name="28-Ago" dataDxfId="328"/>
    <tableColumn id="25" xr3:uid="{C690FBB6-6A9F-4B4D-AEF8-49C27DFF4FCF}" name="29-Ago" dataDxfId="327"/>
    <tableColumn id="3" xr3:uid="{C5283215-E8BB-41D8-B093-AA31F8252394}" name="CARTERA" dataDxfId="32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G80" totalsRowShown="0" dataDxfId="324" headerRowBorderDxfId="325" tableBorderDxfId="323">
  <autoFilter ref="A2:G80" xr:uid="{111BC5E6-A71D-437E-ABD5-0E09FCDEF3FD}"/>
  <tableColumns count="7">
    <tableColumn id="1" xr3:uid="{EABDBA5F-3C1B-4AC8-8F40-8C9EED5560F3}" name="SUPER" dataDxfId="322"/>
    <tableColumn id="6" xr3:uid="{C37701A2-99CA-45B9-AA89-63D54C88C5B9}" name="ASESOR_CRR" dataDxfId="321"/>
    <tableColumn id="2" xr3:uid="{8360BA59-782B-4699-ABEA-458A3C9299AD}" name="RECUP" dataDxfId="320"/>
    <tableColumn id="3" xr3:uid="{BD5C8833-8CBB-40D9-BC66-F164208CFEC0}" name="ALCANCE" dataDxfId="319"/>
    <tableColumn id="7" xr3:uid="{07FA8551-F17A-4D20-BAC6-4B128B0ECF57}" name="SUPER2" dataDxfId="318"/>
    <tableColumn id="4" xr3:uid="{91470BB1-1A8E-4802-9D93-28E5A1DF6790}" name="ASESOR" dataDxfId="317"/>
    <tableColumn id="5" xr3:uid="{2B49EE5D-87EB-458C-99B1-7F94B8EDDE4B}" name="RECUPERO" dataDxfId="316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15" headerRowBorderDxfId="314" tableBorderDxfId="313">
  <autoFilter ref="J8:O86" xr:uid="{91775BD2-E36D-479B-95DE-48127C3410BC}"/>
  <tableColumns count="6">
    <tableColumn id="2" xr3:uid="{033A6CF7-EC22-4EEE-8FF0-8C343161421D}" name="AL_AC" dataDxfId="312"/>
    <tableColumn id="3" xr3:uid="{2234E43A-FB04-4BD5-A5FB-BE681630D39D}" name="CLASIFICACIÓN" dataDxfId="311"/>
    <tableColumn id="1" xr3:uid="{E68E03C4-584B-48EC-AA41-D10E171DF6E2}" name="SUPERVISOR" dataDxfId="310"/>
    <tableColumn id="6" xr3:uid="{8FEE60A3-7153-47ED-82A3-25E3E95BD5B9}" name="RECUPERO" dataDxfId="309"/>
    <tableColumn id="5" xr3:uid="{96DEFE26-B796-4F9F-BB26-62A9B1295009}" name="META" dataDxfId="308"/>
    <tableColumn id="4" xr3:uid="{98491906-C3E6-4CCF-96D0-36184A648156}" name="ASER_" dataDxfId="307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06" dataDxfId="304" headerRowBorderDxfId="305" tableBorderDxfId="303" totalsRowBorderDxfId="302">
  <autoFilter ref="Q8:AQ16" xr:uid="{B03330B9-97D2-48C8-8B43-740321917DA5}"/>
  <tableColumns count="27">
    <tableColumn id="5" xr3:uid="{4E3B6BB8-3B21-487C-8667-D21D7F0B0DDF}" name="META SUPER" dataDxfId="301"/>
    <tableColumn id="1" xr3:uid="{C390EAAF-612A-443A-A32B-07A66CB5EF93}" name="RECUPERO SUPERVISOR" dataDxfId="300"/>
    <tableColumn id="2" xr3:uid="{BF66D468-0BA9-433F-A558-DB3EB49638C0}" name="ALCANCE SUPERVISOR" dataDxfId="299"/>
    <tableColumn id="4" xr3:uid="{833C2FF4-09CC-46A1-B127-078899129ED2}" name="SUPER" dataDxfId="298"/>
    <tableColumn id="6" xr3:uid="{7268ABE3-61CC-4084-9F8D-F9F866838337}" name="1-Set" dataDxfId="297"/>
    <tableColumn id="7" xr3:uid="{934984E8-2516-4844-B21B-29330A07EEE9}" name="2-Set" dataDxfId="296"/>
    <tableColumn id="8" xr3:uid="{5F8B97B9-8D43-4455-9D8F-E58FD0EDAC17}" name="3-Set" dataDxfId="295"/>
    <tableColumn id="9" xr3:uid="{85D24C9E-9252-4D30-9E54-18DBF77A6C70}" name="4-Set" dataDxfId="294"/>
    <tableColumn id="10" xr3:uid="{5A78F08C-1794-450A-88A4-F02CE65D2409}" name="5-Set" dataDxfId="293"/>
    <tableColumn id="11" xr3:uid="{C9868C58-D704-4A31-95DB-6D8FBCC63D90}" name="8-Set" dataDxfId="292"/>
    <tableColumn id="12" xr3:uid="{5A69AB6F-1CBE-456F-9AB1-9CFA02551564}" name="9-Set" dataDxfId="291"/>
    <tableColumn id="13" xr3:uid="{2FB09AC7-C3A6-45CD-8892-0B683DF946C3}" name="10-Set" dataDxfId="290"/>
    <tableColumn id="14" xr3:uid="{B8720ED9-AC2B-41EC-BFA3-A12BF9C966CC}" name="11-Set" dataDxfId="289"/>
    <tableColumn id="15" xr3:uid="{31CBBA73-A7BD-468C-BD0B-435687D2ACAD}" name="12-Set" dataDxfId="288"/>
    <tableColumn id="16" xr3:uid="{02C13EA1-381F-4C2D-B917-AF0FF1A9F773}" name="15-Set" dataDxfId="287"/>
    <tableColumn id="17" xr3:uid="{E6B04D90-5126-40CD-BDA1-E2B120BAD73C}" name="16-Set" dataDxfId="286"/>
    <tableColumn id="18" xr3:uid="{7CB5014E-CB0D-4F8A-A9D7-BD9A166A1B37}" name="17-Set" dataDxfId="285"/>
    <tableColumn id="19" xr3:uid="{040ABF10-1BFC-447A-AE21-D052CBC2ED82}" name="18-Set" dataDxfId="284"/>
    <tableColumn id="20" xr3:uid="{44DFBCB9-0C1E-48F5-ACC2-AC0990D1520D}" name="19-Set" dataDxfId="283"/>
    <tableColumn id="21" xr3:uid="{AFFC2ABC-F24F-4F16-B5DD-03747097DBCC}" name="22-Set" dataDxfId="282"/>
    <tableColumn id="22" xr3:uid="{E8A652BF-A601-498B-965E-DF95F032A19E}" name="23-Set" dataDxfId="281"/>
    <tableColumn id="23" xr3:uid="{E1A1F3EC-A932-4B54-BD80-6B3004BAC18C}" name="24-Set" dataDxfId="280"/>
    <tableColumn id="24" xr3:uid="{7F5C1B88-4DF8-4775-AEFB-F5F5D12AD778}" name="25-Set" dataDxfId="279"/>
    <tableColumn id="25" xr3:uid="{B40C371A-A255-4AD7-B43D-47350B1FF421}" name="26-Set" dataDxfId="278"/>
    <tableColumn id="26" xr3:uid="{AFFE8D31-2DD6-4039-8ED5-AD63D5758F88}" name="29-Set" dataDxfId="277"/>
    <tableColumn id="27" xr3:uid="{041693B7-E11C-4B55-8C93-8CFB39922E84}" name="30-Set" dataDxfId="276"/>
    <tableColumn id="3" xr3:uid="{1DAB60E5-FA3D-4422-89D0-AD46643BF45E}" name="CARTERA" dataDxfId="275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G72" totalsRowShown="0">
  <autoFilter ref="A2:G72" xr:uid="{4538E234-E304-4CD8-A847-B72CD7C8B45D}"/>
  <tableColumns count="7">
    <tableColumn id="1" xr3:uid="{50470B3C-4850-458E-BED8-112F63BB3ACF}" name="SUPER"/>
    <tableColumn id="2" xr3:uid="{F731A8EB-194B-44CE-89D7-4F18061B7145}" name="ASESOR_CRR"/>
    <tableColumn id="3" xr3:uid="{6FF7DD0E-9E2A-41C7-B49D-2C313D6FADFD}" name="RECUP"/>
    <tableColumn id="4" xr3:uid="{E417C796-F642-4AC0-8458-3581DED35D66}" name="ALCANCE"/>
    <tableColumn id="7" xr3:uid="{F46948D5-7B54-49FD-BACD-B4A450201DC0}" name="SUPER2" dataDxfId="274"/>
    <tableColumn id="5" xr3:uid="{2D06A3B4-3271-49A3-9C7C-FFC311CAB0D8}" name="ASESOR"/>
    <tableColumn id="6" xr3:uid="{7C83291E-5126-4377-B991-EBB23328360F}" name="RECUPER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73" tableBorderDxfId="272">
  <autoFilter ref="J8:AK78" xr:uid="{9F0A99F2-3C50-482B-B8B8-6D475831019E}"/>
  <tableColumns count="28">
    <tableColumn id="2" xr3:uid="{FD017399-1781-4BF7-BF22-C61DBDB7CC6F}" name="AL_AC" dataDxfId="271"/>
    <tableColumn id="3" xr3:uid="{EE681579-D463-48E9-A57F-B73D04925E37}" name="CLASIFICACIÓN" dataDxfId="270"/>
    <tableColumn id="1" xr3:uid="{DDD85E5B-35ED-4EC0-8A85-7316C4176729}" name="SUPERVISOR" dataDxfId="269"/>
    <tableColumn id="6" xr3:uid="{3B45E8CF-4BCD-492C-B1A3-3E157855AA4E}" name="RECUPERO" dataDxfId="268"/>
    <tableColumn id="7" xr3:uid="{2D762908-0860-493B-A482-9514EAD41E9B}" name="META" dataDxfId="267"/>
    <tableColumn id="4" xr3:uid="{B03F71B4-D73E-47CB-8F19-B1EBCB980D51}" name="ASER_" dataDxfId="266"/>
    <tableColumn id="8" xr3:uid="{DADEF8E1-B4EF-4A54-BDEA-772F65B2659B}" name="1-Oct" dataDxfId="265"/>
    <tableColumn id="9" xr3:uid="{09759773-B387-4885-980B-3377FCF2784C}" name="2-Oct" dataDxfId="264"/>
    <tableColumn id="10" xr3:uid="{0BEF3C74-7822-4935-9DEF-DBB8EF94B2E8}" name="3-Oct" dataDxfId="263"/>
    <tableColumn id="11" xr3:uid="{AB623BA8-8BC3-4899-82B4-0D2F75C64AC1}" name="6-Oct" dataDxfId="262"/>
    <tableColumn id="12" xr3:uid="{F3FF380C-FA1C-400D-953D-2426EC1D78FF}" name="7-Oct" dataDxfId="261"/>
    <tableColumn id="13" xr3:uid="{513A526B-B8DC-4F0A-BB71-A3C5DCBEE598}" name="9-Oct" dataDxfId="260"/>
    <tableColumn id="14" xr3:uid="{FE79AC7F-62E7-4115-BE1B-AAF936521653}" name="10-Oct" dataDxfId="259"/>
    <tableColumn id="15" xr3:uid="{68C170E4-F271-468B-91F8-3408D287CC52}" name="13-Oct" dataDxfId="258"/>
    <tableColumn id="16" xr3:uid="{AD7DCB27-1227-49CE-B962-67316F312A49}" name="14-Oct" dataDxfId="257"/>
    <tableColumn id="17" xr3:uid="{A28A426F-20DF-4E28-817D-D45F6DE67B10}" name="15-Oct" dataDxfId="256"/>
    <tableColumn id="18" xr3:uid="{E8A185AF-1E28-4F0F-9855-74F54DBD006B}" name="16-Oct" dataDxfId="255"/>
    <tableColumn id="19" xr3:uid="{63732328-29EA-40C6-ACD8-4B4DD4B4CF86}" name="17-Oct" dataDxfId="254"/>
    <tableColumn id="20" xr3:uid="{310FCF67-D23C-4020-A281-2A5E20DFB23F}" name="20-Oct" dataDxfId="253"/>
    <tableColumn id="21" xr3:uid="{C17C4587-18F5-4FBD-868F-EBEC86A07A20}" name="21-Oct" dataDxfId="252"/>
    <tableColumn id="22" xr3:uid="{A943FEC5-F867-455B-820F-28C4395DB276}" name="22-Oct" dataDxfId="251"/>
    <tableColumn id="23" xr3:uid="{A8FFD2FC-7F1E-4386-AF41-D5EEEF19CDD0}" name="23-Oct" dataDxfId="250"/>
    <tableColumn id="24" xr3:uid="{ADF6FE87-D285-4286-AA45-3909EFB078E5}" name="24-Oct" dataDxfId="249"/>
    <tableColumn id="25" xr3:uid="{2F0BE83F-F151-4F99-839F-143CA77B5B85}" name="27-Oct" dataDxfId="248"/>
    <tableColumn id="26" xr3:uid="{380107E6-E719-4EEB-80BE-3FC920AAB0D8}" name="28-Oct" dataDxfId="247"/>
    <tableColumn id="27" xr3:uid="{E4578405-DBB6-4571-976F-D9686E90472D}" name="29-Oct" dataDxfId="246"/>
    <tableColumn id="28" xr3:uid="{C03A0B6A-D740-474A-B5C0-16AD1C50D0EF}" name="30-Oct" dataDxfId="245"/>
    <tableColumn id="29" xr3:uid="{ABC45238-95B8-44E1-B32D-323E0E09BD1E}" name="31-Oct" dataDxfId="244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43" dataDxfId="241" headerRowBorderDxfId="242" tableBorderDxfId="240" totalsRowBorderDxfId="239">
  <autoFilter ref="AM8:BM16" xr:uid="{5954078F-00B5-453B-BA4F-96D1B0651C11}"/>
  <tableColumns count="27">
    <tableColumn id="5" xr3:uid="{FF5E1E87-686F-47B4-BFF5-1EFD8B824238}" name="META SUPER" dataDxfId="238">
      <calculatedColumnFormula>VLOOKUP($J$3&amp;$K$3&amp;DITE_OCTUBRE_2025[[#This Row],[SUPER]],TablaMeta[],5,0)</calculatedColumnFormula>
    </tableColumn>
    <tableColumn id="1" xr3:uid="{2B34CFC4-0C9F-41CE-999A-2588C7446A9F}" name="RECUPERO SUPERVISOR" dataDxfId="237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36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35"/>
    <tableColumn id="6" xr3:uid="{949DC2F4-4585-4646-A396-157D2DF8052D}" name="1-Oct" dataDxfId="234"/>
    <tableColumn id="7" xr3:uid="{97391D14-7779-42A7-9DB8-C0989C430B43}" name="2-Oct" dataDxfId="233"/>
    <tableColumn id="8" xr3:uid="{6354D769-4310-45AC-8145-E44CED72B4A9}" name="3-Oct" dataDxfId="232"/>
    <tableColumn id="9" xr3:uid="{4656D04C-0F05-4626-AF66-C82B40AEFAD8}" name="6-Oct" dataDxfId="231"/>
    <tableColumn id="10" xr3:uid="{7D1ED70B-0155-4C0E-8A2F-37B332A6F313}" name="7-Oct" dataDxfId="230"/>
    <tableColumn id="11" xr3:uid="{0111FAC8-499F-4CC3-8375-0BF99A4C35FA}" name="9-Oct" dataDxfId="229"/>
    <tableColumn id="12" xr3:uid="{C0C00B80-78A4-43E2-93D4-3EE00B3626FF}" name="10-Oct" dataDxfId="228"/>
    <tableColumn id="13" xr3:uid="{83880E56-1497-4302-8CA7-1D39E0DC1A97}" name="13-Oct" dataDxfId="227"/>
    <tableColumn id="14" xr3:uid="{BE01EA14-2F15-437D-A238-21FF4B75A0DE}" name="14-Oct" dataDxfId="226"/>
    <tableColumn id="15" xr3:uid="{EB92F6CE-8ACE-4537-AECA-46B61474948E}" name="15-Oct" dataDxfId="225"/>
    <tableColumn id="16" xr3:uid="{6D6490DB-3DEB-438C-AB40-C97EC626F0BE}" name="16-Oct" dataDxfId="224"/>
    <tableColumn id="17" xr3:uid="{0392FF10-F85D-41D2-8460-C3A186218696}" name="17-Oct" dataDxfId="223"/>
    <tableColumn id="18" xr3:uid="{A5448450-2F70-4B3F-AA25-3C4713BF2DE8}" name="20-Oct" dataDxfId="222"/>
    <tableColumn id="19" xr3:uid="{3D252296-5BDD-4576-BACF-EBAA4EDD5204}" name="21-Oct" dataDxfId="221"/>
    <tableColumn id="20" xr3:uid="{23EB3C4F-7D5A-4D3B-8B24-D8DE6128BA5F}" name="22-Oct" dataDxfId="220"/>
    <tableColumn id="21" xr3:uid="{129CAF30-1851-4238-9880-454B24575BB9}" name="23-Oct" dataDxfId="219"/>
    <tableColumn id="22" xr3:uid="{72C02609-42DC-4EDE-B4E1-44D533A24355}" name="24-Oct" dataDxfId="218"/>
    <tableColumn id="23" xr3:uid="{9123D15C-9492-4356-8328-1BE17F140523}" name="27-Oct" dataDxfId="217"/>
    <tableColumn id="24" xr3:uid="{9D5D7ED1-F248-4C81-8326-BBA9C067C915}" name="28-Oct" dataDxfId="216"/>
    <tableColumn id="25" xr3:uid="{AF14494A-3DA5-4A85-BD20-353698E70147}" name="29-Oct" dataDxfId="215"/>
    <tableColumn id="26" xr3:uid="{B48EAE26-54B8-4E0C-A4A1-6956DA0D148E}" name="30-Oct" dataDxfId="214"/>
    <tableColumn id="27" xr3:uid="{85AC05C5-FE82-41A6-837C-F1F547FD8C2F}" name="31-Oct" dataDxfId="213"/>
    <tableColumn id="3" xr3:uid="{1CA2638D-96F9-4A0C-980A-6DAE6545AFFA}" name="CARTERA" dataDxfId="212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6" displayName="DATA_NOVIEMBRE_20256" ref="J8:AJ68" totalsRowShown="0" headerRowBorderDxfId="211" tableBorderDxfId="210">
  <autoFilter ref="J8:AJ68" xr:uid="{DAB8FAFE-224D-43C2-8CC5-F1C1350990D2}"/>
  <tableColumns count="27">
    <tableColumn id="2" xr3:uid="{47BD346F-18D2-49E6-8AEE-939CBC049365}" name="AL_AC" dataDxfId="209"/>
    <tableColumn id="3" xr3:uid="{855F5F44-294A-4871-9840-A24614956994}" name="CLASIFICACIÓN" dataDxfId="208"/>
    <tableColumn id="5" xr3:uid="{9D944B93-5BF5-4B70-A89F-707C3D5946DA}" name="SUPERVISOR" dataDxfId="207"/>
    <tableColumn id="6" xr3:uid="{C0A22187-40B7-435A-ABDA-27944F0D7030}" name="RECUPERO" dataDxfId="206"/>
    <tableColumn id="7" xr3:uid="{72E7F13E-9273-4AED-98D2-5508FB4A326C}" name="META" dataDxfId="205"/>
    <tableColumn id="30" xr3:uid="{CFEB99FE-9EED-4763-A696-5BC3DA916AC5}" name="ASER_"/>
    <tableColumn id="8" xr3:uid="{00AE5065-FE4D-45E6-A294-E826836A1E33}" name="3-Nov" dataDxfId="204"/>
    <tableColumn id="9" xr3:uid="{EF6C35AD-ACD8-4C7F-8937-91D53147656D}" name="4-Nov" dataDxfId="203"/>
    <tableColumn id="10" xr3:uid="{CF32F196-CA95-4750-A946-3E0AC1A85184}" name="5-Nov" dataDxfId="202"/>
    <tableColumn id="11" xr3:uid="{9F563EAD-A249-4851-B979-F5575DE957AB}" name="6-Nov" dataDxfId="201"/>
    <tableColumn id="12" xr3:uid="{D6A6323F-D160-499D-BD7C-7C323AE07CB0}" name="7-Nov" dataDxfId="200"/>
    <tableColumn id="13" xr3:uid="{D8839D7F-77FA-4448-ADBC-6D52D4F61BF2}" name="10-Nov" dataDxfId="199"/>
    <tableColumn id="14" xr3:uid="{46BCBBD6-EB67-46A1-A356-989FA4845EF7}" name="11-Nov" dataDxfId="198"/>
    <tableColumn id="15" xr3:uid="{B50A5F7B-5C7E-48C1-80DA-278B6510B811}" name="12-Nov" dataDxfId="197"/>
    <tableColumn id="16" xr3:uid="{05796B28-1DD1-422E-9658-78C2FB73FD83}" name="13-Nov" dataDxfId="196"/>
    <tableColumn id="17" xr3:uid="{DB0D6520-FFC2-440C-B97F-9604384ED84D}" name="14-Nov" dataDxfId="195"/>
    <tableColumn id="18" xr3:uid="{50423629-1D31-4CC8-B9D0-046394DFED68}" name="17-Nov" dataDxfId="194"/>
    <tableColumn id="19" xr3:uid="{80B70DB0-A059-4A28-A799-0529D6BF1263}" name="18-Nov" dataDxfId="193"/>
    <tableColumn id="20" xr3:uid="{CE0AE96C-2D78-4B18-ADD7-C86E26CE69AB}" name="19-Nov" dataDxfId="192"/>
    <tableColumn id="21" xr3:uid="{D6CA8ADF-F50B-4822-B7AD-A49AC8CD28E8}" name="20-Nov" dataDxfId="191"/>
    <tableColumn id="22" xr3:uid="{8D2522DF-F1BC-4031-89AD-8B4B3515396A}" name="21-Nov" dataDxfId="190"/>
    <tableColumn id="23" xr3:uid="{293ABA54-17AB-40AD-A5F9-E0308A358390}" name="24-Nov" dataDxfId="189"/>
    <tableColumn id="24" xr3:uid="{099B62F0-F67D-4CF2-8C6A-AD383B297F15}" name="25-Nov" dataDxfId="188"/>
    <tableColumn id="25" xr3:uid="{104E6C24-1381-41DA-BF76-0DD6D49DF0C1}" name="26-Nov" dataDxfId="187"/>
    <tableColumn id="26" xr3:uid="{095F601D-F187-4396-A356-C09936718FF5}" name="27-Nov" dataDxfId="186"/>
    <tableColumn id="27" xr3:uid="{4F9FCA77-406D-4319-913A-82D308726F04}" name="28-Nov" dataDxfId="185"/>
    <tableColumn id="28" xr3:uid="{5825F9EE-936A-4C38-B210-9DA3DA553F75}" name="29-Nov" dataDxfId="184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G62" totalsRowShown="0">
  <autoFilter ref="A2:G62" xr:uid="{F68E1096-B4B7-4B73-95AE-8CADE5149C33}"/>
  <tableColumns count="7">
    <tableColumn id="1" xr3:uid="{698D597F-BA64-49E6-ACCE-5D28E8ACC14A}" name="SUPER" dataDxfId="183"/>
    <tableColumn id="2" xr3:uid="{7E004A30-FB94-4ABB-88FD-3005F8FA00C6}" name="ASESOR_CRR" dataDxfId="182"/>
    <tableColumn id="3" xr3:uid="{679C21D4-8623-41D0-82CA-284D4E24A873}" name="RECUP"/>
    <tableColumn id="4" xr3:uid="{486641C9-82E5-4121-AF8C-05900E5003FF}" name="ALCANCE" dataDxfId="181"/>
    <tableColumn id="7" xr3:uid="{AA9D9715-8EBE-4ECB-8BB4-3F41AF689173}" name="SUPER2" dataDxfId="180"/>
    <tableColumn id="5" xr3:uid="{DDD5C800-04E2-4D8A-8C83-C410D5DF7F70}" name="ASESOR" dataDxfId="179"/>
    <tableColumn id="6" xr3:uid="{88DDFA81-E306-4531-9C28-1EEEFB91AC37}" name="RECUPERO" dataDxfId="178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77" dataDxfId="176">
  <autoFilter ref="AL8:BK14" xr:uid="{EBC613B8-DDA0-40C2-A4A1-8722CD61E9A4}"/>
  <tableColumns count="26">
    <tableColumn id="5" xr3:uid="{074B6FAA-838C-491D-A02E-1DD85446A037}" name="META SUPER" dataDxfId="175"/>
    <tableColumn id="2" xr3:uid="{39564DF7-490C-4B42-BA0D-A0C7965369AD}" name="RECUPERO SUPERVISOR" dataDxfId="174"/>
    <tableColumn id="3" xr3:uid="{714DADEA-706C-4919-B3C2-F0BF1111E161}" name="ALCANCE SUPERVISOR" dataDxfId="173"/>
    <tableColumn id="1" xr3:uid="{9452BB90-F5DE-4B57-AF8A-BBAB41BDA625}" name="SUPER" dataDxfId="172"/>
    <tableColumn id="6" xr3:uid="{87C598B5-62D4-4EE7-861E-EEAA52C00585}" name="3-Nov" dataDxfId="171"/>
    <tableColumn id="7" xr3:uid="{633891A0-1EBF-4F76-A7F4-F66318664C43}" name="4-Nov" dataDxfId="170"/>
    <tableColumn id="8" xr3:uid="{0592F328-9F13-4B6C-80C9-E9F1845891CB}" name="5-Nov" dataDxfId="169"/>
    <tableColumn id="9" xr3:uid="{AE7882D8-BBFD-45AE-B2CB-28F66322BAEE}" name="6-Nov" dataDxfId="168"/>
    <tableColumn id="10" xr3:uid="{05F48497-7C3E-4EF2-8908-E3DDE502B309}" name="7-Nov" dataDxfId="167"/>
    <tableColumn id="11" xr3:uid="{BD05847D-8156-476D-9D43-53BF9B333675}" name="10-Nov" dataDxfId="166"/>
    <tableColumn id="12" xr3:uid="{407098C8-B89E-46C0-9B9A-DA4AD2929032}" name="11-Nov" dataDxfId="165"/>
    <tableColumn id="13" xr3:uid="{91FC56B9-68A8-46E6-AF86-C055E5241ADE}" name="12-Nov" dataDxfId="164"/>
    <tableColumn id="14" xr3:uid="{E1FFC0DE-105F-4D85-B671-ACC24555978C}" name="13-Nov" dataDxfId="163"/>
    <tableColumn id="15" xr3:uid="{6D9CB553-B7A7-4211-8DDF-E67D0F75BD0A}" name="14-Nov" dataDxfId="162"/>
    <tableColumn id="16" xr3:uid="{C060B537-6CE4-430B-8A22-7A540BACE464}" name="17-Nov" dataDxfId="161"/>
    <tableColumn id="17" xr3:uid="{4C8D59DE-F0E8-4B3F-8552-A394ADA4C013}" name="18-Nov" dataDxfId="160"/>
    <tableColumn id="18" xr3:uid="{3AB7DFB9-4558-4621-AB3C-3891ECC67DB4}" name="19-Nov" dataDxfId="159"/>
    <tableColumn id="19" xr3:uid="{ECC2D027-50E3-4374-BA37-6384A463E763}" name="20-Nov" dataDxfId="158"/>
    <tableColumn id="20" xr3:uid="{03C4446D-2883-4E24-87C6-489668916C57}" name="21-Nov" dataDxfId="157"/>
    <tableColumn id="21" xr3:uid="{1D103BD3-6849-47BB-B1AD-9FF31C3432E4}" name="24-Nov" dataDxfId="156"/>
    <tableColumn id="22" xr3:uid="{E2A6B954-BE7E-4918-9A92-245143E3726C}" name="25-Nov" dataDxfId="155"/>
    <tableColumn id="23" xr3:uid="{3BE5D700-08A4-480A-8651-AFBBD596763A}" name="26-Nov" dataDxfId="154"/>
    <tableColumn id="24" xr3:uid="{16A1ECF5-0D22-4B11-B95E-D5BF2A42B1A3}" name="27-Nov" dataDxfId="153"/>
    <tableColumn id="25" xr3:uid="{AACA19B9-FD00-4B90-8B58-181F058F24E3}" name="28-Nov" dataDxfId="152"/>
    <tableColumn id="26" xr3:uid="{2DE2D547-EE6E-49C4-858B-C4D674245BFC}" name="29-Nov" dataDxfId="151"/>
    <tableColumn id="4" xr3:uid="{9AD4619F-F825-4B54-8AE2-92E8B9E9E57F}" name="CARTERA" dataDxfId="15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49" tableBorderDxfId="148">
  <autoFilter ref="J8:AI59" xr:uid="{90FB4C0E-F2DE-4EDC-B1EC-681DEA1C3B06}"/>
  <tableColumns count="26">
    <tableColumn id="5" xr3:uid="{B4C25367-266D-4CFD-B126-E990F1B705B9}" name="AL_AC" dataDxfId="147"/>
    <tableColumn id="2" xr3:uid="{B5D97F6A-AE7C-4FC3-8428-5737699DFEB1}" name="CLASIFICACIÓN" dataDxfId="146"/>
    <tableColumn id="3" xr3:uid="{BB03A19C-EA5E-4A7C-9910-2B74FE663EFC}" name="SUPERVISOR" dataDxfId="145"/>
    <tableColumn id="1" xr3:uid="{47FCFB9B-5515-45CC-BFF9-2785144AD854}" name="RECUPERO" dataDxfId="144"/>
    <tableColumn id="6" xr3:uid="{ED7BE75E-3624-4159-BFE7-645CEA862C3E}" name="META" dataDxfId="143"/>
    <tableColumn id="7" xr3:uid="{AD05A858-B012-4836-80E5-BF630A338442}" name="ASER_" dataDxfId="142"/>
    <tableColumn id="4" xr3:uid="{6792E8BB-5B6A-4E20-BC71-7F342FD1DE33}" name="1-Dic" dataDxfId="141"/>
    <tableColumn id="8" xr3:uid="{AFF95CFC-A6A6-4F82-9A47-D8F9735B080F}" name="2-Dic" dataDxfId="140"/>
    <tableColumn id="9" xr3:uid="{3EE2031A-4396-4C20-9B21-B423FD7A4983}" name="3-Dic" dataDxfId="139"/>
    <tableColumn id="10" xr3:uid="{98A61AE3-7932-414B-AE75-E4B9F37090B7}" name="4-Dic" dataDxfId="138"/>
    <tableColumn id="11" xr3:uid="{2B37FA03-0832-40E1-966B-188EC131A687}" name="5-Dic" dataDxfId="137"/>
    <tableColumn id="12" xr3:uid="{9A4E011C-C4A7-4F49-AD1B-BB28BEA4BF8C}" name="10-Dic" dataDxfId="136"/>
    <tableColumn id="13" xr3:uid="{EFB94F58-F00C-45C8-B4D0-E0C1802DF92E}" name="11-Dic" dataDxfId="135"/>
    <tableColumn id="14" xr3:uid="{F8800705-9DF6-4EEA-8D67-8321AE1E80D1}" name="12-Dic" dataDxfId="134"/>
    <tableColumn id="15" xr3:uid="{7B6D79FE-5D1B-462C-8037-0CACAB6F3911}" name="15-Dic" dataDxfId="133"/>
    <tableColumn id="16" xr3:uid="{E0E24420-1BF8-4BED-A5CC-D5EF1C7DF685}" name="16-Dic" dataDxfId="132"/>
    <tableColumn id="17" xr3:uid="{871FA82C-5019-42EF-A529-D11DB848F55F}" name="17-Dic" dataDxfId="131"/>
    <tableColumn id="18" xr3:uid="{388429A9-C1D2-4EE1-BB12-A7C9C48AA9F0}" name="18-Dic" dataDxfId="130"/>
    <tableColumn id="19" xr3:uid="{6D1522B5-D820-4F42-ADD5-A6062E68E06A}" name="19-Dic" dataDxfId="129"/>
    <tableColumn id="20" xr3:uid="{A78EF6CB-6A5A-488F-8EC5-34C0267191BD}" name="22-Dic" dataDxfId="128"/>
    <tableColumn id="21" xr3:uid="{0817989E-B5E4-435D-99FF-C9E1A1D429CD}" name="23-Dic" dataDxfId="127"/>
    <tableColumn id="22" xr3:uid="{5AE7BF00-6E17-4434-AFC3-A082971963E9}" name="24-Dic" dataDxfId="126"/>
    <tableColumn id="23" xr3:uid="{AC4528BB-516C-4650-8587-2267B9400C8D}" name="26-Dic" dataDxfId="125"/>
    <tableColumn id="24" xr3:uid="{AB7921F2-B36A-4ABC-9DBC-BB0EC20ACC62}" name="29-Dic" dataDxfId="124"/>
    <tableColumn id="25" xr3:uid="{5D1446EA-3DB7-4807-AE25-EB2149040D6D}" name="30-Dic" dataDxfId="123"/>
    <tableColumn id="26" xr3:uid="{B5F2A170-57DC-49D6-9752-24386332D295}" name="31-Dic" dataDxfId="122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G53" totalsRowShown="0" headerRowDxfId="121">
  <autoFilter ref="A2:G53" xr:uid="{0A33CB5E-7EB5-4C86-9959-A823C2BDBBB9}"/>
  <tableColumns count="7">
    <tableColumn id="1" xr3:uid="{51989F96-0689-4D57-8685-B8A3DF492A97}" name="SUPER" dataDxfId="120"/>
    <tableColumn id="2" xr3:uid="{C1D8B208-A530-42D3-A6B3-202247844AC6}" name="ASESOR_CRR" dataDxfId="119"/>
    <tableColumn id="5" xr3:uid="{0E2E2A96-2FDE-425E-A454-24F26F26F817}" name="RECUP" dataDxfId="118"/>
    <tableColumn id="6" xr3:uid="{99265ED5-3CFF-4A20-97B4-3560EE99C717}" name="ALCANCE" dataDxfId="117"/>
    <tableColumn id="7" xr3:uid="{374D40BE-0CEA-496A-A350-4762CACC979E}" name="SUPER2" dataDxfId="116"/>
    <tableColumn id="3" xr3:uid="{CE2FC99C-C2FA-4CF8-B4D5-38DB34F6C4C0}" name="ASESOR"/>
    <tableColumn id="4" xr3:uid="{1034AC9B-8A72-4332-A474-8471A1B8C391}" name="RECUPERO" dataDxfId="115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14" dataDxfId="112" headerRowBorderDxfId="113" tableBorderDxfId="111" totalsRowBorderDxfId="110">
  <autoFilter ref="AK8:BI13" xr:uid="{85547817-F0EB-410B-A548-9876F8A51100}"/>
  <tableColumns count="25">
    <tableColumn id="2" xr3:uid="{68E67A80-18A4-4734-A9E7-E6917BDD1EDB}" name="META SUPER" dataDxfId="109"/>
    <tableColumn id="3" xr3:uid="{DED03312-7BDA-4CEA-9273-AA5DB2237A5F}" name="RECUPERO SUPERVISOR" dataDxfId="108"/>
    <tableColumn id="4" xr3:uid="{5A956735-F760-4B1F-B874-402D928B71EA}" name="ALCANCE SUPERVISOR" dataDxfId="107"/>
    <tableColumn id="1" xr3:uid="{ED2A948C-9442-4C47-9BE9-277A3D6239D3}" name="SUPER" dataDxfId="106"/>
    <tableColumn id="6" xr3:uid="{6E784300-7704-4F45-8E90-F7C2D4F71F66}" name="1-Dic" dataDxfId="105"/>
    <tableColumn id="7" xr3:uid="{EA789C05-CA47-4D66-B493-7D6222022389}" name="2-Dic" dataDxfId="104"/>
    <tableColumn id="8" xr3:uid="{4ACB3C1D-600B-4503-9368-987BC1B3B0EA}" name="3-Dic" dataDxfId="103"/>
    <tableColumn id="9" xr3:uid="{B5C8B277-5A83-47A1-95FD-A620D749E785}" name="4-Dic" dataDxfId="102"/>
    <tableColumn id="10" xr3:uid="{FB101921-E892-41E0-B8B7-4141F51A83BB}" name="5-Dic" dataDxfId="101"/>
    <tableColumn id="11" xr3:uid="{C777EEA2-F048-439C-9EA1-0C4C731AA6E9}" name="10-Dic" dataDxfId="100"/>
    <tableColumn id="12" xr3:uid="{7AA80CD7-0570-4507-8C49-9CF331F01C83}" name="11-Dic" dataDxfId="99"/>
    <tableColumn id="13" xr3:uid="{F115F6D4-E69D-46D7-AD4B-F13AFDF74268}" name="12-Dic" dataDxfId="98"/>
    <tableColumn id="14" xr3:uid="{393E1035-13E1-4131-B853-53B4CA536CF0}" name="15-Dic" dataDxfId="97"/>
    <tableColumn id="15" xr3:uid="{7FF1CB48-1402-460C-BDDE-C67F81F66807}" name="16-Dic" dataDxfId="96"/>
    <tableColumn id="16" xr3:uid="{419173FA-3C44-4167-9CA2-3C07CF180C9B}" name="17-Dic" dataDxfId="95"/>
    <tableColumn id="17" xr3:uid="{A8A10E2B-AFD7-46D0-8149-9A05D1EC2C03}" name="18-Dic" dataDxfId="94"/>
    <tableColumn id="18" xr3:uid="{CF29209E-568F-4788-AE4E-864CF179A3F5}" name="19-Dic" dataDxfId="93"/>
    <tableColumn id="19" xr3:uid="{C33D5154-B635-4235-8170-2F374C119543}" name="22-Dic" dataDxfId="92"/>
    <tableColumn id="20" xr3:uid="{70E870EC-47B5-4461-AC8F-7662212D49E0}" name="23-Dic" dataDxfId="91"/>
    <tableColumn id="21" xr3:uid="{2215DAF3-2DFC-47A4-940A-DC348054A7EB}" name="24-Dic" dataDxfId="90"/>
    <tableColumn id="22" xr3:uid="{BE707551-BD9D-4E46-9F38-1BF8DA272627}" name="26-Dic" dataDxfId="89"/>
    <tableColumn id="23" xr3:uid="{BA6108F0-3F12-4B54-8E19-7FF232FA9893}" name="29-Dic" dataDxfId="88"/>
    <tableColumn id="24" xr3:uid="{B18366FB-64C7-4779-8DB9-91A30E111223}" name="30-Dic" dataDxfId="87"/>
    <tableColumn id="25" xr3:uid="{8BD30A4B-DE19-4C3A-8A9E-7FFE10B8C56B}" name="31-Dic" dataDxfId="86"/>
    <tableColumn id="5" xr3:uid="{1A8ADD20-D8A3-4981-B322-7C16CBD19ABB}" name="CARTERA" dataDxfId="8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5" totalsRowShown="0" headerRowBorderDxfId="84" tableBorderDxfId="83">
  <autoFilter ref="J8:AK55" xr:uid="{C43AC382-896C-48E3-967E-003D8C3BB4E1}"/>
  <tableColumns count="28">
    <tableColumn id="5" xr3:uid="{3070F4BF-8DA0-42C9-A329-60BF3937C6CD}" name="AL_AC" dataDxfId="8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81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80">
      <calculatedColumnFormula>IFERROR(VLOOKUP(DATA_ENERO_2026[[#This Row],[ASER_]],$B:$G,4,0),"")</calculatedColumnFormula>
    </tableColumn>
    <tableColumn id="1" xr3:uid="{9CEE94D1-F610-44F2-BECC-051BA76BFF42}" name="RECUPERO" dataDxfId="7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78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77"/>
    <tableColumn id="4" xr3:uid="{DA0D3C8E-070D-4088-AECD-5F2EBC6508EA}" name="2-Ene" dataDxfId="76"/>
    <tableColumn id="8" xr3:uid="{D7FBF1F2-5A46-485F-925D-86EC9088EE46}" name="5-Ene" dataDxfId="75"/>
    <tableColumn id="9" xr3:uid="{98D48677-E650-4067-8686-1CC9080B6D71}" name="6-Ene" dataDxfId="74"/>
    <tableColumn id="10" xr3:uid="{A974A4A9-21AF-43B2-9C93-C6F103E8C411}" name="7-Ene" dataDxfId="73"/>
    <tableColumn id="11" xr3:uid="{D058D028-4AAB-47B9-A7D3-876CEDD146AA}" name="8-Ene" dataDxfId="72"/>
    <tableColumn id="12" xr3:uid="{307618CA-E43D-42A3-8C03-88388003A5BF}" name="9-Ene" dataDxfId="71"/>
    <tableColumn id="13" xr3:uid="{65D16E27-3C15-4385-9A4F-B28821EF4DF6}" name="12-Ene" dataDxfId="70"/>
    <tableColumn id="14" xr3:uid="{5A29EA5C-756B-4F6D-B764-BBEF2AB98C7D}" name="13-Ene" dataDxfId="69"/>
    <tableColumn id="15" xr3:uid="{3B9CE493-BFF8-40F7-8EBA-E6D80D76579A}" name="14-Ene" dataDxfId="68"/>
    <tableColumn id="16" xr3:uid="{AEBDE2A8-76B9-42D9-9059-4EA0D9C9EF1E}" name="15-Ene" dataDxfId="67"/>
    <tableColumn id="17" xr3:uid="{0874DB56-268A-4369-AFDE-AC61ECA55C23}" name="16-Ene" dataDxfId="66"/>
    <tableColumn id="18" xr3:uid="{E7197C37-94F8-4DE8-B898-F87CE13A355A}" name="19-Ene" dataDxfId="65"/>
    <tableColumn id="19" xr3:uid="{0266C1AC-EA27-4324-B7B0-8AB3B4A997D1}" name="20-Ene" dataDxfId="64"/>
    <tableColumn id="20" xr3:uid="{645E39B2-DC80-4E66-9458-0C362658FA9E}" name="21-Ene" dataDxfId="63"/>
    <tableColumn id="21" xr3:uid="{D0A909F0-E9C1-4BFB-A1C7-251196BA5DC0}" name="22-Ene" dataDxfId="62"/>
    <tableColumn id="22" xr3:uid="{CD196172-6AE3-4DE5-A06F-949E71EBEB0F}" name="23-Ene" dataDxfId="61"/>
    <tableColumn id="23" xr3:uid="{F4228B36-78DF-4ADD-88C1-72728A3AEB39}" name="26-Ene" dataDxfId="60"/>
    <tableColumn id="24" xr3:uid="{E94F1207-568E-4B89-8DB0-06CEBC5513E0}" name="27-Ene" dataDxfId="59"/>
    <tableColumn id="25" xr3:uid="{8DA8D870-2FE5-422D-A1EF-11DB81F83097}" name="28-Ene" dataDxfId="58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57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G49" totalsRowShown="0" headerRowDxfId="56">
  <autoFilter ref="A2:G49" xr:uid="{AB1967BC-98FE-49B9-B96E-7F91454A75DF}"/>
  <tableColumns count="7">
    <tableColumn id="1" xr3:uid="{E8C9BFA3-A821-4545-B3F0-1D85338E10F0}" name="SUPER" dataDxfId="55">
      <calculatedColumnFormula>IFERROR(VLOOKUP(D1_ENERO_2026[[#This Row],[ASESOR_CRR]],PLANTILLA_ACTUAL[],2,0),"")</calculatedColumnFormula>
    </tableColumn>
    <tableColumn id="2" xr3:uid="{3FE812CA-3CC6-4126-82E1-67F5FCA4D1F0}" name="ASESOR_CRR" dataDxfId="54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RECUP" dataDxfId="53">
      <calculatedColumnFormula>D1_ENERO_2026[[#This Row],[RECUPERO]]</calculatedColumnFormula>
    </tableColumn>
    <tableColumn id="6" xr3:uid="{504193EF-8C81-4E3C-85B4-7DDC31010511}" name="ALCANCE" dataDxfId="52">
      <calculatedColumnFormula>IFERROR(D1_ENERO_2026[[#This Row],[RECUP]]/VLOOKUP($J$3&amp;$K$3&amp;D1_ENERO_2026[[#This Row],[SUPER]],TablaMeta[],6,0),"")</calculatedColumnFormula>
    </tableColumn>
    <tableColumn id="7" xr3:uid="{25385F42-9373-4DE6-B5E8-9588BC79D17B}" name="SUPER2" dataDxfId="51">
      <calculatedColumnFormula>D1_ENERO_2026[[#This Row],[SUPER]]</calculatedColumnFormula>
    </tableColumn>
    <tableColumn id="3" xr3:uid="{F1B64A76-95A5-4F5B-B635-6563315B9D26}" name="ASESOR"/>
    <tableColumn id="4" xr3:uid="{5F21D798-6962-4BF2-AAD7-57B722912C07}" name="RECUPERO" dataDxfId="5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49" dataDxfId="47" headerRowBorderDxfId="48" tableBorderDxfId="46" totalsRowBorderDxfId="45">
  <autoFilter ref="AM8:BM13" xr:uid="{D9D89D51-DAB1-406D-9BCC-FA9DDE7F1EF0}"/>
  <tableColumns count="27">
    <tableColumn id="2" xr3:uid="{08060355-86C1-47A6-9DB1-6B46E3007B8A}" name="META SUPER" dataDxfId="44">
      <calculatedColumnFormula>VLOOKUP($J$3&amp;$K$3&amp;DITE_ENERO_2026[[#This Row],[SUPER]],TablaMeta[],5,0)</calculatedColumnFormula>
    </tableColumn>
    <tableColumn id="3" xr3:uid="{FDF7E5B8-6E43-422A-BFC9-1CCD7EE7F4E8}" name="RECUPERO SUPERVISOR" dataDxfId="43">
      <calculatedColumnFormula>MAX(DITE_ENERO_2026[[#This Row],[SUPER]:[CARTERA]])</calculatedColumnFormula>
    </tableColumn>
    <tableColumn id="4" xr3:uid="{F9F9E33D-CF47-4A7B-B383-5185C72E6DBF}" name="ALCANCE SUPERVISOR" dataDxfId="42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41"/>
    <tableColumn id="6" xr3:uid="{C6BD95E9-37E9-4C3B-8FAC-71C063D3CCCF}" name="2-Ene" dataDxfId="40"/>
    <tableColumn id="7" xr3:uid="{154D80CB-9358-4F70-B790-869141CEED69}" name="5-Ene" dataDxfId="39"/>
    <tableColumn id="27" xr3:uid="{B1E200F5-8C17-45BD-9A07-4B3CFCF2F55B}" name="6-Ene" dataDxfId="38"/>
    <tableColumn id="26" xr3:uid="{C4A34376-F48F-4D30-891F-680F0DC972B5}" name="7-Ene" dataDxfId="37"/>
    <tableColumn id="8" xr3:uid="{B8634A52-4E10-47C7-A2E2-7268D75FF3B1}" name="8-Ene" dataDxfId="36"/>
    <tableColumn id="9" xr3:uid="{50F52F97-2FFF-429B-8205-9821B5E2DDA3}" name="9-Ene" dataDxfId="35"/>
    <tableColumn id="10" xr3:uid="{6CA0D076-C021-4ECD-9708-296693BD3D20}" name="12-Ene" dataDxfId="34"/>
    <tableColumn id="11" xr3:uid="{60AC6543-9932-43CA-8508-68010867604A}" name="13-Ene" dataDxfId="33"/>
    <tableColumn id="12" xr3:uid="{0838B302-CF6C-41FA-9981-2C61DC3D728B}" name="14-Ene" dataDxfId="32"/>
    <tableColumn id="13" xr3:uid="{26042530-89B3-48FD-877D-23191B67C000}" name="15-Ene" dataDxfId="31"/>
    <tableColumn id="14" xr3:uid="{995CAE1C-81F5-4376-9FBF-9057F92CEBA2}" name="16-Ene" dataDxfId="30"/>
    <tableColumn id="15" xr3:uid="{CE078F22-32E6-477A-8610-B39D8802D198}" name="19-Ene" dataDxfId="29"/>
    <tableColumn id="16" xr3:uid="{E61DEB3E-541F-4914-B1D0-C31E52B10974}" name="20-Ene" dataDxfId="28"/>
    <tableColumn id="17" xr3:uid="{EC1E57C1-8228-4A17-A0ED-ACC28C9F0842}" name="21-Ene" dataDxfId="27"/>
    <tableColumn id="18" xr3:uid="{2DA8EC35-62DF-44D7-9B0C-1DA9FD7CFD91}" name="22-Ene" dataDxfId="26"/>
    <tableColumn id="19" xr3:uid="{302180D2-EA42-43C4-9FEA-201681FA861E}" name="23-Ene" dataDxfId="25"/>
    <tableColumn id="20" xr3:uid="{451825B8-387D-40FA-8E98-2EFAE991267E}" name="26-Ene" dataDxfId="24"/>
    <tableColumn id="21" xr3:uid="{026C2977-2F45-419E-AE54-92E82A6FE474}" name="27-Ene" dataDxfId="23"/>
    <tableColumn id="22" xr3:uid="{3BBAF7E2-3A2C-4E90-AE74-EEF9947AB60E}" name="28-Ene" dataDxfId="22"/>
    <tableColumn id="23" xr3:uid="{8879B076-C842-409F-9B19-61F59EF05584}" name="29-Ene" dataDxfId="21"/>
    <tableColumn id="24" xr3:uid="{AF13A28F-47F7-4494-B809-B096327E1B45}" name="30-Ene" dataDxfId="20"/>
    <tableColumn id="25" xr3:uid="{89BC57AE-7003-4222-9075-CD5FB2129550}" name="31-Ene" dataDxfId="19"/>
    <tableColumn id="5" xr3:uid="{E0FECB44-CCD1-447F-A9BF-090DD9D8B323}" name="CARTERA" dataDxfId="18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C53" totalsRowShown="0" headerRowDxfId="17" dataDxfId="16">
  <autoFilter ref="A1:C53" xr:uid="{4B4B5CC4-5C3C-461A-AA1A-DC9321B1B957}"/>
  <tableColumns count="3">
    <tableColumn id="2" xr3:uid="{B4EEF3CC-7678-42BF-B035-CD88AB68C0D3}" name="ASESOR" dataDxfId="15"/>
    <tableColumn id="3" xr3:uid="{FB1CB57E-C468-417E-ABD0-3CE9B78E9634}" name="SUPERVISOR" dataDxfId="14"/>
    <tableColumn id="1" xr3:uid="{F397A808-BFC5-4F06-9B9C-381F51115E45}" name="PO" dataDxfId="13">
      <calculatedColumnFormula>PLANTILLA_ACTUAL[[#This Row],[ASESOR]]</calculatedColumnFormula>
    </tableColumn>
  </tableColumns>
  <tableStyleInfo name="TableStyleLight14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2" headerRowBorderDxfId="11" tableBorderDxfId="10" totalsRowBorderDxfId="9">
  <autoFilter ref="A1:G183" xr:uid="{C41E08BB-0323-438E-BFE0-76BBB5F11D04}"/>
  <tableColumns count="7">
    <tableColumn id="1" xr3:uid="{392AC838-52ED-4D24-AEEF-DBB8AB8874AD}" name="CONCAT" dataDxfId="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7"/>
    <tableColumn id="2" xr3:uid="{6AF5A16E-DFBE-42B7-BDA1-6E8694A629C3}" name="mes" dataDxfId="6"/>
    <tableColumn id="4" xr3:uid="{10D1F902-532A-4C8C-AB27-C2F522F14EA7}" name="Equipo" dataDxfId="5"/>
    <tableColumn id="5" xr3:uid="{75A35478-8934-432E-843B-D174D5C58C71}" name="Meta_Equipo" dataDxfId="4"/>
    <tableColumn id="6" xr3:uid="{C4DF57EE-8F57-44C8-ABE6-43EEF1F9DA62}" name="Meta_Asesor" dataDxfId="3"/>
    <tableColumn id="3" xr3:uid="{95E3CE54-9C14-4F51-963D-FFEEB667B07A}" name="SEGG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M15" sqref="M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t="s">
        <v>5</v>
      </c>
      <c r="B3" t="s">
        <v>69</v>
      </c>
      <c r="C3">
        <v>49746</v>
      </c>
      <c r="D3">
        <v>0.8576896551724138</v>
      </c>
      <c r="E3" t="s">
        <v>5</v>
      </c>
      <c r="F3" t="s">
        <v>69</v>
      </c>
      <c r="G3">
        <v>49746</v>
      </c>
      <c r="J3" s="34">
        <v>2025</v>
      </c>
      <c r="K3" s="34" t="s">
        <v>184</v>
      </c>
      <c r="L3" s="34">
        <v>22</v>
      </c>
    </row>
    <row r="4" spans="1:43" x14ac:dyDescent="0.25">
      <c r="A4" t="s">
        <v>5</v>
      </c>
      <c r="B4" t="s">
        <v>85</v>
      </c>
      <c r="C4">
        <v>108853</v>
      </c>
      <c r="D4">
        <v>1.8767758620689656</v>
      </c>
      <c r="E4" t="s">
        <v>5</v>
      </c>
      <c r="F4" t="s">
        <v>85</v>
      </c>
      <c r="G4">
        <v>108853</v>
      </c>
    </row>
    <row r="5" spans="1:43" x14ac:dyDescent="0.25">
      <c r="A5" t="s">
        <v>5</v>
      </c>
      <c r="B5" t="s">
        <v>67</v>
      </c>
      <c r="C5">
        <v>58015</v>
      </c>
      <c r="D5">
        <v>1.0002586206896551</v>
      </c>
      <c r="E5" t="s">
        <v>5</v>
      </c>
      <c r="F5" t="s">
        <v>67</v>
      </c>
      <c r="G5">
        <v>58015</v>
      </c>
    </row>
    <row r="6" spans="1:43" x14ac:dyDescent="0.25">
      <c r="A6" t="s">
        <v>5</v>
      </c>
      <c r="B6" t="s">
        <v>13</v>
      </c>
      <c r="C6">
        <v>49437</v>
      </c>
      <c r="D6">
        <v>0.85236206896551725</v>
      </c>
      <c r="E6" t="s">
        <v>5</v>
      </c>
      <c r="F6" t="s">
        <v>13</v>
      </c>
      <c r="G6">
        <v>49437</v>
      </c>
    </row>
    <row r="7" spans="1:43" x14ac:dyDescent="0.25">
      <c r="A7" t="s">
        <v>5</v>
      </c>
      <c r="B7" t="s">
        <v>66</v>
      </c>
      <c r="C7">
        <v>43408</v>
      </c>
      <c r="D7">
        <v>0.74841379310344824</v>
      </c>
      <c r="E7" t="s">
        <v>5</v>
      </c>
      <c r="F7" t="s">
        <v>66</v>
      </c>
      <c r="G7">
        <v>43408</v>
      </c>
    </row>
    <row r="8" spans="1:43" x14ac:dyDescent="0.25">
      <c r="A8" t="s">
        <v>5</v>
      </c>
      <c r="B8" t="s">
        <v>118</v>
      </c>
      <c r="C8">
        <v>37772</v>
      </c>
      <c r="D8">
        <v>0.65124137931034487</v>
      </c>
      <c r="E8" t="s">
        <v>5</v>
      </c>
      <c r="F8" t="s">
        <v>118</v>
      </c>
      <c r="G8">
        <v>37772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246</v>
      </c>
      <c r="V8" s="41" t="s">
        <v>247</v>
      </c>
      <c r="W8" s="41" t="s">
        <v>248</v>
      </c>
      <c r="X8" s="41" t="s">
        <v>249</v>
      </c>
      <c r="Y8" s="41" t="s">
        <v>267</v>
      </c>
      <c r="Z8" s="41" t="s">
        <v>250</v>
      </c>
      <c r="AA8" s="41" t="s">
        <v>251</v>
      </c>
      <c r="AB8" s="41" t="s">
        <v>252</v>
      </c>
      <c r="AC8" s="41" t="s">
        <v>253</v>
      </c>
      <c r="AD8" s="41" t="s">
        <v>254</v>
      </c>
      <c r="AE8" s="41" t="s">
        <v>255</v>
      </c>
      <c r="AF8" s="41" t="s">
        <v>256</v>
      </c>
      <c r="AG8" s="41" t="s">
        <v>257</v>
      </c>
      <c r="AH8" s="41" t="s">
        <v>258</v>
      </c>
      <c r="AI8" s="41" t="s">
        <v>259</v>
      </c>
      <c r="AJ8" s="41" t="s">
        <v>260</v>
      </c>
      <c r="AK8" s="41" t="s">
        <v>261</v>
      </c>
      <c r="AL8" s="41" t="s">
        <v>262</v>
      </c>
      <c r="AM8" s="41" t="s">
        <v>263</v>
      </c>
      <c r="AN8" s="41" t="s">
        <v>264</v>
      </c>
      <c r="AO8" s="41" t="s">
        <v>265</v>
      </c>
      <c r="AP8" s="41" t="s">
        <v>266</v>
      </c>
      <c r="AQ8" s="19" t="s">
        <v>136</v>
      </c>
    </row>
    <row r="9" spans="1:43" x14ac:dyDescent="0.25">
      <c r="A9" t="s">
        <v>5</v>
      </c>
      <c r="B9" t="s">
        <v>17</v>
      </c>
      <c r="C9">
        <v>41562</v>
      </c>
      <c r="D9">
        <v>0.71658620689655173</v>
      </c>
      <c r="E9" t="s">
        <v>5</v>
      </c>
      <c r="F9" t="s">
        <v>17</v>
      </c>
      <c r="G9">
        <v>41562</v>
      </c>
      <c r="J9" s="1">
        <v>0.8576896551724138</v>
      </c>
      <c r="K9" t="s">
        <v>208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195</v>
      </c>
    </row>
    <row r="10" spans="1:43" x14ac:dyDescent="0.25">
      <c r="A10" t="s">
        <v>5</v>
      </c>
      <c r="B10" t="s">
        <v>62</v>
      </c>
      <c r="C10">
        <v>60483</v>
      </c>
      <c r="D10">
        <v>1.0428103448275863</v>
      </c>
      <c r="E10" t="s">
        <v>5</v>
      </c>
      <c r="F10" t="s">
        <v>62</v>
      </c>
      <c r="G10">
        <v>60483</v>
      </c>
      <c r="J10" s="1">
        <v>1.8767758620689656</v>
      </c>
      <c r="K10" t="s">
        <v>207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195</v>
      </c>
    </row>
    <row r="11" spans="1:43" x14ac:dyDescent="0.25">
      <c r="A11" t="s">
        <v>2</v>
      </c>
      <c r="B11" t="s">
        <v>41</v>
      </c>
      <c r="C11">
        <v>6602</v>
      </c>
      <c r="D11">
        <v>0.30009090909090907</v>
      </c>
      <c r="E11" t="s">
        <v>2</v>
      </c>
      <c r="F11" t="s">
        <v>41</v>
      </c>
      <c r="G11">
        <v>6602</v>
      </c>
      <c r="J11" s="1">
        <v>1.0002586206896551</v>
      </c>
      <c r="K11" t="s">
        <v>207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195</v>
      </c>
    </row>
    <row r="12" spans="1:43" x14ac:dyDescent="0.25">
      <c r="A12" t="s">
        <v>2</v>
      </c>
      <c r="B12" t="s">
        <v>16</v>
      </c>
      <c r="C12">
        <v>11031</v>
      </c>
      <c r="D12">
        <v>0.50140909090909092</v>
      </c>
      <c r="E12" t="s">
        <v>2</v>
      </c>
      <c r="F12" t="s">
        <v>16</v>
      </c>
      <c r="G12">
        <v>11031</v>
      </c>
      <c r="J12" s="1">
        <v>0.85236206896551725</v>
      </c>
      <c r="K12" t="s">
        <v>208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196</v>
      </c>
    </row>
    <row r="13" spans="1:43" x14ac:dyDescent="0.25">
      <c r="A13" t="s">
        <v>2</v>
      </c>
      <c r="B13" t="s">
        <v>12</v>
      </c>
      <c r="C13">
        <v>22960</v>
      </c>
      <c r="D13">
        <v>1.0436363636363637</v>
      </c>
      <c r="E13" t="s">
        <v>2</v>
      </c>
      <c r="F13" t="s">
        <v>12</v>
      </c>
      <c r="G13">
        <v>22960</v>
      </c>
      <c r="J13" s="1">
        <v>0.74841379310344824</v>
      </c>
      <c r="K13" t="s">
        <v>208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117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196</v>
      </c>
    </row>
    <row r="14" spans="1:43" x14ac:dyDescent="0.25">
      <c r="A14" t="s">
        <v>2</v>
      </c>
      <c r="B14" t="s">
        <v>32</v>
      </c>
      <c r="C14">
        <v>11965.2</v>
      </c>
      <c r="D14">
        <v>0.54387272727272729</v>
      </c>
      <c r="E14" t="s">
        <v>2</v>
      </c>
      <c r="F14" t="s">
        <v>32</v>
      </c>
      <c r="G14">
        <v>11965.2</v>
      </c>
      <c r="J14" s="1">
        <v>0.65124137931034487</v>
      </c>
      <c r="K14" t="s">
        <v>209</v>
      </c>
      <c r="L14" t="s">
        <v>5</v>
      </c>
      <c r="M14">
        <v>37772</v>
      </c>
      <c r="N14">
        <v>58000</v>
      </c>
      <c r="O14" t="s">
        <v>118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197</v>
      </c>
    </row>
    <row r="15" spans="1:43" x14ac:dyDescent="0.25">
      <c r="A15" t="s">
        <v>2</v>
      </c>
      <c r="B15" t="s">
        <v>26</v>
      </c>
      <c r="C15">
        <v>24370</v>
      </c>
      <c r="D15">
        <v>1.1077272727272727</v>
      </c>
      <c r="E15" t="s">
        <v>2</v>
      </c>
      <c r="F15" t="s">
        <v>26</v>
      </c>
      <c r="G15">
        <v>24370</v>
      </c>
      <c r="J15" s="1">
        <v>0.71658620689655173</v>
      </c>
      <c r="K15" t="s">
        <v>208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198</v>
      </c>
    </row>
    <row r="16" spans="1:43" x14ac:dyDescent="0.25">
      <c r="A16" t="s">
        <v>2</v>
      </c>
      <c r="B16" t="s">
        <v>107</v>
      </c>
      <c r="C16">
        <v>14324</v>
      </c>
      <c r="D16">
        <v>0.65109090909090905</v>
      </c>
      <c r="E16" t="s">
        <v>2</v>
      </c>
      <c r="F16" t="s">
        <v>107</v>
      </c>
      <c r="G16">
        <v>14324</v>
      </c>
      <c r="J16" s="1">
        <v>1.0428103448275863</v>
      </c>
      <c r="K16" t="s">
        <v>207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v>12598</v>
      </c>
      <c r="D17">
        <v>0.57263636363636361</v>
      </c>
      <c r="E17" t="s">
        <v>2</v>
      </c>
      <c r="F17" t="s">
        <v>77</v>
      </c>
      <c r="G17">
        <v>12598</v>
      </c>
      <c r="J17" s="1">
        <v>0.30009090909090907</v>
      </c>
      <c r="K17" t="s">
        <v>210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v>8570</v>
      </c>
      <c r="D18">
        <v>0.38954545454545453</v>
      </c>
      <c r="E18" t="s">
        <v>2</v>
      </c>
      <c r="F18" t="s">
        <v>46</v>
      </c>
      <c r="G18">
        <v>8570</v>
      </c>
      <c r="J18" s="1">
        <v>0.50140909090909092</v>
      </c>
      <c r="K18" t="s">
        <v>209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v>7800.6</v>
      </c>
      <c r="D19">
        <v>0.35457272727272726</v>
      </c>
      <c r="E19" t="s">
        <v>2</v>
      </c>
      <c r="F19" t="s">
        <v>74</v>
      </c>
      <c r="G19">
        <v>7800.6</v>
      </c>
      <c r="J19" s="1">
        <v>1.0436363636363637</v>
      </c>
      <c r="K19" t="s">
        <v>207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119</v>
      </c>
      <c r="C20">
        <v>2928</v>
      </c>
      <c r="D20">
        <v>0.13309090909090909</v>
      </c>
      <c r="E20" t="s">
        <v>2</v>
      </c>
      <c r="F20" t="s">
        <v>119</v>
      </c>
      <c r="G20">
        <v>2928</v>
      </c>
      <c r="J20" s="1">
        <v>0.54387272727272729</v>
      </c>
      <c r="K20" t="s">
        <v>209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v>8106</v>
      </c>
      <c r="D21">
        <v>0.36845454545454548</v>
      </c>
      <c r="E21" t="s">
        <v>2</v>
      </c>
      <c r="F21" t="s">
        <v>78</v>
      </c>
      <c r="G21">
        <v>8106</v>
      </c>
      <c r="J21" s="1">
        <v>1.1077272727272727</v>
      </c>
      <c r="K21" t="s">
        <v>207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120</v>
      </c>
      <c r="C22">
        <v>33850</v>
      </c>
      <c r="D22">
        <v>1.611904761904762</v>
      </c>
      <c r="E22" t="s">
        <v>6</v>
      </c>
      <c r="F22" t="s">
        <v>120</v>
      </c>
      <c r="G22">
        <v>33850</v>
      </c>
      <c r="J22" s="1">
        <v>0.65109090909090905</v>
      </c>
      <c r="K22" t="s">
        <v>209</v>
      </c>
      <c r="L22" t="s">
        <v>2</v>
      </c>
      <c r="M22">
        <v>14324</v>
      </c>
      <c r="N22">
        <v>22000</v>
      </c>
      <c r="O22" t="s">
        <v>107</v>
      </c>
    </row>
    <row r="23" spans="1:15" x14ac:dyDescent="0.25">
      <c r="A23" t="s">
        <v>6</v>
      </c>
      <c r="B23" t="s">
        <v>19</v>
      </c>
      <c r="C23">
        <v>13700</v>
      </c>
      <c r="D23">
        <v>0.65238095238095239</v>
      </c>
      <c r="E23" t="s">
        <v>6</v>
      </c>
      <c r="F23" t="s">
        <v>19</v>
      </c>
      <c r="G23">
        <v>13700</v>
      </c>
      <c r="J23" s="1">
        <v>0.57263636363636361</v>
      </c>
      <c r="K23" t="s">
        <v>209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v>22334</v>
      </c>
      <c r="D24">
        <v>1.0635238095238095</v>
      </c>
      <c r="E24" t="s">
        <v>6</v>
      </c>
      <c r="F24" t="s">
        <v>37</v>
      </c>
      <c r="G24">
        <v>22334</v>
      </c>
      <c r="J24" s="1">
        <v>0.38954545454545453</v>
      </c>
      <c r="K24" t="s">
        <v>210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v>21390</v>
      </c>
      <c r="D25">
        <v>1.0185714285714285</v>
      </c>
      <c r="E25" t="s">
        <v>6</v>
      </c>
      <c r="F25" t="s">
        <v>35</v>
      </c>
      <c r="G25">
        <v>21390</v>
      </c>
      <c r="J25" s="1">
        <v>0.35457272727272726</v>
      </c>
      <c r="K25" t="s">
        <v>210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v>5202</v>
      </c>
      <c r="D26">
        <v>0.24771428571428572</v>
      </c>
      <c r="E26" t="s">
        <v>6</v>
      </c>
      <c r="F26" t="s">
        <v>50</v>
      </c>
      <c r="G26">
        <v>5202</v>
      </c>
      <c r="J26" s="1">
        <v>0.13309090909090909</v>
      </c>
      <c r="K26" t="s">
        <v>210</v>
      </c>
      <c r="L26" t="s">
        <v>2</v>
      </c>
      <c r="M26">
        <v>2928</v>
      </c>
      <c r="N26">
        <v>22000</v>
      </c>
      <c r="O26" t="s">
        <v>119</v>
      </c>
    </row>
    <row r="27" spans="1:15" x14ac:dyDescent="0.25">
      <c r="A27" t="s">
        <v>6</v>
      </c>
      <c r="B27" t="s">
        <v>31</v>
      </c>
      <c r="C27">
        <v>23230</v>
      </c>
      <c r="D27">
        <v>1.1061904761904762</v>
      </c>
      <c r="E27" t="s">
        <v>6</v>
      </c>
      <c r="F27" t="s">
        <v>31</v>
      </c>
      <c r="G27">
        <v>23230</v>
      </c>
      <c r="J27" s="1">
        <v>0.36845454545454548</v>
      </c>
      <c r="K27" t="s">
        <v>210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121</v>
      </c>
      <c r="C28">
        <v>35998</v>
      </c>
      <c r="D28">
        <v>1.7141904761904763</v>
      </c>
      <c r="E28" t="s">
        <v>6</v>
      </c>
      <c r="F28" t="s">
        <v>121</v>
      </c>
      <c r="G28">
        <v>35998</v>
      </c>
      <c r="J28" s="1">
        <v>1.611904761904762</v>
      </c>
      <c r="K28" t="s">
        <v>207</v>
      </c>
      <c r="L28" t="s">
        <v>6</v>
      </c>
      <c r="M28">
        <v>33850</v>
      </c>
      <c r="N28">
        <v>21000</v>
      </c>
      <c r="O28" t="s">
        <v>120</v>
      </c>
    </row>
    <row r="29" spans="1:15" x14ac:dyDescent="0.25">
      <c r="A29" t="s">
        <v>6</v>
      </c>
      <c r="B29" t="s">
        <v>122</v>
      </c>
      <c r="C29">
        <v>23860</v>
      </c>
      <c r="D29">
        <v>1.1361904761904762</v>
      </c>
      <c r="E29" t="s">
        <v>6</v>
      </c>
      <c r="F29" t="s">
        <v>122</v>
      </c>
      <c r="G29">
        <v>23860</v>
      </c>
      <c r="J29" s="1">
        <v>0.65238095238095239</v>
      </c>
      <c r="K29" t="s">
        <v>209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v>22358</v>
      </c>
      <c r="D30">
        <v>1.0646666666666667</v>
      </c>
      <c r="E30" t="s">
        <v>6</v>
      </c>
      <c r="F30" t="s">
        <v>36</v>
      </c>
      <c r="G30">
        <v>22358</v>
      </c>
      <c r="J30" s="1">
        <v>1.0635238095238095</v>
      </c>
      <c r="K30" t="s">
        <v>207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v>15667</v>
      </c>
      <c r="D31">
        <v>0.74604761904761907</v>
      </c>
      <c r="E31" t="s">
        <v>6</v>
      </c>
      <c r="F31" t="s">
        <v>34</v>
      </c>
      <c r="G31">
        <v>15667</v>
      </c>
      <c r="J31" s="1">
        <v>1.0185714285714285</v>
      </c>
      <c r="K31" t="s">
        <v>207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v>0</v>
      </c>
      <c r="D32">
        <v>0</v>
      </c>
      <c r="E32" t="s">
        <v>6</v>
      </c>
      <c r="F32" t="s">
        <v>76</v>
      </c>
      <c r="G32">
        <v>0</v>
      </c>
      <c r="J32" s="1">
        <v>0.24771428571428572</v>
      </c>
      <c r="K32" t="s">
        <v>210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v>10062</v>
      </c>
      <c r="D33">
        <v>0.47914285714285715</v>
      </c>
      <c r="E33" t="s">
        <v>9</v>
      </c>
      <c r="F33" t="s">
        <v>21</v>
      </c>
      <c r="G33">
        <v>10062</v>
      </c>
      <c r="J33" s="1">
        <v>1.1061904761904762</v>
      </c>
      <c r="K33" t="s">
        <v>207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v>13010.3</v>
      </c>
      <c r="D34">
        <v>0.61953809523809522</v>
      </c>
      <c r="E34" t="s">
        <v>9</v>
      </c>
      <c r="F34" t="s">
        <v>15</v>
      </c>
      <c r="G34">
        <v>13010.3</v>
      </c>
      <c r="J34" s="1">
        <v>1.7141904761904763</v>
      </c>
      <c r="K34" t="s">
        <v>207</v>
      </c>
      <c r="L34" t="s">
        <v>6</v>
      </c>
      <c r="M34">
        <v>35998</v>
      </c>
      <c r="N34">
        <v>21000</v>
      </c>
      <c r="O34" t="s">
        <v>121</v>
      </c>
    </row>
    <row r="35" spans="1:15" x14ac:dyDescent="0.25">
      <c r="A35" t="s">
        <v>9</v>
      </c>
      <c r="B35" t="s">
        <v>61</v>
      </c>
      <c r="C35">
        <v>0</v>
      </c>
      <c r="D35">
        <v>0</v>
      </c>
      <c r="E35" t="s">
        <v>9</v>
      </c>
      <c r="F35" t="s">
        <v>61</v>
      </c>
      <c r="G35">
        <v>0</v>
      </c>
      <c r="J35" s="1">
        <v>1.1361904761904762</v>
      </c>
      <c r="K35" t="s">
        <v>207</v>
      </c>
      <c r="L35" t="s">
        <v>6</v>
      </c>
      <c r="M35">
        <v>23860</v>
      </c>
      <c r="N35">
        <v>21000</v>
      </c>
      <c r="O35" t="s">
        <v>122</v>
      </c>
    </row>
    <row r="36" spans="1:15" x14ac:dyDescent="0.25">
      <c r="A36" t="s">
        <v>9</v>
      </c>
      <c r="B36" t="s">
        <v>27</v>
      </c>
      <c r="C36">
        <v>1300</v>
      </c>
      <c r="D36">
        <v>6.1904761904761907E-2</v>
      </c>
      <c r="E36" t="s">
        <v>9</v>
      </c>
      <c r="F36" t="s">
        <v>27</v>
      </c>
      <c r="G36">
        <v>1300</v>
      </c>
      <c r="J36" s="1">
        <v>1.0646666666666667</v>
      </c>
      <c r="K36" t="s">
        <v>207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v>1600</v>
      </c>
      <c r="D37">
        <v>7.6190476190476197E-2</v>
      </c>
      <c r="E37" t="s">
        <v>9</v>
      </c>
      <c r="F37" t="s">
        <v>51</v>
      </c>
      <c r="G37">
        <v>1600</v>
      </c>
      <c r="J37" s="1">
        <v>0.74604761904761907</v>
      </c>
      <c r="K37" t="s">
        <v>208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v>19251.400000000001</v>
      </c>
      <c r="D38">
        <v>0.9167333333333334</v>
      </c>
      <c r="E38" t="s">
        <v>9</v>
      </c>
      <c r="F38" t="s">
        <v>71</v>
      </c>
      <c r="G38">
        <v>19251.400000000001</v>
      </c>
      <c r="J38" s="1">
        <v>0</v>
      </c>
      <c r="K38" t="s">
        <v>210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v>10707.3</v>
      </c>
      <c r="D39">
        <v>0.50987142857142853</v>
      </c>
      <c r="E39" t="s">
        <v>9</v>
      </c>
      <c r="F39" t="s">
        <v>42</v>
      </c>
      <c r="G39">
        <v>10707.3</v>
      </c>
      <c r="J39" s="1">
        <v>0.47914285714285715</v>
      </c>
      <c r="K39" t="s">
        <v>209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v>25300.5</v>
      </c>
      <c r="D40">
        <v>1.2047857142857143</v>
      </c>
      <c r="E40" t="s">
        <v>9</v>
      </c>
      <c r="F40" t="s">
        <v>29</v>
      </c>
      <c r="G40">
        <v>25300.5</v>
      </c>
      <c r="J40" s="1">
        <v>0.61953809523809522</v>
      </c>
      <c r="K40" t="s">
        <v>209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123</v>
      </c>
      <c r="C41">
        <v>0</v>
      </c>
      <c r="D41">
        <v>0</v>
      </c>
      <c r="E41" t="s">
        <v>9</v>
      </c>
      <c r="F41" t="s">
        <v>123</v>
      </c>
      <c r="G41">
        <v>0</v>
      </c>
      <c r="J41" s="1">
        <v>0</v>
      </c>
      <c r="K41" t="s">
        <v>210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v>17335.099999999999</v>
      </c>
      <c r="D42">
        <v>0.82548095238095232</v>
      </c>
      <c r="E42" t="s">
        <v>9</v>
      </c>
      <c r="F42" t="s">
        <v>70</v>
      </c>
      <c r="G42">
        <v>17335.099999999999</v>
      </c>
      <c r="J42" s="1">
        <v>6.1904761904761907E-2</v>
      </c>
      <c r="K42" t="s">
        <v>210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v>11961.3</v>
      </c>
      <c r="D43">
        <v>0.56958571428571425</v>
      </c>
      <c r="E43" t="s">
        <v>9</v>
      </c>
      <c r="F43" t="s">
        <v>103</v>
      </c>
      <c r="G43">
        <v>11961.3</v>
      </c>
      <c r="J43" s="1">
        <v>7.6190476190476197E-2</v>
      </c>
      <c r="K43" t="s">
        <v>210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v>8821</v>
      </c>
      <c r="D44">
        <v>0.42004761904761906</v>
      </c>
      <c r="E44" t="s">
        <v>9</v>
      </c>
      <c r="F44" t="s">
        <v>73</v>
      </c>
      <c r="G44">
        <v>8821</v>
      </c>
      <c r="J44" s="1">
        <v>0.9167333333333334</v>
      </c>
      <c r="K44" t="s">
        <v>208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v>9457.2999999999993</v>
      </c>
      <c r="D45">
        <v>0.450347619047619</v>
      </c>
      <c r="E45" t="s">
        <v>9</v>
      </c>
      <c r="F45" t="s">
        <v>48</v>
      </c>
      <c r="G45">
        <v>9457.2999999999993</v>
      </c>
      <c r="J45" s="1">
        <v>0.50987142857142853</v>
      </c>
      <c r="K45" t="s">
        <v>209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111</v>
      </c>
      <c r="C46">
        <v>0</v>
      </c>
      <c r="D46">
        <v>0</v>
      </c>
      <c r="E46" t="s">
        <v>4</v>
      </c>
      <c r="F46" t="s">
        <v>111</v>
      </c>
      <c r="G46">
        <v>0</v>
      </c>
      <c r="J46" s="1">
        <v>1.2047857142857143</v>
      </c>
      <c r="K46" t="s">
        <v>207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v>78684</v>
      </c>
      <c r="D47">
        <v>1.3566206896551725</v>
      </c>
      <c r="E47" t="s">
        <v>4</v>
      </c>
      <c r="F47" t="s">
        <v>60</v>
      </c>
      <c r="G47">
        <v>78684</v>
      </c>
      <c r="J47" s="1">
        <v>0</v>
      </c>
      <c r="K47" t="s">
        <v>210</v>
      </c>
      <c r="L47" t="s">
        <v>9</v>
      </c>
      <c r="M47">
        <v>0</v>
      </c>
      <c r="N47">
        <v>21000</v>
      </c>
      <c r="O47" t="s">
        <v>123</v>
      </c>
    </row>
    <row r="48" spans="1:15" x14ac:dyDescent="0.25">
      <c r="A48" t="s">
        <v>4</v>
      </c>
      <c r="B48" t="s">
        <v>40</v>
      </c>
      <c r="C48">
        <v>22008.61</v>
      </c>
      <c r="D48">
        <v>0.37945879310344827</v>
      </c>
      <c r="E48" t="s">
        <v>4</v>
      </c>
      <c r="F48" t="s">
        <v>40</v>
      </c>
      <c r="G48">
        <v>22008.61</v>
      </c>
      <c r="J48" s="1">
        <v>0.82548095238095232</v>
      </c>
      <c r="K48" t="s">
        <v>208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v>23861</v>
      </c>
      <c r="D49">
        <v>0.41139655172413792</v>
      </c>
      <c r="E49" t="s">
        <v>4</v>
      </c>
      <c r="F49" t="s">
        <v>81</v>
      </c>
      <c r="G49">
        <v>23861</v>
      </c>
      <c r="J49" s="1">
        <v>0.56958571428571425</v>
      </c>
      <c r="K49" t="s">
        <v>209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124</v>
      </c>
      <c r="C50">
        <v>49322.67</v>
      </c>
      <c r="D50">
        <v>0.85039086206896553</v>
      </c>
      <c r="E50" t="s">
        <v>4</v>
      </c>
      <c r="F50" t="s">
        <v>124</v>
      </c>
      <c r="G50">
        <v>49322.67</v>
      </c>
      <c r="J50" s="1">
        <v>0.42004761904761906</v>
      </c>
      <c r="K50" t="s">
        <v>209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v>24191.91</v>
      </c>
      <c r="D51">
        <v>0.41710189655172414</v>
      </c>
      <c r="E51" t="s">
        <v>4</v>
      </c>
      <c r="F51" t="s">
        <v>20</v>
      </c>
      <c r="G51">
        <v>24191.91</v>
      </c>
      <c r="J51" s="1">
        <v>0.450347619047619</v>
      </c>
      <c r="K51" t="s">
        <v>209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v>83209.83</v>
      </c>
      <c r="D52">
        <v>1.4346522413793104</v>
      </c>
      <c r="E52" t="s">
        <v>4</v>
      </c>
      <c r="F52" t="s">
        <v>75</v>
      </c>
      <c r="G52">
        <v>83209.83</v>
      </c>
      <c r="J52" s="1">
        <v>0</v>
      </c>
      <c r="K52" t="s">
        <v>210</v>
      </c>
      <c r="L52" t="s">
        <v>4</v>
      </c>
      <c r="M52">
        <v>0</v>
      </c>
      <c r="N52">
        <v>58000</v>
      </c>
      <c r="O52" t="s">
        <v>111</v>
      </c>
    </row>
    <row r="53" spans="1:15" x14ac:dyDescent="0.25">
      <c r="A53" t="s">
        <v>4</v>
      </c>
      <c r="B53" t="s">
        <v>11</v>
      </c>
      <c r="C53">
        <v>47644</v>
      </c>
      <c r="D53">
        <v>0.82144827586206892</v>
      </c>
      <c r="E53" t="s">
        <v>4</v>
      </c>
      <c r="F53" t="s">
        <v>11</v>
      </c>
      <c r="G53">
        <v>47644</v>
      </c>
      <c r="J53" s="1">
        <v>1.3566206896551725</v>
      </c>
      <c r="K53" t="s">
        <v>207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v>111621.2</v>
      </c>
      <c r="D54">
        <v>1.9245034482758621</v>
      </c>
      <c r="E54" t="s">
        <v>4</v>
      </c>
      <c r="F54" t="s">
        <v>59</v>
      </c>
      <c r="G54">
        <v>111621.2</v>
      </c>
      <c r="J54" s="1">
        <v>0.37945879310344827</v>
      </c>
      <c r="K54" t="s">
        <v>210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117</v>
      </c>
      <c r="B55" t="s">
        <v>18</v>
      </c>
      <c r="C55">
        <v>18262</v>
      </c>
      <c r="D55">
        <v>1.1067878787878789</v>
      </c>
      <c r="E55" t="s">
        <v>117</v>
      </c>
      <c r="F55" t="s">
        <v>18</v>
      </c>
      <c r="G55">
        <v>18262</v>
      </c>
      <c r="J55" s="1">
        <v>0.41139655172413792</v>
      </c>
      <c r="K55" t="s">
        <v>209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117</v>
      </c>
      <c r="B56" t="s">
        <v>14</v>
      </c>
      <c r="C56">
        <v>18788</v>
      </c>
      <c r="D56">
        <v>1.1386666666666667</v>
      </c>
      <c r="E56" t="s">
        <v>117</v>
      </c>
      <c r="F56" t="s">
        <v>14</v>
      </c>
      <c r="G56">
        <v>18788</v>
      </c>
      <c r="J56" s="1">
        <v>0.85039086206896553</v>
      </c>
      <c r="K56" t="s">
        <v>208</v>
      </c>
      <c r="L56" t="s">
        <v>4</v>
      </c>
      <c r="M56">
        <v>49322.67</v>
      </c>
      <c r="N56">
        <v>58000</v>
      </c>
      <c r="O56" t="s">
        <v>124</v>
      </c>
    </row>
    <row r="57" spans="1:15" x14ac:dyDescent="0.25">
      <c r="A57" t="s">
        <v>117</v>
      </c>
      <c r="B57" t="s">
        <v>80</v>
      </c>
      <c r="C57">
        <v>19834</v>
      </c>
      <c r="D57">
        <v>1.2020606060606061</v>
      </c>
      <c r="E57" t="s">
        <v>117</v>
      </c>
      <c r="F57" t="s">
        <v>80</v>
      </c>
      <c r="G57">
        <v>19834</v>
      </c>
      <c r="J57" s="1">
        <v>0.41710189655172414</v>
      </c>
      <c r="K57" t="s">
        <v>209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117</v>
      </c>
      <c r="B58" t="s">
        <v>24</v>
      </c>
      <c r="C58">
        <v>0</v>
      </c>
      <c r="D58">
        <v>0</v>
      </c>
      <c r="E58" t="s">
        <v>117</v>
      </c>
      <c r="F58" t="s">
        <v>24</v>
      </c>
      <c r="G58">
        <v>0</v>
      </c>
      <c r="J58" s="1">
        <v>1.4346522413793104</v>
      </c>
      <c r="K58" t="s">
        <v>207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117</v>
      </c>
      <c r="B59" t="s">
        <v>83</v>
      </c>
      <c r="C59">
        <v>14285</v>
      </c>
      <c r="D59">
        <v>0.86575757575757573</v>
      </c>
      <c r="E59" t="s">
        <v>117</v>
      </c>
      <c r="F59" t="s">
        <v>83</v>
      </c>
      <c r="G59">
        <v>14285</v>
      </c>
      <c r="J59" s="1">
        <v>0.82144827586206892</v>
      </c>
      <c r="K59" t="s">
        <v>208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117</v>
      </c>
      <c r="B60" t="s">
        <v>49</v>
      </c>
      <c r="C60">
        <v>18962</v>
      </c>
      <c r="D60">
        <v>1.1492121212121211</v>
      </c>
      <c r="E60" t="s">
        <v>117</v>
      </c>
      <c r="F60" t="s">
        <v>49</v>
      </c>
      <c r="G60">
        <v>18962</v>
      </c>
      <c r="J60" s="1">
        <v>1.9245034482758621</v>
      </c>
      <c r="K60" t="s">
        <v>207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117</v>
      </c>
      <c r="B61" t="s">
        <v>96</v>
      </c>
      <c r="C61">
        <v>9410</v>
      </c>
      <c r="D61">
        <v>0.57030303030303031</v>
      </c>
      <c r="E61" t="s">
        <v>117</v>
      </c>
      <c r="F61" t="s">
        <v>96</v>
      </c>
      <c r="G61">
        <v>9410</v>
      </c>
      <c r="J61" s="1">
        <v>1.1067878787878789</v>
      </c>
      <c r="K61" t="s">
        <v>207</v>
      </c>
      <c r="L61" t="s">
        <v>117</v>
      </c>
      <c r="M61">
        <v>18262</v>
      </c>
      <c r="N61">
        <v>16500</v>
      </c>
      <c r="O61" t="s">
        <v>18</v>
      </c>
    </row>
    <row r="62" spans="1:15" x14ac:dyDescent="0.25">
      <c r="A62" t="s">
        <v>117</v>
      </c>
      <c r="B62" t="s">
        <v>65</v>
      </c>
      <c r="C62">
        <v>2630</v>
      </c>
      <c r="D62">
        <v>0.15939393939393939</v>
      </c>
      <c r="E62" t="s">
        <v>117</v>
      </c>
      <c r="F62" t="s">
        <v>65</v>
      </c>
      <c r="G62">
        <v>2630</v>
      </c>
      <c r="J62" s="1">
        <v>1.1386666666666667</v>
      </c>
      <c r="K62" t="s">
        <v>207</v>
      </c>
      <c r="L62" t="s">
        <v>117</v>
      </c>
      <c r="M62">
        <v>18788</v>
      </c>
      <c r="N62">
        <v>16500</v>
      </c>
      <c r="O62" t="s">
        <v>14</v>
      </c>
    </row>
    <row r="63" spans="1:15" x14ac:dyDescent="0.25">
      <c r="A63" t="s">
        <v>117</v>
      </c>
      <c r="B63" t="s">
        <v>33</v>
      </c>
      <c r="C63">
        <v>12405.4</v>
      </c>
      <c r="D63">
        <v>0.7518424242424242</v>
      </c>
      <c r="E63" t="s">
        <v>117</v>
      </c>
      <c r="F63" t="s">
        <v>33</v>
      </c>
      <c r="G63">
        <v>12405.4</v>
      </c>
      <c r="J63" s="1">
        <v>1.2020606060606061</v>
      </c>
      <c r="K63" t="s">
        <v>207</v>
      </c>
      <c r="L63" t="s">
        <v>117</v>
      </c>
      <c r="M63">
        <v>19834</v>
      </c>
      <c r="N63">
        <v>16500</v>
      </c>
      <c r="O63" t="s">
        <v>80</v>
      </c>
    </row>
    <row r="64" spans="1:15" x14ac:dyDescent="0.25">
      <c r="A64" t="s">
        <v>117</v>
      </c>
      <c r="B64" t="s">
        <v>68</v>
      </c>
      <c r="C64">
        <v>17533</v>
      </c>
      <c r="D64">
        <v>1.0626060606060606</v>
      </c>
      <c r="E64" t="s">
        <v>117</v>
      </c>
      <c r="F64" t="s">
        <v>68</v>
      </c>
      <c r="G64">
        <v>17533</v>
      </c>
      <c r="J64" s="1">
        <v>0</v>
      </c>
      <c r="K64" t="s">
        <v>210</v>
      </c>
      <c r="L64" t="s">
        <v>117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v>35091.5</v>
      </c>
      <c r="D65">
        <v>0.60502586206896547</v>
      </c>
      <c r="E65" t="s">
        <v>7</v>
      </c>
      <c r="F65" t="s">
        <v>58</v>
      </c>
      <c r="G65">
        <v>35091.5</v>
      </c>
      <c r="J65" s="1">
        <v>0.86575757575757573</v>
      </c>
      <c r="K65" t="s">
        <v>208</v>
      </c>
      <c r="L65" t="s">
        <v>117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v>0</v>
      </c>
      <c r="D66">
        <v>0</v>
      </c>
      <c r="E66" t="s">
        <v>7</v>
      </c>
      <c r="F66" t="s">
        <v>22</v>
      </c>
      <c r="G66">
        <v>0</v>
      </c>
      <c r="J66" s="1">
        <v>1.1492121212121211</v>
      </c>
      <c r="K66" t="s">
        <v>207</v>
      </c>
      <c r="L66" t="s">
        <v>117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v>37285.699999999997</v>
      </c>
      <c r="D67">
        <v>0.64285689655172407</v>
      </c>
      <c r="E67" t="s">
        <v>7</v>
      </c>
      <c r="F67" t="s">
        <v>57</v>
      </c>
      <c r="G67">
        <v>37285.699999999997</v>
      </c>
      <c r="J67" s="1">
        <v>0.57030303030303031</v>
      </c>
      <c r="K67" t="s">
        <v>209</v>
      </c>
      <c r="L67" t="s">
        <v>117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125</v>
      </c>
      <c r="C68">
        <v>9113</v>
      </c>
      <c r="D68">
        <v>0.15712068965517242</v>
      </c>
      <c r="E68" t="s">
        <v>7</v>
      </c>
      <c r="F68" t="s">
        <v>125</v>
      </c>
      <c r="G68">
        <v>9113</v>
      </c>
      <c r="J68" s="1">
        <v>0.15939393939393939</v>
      </c>
      <c r="K68" t="s">
        <v>210</v>
      </c>
      <c r="L68" t="s">
        <v>117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v>70030</v>
      </c>
      <c r="D69">
        <v>1.2074137931034483</v>
      </c>
      <c r="E69" t="s">
        <v>7</v>
      </c>
      <c r="F69" t="s">
        <v>23</v>
      </c>
      <c r="G69">
        <v>70030</v>
      </c>
      <c r="J69" s="1">
        <v>0.7518424242424242</v>
      </c>
      <c r="K69" t="s">
        <v>208</v>
      </c>
      <c r="L69" t="s">
        <v>117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v>53508</v>
      </c>
      <c r="D70">
        <v>0.92255172413793107</v>
      </c>
      <c r="E70" t="s">
        <v>7</v>
      </c>
      <c r="F70" t="s">
        <v>25</v>
      </c>
      <c r="G70">
        <v>53508</v>
      </c>
      <c r="J70" s="1">
        <v>1.0626060606060606</v>
      </c>
      <c r="K70" t="s">
        <v>207</v>
      </c>
      <c r="L70" t="s">
        <v>117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v>49852.9</v>
      </c>
      <c r="D71">
        <v>0.85953275862068967</v>
      </c>
      <c r="E71" t="s">
        <v>7</v>
      </c>
      <c r="F71" t="s">
        <v>63</v>
      </c>
      <c r="G71">
        <v>49852.9</v>
      </c>
      <c r="J71" s="1">
        <v>0.60502586206896547</v>
      </c>
      <c r="K71" t="s">
        <v>209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v>34037</v>
      </c>
      <c r="D72">
        <v>0.58684482758620693</v>
      </c>
      <c r="E72" t="s">
        <v>7</v>
      </c>
      <c r="F72" t="s">
        <v>30</v>
      </c>
      <c r="G72">
        <v>34037</v>
      </c>
      <c r="J72" s="1">
        <v>0</v>
      </c>
      <c r="K72" t="s">
        <v>210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v>34037</v>
      </c>
      <c r="D73">
        <v>0.58684482758620693</v>
      </c>
      <c r="E73" t="s">
        <v>7</v>
      </c>
      <c r="F73" t="s">
        <v>10</v>
      </c>
      <c r="G73">
        <v>34037</v>
      </c>
      <c r="J73" s="1">
        <v>0.64285689655172407</v>
      </c>
      <c r="K73" t="s">
        <v>209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210</v>
      </c>
      <c r="L74" t="s">
        <v>7</v>
      </c>
      <c r="M74">
        <v>9113</v>
      </c>
      <c r="N74">
        <v>58000</v>
      </c>
      <c r="O74" t="s">
        <v>125</v>
      </c>
    </row>
    <row r="75" spans="1:15" x14ac:dyDescent="0.25">
      <c r="J75" s="1">
        <v>1.2074137931034483</v>
      </c>
      <c r="K75" t="s">
        <v>207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208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208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209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209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58</v>
      </c>
      <c r="C3">
        <v>32937.5</v>
      </c>
      <c r="D3">
        <v>0.56788793103448276</v>
      </c>
      <c r="E3" t="s">
        <v>3</v>
      </c>
      <c r="F3" t="s">
        <v>58</v>
      </c>
      <c r="G3">
        <v>32937.5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72</v>
      </c>
      <c r="C4">
        <v>36965</v>
      </c>
      <c r="D4">
        <v>0.63732758620689656</v>
      </c>
      <c r="E4" t="s">
        <v>3</v>
      </c>
      <c r="F4" t="s">
        <v>72</v>
      </c>
      <c r="G4">
        <v>36965</v>
      </c>
    </row>
    <row r="5" spans="1:41" x14ac:dyDescent="0.25">
      <c r="A5" t="s">
        <v>3</v>
      </c>
      <c r="B5" t="s">
        <v>22</v>
      </c>
      <c r="C5">
        <v>73140.799999999901</v>
      </c>
      <c r="D5">
        <v>1.2610482758620674</v>
      </c>
      <c r="E5" t="s">
        <v>3</v>
      </c>
      <c r="F5" t="s">
        <v>22</v>
      </c>
      <c r="G5">
        <v>73140.799999999901</v>
      </c>
    </row>
    <row r="6" spans="1:41" x14ac:dyDescent="0.25">
      <c r="A6" t="s">
        <v>3</v>
      </c>
      <c r="B6" t="s">
        <v>57</v>
      </c>
      <c r="C6">
        <v>49471</v>
      </c>
      <c r="D6">
        <v>0.85294827586206901</v>
      </c>
      <c r="E6" t="s">
        <v>3</v>
      </c>
      <c r="F6" t="s">
        <v>57</v>
      </c>
      <c r="G6">
        <v>49471</v>
      </c>
    </row>
    <row r="7" spans="1:41" x14ac:dyDescent="0.25">
      <c r="A7" t="s">
        <v>3</v>
      </c>
      <c r="B7" t="s">
        <v>23</v>
      </c>
      <c r="C7">
        <v>112847.5</v>
      </c>
      <c r="D7">
        <v>1.9456465517241379</v>
      </c>
      <c r="E7" t="s">
        <v>3</v>
      </c>
      <c r="F7" t="s">
        <v>23</v>
      </c>
      <c r="G7">
        <v>112847.5</v>
      </c>
    </row>
    <row r="8" spans="1:41" x14ac:dyDescent="0.25">
      <c r="A8" t="s">
        <v>3</v>
      </c>
      <c r="B8" t="s">
        <v>63</v>
      </c>
      <c r="C8">
        <v>36454.699999999997</v>
      </c>
      <c r="D8">
        <v>0.62852931034482751</v>
      </c>
      <c r="E8" t="s">
        <v>3</v>
      </c>
      <c r="F8" t="s">
        <v>63</v>
      </c>
      <c r="G8">
        <v>36454.699999999997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268</v>
      </c>
      <c r="V8" s="41" t="s">
        <v>269</v>
      </c>
      <c r="W8" s="41" t="s">
        <v>270</v>
      </c>
      <c r="X8" s="41" t="s">
        <v>271</v>
      </c>
      <c r="Y8" s="41" t="s">
        <v>272</v>
      </c>
      <c r="Z8" s="41" t="s">
        <v>273</v>
      </c>
      <c r="AA8" s="41" t="s">
        <v>274</v>
      </c>
      <c r="AB8" s="41" t="s">
        <v>275</v>
      </c>
      <c r="AC8" s="41" t="s">
        <v>276</v>
      </c>
      <c r="AD8" s="41" t="s">
        <v>277</v>
      </c>
      <c r="AE8" s="41" t="s">
        <v>278</v>
      </c>
      <c r="AF8" s="41" t="s">
        <v>279</v>
      </c>
      <c r="AG8" s="41" t="s">
        <v>280</v>
      </c>
      <c r="AH8" s="41" t="s">
        <v>281</v>
      </c>
      <c r="AI8" s="41" t="s">
        <v>282</v>
      </c>
      <c r="AJ8" s="41" t="s">
        <v>283</v>
      </c>
      <c r="AK8" s="41" t="s">
        <v>284</v>
      </c>
      <c r="AL8" s="41" t="s">
        <v>285</v>
      </c>
      <c r="AM8" s="41" t="s">
        <v>286</v>
      </c>
      <c r="AN8" s="41" t="s">
        <v>287</v>
      </c>
      <c r="AO8" s="19" t="s">
        <v>136</v>
      </c>
    </row>
    <row r="9" spans="1:41" x14ac:dyDescent="0.25">
      <c r="A9" t="s">
        <v>3</v>
      </c>
      <c r="B9" t="s">
        <v>30</v>
      </c>
      <c r="C9">
        <v>30382</v>
      </c>
      <c r="D9">
        <v>0.52382758620689651</v>
      </c>
      <c r="E9" t="s">
        <v>3</v>
      </c>
      <c r="F9" t="s">
        <v>30</v>
      </c>
      <c r="G9">
        <v>30382</v>
      </c>
      <c r="J9" s="1">
        <v>0.56788793103448276</v>
      </c>
      <c r="K9" t="s">
        <v>209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195</v>
      </c>
    </row>
    <row r="10" spans="1:41" x14ac:dyDescent="0.25">
      <c r="A10" t="s">
        <v>3</v>
      </c>
      <c r="B10" t="s">
        <v>10</v>
      </c>
      <c r="C10">
        <v>34881</v>
      </c>
      <c r="D10">
        <v>0.60139655172413797</v>
      </c>
      <c r="E10" t="s">
        <v>3</v>
      </c>
      <c r="F10" t="s">
        <v>10</v>
      </c>
      <c r="G10">
        <v>34881</v>
      </c>
      <c r="J10" s="1">
        <v>0.63732758620689656</v>
      </c>
      <c r="K10" t="s">
        <v>209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195</v>
      </c>
    </row>
    <row r="11" spans="1:41" x14ac:dyDescent="0.25">
      <c r="A11" t="s">
        <v>3</v>
      </c>
      <c r="B11" t="s">
        <v>76</v>
      </c>
      <c r="C11">
        <v>68790</v>
      </c>
      <c r="D11">
        <v>1.1860344827586207</v>
      </c>
      <c r="E11" t="s">
        <v>3</v>
      </c>
      <c r="F11" t="s">
        <v>76</v>
      </c>
      <c r="G11">
        <v>68790</v>
      </c>
      <c r="J11" s="1">
        <v>1.2610482758620674</v>
      </c>
      <c r="K11" t="s">
        <v>207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195</v>
      </c>
    </row>
    <row r="12" spans="1:41" x14ac:dyDescent="0.25">
      <c r="A12" t="s">
        <v>4</v>
      </c>
      <c r="B12" t="s">
        <v>111</v>
      </c>
      <c r="C12">
        <v>22339</v>
      </c>
      <c r="D12">
        <v>0.3851551724137931</v>
      </c>
      <c r="E12" t="s">
        <v>4</v>
      </c>
      <c r="F12" t="s">
        <v>111</v>
      </c>
      <c r="G12">
        <v>22339</v>
      </c>
      <c r="J12" s="1">
        <v>0.85294827586206901</v>
      </c>
      <c r="K12" t="s">
        <v>208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196</v>
      </c>
    </row>
    <row r="13" spans="1:41" x14ac:dyDescent="0.25">
      <c r="A13" t="s">
        <v>4</v>
      </c>
      <c r="B13" t="s">
        <v>60</v>
      </c>
      <c r="C13">
        <v>38304</v>
      </c>
      <c r="D13">
        <v>0.66041379310344828</v>
      </c>
      <c r="E13" t="s">
        <v>4</v>
      </c>
      <c r="F13" t="s">
        <v>60</v>
      </c>
      <c r="G13">
        <v>38304</v>
      </c>
      <c r="J13" s="1">
        <v>1.9456465517241379</v>
      </c>
      <c r="K13" t="s">
        <v>207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126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199</v>
      </c>
    </row>
    <row r="14" spans="1:41" x14ac:dyDescent="0.25">
      <c r="A14" t="s">
        <v>4</v>
      </c>
      <c r="B14" t="s">
        <v>40</v>
      </c>
      <c r="C14">
        <v>23314.75</v>
      </c>
      <c r="D14">
        <v>0.40197844827586204</v>
      </c>
      <c r="E14" t="s">
        <v>4</v>
      </c>
      <c r="F14" t="s">
        <v>40</v>
      </c>
      <c r="G14">
        <v>23314.75</v>
      </c>
      <c r="J14" s="1">
        <v>0.62852931034482751</v>
      </c>
      <c r="K14" t="s">
        <v>209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197</v>
      </c>
    </row>
    <row r="15" spans="1:41" x14ac:dyDescent="0.25">
      <c r="A15" t="s">
        <v>4</v>
      </c>
      <c r="B15" t="s">
        <v>81</v>
      </c>
      <c r="C15">
        <v>11363</v>
      </c>
      <c r="D15">
        <v>0.19591379310344828</v>
      </c>
      <c r="E15" t="s">
        <v>4</v>
      </c>
      <c r="F15" t="s">
        <v>81</v>
      </c>
      <c r="G15">
        <v>11363</v>
      </c>
      <c r="J15" s="1">
        <v>0.52382758620689651</v>
      </c>
      <c r="K15" t="s">
        <v>209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198</v>
      </c>
    </row>
    <row r="16" spans="1:41" x14ac:dyDescent="0.25">
      <c r="A16" t="s">
        <v>4</v>
      </c>
      <c r="B16" t="s">
        <v>20</v>
      </c>
      <c r="C16">
        <v>14000</v>
      </c>
      <c r="D16">
        <v>0.2413793103448276</v>
      </c>
      <c r="E16" t="s">
        <v>4</v>
      </c>
      <c r="F16" t="s">
        <v>20</v>
      </c>
      <c r="G16">
        <v>14000</v>
      </c>
      <c r="J16" s="1">
        <v>0.60139655172413797</v>
      </c>
      <c r="K16" t="s">
        <v>209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v>28485.1</v>
      </c>
      <c r="D17">
        <v>0.4911224137931034</v>
      </c>
      <c r="E17" t="s">
        <v>4</v>
      </c>
      <c r="F17" t="s">
        <v>29</v>
      </c>
      <c r="G17">
        <v>28485.1</v>
      </c>
      <c r="J17" s="1">
        <v>1.1860344827586207</v>
      </c>
      <c r="K17" t="s">
        <v>207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v>51718</v>
      </c>
      <c r="D18">
        <v>0.89168965517241383</v>
      </c>
      <c r="E18" t="s">
        <v>4</v>
      </c>
      <c r="F18" t="s">
        <v>75</v>
      </c>
      <c r="G18">
        <v>51718</v>
      </c>
      <c r="J18" s="1">
        <v>0.3851551724137931</v>
      </c>
      <c r="K18" t="s">
        <v>210</v>
      </c>
      <c r="L18" t="s">
        <v>4</v>
      </c>
      <c r="M18">
        <v>22339</v>
      </c>
      <c r="N18">
        <v>58000</v>
      </c>
      <c r="O18" t="s">
        <v>111</v>
      </c>
    </row>
    <row r="19" spans="1:15" x14ac:dyDescent="0.25">
      <c r="A19" t="s">
        <v>4</v>
      </c>
      <c r="B19" t="s">
        <v>11</v>
      </c>
      <c r="C19">
        <v>49078</v>
      </c>
      <c r="D19">
        <v>0.84617241379310348</v>
      </c>
      <c r="E19" t="s">
        <v>4</v>
      </c>
      <c r="F19" t="s">
        <v>11</v>
      </c>
      <c r="G19">
        <v>49078</v>
      </c>
      <c r="J19" s="1">
        <v>0.66041379310344828</v>
      </c>
      <c r="K19" t="s">
        <v>209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v>63455.519999999997</v>
      </c>
      <c r="D20">
        <v>1.0940606896551723</v>
      </c>
      <c r="E20" t="s">
        <v>4</v>
      </c>
      <c r="F20" t="s">
        <v>59</v>
      </c>
      <c r="G20">
        <v>63455.519999999997</v>
      </c>
      <c r="J20" s="1">
        <v>0.40197844827586204</v>
      </c>
      <c r="K20" t="s">
        <v>209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v>13776</v>
      </c>
      <c r="D21">
        <v>0.62618181818181817</v>
      </c>
      <c r="E21" t="s">
        <v>2</v>
      </c>
      <c r="F21" t="s">
        <v>41</v>
      </c>
      <c r="G21">
        <v>13776</v>
      </c>
      <c r="J21" s="1">
        <v>0.19591379310344828</v>
      </c>
      <c r="K21" t="s">
        <v>210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v>29166</v>
      </c>
      <c r="D22">
        <v>1.3257272727272726</v>
      </c>
      <c r="E22" t="s">
        <v>2</v>
      </c>
      <c r="F22" t="s">
        <v>16</v>
      </c>
      <c r="G22">
        <v>29166</v>
      </c>
      <c r="J22" s="1">
        <v>0.2413793103448276</v>
      </c>
      <c r="K22" t="s">
        <v>210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v>22042.6</v>
      </c>
      <c r="D23">
        <v>1.0019363636363636</v>
      </c>
      <c r="E23" t="s">
        <v>2</v>
      </c>
      <c r="F23" t="s">
        <v>12</v>
      </c>
      <c r="G23">
        <v>22042.6</v>
      </c>
      <c r="J23" s="1">
        <v>0.4911224137931034</v>
      </c>
      <c r="K23" t="s">
        <v>209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v>12364</v>
      </c>
      <c r="D24">
        <v>0.56200000000000006</v>
      </c>
      <c r="E24" t="s">
        <v>2</v>
      </c>
      <c r="F24" t="s">
        <v>32</v>
      </c>
      <c r="G24">
        <v>12364</v>
      </c>
      <c r="J24" s="1">
        <v>0.89168965517241383</v>
      </c>
      <c r="K24" t="s">
        <v>208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v>19225.2</v>
      </c>
      <c r="D25">
        <v>0.87387272727272736</v>
      </c>
      <c r="E25" t="s">
        <v>2</v>
      </c>
      <c r="F25" t="s">
        <v>26</v>
      </c>
      <c r="G25">
        <v>19225.2</v>
      </c>
      <c r="J25" s="1">
        <v>0.84617241379310348</v>
      </c>
      <c r="K25" t="s">
        <v>208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v>10843</v>
      </c>
      <c r="D26">
        <v>0.49286363636363634</v>
      </c>
      <c r="E26" t="s">
        <v>2</v>
      </c>
      <c r="F26" t="s">
        <v>77</v>
      </c>
      <c r="G26">
        <v>10843</v>
      </c>
      <c r="J26" s="1">
        <v>1.0940606896551723</v>
      </c>
      <c r="K26" t="s">
        <v>207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v>2200</v>
      </c>
      <c r="D27">
        <v>0.1</v>
      </c>
      <c r="E27" t="s">
        <v>2</v>
      </c>
      <c r="F27" t="s">
        <v>46</v>
      </c>
      <c r="G27">
        <v>2200</v>
      </c>
      <c r="J27" s="1">
        <v>0.62618181818181817</v>
      </c>
      <c r="K27" t="s">
        <v>209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v>14892.8</v>
      </c>
      <c r="D28">
        <v>0.67694545454545452</v>
      </c>
      <c r="E28" t="s">
        <v>2</v>
      </c>
      <c r="F28" t="s">
        <v>74</v>
      </c>
      <c r="G28">
        <v>14892.8</v>
      </c>
      <c r="J28" s="1">
        <v>1.3257272727272726</v>
      </c>
      <c r="K28" t="s">
        <v>207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128</v>
      </c>
      <c r="C29">
        <v>600</v>
      </c>
      <c r="D29">
        <v>2.7272727272727271E-2</v>
      </c>
      <c r="E29" t="s">
        <v>2</v>
      </c>
      <c r="F29" t="s">
        <v>128</v>
      </c>
      <c r="G29">
        <v>600</v>
      </c>
      <c r="J29" s="1">
        <v>1.0019363636363636</v>
      </c>
      <c r="K29" t="s">
        <v>207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119</v>
      </c>
      <c r="C30">
        <v>7792</v>
      </c>
      <c r="D30">
        <v>0.35418181818181821</v>
      </c>
      <c r="E30" t="s">
        <v>2</v>
      </c>
      <c r="F30" t="s">
        <v>119</v>
      </c>
      <c r="G30">
        <v>7792</v>
      </c>
      <c r="J30" s="1">
        <v>0.56200000000000006</v>
      </c>
      <c r="K30" t="s">
        <v>209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v>15560</v>
      </c>
      <c r="D31">
        <v>0.70727272727272728</v>
      </c>
      <c r="E31" t="s">
        <v>2</v>
      </c>
      <c r="F31" t="s">
        <v>78</v>
      </c>
      <c r="G31">
        <v>15560</v>
      </c>
      <c r="J31" s="1">
        <v>0.87387272727272736</v>
      </c>
      <c r="K31" t="s">
        <v>208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v>4300</v>
      </c>
      <c r="D32">
        <v>0.19545454545454546</v>
      </c>
      <c r="E32" t="s">
        <v>2</v>
      </c>
      <c r="F32" t="s">
        <v>39</v>
      </c>
      <c r="G32">
        <v>4300</v>
      </c>
      <c r="J32" s="1">
        <v>0.49286363636363634</v>
      </c>
      <c r="K32" t="s">
        <v>209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v>64768.5</v>
      </c>
      <c r="D33">
        <v>1.1166982758620689</v>
      </c>
      <c r="E33" t="s">
        <v>5</v>
      </c>
      <c r="F33" t="s">
        <v>85</v>
      </c>
      <c r="G33">
        <v>64768.5</v>
      </c>
      <c r="J33" s="1">
        <v>0.1</v>
      </c>
      <c r="K33" t="s">
        <v>210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v>58933</v>
      </c>
      <c r="D34">
        <v>1.0160862068965517</v>
      </c>
      <c r="E34" t="s">
        <v>5</v>
      </c>
      <c r="F34" t="s">
        <v>67</v>
      </c>
      <c r="G34">
        <v>58933</v>
      </c>
      <c r="J34" s="1">
        <v>0.67694545454545452</v>
      </c>
      <c r="K34" t="s">
        <v>209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v>48029.43</v>
      </c>
      <c r="D35">
        <v>0.8280936206896552</v>
      </c>
      <c r="E35" t="s">
        <v>5</v>
      </c>
      <c r="F35" t="s">
        <v>13</v>
      </c>
      <c r="G35">
        <v>48029.43</v>
      </c>
      <c r="J35" s="1">
        <v>2.7272727272727271E-2</v>
      </c>
      <c r="K35" t="s">
        <v>210</v>
      </c>
      <c r="L35" t="s">
        <v>2</v>
      </c>
      <c r="M35">
        <v>600</v>
      </c>
      <c r="N35">
        <v>22000</v>
      </c>
      <c r="O35" t="s">
        <v>128</v>
      </c>
    </row>
    <row r="36" spans="1:15" x14ac:dyDescent="0.25">
      <c r="A36" t="s">
        <v>5</v>
      </c>
      <c r="B36" t="s">
        <v>66</v>
      </c>
      <c r="C36">
        <v>39756</v>
      </c>
      <c r="D36">
        <v>0.68544827586206891</v>
      </c>
      <c r="E36" t="s">
        <v>5</v>
      </c>
      <c r="F36" t="s">
        <v>66</v>
      </c>
      <c r="G36">
        <v>39756</v>
      </c>
      <c r="J36" s="1">
        <v>0.35418181818181821</v>
      </c>
      <c r="K36" t="s">
        <v>210</v>
      </c>
      <c r="L36" t="s">
        <v>2</v>
      </c>
      <c r="M36">
        <v>7792</v>
      </c>
      <c r="N36">
        <v>22000</v>
      </c>
      <c r="O36" t="s">
        <v>119</v>
      </c>
    </row>
    <row r="37" spans="1:15" x14ac:dyDescent="0.25">
      <c r="A37" t="s">
        <v>5</v>
      </c>
      <c r="B37" t="s">
        <v>118</v>
      </c>
      <c r="C37">
        <v>24770</v>
      </c>
      <c r="D37">
        <v>0.42706896551724138</v>
      </c>
      <c r="E37" t="s">
        <v>5</v>
      </c>
      <c r="F37" t="s">
        <v>118</v>
      </c>
      <c r="G37">
        <v>24770</v>
      </c>
      <c r="J37" s="1">
        <v>0.70727272727272728</v>
      </c>
      <c r="K37" t="s">
        <v>208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107</v>
      </c>
      <c r="C38">
        <v>26006</v>
      </c>
      <c r="D38">
        <v>0.44837931034482759</v>
      </c>
      <c r="E38" t="s">
        <v>5</v>
      </c>
      <c r="F38" t="s">
        <v>107</v>
      </c>
      <c r="G38">
        <v>26006</v>
      </c>
      <c r="J38" s="1">
        <v>0.19545454545454546</v>
      </c>
      <c r="K38" t="s">
        <v>210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v>30967</v>
      </c>
      <c r="D39">
        <v>0.53391379310344833</v>
      </c>
      <c r="E39" t="s">
        <v>5</v>
      </c>
      <c r="F39" t="s">
        <v>17</v>
      </c>
      <c r="G39">
        <v>30967</v>
      </c>
      <c r="J39" s="1">
        <v>1.1166982758620689</v>
      </c>
      <c r="K39" t="s">
        <v>207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v>44844</v>
      </c>
      <c r="D40">
        <v>0.77317241379310342</v>
      </c>
      <c r="E40" t="s">
        <v>5</v>
      </c>
      <c r="F40" t="s">
        <v>62</v>
      </c>
      <c r="G40">
        <v>44844</v>
      </c>
      <c r="J40" s="1">
        <v>1.0160862068965517</v>
      </c>
      <c r="K40" t="s">
        <v>207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v>41415.49</v>
      </c>
      <c r="D41">
        <v>0.71406017241379305</v>
      </c>
      <c r="E41" t="s">
        <v>5</v>
      </c>
      <c r="F41" t="s">
        <v>79</v>
      </c>
      <c r="G41">
        <v>41415.49</v>
      </c>
      <c r="J41" s="1">
        <v>0.8280936206896552</v>
      </c>
      <c r="K41" t="s">
        <v>208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120</v>
      </c>
      <c r="C42">
        <v>16800</v>
      </c>
      <c r="D42">
        <v>0.8</v>
      </c>
      <c r="E42" t="s">
        <v>6</v>
      </c>
      <c r="F42" t="s">
        <v>120</v>
      </c>
      <c r="G42">
        <v>16800</v>
      </c>
      <c r="J42" s="1">
        <v>0.68544827586206891</v>
      </c>
      <c r="K42" t="s">
        <v>209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v>26643.82</v>
      </c>
      <c r="D43">
        <v>1.2687533333333334</v>
      </c>
      <c r="E43" t="s">
        <v>6</v>
      </c>
      <c r="F43" t="s">
        <v>19</v>
      </c>
      <c r="G43">
        <v>26643.82</v>
      </c>
      <c r="J43" s="1">
        <v>0.42706896551724138</v>
      </c>
      <c r="K43" t="s">
        <v>209</v>
      </c>
      <c r="L43" t="s">
        <v>5</v>
      </c>
      <c r="M43">
        <v>24770</v>
      </c>
      <c r="N43">
        <v>58000</v>
      </c>
      <c r="O43" t="s">
        <v>118</v>
      </c>
    </row>
    <row r="44" spans="1:15" x14ac:dyDescent="0.25">
      <c r="A44" t="s">
        <v>6</v>
      </c>
      <c r="B44" t="s">
        <v>37</v>
      </c>
      <c r="C44">
        <v>8590</v>
      </c>
      <c r="D44">
        <v>0.40904761904761905</v>
      </c>
      <c r="E44" t="s">
        <v>6</v>
      </c>
      <c r="F44" t="s">
        <v>37</v>
      </c>
      <c r="G44">
        <v>8590</v>
      </c>
      <c r="J44" s="1">
        <v>0.44837931034482759</v>
      </c>
      <c r="K44" t="s">
        <v>209</v>
      </c>
      <c r="L44" t="s">
        <v>5</v>
      </c>
      <c r="M44">
        <v>26006</v>
      </c>
      <c r="N44">
        <v>58000</v>
      </c>
      <c r="O44" t="s">
        <v>107</v>
      </c>
    </row>
    <row r="45" spans="1:15" x14ac:dyDescent="0.25">
      <c r="A45" t="s">
        <v>6</v>
      </c>
      <c r="B45" t="s">
        <v>35</v>
      </c>
      <c r="C45">
        <v>7640</v>
      </c>
      <c r="D45">
        <v>0.3638095238095238</v>
      </c>
      <c r="E45" t="s">
        <v>6</v>
      </c>
      <c r="F45" t="s">
        <v>35</v>
      </c>
      <c r="G45">
        <v>7640</v>
      </c>
      <c r="J45" s="1">
        <v>0.53391379310344833</v>
      </c>
      <c r="K45" t="s">
        <v>209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v>16180</v>
      </c>
      <c r="D46">
        <v>0.77047619047619043</v>
      </c>
      <c r="E46" t="s">
        <v>6</v>
      </c>
      <c r="F46" t="s">
        <v>31</v>
      </c>
      <c r="G46">
        <v>16180</v>
      </c>
      <c r="J46" s="1">
        <v>0.77317241379310342</v>
      </c>
      <c r="K46" t="s">
        <v>208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112</v>
      </c>
      <c r="C47">
        <v>8080</v>
      </c>
      <c r="D47">
        <v>0.38476190476190475</v>
      </c>
      <c r="E47" t="s">
        <v>6</v>
      </c>
      <c r="F47" t="s">
        <v>112</v>
      </c>
      <c r="G47">
        <v>8080</v>
      </c>
      <c r="J47" s="1">
        <v>0.71406017241379305</v>
      </c>
      <c r="K47" t="s">
        <v>208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121</v>
      </c>
      <c r="C48">
        <v>3012.5</v>
      </c>
      <c r="D48">
        <v>0.14345238095238094</v>
      </c>
      <c r="E48" t="s">
        <v>6</v>
      </c>
      <c r="F48" t="s">
        <v>121</v>
      </c>
      <c r="G48">
        <v>3012.5</v>
      </c>
      <c r="J48" s="1">
        <v>0.8</v>
      </c>
      <c r="K48" t="s">
        <v>208</v>
      </c>
      <c r="L48" t="s">
        <v>6</v>
      </c>
      <c r="M48">
        <v>16800</v>
      </c>
      <c r="N48">
        <v>21000</v>
      </c>
      <c r="O48" t="s">
        <v>120</v>
      </c>
    </row>
    <row r="49" spans="1:15" x14ac:dyDescent="0.25">
      <c r="A49" t="s">
        <v>6</v>
      </c>
      <c r="B49" t="s">
        <v>122</v>
      </c>
      <c r="C49">
        <v>33375</v>
      </c>
      <c r="D49">
        <v>1.5892857142857142</v>
      </c>
      <c r="E49" t="s">
        <v>6</v>
      </c>
      <c r="F49" t="s">
        <v>122</v>
      </c>
      <c r="G49">
        <v>33375</v>
      </c>
      <c r="J49" s="1">
        <v>1.2687533333333334</v>
      </c>
      <c r="K49" t="s">
        <v>207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v>8100</v>
      </c>
      <c r="D50">
        <v>0.38571428571428573</v>
      </c>
      <c r="E50" t="s">
        <v>6</v>
      </c>
      <c r="F50" t="s">
        <v>64</v>
      </c>
      <c r="G50">
        <v>8100</v>
      </c>
      <c r="J50" s="1">
        <v>0.40904761904761905</v>
      </c>
      <c r="K50" t="s">
        <v>209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v>20522</v>
      </c>
      <c r="D51">
        <v>0.97723809523809524</v>
      </c>
      <c r="E51" t="s">
        <v>6</v>
      </c>
      <c r="F51" t="s">
        <v>34</v>
      </c>
      <c r="G51">
        <v>20522</v>
      </c>
      <c r="J51" s="1">
        <v>0.3638095238095238</v>
      </c>
      <c r="K51" t="s">
        <v>210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126</v>
      </c>
      <c r="B52" t="s">
        <v>18</v>
      </c>
      <c r="C52">
        <v>18622</v>
      </c>
      <c r="D52">
        <v>1.1286060606060606</v>
      </c>
      <c r="E52" t="s">
        <v>126</v>
      </c>
      <c r="F52" t="s">
        <v>18</v>
      </c>
      <c r="G52">
        <v>18622</v>
      </c>
      <c r="J52" s="1">
        <v>0.77047619047619043</v>
      </c>
      <c r="K52" t="s">
        <v>208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126</v>
      </c>
      <c r="B53" t="s">
        <v>14</v>
      </c>
      <c r="C53">
        <v>18988</v>
      </c>
      <c r="D53">
        <v>1.1507878787878787</v>
      </c>
      <c r="E53" t="s">
        <v>126</v>
      </c>
      <c r="F53" t="s">
        <v>14</v>
      </c>
      <c r="G53">
        <v>18988</v>
      </c>
      <c r="J53" s="1">
        <v>0.38476190476190475</v>
      </c>
      <c r="K53" t="s">
        <v>210</v>
      </c>
      <c r="L53" t="s">
        <v>6</v>
      </c>
      <c r="M53">
        <v>8080</v>
      </c>
      <c r="N53">
        <v>21000</v>
      </c>
      <c r="O53" t="s">
        <v>112</v>
      </c>
    </row>
    <row r="54" spans="1:15" x14ac:dyDescent="0.25">
      <c r="A54" t="s">
        <v>126</v>
      </c>
      <c r="B54" t="s">
        <v>104</v>
      </c>
      <c r="C54">
        <v>2759</v>
      </c>
      <c r="D54">
        <v>0.1672121212121212</v>
      </c>
      <c r="E54" t="s">
        <v>126</v>
      </c>
      <c r="F54" t="s">
        <v>104</v>
      </c>
      <c r="G54">
        <v>2759</v>
      </c>
      <c r="J54" s="1">
        <v>0.14345238095238094</v>
      </c>
      <c r="K54" t="s">
        <v>210</v>
      </c>
      <c r="L54" t="s">
        <v>6</v>
      </c>
      <c r="M54">
        <v>3012.5</v>
      </c>
      <c r="N54">
        <v>21000</v>
      </c>
      <c r="O54" t="s">
        <v>121</v>
      </c>
    </row>
    <row r="55" spans="1:15" x14ac:dyDescent="0.25">
      <c r="A55" t="s">
        <v>126</v>
      </c>
      <c r="B55" t="s">
        <v>80</v>
      </c>
      <c r="C55">
        <v>20275</v>
      </c>
      <c r="D55">
        <v>1.2287878787878788</v>
      </c>
      <c r="E55" t="s">
        <v>126</v>
      </c>
      <c r="F55" t="s">
        <v>80</v>
      </c>
      <c r="G55">
        <v>20275</v>
      </c>
      <c r="J55" s="1">
        <v>1.5892857142857142</v>
      </c>
      <c r="K55" t="s">
        <v>207</v>
      </c>
      <c r="L55" t="s">
        <v>6</v>
      </c>
      <c r="M55">
        <v>33375</v>
      </c>
      <c r="N55">
        <v>21000</v>
      </c>
      <c r="O55" t="s">
        <v>122</v>
      </c>
    </row>
    <row r="56" spans="1:15" x14ac:dyDescent="0.25">
      <c r="A56" t="s">
        <v>126</v>
      </c>
      <c r="B56" t="s">
        <v>24</v>
      </c>
      <c r="C56">
        <v>7944</v>
      </c>
      <c r="D56">
        <v>0.48145454545454547</v>
      </c>
      <c r="E56" t="s">
        <v>126</v>
      </c>
      <c r="F56" t="s">
        <v>24</v>
      </c>
      <c r="G56">
        <v>7944</v>
      </c>
      <c r="J56" s="1">
        <v>0.38571428571428573</v>
      </c>
      <c r="K56" t="s">
        <v>210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126</v>
      </c>
      <c r="B57" t="s">
        <v>83</v>
      </c>
      <c r="C57">
        <v>6892</v>
      </c>
      <c r="D57">
        <v>0.41769696969696968</v>
      </c>
      <c r="E57" t="s">
        <v>126</v>
      </c>
      <c r="F57" t="s">
        <v>83</v>
      </c>
      <c r="G57">
        <v>6892</v>
      </c>
      <c r="J57" s="1">
        <v>0.97723809523809524</v>
      </c>
      <c r="K57" t="s">
        <v>208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126</v>
      </c>
      <c r="B58" t="s">
        <v>49</v>
      </c>
      <c r="C58">
        <v>12430</v>
      </c>
      <c r="D58">
        <v>0.7533333333333333</v>
      </c>
      <c r="E58" t="s">
        <v>126</v>
      </c>
      <c r="F58" t="s">
        <v>49</v>
      </c>
      <c r="G58">
        <v>12430</v>
      </c>
      <c r="J58" s="1">
        <v>1.1286060606060606</v>
      </c>
      <c r="K58" t="s">
        <v>207</v>
      </c>
      <c r="L58" t="s">
        <v>126</v>
      </c>
      <c r="M58">
        <v>18622</v>
      </c>
      <c r="N58">
        <v>16500</v>
      </c>
      <c r="O58" t="s">
        <v>18</v>
      </c>
    </row>
    <row r="59" spans="1:15" x14ac:dyDescent="0.25">
      <c r="A59" t="s">
        <v>126</v>
      </c>
      <c r="B59" t="s">
        <v>96</v>
      </c>
      <c r="C59">
        <v>4860.83</v>
      </c>
      <c r="D59">
        <v>0.29459575757575757</v>
      </c>
      <c r="E59" t="s">
        <v>126</v>
      </c>
      <c r="F59" t="s">
        <v>96</v>
      </c>
      <c r="G59">
        <v>4860.83</v>
      </c>
      <c r="J59" s="1">
        <v>1.1507878787878787</v>
      </c>
      <c r="K59" t="s">
        <v>207</v>
      </c>
      <c r="L59" t="s">
        <v>126</v>
      </c>
      <c r="M59">
        <v>18988</v>
      </c>
      <c r="N59">
        <v>16500</v>
      </c>
      <c r="O59" t="s">
        <v>14</v>
      </c>
    </row>
    <row r="60" spans="1:15" x14ac:dyDescent="0.25">
      <c r="A60" t="s">
        <v>126</v>
      </c>
      <c r="B60" t="s">
        <v>33</v>
      </c>
      <c r="C60">
        <v>7421.8</v>
      </c>
      <c r="D60">
        <v>0.4498060606060606</v>
      </c>
      <c r="E60" t="s">
        <v>126</v>
      </c>
      <c r="F60" t="s">
        <v>33</v>
      </c>
      <c r="G60">
        <v>7421.8</v>
      </c>
      <c r="J60" s="1">
        <v>0.1672121212121212</v>
      </c>
      <c r="K60" t="s">
        <v>210</v>
      </c>
      <c r="L60" t="s">
        <v>126</v>
      </c>
      <c r="M60">
        <v>2759</v>
      </c>
      <c r="N60">
        <v>16500</v>
      </c>
      <c r="O60" t="s">
        <v>104</v>
      </c>
    </row>
    <row r="61" spans="1:15" x14ac:dyDescent="0.25">
      <c r="A61" t="s">
        <v>126</v>
      </c>
      <c r="B61" t="s">
        <v>68</v>
      </c>
      <c r="C61">
        <v>10970.5</v>
      </c>
      <c r="D61">
        <v>0.66487878787878785</v>
      </c>
      <c r="E61" t="s">
        <v>126</v>
      </c>
      <c r="F61" t="s">
        <v>68</v>
      </c>
      <c r="G61">
        <v>10970.5</v>
      </c>
      <c r="J61" s="1">
        <v>1.2287878787878788</v>
      </c>
      <c r="K61" t="s">
        <v>207</v>
      </c>
      <c r="L61" t="s">
        <v>126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v>14410</v>
      </c>
      <c r="D62">
        <v>0.68619047619047624</v>
      </c>
      <c r="E62" t="s">
        <v>9</v>
      </c>
      <c r="F62" t="s">
        <v>21</v>
      </c>
      <c r="G62">
        <v>14410</v>
      </c>
      <c r="J62" s="1">
        <v>0.48145454545454547</v>
      </c>
      <c r="K62" t="s">
        <v>209</v>
      </c>
      <c r="L62" t="s">
        <v>126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v>17218</v>
      </c>
      <c r="D63">
        <v>0.81990476190476191</v>
      </c>
      <c r="E63" t="s">
        <v>9</v>
      </c>
      <c r="F63" t="s">
        <v>15</v>
      </c>
      <c r="G63">
        <v>17218</v>
      </c>
      <c r="J63" s="1">
        <v>0.41769696969696968</v>
      </c>
      <c r="K63" t="s">
        <v>209</v>
      </c>
      <c r="L63" t="s">
        <v>126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v>7998</v>
      </c>
      <c r="D64">
        <v>0.38085714285714284</v>
      </c>
      <c r="E64" t="s">
        <v>9</v>
      </c>
      <c r="F64" t="s">
        <v>61</v>
      </c>
      <c r="G64">
        <v>7998</v>
      </c>
      <c r="J64" s="1">
        <v>0.7533333333333333</v>
      </c>
      <c r="K64" t="s">
        <v>208</v>
      </c>
      <c r="L64" t="s">
        <v>126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v>10121.5</v>
      </c>
      <c r="D65">
        <v>0.4819761904761905</v>
      </c>
      <c r="E65" t="s">
        <v>9</v>
      </c>
      <c r="F65" t="s">
        <v>27</v>
      </c>
      <c r="G65">
        <v>10121.5</v>
      </c>
      <c r="J65" s="1">
        <v>0.29459575757575757</v>
      </c>
      <c r="K65" t="s">
        <v>210</v>
      </c>
      <c r="L65" t="s">
        <v>126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v>6400</v>
      </c>
      <c r="D66">
        <v>0.30476190476190479</v>
      </c>
      <c r="E66" t="s">
        <v>9</v>
      </c>
      <c r="F66" t="s">
        <v>51</v>
      </c>
      <c r="G66">
        <v>6400</v>
      </c>
      <c r="J66" s="1">
        <v>0.4498060606060606</v>
      </c>
      <c r="K66" t="s">
        <v>209</v>
      </c>
      <c r="L66" t="s">
        <v>126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v>8830</v>
      </c>
      <c r="D67">
        <v>0.4204761904761905</v>
      </c>
      <c r="E67" t="s">
        <v>9</v>
      </c>
      <c r="F67" t="s">
        <v>71</v>
      </c>
      <c r="G67">
        <v>8830</v>
      </c>
      <c r="J67" s="1">
        <v>0.66487878787878785</v>
      </c>
      <c r="K67" t="s">
        <v>209</v>
      </c>
      <c r="L67" t="s">
        <v>126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v>6476.55</v>
      </c>
      <c r="D68">
        <v>0.30840714285714288</v>
      </c>
      <c r="E68" t="s">
        <v>9</v>
      </c>
      <c r="F68" t="s">
        <v>42</v>
      </c>
      <c r="G68">
        <v>6476.55</v>
      </c>
      <c r="J68" s="1">
        <v>0.68619047619047624</v>
      </c>
      <c r="K68" t="s">
        <v>209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123</v>
      </c>
      <c r="C69">
        <v>15658</v>
      </c>
      <c r="D69">
        <v>0.74561904761904763</v>
      </c>
      <c r="E69" t="s">
        <v>9</v>
      </c>
      <c r="F69" t="s">
        <v>123</v>
      </c>
      <c r="G69">
        <v>15658</v>
      </c>
      <c r="J69" s="1">
        <v>0.81990476190476191</v>
      </c>
      <c r="K69" t="s">
        <v>208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v>9814.1</v>
      </c>
      <c r="D70">
        <v>0.46733809523809527</v>
      </c>
      <c r="E70" t="s">
        <v>9</v>
      </c>
      <c r="F70" t="s">
        <v>103</v>
      </c>
      <c r="G70">
        <v>9814.1</v>
      </c>
      <c r="J70" s="1">
        <v>0.38085714285714284</v>
      </c>
      <c r="K70" t="s">
        <v>210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v>8780</v>
      </c>
      <c r="D71">
        <v>0.41809523809523808</v>
      </c>
      <c r="E71" t="s">
        <v>9</v>
      </c>
      <c r="F71" t="s">
        <v>73</v>
      </c>
      <c r="G71">
        <v>8780</v>
      </c>
      <c r="J71" s="1">
        <v>0.4819761904761905</v>
      </c>
      <c r="K71" t="s">
        <v>209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v>5820</v>
      </c>
      <c r="D72">
        <v>0.27714285714285714</v>
      </c>
      <c r="E72" t="s">
        <v>9</v>
      </c>
      <c r="F72" t="s">
        <v>48</v>
      </c>
      <c r="G72">
        <v>5820</v>
      </c>
      <c r="J72" s="1">
        <v>0.30476190476190479</v>
      </c>
      <c r="K72" t="s">
        <v>210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209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210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208</v>
      </c>
      <c r="L75" t="s">
        <v>9</v>
      </c>
      <c r="M75">
        <v>15658</v>
      </c>
      <c r="N75">
        <v>21000</v>
      </c>
      <c r="O75" t="s">
        <v>123</v>
      </c>
    </row>
    <row r="76" spans="1:15" x14ac:dyDescent="0.25">
      <c r="J76" s="1">
        <v>0.46733809523809527</v>
      </c>
      <c r="K76" t="s">
        <v>209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209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210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H15" sqref="H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58</v>
      </c>
      <c r="C3">
        <v>0</v>
      </c>
      <c r="D3">
        <v>0</v>
      </c>
      <c r="E3" t="s">
        <v>3</v>
      </c>
      <c r="F3" t="s">
        <v>58</v>
      </c>
      <c r="G3">
        <v>0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v>28102</v>
      </c>
      <c r="D4">
        <v>0.45325806451612904</v>
      </c>
      <c r="E4" t="s">
        <v>3</v>
      </c>
      <c r="F4" t="s">
        <v>53</v>
      </c>
      <c r="G4">
        <v>28102</v>
      </c>
    </row>
    <row r="5" spans="1:42" x14ac:dyDescent="0.25">
      <c r="A5" t="s">
        <v>3</v>
      </c>
      <c r="B5" t="s">
        <v>72</v>
      </c>
      <c r="C5">
        <v>43088.5</v>
      </c>
      <c r="D5">
        <v>0.69497580645161294</v>
      </c>
      <c r="E5" t="s">
        <v>3</v>
      </c>
      <c r="F5" t="s">
        <v>72</v>
      </c>
      <c r="G5">
        <v>43088.5</v>
      </c>
    </row>
    <row r="6" spans="1:42" x14ac:dyDescent="0.25">
      <c r="A6" t="s">
        <v>3</v>
      </c>
      <c r="B6" t="s">
        <v>22</v>
      </c>
      <c r="C6">
        <v>81631.7</v>
      </c>
      <c r="D6">
        <v>1.3166403225806451</v>
      </c>
      <c r="E6" t="s">
        <v>3</v>
      </c>
      <c r="F6" t="s">
        <v>22</v>
      </c>
      <c r="G6">
        <v>81631.7</v>
      </c>
    </row>
    <row r="7" spans="1:42" x14ac:dyDescent="0.25">
      <c r="A7" t="s">
        <v>3</v>
      </c>
      <c r="B7" t="s">
        <v>57</v>
      </c>
      <c r="C7">
        <v>52729</v>
      </c>
      <c r="D7">
        <v>0.85046774193548391</v>
      </c>
      <c r="E7" t="s">
        <v>3</v>
      </c>
      <c r="F7" t="s">
        <v>57</v>
      </c>
      <c r="G7">
        <v>52729</v>
      </c>
    </row>
    <row r="8" spans="1:42" x14ac:dyDescent="0.25">
      <c r="A8" t="s">
        <v>3</v>
      </c>
      <c r="B8" t="s">
        <v>23</v>
      </c>
      <c r="C8">
        <v>132333.75</v>
      </c>
      <c r="D8">
        <v>2.134415322580645</v>
      </c>
      <c r="E8" t="s">
        <v>3</v>
      </c>
      <c r="F8" t="s">
        <v>23</v>
      </c>
      <c r="G8">
        <v>132333.75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288</v>
      </c>
      <c r="V8" s="41" t="s">
        <v>289</v>
      </c>
      <c r="W8" s="41" t="s">
        <v>290</v>
      </c>
      <c r="X8" s="41" t="s">
        <v>291</v>
      </c>
      <c r="Y8" s="41" t="s">
        <v>292</v>
      </c>
      <c r="Z8" s="41" t="s">
        <v>293</v>
      </c>
      <c r="AA8" s="41" t="s">
        <v>294</v>
      </c>
      <c r="AB8" s="41" t="s">
        <v>295</v>
      </c>
      <c r="AC8" s="41" t="s">
        <v>296</v>
      </c>
      <c r="AD8" s="41" t="s">
        <v>297</v>
      </c>
      <c r="AE8" s="41" t="s">
        <v>298</v>
      </c>
      <c r="AF8" s="41" t="s">
        <v>299</v>
      </c>
      <c r="AG8" s="41" t="s">
        <v>300</v>
      </c>
      <c r="AH8" s="41" t="s">
        <v>301</v>
      </c>
      <c r="AI8" s="41" t="s">
        <v>302</v>
      </c>
      <c r="AJ8" s="41" t="s">
        <v>303</v>
      </c>
      <c r="AK8" s="41" t="s">
        <v>304</v>
      </c>
      <c r="AL8" s="41" t="s">
        <v>305</v>
      </c>
      <c r="AM8" s="41" t="s">
        <v>306</v>
      </c>
      <c r="AN8" s="41" t="s">
        <v>307</v>
      </c>
      <c r="AO8" s="41" t="s">
        <v>308</v>
      </c>
      <c r="AP8" s="19" t="s">
        <v>136</v>
      </c>
    </row>
    <row r="9" spans="1:42" x14ac:dyDescent="0.25">
      <c r="A9" t="s">
        <v>3</v>
      </c>
      <c r="B9" t="s">
        <v>25</v>
      </c>
      <c r="C9">
        <v>0</v>
      </c>
      <c r="D9">
        <v>0</v>
      </c>
      <c r="E9" t="s">
        <v>3</v>
      </c>
      <c r="F9" t="s">
        <v>25</v>
      </c>
      <c r="G9">
        <v>0</v>
      </c>
      <c r="J9" s="1">
        <v>0</v>
      </c>
      <c r="K9" t="s">
        <v>210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195</v>
      </c>
    </row>
    <row r="10" spans="1:42" x14ac:dyDescent="0.25">
      <c r="A10" t="s">
        <v>3</v>
      </c>
      <c r="B10" t="s">
        <v>108</v>
      </c>
      <c r="C10">
        <v>7700</v>
      </c>
      <c r="D10">
        <v>0.12419354838709677</v>
      </c>
      <c r="E10" t="s">
        <v>3</v>
      </c>
      <c r="F10" t="s">
        <v>108</v>
      </c>
      <c r="G10">
        <v>7700</v>
      </c>
      <c r="J10" s="1">
        <v>0.45325806451612904</v>
      </c>
      <c r="K10" t="s">
        <v>209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195</v>
      </c>
    </row>
    <row r="11" spans="1:42" x14ac:dyDescent="0.25">
      <c r="A11" t="s">
        <v>3</v>
      </c>
      <c r="B11" t="s">
        <v>63</v>
      </c>
      <c r="C11">
        <v>71227.3</v>
      </c>
      <c r="D11">
        <v>1.1488274193548387</v>
      </c>
      <c r="E11" t="s">
        <v>3</v>
      </c>
      <c r="F11" t="s">
        <v>63</v>
      </c>
      <c r="G11">
        <v>71227.3</v>
      </c>
      <c r="J11" s="1">
        <v>0.69497580645161294</v>
      </c>
      <c r="K11" t="s">
        <v>209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195</v>
      </c>
    </row>
    <row r="12" spans="1:42" x14ac:dyDescent="0.25">
      <c r="A12" t="s">
        <v>3</v>
      </c>
      <c r="B12" t="s">
        <v>10</v>
      </c>
      <c r="C12">
        <v>35954</v>
      </c>
      <c r="D12">
        <v>0.57990322580645159</v>
      </c>
      <c r="E12" t="s">
        <v>3</v>
      </c>
      <c r="F12" t="s">
        <v>10</v>
      </c>
      <c r="G12">
        <v>35954</v>
      </c>
      <c r="J12" s="1">
        <v>1.3166403225806451</v>
      </c>
      <c r="K12" t="s">
        <v>207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196</v>
      </c>
    </row>
    <row r="13" spans="1:42" x14ac:dyDescent="0.25">
      <c r="A13" t="s">
        <v>3</v>
      </c>
      <c r="B13" t="s">
        <v>76</v>
      </c>
      <c r="C13">
        <v>89524</v>
      </c>
      <c r="D13">
        <v>1.4439354838709677</v>
      </c>
      <c r="E13" t="s">
        <v>3</v>
      </c>
      <c r="F13" t="s">
        <v>76</v>
      </c>
      <c r="G13">
        <v>89524</v>
      </c>
      <c r="J13" s="1">
        <v>0.85046774193548391</v>
      </c>
      <c r="K13" t="s">
        <v>208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117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199</v>
      </c>
    </row>
    <row r="14" spans="1:42" x14ac:dyDescent="0.25">
      <c r="A14" t="s">
        <v>4</v>
      </c>
      <c r="B14" t="s">
        <v>111</v>
      </c>
      <c r="C14">
        <v>25193</v>
      </c>
      <c r="D14">
        <v>0.40633870967741936</v>
      </c>
      <c r="E14" t="s">
        <v>4</v>
      </c>
      <c r="F14" t="s">
        <v>111</v>
      </c>
      <c r="G14">
        <v>25193</v>
      </c>
      <c r="J14" s="1">
        <v>2.134415322580645</v>
      </c>
      <c r="K14" t="s">
        <v>207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197</v>
      </c>
    </row>
    <row r="15" spans="1:42" x14ac:dyDescent="0.25">
      <c r="A15" t="s">
        <v>4</v>
      </c>
      <c r="B15" t="s">
        <v>40</v>
      </c>
      <c r="C15">
        <v>27710</v>
      </c>
      <c r="D15">
        <v>0.44693548387096776</v>
      </c>
      <c r="E15" t="s">
        <v>4</v>
      </c>
      <c r="F15" t="s">
        <v>40</v>
      </c>
      <c r="G15">
        <v>27710</v>
      </c>
      <c r="J15" s="1">
        <v>0</v>
      </c>
      <c r="K15" t="s">
        <v>210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198</v>
      </c>
    </row>
    <row r="16" spans="1:42" x14ac:dyDescent="0.25">
      <c r="A16" t="s">
        <v>4</v>
      </c>
      <c r="B16" t="s">
        <v>20</v>
      </c>
      <c r="C16">
        <v>18495</v>
      </c>
      <c r="D16">
        <v>0.2983064516129032</v>
      </c>
      <c r="E16" t="s">
        <v>4</v>
      </c>
      <c r="F16" t="s">
        <v>20</v>
      </c>
      <c r="G16">
        <v>18495</v>
      </c>
      <c r="J16" s="1">
        <v>0.12419354838709677</v>
      </c>
      <c r="K16" t="s">
        <v>210</v>
      </c>
      <c r="L16" t="s">
        <v>3</v>
      </c>
      <c r="M16">
        <v>7700</v>
      </c>
      <c r="N16">
        <v>62000</v>
      </c>
      <c r="O16" t="s">
        <v>108</v>
      </c>
    </row>
    <row r="17" spans="1:15" x14ac:dyDescent="0.25">
      <c r="A17" t="s">
        <v>4</v>
      </c>
      <c r="B17" t="s">
        <v>29</v>
      </c>
      <c r="C17">
        <v>22013.75</v>
      </c>
      <c r="D17">
        <v>0.35506048387096772</v>
      </c>
      <c r="E17" t="s">
        <v>4</v>
      </c>
      <c r="F17" t="s">
        <v>29</v>
      </c>
      <c r="G17">
        <v>22013.75</v>
      </c>
      <c r="J17" s="1">
        <v>1.1488274193548387</v>
      </c>
      <c r="K17" t="s">
        <v>207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v>73566</v>
      </c>
      <c r="D18">
        <v>1.1865483870967741</v>
      </c>
      <c r="E18" t="s">
        <v>4</v>
      </c>
      <c r="F18" t="s">
        <v>75</v>
      </c>
      <c r="G18">
        <v>73566</v>
      </c>
      <c r="J18" s="1">
        <v>0.57990322580645159</v>
      </c>
      <c r="K18" t="s">
        <v>209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v>18550</v>
      </c>
      <c r="D19">
        <v>0.29919354838709677</v>
      </c>
      <c r="E19" t="s">
        <v>4</v>
      </c>
      <c r="F19" t="s">
        <v>64</v>
      </c>
      <c r="G19">
        <v>18550</v>
      </c>
      <c r="J19" s="1">
        <v>1.4439354838709677</v>
      </c>
      <c r="K19" t="s">
        <v>207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v>0</v>
      </c>
      <c r="D20">
        <v>0</v>
      </c>
      <c r="E20" t="s">
        <v>4</v>
      </c>
      <c r="F20" t="s">
        <v>11</v>
      </c>
      <c r="G20">
        <v>0</v>
      </c>
      <c r="J20" s="1">
        <v>0.40633870967741936</v>
      </c>
      <c r="K20" t="s">
        <v>209</v>
      </c>
      <c r="L20" t="s">
        <v>4</v>
      </c>
      <c r="M20">
        <v>25193</v>
      </c>
      <c r="N20">
        <v>62000</v>
      </c>
      <c r="O20" t="s">
        <v>111</v>
      </c>
    </row>
    <row r="21" spans="1:15" x14ac:dyDescent="0.25">
      <c r="A21" t="s">
        <v>4</v>
      </c>
      <c r="B21" t="s">
        <v>59</v>
      </c>
      <c r="C21">
        <v>89276</v>
      </c>
      <c r="D21">
        <v>1.4399354838709677</v>
      </c>
      <c r="E21" t="s">
        <v>4</v>
      </c>
      <c r="F21" t="s">
        <v>59</v>
      </c>
      <c r="G21">
        <v>89276</v>
      </c>
      <c r="J21" s="1">
        <v>0.44693548387096776</v>
      </c>
      <c r="K21" t="s">
        <v>209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v>6149</v>
      </c>
      <c r="D22">
        <v>0.25620833333333332</v>
      </c>
      <c r="E22" t="s">
        <v>2</v>
      </c>
      <c r="F22" t="s">
        <v>41</v>
      </c>
      <c r="G22">
        <v>6149</v>
      </c>
      <c r="J22" s="1">
        <v>0.2983064516129032</v>
      </c>
      <c r="K22" t="s">
        <v>210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v>5250</v>
      </c>
      <c r="D23">
        <v>0.21875</v>
      </c>
      <c r="E23" t="s">
        <v>2</v>
      </c>
      <c r="F23" t="s">
        <v>16</v>
      </c>
      <c r="G23">
        <v>5250</v>
      </c>
      <c r="J23" s="1">
        <v>0.35506048387096772</v>
      </c>
      <c r="K23" t="s">
        <v>210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v>10891</v>
      </c>
      <c r="D24">
        <v>0.45379166666666665</v>
      </c>
      <c r="E24" t="s">
        <v>2</v>
      </c>
      <c r="F24" t="s">
        <v>12</v>
      </c>
      <c r="G24">
        <v>10891</v>
      </c>
      <c r="J24" s="1">
        <v>1.1865483870967741</v>
      </c>
      <c r="K24" t="s">
        <v>207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v>5470</v>
      </c>
      <c r="D25">
        <v>0.22791666666666666</v>
      </c>
      <c r="E25" t="s">
        <v>2</v>
      </c>
      <c r="F25" t="s">
        <v>32</v>
      </c>
      <c r="G25">
        <v>5470</v>
      </c>
      <c r="J25" s="1">
        <v>0.29919354838709677</v>
      </c>
      <c r="K25" t="s">
        <v>210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129</v>
      </c>
      <c r="C26">
        <v>2655</v>
      </c>
      <c r="D26">
        <v>0.110625</v>
      </c>
      <c r="E26" t="s">
        <v>2</v>
      </c>
      <c r="F26" t="s">
        <v>129</v>
      </c>
      <c r="G26">
        <v>2655</v>
      </c>
      <c r="J26" s="1">
        <v>0</v>
      </c>
      <c r="K26" t="s">
        <v>210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v>18701</v>
      </c>
      <c r="D27">
        <v>0.77920833333333328</v>
      </c>
      <c r="E27" t="s">
        <v>2</v>
      </c>
      <c r="F27" t="s">
        <v>26</v>
      </c>
      <c r="G27">
        <v>18701</v>
      </c>
      <c r="J27" s="1">
        <v>1.4399354838709677</v>
      </c>
      <c r="K27" t="s">
        <v>207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v>10532</v>
      </c>
      <c r="D28">
        <v>0.43883333333333335</v>
      </c>
      <c r="E28" t="s">
        <v>2</v>
      </c>
      <c r="F28" t="s">
        <v>77</v>
      </c>
      <c r="G28">
        <v>10532</v>
      </c>
      <c r="J28" s="1">
        <v>0.25620833333333332</v>
      </c>
      <c r="K28" t="s">
        <v>210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v>10582</v>
      </c>
      <c r="D29">
        <v>0.44091666666666668</v>
      </c>
      <c r="E29" t="s">
        <v>2</v>
      </c>
      <c r="F29" t="s">
        <v>74</v>
      </c>
      <c r="G29">
        <v>10582</v>
      </c>
      <c r="J29" s="1">
        <v>0.21875</v>
      </c>
      <c r="K29" t="s">
        <v>210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v>8731</v>
      </c>
      <c r="D30">
        <v>0.36379166666666668</v>
      </c>
      <c r="E30" t="s">
        <v>2</v>
      </c>
      <c r="F30" t="s">
        <v>78</v>
      </c>
      <c r="G30">
        <v>8731</v>
      </c>
      <c r="J30" s="1">
        <v>0.45379166666666665</v>
      </c>
      <c r="K30" t="s">
        <v>209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v>7926</v>
      </c>
      <c r="D31">
        <v>0.33024999999999999</v>
      </c>
      <c r="E31" t="s">
        <v>2</v>
      </c>
      <c r="F31" t="s">
        <v>39</v>
      </c>
      <c r="G31">
        <v>7926</v>
      </c>
      <c r="J31" s="1">
        <v>0.22791666666666666</v>
      </c>
      <c r="K31" t="s">
        <v>210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v>40658.5</v>
      </c>
      <c r="D32">
        <v>0.65578225806451618</v>
      </c>
      <c r="E32" t="s">
        <v>5</v>
      </c>
      <c r="F32" t="s">
        <v>85</v>
      </c>
      <c r="G32">
        <v>40658.5</v>
      </c>
      <c r="J32" s="1">
        <v>0.110625</v>
      </c>
      <c r="K32" t="s">
        <v>210</v>
      </c>
      <c r="L32" t="s">
        <v>2</v>
      </c>
      <c r="M32">
        <v>2655</v>
      </c>
      <c r="N32">
        <v>24000</v>
      </c>
      <c r="O32" t="s">
        <v>129</v>
      </c>
    </row>
    <row r="33" spans="1:15" x14ac:dyDescent="0.25">
      <c r="A33" t="s">
        <v>5</v>
      </c>
      <c r="B33" t="s">
        <v>67</v>
      </c>
      <c r="C33">
        <v>101796.099999999</v>
      </c>
      <c r="D33">
        <v>1.6418725806451453</v>
      </c>
      <c r="E33" t="s">
        <v>5</v>
      </c>
      <c r="F33" t="s">
        <v>67</v>
      </c>
      <c r="G33">
        <v>101796.099999999</v>
      </c>
      <c r="J33" s="1">
        <v>0.77920833333333328</v>
      </c>
      <c r="K33" t="s">
        <v>208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v>52171</v>
      </c>
      <c r="D34">
        <v>0.8414677419354839</v>
      </c>
      <c r="E34" t="s">
        <v>5</v>
      </c>
      <c r="F34" t="s">
        <v>13</v>
      </c>
      <c r="G34">
        <v>52171</v>
      </c>
      <c r="J34" s="1">
        <v>0.43883333333333335</v>
      </c>
      <c r="K34" t="s">
        <v>209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v>59491.85</v>
      </c>
      <c r="D35">
        <v>0.95954596774193546</v>
      </c>
      <c r="E35" t="s">
        <v>5</v>
      </c>
      <c r="F35" t="s">
        <v>66</v>
      </c>
      <c r="G35">
        <v>59491.85</v>
      </c>
      <c r="J35" s="1">
        <v>0.44091666666666668</v>
      </c>
      <c r="K35" t="s">
        <v>209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118</v>
      </c>
      <c r="C36">
        <v>0</v>
      </c>
      <c r="D36">
        <v>0</v>
      </c>
      <c r="E36" t="s">
        <v>5</v>
      </c>
      <c r="F36" t="s">
        <v>118</v>
      </c>
      <c r="G36">
        <v>0</v>
      </c>
      <c r="J36" s="1">
        <v>0.36379166666666668</v>
      </c>
      <c r="K36" t="s">
        <v>210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107</v>
      </c>
      <c r="C37">
        <v>29130</v>
      </c>
      <c r="D37">
        <v>0.46983870967741936</v>
      </c>
      <c r="E37" t="s">
        <v>5</v>
      </c>
      <c r="F37" t="s">
        <v>107</v>
      </c>
      <c r="G37">
        <v>29130</v>
      </c>
      <c r="J37" s="1">
        <v>0.33024999999999999</v>
      </c>
      <c r="K37" t="s">
        <v>210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v>30154.1</v>
      </c>
      <c r="D38">
        <v>0.4863564516129032</v>
      </c>
      <c r="E38" t="s">
        <v>5</v>
      </c>
      <c r="F38" t="s">
        <v>17</v>
      </c>
      <c r="G38">
        <v>30154.1</v>
      </c>
      <c r="J38" s="1">
        <v>0.65578225806451618</v>
      </c>
      <c r="K38" t="s">
        <v>209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v>47302.09</v>
      </c>
      <c r="D39">
        <v>0.76293693548387087</v>
      </c>
      <c r="E39" t="s">
        <v>5</v>
      </c>
      <c r="F39" t="s">
        <v>62</v>
      </c>
      <c r="G39">
        <v>47302.09</v>
      </c>
      <c r="J39" s="1">
        <v>1.6418725806451453</v>
      </c>
      <c r="K39" t="s">
        <v>207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v>56526</v>
      </c>
      <c r="D40">
        <v>0.91170967741935482</v>
      </c>
      <c r="E40" t="s">
        <v>5</v>
      </c>
      <c r="F40" t="s">
        <v>79</v>
      </c>
      <c r="G40">
        <v>56526</v>
      </c>
      <c r="J40" s="1">
        <v>0.8414677419354839</v>
      </c>
      <c r="K40" t="s">
        <v>208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120</v>
      </c>
      <c r="C41">
        <v>22900</v>
      </c>
      <c r="D41">
        <v>1.0904761904761904</v>
      </c>
      <c r="E41" t="s">
        <v>6</v>
      </c>
      <c r="F41" t="s">
        <v>120</v>
      </c>
      <c r="G41">
        <v>22900</v>
      </c>
      <c r="J41" s="1">
        <v>0.95954596774193546</v>
      </c>
      <c r="K41" t="s">
        <v>208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v>38092</v>
      </c>
      <c r="D42">
        <v>1.8139047619047619</v>
      </c>
      <c r="E42" t="s">
        <v>6</v>
      </c>
      <c r="F42" t="s">
        <v>19</v>
      </c>
      <c r="G42">
        <v>38092</v>
      </c>
      <c r="J42" s="1">
        <v>0</v>
      </c>
      <c r="K42" t="s">
        <v>210</v>
      </c>
      <c r="L42" t="s">
        <v>5</v>
      </c>
      <c r="M42">
        <v>0</v>
      </c>
      <c r="N42">
        <v>62000</v>
      </c>
      <c r="O42" t="s">
        <v>118</v>
      </c>
    </row>
    <row r="43" spans="1:15" x14ac:dyDescent="0.25">
      <c r="A43" t="s">
        <v>6</v>
      </c>
      <c r="B43" t="s">
        <v>81</v>
      </c>
      <c r="C43">
        <v>15567</v>
      </c>
      <c r="D43">
        <v>0.74128571428571433</v>
      </c>
      <c r="E43" t="s">
        <v>6</v>
      </c>
      <c r="F43" t="s">
        <v>81</v>
      </c>
      <c r="G43">
        <v>15567</v>
      </c>
      <c r="J43" s="1">
        <v>0.46983870967741936</v>
      </c>
      <c r="K43" t="s">
        <v>209</v>
      </c>
      <c r="L43" t="s">
        <v>5</v>
      </c>
      <c r="M43">
        <v>29130</v>
      </c>
      <c r="N43">
        <v>62000</v>
      </c>
      <c r="O43" t="s">
        <v>107</v>
      </c>
    </row>
    <row r="44" spans="1:15" x14ac:dyDescent="0.25">
      <c r="A44" t="s">
        <v>6</v>
      </c>
      <c r="B44" t="s">
        <v>37</v>
      </c>
      <c r="C44">
        <v>5880</v>
      </c>
      <c r="D44">
        <v>0.28000000000000003</v>
      </c>
      <c r="E44" t="s">
        <v>6</v>
      </c>
      <c r="F44" t="s">
        <v>37</v>
      </c>
      <c r="G44">
        <v>5880</v>
      </c>
      <c r="J44" s="1">
        <v>0.4863564516129032</v>
      </c>
      <c r="K44" t="s">
        <v>209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v>9790</v>
      </c>
      <c r="D45">
        <v>0.46619047619047621</v>
      </c>
      <c r="E45" t="s">
        <v>6</v>
      </c>
      <c r="F45" t="s">
        <v>35</v>
      </c>
      <c r="G45">
        <v>9790</v>
      </c>
      <c r="J45" s="1">
        <v>0.76293693548387087</v>
      </c>
      <c r="K45" t="s">
        <v>208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v>0</v>
      </c>
      <c r="D46">
        <v>0</v>
      </c>
      <c r="E46" t="s">
        <v>6</v>
      </c>
      <c r="F46" t="s">
        <v>31</v>
      </c>
      <c r="G46">
        <v>0</v>
      </c>
      <c r="J46" s="1">
        <v>0.91170967741935482</v>
      </c>
      <c r="K46" t="s">
        <v>208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112</v>
      </c>
      <c r="C47">
        <v>9420</v>
      </c>
      <c r="D47">
        <v>0.44857142857142857</v>
      </c>
      <c r="E47" t="s">
        <v>6</v>
      </c>
      <c r="F47" t="s">
        <v>112</v>
      </c>
      <c r="G47">
        <v>9420</v>
      </c>
      <c r="J47" s="1">
        <v>1.0904761904761904</v>
      </c>
      <c r="K47" t="s">
        <v>207</v>
      </c>
      <c r="L47" t="s">
        <v>6</v>
      </c>
      <c r="M47">
        <v>22900</v>
      </c>
      <c r="N47">
        <v>21000</v>
      </c>
      <c r="O47" t="s">
        <v>120</v>
      </c>
    </row>
    <row r="48" spans="1:15" x14ac:dyDescent="0.25">
      <c r="A48" t="s">
        <v>6</v>
      </c>
      <c r="B48" t="s">
        <v>121</v>
      </c>
      <c r="C48">
        <v>15430</v>
      </c>
      <c r="D48">
        <v>0.73476190476190473</v>
      </c>
      <c r="E48" t="s">
        <v>6</v>
      </c>
      <c r="F48" t="s">
        <v>121</v>
      </c>
      <c r="G48">
        <v>15430</v>
      </c>
      <c r="J48" s="1">
        <v>1.8139047619047619</v>
      </c>
      <c r="K48" t="s">
        <v>207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122</v>
      </c>
      <c r="C49">
        <v>21650</v>
      </c>
      <c r="D49">
        <v>1.0309523809523808</v>
      </c>
      <c r="E49" t="s">
        <v>6</v>
      </c>
      <c r="F49" t="s">
        <v>122</v>
      </c>
      <c r="G49">
        <v>21650</v>
      </c>
      <c r="J49" s="1">
        <v>0.74128571428571433</v>
      </c>
      <c r="K49" t="s">
        <v>208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v>5480</v>
      </c>
      <c r="D50">
        <v>0.26095238095238094</v>
      </c>
      <c r="E50" t="s">
        <v>6</v>
      </c>
      <c r="F50" t="s">
        <v>36</v>
      </c>
      <c r="G50">
        <v>5480</v>
      </c>
      <c r="J50" s="1">
        <v>0.28000000000000003</v>
      </c>
      <c r="K50" t="s">
        <v>210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130</v>
      </c>
      <c r="C51">
        <v>3700</v>
      </c>
      <c r="D51">
        <v>0.1761904761904762</v>
      </c>
      <c r="E51" t="s">
        <v>6</v>
      </c>
      <c r="F51" t="s">
        <v>130</v>
      </c>
      <c r="G51">
        <v>3700</v>
      </c>
      <c r="J51" s="1">
        <v>0.46619047619047621</v>
      </c>
      <c r="K51" t="s">
        <v>209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v>4667</v>
      </c>
      <c r="D52">
        <v>0.22223809523809523</v>
      </c>
      <c r="E52" t="s">
        <v>6</v>
      </c>
      <c r="F52" t="s">
        <v>34</v>
      </c>
      <c r="G52">
        <v>4667</v>
      </c>
      <c r="J52" s="1">
        <v>0</v>
      </c>
      <c r="K52" t="s">
        <v>210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v>14514</v>
      </c>
      <c r="D53">
        <v>0.69114285714285717</v>
      </c>
      <c r="E53" t="s">
        <v>9</v>
      </c>
      <c r="F53" t="s">
        <v>21</v>
      </c>
      <c r="G53">
        <v>14514</v>
      </c>
      <c r="J53" s="1">
        <v>0.44857142857142857</v>
      </c>
      <c r="K53" t="s">
        <v>209</v>
      </c>
      <c r="L53" t="s">
        <v>6</v>
      </c>
      <c r="M53">
        <v>9420</v>
      </c>
      <c r="N53">
        <v>21000</v>
      </c>
      <c r="O53" t="s">
        <v>112</v>
      </c>
    </row>
    <row r="54" spans="1:15" x14ac:dyDescent="0.25">
      <c r="A54" t="s">
        <v>9</v>
      </c>
      <c r="B54" t="s">
        <v>15</v>
      </c>
      <c r="C54">
        <v>0</v>
      </c>
      <c r="D54">
        <v>0</v>
      </c>
      <c r="E54" t="s">
        <v>9</v>
      </c>
      <c r="F54" t="s">
        <v>15</v>
      </c>
      <c r="G54">
        <v>0</v>
      </c>
      <c r="J54" s="1">
        <v>0.73476190476190473</v>
      </c>
      <c r="K54" t="s">
        <v>208</v>
      </c>
      <c r="L54" t="s">
        <v>6</v>
      </c>
      <c r="M54">
        <v>15430</v>
      </c>
      <c r="N54">
        <v>21000</v>
      </c>
      <c r="O54" t="s">
        <v>121</v>
      </c>
    </row>
    <row r="55" spans="1:15" x14ac:dyDescent="0.25">
      <c r="A55" t="s">
        <v>9</v>
      </c>
      <c r="B55" t="s">
        <v>61</v>
      </c>
      <c r="C55">
        <v>10823</v>
      </c>
      <c r="D55">
        <v>0.51538095238095238</v>
      </c>
      <c r="E55" t="s">
        <v>9</v>
      </c>
      <c r="F55" t="s">
        <v>61</v>
      </c>
      <c r="G55">
        <v>10823</v>
      </c>
      <c r="J55" s="1">
        <v>1.0309523809523808</v>
      </c>
      <c r="K55" t="s">
        <v>207</v>
      </c>
      <c r="L55" t="s">
        <v>6</v>
      </c>
      <c r="M55">
        <v>21650</v>
      </c>
      <c r="N55">
        <v>21000</v>
      </c>
      <c r="O55" t="s">
        <v>122</v>
      </c>
    </row>
    <row r="56" spans="1:15" x14ac:dyDescent="0.25">
      <c r="A56" t="s">
        <v>9</v>
      </c>
      <c r="B56" t="s">
        <v>131</v>
      </c>
      <c r="C56">
        <v>5753</v>
      </c>
      <c r="D56">
        <v>0.27395238095238095</v>
      </c>
      <c r="E56" t="s">
        <v>9</v>
      </c>
      <c r="F56" t="s">
        <v>131</v>
      </c>
      <c r="G56">
        <v>5753</v>
      </c>
      <c r="J56" s="1">
        <v>0.26095238095238094</v>
      </c>
      <c r="K56" t="s">
        <v>210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v>4726</v>
      </c>
      <c r="D57">
        <v>0.22504761904761905</v>
      </c>
      <c r="E57" t="s">
        <v>9</v>
      </c>
      <c r="F57" t="s">
        <v>27</v>
      </c>
      <c r="G57">
        <v>4726</v>
      </c>
      <c r="J57" s="1">
        <v>0.1761904761904762</v>
      </c>
      <c r="K57" t="s">
        <v>210</v>
      </c>
      <c r="L57" t="s">
        <v>6</v>
      </c>
      <c r="M57">
        <v>3700</v>
      </c>
      <c r="N57">
        <v>21000</v>
      </c>
      <c r="O57" t="s">
        <v>130</v>
      </c>
    </row>
    <row r="58" spans="1:15" x14ac:dyDescent="0.25">
      <c r="A58" t="s">
        <v>9</v>
      </c>
      <c r="B58" t="s">
        <v>51</v>
      </c>
      <c r="C58">
        <v>7053</v>
      </c>
      <c r="D58">
        <v>0.33585714285714285</v>
      </c>
      <c r="E58" t="s">
        <v>9</v>
      </c>
      <c r="F58" t="s">
        <v>51</v>
      </c>
      <c r="G58">
        <v>7053</v>
      </c>
      <c r="J58" s="1">
        <v>0.22223809523809523</v>
      </c>
      <c r="K58" t="s">
        <v>210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v>6613</v>
      </c>
      <c r="D59">
        <v>0.31490476190476191</v>
      </c>
      <c r="E59" t="s">
        <v>9</v>
      </c>
      <c r="F59" t="s">
        <v>71</v>
      </c>
      <c r="G59">
        <v>6613</v>
      </c>
      <c r="J59" s="1">
        <v>0.69114285714285717</v>
      </c>
      <c r="K59" t="s">
        <v>209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v>6103</v>
      </c>
      <c r="D60">
        <v>0.29061904761904761</v>
      </c>
      <c r="E60" t="s">
        <v>9</v>
      </c>
      <c r="F60" t="s">
        <v>42</v>
      </c>
      <c r="G60">
        <v>6103</v>
      </c>
      <c r="J60" s="1">
        <v>0</v>
      </c>
      <c r="K60" t="s">
        <v>210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v>21973</v>
      </c>
      <c r="D61">
        <v>1.0463333333333333</v>
      </c>
      <c r="E61" t="s">
        <v>9</v>
      </c>
      <c r="F61" t="s">
        <v>70</v>
      </c>
      <c r="G61">
        <v>21973</v>
      </c>
      <c r="J61" s="1">
        <v>0.51538095238095238</v>
      </c>
      <c r="K61" t="s">
        <v>209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v>9575.1</v>
      </c>
      <c r="D62">
        <v>0.45595714285714289</v>
      </c>
      <c r="E62" t="s">
        <v>9</v>
      </c>
      <c r="F62" t="s">
        <v>103</v>
      </c>
      <c r="G62">
        <v>9575.1</v>
      </c>
      <c r="J62" s="1">
        <v>0.27395238095238095</v>
      </c>
      <c r="K62" t="s">
        <v>210</v>
      </c>
      <c r="L62" t="s">
        <v>9</v>
      </c>
      <c r="M62">
        <v>5753</v>
      </c>
      <c r="N62">
        <v>21000</v>
      </c>
      <c r="O62" t="s">
        <v>131</v>
      </c>
    </row>
    <row r="63" spans="1:15" x14ac:dyDescent="0.25">
      <c r="A63" t="s">
        <v>9</v>
      </c>
      <c r="B63" t="s">
        <v>73</v>
      </c>
      <c r="C63">
        <v>8225</v>
      </c>
      <c r="D63">
        <v>0.39166666666666666</v>
      </c>
      <c r="E63" t="s">
        <v>9</v>
      </c>
      <c r="F63" t="s">
        <v>73</v>
      </c>
      <c r="G63">
        <v>8225</v>
      </c>
      <c r="J63" s="1">
        <v>0.22504761904761905</v>
      </c>
      <c r="K63" t="s">
        <v>210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v>8142.3</v>
      </c>
      <c r="D64">
        <v>0.38772857142857142</v>
      </c>
      <c r="E64" t="s">
        <v>9</v>
      </c>
      <c r="F64" t="s">
        <v>48</v>
      </c>
      <c r="G64">
        <v>8142.3</v>
      </c>
      <c r="J64" s="1">
        <v>0.33585714285714285</v>
      </c>
      <c r="K64" t="s">
        <v>210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117</v>
      </c>
      <c r="B65" t="s">
        <v>18</v>
      </c>
      <c r="C65">
        <v>20810</v>
      </c>
      <c r="D65">
        <v>1.2612121212121212</v>
      </c>
      <c r="E65" t="s">
        <v>117</v>
      </c>
      <c r="F65" t="s">
        <v>18</v>
      </c>
      <c r="G65">
        <v>20810</v>
      </c>
      <c r="J65" s="1">
        <v>0.31490476190476191</v>
      </c>
      <c r="K65" t="s">
        <v>210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117</v>
      </c>
      <c r="B66" t="s">
        <v>14</v>
      </c>
      <c r="C66">
        <v>200</v>
      </c>
      <c r="D66">
        <v>1.2121212121212121E-2</v>
      </c>
      <c r="E66" t="s">
        <v>117</v>
      </c>
      <c r="F66" t="s">
        <v>14</v>
      </c>
      <c r="G66">
        <v>200</v>
      </c>
      <c r="J66" s="1">
        <v>0.29061904761904761</v>
      </c>
      <c r="K66" t="s">
        <v>210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117</v>
      </c>
      <c r="B67" t="s">
        <v>104</v>
      </c>
      <c r="C67">
        <v>7970</v>
      </c>
      <c r="D67">
        <v>0.48303030303030303</v>
      </c>
      <c r="E67" t="s">
        <v>117</v>
      </c>
      <c r="F67" t="s">
        <v>104</v>
      </c>
      <c r="G67">
        <v>7970</v>
      </c>
      <c r="J67" s="1">
        <v>1.0463333333333333</v>
      </c>
      <c r="K67" t="s">
        <v>207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117</v>
      </c>
      <c r="B68" t="s">
        <v>80</v>
      </c>
      <c r="C68">
        <v>20579</v>
      </c>
      <c r="D68">
        <v>1.2472121212121212</v>
      </c>
      <c r="E68" t="s">
        <v>117</v>
      </c>
      <c r="F68" t="s">
        <v>80</v>
      </c>
      <c r="G68">
        <v>20579</v>
      </c>
      <c r="J68" s="1">
        <v>0.45595714285714289</v>
      </c>
      <c r="K68" t="s">
        <v>209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117</v>
      </c>
      <c r="B69" t="s">
        <v>24</v>
      </c>
      <c r="C69">
        <v>11898</v>
      </c>
      <c r="D69">
        <v>0.72109090909090912</v>
      </c>
      <c r="E69" t="s">
        <v>117</v>
      </c>
      <c r="F69" t="s">
        <v>24</v>
      </c>
      <c r="G69">
        <v>11898</v>
      </c>
      <c r="J69" s="1">
        <v>0.39166666666666666</v>
      </c>
      <c r="K69" t="s">
        <v>210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117</v>
      </c>
      <c r="B70" t="s">
        <v>83</v>
      </c>
      <c r="C70">
        <v>9192</v>
      </c>
      <c r="D70">
        <v>0.55709090909090908</v>
      </c>
      <c r="E70" t="s">
        <v>117</v>
      </c>
      <c r="F70" t="s">
        <v>83</v>
      </c>
      <c r="G70">
        <v>9192</v>
      </c>
      <c r="J70" s="1">
        <v>0.38772857142857142</v>
      </c>
      <c r="K70" t="s">
        <v>210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117</v>
      </c>
      <c r="B71" t="s">
        <v>49</v>
      </c>
      <c r="C71">
        <v>8611</v>
      </c>
      <c r="D71">
        <v>0.52187878787878783</v>
      </c>
      <c r="E71" t="s">
        <v>117</v>
      </c>
      <c r="F71" t="s">
        <v>49</v>
      </c>
      <c r="G71">
        <v>8611</v>
      </c>
      <c r="J71" s="1">
        <v>1.2612121212121212</v>
      </c>
      <c r="K71" t="s">
        <v>207</v>
      </c>
      <c r="L71" t="s">
        <v>117</v>
      </c>
      <c r="M71">
        <v>20810</v>
      </c>
      <c r="N71">
        <v>16500</v>
      </c>
      <c r="O71" t="s">
        <v>18</v>
      </c>
    </row>
    <row r="72" spans="1:15" x14ac:dyDescent="0.25">
      <c r="A72" t="s">
        <v>117</v>
      </c>
      <c r="B72" t="s">
        <v>65</v>
      </c>
      <c r="C72">
        <v>10923</v>
      </c>
      <c r="D72">
        <v>0.66200000000000003</v>
      </c>
      <c r="E72" t="s">
        <v>117</v>
      </c>
      <c r="F72" t="s">
        <v>65</v>
      </c>
      <c r="G72">
        <v>10923</v>
      </c>
      <c r="J72" s="1">
        <v>1.2121212121212121E-2</v>
      </c>
      <c r="K72" t="s">
        <v>210</v>
      </c>
      <c r="L72" t="s">
        <v>117</v>
      </c>
      <c r="M72">
        <v>200</v>
      </c>
      <c r="N72">
        <v>16500</v>
      </c>
      <c r="O72" t="s">
        <v>14</v>
      </c>
    </row>
    <row r="73" spans="1:15" x14ac:dyDescent="0.25">
      <c r="A73" t="s">
        <v>117</v>
      </c>
      <c r="B73" t="s">
        <v>33</v>
      </c>
      <c r="C73">
        <v>9549.4</v>
      </c>
      <c r="D73">
        <v>0.57875151515151513</v>
      </c>
      <c r="E73" t="s">
        <v>117</v>
      </c>
      <c r="F73" t="s">
        <v>33</v>
      </c>
      <c r="G73">
        <v>9549.4</v>
      </c>
      <c r="J73" s="1">
        <v>0.48303030303030303</v>
      </c>
      <c r="K73" t="s">
        <v>209</v>
      </c>
      <c r="L73" t="s">
        <v>117</v>
      </c>
      <c r="M73">
        <v>7970</v>
      </c>
      <c r="N73">
        <v>16500</v>
      </c>
      <c r="O73" t="s">
        <v>104</v>
      </c>
    </row>
    <row r="74" spans="1:15" x14ac:dyDescent="0.25">
      <c r="A74" t="s">
        <v>117</v>
      </c>
      <c r="B74" t="s">
        <v>68</v>
      </c>
      <c r="C74">
        <v>11743.5</v>
      </c>
      <c r="D74">
        <v>0.71172727272727276</v>
      </c>
      <c r="E74" t="s">
        <v>117</v>
      </c>
      <c r="F74" t="s">
        <v>68</v>
      </c>
      <c r="G74">
        <v>11743.5</v>
      </c>
      <c r="J74" s="1">
        <v>1.2472121212121212</v>
      </c>
      <c r="K74" t="s">
        <v>207</v>
      </c>
      <c r="L74" t="s">
        <v>117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208</v>
      </c>
      <c r="L75" t="s">
        <v>117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209</v>
      </c>
      <c r="L76" t="s">
        <v>117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209</v>
      </c>
      <c r="L77" t="s">
        <v>117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209</v>
      </c>
      <c r="L78" t="s">
        <v>117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209</v>
      </c>
      <c r="L79" t="s">
        <v>117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208</v>
      </c>
      <c r="L80" t="s">
        <v>117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topLeftCell="G1" zoomScale="70" zoomScaleNormal="70" workbookViewId="0">
      <selection activeCell="N12" sqref="N1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111</v>
      </c>
      <c r="C3">
        <v>19232</v>
      </c>
      <c r="D3">
        <v>0.33740350877192982</v>
      </c>
      <c r="E3" t="s">
        <v>3</v>
      </c>
      <c r="F3" t="s">
        <v>111</v>
      </c>
      <c r="G3">
        <v>19232</v>
      </c>
      <c r="J3" s="34">
        <v>2025</v>
      </c>
      <c r="K3" s="34" t="s">
        <v>187</v>
      </c>
      <c r="L3" s="34">
        <v>20</v>
      </c>
    </row>
    <row r="4" spans="1:41" x14ac:dyDescent="0.25">
      <c r="A4" t="s">
        <v>3</v>
      </c>
      <c r="B4" t="s">
        <v>53</v>
      </c>
      <c r="C4">
        <v>19360</v>
      </c>
      <c r="D4">
        <v>0.33964912280701753</v>
      </c>
      <c r="E4" t="s">
        <v>3</v>
      </c>
      <c r="F4" t="s">
        <v>53</v>
      </c>
      <c r="G4">
        <v>19360</v>
      </c>
    </row>
    <row r="5" spans="1:41" x14ac:dyDescent="0.25">
      <c r="A5" t="s">
        <v>3</v>
      </c>
      <c r="B5" t="s">
        <v>22</v>
      </c>
      <c r="C5">
        <v>62885.7</v>
      </c>
      <c r="D5">
        <v>1.1032578947368421</v>
      </c>
      <c r="E5" t="s">
        <v>3</v>
      </c>
      <c r="F5" t="s">
        <v>22</v>
      </c>
      <c r="G5">
        <v>62885.7</v>
      </c>
    </row>
    <row r="6" spans="1:41" x14ac:dyDescent="0.25">
      <c r="A6" t="s">
        <v>3</v>
      </c>
      <c r="B6" t="s">
        <v>23</v>
      </c>
      <c r="C6">
        <v>102014</v>
      </c>
      <c r="D6">
        <v>1.789719298245614</v>
      </c>
      <c r="E6" t="s">
        <v>3</v>
      </c>
      <c r="F6" t="s">
        <v>23</v>
      </c>
      <c r="G6">
        <v>102014</v>
      </c>
    </row>
    <row r="7" spans="1:41" x14ac:dyDescent="0.25">
      <c r="A7" t="s">
        <v>3</v>
      </c>
      <c r="B7" t="s">
        <v>25</v>
      </c>
      <c r="C7">
        <v>46165</v>
      </c>
      <c r="D7">
        <v>0.80991228070175436</v>
      </c>
      <c r="E7" t="s">
        <v>3</v>
      </c>
      <c r="F7" t="s">
        <v>25</v>
      </c>
      <c r="G7">
        <v>46165</v>
      </c>
    </row>
    <row r="8" spans="1:41" x14ac:dyDescent="0.25">
      <c r="A8" t="s">
        <v>3</v>
      </c>
      <c r="B8" t="s">
        <v>108</v>
      </c>
      <c r="C8">
        <v>14913</v>
      </c>
      <c r="D8">
        <v>0.26163157894736844</v>
      </c>
      <c r="E8" t="s">
        <v>3</v>
      </c>
      <c r="F8" t="s">
        <v>108</v>
      </c>
      <c r="G8">
        <v>14913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309</v>
      </c>
      <c r="V8" s="41" t="s">
        <v>310</v>
      </c>
      <c r="W8" s="41" t="s">
        <v>311</v>
      </c>
      <c r="X8" s="41" t="s">
        <v>312</v>
      </c>
      <c r="Y8" s="41" t="s">
        <v>313</v>
      </c>
      <c r="Z8" s="41" t="s">
        <v>314</v>
      </c>
      <c r="AA8" s="41" t="s">
        <v>315</v>
      </c>
      <c r="AB8" s="41" t="s">
        <v>316</v>
      </c>
      <c r="AC8" s="41" t="s">
        <v>317</v>
      </c>
      <c r="AD8" s="41" t="s">
        <v>318</v>
      </c>
      <c r="AE8" s="41" t="s">
        <v>319</v>
      </c>
      <c r="AF8" s="41" t="s">
        <v>320</v>
      </c>
      <c r="AG8" s="41" t="s">
        <v>321</v>
      </c>
      <c r="AH8" s="41" t="s">
        <v>322</v>
      </c>
      <c r="AI8" s="41" t="s">
        <v>323</v>
      </c>
      <c r="AJ8" s="41" t="s">
        <v>324</v>
      </c>
      <c r="AK8" s="41" t="s">
        <v>325</v>
      </c>
      <c r="AL8" s="41" t="s">
        <v>326</v>
      </c>
      <c r="AM8" s="41" t="s">
        <v>327</v>
      </c>
      <c r="AN8" s="41" t="s">
        <v>328</v>
      </c>
      <c r="AO8" s="19" t="s">
        <v>136</v>
      </c>
    </row>
    <row r="9" spans="1:41" x14ac:dyDescent="0.25">
      <c r="A9" t="s">
        <v>3</v>
      </c>
      <c r="B9" t="s">
        <v>103</v>
      </c>
      <c r="C9">
        <v>17760</v>
      </c>
      <c r="D9">
        <v>0.31157894736842107</v>
      </c>
      <c r="E9" t="s">
        <v>3</v>
      </c>
      <c r="F9" t="s">
        <v>103</v>
      </c>
      <c r="G9">
        <v>17760</v>
      </c>
      <c r="J9" s="1">
        <v>0.33740350877192982</v>
      </c>
      <c r="K9" t="s">
        <v>210</v>
      </c>
      <c r="L9" t="s">
        <v>3</v>
      </c>
      <c r="M9">
        <v>19232</v>
      </c>
      <c r="N9">
        <v>57000</v>
      </c>
      <c r="O9" t="s">
        <v>111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195</v>
      </c>
    </row>
    <row r="10" spans="1:41" x14ac:dyDescent="0.25">
      <c r="A10" t="s">
        <v>3</v>
      </c>
      <c r="B10" t="s">
        <v>76</v>
      </c>
      <c r="C10">
        <v>63552.1</v>
      </c>
      <c r="D10">
        <v>1.1149491228070174</v>
      </c>
      <c r="E10" t="s">
        <v>3</v>
      </c>
      <c r="F10" t="s">
        <v>76</v>
      </c>
      <c r="G10">
        <v>63552.1</v>
      </c>
      <c r="J10" s="1">
        <v>0.33964912280701753</v>
      </c>
      <c r="K10" t="s">
        <v>210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195</v>
      </c>
    </row>
    <row r="11" spans="1:41" x14ac:dyDescent="0.25">
      <c r="A11" t="s">
        <v>9</v>
      </c>
      <c r="B11" t="s">
        <v>132</v>
      </c>
      <c r="C11">
        <v>0</v>
      </c>
      <c r="D11">
        <v>0</v>
      </c>
      <c r="E11" t="s">
        <v>9</v>
      </c>
      <c r="F11" t="s">
        <v>132</v>
      </c>
      <c r="G11">
        <v>0</v>
      </c>
      <c r="J11" s="1">
        <v>1.1032578947368421</v>
      </c>
      <c r="K11" t="s">
        <v>207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195</v>
      </c>
    </row>
    <row r="12" spans="1:41" x14ac:dyDescent="0.25">
      <c r="A12" t="s">
        <v>9</v>
      </c>
      <c r="B12" t="s">
        <v>57</v>
      </c>
      <c r="C12">
        <v>19686</v>
      </c>
      <c r="D12">
        <v>0.3453684210526316</v>
      </c>
      <c r="E12" t="s">
        <v>9</v>
      </c>
      <c r="F12" t="s">
        <v>57</v>
      </c>
      <c r="G12">
        <v>19686</v>
      </c>
      <c r="J12" s="1">
        <v>1.789719298245614</v>
      </c>
      <c r="K12" t="s">
        <v>207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195</v>
      </c>
    </row>
    <row r="13" spans="1:41" x14ac:dyDescent="0.25">
      <c r="A13" t="s">
        <v>9</v>
      </c>
      <c r="B13" t="s">
        <v>65</v>
      </c>
      <c r="C13">
        <v>17733.5</v>
      </c>
      <c r="D13">
        <v>0.31111403508771929</v>
      </c>
      <c r="E13" t="s">
        <v>9</v>
      </c>
      <c r="F13" t="s">
        <v>65</v>
      </c>
      <c r="G13">
        <v>17733.5</v>
      </c>
      <c r="J13" s="1">
        <v>0.80991228070175436</v>
      </c>
      <c r="K13" t="s">
        <v>208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197</v>
      </c>
    </row>
    <row r="14" spans="1:41" x14ac:dyDescent="0.25">
      <c r="A14" t="s">
        <v>9</v>
      </c>
      <c r="B14" t="s">
        <v>75</v>
      </c>
      <c r="C14">
        <v>95271</v>
      </c>
      <c r="D14">
        <v>1.6714210526315789</v>
      </c>
      <c r="E14" t="s">
        <v>9</v>
      </c>
      <c r="F14" t="s">
        <v>75</v>
      </c>
      <c r="G14">
        <v>95271</v>
      </c>
      <c r="J14" s="1">
        <v>0.26163157894736844</v>
      </c>
      <c r="K14" t="s">
        <v>210</v>
      </c>
      <c r="L14" t="s">
        <v>3</v>
      </c>
      <c r="M14">
        <v>14913</v>
      </c>
      <c r="N14">
        <v>57000</v>
      </c>
      <c r="O14" t="s">
        <v>108</v>
      </c>
      <c r="Q14">
        <v>171900</v>
      </c>
      <c r="R14" s="12">
        <v>70637</v>
      </c>
      <c r="S14" s="18">
        <v>0.41091913903432226</v>
      </c>
      <c r="T14" t="s">
        <v>126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198</v>
      </c>
    </row>
    <row r="15" spans="1:41" x14ac:dyDescent="0.25">
      <c r="A15" t="s">
        <v>9</v>
      </c>
      <c r="B15" t="s">
        <v>62</v>
      </c>
      <c r="C15">
        <v>29828.39</v>
      </c>
      <c r="D15">
        <v>0.52330508771929829</v>
      </c>
      <c r="E15" t="s">
        <v>9</v>
      </c>
      <c r="F15" t="s">
        <v>62</v>
      </c>
      <c r="G15">
        <v>29828.39</v>
      </c>
      <c r="J15" s="1">
        <v>0.31157894736842107</v>
      </c>
      <c r="K15" t="s">
        <v>210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127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198</v>
      </c>
    </row>
    <row r="16" spans="1:41" x14ac:dyDescent="0.25">
      <c r="A16" t="s">
        <v>9</v>
      </c>
      <c r="B16" t="s">
        <v>64</v>
      </c>
      <c r="C16">
        <v>60617.29</v>
      </c>
      <c r="D16">
        <v>1.0634612280701754</v>
      </c>
      <c r="E16" t="s">
        <v>9</v>
      </c>
      <c r="F16" t="s">
        <v>64</v>
      </c>
      <c r="G16">
        <v>60617.29</v>
      </c>
      <c r="J16" s="1">
        <v>1.1149491228070174</v>
      </c>
      <c r="K16" t="s">
        <v>207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198</v>
      </c>
    </row>
    <row r="17" spans="1:15" x14ac:dyDescent="0.25">
      <c r="A17" t="s">
        <v>9</v>
      </c>
      <c r="B17" t="s">
        <v>59</v>
      </c>
      <c r="C17">
        <v>45564.65</v>
      </c>
      <c r="D17">
        <v>0.79937982456140355</v>
      </c>
      <c r="E17" t="s">
        <v>9</v>
      </c>
      <c r="F17" t="s">
        <v>59</v>
      </c>
      <c r="G17">
        <v>45564.65</v>
      </c>
      <c r="J17" s="1">
        <v>0</v>
      </c>
      <c r="K17" t="s">
        <v>210</v>
      </c>
      <c r="L17" t="s">
        <v>9</v>
      </c>
      <c r="M17">
        <v>0</v>
      </c>
      <c r="N17">
        <v>57000</v>
      </c>
      <c r="O17" t="s">
        <v>132</v>
      </c>
    </row>
    <row r="18" spans="1:15" x14ac:dyDescent="0.25">
      <c r="A18" t="s">
        <v>9</v>
      </c>
      <c r="B18" t="s">
        <v>63</v>
      </c>
      <c r="C18">
        <v>16130</v>
      </c>
      <c r="D18">
        <v>0.28298245614035089</v>
      </c>
      <c r="E18" t="s">
        <v>9</v>
      </c>
      <c r="F18" t="s">
        <v>63</v>
      </c>
      <c r="G18">
        <v>16130</v>
      </c>
      <c r="J18" s="1">
        <v>0.3453684210526316</v>
      </c>
      <c r="K18" t="s">
        <v>210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v>36100</v>
      </c>
      <c r="D19">
        <v>0.6333333333333333</v>
      </c>
      <c r="E19" t="s">
        <v>2</v>
      </c>
      <c r="F19" t="s">
        <v>12</v>
      </c>
      <c r="G19">
        <v>36100</v>
      </c>
      <c r="J19" s="1">
        <v>0.31111403508771929</v>
      </c>
      <c r="K19" t="s">
        <v>210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v>25015</v>
      </c>
      <c r="D20">
        <v>0.43885964912280701</v>
      </c>
      <c r="E20" t="s">
        <v>2</v>
      </c>
      <c r="F20" t="s">
        <v>13</v>
      </c>
      <c r="G20">
        <v>25015</v>
      </c>
      <c r="J20" s="1">
        <v>1.6714210526315789</v>
      </c>
      <c r="K20" t="s">
        <v>207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v>15200</v>
      </c>
      <c r="D21">
        <v>0.26666666666666666</v>
      </c>
      <c r="E21" t="s">
        <v>2</v>
      </c>
      <c r="F21" t="s">
        <v>77</v>
      </c>
      <c r="G21">
        <v>15200</v>
      </c>
      <c r="J21" s="1">
        <v>0.52330508771929829</v>
      </c>
      <c r="K21" t="s">
        <v>209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v>34858.75</v>
      </c>
      <c r="D22">
        <v>0.6115570175438596</v>
      </c>
      <c r="E22" t="s">
        <v>2</v>
      </c>
      <c r="F22" t="s">
        <v>29</v>
      </c>
      <c r="G22">
        <v>34858.75</v>
      </c>
      <c r="J22" s="1">
        <v>1.0634612280701754</v>
      </c>
      <c r="K22" t="s">
        <v>207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v>59320</v>
      </c>
      <c r="D23">
        <v>1.0407017543859649</v>
      </c>
      <c r="E23" t="s">
        <v>2</v>
      </c>
      <c r="F23" t="s">
        <v>17</v>
      </c>
      <c r="G23">
        <v>59320</v>
      </c>
      <c r="J23" s="1">
        <v>0.79937982456140355</v>
      </c>
      <c r="K23" t="s">
        <v>208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v>18939</v>
      </c>
      <c r="D24">
        <v>0.33226315789473682</v>
      </c>
      <c r="E24" t="s">
        <v>2</v>
      </c>
      <c r="F24" t="s">
        <v>11</v>
      </c>
      <c r="G24">
        <v>18939</v>
      </c>
      <c r="J24" s="1">
        <v>0.28298245614035089</v>
      </c>
      <c r="K24" t="s">
        <v>210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v>68299</v>
      </c>
      <c r="D25">
        <v>1.1982280701754386</v>
      </c>
      <c r="E25" t="s">
        <v>2</v>
      </c>
      <c r="F25" t="s">
        <v>10</v>
      </c>
      <c r="G25">
        <v>68299</v>
      </c>
      <c r="J25" s="1">
        <v>0.6333333333333333</v>
      </c>
      <c r="K25" t="s">
        <v>209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v>41073</v>
      </c>
      <c r="D26">
        <v>0.7205789473684211</v>
      </c>
      <c r="E26" t="s">
        <v>5</v>
      </c>
      <c r="F26" t="s">
        <v>58</v>
      </c>
      <c r="G26">
        <v>41073</v>
      </c>
      <c r="J26" s="1">
        <v>0.43885964912280701</v>
      </c>
      <c r="K26" t="s">
        <v>209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v>26261</v>
      </c>
      <c r="D27">
        <v>0.46071929824561403</v>
      </c>
      <c r="E27" t="s">
        <v>5</v>
      </c>
      <c r="F27" t="s">
        <v>85</v>
      </c>
      <c r="G27">
        <v>26261</v>
      </c>
      <c r="J27" s="1">
        <v>0.26666666666666666</v>
      </c>
      <c r="K27" t="s">
        <v>210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v>56440.2</v>
      </c>
      <c r="D28">
        <v>0.99017894736842105</v>
      </c>
      <c r="E28" t="s">
        <v>5</v>
      </c>
      <c r="F28" t="s">
        <v>67</v>
      </c>
      <c r="G28">
        <v>56440.2</v>
      </c>
      <c r="J28" s="1">
        <v>0.6115570175438596</v>
      </c>
      <c r="K28" t="s">
        <v>209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v>37261.97</v>
      </c>
      <c r="D29">
        <v>0.65371877192982453</v>
      </c>
      <c r="E29" t="s">
        <v>5</v>
      </c>
      <c r="F29" t="s">
        <v>72</v>
      </c>
      <c r="G29">
        <v>37261.97</v>
      </c>
      <c r="J29" s="1">
        <v>1.0407017543859649</v>
      </c>
      <c r="K29" t="s">
        <v>207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v>35845</v>
      </c>
      <c r="D30">
        <v>0.62885964912280701</v>
      </c>
      <c r="E30" t="s">
        <v>5</v>
      </c>
      <c r="F30" t="s">
        <v>66</v>
      </c>
      <c r="G30">
        <v>35845</v>
      </c>
      <c r="J30" s="1">
        <v>0.33226315789473682</v>
      </c>
      <c r="K30" t="s">
        <v>210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v>59419</v>
      </c>
      <c r="D31">
        <v>1.0424385964912282</v>
      </c>
      <c r="E31" t="s">
        <v>5</v>
      </c>
      <c r="F31" t="s">
        <v>68</v>
      </c>
      <c r="G31">
        <v>59419</v>
      </c>
      <c r="J31" s="1">
        <v>1.1982280701754386</v>
      </c>
      <c r="K31" t="s">
        <v>207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v>37843</v>
      </c>
      <c r="D32">
        <v>0.66391228070175434</v>
      </c>
      <c r="E32" t="s">
        <v>5</v>
      </c>
      <c r="F32" t="s">
        <v>70</v>
      </c>
      <c r="G32">
        <v>37843</v>
      </c>
      <c r="J32" s="1">
        <v>0.7205789473684211</v>
      </c>
      <c r="K32" t="s">
        <v>208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v>26900</v>
      </c>
      <c r="D33">
        <v>0.47192982456140353</v>
      </c>
      <c r="E33" t="s">
        <v>5</v>
      </c>
      <c r="F33" t="s">
        <v>79</v>
      </c>
      <c r="G33">
        <v>26900</v>
      </c>
      <c r="J33" s="1">
        <v>0.46071929824561403</v>
      </c>
      <c r="K33" t="s">
        <v>209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v>7953</v>
      </c>
      <c r="D34">
        <v>0.30588461538461537</v>
      </c>
      <c r="E34" t="s">
        <v>6</v>
      </c>
      <c r="F34" t="s">
        <v>18</v>
      </c>
      <c r="G34">
        <v>7953</v>
      </c>
      <c r="J34" s="1">
        <v>0.99017894736842105</v>
      </c>
      <c r="K34" t="s">
        <v>208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v>3600</v>
      </c>
      <c r="D35">
        <v>0.13846153846153847</v>
      </c>
      <c r="E35" t="s">
        <v>6</v>
      </c>
      <c r="F35" t="s">
        <v>81</v>
      </c>
      <c r="G35">
        <v>3600</v>
      </c>
      <c r="J35" s="1">
        <v>0.65371877192982453</v>
      </c>
      <c r="K35" t="s">
        <v>209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106</v>
      </c>
      <c r="C36">
        <v>7800</v>
      </c>
      <c r="D36">
        <v>0.3</v>
      </c>
      <c r="E36" t="s">
        <v>6</v>
      </c>
      <c r="F36" t="s">
        <v>106</v>
      </c>
      <c r="G36">
        <v>7800</v>
      </c>
      <c r="J36" s="1">
        <v>0.62885964912280701</v>
      </c>
      <c r="K36" t="s">
        <v>209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v>7290</v>
      </c>
      <c r="D37">
        <v>0.2803846153846154</v>
      </c>
      <c r="E37" t="s">
        <v>6</v>
      </c>
      <c r="F37" t="s">
        <v>37</v>
      </c>
      <c r="G37">
        <v>7290</v>
      </c>
      <c r="J37" s="1">
        <v>1.0424385964912282</v>
      </c>
      <c r="K37" t="s">
        <v>207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v>18641.11</v>
      </c>
      <c r="D38">
        <v>0.71696576923076927</v>
      </c>
      <c r="E38" t="s">
        <v>6</v>
      </c>
      <c r="F38" t="s">
        <v>35</v>
      </c>
      <c r="G38">
        <v>18641.11</v>
      </c>
      <c r="J38" s="1">
        <v>0.66391228070175434</v>
      </c>
      <c r="K38" t="s">
        <v>209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v>21980</v>
      </c>
      <c r="D39">
        <v>0.8453846153846154</v>
      </c>
      <c r="E39" t="s">
        <v>6</v>
      </c>
      <c r="F39" t="s">
        <v>31</v>
      </c>
      <c r="G39">
        <v>21980</v>
      </c>
      <c r="J39" s="1">
        <v>0.47192982456140353</v>
      </c>
      <c r="K39" t="s">
        <v>209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112</v>
      </c>
      <c r="C40">
        <v>10464</v>
      </c>
      <c r="D40">
        <v>0.40246153846153848</v>
      </c>
      <c r="E40" t="s">
        <v>6</v>
      </c>
      <c r="F40" t="s">
        <v>112</v>
      </c>
      <c r="G40">
        <v>10464</v>
      </c>
      <c r="J40" s="1">
        <v>0.30588461538461537</v>
      </c>
      <c r="K40" t="s">
        <v>210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v>8041</v>
      </c>
      <c r="D41">
        <v>0.3092692307692308</v>
      </c>
      <c r="E41" t="s">
        <v>6</v>
      </c>
      <c r="F41" t="s">
        <v>36</v>
      </c>
      <c r="G41">
        <v>8041</v>
      </c>
      <c r="J41" s="1">
        <v>0.13846153846153847</v>
      </c>
      <c r="K41" t="s">
        <v>210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130</v>
      </c>
      <c r="C42">
        <v>6320</v>
      </c>
      <c r="D42">
        <v>0.24307692307692308</v>
      </c>
      <c r="E42" t="s">
        <v>6</v>
      </c>
      <c r="F42" t="s">
        <v>130</v>
      </c>
      <c r="G42">
        <v>6320</v>
      </c>
      <c r="J42" s="1">
        <v>0.3</v>
      </c>
      <c r="K42" t="s">
        <v>210</v>
      </c>
      <c r="L42" t="s">
        <v>6</v>
      </c>
      <c r="M42">
        <v>7800</v>
      </c>
      <c r="N42">
        <v>26000</v>
      </c>
      <c r="O42" t="s">
        <v>106</v>
      </c>
    </row>
    <row r="43" spans="1:15" x14ac:dyDescent="0.25">
      <c r="A43" t="s">
        <v>6</v>
      </c>
      <c r="B43" t="s">
        <v>34</v>
      </c>
      <c r="C43">
        <v>19711</v>
      </c>
      <c r="D43">
        <v>0.75811538461538464</v>
      </c>
      <c r="E43" t="s">
        <v>6</v>
      </c>
      <c r="F43" t="s">
        <v>34</v>
      </c>
      <c r="G43">
        <v>19711</v>
      </c>
      <c r="J43" s="1">
        <v>0.2803846153846154</v>
      </c>
      <c r="K43" t="s">
        <v>210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127</v>
      </c>
      <c r="B44" t="s">
        <v>21</v>
      </c>
      <c r="C44">
        <v>17728.099999999999</v>
      </c>
      <c r="D44">
        <v>0.86478536585365851</v>
      </c>
      <c r="E44" t="s">
        <v>127</v>
      </c>
      <c r="F44" t="s">
        <v>21</v>
      </c>
      <c r="G44">
        <v>17728.099999999999</v>
      </c>
      <c r="J44" s="1">
        <v>0.71696576923076927</v>
      </c>
      <c r="K44" t="s">
        <v>208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127</v>
      </c>
      <c r="B45" t="s">
        <v>15</v>
      </c>
      <c r="C45">
        <v>17644</v>
      </c>
      <c r="D45">
        <v>0.86068292682926828</v>
      </c>
      <c r="E45" t="s">
        <v>127</v>
      </c>
      <c r="F45" t="s">
        <v>15</v>
      </c>
      <c r="G45">
        <v>17644</v>
      </c>
      <c r="J45" s="1">
        <v>0.8453846153846154</v>
      </c>
      <c r="K45" t="s">
        <v>208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127</v>
      </c>
      <c r="B46" t="s">
        <v>104</v>
      </c>
      <c r="C46">
        <v>6061</v>
      </c>
      <c r="D46">
        <v>0.29565853658536584</v>
      </c>
      <c r="E46" t="s">
        <v>127</v>
      </c>
      <c r="F46" t="s">
        <v>104</v>
      </c>
      <c r="G46">
        <v>6061</v>
      </c>
      <c r="J46" s="1">
        <v>0.40246153846153848</v>
      </c>
      <c r="K46" t="s">
        <v>209</v>
      </c>
      <c r="L46" t="s">
        <v>6</v>
      </c>
      <c r="M46">
        <v>10464</v>
      </c>
      <c r="N46">
        <v>26000</v>
      </c>
      <c r="O46" t="s">
        <v>112</v>
      </c>
    </row>
    <row r="47" spans="1:15" x14ac:dyDescent="0.25">
      <c r="A47" t="s">
        <v>127</v>
      </c>
      <c r="B47" t="s">
        <v>41</v>
      </c>
      <c r="C47">
        <v>2970</v>
      </c>
      <c r="D47">
        <v>0.14487804878048779</v>
      </c>
      <c r="E47" t="s">
        <v>127</v>
      </c>
      <c r="F47" t="s">
        <v>41</v>
      </c>
      <c r="G47">
        <v>2970</v>
      </c>
      <c r="J47" s="1">
        <v>0.3092692307692308</v>
      </c>
      <c r="K47" t="s">
        <v>210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127</v>
      </c>
      <c r="B48" t="s">
        <v>71</v>
      </c>
      <c r="C48">
        <v>11476</v>
      </c>
      <c r="D48">
        <v>0.55980487804878054</v>
      </c>
      <c r="E48" t="s">
        <v>127</v>
      </c>
      <c r="F48" t="s">
        <v>71</v>
      </c>
      <c r="G48">
        <v>11476</v>
      </c>
      <c r="J48" s="1">
        <v>0.24307692307692308</v>
      </c>
      <c r="K48" t="s">
        <v>210</v>
      </c>
      <c r="L48" t="s">
        <v>6</v>
      </c>
      <c r="M48">
        <v>6320</v>
      </c>
      <c r="N48">
        <v>26000</v>
      </c>
      <c r="O48" t="s">
        <v>130</v>
      </c>
    </row>
    <row r="49" spans="1:15" x14ac:dyDescent="0.25">
      <c r="A49" t="s">
        <v>127</v>
      </c>
      <c r="B49" t="s">
        <v>42</v>
      </c>
      <c r="C49">
        <v>0</v>
      </c>
      <c r="D49">
        <v>0</v>
      </c>
      <c r="E49" t="s">
        <v>127</v>
      </c>
      <c r="F49" t="s">
        <v>42</v>
      </c>
      <c r="G49">
        <v>0</v>
      </c>
      <c r="J49" s="1">
        <v>0.75811538461538464</v>
      </c>
      <c r="K49" t="s">
        <v>208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127</v>
      </c>
      <c r="B50" t="s">
        <v>20</v>
      </c>
      <c r="C50">
        <v>14580</v>
      </c>
      <c r="D50">
        <v>0.71121951219512192</v>
      </c>
      <c r="E50" t="s">
        <v>127</v>
      </c>
      <c r="F50" t="s">
        <v>20</v>
      </c>
      <c r="G50">
        <v>14580</v>
      </c>
      <c r="J50" s="1">
        <v>0.86478536585365851</v>
      </c>
      <c r="K50" t="s">
        <v>208</v>
      </c>
      <c r="L50" t="s">
        <v>127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127</v>
      </c>
      <c r="B51" t="s">
        <v>107</v>
      </c>
      <c r="C51">
        <v>6397.5</v>
      </c>
      <c r="D51">
        <v>0.31207317073170732</v>
      </c>
      <c r="E51" t="s">
        <v>127</v>
      </c>
      <c r="F51" t="s">
        <v>107</v>
      </c>
      <c r="G51">
        <v>6397.5</v>
      </c>
      <c r="J51" s="1">
        <v>0.86068292682926828</v>
      </c>
      <c r="K51" t="s">
        <v>208</v>
      </c>
      <c r="L51" t="s">
        <v>127</v>
      </c>
      <c r="M51">
        <v>17644</v>
      </c>
      <c r="N51">
        <v>20500</v>
      </c>
      <c r="O51" t="s">
        <v>15</v>
      </c>
    </row>
    <row r="52" spans="1:15" x14ac:dyDescent="0.25">
      <c r="A52" t="s">
        <v>127</v>
      </c>
      <c r="B52" t="s">
        <v>73</v>
      </c>
      <c r="C52">
        <v>7976</v>
      </c>
      <c r="D52">
        <v>0.38907317073170733</v>
      </c>
      <c r="E52" t="s">
        <v>127</v>
      </c>
      <c r="F52" t="s">
        <v>73</v>
      </c>
      <c r="G52">
        <v>7976</v>
      </c>
      <c r="J52" s="1">
        <v>0.29565853658536584</v>
      </c>
      <c r="K52" t="s">
        <v>210</v>
      </c>
      <c r="L52" t="s">
        <v>127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v>6701</v>
      </c>
      <c r="D53">
        <v>0.32687804878048782</v>
      </c>
      <c r="E53" t="s">
        <v>8</v>
      </c>
      <c r="F53" t="s">
        <v>14</v>
      </c>
      <c r="G53">
        <v>6701</v>
      </c>
      <c r="J53" s="1">
        <v>0.14487804878048779</v>
      </c>
      <c r="K53" t="s">
        <v>210</v>
      </c>
      <c r="L53" t="s">
        <v>127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131</v>
      </c>
      <c r="C54">
        <v>4300</v>
      </c>
      <c r="D54">
        <v>0.2097560975609756</v>
      </c>
      <c r="E54" t="s">
        <v>8</v>
      </c>
      <c r="F54" t="s">
        <v>131</v>
      </c>
      <c r="G54">
        <v>4300</v>
      </c>
      <c r="J54" s="1">
        <v>0.55980487804878054</v>
      </c>
      <c r="K54" t="s">
        <v>209</v>
      </c>
      <c r="L54" t="s">
        <v>127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v>16516</v>
      </c>
      <c r="D55">
        <v>0.8056585365853659</v>
      </c>
      <c r="E55" t="s">
        <v>8</v>
      </c>
      <c r="F55" t="s">
        <v>24</v>
      </c>
      <c r="G55">
        <v>16516</v>
      </c>
      <c r="J55" s="1">
        <v>0</v>
      </c>
      <c r="K55" t="s">
        <v>210</v>
      </c>
      <c r="L55" t="s">
        <v>127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v>4431</v>
      </c>
      <c r="D56">
        <v>0.21614634146341463</v>
      </c>
      <c r="E56" t="s">
        <v>8</v>
      </c>
      <c r="F56" t="s">
        <v>51</v>
      </c>
      <c r="G56">
        <v>4431</v>
      </c>
      <c r="J56" s="1">
        <v>0.71121951219512192</v>
      </c>
      <c r="K56" t="s">
        <v>208</v>
      </c>
      <c r="L56" t="s">
        <v>127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v>14890</v>
      </c>
      <c r="D57">
        <v>0.72634146341463413</v>
      </c>
      <c r="E57" t="s">
        <v>8</v>
      </c>
      <c r="F57" t="s">
        <v>83</v>
      </c>
      <c r="G57">
        <v>14890</v>
      </c>
      <c r="J57" s="1">
        <v>0.31207317073170732</v>
      </c>
      <c r="K57" t="s">
        <v>210</v>
      </c>
      <c r="L57" t="s">
        <v>127</v>
      </c>
      <c r="M57">
        <v>6397.5</v>
      </c>
      <c r="N57">
        <v>20500</v>
      </c>
      <c r="O57" t="s">
        <v>107</v>
      </c>
    </row>
    <row r="58" spans="1:15" x14ac:dyDescent="0.25">
      <c r="A58" t="s">
        <v>8</v>
      </c>
      <c r="B58" t="s">
        <v>33</v>
      </c>
      <c r="C58">
        <v>5162.8</v>
      </c>
      <c r="D58">
        <v>0.25184390243902438</v>
      </c>
      <c r="E58" t="s">
        <v>8</v>
      </c>
      <c r="F58" t="s">
        <v>33</v>
      </c>
      <c r="G58">
        <v>5162.8</v>
      </c>
      <c r="J58" s="1">
        <v>0.38907317073170733</v>
      </c>
      <c r="K58" t="s">
        <v>210</v>
      </c>
      <c r="L58" t="s">
        <v>127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v>19938</v>
      </c>
      <c r="D59">
        <v>0.97258536585365851</v>
      </c>
      <c r="E59" t="s">
        <v>8</v>
      </c>
      <c r="F59" t="s">
        <v>78</v>
      </c>
      <c r="G59">
        <v>19938</v>
      </c>
      <c r="J59" s="1">
        <v>0.32687804878048782</v>
      </c>
      <c r="K59" t="s">
        <v>210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v>30316</v>
      </c>
      <c r="D60">
        <v>1.4788292682926829</v>
      </c>
      <c r="E60" t="s">
        <v>8</v>
      </c>
      <c r="F60" t="s">
        <v>39</v>
      </c>
      <c r="G60">
        <v>30316</v>
      </c>
      <c r="J60" s="1">
        <v>0.2097560975609756</v>
      </c>
      <c r="K60" t="s">
        <v>210</v>
      </c>
      <c r="L60" t="s">
        <v>8</v>
      </c>
      <c r="M60">
        <v>4300</v>
      </c>
      <c r="N60">
        <v>20500</v>
      </c>
      <c r="O60" t="s">
        <v>131</v>
      </c>
    </row>
    <row r="61" spans="1:15" x14ac:dyDescent="0.25">
      <c r="A61" t="s">
        <v>8</v>
      </c>
      <c r="B61" t="s">
        <v>56</v>
      </c>
      <c r="C61">
        <v>681</v>
      </c>
      <c r="D61">
        <v>3.3219512195121953E-2</v>
      </c>
      <c r="E61" t="s">
        <v>8</v>
      </c>
      <c r="F61" t="s">
        <v>56</v>
      </c>
      <c r="G61">
        <v>681</v>
      </c>
      <c r="J61" s="1">
        <v>0.8056585365853659</v>
      </c>
      <c r="K61" t="s">
        <v>208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126</v>
      </c>
      <c r="B62" t="s">
        <v>61</v>
      </c>
      <c r="C62">
        <v>21531.5</v>
      </c>
      <c r="D62">
        <v>1.0503170731707316</v>
      </c>
      <c r="E62" t="s">
        <v>126</v>
      </c>
      <c r="F62" t="s">
        <v>61</v>
      </c>
      <c r="G62">
        <v>21531.5</v>
      </c>
      <c r="J62" s="1">
        <v>0.21614634146341463</v>
      </c>
      <c r="K62" t="s">
        <v>210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126</v>
      </c>
      <c r="B63" t="s">
        <v>80</v>
      </c>
      <c r="C63">
        <v>9714</v>
      </c>
      <c r="D63">
        <v>0.47385365853658534</v>
      </c>
      <c r="E63" t="s">
        <v>126</v>
      </c>
      <c r="F63" t="s">
        <v>80</v>
      </c>
      <c r="G63">
        <v>9714</v>
      </c>
      <c r="J63" s="1">
        <v>0.72634146341463413</v>
      </c>
      <c r="K63" t="s">
        <v>208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126</v>
      </c>
      <c r="B64" t="s">
        <v>16</v>
      </c>
      <c r="C64">
        <v>8117</v>
      </c>
      <c r="D64">
        <v>0.39595121951219514</v>
      </c>
      <c r="E64" t="s">
        <v>126</v>
      </c>
      <c r="F64" t="s">
        <v>16</v>
      </c>
      <c r="G64">
        <v>8117</v>
      </c>
      <c r="J64" s="1">
        <v>0.25184390243902438</v>
      </c>
      <c r="K64" t="s">
        <v>210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126</v>
      </c>
      <c r="B65" t="s">
        <v>27</v>
      </c>
      <c r="C65">
        <v>5890</v>
      </c>
      <c r="D65">
        <v>0.28731707317073168</v>
      </c>
      <c r="E65" t="s">
        <v>126</v>
      </c>
      <c r="F65" t="s">
        <v>27</v>
      </c>
      <c r="G65">
        <v>5890</v>
      </c>
      <c r="J65" s="1">
        <v>0.97258536585365851</v>
      </c>
      <c r="K65" t="s">
        <v>208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126</v>
      </c>
      <c r="B66" t="s">
        <v>32</v>
      </c>
      <c r="C66">
        <v>5817</v>
      </c>
      <c r="D66">
        <v>0.28375609756097558</v>
      </c>
      <c r="E66" t="s">
        <v>126</v>
      </c>
      <c r="F66" t="s">
        <v>32</v>
      </c>
      <c r="G66">
        <v>5817</v>
      </c>
      <c r="J66" s="1">
        <v>1.4788292682926829</v>
      </c>
      <c r="K66" t="s">
        <v>207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126</v>
      </c>
      <c r="B67" t="s">
        <v>129</v>
      </c>
      <c r="C67">
        <v>9600</v>
      </c>
      <c r="D67">
        <v>0.4682926829268293</v>
      </c>
      <c r="E67" t="s">
        <v>126</v>
      </c>
      <c r="F67" t="s">
        <v>129</v>
      </c>
      <c r="G67">
        <v>9600</v>
      </c>
      <c r="J67" s="1">
        <v>3.3219512195121953E-2</v>
      </c>
      <c r="K67" t="s">
        <v>210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126</v>
      </c>
      <c r="B68" t="s">
        <v>74</v>
      </c>
      <c r="C68">
        <v>5105.3</v>
      </c>
      <c r="D68">
        <v>0.24903902439024392</v>
      </c>
      <c r="E68" t="s">
        <v>126</v>
      </c>
      <c r="F68" t="s">
        <v>74</v>
      </c>
      <c r="G68">
        <v>5105.3</v>
      </c>
      <c r="J68" s="1">
        <v>1.0503170731707316</v>
      </c>
      <c r="K68" t="s">
        <v>207</v>
      </c>
      <c r="L68" t="s">
        <v>126</v>
      </c>
      <c r="M68">
        <v>21531.5</v>
      </c>
      <c r="N68">
        <v>20500</v>
      </c>
      <c r="O68" t="s">
        <v>61</v>
      </c>
    </row>
    <row r="69" spans="1:15" x14ac:dyDescent="0.25">
      <c r="A69" t="s">
        <v>126</v>
      </c>
      <c r="B69" t="s">
        <v>48</v>
      </c>
      <c r="C69">
        <v>4977</v>
      </c>
      <c r="D69">
        <v>0.24278048780487804</v>
      </c>
      <c r="E69" t="s">
        <v>126</v>
      </c>
      <c r="F69" t="s">
        <v>48</v>
      </c>
      <c r="G69">
        <v>4977</v>
      </c>
      <c r="J69" s="1">
        <v>0.47385365853658534</v>
      </c>
      <c r="K69" t="s">
        <v>209</v>
      </c>
      <c r="L69" t="s">
        <v>126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210</v>
      </c>
      <c r="L70" t="s">
        <v>126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210</v>
      </c>
      <c r="L71" t="s">
        <v>126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210</v>
      </c>
      <c r="L72" t="s">
        <v>126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209</v>
      </c>
      <c r="L73" t="s">
        <v>126</v>
      </c>
      <c r="M73">
        <v>9600</v>
      </c>
      <c r="N73">
        <v>20500</v>
      </c>
      <c r="O73" t="s">
        <v>129</v>
      </c>
    </row>
    <row r="74" spans="1:15" x14ac:dyDescent="0.25">
      <c r="J74" s="1">
        <v>0.24903902439024392</v>
      </c>
      <c r="K74" t="s">
        <v>210</v>
      </c>
      <c r="L74" t="s">
        <v>126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210</v>
      </c>
      <c r="L75" t="s">
        <v>126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111</v>
      </c>
      <c r="C3">
        <v>34711</v>
      </c>
      <c r="D3">
        <v>0.53401538461538467</v>
      </c>
      <c r="E3" t="s">
        <v>3</v>
      </c>
      <c r="F3" t="s">
        <v>111</v>
      </c>
      <c r="G3">
        <v>34711</v>
      </c>
      <c r="J3" s="34">
        <v>2025</v>
      </c>
      <c r="K3" s="34" t="s">
        <v>188</v>
      </c>
      <c r="L3" s="34">
        <v>21</v>
      </c>
    </row>
    <row r="4" spans="1:42" x14ac:dyDescent="0.25">
      <c r="A4" t="s">
        <v>3</v>
      </c>
      <c r="B4" t="s">
        <v>53</v>
      </c>
      <c r="C4">
        <v>27635</v>
      </c>
      <c r="D4">
        <v>0.42515384615384616</v>
      </c>
      <c r="E4" t="s">
        <v>3</v>
      </c>
      <c r="F4" t="s">
        <v>53</v>
      </c>
      <c r="G4">
        <v>27635</v>
      </c>
    </row>
    <row r="5" spans="1:42" x14ac:dyDescent="0.25">
      <c r="A5" t="s">
        <v>3</v>
      </c>
      <c r="B5" t="s">
        <v>22</v>
      </c>
      <c r="C5">
        <v>67766.75</v>
      </c>
      <c r="D5">
        <v>1.0425653846153846</v>
      </c>
      <c r="E5" t="s">
        <v>3</v>
      </c>
      <c r="F5" t="s">
        <v>22</v>
      </c>
      <c r="G5">
        <v>67766.75</v>
      </c>
    </row>
    <row r="6" spans="1:42" x14ac:dyDescent="0.25">
      <c r="A6" t="s">
        <v>3</v>
      </c>
      <c r="B6" t="s">
        <v>26</v>
      </c>
      <c r="C6">
        <v>31800</v>
      </c>
      <c r="D6">
        <v>0.48923076923076925</v>
      </c>
      <c r="E6" t="s">
        <v>3</v>
      </c>
      <c r="F6" t="s">
        <v>26</v>
      </c>
      <c r="G6">
        <v>31800</v>
      </c>
    </row>
    <row r="7" spans="1:42" x14ac:dyDescent="0.25">
      <c r="A7" t="s">
        <v>3</v>
      </c>
      <c r="B7" t="s">
        <v>23</v>
      </c>
      <c r="C7">
        <v>103512.12</v>
      </c>
      <c r="D7">
        <v>1.5924941538461537</v>
      </c>
      <c r="E7" t="s">
        <v>3</v>
      </c>
      <c r="F7" t="s">
        <v>23</v>
      </c>
      <c r="G7">
        <v>103512.12</v>
      </c>
    </row>
    <row r="8" spans="1:42" x14ac:dyDescent="0.25">
      <c r="A8" t="s">
        <v>3</v>
      </c>
      <c r="B8" t="s">
        <v>25</v>
      </c>
      <c r="C8">
        <v>30396</v>
      </c>
      <c r="D8">
        <v>0.46763076923076924</v>
      </c>
      <c r="E8" t="s">
        <v>3</v>
      </c>
      <c r="F8" t="s">
        <v>25</v>
      </c>
      <c r="G8">
        <v>30396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329</v>
      </c>
      <c r="V8" s="41" t="s">
        <v>330</v>
      </c>
      <c r="W8" s="41" t="s">
        <v>331</v>
      </c>
      <c r="X8" s="41" t="s">
        <v>332</v>
      </c>
      <c r="Y8" s="41" t="s">
        <v>333</v>
      </c>
      <c r="Z8" s="41" t="s">
        <v>334</v>
      </c>
      <c r="AA8" s="41" t="s">
        <v>335</v>
      </c>
      <c r="AB8" s="41" t="s">
        <v>336</v>
      </c>
      <c r="AC8" s="41" t="s">
        <v>337</v>
      </c>
      <c r="AD8" s="41" t="s">
        <v>338</v>
      </c>
      <c r="AE8" s="41" t="s">
        <v>339</v>
      </c>
      <c r="AF8" s="41" t="s">
        <v>340</v>
      </c>
      <c r="AG8" s="41" t="s">
        <v>341</v>
      </c>
      <c r="AH8" s="41" t="s">
        <v>342</v>
      </c>
      <c r="AI8" s="41" t="s">
        <v>343</v>
      </c>
      <c r="AJ8" s="41" t="s">
        <v>344</v>
      </c>
      <c r="AK8" s="41" t="s">
        <v>345</v>
      </c>
      <c r="AL8" s="41" t="s">
        <v>346</v>
      </c>
      <c r="AM8" s="41" t="s">
        <v>347</v>
      </c>
      <c r="AN8" s="41" t="s">
        <v>348</v>
      </c>
      <c r="AO8" s="41" t="s">
        <v>349</v>
      </c>
      <c r="AP8" s="19" t="s">
        <v>136</v>
      </c>
    </row>
    <row r="9" spans="1:42" x14ac:dyDescent="0.25">
      <c r="A9" t="s">
        <v>3</v>
      </c>
      <c r="B9" t="s">
        <v>108</v>
      </c>
      <c r="C9">
        <v>28500</v>
      </c>
      <c r="D9">
        <v>0.43846153846153846</v>
      </c>
      <c r="E9" t="s">
        <v>3</v>
      </c>
      <c r="F9" t="s">
        <v>108</v>
      </c>
      <c r="G9">
        <v>28500</v>
      </c>
      <c r="J9" s="1">
        <v>0.53401538461538467</v>
      </c>
      <c r="K9" t="s">
        <v>209</v>
      </c>
      <c r="L9" t="s">
        <v>3</v>
      </c>
      <c r="M9" s="5">
        <v>34711</v>
      </c>
      <c r="N9">
        <v>65000</v>
      </c>
      <c r="O9" t="s">
        <v>111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195</v>
      </c>
    </row>
    <row r="10" spans="1:42" x14ac:dyDescent="0.25">
      <c r="A10" t="s">
        <v>3</v>
      </c>
      <c r="B10" t="s">
        <v>103</v>
      </c>
      <c r="C10">
        <v>500</v>
      </c>
      <c r="D10">
        <v>7.6923076923076927E-3</v>
      </c>
      <c r="E10" t="s">
        <v>3</v>
      </c>
      <c r="F10" t="s">
        <v>103</v>
      </c>
      <c r="G10">
        <v>500</v>
      </c>
      <c r="J10" s="1">
        <v>0.42515384615384616</v>
      </c>
      <c r="K10" t="s">
        <v>209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195</v>
      </c>
    </row>
    <row r="11" spans="1:42" x14ac:dyDescent="0.25">
      <c r="A11" t="s">
        <v>3</v>
      </c>
      <c r="B11" t="s">
        <v>76</v>
      </c>
      <c r="C11">
        <v>72761.570000000007</v>
      </c>
      <c r="D11">
        <v>1.1194087692307693</v>
      </c>
      <c r="E11" t="s">
        <v>3</v>
      </c>
      <c r="F11" t="s">
        <v>76</v>
      </c>
      <c r="G11">
        <v>72761.570000000007</v>
      </c>
      <c r="J11" s="1">
        <v>1.0425653846153846</v>
      </c>
      <c r="K11" t="s">
        <v>207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195</v>
      </c>
    </row>
    <row r="12" spans="1:42" x14ac:dyDescent="0.25">
      <c r="A12" t="s">
        <v>4</v>
      </c>
      <c r="B12" t="s">
        <v>82</v>
      </c>
      <c r="C12">
        <v>1000</v>
      </c>
      <c r="D12">
        <v>1.5384615384615385E-2</v>
      </c>
      <c r="E12" t="s">
        <v>4</v>
      </c>
      <c r="F12" t="s">
        <v>82</v>
      </c>
      <c r="G12">
        <v>1000</v>
      </c>
      <c r="J12" s="1">
        <v>0.48923076923076925</v>
      </c>
      <c r="K12" t="s">
        <v>209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195</v>
      </c>
    </row>
    <row r="13" spans="1:42" x14ac:dyDescent="0.25">
      <c r="A13" t="s">
        <v>4</v>
      </c>
      <c r="B13" t="s">
        <v>61</v>
      </c>
      <c r="C13">
        <v>44589.5</v>
      </c>
      <c r="D13">
        <v>0.68599230769230768</v>
      </c>
      <c r="E13" t="s">
        <v>4</v>
      </c>
      <c r="F13" t="s">
        <v>61</v>
      </c>
      <c r="G13">
        <v>44589.5</v>
      </c>
      <c r="J13" s="1">
        <v>1.5924941538461537</v>
      </c>
      <c r="K13" t="s">
        <v>207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197</v>
      </c>
    </row>
    <row r="14" spans="1:42" x14ac:dyDescent="0.25">
      <c r="A14" t="s">
        <v>4</v>
      </c>
      <c r="B14" t="s">
        <v>57</v>
      </c>
      <c r="C14">
        <v>81853</v>
      </c>
      <c r="D14">
        <v>1.2592769230769232</v>
      </c>
      <c r="E14" t="s">
        <v>4</v>
      </c>
      <c r="F14" t="s">
        <v>57</v>
      </c>
      <c r="G14">
        <v>81853</v>
      </c>
      <c r="J14" s="1">
        <v>0.46763076923076924</v>
      </c>
      <c r="K14" t="s">
        <v>209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198</v>
      </c>
    </row>
    <row r="15" spans="1:42" x14ac:dyDescent="0.25">
      <c r="A15" t="s">
        <v>4</v>
      </c>
      <c r="B15" t="s">
        <v>65</v>
      </c>
      <c r="C15">
        <v>37409</v>
      </c>
      <c r="D15">
        <v>0.57552307692307692</v>
      </c>
      <c r="E15" t="s">
        <v>4</v>
      </c>
      <c r="F15" t="s">
        <v>65</v>
      </c>
      <c r="G15">
        <v>37409</v>
      </c>
      <c r="J15" s="1">
        <v>0.43846153846153846</v>
      </c>
      <c r="K15" t="s">
        <v>209</v>
      </c>
      <c r="L15" t="s">
        <v>3</v>
      </c>
      <c r="M15">
        <v>28500</v>
      </c>
      <c r="N15">
        <v>65000</v>
      </c>
      <c r="O15" t="s">
        <v>108</v>
      </c>
      <c r="Q15">
        <v>166833</v>
      </c>
      <c r="R15" s="12">
        <v>115666</v>
      </c>
      <c r="S15" s="18">
        <v>0.69330408252563946</v>
      </c>
      <c r="T15" t="s">
        <v>127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198</v>
      </c>
    </row>
    <row r="16" spans="1:42" x14ac:dyDescent="0.25">
      <c r="A16" t="s">
        <v>4</v>
      </c>
      <c r="B16" t="s">
        <v>75</v>
      </c>
      <c r="C16">
        <v>24661</v>
      </c>
      <c r="D16">
        <v>0.37940000000000002</v>
      </c>
      <c r="E16" t="s">
        <v>4</v>
      </c>
      <c r="F16" t="s">
        <v>75</v>
      </c>
      <c r="G16">
        <v>24661</v>
      </c>
      <c r="J16" s="1">
        <v>7.6923076923076927E-3</v>
      </c>
      <c r="K16" t="s">
        <v>210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198</v>
      </c>
    </row>
    <row r="17" spans="1:15" x14ac:dyDescent="0.25">
      <c r="A17" t="s">
        <v>4</v>
      </c>
      <c r="B17" t="s">
        <v>62</v>
      </c>
      <c r="C17">
        <v>25143.55</v>
      </c>
      <c r="D17">
        <v>0.38682384615384613</v>
      </c>
      <c r="E17" t="s">
        <v>4</v>
      </c>
      <c r="F17" t="s">
        <v>62</v>
      </c>
      <c r="G17">
        <v>25143.55</v>
      </c>
      <c r="J17" s="1">
        <v>1.1194087692307693</v>
      </c>
      <c r="K17" t="s">
        <v>207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v>16449</v>
      </c>
      <c r="D18">
        <v>0.25306153846153845</v>
      </c>
      <c r="E18" t="s">
        <v>4</v>
      </c>
      <c r="F18" t="s">
        <v>64</v>
      </c>
      <c r="G18">
        <v>16449</v>
      </c>
      <c r="J18" s="1">
        <v>1.5384615384615385E-2</v>
      </c>
      <c r="K18" t="s">
        <v>210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v>52934.979999999901</v>
      </c>
      <c r="D19">
        <v>0.81438430769230619</v>
      </c>
      <c r="E19" t="s">
        <v>4</v>
      </c>
      <c r="F19" t="s">
        <v>59</v>
      </c>
      <c r="G19">
        <v>52934.979999999901</v>
      </c>
      <c r="J19" s="1">
        <v>0.68599230769230768</v>
      </c>
      <c r="K19" t="s">
        <v>209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v>35318</v>
      </c>
      <c r="D20">
        <v>0.54335384615384619</v>
      </c>
      <c r="E20" t="s">
        <v>2</v>
      </c>
      <c r="F20" t="s">
        <v>16</v>
      </c>
      <c r="G20">
        <v>35318</v>
      </c>
      <c r="J20" s="1">
        <v>1.2592769230769232</v>
      </c>
      <c r="K20" t="s">
        <v>207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v>31821</v>
      </c>
      <c r="D21">
        <v>0.48955384615384617</v>
      </c>
      <c r="E21" t="s">
        <v>2</v>
      </c>
      <c r="F21" t="s">
        <v>12</v>
      </c>
      <c r="G21">
        <v>31821</v>
      </c>
      <c r="J21" s="1">
        <v>0.57552307692307692</v>
      </c>
      <c r="K21" t="s">
        <v>209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v>29515</v>
      </c>
      <c r="D22">
        <v>0.4540769230769231</v>
      </c>
      <c r="E22" t="s">
        <v>2</v>
      </c>
      <c r="F22" t="s">
        <v>13</v>
      </c>
      <c r="G22">
        <v>29515</v>
      </c>
      <c r="J22" s="1">
        <v>0.37940000000000002</v>
      </c>
      <c r="K22" t="s">
        <v>210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v>32754.449999999899</v>
      </c>
      <c r="D23">
        <v>0.5039146153846138</v>
      </c>
      <c r="E23" t="s">
        <v>2</v>
      </c>
      <c r="F23" t="s">
        <v>77</v>
      </c>
      <c r="G23">
        <v>32754.449999999899</v>
      </c>
      <c r="J23" s="1">
        <v>0.38682384615384613</v>
      </c>
      <c r="K23" t="s">
        <v>210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v>43416</v>
      </c>
      <c r="D24">
        <v>0.66793846153846159</v>
      </c>
      <c r="E24" t="s">
        <v>2</v>
      </c>
      <c r="F24" t="s">
        <v>29</v>
      </c>
      <c r="G24">
        <v>43416</v>
      </c>
      <c r="J24" s="1">
        <v>0.25306153846153845</v>
      </c>
      <c r="K24" t="s">
        <v>210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v>42620</v>
      </c>
      <c r="D25">
        <v>0.65569230769230769</v>
      </c>
      <c r="E25" t="s">
        <v>2</v>
      </c>
      <c r="F25" t="s">
        <v>17</v>
      </c>
      <c r="G25">
        <v>42620</v>
      </c>
      <c r="J25" s="1">
        <v>0.81438430769230619</v>
      </c>
      <c r="K25" t="s">
        <v>208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v>44739.1</v>
      </c>
      <c r="D26">
        <v>0.68829384615384614</v>
      </c>
      <c r="E26" t="s">
        <v>2</v>
      </c>
      <c r="F26" t="s">
        <v>11</v>
      </c>
      <c r="G26">
        <v>44739.1</v>
      </c>
      <c r="J26" s="1">
        <v>0.54335384615384619</v>
      </c>
      <c r="K26" t="s">
        <v>209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v>0</v>
      </c>
      <c r="D27">
        <v>0</v>
      </c>
      <c r="E27" t="s">
        <v>2</v>
      </c>
      <c r="F27" t="s">
        <v>86</v>
      </c>
      <c r="G27">
        <v>0</v>
      </c>
      <c r="J27" s="1">
        <v>0.48955384615384617</v>
      </c>
      <c r="K27" t="s">
        <v>209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v>16557.5</v>
      </c>
      <c r="D28">
        <v>0.25473076923076921</v>
      </c>
      <c r="E28" t="s">
        <v>2</v>
      </c>
      <c r="F28" t="s">
        <v>10</v>
      </c>
      <c r="G28">
        <v>16557.5</v>
      </c>
      <c r="J28" s="1">
        <v>0.4540769230769231</v>
      </c>
      <c r="K28" t="s">
        <v>209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v>35149</v>
      </c>
      <c r="D29">
        <v>0.54075384615384614</v>
      </c>
      <c r="E29" t="s">
        <v>5</v>
      </c>
      <c r="F29" t="s">
        <v>58</v>
      </c>
      <c r="G29">
        <v>35149</v>
      </c>
      <c r="J29" s="1">
        <v>0.5039146153846138</v>
      </c>
      <c r="K29" t="s">
        <v>209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v>24132.1</v>
      </c>
      <c r="D30">
        <v>0.37126307692307692</v>
      </c>
      <c r="E30" t="s">
        <v>5</v>
      </c>
      <c r="F30" t="s">
        <v>69</v>
      </c>
      <c r="G30">
        <v>24132.1</v>
      </c>
      <c r="J30" s="1">
        <v>0.66793846153846159</v>
      </c>
      <c r="K30" t="s">
        <v>209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v>500</v>
      </c>
      <c r="D31">
        <v>7.6923076923076927E-3</v>
      </c>
      <c r="E31" t="s">
        <v>5</v>
      </c>
      <c r="F31" t="s">
        <v>85</v>
      </c>
      <c r="G31">
        <v>500</v>
      </c>
      <c r="J31" s="1">
        <v>0.65569230769230769</v>
      </c>
      <c r="K31" t="s">
        <v>209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v>37679.199999999997</v>
      </c>
      <c r="D32">
        <v>0.57967999999999997</v>
      </c>
      <c r="E32" t="s">
        <v>5</v>
      </c>
      <c r="F32" t="s">
        <v>67</v>
      </c>
      <c r="G32">
        <v>37679.199999999997</v>
      </c>
      <c r="J32" s="1">
        <v>0.68829384615384614</v>
      </c>
      <c r="K32" t="s">
        <v>209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v>26977</v>
      </c>
      <c r="D33">
        <v>0.4150307692307692</v>
      </c>
      <c r="E33" t="s">
        <v>5</v>
      </c>
      <c r="F33" t="s">
        <v>72</v>
      </c>
      <c r="G33">
        <v>26977</v>
      </c>
      <c r="J33" s="1">
        <v>0</v>
      </c>
      <c r="K33" t="s">
        <v>210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63033</v>
      </c>
      <c r="D34">
        <v>0.96973846153846155</v>
      </c>
      <c r="E34" t="s">
        <v>5</v>
      </c>
      <c r="F34" t="s">
        <v>66</v>
      </c>
      <c r="G34">
        <v>63033</v>
      </c>
      <c r="J34" s="1">
        <v>0.25473076923076921</v>
      </c>
      <c r="K34" t="s">
        <v>210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v>79387</v>
      </c>
      <c r="D35">
        <v>1.2213384615384615</v>
      </c>
      <c r="E35" t="s">
        <v>5</v>
      </c>
      <c r="F35" t="s">
        <v>68</v>
      </c>
      <c r="G35">
        <v>79387</v>
      </c>
      <c r="J35" s="1">
        <v>0.54075384615384614</v>
      </c>
      <c r="K35" t="s">
        <v>209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v>49877</v>
      </c>
      <c r="D36">
        <v>0.76733846153846152</v>
      </c>
      <c r="E36" t="s">
        <v>5</v>
      </c>
      <c r="F36" t="s">
        <v>70</v>
      </c>
      <c r="G36">
        <v>49877</v>
      </c>
      <c r="J36" s="1">
        <v>0.37126307692307692</v>
      </c>
      <c r="K36" t="s">
        <v>210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v>7550</v>
      </c>
      <c r="D37">
        <v>0.11615384615384615</v>
      </c>
      <c r="E37" t="s">
        <v>5</v>
      </c>
      <c r="F37" t="s">
        <v>79</v>
      </c>
      <c r="G37">
        <v>7550</v>
      </c>
      <c r="J37" s="1">
        <v>7.6923076923076927E-3</v>
      </c>
      <c r="K37" t="s">
        <v>210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v>10450</v>
      </c>
      <c r="D38">
        <v>0.40192307692307694</v>
      </c>
      <c r="E38" t="s">
        <v>6</v>
      </c>
      <c r="F38" t="s">
        <v>18</v>
      </c>
      <c r="G38">
        <v>10450</v>
      </c>
      <c r="J38" s="1">
        <v>0.57967999999999997</v>
      </c>
      <c r="K38" t="s">
        <v>209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v>17640</v>
      </c>
      <c r="D39">
        <v>0.67846153846153845</v>
      </c>
      <c r="E39" t="s">
        <v>6</v>
      </c>
      <c r="F39" t="s">
        <v>19</v>
      </c>
      <c r="G39">
        <v>17640</v>
      </c>
      <c r="J39" s="1">
        <v>0.4150307692307692</v>
      </c>
      <c r="K39" t="s">
        <v>209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v>10694</v>
      </c>
      <c r="D40">
        <v>0.41130769230769232</v>
      </c>
      <c r="E40" t="s">
        <v>6</v>
      </c>
      <c r="F40" t="s">
        <v>81</v>
      </c>
      <c r="G40">
        <v>10694</v>
      </c>
      <c r="J40" s="1">
        <v>0.96973846153846155</v>
      </c>
      <c r="K40" t="s">
        <v>208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106</v>
      </c>
      <c r="C41">
        <v>27975</v>
      </c>
      <c r="D41">
        <v>1.0759615384615384</v>
      </c>
      <c r="E41" t="s">
        <v>6</v>
      </c>
      <c r="F41" t="s">
        <v>106</v>
      </c>
      <c r="G41">
        <v>27975</v>
      </c>
      <c r="J41" s="1">
        <v>1.2213384615384615</v>
      </c>
      <c r="K41" t="s">
        <v>207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v>312</v>
      </c>
      <c r="D42">
        <v>1.2E-2</v>
      </c>
      <c r="E42" t="s">
        <v>6</v>
      </c>
      <c r="F42" t="s">
        <v>44</v>
      </c>
      <c r="G42">
        <v>312</v>
      </c>
      <c r="J42" s="1">
        <v>0.76733846153846152</v>
      </c>
      <c r="K42" t="s">
        <v>208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v>3939</v>
      </c>
      <c r="D43">
        <v>0.1515</v>
      </c>
      <c r="E43" t="s">
        <v>6</v>
      </c>
      <c r="F43" t="s">
        <v>37</v>
      </c>
      <c r="G43">
        <v>3939</v>
      </c>
      <c r="J43" s="1">
        <v>0.11615384615384615</v>
      </c>
      <c r="K43" t="s">
        <v>210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v>4375</v>
      </c>
      <c r="D44">
        <v>0.16826923076923078</v>
      </c>
      <c r="E44" t="s">
        <v>6</v>
      </c>
      <c r="F44" t="s">
        <v>35</v>
      </c>
      <c r="G44">
        <v>4375</v>
      </c>
      <c r="J44" s="1">
        <v>0.40192307692307694</v>
      </c>
      <c r="K44" t="s">
        <v>209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v>1190</v>
      </c>
      <c r="D45">
        <v>4.576923076923077E-2</v>
      </c>
      <c r="E45" t="s">
        <v>6</v>
      </c>
      <c r="F45" t="s">
        <v>50</v>
      </c>
      <c r="G45">
        <v>1190</v>
      </c>
      <c r="J45" s="1">
        <v>0.67846153846153845</v>
      </c>
      <c r="K45" t="s">
        <v>209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v>13880</v>
      </c>
      <c r="D46">
        <v>0.53384615384615386</v>
      </c>
      <c r="E46" t="s">
        <v>6</v>
      </c>
      <c r="F46" t="s">
        <v>31</v>
      </c>
      <c r="G46">
        <v>13880</v>
      </c>
      <c r="J46" s="1">
        <v>0.41130769230769232</v>
      </c>
      <c r="K46" t="s">
        <v>209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112</v>
      </c>
      <c r="C47">
        <v>16820</v>
      </c>
      <c r="D47">
        <v>0.64692307692307693</v>
      </c>
      <c r="E47" t="s">
        <v>6</v>
      </c>
      <c r="F47" t="s">
        <v>112</v>
      </c>
      <c r="G47">
        <v>16820</v>
      </c>
      <c r="J47" s="1">
        <v>1.0759615384615384</v>
      </c>
      <c r="K47" t="s">
        <v>207</v>
      </c>
      <c r="L47" t="s">
        <v>6</v>
      </c>
      <c r="M47">
        <v>27975</v>
      </c>
      <c r="N47">
        <v>26000</v>
      </c>
      <c r="O47" t="s">
        <v>106</v>
      </c>
    </row>
    <row r="48" spans="1:15" x14ac:dyDescent="0.25">
      <c r="A48" t="s">
        <v>6</v>
      </c>
      <c r="B48" t="s">
        <v>36</v>
      </c>
      <c r="C48">
        <v>9342</v>
      </c>
      <c r="D48">
        <v>0.35930769230769233</v>
      </c>
      <c r="E48" t="s">
        <v>6</v>
      </c>
      <c r="F48" t="s">
        <v>36</v>
      </c>
      <c r="G48">
        <v>9342</v>
      </c>
      <c r="J48" s="1">
        <v>1.2E-2</v>
      </c>
      <c r="K48" t="s">
        <v>210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v>47420</v>
      </c>
      <c r="D49">
        <v>1.8238461538461539</v>
      </c>
      <c r="E49" t="s">
        <v>6</v>
      </c>
      <c r="F49" t="s">
        <v>34</v>
      </c>
      <c r="G49">
        <v>47420</v>
      </c>
      <c r="J49" s="1">
        <v>0.1515</v>
      </c>
      <c r="K49" t="s">
        <v>210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127</v>
      </c>
      <c r="B50" t="s">
        <v>113</v>
      </c>
      <c r="C50">
        <v>700</v>
      </c>
      <c r="D50">
        <v>3.5000000000000003E-2</v>
      </c>
      <c r="E50" t="s">
        <v>127</v>
      </c>
      <c r="F50" t="s">
        <v>113</v>
      </c>
      <c r="G50">
        <v>700</v>
      </c>
      <c r="J50" s="1">
        <v>0.16826923076923078</v>
      </c>
      <c r="K50" t="s">
        <v>210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127</v>
      </c>
      <c r="B51" t="s">
        <v>80</v>
      </c>
      <c r="C51">
        <v>33502</v>
      </c>
      <c r="D51">
        <v>1.6751</v>
      </c>
      <c r="E51" t="s">
        <v>127</v>
      </c>
      <c r="F51" t="s">
        <v>80</v>
      </c>
      <c r="G51">
        <v>33502</v>
      </c>
      <c r="J51" s="1">
        <v>4.576923076923077E-2</v>
      </c>
      <c r="K51" t="s">
        <v>210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127</v>
      </c>
      <c r="B52" t="s">
        <v>27</v>
      </c>
      <c r="C52">
        <v>17811</v>
      </c>
      <c r="D52">
        <v>0.89054999999999995</v>
      </c>
      <c r="E52" t="s">
        <v>127</v>
      </c>
      <c r="F52" t="s">
        <v>27</v>
      </c>
      <c r="G52">
        <v>17811</v>
      </c>
      <c r="J52" s="1">
        <v>0.53384615384615386</v>
      </c>
      <c r="K52" t="s">
        <v>209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127</v>
      </c>
      <c r="B53" t="s">
        <v>20</v>
      </c>
      <c r="C53">
        <v>20257.099999999999</v>
      </c>
      <c r="D53">
        <v>1.0128549999999998</v>
      </c>
      <c r="E53" t="s">
        <v>127</v>
      </c>
      <c r="F53" t="s">
        <v>20</v>
      </c>
      <c r="G53">
        <v>20257.099999999999</v>
      </c>
      <c r="J53" s="1">
        <v>0.64692307692307693</v>
      </c>
      <c r="K53" t="s">
        <v>209</v>
      </c>
      <c r="L53" t="s">
        <v>6</v>
      </c>
      <c r="M53">
        <v>16820</v>
      </c>
      <c r="N53">
        <v>26000</v>
      </c>
      <c r="O53" t="s">
        <v>112</v>
      </c>
    </row>
    <row r="54" spans="1:15" x14ac:dyDescent="0.25">
      <c r="A54" t="s">
        <v>127</v>
      </c>
      <c r="B54" t="s">
        <v>33</v>
      </c>
      <c r="C54">
        <v>8802.4</v>
      </c>
      <c r="D54">
        <v>0.44011999999999996</v>
      </c>
      <c r="E54" t="s">
        <v>127</v>
      </c>
      <c r="F54" t="s">
        <v>33</v>
      </c>
      <c r="G54">
        <v>8802.4</v>
      </c>
      <c r="J54" s="1">
        <v>0.35930769230769233</v>
      </c>
      <c r="K54" t="s">
        <v>210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127</v>
      </c>
      <c r="B55" t="s">
        <v>38</v>
      </c>
      <c r="C55">
        <v>1050</v>
      </c>
      <c r="D55">
        <v>5.2499999999999998E-2</v>
      </c>
      <c r="E55" t="s">
        <v>127</v>
      </c>
      <c r="F55" t="s">
        <v>38</v>
      </c>
      <c r="G55">
        <v>1050</v>
      </c>
      <c r="J55" s="1">
        <v>1.8238461538461539</v>
      </c>
      <c r="K55" t="s">
        <v>207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127</v>
      </c>
      <c r="B56" t="s">
        <v>74</v>
      </c>
      <c r="C56">
        <v>7207.49</v>
      </c>
      <c r="D56">
        <v>0.36037449999999999</v>
      </c>
      <c r="E56" t="s">
        <v>127</v>
      </c>
      <c r="F56" t="s">
        <v>74</v>
      </c>
      <c r="G56">
        <v>7207.49</v>
      </c>
      <c r="J56" s="1">
        <v>3.5000000000000003E-2</v>
      </c>
      <c r="K56" t="s">
        <v>210</v>
      </c>
      <c r="L56" t="s">
        <v>127</v>
      </c>
      <c r="M56">
        <v>700</v>
      </c>
      <c r="N56">
        <v>20000</v>
      </c>
      <c r="O56" t="s">
        <v>113</v>
      </c>
    </row>
    <row r="57" spans="1:15" x14ac:dyDescent="0.25">
      <c r="A57" t="s">
        <v>127</v>
      </c>
      <c r="B57" t="s">
        <v>39</v>
      </c>
      <c r="C57">
        <v>15360</v>
      </c>
      <c r="D57">
        <v>0.76800000000000002</v>
      </c>
      <c r="E57" t="s">
        <v>127</v>
      </c>
      <c r="F57" t="s">
        <v>39</v>
      </c>
      <c r="G57">
        <v>15360</v>
      </c>
      <c r="J57" s="1">
        <v>1.6751</v>
      </c>
      <c r="K57" t="s">
        <v>207</v>
      </c>
      <c r="L57" t="s">
        <v>127</v>
      </c>
      <c r="M57">
        <v>33502</v>
      </c>
      <c r="N57">
        <v>20000</v>
      </c>
      <c r="O57" t="s">
        <v>80</v>
      </c>
    </row>
    <row r="58" spans="1:15" x14ac:dyDescent="0.25">
      <c r="A58" t="s">
        <v>127</v>
      </c>
      <c r="B58" t="s">
        <v>56</v>
      </c>
      <c r="C58">
        <v>4444</v>
      </c>
      <c r="D58">
        <v>0.22220000000000001</v>
      </c>
      <c r="E58" t="s">
        <v>127</v>
      </c>
      <c r="F58" t="s">
        <v>56</v>
      </c>
      <c r="G58">
        <v>4444</v>
      </c>
      <c r="J58" s="1">
        <v>0.89054999999999995</v>
      </c>
      <c r="K58" t="s">
        <v>208</v>
      </c>
      <c r="L58" t="s">
        <v>127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v>16140</v>
      </c>
      <c r="D59">
        <v>0.80700000000000005</v>
      </c>
      <c r="E59" t="s">
        <v>8</v>
      </c>
      <c r="F59" t="s">
        <v>21</v>
      </c>
      <c r="G59">
        <v>16140</v>
      </c>
      <c r="J59" s="1">
        <v>1.0128549999999998</v>
      </c>
      <c r="K59" t="s">
        <v>207</v>
      </c>
      <c r="L59" t="s">
        <v>127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v>29307</v>
      </c>
      <c r="D60">
        <v>1.4653499999999999</v>
      </c>
      <c r="E60" t="s">
        <v>8</v>
      </c>
      <c r="F60" t="s">
        <v>14</v>
      </c>
      <c r="G60">
        <v>29307</v>
      </c>
      <c r="J60" s="1">
        <v>0.44011999999999996</v>
      </c>
      <c r="K60" t="s">
        <v>209</v>
      </c>
      <c r="L60" t="s">
        <v>127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v>4564</v>
      </c>
      <c r="D61">
        <v>0.22819999999999999</v>
      </c>
      <c r="E61" t="s">
        <v>8</v>
      </c>
      <c r="F61" t="s">
        <v>41</v>
      </c>
      <c r="G61">
        <v>4564</v>
      </c>
      <c r="J61" s="1">
        <v>5.2499999999999998E-2</v>
      </c>
      <c r="K61" t="s">
        <v>210</v>
      </c>
      <c r="L61" t="s">
        <v>127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v>10513</v>
      </c>
      <c r="D62">
        <v>0.52564999999999995</v>
      </c>
      <c r="E62" t="s">
        <v>8</v>
      </c>
      <c r="F62" t="s">
        <v>40</v>
      </c>
      <c r="G62">
        <v>10513</v>
      </c>
      <c r="J62" s="1">
        <v>0.36037449999999999</v>
      </c>
      <c r="K62" t="s">
        <v>210</v>
      </c>
      <c r="L62" t="s">
        <v>127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v>12899.3</v>
      </c>
      <c r="D63">
        <v>0.64496500000000001</v>
      </c>
      <c r="E63" t="s">
        <v>8</v>
      </c>
      <c r="F63" t="s">
        <v>24</v>
      </c>
      <c r="G63">
        <v>12899.3</v>
      </c>
      <c r="J63" s="1">
        <v>0.76800000000000002</v>
      </c>
      <c r="K63" t="s">
        <v>208</v>
      </c>
      <c r="L63" t="s">
        <v>127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v>7749.5</v>
      </c>
      <c r="D64">
        <v>0.38747500000000001</v>
      </c>
      <c r="E64" t="s">
        <v>8</v>
      </c>
      <c r="F64" t="s">
        <v>42</v>
      </c>
      <c r="G64">
        <v>7749.5</v>
      </c>
      <c r="J64" s="1">
        <v>0.22220000000000001</v>
      </c>
      <c r="K64" t="s">
        <v>210</v>
      </c>
      <c r="L64" t="s">
        <v>127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v>18100.5</v>
      </c>
      <c r="D65">
        <v>0.90502499999999997</v>
      </c>
      <c r="E65" t="s">
        <v>8</v>
      </c>
      <c r="F65" t="s">
        <v>83</v>
      </c>
      <c r="G65">
        <v>18100.5</v>
      </c>
      <c r="J65" s="1">
        <v>0.80700000000000005</v>
      </c>
      <c r="K65" t="s">
        <v>208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133</v>
      </c>
      <c r="C66">
        <v>10657</v>
      </c>
      <c r="D66">
        <v>0.53285000000000005</v>
      </c>
      <c r="E66" t="s">
        <v>8</v>
      </c>
      <c r="F66" t="s">
        <v>133</v>
      </c>
      <c r="G66">
        <v>10657</v>
      </c>
      <c r="J66" s="1">
        <v>1.4653499999999999</v>
      </c>
      <c r="K66" t="s">
        <v>207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v>14000</v>
      </c>
      <c r="D67">
        <v>0.7</v>
      </c>
      <c r="E67" t="s">
        <v>8</v>
      </c>
      <c r="F67" t="s">
        <v>43</v>
      </c>
      <c r="G67">
        <v>14000</v>
      </c>
      <c r="J67" s="1">
        <v>0.22819999999999999</v>
      </c>
      <c r="K67" t="s">
        <v>210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v>0</v>
      </c>
      <c r="D68">
        <v>0</v>
      </c>
      <c r="E68" t="s">
        <v>8</v>
      </c>
      <c r="F68" t="s">
        <v>48</v>
      </c>
      <c r="G68">
        <v>0</v>
      </c>
      <c r="J68" s="1">
        <v>0.52564999999999995</v>
      </c>
      <c r="K68" t="s">
        <v>209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v>9600</v>
      </c>
      <c r="D69">
        <v>0.48</v>
      </c>
      <c r="E69" t="s">
        <v>9</v>
      </c>
      <c r="F69" t="s">
        <v>15</v>
      </c>
      <c r="G69">
        <v>9600</v>
      </c>
      <c r="J69" s="1">
        <v>0.64496500000000001</v>
      </c>
      <c r="K69" t="s">
        <v>209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v>5157</v>
      </c>
      <c r="D70">
        <v>0.25785000000000002</v>
      </c>
      <c r="E70" t="s">
        <v>9</v>
      </c>
      <c r="F70" t="s">
        <v>104</v>
      </c>
      <c r="G70">
        <v>5157</v>
      </c>
      <c r="J70" s="1">
        <v>0.38747500000000001</v>
      </c>
      <c r="K70" t="s">
        <v>210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v>7103</v>
      </c>
      <c r="D71">
        <v>0.35515000000000002</v>
      </c>
      <c r="E71" t="s">
        <v>9</v>
      </c>
      <c r="F71" t="s">
        <v>51</v>
      </c>
      <c r="G71">
        <v>7103</v>
      </c>
      <c r="J71" s="1">
        <v>0.90502499999999997</v>
      </c>
      <c r="K71" t="s">
        <v>208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v>7788</v>
      </c>
      <c r="D72">
        <v>0.38940000000000002</v>
      </c>
      <c r="E72" t="s">
        <v>9</v>
      </c>
      <c r="F72" t="s">
        <v>32</v>
      </c>
      <c r="G72">
        <v>7788</v>
      </c>
      <c r="J72" s="1">
        <v>0.53285000000000005</v>
      </c>
      <c r="K72" t="s">
        <v>209</v>
      </c>
      <c r="L72" t="s">
        <v>8</v>
      </c>
      <c r="M72">
        <v>10657</v>
      </c>
      <c r="N72">
        <v>20000</v>
      </c>
      <c r="O72" t="s">
        <v>133</v>
      </c>
    </row>
    <row r="73" spans="1:15" x14ac:dyDescent="0.25">
      <c r="A73" t="s">
        <v>9</v>
      </c>
      <c r="B73" t="s">
        <v>71</v>
      </c>
      <c r="C73">
        <v>14482</v>
      </c>
      <c r="D73">
        <v>0.72409999999999997</v>
      </c>
      <c r="E73" t="s">
        <v>9</v>
      </c>
      <c r="F73" t="s">
        <v>71</v>
      </c>
      <c r="G73">
        <v>14482</v>
      </c>
      <c r="J73" s="1">
        <v>0.7</v>
      </c>
      <c r="K73" t="s">
        <v>208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v>3675</v>
      </c>
      <c r="D74">
        <v>0.18375</v>
      </c>
      <c r="E74" t="s">
        <v>9</v>
      </c>
      <c r="F74" t="s">
        <v>49</v>
      </c>
      <c r="G74">
        <v>3675</v>
      </c>
      <c r="J74" s="1">
        <v>0</v>
      </c>
      <c r="K74" t="s">
        <v>210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134</v>
      </c>
      <c r="C75">
        <v>2600</v>
      </c>
      <c r="D75">
        <v>0.13</v>
      </c>
      <c r="E75" t="s">
        <v>9</v>
      </c>
      <c r="F75" t="s">
        <v>134</v>
      </c>
      <c r="G75">
        <v>2600</v>
      </c>
      <c r="J75" s="1">
        <v>0.48</v>
      </c>
      <c r="K75" t="s">
        <v>209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v>200</v>
      </c>
      <c r="D76">
        <v>0.01</v>
      </c>
      <c r="E76" t="s">
        <v>9</v>
      </c>
      <c r="F76" t="s">
        <v>84</v>
      </c>
      <c r="G76">
        <v>200</v>
      </c>
      <c r="J76" s="1">
        <v>0.25785000000000002</v>
      </c>
      <c r="K76" t="s">
        <v>210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v>11904.93</v>
      </c>
      <c r="D77">
        <v>0.59524650000000001</v>
      </c>
      <c r="E77" t="s">
        <v>9</v>
      </c>
      <c r="F77" t="s">
        <v>73</v>
      </c>
      <c r="G77">
        <v>11904.93</v>
      </c>
      <c r="J77" s="1">
        <v>0.35515000000000002</v>
      </c>
      <c r="K77" t="s">
        <v>210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v>7950</v>
      </c>
      <c r="D78">
        <v>0.39750000000000002</v>
      </c>
      <c r="E78" t="s">
        <v>9</v>
      </c>
      <c r="F78" t="s">
        <v>78</v>
      </c>
      <c r="G78">
        <v>7950</v>
      </c>
      <c r="J78" s="1">
        <v>0.38940000000000002</v>
      </c>
      <c r="K78" t="s">
        <v>210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208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210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210</v>
      </c>
      <c r="L81" t="s">
        <v>9</v>
      </c>
      <c r="M81">
        <v>2600</v>
      </c>
      <c r="N81">
        <v>20000</v>
      </c>
      <c r="O81" t="s">
        <v>134</v>
      </c>
    </row>
    <row r="82" spans="10:15" x14ac:dyDescent="0.25">
      <c r="J82" s="1">
        <v>0.01</v>
      </c>
      <c r="K82" t="s">
        <v>210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209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210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9" width="11.42578125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23</v>
      </c>
      <c r="C3">
        <v>82199</v>
      </c>
      <c r="D3">
        <v>1.2645999999999999</v>
      </c>
      <c r="E3" t="s">
        <v>3</v>
      </c>
      <c r="F3" t="s">
        <v>23</v>
      </c>
      <c r="G3">
        <v>82199</v>
      </c>
      <c r="J3" s="34">
        <v>2025</v>
      </c>
      <c r="K3" s="34" t="s">
        <v>189</v>
      </c>
      <c r="L3" s="34">
        <v>21</v>
      </c>
    </row>
    <row r="4" spans="1:42" x14ac:dyDescent="0.25">
      <c r="A4" t="s">
        <v>3</v>
      </c>
      <c r="B4" t="s">
        <v>22</v>
      </c>
      <c r="C4">
        <v>43932.800000000003</v>
      </c>
      <c r="D4">
        <v>0.6758892307692308</v>
      </c>
      <c r="E4" t="s">
        <v>3</v>
      </c>
      <c r="F4" t="s">
        <v>22</v>
      </c>
      <c r="G4">
        <v>43932.800000000003</v>
      </c>
    </row>
    <row r="5" spans="1:42" x14ac:dyDescent="0.25">
      <c r="A5" t="s">
        <v>3</v>
      </c>
      <c r="B5" t="s">
        <v>110</v>
      </c>
      <c r="C5">
        <v>42604</v>
      </c>
      <c r="D5">
        <v>0.6554461538461539</v>
      </c>
      <c r="E5" t="s">
        <v>3</v>
      </c>
      <c r="F5" t="s">
        <v>110</v>
      </c>
      <c r="G5">
        <v>42604</v>
      </c>
    </row>
    <row r="6" spans="1:42" x14ac:dyDescent="0.25">
      <c r="A6" t="s">
        <v>3</v>
      </c>
      <c r="B6" t="s">
        <v>25</v>
      </c>
      <c r="C6">
        <v>41621</v>
      </c>
      <c r="D6">
        <v>0.64032307692307688</v>
      </c>
      <c r="E6" t="s">
        <v>3</v>
      </c>
      <c r="F6" t="s">
        <v>25</v>
      </c>
      <c r="G6">
        <v>41621</v>
      </c>
    </row>
    <row r="7" spans="1:42" x14ac:dyDescent="0.25">
      <c r="A7" t="s">
        <v>3</v>
      </c>
      <c r="B7" t="s">
        <v>76</v>
      </c>
      <c r="C7">
        <v>40145</v>
      </c>
      <c r="D7">
        <v>0.61761538461538457</v>
      </c>
      <c r="E7" t="s">
        <v>3</v>
      </c>
      <c r="F7" t="s">
        <v>76</v>
      </c>
      <c r="G7">
        <v>40145</v>
      </c>
    </row>
    <row r="8" spans="1:42" x14ac:dyDescent="0.25">
      <c r="A8" t="s">
        <v>3</v>
      </c>
      <c r="B8" t="s">
        <v>111</v>
      </c>
      <c r="C8">
        <v>35399</v>
      </c>
      <c r="D8">
        <v>0.54459999999999997</v>
      </c>
      <c r="E8" t="s">
        <v>3</v>
      </c>
      <c r="F8" t="s">
        <v>111</v>
      </c>
      <c r="G8">
        <v>35399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350</v>
      </c>
      <c r="V8" s="41" t="s">
        <v>351</v>
      </c>
      <c r="W8" s="41" t="s">
        <v>352</v>
      </c>
      <c r="X8" s="41" t="s">
        <v>353</v>
      </c>
      <c r="Y8" s="41" t="s">
        <v>354</v>
      </c>
      <c r="Z8" s="41" t="s">
        <v>355</v>
      </c>
      <c r="AA8" s="41" t="s">
        <v>356</v>
      </c>
      <c r="AB8" s="41" t="s">
        <v>357</v>
      </c>
      <c r="AC8" s="41" t="s">
        <v>358</v>
      </c>
      <c r="AD8" s="41" t="s">
        <v>359</v>
      </c>
      <c r="AE8" s="41" t="s">
        <v>360</v>
      </c>
      <c r="AF8" s="41" t="s">
        <v>361</v>
      </c>
      <c r="AG8" s="41" t="s">
        <v>362</v>
      </c>
      <c r="AH8" s="41" t="s">
        <v>363</v>
      </c>
      <c r="AI8" s="41" t="s">
        <v>364</v>
      </c>
      <c r="AJ8" s="41" t="s">
        <v>365</v>
      </c>
      <c r="AK8" s="41" t="s">
        <v>366</v>
      </c>
      <c r="AL8" s="41" t="s">
        <v>367</v>
      </c>
      <c r="AM8" s="41" t="s">
        <v>368</v>
      </c>
      <c r="AN8" s="41" t="s">
        <v>369</v>
      </c>
      <c r="AO8" s="41" t="s">
        <v>370</v>
      </c>
      <c r="AP8" s="19" t="s">
        <v>136</v>
      </c>
    </row>
    <row r="9" spans="1:42" x14ac:dyDescent="0.25">
      <c r="A9" t="s">
        <v>3</v>
      </c>
      <c r="B9" t="s">
        <v>108</v>
      </c>
      <c r="C9">
        <v>21650</v>
      </c>
      <c r="D9">
        <v>0.3330769230769231</v>
      </c>
      <c r="E9" t="s">
        <v>3</v>
      </c>
      <c r="F9" t="s">
        <v>108</v>
      </c>
      <c r="G9">
        <v>21650</v>
      </c>
      <c r="J9" s="1">
        <v>1.2645999999999999</v>
      </c>
      <c r="K9" t="s">
        <v>207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195</v>
      </c>
    </row>
    <row r="10" spans="1:42" x14ac:dyDescent="0.25">
      <c r="A10" t="s">
        <v>3</v>
      </c>
      <c r="B10" t="s">
        <v>54</v>
      </c>
      <c r="C10">
        <v>14000</v>
      </c>
      <c r="D10">
        <v>0.2153846153846154</v>
      </c>
      <c r="E10" t="s">
        <v>3</v>
      </c>
      <c r="F10" t="s">
        <v>54</v>
      </c>
      <c r="G10">
        <v>14000</v>
      </c>
      <c r="J10" s="1">
        <v>0.6758892307692308</v>
      </c>
      <c r="K10" t="s">
        <v>209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195</v>
      </c>
    </row>
    <row r="11" spans="1:42" x14ac:dyDescent="0.25">
      <c r="A11" t="s">
        <v>3</v>
      </c>
      <c r="B11" t="s">
        <v>53</v>
      </c>
      <c r="C11">
        <v>9848</v>
      </c>
      <c r="D11">
        <v>0.15150769230769232</v>
      </c>
      <c r="E11" t="s">
        <v>3</v>
      </c>
      <c r="F11" t="s">
        <v>53</v>
      </c>
      <c r="G11">
        <v>9848</v>
      </c>
      <c r="J11" s="1">
        <v>0.6554461538461539</v>
      </c>
      <c r="K11" t="s">
        <v>209</v>
      </c>
      <c r="L11" t="s">
        <v>3</v>
      </c>
      <c r="M11">
        <v>42604</v>
      </c>
      <c r="N11">
        <v>65000</v>
      </c>
      <c r="O11" t="s">
        <v>110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195</v>
      </c>
    </row>
    <row r="12" spans="1:42" x14ac:dyDescent="0.25">
      <c r="A12" t="s">
        <v>4</v>
      </c>
      <c r="B12" t="s">
        <v>59</v>
      </c>
      <c r="C12">
        <v>99180.58</v>
      </c>
      <c r="D12">
        <v>1.525855076923077</v>
      </c>
      <c r="E12" t="s">
        <v>4</v>
      </c>
      <c r="F12" t="s">
        <v>59</v>
      </c>
      <c r="G12">
        <v>99180.58</v>
      </c>
      <c r="J12" s="1">
        <v>0.64032307692307688</v>
      </c>
      <c r="K12" t="s">
        <v>209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195</v>
      </c>
    </row>
    <row r="13" spans="1:42" x14ac:dyDescent="0.25">
      <c r="A13" t="s">
        <v>4</v>
      </c>
      <c r="B13" t="s">
        <v>61</v>
      </c>
      <c r="C13">
        <v>91563.63</v>
      </c>
      <c r="D13">
        <v>1.4086712307692308</v>
      </c>
      <c r="E13" t="s">
        <v>4</v>
      </c>
      <c r="F13" t="s">
        <v>61</v>
      </c>
      <c r="G13">
        <v>91563.63</v>
      </c>
      <c r="J13" s="1">
        <v>0.61761538461538457</v>
      </c>
      <c r="K13" t="s">
        <v>209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197</v>
      </c>
    </row>
    <row r="14" spans="1:42" x14ac:dyDescent="0.25">
      <c r="A14" t="s">
        <v>4</v>
      </c>
      <c r="B14" t="s">
        <v>75</v>
      </c>
      <c r="C14">
        <v>85181</v>
      </c>
      <c r="D14">
        <v>1.3104769230769231</v>
      </c>
      <c r="E14" t="s">
        <v>4</v>
      </c>
      <c r="F14" t="s">
        <v>75</v>
      </c>
      <c r="G14">
        <v>85181</v>
      </c>
      <c r="J14" s="1">
        <v>0.54459999999999997</v>
      </c>
      <c r="K14" t="s">
        <v>209</v>
      </c>
      <c r="L14" t="s">
        <v>3</v>
      </c>
      <c r="M14">
        <v>35399</v>
      </c>
      <c r="N14">
        <v>65000</v>
      </c>
      <c r="O14" t="s">
        <v>111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198</v>
      </c>
    </row>
    <row r="15" spans="1:42" x14ac:dyDescent="0.25">
      <c r="A15" t="s">
        <v>4</v>
      </c>
      <c r="B15" t="s">
        <v>57</v>
      </c>
      <c r="C15">
        <v>76903</v>
      </c>
      <c r="D15">
        <v>1.1831230769230769</v>
      </c>
      <c r="E15" t="s">
        <v>4</v>
      </c>
      <c r="F15" t="s">
        <v>57</v>
      </c>
      <c r="G15">
        <v>76903</v>
      </c>
      <c r="J15" s="1">
        <v>0.3330769230769231</v>
      </c>
      <c r="K15" t="s">
        <v>210</v>
      </c>
      <c r="L15" t="s">
        <v>3</v>
      </c>
      <c r="M15">
        <v>21650</v>
      </c>
      <c r="N15">
        <v>65000</v>
      </c>
      <c r="O15" t="s">
        <v>108</v>
      </c>
      <c r="Q15">
        <v>123200</v>
      </c>
      <c r="R15" s="12">
        <v>79969</v>
      </c>
      <c r="S15" s="18">
        <v>0.64909902597402602</v>
      </c>
      <c r="T15" t="s">
        <v>127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198</v>
      </c>
    </row>
    <row r="16" spans="1:42" x14ac:dyDescent="0.25">
      <c r="A16" t="s">
        <v>4</v>
      </c>
      <c r="B16" t="s">
        <v>65</v>
      </c>
      <c r="C16">
        <v>60423</v>
      </c>
      <c r="D16">
        <v>0.92958461538461534</v>
      </c>
      <c r="E16" t="s">
        <v>4</v>
      </c>
      <c r="F16" t="s">
        <v>65</v>
      </c>
      <c r="G16">
        <v>60423</v>
      </c>
      <c r="J16" s="1">
        <v>0.2153846153846154</v>
      </c>
      <c r="K16" t="s">
        <v>210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198</v>
      </c>
    </row>
    <row r="17" spans="1:15" x14ac:dyDescent="0.25">
      <c r="A17" t="s">
        <v>4</v>
      </c>
      <c r="B17" t="s">
        <v>62</v>
      </c>
      <c r="C17">
        <v>25098</v>
      </c>
      <c r="D17">
        <v>0.3861230769230769</v>
      </c>
      <c r="E17" t="s">
        <v>4</v>
      </c>
      <c r="F17" t="s">
        <v>62</v>
      </c>
      <c r="G17">
        <v>25098</v>
      </c>
      <c r="J17" s="1">
        <v>0.15150769230769232</v>
      </c>
      <c r="K17" t="s">
        <v>210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v>13635</v>
      </c>
      <c r="D18">
        <v>0.20976923076923076</v>
      </c>
      <c r="E18" t="s">
        <v>4</v>
      </c>
      <c r="F18" t="s">
        <v>63</v>
      </c>
      <c r="G18">
        <v>13635</v>
      </c>
      <c r="J18" s="1">
        <v>1.525855076923077</v>
      </c>
      <c r="K18" t="s">
        <v>207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v>7929</v>
      </c>
      <c r="D19">
        <v>0.12198461538461539</v>
      </c>
      <c r="E19" t="s">
        <v>4</v>
      </c>
      <c r="F19" t="s">
        <v>64</v>
      </c>
      <c r="G19">
        <v>7929</v>
      </c>
      <c r="J19" s="1">
        <v>1.4086712307692308</v>
      </c>
      <c r="K19" t="s">
        <v>207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v>7790</v>
      </c>
      <c r="D20">
        <v>0.11984615384615385</v>
      </c>
      <c r="E20" t="s">
        <v>4</v>
      </c>
      <c r="F20" t="s">
        <v>82</v>
      </c>
      <c r="G20">
        <v>7790</v>
      </c>
      <c r="J20" s="1">
        <v>1.3104769230769231</v>
      </c>
      <c r="K20" t="s">
        <v>207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v>70211.75</v>
      </c>
      <c r="D21">
        <v>1.0801807692307692</v>
      </c>
      <c r="E21" t="s">
        <v>2</v>
      </c>
      <c r="F21" t="s">
        <v>13</v>
      </c>
      <c r="G21">
        <v>70211.75</v>
      </c>
      <c r="J21" s="1">
        <v>1.1831230769230769</v>
      </c>
      <c r="K21" t="s">
        <v>207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v>58706</v>
      </c>
      <c r="D22">
        <v>0.90316923076923072</v>
      </c>
      <c r="E22" t="s">
        <v>2</v>
      </c>
      <c r="F22" t="s">
        <v>11</v>
      </c>
      <c r="G22">
        <v>58706</v>
      </c>
      <c r="J22" s="1">
        <v>0.92958461538461534</v>
      </c>
      <c r="K22" t="s">
        <v>208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v>55689</v>
      </c>
      <c r="D23">
        <v>0.8567538461538462</v>
      </c>
      <c r="E23" t="s">
        <v>2</v>
      </c>
      <c r="F23" t="s">
        <v>10</v>
      </c>
      <c r="G23">
        <v>55689</v>
      </c>
      <c r="J23" s="1">
        <v>0.3861230769230769</v>
      </c>
      <c r="K23" t="s">
        <v>210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v>35231</v>
      </c>
      <c r="D24">
        <v>0.54201538461538457</v>
      </c>
      <c r="E24" t="s">
        <v>2</v>
      </c>
      <c r="F24" t="s">
        <v>17</v>
      </c>
      <c r="G24">
        <v>35231</v>
      </c>
      <c r="J24" s="1">
        <v>0.20976923076923076</v>
      </c>
      <c r="K24" t="s">
        <v>210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v>32614</v>
      </c>
      <c r="D25">
        <v>0.50175384615384611</v>
      </c>
      <c r="E25" t="s">
        <v>2</v>
      </c>
      <c r="F25" t="s">
        <v>12</v>
      </c>
      <c r="G25">
        <v>32614</v>
      </c>
      <c r="J25" s="1">
        <v>0.12198461538461539</v>
      </c>
      <c r="K25" t="s">
        <v>210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v>20800</v>
      </c>
      <c r="D26">
        <v>0.32</v>
      </c>
      <c r="E26" t="s">
        <v>2</v>
      </c>
      <c r="F26" t="s">
        <v>77</v>
      </c>
      <c r="G26">
        <v>20800</v>
      </c>
      <c r="J26" s="1">
        <v>0.11984615384615385</v>
      </c>
      <c r="K26" t="s">
        <v>210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v>19579</v>
      </c>
      <c r="D27">
        <v>0.30121538461538461</v>
      </c>
      <c r="E27" t="s">
        <v>2</v>
      </c>
      <c r="F27" t="s">
        <v>86</v>
      </c>
      <c r="G27">
        <v>19579</v>
      </c>
      <c r="J27" s="1">
        <v>1.0801807692307692</v>
      </c>
      <c r="K27" t="s">
        <v>207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v>16375</v>
      </c>
      <c r="D28">
        <v>0.25192307692307692</v>
      </c>
      <c r="E28" t="s">
        <v>2</v>
      </c>
      <c r="F28" t="s">
        <v>16</v>
      </c>
      <c r="G28">
        <v>16375</v>
      </c>
      <c r="J28" s="1">
        <v>0.90316923076923072</v>
      </c>
      <c r="K28" t="s">
        <v>208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v>56561</v>
      </c>
      <c r="D29">
        <v>0.87016923076923081</v>
      </c>
      <c r="E29" t="s">
        <v>5</v>
      </c>
      <c r="F29" t="s">
        <v>58</v>
      </c>
      <c r="G29">
        <v>56561</v>
      </c>
      <c r="J29" s="1">
        <v>0.8567538461538462</v>
      </c>
      <c r="K29" t="s">
        <v>208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v>50348</v>
      </c>
      <c r="D30">
        <v>0.77458461538461543</v>
      </c>
      <c r="E30" t="s">
        <v>5</v>
      </c>
      <c r="F30" t="s">
        <v>70</v>
      </c>
      <c r="G30">
        <v>50348</v>
      </c>
      <c r="J30" s="1">
        <v>0.54201538461538457</v>
      </c>
      <c r="K30" t="s">
        <v>209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v>48906</v>
      </c>
      <c r="D31">
        <v>0.75239999999999996</v>
      </c>
      <c r="E31" t="s">
        <v>5</v>
      </c>
      <c r="F31" t="s">
        <v>72</v>
      </c>
      <c r="G31">
        <v>48906</v>
      </c>
      <c r="J31" s="1">
        <v>0.50175384615384611</v>
      </c>
      <c r="K31" t="s">
        <v>209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v>38890</v>
      </c>
      <c r="D32">
        <v>0.59830769230769232</v>
      </c>
      <c r="E32" t="s">
        <v>5</v>
      </c>
      <c r="F32" t="s">
        <v>79</v>
      </c>
      <c r="G32">
        <v>38890</v>
      </c>
      <c r="J32" s="1">
        <v>0.32</v>
      </c>
      <c r="K32" t="s">
        <v>210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v>33288</v>
      </c>
      <c r="D33">
        <v>0.5121230769230769</v>
      </c>
      <c r="E33" t="s">
        <v>5</v>
      </c>
      <c r="F33" t="s">
        <v>67</v>
      </c>
      <c r="G33">
        <v>33288</v>
      </c>
      <c r="J33" s="1">
        <v>0.30121538461538461</v>
      </c>
      <c r="K33" t="s">
        <v>210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30985</v>
      </c>
      <c r="D34">
        <v>0.47669230769230769</v>
      </c>
      <c r="E34" t="s">
        <v>5</v>
      </c>
      <c r="F34" t="s">
        <v>66</v>
      </c>
      <c r="G34">
        <v>30985</v>
      </c>
      <c r="J34" s="1">
        <v>0.25192307692307692</v>
      </c>
      <c r="K34" t="s">
        <v>210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v>27847</v>
      </c>
      <c r="D35">
        <v>0.42841538461538464</v>
      </c>
      <c r="E35" t="s">
        <v>5</v>
      </c>
      <c r="F35" t="s">
        <v>68</v>
      </c>
      <c r="G35">
        <v>27847</v>
      </c>
      <c r="J35" s="1">
        <v>0.87016923076923081</v>
      </c>
      <c r="K35" t="s">
        <v>208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v>18842</v>
      </c>
      <c r="D36">
        <v>0.28987692307692309</v>
      </c>
      <c r="E36" t="s">
        <v>5</v>
      </c>
      <c r="F36" t="s">
        <v>85</v>
      </c>
      <c r="G36">
        <v>18842</v>
      </c>
      <c r="J36" s="1">
        <v>0.77458461538461543</v>
      </c>
      <c r="K36" t="s">
        <v>208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v>24980</v>
      </c>
      <c r="D37">
        <v>0.819016393442623</v>
      </c>
      <c r="E37" t="s">
        <v>6</v>
      </c>
      <c r="F37" t="s">
        <v>50</v>
      </c>
      <c r="G37">
        <v>24980</v>
      </c>
      <c r="J37" s="1">
        <v>0.75239999999999996</v>
      </c>
      <c r="K37" t="s">
        <v>208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106</v>
      </c>
      <c r="C38">
        <v>24632</v>
      </c>
      <c r="D38">
        <v>0.80760655737704923</v>
      </c>
      <c r="E38" t="s">
        <v>6</v>
      </c>
      <c r="F38" t="s">
        <v>106</v>
      </c>
      <c r="G38">
        <v>24632</v>
      </c>
      <c r="J38" s="1">
        <v>0.59830769230769232</v>
      </c>
      <c r="K38" t="s">
        <v>209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v>15725</v>
      </c>
      <c r="D39">
        <v>0.51557377049180331</v>
      </c>
      <c r="E39" t="s">
        <v>6</v>
      </c>
      <c r="F39" t="s">
        <v>35</v>
      </c>
      <c r="G39">
        <v>15725</v>
      </c>
      <c r="J39" s="1">
        <v>0.5121230769230769</v>
      </c>
      <c r="K39" t="s">
        <v>209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v>13629</v>
      </c>
      <c r="D40">
        <v>0.44685245901639342</v>
      </c>
      <c r="E40" t="s">
        <v>6</v>
      </c>
      <c r="F40" t="s">
        <v>19</v>
      </c>
      <c r="G40">
        <v>13629</v>
      </c>
      <c r="J40" s="1">
        <v>0.47669230769230769</v>
      </c>
      <c r="K40" t="s">
        <v>209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v>13360</v>
      </c>
      <c r="D41">
        <v>0.43803278688524588</v>
      </c>
      <c r="E41" t="s">
        <v>6</v>
      </c>
      <c r="F41" t="s">
        <v>31</v>
      </c>
      <c r="G41">
        <v>13360</v>
      </c>
      <c r="J41" s="1">
        <v>0.42841538461538464</v>
      </c>
      <c r="K41" t="s">
        <v>209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v>11750</v>
      </c>
      <c r="D42">
        <v>0.38524590163934425</v>
      </c>
      <c r="E42" t="s">
        <v>6</v>
      </c>
      <c r="F42" t="s">
        <v>34</v>
      </c>
      <c r="G42">
        <v>11750</v>
      </c>
      <c r="J42" s="1">
        <v>0.28987692307692309</v>
      </c>
      <c r="K42" t="s">
        <v>210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v>11510</v>
      </c>
      <c r="D43">
        <v>0.37737704918032788</v>
      </c>
      <c r="E43" t="s">
        <v>6</v>
      </c>
      <c r="F43" t="s">
        <v>37</v>
      </c>
      <c r="G43">
        <v>11510</v>
      </c>
      <c r="J43" s="1">
        <v>0.819016393442623</v>
      </c>
      <c r="K43" t="s">
        <v>208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v>10780</v>
      </c>
      <c r="D44">
        <v>0.35344262295081968</v>
      </c>
      <c r="E44" t="s">
        <v>6</v>
      </c>
      <c r="F44" t="s">
        <v>81</v>
      </c>
      <c r="G44">
        <v>10780</v>
      </c>
      <c r="J44" s="1">
        <v>0.80760655737704923</v>
      </c>
      <c r="K44" t="s">
        <v>208</v>
      </c>
      <c r="L44" t="s">
        <v>6</v>
      </c>
      <c r="M44">
        <v>24632</v>
      </c>
      <c r="N44">
        <v>30500</v>
      </c>
      <c r="O44" t="s">
        <v>106</v>
      </c>
    </row>
    <row r="45" spans="1:15" x14ac:dyDescent="0.25">
      <c r="A45" t="s">
        <v>6</v>
      </c>
      <c r="B45" t="s">
        <v>44</v>
      </c>
      <c r="C45">
        <v>9760</v>
      </c>
      <c r="D45">
        <v>0.32</v>
      </c>
      <c r="E45" t="s">
        <v>6</v>
      </c>
      <c r="F45" t="s">
        <v>44</v>
      </c>
      <c r="G45">
        <v>9760</v>
      </c>
      <c r="J45" s="1">
        <v>0.51557377049180331</v>
      </c>
      <c r="K45" t="s">
        <v>209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v>8150</v>
      </c>
      <c r="D46">
        <v>0.26721311475409837</v>
      </c>
      <c r="E46" t="s">
        <v>6</v>
      </c>
      <c r="F46" t="s">
        <v>36</v>
      </c>
      <c r="G46">
        <v>8150</v>
      </c>
      <c r="J46" s="1">
        <v>0.44685245901639342</v>
      </c>
      <c r="K46" t="s">
        <v>209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112</v>
      </c>
      <c r="C47">
        <v>2322</v>
      </c>
      <c r="D47">
        <v>7.6131147540983601E-2</v>
      </c>
      <c r="E47" t="s">
        <v>6</v>
      </c>
      <c r="F47" t="s">
        <v>112</v>
      </c>
      <c r="G47">
        <v>2322</v>
      </c>
      <c r="J47" s="1">
        <v>0.43803278688524588</v>
      </c>
      <c r="K47" t="s">
        <v>209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127</v>
      </c>
      <c r="B48" t="s">
        <v>80</v>
      </c>
      <c r="C48">
        <v>21379</v>
      </c>
      <c r="D48">
        <v>1.4252666666666667</v>
      </c>
      <c r="E48" t="s">
        <v>127</v>
      </c>
      <c r="F48" t="s">
        <v>80</v>
      </c>
      <c r="G48">
        <v>21379</v>
      </c>
      <c r="J48" s="1">
        <v>0.38524590163934425</v>
      </c>
      <c r="K48" t="s">
        <v>210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127</v>
      </c>
      <c r="B49" t="s">
        <v>27</v>
      </c>
      <c r="C49">
        <v>12549</v>
      </c>
      <c r="D49">
        <v>0.83660000000000001</v>
      </c>
      <c r="E49" t="s">
        <v>127</v>
      </c>
      <c r="F49" t="s">
        <v>27</v>
      </c>
      <c r="G49">
        <v>12549</v>
      </c>
      <c r="J49" s="1">
        <v>0.37737704918032788</v>
      </c>
      <c r="K49" t="s">
        <v>210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127</v>
      </c>
      <c r="B50" t="s">
        <v>39</v>
      </c>
      <c r="C50">
        <v>8658</v>
      </c>
      <c r="D50">
        <v>0.57720000000000005</v>
      </c>
      <c r="E50" t="s">
        <v>127</v>
      </c>
      <c r="F50" t="s">
        <v>39</v>
      </c>
      <c r="G50">
        <v>8658</v>
      </c>
      <c r="J50" s="1">
        <v>0.35344262295081968</v>
      </c>
      <c r="K50" t="s">
        <v>210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127</v>
      </c>
      <c r="B51" t="s">
        <v>74</v>
      </c>
      <c r="C51">
        <v>7156</v>
      </c>
      <c r="D51">
        <v>0.47706666666666669</v>
      </c>
      <c r="E51" t="s">
        <v>127</v>
      </c>
      <c r="F51" t="s">
        <v>74</v>
      </c>
      <c r="G51">
        <v>7156</v>
      </c>
      <c r="J51" s="1">
        <v>0.32</v>
      </c>
      <c r="K51" t="s">
        <v>210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127</v>
      </c>
      <c r="B52" t="s">
        <v>38</v>
      </c>
      <c r="C52">
        <v>7073</v>
      </c>
      <c r="D52">
        <v>0.47153333333333336</v>
      </c>
      <c r="E52" t="s">
        <v>127</v>
      </c>
      <c r="F52" t="s">
        <v>38</v>
      </c>
      <c r="G52">
        <v>7073</v>
      </c>
      <c r="J52" s="1">
        <v>0.26721311475409837</v>
      </c>
      <c r="K52" t="s">
        <v>210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127</v>
      </c>
      <c r="B53" t="s">
        <v>56</v>
      </c>
      <c r="C53">
        <v>7243</v>
      </c>
      <c r="D53">
        <v>0.48286666666666667</v>
      </c>
      <c r="E53" t="s">
        <v>127</v>
      </c>
      <c r="F53" t="s">
        <v>56</v>
      </c>
      <c r="G53">
        <v>7243</v>
      </c>
      <c r="J53" s="1">
        <v>7.6131147540983601E-2</v>
      </c>
      <c r="K53" t="s">
        <v>210</v>
      </c>
      <c r="L53" t="s">
        <v>6</v>
      </c>
      <c r="M53">
        <v>2322</v>
      </c>
      <c r="N53">
        <v>30500</v>
      </c>
      <c r="O53" t="s">
        <v>112</v>
      </c>
    </row>
    <row r="54" spans="1:15" x14ac:dyDescent="0.25">
      <c r="A54" t="s">
        <v>127</v>
      </c>
      <c r="B54" t="s">
        <v>55</v>
      </c>
      <c r="C54">
        <v>5718</v>
      </c>
      <c r="D54">
        <v>0.38119999999999998</v>
      </c>
      <c r="E54" t="s">
        <v>127</v>
      </c>
      <c r="F54" t="s">
        <v>55</v>
      </c>
      <c r="G54">
        <v>5718</v>
      </c>
      <c r="J54" s="1">
        <v>1.4252666666666667</v>
      </c>
      <c r="K54" t="s">
        <v>207</v>
      </c>
      <c r="L54" t="s">
        <v>127</v>
      </c>
      <c r="M54">
        <v>21379</v>
      </c>
      <c r="N54">
        <v>15000</v>
      </c>
      <c r="O54" t="s">
        <v>80</v>
      </c>
    </row>
    <row r="55" spans="1:15" x14ac:dyDescent="0.25">
      <c r="A55" t="s">
        <v>127</v>
      </c>
      <c r="B55" t="s">
        <v>107</v>
      </c>
      <c r="C55">
        <v>5126</v>
      </c>
      <c r="D55">
        <v>0.34173333333333333</v>
      </c>
      <c r="E55" t="s">
        <v>127</v>
      </c>
      <c r="F55" t="s">
        <v>107</v>
      </c>
      <c r="G55">
        <v>5126</v>
      </c>
      <c r="J55" s="1">
        <v>0.83660000000000001</v>
      </c>
      <c r="K55" t="s">
        <v>208</v>
      </c>
      <c r="L55" t="s">
        <v>127</v>
      </c>
      <c r="M55">
        <v>12549</v>
      </c>
      <c r="N55">
        <v>15000</v>
      </c>
      <c r="O55" t="s">
        <v>27</v>
      </c>
    </row>
    <row r="56" spans="1:15" x14ac:dyDescent="0.25">
      <c r="A56" t="s">
        <v>127</v>
      </c>
      <c r="B56" t="s">
        <v>33</v>
      </c>
      <c r="C56">
        <v>2010.1</v>
      </c>
      <c r="D56">
        <v>0.13400666666666666</v>
      </c>
      <c r="E56" t="s">
        <v>127</v>
      </c>
      <c r="F56" t="s">
        <v>33</v>
      </c>
      <c r="G56">
        <v>2010.1</v>
      </c>
      <c r="J56" s="1">
        <v>0.57720000000000005</v>
      </c>
      <c r="K56" t="s">
        <v>209</v>
      </c>
      <c r="L56" t="s">
        <v>127</v>
      </c>
      <c r="M56">
        <v>8658</v>
      </c>
      <c r="N56">
        <v>15000</v>
      </c>
      <c r="O56" t="s">
        <v>39</v>
      </c>
    </row>
    <row r="57" spans="1:15" x14ac:dyDescent="0.25">
      <c r="A57" t="s">
        <v>127</v>
      </c>
      <c r="B57" t="s">
        <v>113</v>
      </c>
      <c r="C57">
        <v>763</v>
      </c>
      <c r="D57">
        <v>5.0866666666666664E-2</v>
      </c>
      <c r="E57" t="s">
        <v>127</v>
      </c>
      <c r="F57" t="s">
        <v>113</v>
      </c>
      <c r="G57">
        <v>763</v>
      </c>
      <c r="J57" s="1">
        <v>0.47706666666666669</v>
      </c>
      <c r="K57" t="s">
        <v>209</v>
      </c>
      <c r="L57" t="s">
        <v>127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v>24480</v>
      </c>
      <c r="D58">
        <v>1.6319999999999999</v>
      </c>
      <c r="E58" t="s">
        <v>8</v>
      </c>
      <c r="F58" t="s">
        <v>24</v>
      </c>
      <c r="G58">
        <v>24480</v>
      </c>
      <c r="J58" s="1">
        <v>0.47153333333333336</v>
      </c>
      <c r="K58" t="s">
        <v>209</v>
      </c>
      <c r="L58" t="s">
        <v>127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v>12964.5</v>
      </c>
      <c r="D59">
        <v>0.86429999999999996</v>
      </c>
      <c r="E59" t="s">
        <v>8</v>
      </c>
      <c r="F59" t="s">
        <v>14</v>
      </c>
      <c r="G59">
        <v>12964.5</v>
      </c>
      <c r="J59" s="1">
        <v>0.48286666666666667</v>
      </c>
      <c r="K59" t="s">
        <v>209</v>
      </c>
      <c r="L59" t="s">
        <v>127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v>11793</v>
      </c>
      <c r="D60">
        <v>0.78620000000000001</v>
      </c>
      <c r="E60" t="s">
        <v>8</v>
      </c>
      <c r="F60" t="s">
        <v>41</v>
      </c>
      <c r="G60">
        <v>11793</v>
      </c>
      <c r="J60" s="1">
        <v>0.38119999999999998</v>
      </c>
      <c r="K60" t="s">
        <v>210</v>
      </c>
      <c r="L60" t="s">
        <v>127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v>11310</v>
      </c>
      <c r="D61">
        <v>0.754</v>
      </c>
      <c r="E61" t="s">
        <v>8</v>
      </c>
      <c r="F61" t="s">
        <v>103</v>
      </c>
      <c r="G61">
        <v>11310</v>
      </c>
      <c r="J61" s="1">
        <v>0.34173333333333333</v>
      </c>
      <c r="K61" t="s">
        <v>210</v>
      </c>
      <c r="L61" t="s">
        <v>127</v>
      </c>
      <c r="M61">
        <v>5126</v>
      </c>
      <c r="N61">
        <v>15000</v>
      </c>
      <c r="O61" t="s">
        <v>107</v>
      </c>
    </row>
    <row r="62" spans="1:15" x14ac:dyDescent="0.25">
      <c r="A62" t="s">
        <v>8</v>
      </c>
      <c r="B62" t="s">
        <v>83</v>
      </c>
      <c r="C62">
        <v>11599</v>
      </c>
      <c r="D62">
        <v>0.77326666666666666</v>
      </c>
      <c r="E62" t="s">
        <v>8</v>
      </c>
      <c r="F62" t="s">
        <v>83</v>
      </c>
      <c r="G62">
        <v>11599</v>
      </c>
      <c r="J62" s="1">
        <v>0.13400666666666666</v>
      </c>
      <c r="K62" t="s">
        <v>210</v>
      </c>
      <c r="L62" t="s">
        <v>127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v>7411</v>
      </c>
      <c r="D63">
        <v>0.49406666666666665</v>
      </c>
      <c r="E63" t="s">
        <v>8</v>
      </c>
      <c r="F63" t="s">
        <v>40</v>
      </c>
      <c r="G63">
        <v>7411</v>
      </c>
      <c r="J63" s="1">
        <v>5.0866666666666664E-2</v>
      </c>
      <c r="K63" t="s">
        <v>210</v>
      </c>
      <c r="L63" t="s">
        <v>127</v>
      </c>
      <c r="M63">
        <v>763</v>
      </c>
      <c r="N63">
        <v>15000</v>
      </c>
      <c r="O63" t="s">
        <v>113</v>
      </c>
    </row>
    <row r="64" spans="1:15" x14ac:dyDescent="0.25">
      <c r="A64" t="s">
        <v>8</v>
      </c>
      <c r="B64" t="s">
        <v>42</v>
      </c>
      <c r="C64">
        <v>7022</v>
      </c>
      <c r="D64">
        <v>0.46813333333333335</v>
      </c>
      <c r="E64" t="s">
        <v>8</v>
      </c>
      <c r="F64" t="s">
        <v>42</v>
      </c>
      <c r="G64">
        <v>7022</v>
      </c>
      <c r="J64" s="1">
        <v>1.6319999999999999</v>
      </c>
      <c r="K64" t="s">
        <v>207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v>4836</v>
      </c>
      <c r="D65">
        <v>0.32240000000000002</v>
      </c>
      <c r="E65" t="s">
        <v>8</v>
      </c>
      <c r="F65" t="s">
        <v>43</v>
      </c>
      <c r="G65">
        <v>4836</v>
      </c>
      <c r="J65" s="1">
        <v>0.86429999999999996</v>
      </c>
      <c r="K65" t="s">
        <v>208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v>3665</v>
      </c>
      <c r="D66">
        <v>0.24433333333333335</v>
      </c>
      <c r="E66" t="s">
        <v>8</v>
      </c>
      <c r="F66" t="s">
        <v>48</v>
      </c>
      <c r="G66">
        <v>3665</v>
      </c>
      <c r="J66" s="1">
        <v>0.78620000000000001</v>
      </c>
      <c r="K66" t="s">
        <v>208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v>2182</v>
      </c>
      <c r="D67">
        <v>0.14546666666666666</v>
      </c>
      <c r="E67" t="s">
        <v>8</v>
      </c>
      <c r="F67" t="s">
        <v>45</v>
      </c>
      <c r="G67">
        <v>2182</v>
      </c>
      <c r="J67" s="1">
        <v>0.754</v>
      </c>
      <c r="K67" t="s">
        <v>208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v>14773.1</v>
      </c>
      <c r="D68">
        <v>0.98487333333333338</v>
      </c>
      <c r="E68" t="s">
        <v>9</v>
      </c>
      <c r="F68" t="s">
        <v>15</v>
      </c>
      <c r="G68">
        <v>14773.1</v>
      </c>
      <c r="J68" s="1">
        <v>0.77326666666666666</v>
      </c>
      <c r="K68" t="s">
        <v>208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v>14391.5</v>
      </c>
      <c r="D69">
        <v>0.95943333333333336</v>
      </c>
      <c r="E69" t="s">
        <v>9</v>
      </c>
      <c r="F69" t="s">
        <v>78</v>
      </c>
      <c r="G69">
        <v>14391.5</v>
      </c>
      <c r="J69" s="1">
        <v>0.49406666666666665</v>
      </c>
      <c r="K69" t="s">
        <v>209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v>7990.7</v>
      </c>
      <c r="D70">
        <v>0.53271333333333337</v>
      </c>
      <c r="E70" t="s">
        <v>9</v>
      </c>
      <c r="F70" t="s">
        <v>32</v>
      </c>
      <c r="G70">
        <v>7990.7</v>
      </c>
      <c r="J70" s="1">
        <v>0.46813333333333335</v>
      </c>
      <c r="K70" t="s">
        <v>209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v>7098</v>
      </c>
      <c r="D71">
        <v>0.47320000000000001</v>
      </c>
      <c r="E71" t="s">
        <v>9</v>
      </c>
      <c r="F71" t="s">
        <v>73</v>
      </c>
      <c r="G71">
        <v>7098</v>
      </c>
      <c r="J71" s="1">
        <v>0.32240000000000002</v>
      </c>
      <c r="K71" t="s">
        <v>210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v>5489</v>
      </c>
      <c r="D72">
        <v>0.36593333333333333</v>
      </c>
      <c r="E72" t="s">
        <v>9</v>
      </c>
      <c r="F72" t="s">
        <v>49</v>
      </c>
      <c r="G72">
        <v>5489</v>
      </c>
      <c r="J72" s="1">
        <v>0.24433333333333335</v>
      </c>
      <c r="K72" t="s">
        <v>210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v>5380</v>
      </c>
      <c r="D73">
        <v>0.35866666666666669</v>
      </c>
      <c r="E73" t="s">
        <v>9</v>
      </c>
      <c r="F73" t="s">
        <v>104</v>
      </c>
      <c r="G73">
        <v>5380</v>
      </c>
      <c r="J73" s="1">
        <v>0.14546666666666666</v>
      </c>
      <c r="K73" t="s">
        <v>210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v>4625</v>
      </c>
      <c r="D74">
        <v>0.30833333333333335</v>
      </c>
      <c r="E74" t="s">
        <v>9</v>
      </c>
      <c r="F74" t="s">
        <v>51</v>
      </c>
      <c r="G74">
        <v>4625</v>
      </c>
      <c r="J74" s="1">
        <v>0.98487333333333338</v>
      </c>
      <c r="K74" t="s">
        <v>208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v>3072</v>
      </c>
      <c r="D75">
        <v>0.20480000000000001</v>
      </c>
      <c r="E75" t="s">
        <v>9</v>
      </c>
      <c r="F75" t="s">
        <v>84</v>
      </c>
      <c r="G75">
        <v>3072</v>
      </c>
      <c r="J75" s="1">
        <v>0.95943333333333336</v>
      </c>
      <c r="K75" t="s">
        <v>208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114</v>
      </c>
      <c r="C76">
        <v>700</v>
      </c>
      <c r="D76">
        <v>4.6666666666666669E-2</v>
      </c>
      <c r="E76" t="s">
        <v>9</v>
      </c>
      <c r="F76" t="s">
        <v>114</v>
      </c>
      <c r="G76">
        <v>700</v>
      </c>
      <c r="J76" s="1">
        <v>0.53271333333333337</v>
      </c>
      <c r="K76" t="s">
        <v>209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v>350</v>
      </c>
      <c r="D77">
        <v>2.3333333333333334E-2</v>
      </c>
      <c r="E77" t="s">
        <v>9</v>
      </c>
      <c r="F77" t="s">
        <v>30</v>
      </c>
      <c r="G77">
        <v>350</v>
      </c>
      <c r="J77" s="1">
        <v>0.47320000000000001</v>
      </c>
      <c r="K77" t="s">
        <v>209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210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210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210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210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210</v>
      </c>
      <c r="L82" t="s">
        <v>9</v>
      </c>
      <c r="M82">
        <v>700</v>
      </c>
      <c r="N82">
        <v>15000</v>
      </c>
      <c r="O82" t="s">
        <v>114</v>
      </c>
    </row>
    <row r="83" spans="10:15" x14ac:dyDescent="0.25">
      <c r="J83" s="1">
        <v>2.3333333333333334E-2</v>
      </c>
      <c r="K83" t="s">
        <v>210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A2" sqref="A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3</v>
      </c>
      <c r="B3" s="2" t="s">
        <v>76</v>
      </c>
      <c r="C3" s="2">
        <v>136649.21</v>
      </c>
      <c r="D3" s="2">
        <v>2.1022955384615383</v>
      </c>
      <c r="E3" t="s">
        <v>3</v>
      </c>
      <c r="F3" t="s">
        <v>76</v>
      </c>
      <c r="G3">
        <v>136649.21</v>
      </c>
      <c r="J3" s="34">
        <v>2025</v>
      </c>
      <c r="K3" s="34" t="s">
        <v>190</v>
      </c>
      <c r="L3" s="34">
        <v>20</v>
      </c>
    </row>
    <row r="4" spans="1:41" x14ac:dyDescent="0.25">
      <c r="A4" s="2" t="s">
        <v>3</v>
      </c>
      <c r="B4" s="2" t="s">
        <v>23</v>
      </c>
      <c r="C4" s="2">
        <v>95585</v>
      </c>
      <c r="D4" s="2">
        <v>1.4705384615384616</v>
      </c>
      <c r="E4" t="s">
        <v>3</v>
      </c>
      <c r="F4" t="s">
        <v>23</v>
      </c>
      <c r="G4">
        <v>95585</v>
      </c>
    </row>
    <row r="5" spans="1:41" x14ac:dyDescent="0.25">
      <c r="A5" s="2" t="s">
        <v>3</v>
      </c>
      <c r="B5" s="2" t="s">
        <v>22</v>
      </c>
      <c r="C5" s="2">
        <v>81190.7</v>
      </c>
      <c r="D5" s="2">
        <v>1.2490876923076923</v>
      </c>
      <c r="E5" t="s">
        <v>3</v>
      </c>
      <c r="F5" t="s">
        <v>22</v>
      </c>
      <c r="G5">
        <v>81190.7</v>
      </c>
    </row>
    <row r="6" spans="1:41" x14ac:dyDescent="0.25">
      <c r="A6" s="2" t="s">
        <v>3</v>
      </c>
      <c r="B6" s="2" t="s">
        <v>25</v>
      </c>
      <c r="C6" s="2">
        <v>46255</v>
      </c>
      <c r="D6" s="2">
        <v>0.71161538461538465</v>
      </c>
      <c r="E6" t="s">
        <v>3</v>
      </c>
      <c r="F6" t="s">
        <v>25</v>
      </c>
      <c r="G6">
        <v>46255</v>
      </c>
    </row>
    <row r="7" spans="1:41" x14ac:dyDescent="0.25">
      <c r="A7" s="2" t="s">
        <v>3</v>
      </c>
      <c r="B7" s="2" t="s">
        <v>24</v>
      </c>
      <c r="C7" s="2">
        <v>45513</v>
      </c>
      <c r="D7" s="2">
        <v>0.70020000000000004</v>
      </c>
      <c r="E7" t="s">
        <v>3</v>
      </c>
      <c r="F7" t="s">
        <v>24</v>
      </c>
      <c r="G7">
        <v>45513</v>
      </c>
    </row>
    <row r="8" spans="1:41" x14ac:dyDescent="0.25">
      <c r="A8" s="2" t="s">
        <v>3</v>
      </c>
      <c r="B8" s="2" t="s">
        <v>26</v>
      </c>
      <c r="C8" s="2">
        <v>35355</v>
      </c>
      <c r="D8" s="2">
        <v>0.54392307692307695</v>
      </c>
      <c r="E8" t="s">
        <v>3</v>
      </c>
      <c r="F8" t="s">
        <v>26</v>
      </c>
      <c r="G8">
        <v>35355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371</v>
      </c>
      <c r="V8" s="41" t="s">
        <v>372</v>
      </c>
      <c r="W8" s="41" t="s">
        <v>373</v>
      </c>
      <c r="X8" s="41" t="s">
        <v>374</v>
      </c>
      <c r="Y8" s="41" t="s">
        <v>375</v>
      </c>
      <c r="Z8" s="41" t="s">
        <v>376</v>
      </c>
      <c r="AA8" s="41" t="s">
        <v>377</v>
      </c>
      <c r="AB8" s="41" t="s">
        <v>378</v>
      </c>
      <c r="AC8" s="41" t="s">
        <v>379</v>
      </c>
      <c r="AD8" s="41" t="s">
        <v>380</v>
      </c>
      <c r="AE8" s="41" t="s">
        <v>381</v>
      </c>
      <c r="AF8" s="41" t="s">
        <v>382</v>
      </c>
      <c r="AG8" s="41" t="s">
        <v>383</v>
      </c>
      <c r="AH8" s="41" t="s">
        <v>384</v>
      </c>
      <c r="AI8" s="41" t="s">
        <v>385</v>
      </c>
      <c r="AJ8" s="41" t="s">
        <v>386</v>
      </c>
      <c r="AK8" s="41" t="s">
        <v>387</v>
      </c>
      <c r="AL8" s="41" t="s">
        <v>388</v>
      </c>
      <c r="AM8" s="41" t="s">
        <v>389</v>
      </c>
      <c r="AN8" s="41" t="s">
        <v>390</v>
      </c>
      <c r="AO8" s="19" t="s">
        <v>136</v>
      </c>
    </row>
    <row r="9" spans="1:41" x14ac:dyDescent="0.25">
      <c r="A9" s="2" t="s">
        <v>3</v>
      </c>
      <c r="B9" s="2" t="s">
        <v>29</v>
      </c>
      <c r="C9" s="2">
        <v>28475</v>
      </c>
      <c r="D9" s="2">
        <v>0.43807692307692309</v>
      </c>
      <c r="E9" t="s">
        <v>3</v>
      </c>
      <c r="F9" t="s">
        <v>29</v>
      </c>
      <c r="G9">
        <v>28475</v>
      </c>
      <c r="J9" s="1">
        <v>2.1022955384615383</v>
      </c>
      <c r="K9" t="s">
        <v>207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200</v>
      </c>
    </row>
    <row r="10" spans="1:41" x14ac:dyDescent="0.25">
      <c r="A10" s="2" t="s">
        <v>3</v>
      </c>
      <c r="B10" s="2" t="s">
        <v>28</v>
      </c>
      <c r="C10" s="2">
        <v>25562.98</v>
      </c>
      <c r="D10" s="2">
        <v>0.39327661538461539</v>
      </c>
      <c r="E10" t="s">
        <v>3</v>
      </c>
      <c r="F10" t="s">
        <v>28</v>
      </c>
      <c r="G10">
        <v>25562.98</v>
      </c>
      <c r="J10" s="1">
        <v>1.4705384615384616</v>
      </c>
      <c r="K10" t="s">
        <v>207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200</v>
      </c>
    </row>
    <row r="11" spans="1:41" x14ac:dyDescent="0.25">
      <c r="A11" s="2" t="s">
        <v>3</v>
      </c>
      <c r="B11" s="2" t="s">
        <v>27</v>
      </c>
      <c r="C11" s="2">
        <v>16200</v>
      </c>
      <c r="D11" s="2">
        <v>0.24923076923076923</v>
      </c>
      <c r="E11" t="s">
        <v>3</v>
      </c>
      <c r="F11" t="s">
        <v>27</v>
      </c>
      <c r="G11">
        <v>16200</v>
      </c>
      <c r="J11" s="1">
        <v>1.2490876923076923</v>
      </c>
      <c r="K11" t="s">
        <v>207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195</v>
      </c>
    </row>
    <row r="12" spans="1:41" x14ac:dyDescent="0.25">
      <c r="A12" s="2" t="s">
        <v>3</v>
      </c>
      <c r="B12" s="2" t="s">
        <v>30</v>
      </c>
      <c r="C12" s="2">
        <v>8835</v>
      </c>
      <c r="D12" s="2">
        <v>0.13592307692307692</v>
      </c>
      <c r="E12" t="s">
        <v>3</v>
      </c>
      <c r="F12" t="s">
        <v>30</v>
      </c>
      <c r="G12">
        <v>8835</v>
      </c>
      <c r="J12" s="1">
        <v>0.71161538461538465</v>
      </c>
      <c r="K12" t="s">
        <v>208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136565.57999999999</v>
      </c>
      <c r="D13" s="2">
        <v>2.1010089230769227</v>
      </c>
      <c r="E13" t="s">
        <v>4</v>
      </c>
      <c r="F13" t="s">
        <v>59</v>
      </c>
      <c r="G13">
        <v>136565.57999999999</v>
      </c>
      <c r="J13" s="1">
        <v>0.70020000000000004</v>
      </c>
      <c r="K13" t="s">
        <v>208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201</v>
      </c>
    </row>
    <row r="14" spans="1:41" x14ac:dyDescent="0.25">
      <c r="A14" s="2" t="s">
        <v>4</v>
      </c>
      <c r="B14" s="2" t="s">
        <v>75</v>
      </c>
      <c r="C14" s="2">
        <v>95418.1</v>
      </c>
      <c r="D14" s="2">
        <v>1.4679707692307693</v>
      </c>
      <c r="E14" t="s">
        <v>4</v>
      </c>
      <c r="F14" t="s">
        <v>75</v>
      </c>
      <c r="G14">
        <v>95418.1</v>
      </c>
      <c r="J14" s="1">
        <v>0.54392307692307695</v>
      </c>
      <c r="K14" t="s">
        <v>209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197</v>
      </c>
    </row>
    <row r="15" spans="1:41" x14ac:dyDescent="0.25">
      <c r="A15" s="2" t="s">
        <v>4</v>
      </c>
      <c r="B15" s="2" t="s">
        <v>58</v>
      </c>
      <c r="C15" s="2">
        <v>73549</v>
      </c>
      <c r="D15" s="2">
        <v>1.1315230769230769</v>
      </c>
      <c r="E15" t="s">
        <v>4</v>
      </c>
      <c r="F15" t="s">
        <v>58</v>
      </c>
      <c r="G15">
        <v>73549</v>
      </c>
      <c r="J15" s="1">
        <v>0.43807692307692309</v>
      </c>
      <c r="K15" t="s">
        <v>209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61129</v>
      </c>
      <c r="D16" s="2">
        <v>0.94044615384615382</v>
      </c>
      <c r="E16" t="s">
        <v>4</v>
      </c>
      <c r="F16" t="s">
        <v>62</v>
      </c>
      <c r="G16">
        <v>61129</v>
      </c>
      <c r="J16" s="1">
        <v>0.39327661538461539</v>
      </c>
      <c r="K16" t="s">
        <v>210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198</v>
      </c>
    </row>
    <row r="17" spans="1:15" x14ac:dyDescent="0.25">
      <c r="A17" s="2" t="s">
        <v>4</v>
      </c>
      <c r="B17" s="2" t="s">
        <v>64</v>
      </c>
      <c r="C17" s="2">
        <v>44760</v>
      </c>
      <c r="D17" s="2">
        <v>0.68861538461538463</v>
      </c>
      <c r="E17" t="s">
        <v>4</v>
      </c>
      <c r="F17" t="s">
        <v>64</v>
      </c>
      <c r="G17">
        <v>44760</v>
      </c>
      <c r="J17" s="1">
        <v>0.24923076923076923</v>
      </c>
      <c r="K17" t="s">
        <v>210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v>37452.699999999997</v>
      </c>
      <c r="D18" s="2">
        <v>0.57619538461538455</v>
      </c>
      <c r="E18" t="s">
        <v>4</v>
      </c>
      <c r="F18" t="s">
        <v>61</v>
      </c>
      <c r="G18">
        <v>37452.699999999997</v>
      </c>
      <c r="J18" s="1">
        <v>0.13592307692307692</v>
      </c>
      <c r="K18" t="s">
        <v>210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v>32536</v>
      </c>
      <c r="D19" s="2">
        <v>0.50055384615384613</v>
      </c>
      <c r="E19" t="s">
        <v>4</v>
      </c>
      <c r="F19" t="s">
        <v>57</v>
      </c>
      <c r="G19">
        <v>32536</v>
      </c>
      <c r="J19" s="1">
        <v>2.1010089230769227</v>
      </c>
      <c r="K19" t="s">
        <v>207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31613</v>
      </c>
      <c r="D20" s="2">
        <v>0.48635384615384614</v>
      </c>
      <c r="E20" t="s">
        <v>4</v>
      </c>
      <c r="F20" t="s">
        <v>65</v>
      </c>
      <c r="G20">
        <v>31613</v>
      </c>
      <c r="J20" s="1">
        <v>1.4679707692307693</v>
      </c>
      <c r="K20" t="s">
        <v>207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v>20988</v>
      </c>
      <c r="D21" s="2">
        <v>0.3228923076923077</v>
      </c>
      <c r="E21" t="s">
        <v>4</v>
      </c>
      <c r="F21" t="s">
        <v>60</v>
      </c>
      <c r="G21">
        <v>20988</v>
      </c>
      <c r="J21" s="1">
        <v>1.1315230769230769</v>
      </c>
      <c r="K21" t="s">
        <v>207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v>16292</v>
      </c>
      <c r="D22" s="2">
        <v>0.25064615384615385</v>
      </c>
      <c r="E22" t="s">
        <v>4</v>
      </c>
      <c r="F22" t="s">
        <v>63</v>
      </c>
      <c r="G22">
        <v>16292</v>
      </c>
      <c r="J22" s="1">
        <v>0.94044615384615382</v>
      </c>
      <c r="K22" t="s">
        <v>208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v>11497</v>
      </c>
      <c r="D23" s="2">
        <v>0.17687692307692307</v>
      </c>
      <c r="E23" t="s">
        <v>4</v>
      </c>
      <c r="F23" t="s">
        <v>80</v>
      </c>
      <c r="G23">
        <v>11497</v>
      </c>
      <c r="J23" s="1">
        <v>0.68861538461538463</v>
      </c>
      <c r="K23" t="s">
        <v>209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v>72530</v>
      </c>
      <c r="D24" s="2">
        <v>1.3431481481481482</v>
      </c>
      <c r="E24" t="s">
        <v>2</v>
      </c>
      <c r="F24" t="s">
        <v>16</v>
      </c>
      <c r="G24">
        <v>72530</v>
      </c>
      <c r="J24" s="1">
        <v>0.57619538461538455</v>
      </c>
      <c r="K24" t="s">
        <v>209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v>50969</v>
      </c>
      <c r="D25" s="2">
        <v>0.94387037037037036</v>
      </c>
      <c r="E25" t="s">
        <v>2</v>
      </c>
      <c r="F25" t="s">
        <v>10</v>
      </c>
      <c r="G25">
        <v>50969</v>
      </c>
      <c r="J25" s="1">
        <v>0.50055384615384613</v>
      </c>
      <c r="K25" t="s">
        <v>209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v>45384</v>
      </c>
      <c r="D26" s="2">
        <v>0.84044444444444444</v>
      </c>
      <c r="E26" t="s">
        <v>2</v>
      </c>
      <c r="F26" t="s">
        <v>17</v>
      </c>
      <c r="G26">
        <v>45384</v>
      </c>
      <c r="J26" s="1">
        <v>0.48635384615384614</v>
      </c>
      <c r="K26" t="s">
        <v>209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v>30593</v>
      </c>
      <c r="D27" s="2">
        <v>0.56653703703703706</v>
      </c>
      <c r="E27" t="s">
        <v>2</v>
      </c>
      <c r="F27" t="s">
        <v>12</v>
      </c>
      <c r="G27">
        <v>30593</v>
      </c>
      <c r="J27" s="1">
        <v>0.3228923076923077</v>
      </c>
      <c r="K27" t="s">
        <v>210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v>27130</v>
      </c>
      <c r="D28" s="2">
        <v>0.50240740740740741</v>
      </c>
      <c r="E28" t="s">
        <v>2</v>
      </c>
      <c r="F28" t="s">
        <v>11</v>
      </c>
      <c r="G28">
        <v>27130</v>
      </c>
      <c r="J28" s="1">
        <v>0.25064615384615385</v>
      </c>
      <c r="K28" t="s">
        <v>210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v>22638</v>
      </c>
      <c r="D29" s="2">
        <v>0.41922222222222222</v>
      </c>
      <c r="E29" t="s">
        <v>2</v>
      </c>
      <c r="F29" t="s">
        <v>15</v>
      </c>
      <c r="G29">
        <v>22638</v>
      </c>
      <c r="J29" s="1">
        <v>0.17687692307692307</v>
      </c>
      <c r="K29" t="s">
        <v>210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v>20399</v>
      </c>
      <c r="D30" s="2">
        <v>0.37775925925925924</v>
      </c>
      <c r="E30" t="s">
        <v>2</v>
      </c>
      <c r="F30" t="s">
        <v>14</v>
      </c>
      <c r="G30">
        <v>20399</v>
      </c>
      <c r="J30" s="1">
        <v>1.3431481481481482</v>
      </c>
      <c r="K30" t="s">
        <v>207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v>17717</v>
      </c>
      <c r="D31" s="2">
        <v>0.3280925925925926</v>
      </c>
      <c r="E31" t="s">
        <v>2</v>
      </c>
      <c r="F31" t="s">
        <v>13</v>
      </c>
      <c r="G31">
        <v>17717</v>
      </c>
      <c r="J31" s="1">
        <v>0.94387037037037036</v>
      </c>
      <c r="K31" t="s">
        <v>208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v>8587</v>
      </c>
      <c r="D32" s="2">
        <v>0.15901851851851853</v>
      </c>
      <c r="E32" t="s">
        <v>2</v>
      </c>
      <c r="F32" t="s">
        <v>86</v>
      </c>
      <c r="G32">
        <v>8587</v>
      </c>
      <c r="J32" s="1">
        <v>0.84044444444444444</v>
      </c>
      <c r="K32" t="s">
        <v>208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v>39211</v>
      </c>
      <c r="D33" s="2">
        <v>0.72612962962962968</v>
      </c>
      <c r="E33" t="s">
        <v>5</v>
      </c>
      <c r="F33" t="s">
        <v>67</v>
      </c>
      <c r="G33">
        <v>39211</v>
      </c>
      <c r="J33" s="1">
        <v>0.56653703703703706</v>
      </c>
      <c r="K33" t="s">
        <v>209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v>29481</v>
      </c>
      <c r="D34" s="2">
        <v>0.54594444444444445</v>
      </c>
      <c r="E34" t="s">
        <v>5</v>
      </c>
      <c r="F34" t="s">
        <v>70</v>
      </c>
      <c r="G34">
        <v>29481</v>
      </c>
      <c r="J34" s="1">
        <v>0.50240740740740741</v>
      </c>
      <c r="K34" t="s">
        <v>209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v>27307</v>
      </c>
      <c r="D35" s="2">
        <v>0.50568518518518524</v>
      </c>
      <c r="E35" t="s">
        <v>5</v>
      </c>
      <c r="F35" t="s">
        <v>66</v>
      </c>
      <c r="G35">
        <v>27307</v>
      </c>
      <c r="J35" s="1">
        <v>0.41922222222222222</v>
      </c>
      <c r="K35" t="s">
        <v>209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v>25167</v>
      </c>
      <c r="D36" s="2">
        <v>0.46605555555555556</v>
      </c>
      <c r="E36" t="s">
        <v>5</v>
      </c>
      <c r="F36" t="s">
        <v>72</v>
      </c>
      <c r="G36">
        <v>25167</v>
      </c>
      <c r="J36" s="1">
        <v>0.37775925925925924</v>
      </c>
      <c r="K36" t="s">
        <v>210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v>24073</v>
      </c>
      <c r="D37" s="2">
        <v>0.4457962962962963</v>
      </c>
      <c r="E37" t="s">
        <v>5</v>
      </c>
      <c r="F37" t="s">
        <v>85</v>
      </c>
      <c r="G37">
        <v>24073</v>
      </c>
      <c r="J37" s="1">
        <v>0.3280925925925926</v>
      </c>
      <c r="K37" t="s">
        <v>210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v>22377</v>
      </c>
      <c r="D38" s="2">
        <v>0.41438888888888886</v>
      </c>
      <c r="E38" t="s">
        <v>5</v>
      </c>
      <c r="F38" t="s">
        <v>71</v>
      </c>
      <c r="G38">
        <v>22377</v>
      </c>
      <c r="J38" s="1">
        <v>0.15901851851851853</v>
      </c>
      <c r="K38" t="s">
        <v>210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v>20517</v>
      </c>
      <c r="D39" s="2">
        <v>0.37994444444444442</v>
      </c>
      <c r="E39" t="s">
        <v>5</v>
      </c>
      <c r="F39" t="s">
        <v>68</v>
      </c>
      <c r="G39">
        <v>20517</v>
      </c>
      <c r="J39" s="1">
        <v>0.72612962962962968</v>
      </c>
      <c r="K39" t="s">
        <v>208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v>14136.5</v>
      </c>
      <c r="D40" s="2">
        <v>0.26178703703703704</v>
      </c>
      <c r="E40" t="s">
        <v>5</v>
      </c>
      <c r="F40" t="s">
        <v>69</v>
      </c>
      <c r="G40">
        <v>14136.5</v>
      </c>
      <c r="J40" s="1">
        <v>0.54594444444444445</v>
      </c>
      <c r="K40" t="s">
        <v>209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v>12321</v>
      </c>
      <c r="D41" s="2">
        <v>0.22816666666666666</v>
      </c>
      <c r="E41" t="s">
        <v>5</v>
      </c>
      <c r="F41" t="s">
        <v>79</v>
      </c>
      <c r="G41">
        <v>12321</v>
      </c>
      <c r="J41" s="1">
        <v>0.50568518518518524</v>
      </c>
      <c r="K41" t="s">
        <v>209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v>65692</v>
      </c>
      <c r="D42" s="2">
        <v>2.5266153846153845</v>
      </c>
      <c r="E42" t="s">
        <v>6</v>
      </c>
      <c r="F42" t="s">
        <v>31</v>
      </c>
      <c r="G42">
        <v>65692</v>
      </c>
      <c r="J42" s="1">
        <v>0.46605555555555556</v>
      </c>
      <c r="K42" t="s">
        <v>209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v>56063</v>
      </c>
      <c r="D43" s="2">
        <v>2.1562692307692308</v>
      </c>
      <c r="E43" t="s">
        <v>6</v>
      </c>
      <c r="F43" t="s">
        <v>78</v>
      </c>
      <c r="G43">
        <v>56063</v>
      </c>
      <c r="J43" s="1">
        <v>0.4457962962962963</v>
      </c>
      <c r="K43" t="s">
        <v>209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v>35556</v>
      </c>
      <c r="D44" s="2">
        <v>1.3675384615384616</v>
      </c>
      <c r="E44" t="s">
        <v>6</v>
      </c>
      <c r="F44" t="s">
        <v>35</v>
      </c>
      <c r="G44">
        <v>35556</v>
      </c>
      <c r="J44" s="1">
        <v>0.41438888888888886</v>
      </c>
      <c r="K44" t="s">
        <v>209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v>33007</v>
      </c>
      <c r="D45" s="2">
        <v>1.2695000000000001</v>
      </c>
      <c r="E45" t="s">
        <v>6</v>
      </c>
      <c r="F45" t="s">
        <v>33</v>
      </c>
      <c r="G45">
        <v>33007</v>
      </c>
      <c r="J45" s="1">
        <v>0.37994444444444442</v>
      </c>
      <c r="K45" t="s">
        <v>210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v>26075</v>
      </c>
      <c r="D46" s="2">
        <v>1.0028846153846154</v>
      </c>
      <c r="E46" t="s">
        <v>6</v>
      </c>
      <c r="F46" t="s">
        <v>36</v>
      </c>
      <c r="G46">
        <v>26075</v>
      </c>
      <c r="J46" s="1">
        <v>0.26178703703703704</v>
      </c>
      <c r="K46" t="s">
        <v>210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v>22100</v>
      </c>
      <c r="D47" s="2">
        <v>0.85</v>
      </c>
      <c r="E47" t="s">
        <v>6</v>
      </c>
      <c r="F47" t="s">
        <v>34</v>
      </c>
      <c r="G47">
        <v>22100</v>
      </c>
      <c r="J47" s="1">
        <v>0.22816666666666666</v>
      </c>
      <c r="K47" t="s">
        <v>210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v>18048</v>
      </c>
      <c r="D48" s="2">
        <v>0.69415384615384612</v>
      </c>
      <c r="E48" t="s">
        <v>6</v>
      </c>
      <c r="F48" t="s">
        <v>37</v>
      </c>
      <c r="G48">
        <v>18048</v>
      </c>
      <c r="J48" s="1">
        <v>2.5266153846153845</v>
      </c>
      <c r="K48" t="s">
        <v>207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v>18003</v>
      </c>
      <c r="D49" s="2">
        <v>0.69242307692307692</v>
      </c>
      <c r="E49" t="s">
        <v>6</v>
      </c>
      <c r="F49" t="s">
        <v>38</v>
      </c>
      <c r="G49">
        <v>18003</v>
      </c>
      <c r="J49" s="1">
        <v>2.1562692307692308</v>
      </c>
      <c r="K49" t="s">
        <v>207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v>15348</v>
      </c>
      <c r="D50" s="2">
        <v>0.59030769230769231</v>
      </c>
      <c r="E50" t="s">
        <v>6</v>
      </c>
      <c r="F50" t="s">
        <v>40</v>
      </c>
      <c r="G50">
        <v>15348</v>
      </c>
      <c r="J50" s="1">
        <v>1.3675384615384616</v>
      </c>
      <c r="K50" t="s">
        <v>207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v>12713</v>
      </c>
      <c r="D51" s="2">
        <v>0.48896153846153845</v>
      </c>
      <c r="E51" t="s">
        <v>6</v>
      </c>
      <c r="F51" t="s">
        <v>32</v>
      </c>
      <c r="G51">
        <v>12713</v>
      </c>
      <c r="J51" s="1">
        <v>1.2695000000000001</v>
      </c>
      <c r="K51" t="s">
        <v>207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v>11331</v>
      </c>
      <c r="D52" s="2">
        <v>0.43580769230769228</v>
      </c>
      <c r="E52" t="s">
        <v>6</v>
      </c>
      <c r="F52" t="s">
        <v>39</v>
      </c>
      <c r="G52">
        <v>11331</v>
      </c>
      <c r="J52" s="1">
        <v>1.0028846153846154</v>
      </c>
      <c r="K52" t="s">
        <v>207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v>32813</v>
      </c>
      <c r="D53" s="2">
        <v>2.116967741935484</v>
      </c>
      <c r="E53" t="s">
        <v>7</v>
      </c>
      <c r="F53" t="s">
        <v>18</v>
      </c>
      <c r="G53">
        <v>32813</v>
      </c>
      <c r="J53" s="1">
        <v>0.85</v>
      </c>
      <c r="K53" t="s">
        <v>208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106</v>
      </c>
      <c r="C54" s="2">
        <v>26581</v>
      </c>
      <c r="D54" s="2">
        <v>1.7149032258064516</v>
      </c>
      <c r="E54" t="s">
        <v>7</v>
      </c>
      <c r="F54" t="s">
        <v>106</v>
      </c>
      <c r="G54">
        <v>26581</v>
      </c>
      <c r="J54" s="1">
        <v>0.69415384615384612</v>
      </c>
      <c r="K54" t="s">
        <v>209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v>16560</v>
      </c>
      <c r="D55" s="2">
        <v>1.0683870967741935</v>
      </c>
      <c r="E55" t="s">
        <v>7</v>
      </c>
      <c r="F55" t="s">
        <v>21</v>
      </c>
      <c r="G55">
        <v>16560</v>
      </c>
      <c r="J55" s="1">
        <v>0.69242307692307692</v>
      </c>
      <c r="K55" t="s">
        <v>209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v>12541</v>
      </c>
      <c r="D56" s="2">
        <v>0.80909677419354842</v>
      </c>
      <c r="E56" t="s">
        <v>7</v>
      </c>
      <c r="F56" t="s">
        <v>103</v>
      </c>
      <c r="G56">
        <v>12541</v>
      </c>
      <c r="J56" s="1">
        <v>0.59030769230769231</v>
      </c>
      <c r="K56" t="s">
        <v>209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v>10600</v>
      </c>
      <c r="D57" s="2">
        <v>0.68387096774193545</v>
      </c>
      <c r="E57" t="s">
        <v>7</v>
      </c>
      <c r="F57" t="s">
        <v>104</v>
      </c>
      <c r="G57">
        <v>10600</v>
      </c>
      <c r="J57" s="1">
        <v>0.48896153846153845</v>
      </c>
      <c r="K57" t="s">
        <v>209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v>9990</v>
      </c>
      <c r="D58" s="2">
        <v>0.64451612903225808</v>
      </c>
      <c r="E58" t="s">
        <v>7</v>
      </c>
      <c r="F58" t="s">
        <v>19</v>
      </c>
      <c r="G58">
        <v>9990</v>
      </c>
      <c r="J58" s="1">
        <v>0.43580769230769228</v>
      </c>
      <c r="K58" t="s">
        <v>209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105</v>
      </c>
      <c r="C59" s="2">
        <v>8850</v>
      </c>
      <c r="D59" s="2">
        <v>0.57096774193548383</v>
      </c>
      <c r="E59" t="s">
        <v>7</v>
      </c>
      <c r="F59" t="s">
        <v>105</v>
      </c>
      <c r="G59">
        <v>8850</v>
      </c>
      <c r="J59" s="1">
        <v>2.116967741935484</v>
      </c>
      <c r="K59" t="s">
        <v>207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4680</v>
      </c>
      <c r="D60" s="2">
        <v>0.30193548387096775</v>
      </c>
      <c r="E60" t="s">
        <v>7</v>
      </c>
      <c r="F60" t="s">
        <v>107</v>
      </c>
      <c r="G60">
        <v>4680</v>
      </c>
      <c r="J60" s="1">
        <v>1.7149032258064516</v>
      </c>
      <c r="K60" t="s">
        <v>207</v>
      </c>
      <c r="L60" t="s">
        <v>7</v>
      </c>
      <c r="M60">
        <v>26581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108</v>
      </c>
      <c r="C61" s="2">
        <v>4350</v>
      </c>
      <c r="D61" s="2">
        <v>0.28064516129032258</v>
      </c>
      <c r="E61" t="s">
        <v>7</v>
      </c>
      <c r="F61" t="s">
        <v>108</v>
      </c>
      <c r="G61">
        <v>4350</v>
      </c>
      <c r="J61" s="1">
        <v>1.0683870967741935</v>
      </c>
      <c r="K61" t="s">
        <v>207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v>3588</v>
      </c>
      <c r="D62" s="2">
        <v>0.23148387096774192</v>
      </c>
      <c r="E62" t="s">
        <v>7</v>
      </c>
      <c r="F62" t="s">
        <v>74</v>
      </c>
      <c r="G62">
        <v>3588</v>
      </c>
      <c r="J62" s="1">
        <v>0.80909677419354842</v>
      </c>
      <c r="K62" t="s">
        <v>208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v>3565</v>
      </c>
      <c r="D63" s="2">
        <v>0.23</v>
      </c>
      <c r="E63" t="s">
        <v>7</v>
      </c>
      <c r="F63" t="s">
        <v>20</v>
      </c>
      <c r="G63">
        <v>3565</v>
      </c>
      <c r="J63" s="1">
        <v>0.68387096774193545</v>
      </c>
      <c r="K63" t="s">
        <v>209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v>12563</v>
      </c>
      <c r="D64" s="2">
        <v>0.81051612903225811</v>
      </c>
      <c r="E64" t="s">
        <v>8</v>
      </c>
      <c r="F64" t="s">
        <v>81</v>
      </c>
      <c r="G64">
        <v>12563</v>
      </c>
      <c r="J64" s="1">
        <v>0.64451612903225808</v>
      </c>
      <c r="K64" t="s">
        <v>209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v>12351.5</v>
      </c>
      <c r="D65" s="2">
        <v>0.79687096774193544</v>
      </c>
      <c r="E65" t="s">
        <v>8</v>
      </c>
      <c r="F65" t="s">
        <v>44</v>
      </c>
      <c r="G65">
        <v>12351.5</v>
      </c>
      <c r="J65" s="1">
        <v>0.57096774193548383</v>
      </c>
      <c r="K65" t="s">
        <v>209</v>
      </c>
      <c r="L65" t="s">
        <v>7</v>
      </c>
      <c r="M65">
        <v>8850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41</v>
      </c>
      <c r="C66" s="2">
        <v>12349</v>
      </c>
      <c r="D66" s="2">
        <v>0.79670967741935483</v>
      </c>
      <c r="E66" t="s">
        <v>8</v>
      </c>
      <c r="F66" t="s">
        <v>41</v>
      </c>
      <c r="G66">
        <v>12349</v>
      </c>
      <c r="J66" s="1">
        <v>0.30193548387096775</v>
      </c>
      <c r="K66" t="s">
        <v>210</v>
      </c>
      <c r="L66" t="s">
        <v>7</v>
      </c>
      <c r="M66">
        <v>4680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11934.5</v>
      </c>
      <c r="D67" s="2">
        <v>0.7699677419354839</v>
      </c>
      <c r="E67" t="s">
        <v>8</v>
      </c>
      <c r="F67" t="s">
        <v>48</v>
      </c>
      <c r="G67">
        <v>11934.5</v>
      </c>
      <c r="J67" s="1">
        <v>0.28064516129032258</v>
      </c>
      <c r="K67" t="s">
        <v>210</v>
      </c>
      <c r="L67" t="s">
        <v>7</v>
      </c>
      <c r="M67">
        <v>4350</v>
      </c>
      <c r="N67">
        <v>15500</v>
      </c>
      <c r="O67" t="s">
        <v>108</v>
      </c>
    </row>
    <row r="68" spans="1:15" x14ac:dyDescent="0.25">
      <c r="A68" s="2" t="s">
        <v>8</v>
      </c>
      <c r="B68" s="2" t="s">
        <v>83</v>
      </c>
      <c r="C68" s="2">
        <v>8953</v>
      </c>
      <c r="D68" s="2">
        <v>0.5776129032258065</v>
      </c>
      <c r="E68" t="s">
        <v>8</v>
      </c>
      <c r="F68" t="s">
        <v>83</v>
      </c>
      <c r="G68">
        <v>8953</v>
      </c>
      <c r="J68" s="1">
        <v>0.23148387096774192</v>
      </c>
      <c r="K68" t="s">
        <v>210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v>8877</v>
      </c>
      <c r="D69" s="2">
        <v>0.57270967741935486</v>
      </c>
      <c r="E69" t="s">
        <v>8</v>
      </c>
      <c r="F69" t="s">
        <v>42</v>
      </c>
      <c r="G69">
        <v>8877</v>
      </c>
      <c r="J69" s="1">
        <v>0.23</v>
      </c>
      <c r="K69" t="s">
        <v>210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v>8392</v>
      </c>
      <c r="D70" s="2">
        <v>0.54141935483870973</v>
      </c>
      <c r="E70" t="s">
        <v>8</v>
      </c>
      <c r="F70" t="s">
        <v>84</v>
      </c>
      <c r="G70">
        <v>8392</v>
      </c>
      <c r="J70" s="1">
        <v>0.81051612903225811</v>
      </c>
      <c r="K70" t="s">
        <v>208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v>5566</v>
      </c>
      <c r="D71" s="2">
        <v>0.35909677419354841</v>
      </c>
      <c r="E71" t="s">
        <v>8</v>
      </c>
      <c r="F71" t="s">
        <v>43</v>
      </c>
      <c r="G71">
        <v>5566</v>
      </c>
      <c r="J71" s="1">
        <v>0.79687096774193544</v>
      </c>
      <c r="K71" t="s">
        <v>208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v>3935</v>
      </c>
      <c r="D72" s="2">
        <v>0.25387096774193546</v>
      </c>
      <c r="E72" t="s">
        <v>8</v>
      </c>
      <c r="F72" t="s">
        <v>46</v>
      </c>
      <c r="G72">
        <v>3935</v>
      </c>
      <c r="J72" s="1">
        <v>0.79670967741935483</v>
      </c>
      <c r="K72" t="s">
        <v>208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v>2385</v>
      </c>
      <c r="D73" s="2">
        <v>0.15387096774193548</v>
      </c>
      <c r="E73" t="s">
        <v>8</v>
      </c>
      <c r="F73" t="s">
        <v>45</v>
      </c>
      <c r="G73">
        <v>2385</v>
      </c>
      <c r="J73" s="1">
        <v>0.7699677419354839</v>
      </c>
      <c r="K73" t="s">
        <v>208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v>0</v>
      </c>
      <c r="D74" s="2">
        <v>0</v>
      </c>
      <c r="E74" t="s">
        <v>8</v>
      </c>
      <c r="F74" t="s">
        <v>47</v>
      </c>
      <c r="G74">
        <v>0</v>
      </c>
      <c r="J74" s="1">
        <v>0.5776129032258065</v>
      </c>
      <c r="K74" t="s">
        <v>209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v>20487</v>
      </c>
      <c r="D75" s="2">
        <v>1.3217419354838709</v>
      </c>
      <c r="E75" t="s">
        <v>9</v>
      </c>
      <c r="F75" t="s">
        <v>73</v>
      </c>
      <c r="G75">
        <v>20487</v>
      </c>
      <c r="J75" s="1">
        <v>0.57270967741935486</v>
      </c>
      <c r="K75" t="s">
        <v>209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v>15606</v>
      </c>
      <c r="D76" s="2">
        <v>1.0068387096774194</v>
      </c>
      <c r="E76" t="s">
        <v>9</v>
      </c>
      <c r="F76" t="s">
        <v>77</v>
      </c>
      <c r="G76">
        <v>15606</v>
      </c>
      <c r="J76" s="1">
        <v>0.54141935483870973</v>
      </c>
      <c r="K76" t="s">
        <v>209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v>11980</v>
      </c>
      <c r="D77" s="2">
        <v>0.77290322580645165</v>
      </c>
      <c r="E77" t="s">
        <v>9</v>
      </c>
      <c r="F77" t="s">
        <v>49</v>
      </c>
      <c r="G77">
        <v>11980</v>
      </c>
      <c r="J77" s="1">
        <v>0.35909677419354841</v>
      </c>
      <c r="K77" t="s">
        <v>210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v>11845</v>
      </c>
      <c r="D78" s="2">
        <v>0.76419354838709674</v>
      </c>
      <c r="E78" t="s">
        <v>9</v>
      </c>
      <c r="F78" t="s">
        <v>50</v>
      </c>
      <c r="G78">
        <v>11845</v>
      </c>
      <c r="J78" s="1">
        <v>0.25387096774193546</v>
      </c>
      <c r="K78" t="s">
        <v>210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v>11345</v>
      </c>
      <c r="D79" s="2">
        <v>0.73193548387096774</v>
      </c>
      <c r="E79" t="s">
        <v>9</v>
      </c>
      <c r="F79" t="s">
        <v>53</v>
      </c>
      <c r="G79">
        <v>11345</v>
      </c>
      <c r="J79" s="1">
        <v>0.15387096774193548</v>
      </c>
      <c r="K79" t="s">
        <v>210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v>8159</v>
      </c>
      <c r="D80" s="2">
        <v>0.5263870967741936</v>
      </c>
      <c r="E80" t="s">
        <v>9</v>
      </c>
      <c r="F80" t="s">
        <v>56</v>
      </c>
      <c r="G80">
        <v>8159</v>
      </c>
      <c r="J80" s="1">
        <v>0</v>
      </c>
      <c r="K80" t="s">
        <v>210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v>7816</v>
      </c>
      <c r="D81" s="2">
        <v>0.50425806451612898</v>
      </c>
      <c r="E81" t="s">
        <v>9</v>
      </c>
      <c r="F81" t="s">
        <v>51</v>
      </c>
      <c r="G81">
        <v>7816</v>
      </c>
      <c r="J81" s="1">
        <v>1.3217419354838709</v>
      </c>
      <c r="K81" t="s">
        <v>207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v>7499</v>
      </c>
      <c r="D82" s="2">
        <v>0.4838064516129032</v>
      </c>
      <c r="E82" t="s">
        <v>9</v>
      </c>
      <c r="F82" t="s">
        <v>54</v>
      </c>
      <c r="G82">
        <v>7499</v>
      </c>
      <c r="J82" s="1">
        <v>1.0068387096774194</v>
      </c>
      <c r="K82" t="s">
        <v>207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v>5316</v>
      </c>
      <c r="D83" s="2">
        <v>0.34296774193548385</v>
      </c>
      <c r="E83" t="s">
        <v>9</v>
      </c>
      <c r="F83" t="s">
        <v>55</v>
      </c>
      <c r="G83">
        <v>5316</v>
      </c>
      <c r="J83" s="1">
        <v>0.77290322580645165</v>
      </c>
      <c r="K83" t="s">
        <v>208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v>3350</v>
      </c>
      <c r="D84" s="2">
        <v>0.21612903225806451</v>
      </c>
      <c r="E84" t="s">
        <v>9</v>
      </c>
      <c r="F84" t="s">
        <v>82</v>
      </c>
      <c r="G84">
        <v>3350</v>
      </c>
      <c r="J84" s="1">
        <v>0.76419354838709674</v>
      </c>
      <c r="K84" t="s">
        <v>208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v>0</v>
      </c>
      <c r="D85" s="2">
        <v>0</v>
      </c>
      <c r="E85" t="s">
        <v>9</v>
      </c>
      <c r="F85" t="s">
        <v>52</v>
      </c>
      <c r="G85">
        <v>0</v>
      </c>
      <c r="J85" s="1">
        <v>0.73193548387096774</v>
      </c>
      <c r="K85" t="s">
        <v>208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209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209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209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210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210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210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127</v>
      </c>
      <c r="B3" s="2" t="s">
        <v>23</v>
      </c>
      <c r="C3" s="2">
        <v>85152</v>
      </c>
      <c r="D3" s="2">
        <v>1.1826666666666668</v>
      </c>
      <c r="E3" t="s">
        <v>127</v>
      </c>
      <c r="F3" t="s">
        <v>23</v>
      </c>
      <c r="G3">
        <v>85152</v>
      </c>
      <c r="J3" s="34">
        <v>2025</v>
      </c>
      <c r="K3" s="34" t="s">
        <v>191</v>
      </c>
      <c r="L3" s="34">
        <v>20</v>
      </c>
    </row>
    <row r="4" spans="1:41" x14ac:dyDescent="0.25">
      <c r="A4" s="2" t="s">
        <v>127</v>
      </c>
      <c r="B4" s="2" t="s">
        <v>24</v>
      </c>
      <c r="C4" s="2">
        <v>81565</v>
      </c>
      <c r="D4" s="2">
        <v>1.1328472222222221</v>
      </c>
      <c r="E4" t="s">
        <v>127</v>
      </c>
      <c r="F4" t="s">
        <v>24</v>
      </c>
      <c r="G4">
        <v>81565</v>
      </c>
    </row>
    <row r="5" spans="1:41" x14ac:dyDescent="0.25">
      <c r="A5" s="2" t="s">
        <v>127</v>
      </c>
      <c r="B5" s="2" t="s">
        <v>22</v>
      </c>
      <c r="C5" s="2">
        <v>63897</v>
      </c>
      <c r="D5" s="2">
        <v>0.88745833333333335</v>
      </c>
      <c r="E5" t="s">
        <v>127</v>
      </c>
      <c r="F5" t="s">
        <v>22</v>
      </c>
      <c r="G5">
        <v>63897</v>
      </c>
    </row>
    <row r="6" spans="1:41" x14ac:dyDescent="0.25">
      <c r="A6" s="2" t="s">
        <v>127</v>
      </c>
      <c r="B6" s="2" t="s">
        <v>26</v>
      </c>
      <c r="C6" s="2">
        <v>57903</v>
      </c>
      <c r="D6" s="2">
        <v>0.8042083333333333</v>
      </c>
      <c r="E6" t="s">
        <v>127</v>
      </c>
      <c r="F6" t="s">
        <v>26</v>
      </c>
      <c r="G6">
        <v>57903</v>
      </c>
    </row>
    <row r="7" spans="1:41" x14ac:dyDescent="0.25">
      <c r="A7" s="2" t="s">
        <v>127</v>
      </c>
      <c r="B7" s="2" t="s">
        <v>25</v>
      </c>
      <c r="C7" s="2">
        <v>57889</v>
      </c>
      <c r="D7" s="2">
        <v>0.80401388888888892</v>
      </c>
      <c r="E7" t="s">
        <v>127</v>
      </c>
      <c r="F7" t="s">
        <v>25</v>
      </c>
      <c r="G7">
        <v>57889</v>
      </c>
    </row>
    <row r="8" spans="1:41" x14ac:dyDescent="0.25">
      <c r="A8" s="2" t="s">
        <v>127</v>
      </c>
      <c r="B8" s="2" t="s">
        <v>29</v>
      </c>
      <c r="C8" s="2">
        <v>52544</v>
      </c>
      <c r="D8" s="2">
        <v>0.72977777777777775</v>
      </c>
      <c r="E8" t="s">
        <v>127</v>
      </c>
      <c r="F8" t="s">
        <v>29</v>
      </c>
      <c r="G8">
        <v>52544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391</v>
      </c>
      <c r="V8" s="41" t="s">
        <v>392</v>
      </c>
      <c r="W8" s="41" t="s">
        <v>393</v>
      </c>
      <c r="X8" s="41" t="s">
        <v>394</v>
      </c>
      <c r="Y8" s="41" t="s">
        <v>395</v>
      </c>
      <c r="Z8" s="41" t="s">
        <v>396</v>
      </c>
      <c r="AA8" s="41" t="s">
        <v>397</v>
      </c>
      <c r="AB8" s="41" t="s">
        <v>398</v>
      </c>
      <c r="AC8" s="41" t="s">
        <v>399</v>
      </c>
      <c r="AD8" s="41" t="s">
        <v>400</v>
      </c>
      <c r="AE8" s="41" t="s">
        <v>401</v>
      </c>
      <c r="AF8" s="41" t="s">
        <v>402</v>
      </c>
      <c r="AG8" s="41" t="s">
        <v>403</v>
      </c>
      <c r="AH8" s="41" t="s">
        <v>404</v>
      </c>
      <c r="AI8" s="41" t="s">
        <v>405</v>
      </c>
      <c r="AJ8" s="41" t="s">
        <v>406</v>
      </c>
      <c r="AK8" s="41" t="s">
        <v>407</v>
      </c>
      <c r="AL8" s="41" t="s">
        <v>408</v>
      </c>
      <c r="AM8" s="41" t="s">
        <v>409</v>
      </c>
      <c r="AN8" s="41" t="s">
        <v>410</v>
      </c>
      <c r="AO8" s="19" t="s">
        <v>136</v>
      </c>
    </row>
    <row r="9" spans="1:41" x14ac:dyDescent="0.25">
      <c r="A9" s="2" t="s">
        <v>127</v>
      </c>
      <c r="B9" s="2" t="s">
        <v>27</v>
      </c>
      <c r="C9" s="2">
        <v>51818</v>
      </c>
      <c r="D9" s="2">
        <v>0.71969444444444441</v>
      </c>
      <c r="E9" t="s">
        <v>127</v>
      </c>
      <c r="F9" t="s">
        <v>27</v>
      </c>
      <c r="G9">
        <v>51818</v>
      </c>
      <c r="J9" s="1">
        <v>1.1826666666666668</v>
      </c>
      <c r="K9" t="s">
        <v>207</v>
      </c>
      <c r="L9" t="s">
        <v>127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127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200</v>
      </c>
    </row>
    <row r="10" spans="1:41" x14ac:dyDescent="0.25">
      <c r="A10" s="2" t="s">
        <v>127</v>
      </c>
      <c r="B10" s="2" t="s">
        <v>28</v>
      </c>
      <c r="C10" s="2">
        <v>31370</v>
      </c>
      <c r="D10" s="2">
        <v>0.43569444444444444</v>
      </c>
      <c r="E10" t="s">
        <v>127</v>
      </c>
      <c r="F10" t="s">
        <v>28</v>
      </c>
      <c r="G10">
        <v>31370</v>
      </c>
      <c r="J10" s="1">
        <v>1.1328472222222221</v>
      </c>
      <c r="K10" t="s">
        <v>207</v>
      </c>
      <c r="L10" t="s">
        <v>127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200</v>
      </c>
    </row>
    <row r="11" spans="1:41" x14ac:dyDescent="0.25">
      <c r="A11" s="2" t="s">
        <v>127</v>
      </c>
      <c r="B11" s="2" t="s">
        <v>30</v>
      </c>
      <c r="C11" s="2">
        <v>28645</v>
      </c>
      <c r="D11" s="2">
        <v>0.39784722222222224</v>
      </c>
      <c r="E11" t="s">
        <v>127</v>
      </c>
      <c r="F11" t="s">
        <v>30</v>
      </c>
      <c r="G11">
        <v>28645</v>
      </c>
      <c r="J11" s="1">
        <v>0.88745833333333335</v>
      </c>
      <c r="K11" t="s">
        <v>208</v>
      </c>
      <c r="L11" t="s">
        <v>127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195</v>
      </c>
    </row>
    <row r="12" spans="1:41" x14ac:dyDescent="0.25">
      <c r="A12" s="2" t="s">
        <v>127</v>
      </c>
      <c r="B12" s="2" t="s">
        <v>102</v>
      </c>
      <c r="C12" s="2">
        <v>15450</v>
      </c>
      <c r="D12" s="2">
        <v>0.21458333333333332</v>
      </c>
      <c r="E12" t="s">
        <v>127</v>
      </c>
      <c r="F12" t="s">
        <v>102</v>
      </c>
      <c r="G12">
        <v>15450</v>
      </c>
      <c r="J12" s="1">
        <v>0.8042083333333333</v>
      </c>
      <c r="K12" t="s">
        <v>208</v>
      </c>
      <c r="L12" t="s">
        <v>127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103477</v>
      </c>
      <c r="D13" s="2">
        <v>1.4371805555555555</v>
      </c>
      <c r="E13" t="s">
        <v>4</v>
      </c>
      <c r="F13" t="s">
        <v>59</v>
      </c>
      <c r="G13">
        <v>103477</v>
      </c>
      <c r="J13" s="1">
        <v>0.80401388888888892</v>
      </c>
      <c r="K13" t="s">
        <v>208</v>
      </c>
      <c r="L13" t="s">
        <v>127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201</v>
      </c>
    </row>
    <row r="14" spans="1:41" x14ac:dyDescent="0.25">
      <c r="A14" s="2" t="s">
        <v>4</v>
      </c>
      <c r="B14" s="2" t="s">
        <v>57</v>
      </c>
      <c r="C14" s="2">
        <v>87142</v>
      </c>
      <c r="D14" s="2">
        <v>1.2103055555555555</v>
      </c>
      <c r="E14" t="s">
        <v>4</v>
      </c>
      <c r="F14" t="s">
        <v>57</v>
      </c>
      <c r="G14">
        <v>87142</v>
      </c>
      <c r="J14" s="1">
        <v>0.72977777777777775</v>
      </c>
      <c r="K14" t="s">
        <v>208</v>
      </c>
      <c r="L14" t="s">
        <v>127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197</v>
      </c>
    </row>
    <row r="15" spans="1:41" x14ac:dyDescent="0.25">
      <c r="A15" s="2" t="s">
        <v>4</v>
      </c>
      <c r="B15" s="2" t="s">
        <v>60</v>
      </c>
      <c r="C15" s="2">
        <v>74298.100000000006</v>
      </c>
      <c r="D15" s="2">
        <v>1.0319180555555556</v>
      </c>
      <c r="E15" t="s">
        <v>4</v>
      </c>
      <c r="F15" t="s">
        <v>60</v>
      </c>
      <c r="G15">
        <v>74298.100000000006</v>
      </c>
      <c r="J15" s="1">
        <v>0.71969444444444441</v>
      </c>
      <c r="K15" t="s">
        <v>208</v>
      </c>
      <c r="L15" t="s">
        <v>127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61822</v>
      </c>
      <c r="D16" s="2">
        <v>0.85863888888888884</v>
      </c>
      <c r="E16" t="s">
        <v>4</v>
      </c>
      <c r="F16" t="s">
        <v>62</v>
      </c>
      <c r="G16">
        <v>61822</v>
      </c>
      <c r="J16" s="1">
        <v>0.43569444444444444</v>
      </c>
      <c r="K16" t="s">
        <v>209</v>
      </c>
      <c r="L16" t="s">
        <v>127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198</v>
      </c>
    </row>
    <row r="17" spans="1:15" x14ac:dyDescent="0.25">
      <c r="A17" s="2" t="s">
        <v>4</v>
      </c>
      <c r="B17" s="2" t="s">
        <v>58</v>
      </c>
      <c r="C17" s="2">
        <v>58381.5</v>
      </c>
      <c r="D17" s="2">
        <v>0.81085416666666665</v>
      </c>
      <c r="E17" t="s">
        <v>4</v>
      </c>
      <c r="F17" t="s">
        <v>58</v>
      </c>
      <c r="G17">
        <v>58381.5</v>
      </c>
      <c r="J17" s="1">
        <v>0.39784722222222224</v>
      </c>
      <c r="K17" t="s">
        <v>210</v>
      </c>
      <c r="L17" t="s">
        <v>127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v>53370</v>
      </c>
      <c r="D18" s="2">
        <v>0.74124999999999996</v>
      </c>
      <c r="E18" t="s">
        <v>4</v>
      </c>
      <c r="F18" t="s">
        <v>61</v>
      </c>
      <c r="G18">
        <v>53370</v>
      </c>
      <c r="J18" s="1">
        <v>0.21458333333333332</v>
      </c>
      <c r="K18" t="s">
        <v>210</v>
      </c>
      <c r="L18" t="s">
        <v>127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v>38030</v>
      </c>
      <c r="D19" s="2">
        <v>0.52819444444444441</v>
      </c>
      <c r="E19" t="s">
        <v>4</v>
      </c>
      <c r="F19" t="s">
        <v>64</v>
      </c>
      <c r="G19">
        <v>38030</v>
      </c>
      <c r="J19" s="1">
        <v>1.4371805555555555</v>
      </c>
      <c r="K19" t="s">
        <v>207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26195</v>
      </c>
      <c r="D20" s="2">
        <v>0.36381944444444442</v>
      </c>
      <c r="E20" t="s">
        <v>4</v>
      </c>
      <c r="F20" t="s">
        <v>65</v>
      </c>
      <c r="G20">
        <v>26195</v>
      </c>
      <c r="J20" s="1">
        <v>1.2103055555555555</v>
      </c>
      <c r="K20" t="s">
        <v>207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v>22360</v>
      </c>
      <c r="D21" s="2">
        <v>0.31055555555555553</v>
      </c>
      <c r="E21" t="s">
        <v>4</v>
      </c>
      <c r="F21" t="s">
        <v>63</v>
      </c>
      <c r="G21">
        <v>22360</v>
      </c>
      <c r="J21" s="1">
        <v>1.0319180555555556</v>
      </c>
      <c r="K21" t="s">
        <v>207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v>10000</v>
      </c>
      <c r="D22" s="2">
        <v>0.1388888888888889</v>
      </c>
      <c r="E22" t="s">
        <v>4</v>
      </c>
      <c r="F22" t="s">
        <v>93</v>
      </c>
      <c r="G22">
        <v>10000</v>
      </c>
      <c r="J22" s="1">
        <v>0.85863888888888884</v>
      </c>
      <c r="K22" t="s">
        <v>208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v>48172</v>
      </c>
      <c r="D23" s="2">
        <v>0.89207407407407402</v>
      </c>
      <c r="E23" t="s">
        <v>2</v>
      </c>
      <c r="F23" t="s">
        <v>10</v>
      </c>
      <c r="G23">
        <v>48172</v>
      </c>
      <c r="J23" s="1">
        <v>0.81085416666666665</v>
      </c>
      <c r="K23" t="s">
        <v>208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v>35156</v>
      </c>
      <c r="D24" s="2">
        <v>0.65103703703703708</v>
      </c>
      <c r="E24" t="s">
        <v>2</v>
      </c>
      <c r="F24" t="s">
        <v>17</v>
      </c>
      <c r="G24">
        <v>35156</v>
      </c>
      <c r="J24" s="1">
        <v>0.74124999999999996</v>
      </c>
      <c r="K24" t="s">
        <v>208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v>30894</v>
      </c>
      <c r="D25" s="2">
        <v>0.57211111111111113</v>
      </c>
      <c r="E25" t="s">
        <v>2</v>
      </c>
      <c r="F25" t="s">
        <v>11</v>
      </c>
      <c r="G25">
        <v>30894</v>
      </c>
      <c r="J25" s="1">
        <v>0.52819444444444441</v>
      </c>
      <c r="K25" t="s">
        <v>209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v>29590</v>
      </c>
      <c r="D26" s="2">
        <v>0.54796296296296299</v>
      </c>
      <c r="E26" t="s">
        <v>2</v>
      </c>
      <c r="F26" t="s">
        <v>16</v>
      </c>
      <c r="G26">
        <v>29590</v>
      </c>
      <c r="J26" s="1">
        <v>0.36381944444444442</v>
      </c>
      <c r="K26" t="s">
        <v>210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v>20682</v>
      </c>
      <c r="D27" s="2">
        <v>0.38300000000000001</v>
      </c>
      <c r="E27" t="s">
        <v>2</v>
      </c>
      <c r="F27" t="s">
        <v>13</v>
      </c>
      <c r="G27">
        <v>20682</v>
      </c>
      <c r="J27" s="1">
        <v>0.31055555555555553</v>
      </c>
      <c r="K27" t="s">
        <v>210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v>19455</v>
      </c>
      <c r="D28" s="2">
        <v>0.36027777777777775</v>
      </c>
      <c r="E28" t="s">
        <v>2</v>
      </c>
      <c r="F28" t="s">
        <v>12</v>
      </c>
      <c r="G28">
        <v>19455</v>
      </c>
      <c r="J28" s="1">
        <v>0.1388888888888889</v>
      </c>
      <c r="K28" t="s">
        <v>210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v>18777</v>
      </c>
      <c r="D29" s="2">
        <v>0.34772222222222221</v>
      </c>
      <c r="E29" t="s">
        <v>2</v>
      </c>
      <c r="F29" t="s">
        <v>15</v>
      </c>
      <c r="G29">
        <v>18777</v>
      </c>
      <c r="J29" s="1">
        <v>0.89207407407407402</v>
      </c>
      <c r="K29" t="s">
        <v>208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v>10275</v>
      </c>
      <c r="D30" s="2">
        <v>0.19027777777777777</v>
      </c>
      <c r="E30" t="s">
        <v>2</v>
      </c>
      <c r="F30" t="s">
        <v>91</v>
      </c>
      <c r="G30">
        <v>10275</v>
      </c>
      <c r="J30" s="1">
        <v>0.65103703703703708</v>
      </c>
      <c r="K30" t="s">
        <v>209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v>8134</v>
      </c>
      <c r="D31" s="2">
        <v>0.15062962962962964</v>
      </c>
      <c r="E31" t="s">
        <v>2</v>
      </c>
      <c r="F31" t="s">
        <v>14</v>
      </c>
      <c r="G31">
        <v>8134</v>
      </c>
      <c r="J31" s="1">
        <v>0.57211111111111113</v>
      </c>
      <c r="K31" t="s">
        <v>209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v>39333.5</v>
      </c>
      <c r="D32" s="2">
        <v>0.72839814814814818</v>
      </c>
      <c r="E32" t="s">
        <v>5</v>
      </c>
      <c r="F32" t="s">
        <v>69</v>
      </c>
      <c r="G32">
        <v>39333.5</v>
      </c>
      <c r="J32" s="1">
        <v>0.54796296296296299</v>
      </c>
      <c r="K32" t="s">
        <v>209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v>37057</v>
      </c>
      <c r="D33" s="2">
        <v>0.68624074074074071</v>
      </c>
      <c r="E33" t="s">
        <v>5</v>
      </c>
      <c r="F33" t="s">
        <v>66</v>
      </c>
      <c r="G33">
        <v>37057</v>
      </c>
      <c r="J33" s="1">
        <v>0.38300000000000001</v>
      </c>
      <c r="K33" t="s">
        <v>210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v>31860</v>
      </c>
      <c r="D34" s="2">
        <v>0.59</v>
      </c>
      <c r="E34" t="s">
        <v>5</v>
      </c>
      <c r="F34" t="s">
        <v>70</v>
      </c>
      <c r="G34">
        <v>31860</v>
      </c>
      <c r="J34" s="1">
        <v>0.36027777777777775</v>
      </c>
      <c r="K34" t="s">
        <v>210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v>29713</v>
      </c>
      <c r="D35" s="2">
        <v>0.5502407407407407</v>
      </c>
      <c r="E35" t="s">
        <v>5</v>
      </c>
      <c r="F35" t="s">
        <v>67</v>
      </c>
      <c r="G35">
        <v>29713</v>
      </c>
      <c r="J35" s="1">
        <v>0.34772222222222221</v>
      </c>
      <c r="K35" t="s">
        <v>210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v>27482</v>
      </c>
      <c r="D36" s="2">
        <v>0.50892592592592589</v>
      </c>
      <c r="E36" t="s">
        <v>5</v>
      </c>
      <c r="F36" t="s">
        <v>68</v>
      </c>
      <c r="G36">
        <v>27482</v>
      </c>
      <c r="J36" s="1">
        <v>0.19027777777777777</v>
      </c>
      <c r="K36" t="s">
        <v>210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v>21644</v>
      </c>
      <c r="D37" s="2">
        <v>0.40081481481481479</v>
      </c>
      <c r="E37" t="s">
        <v>5</v>
      </c>
      <c r="F37" t="s">
        <v>71</v>
      </c>
      <c r="G37">
        <v>21644</v>
      </c>
      <c r="J37" s="1">
        <v>0.15062962962962964</v>
      </c>
      <c r="K37" t="s">
        <v>210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v>13131.57</v>
      </c>
      <c r="D38" s="2">
        <v>0.24317722222222221</v>
      </c>
      <c r="E38" t="s">
        <v>5</v>
      </c>
      <c r="F38" t="s">
        <v>72</v>
      </c>
      <c r="G38">
        <v>13131.57</v>
      </c>
      <c r="J38" s="1">
        <v>0.72839814814814818</v>
      </c>
      <c r="K38" t="s">
        <v>208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v>6185</v>
      </c>
      <c r="D39" s="2">
        <v>0.11453703703703703</v>
      </c>
      <c r="E39" t="s">
        <v>5</v>
      </c>
      <c r="F39" t="s">
        <v>73</v>
      </c>
      <c r="G39">
        <v>6185</v>
      </c>
      <c r="J39" s="1">
        <v>0.68624074074074071</v>
      </c>
      <c r="K39" t="s">
        <v>209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v>1671</v>
      </c>
      <c r="D40" s="2">
        <v>3.0944444444444445E-2</v>
      </c>
      <c r="E40" t="s">
        <v>5</v>
      </c>
      <c r="F40" t="s">
        <v>96</v>
      </c>
      <c r="G40">
        <v>1671</v>
      </c>
      <c r="J40" s="1">
        <v>0.59</v>
      </c>
      <c r="K40" t="s">
        <v>209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v>64790</v>
      </c>
      <c r="D41" s="2">
        <v>2.4919230769230771</v>
      </c>
      <c r="E41" t="s">
        <v>6</v>
      </c>
      <c r="F41" t="s">
        <v>31</v>
      </c>
      <c r="G41">
        <v>64790</v>
      </c>
      <c r="J41" s="1">
        <v>0.5502407407407407</v>
      </c>
      <c r="K41" t="s">
        <v>209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v>48660.54</v>
      </c>
      <c r="D42" s="2">
        <v>1.8715592307692308</v>
      </c>
      <c r="E42" t="s">
        <v>6</v>
      </c>
      <c r="F42" t="s">
        <v>34</v>
      </c>
      <c r="G42">
        <v>48660.54</v>
      </c>
      <c r="J42" s="1">
        <v>0.50892592592592589</v>
      </c>
      <c r="K42" t="s">
        <v>209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v>44110</v>
      </c>
      <c r="D43" s="2">
        <v>1.6965384615384616</v>
      </c>
      <c r="E43" t="s">
        <v>6</v>
      </c>
      <c r="F43" t="s">
        <v>37</v>
      </c>
      <c r="G43">
        <v>44110</v>
      </c>
      <c r="J43" s="1">
        <v>0.40081481481481479</v>
      </c>
      <c r="K43" t="s">
        <v>209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v>30415</v>
      </c>
      <c r="D44" s="2">
        <v>1.1698076923076923</v>
      </c>
      <c r="E44" t="s">
        <v>6</v>
      </c>
      <c r="F44" t="s">
        <v>35</v>
      </c>
      <c r="G44">
        <v>30415</v>
      </c>
      <c r="J44" s="1">
        <v>0.24317722222222221</v>
      </c>
      <c r="K44" t="s">
        <v>210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v>26171.3</v>
      </c>
      <c r="D45" s="2">
        <v>1.0065884615384615</v>
      </c>
      <c r="E45" t="s">
        <v>6</v>
      </c>
      <c r="F45" t="s">
        <v>32</v>
      </c>
      <c r="G45">
        <v>26171.3</v>
      </c>
      <c r="J45" s="1">
        <v>0.11453703703703703</v>
      </c>
      <c r="K45" t="s">
        <v>210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v>14624</v>
      </c>
      <c r="D46" s="2">
        <v>0.56246153846153846</v>
      </c>
      <c r="E46" t="s">
        <v>6</v>
      </c>
      <c r="F46" t="s">
        <v>40</v>
      </c>
      <c r="G46">
        <v>14624</v>
      </c>
      <c r="J46" s="1">
        <v>3.0944444444444445E-2</v>
      </c>
      <c r="K46" t="s">
        <v>210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v>13222</v>
      </c>
      <c r="D47" s="2">
        <v>0.50853846153846149</v>
      </c>
      <c r="E47" t="s">
        <v>6</v>
      </c>
      <c r="F47" t="s">
        <v>38</v>
      </c>
      <c r="G47">
        <v>13222</v>
      </c>
      <c r="J47" s="1">
        <v>2.4919230769230771</v>
      </c>
      <c r="K47" t="s">
        <v>207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v>13076</v>
      </c>
      <c r="D48" s="2">
        <v>0.50292307692307692</v>
      </c>
      <c r="E48" t="s">
        <v>6</v>
      </c>
      <c r="F48" t="s">
        <v>33</v>
      </c>
      <c r="G48">
        <v>13076</v>
      </c>
      <c r="J48" s="1">
        <v>1.8715592307692308</v>
      </c>
      <c r="K48" t="s">
        <v>207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v>11449</v>
      </c>
      <c r="D49" s="2">
        <v>0.44034615384615383</v>
      </c>
      <c r="E49" t="s">
        <v>6</v>
      </c>
      <c r="F49" t="s">
        <v>39</v>
      </c>
      <c r="G49">
        <v>11449</v>
      </c>
      <c r="J49" s="1">
        <v>1.6965384615384616</v>
      </c>
      <c r="K49" t="s">
        <v>207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v>9246</v>
      </c>
      <c r="D50" s="2">
        <v>0.35561538461538461</v>
      </c>
      <c r="E50" t="s">
        <v>6</v>
      </c>
      <c r="F50" t="s">
        <v>36</v>
      </c>
      <c r="G50">
        <v>9246</v>
      </c>
      <c r="J50" s="1">
        <v>1.1698076923076923</v>
      </c>
      <c r="K50" t="s">
        <v>207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v>285</v>
      </c>
      <c r="D51" s="2">
        <v>1.0961538461538462E-2</v>
      </c>
      <c r="E51" t="s">
        <v>6</v>
      </c>
      <c r="F51" t="s">
        <v>99</v>
      </c>
      <c r="G51">
        <v>285</v>
      </c>
      <c r="J51" s="1">
        <v>1.0065884615384615</v>
      </c>
      <c r="K51" t="s">
        <v>207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v>18950</v>
      </c>
      <c r="D52" s="2">
        <v>1.2225806451612904</v>
      </c>
      <c r="E52" t="s">
        <v>7</v>
      </c>
      <c r="F52" t="s">
        <v>19</v>
      </c>
      <c r="G52">
        <v>18950</v>
      </c>
      <c r="J52" s="1">
        <v>0.56246153846153846</v>
      </c>
      <c r="K52" t="s">
        <v>209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v>15660</v>
      </c>
      <c r="D53" s="2">
        <v>1.0103225806451612</v>
      </c>
      <c r="E53" t="s">
        <v>7</v>
      </c>
      <c r="F53" t="s">
        <v>18</v>
      </c>
      <c r="G53">
        <v>15660</v>
      </c>
      <c r="J53" s="1">
        <v>0.50853846153846149</v>
      </c>
      <c r="K53" t="s">
        <v>209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106</v>
      </c>
      <c r="C54" s="2">
        <v>10852</v>
      </c>
      <c r="D54" s="2">
        <v>0.70012903225806455</v>
      </c>
      <c r="E54" t="s">
        <v>7</v>
      </c>
      <c r="F54" t="s">
        <v>106</v>
      </c>
      <c r="G54">
        <v>10852</v>
      </c>
      <c r="J54" s="1">
        <v>0.50292307692307692</v>
      </c>
      <c r="K54" t="s">
        <v>209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v>6610</v>
      </c>
      <c r="D55" s="2">
        <v>0.42645161290322581</v>
      </c>
      <c r="E55" t="s">
        <v>7</v>
      </c>
      <c r="F55" t="s">
        <v>21</v>
      </c>
      <c r="G55">
        <v>6610</v>
      </c>
      <c r="J55" s="1">
        <v>0.44034615384615383</v>
      </c>
      <c r="K55" t="s">
        <v>209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108</v>
      </c>
      <c r="C56" s="2">
        <v>5420</v>
      </c>
      <c r="D56" s="2">
        <v>0.3496774193548387</v>
      </c>
      <c r="E56" t="s">
        <v>7</v>
      </c>
      <c r="F56" t="s">
        <v>108</v>
      </c>
      <c r="G56">
        <v>5420</v>
      </c>
      <c r="J56" s="1">
        <v>0.35561538461538461</v>
      </c>
      <c r="K56" t="s">
        <v>210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v>4341</v>
      </c>
      <c r="D57" s="2">
        <v>0.28006451612903227</v>
      </c>
      <c r="E57" t="s">
        <v>7</v>
      </c>
      <c r="F57" t="s">
        <v>103</v>
      </c>
      <c r="G57">
        <v>4341</v>
      </c>
      <c r="J57" s="1">
        <v>1.0961538461538462E-2</v>
      </c>
      <c r="K57" t="s">
        <v>210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v>4160</v>
      </c>
      <c r="D58" s="2">
        <v>0.26838709677419353</v>
      </c>
      <c r="E58" t="s">
        <v>7</v>
      </c>
      <c r="F58" t="s">
        <v>20</v>
      </c>
      <c r="G58">
        <v>4160</v>
      </c>
      <c r="J58" s="1">
        <v>1.2225806451612904</v>
      </c>
      <c r="K58" t="s">
        <v>207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105</v>
      </c>
      <c r="C59" s="2">
        <v>2830</v>
      </c>
      <c r="D59" s="2">
        <v>0.18258064516129033</v>
      </c>
      <c r="E59" t="s">
        <v>7</v>
      </c>
      <c r="F59" t="s">
        <v>105</v>
      </c>
      <c r="G59">
        <v>2830</v>
      </c>
      <c r="J59" s="1">
        <v>1.0103225806451612</v>
      </c>
      <c r="K59" t="s">
        <v>207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1170</v>
      </c>
      <c r="D60" s="2">
        <v>7.5483870967741937E-2</v>
      </c>
      <c r="E60" t="s">
        <v>7</v>
      </c>
      <c r="F60" t="s">
        <v>107</v>
      </c>
      <c r="G60">
        <v>1170</v>
      </c>
      <c r="J60" s="1">
        <v>0.70012903225806455</v>
      </c>
      <c r="K60" t="s">
        <v>208</v>
      </c>
      <c r="L60" t="s">
        <v>7</v>
      </c>
      <c r="M60">
        <v>10852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104</v>
      </c>
      <c r="C61" s="2">
        <v>1000</v>
      </c>
      <c r="D61" s="2">
        <v>6.4516129032258063E-2</v>
      </c>
      <c r="E61" t="s">
        <v>7</v>
      </c>
      <c r="F61" t="s">
        <v>104</v>
      </c>
      <c r="G61">
        <v>1000</v>
      </c>
      <c r="J61" s="1">
        <v>0.42645161290322581</v>
      </c>
      <c r="K61" t="s">
        <v>209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v>13848</v>
      </c>
      <c r="D62" s="2">
        <v>0.86550000000000005</v>
      </c>
      <c r="E62" t="s">
        <v>8</v>
      </c>
      <c r="F62" t="s">
        <v>42</v>
      </c>
      <c r="G62">
        <v>13848</v>
      </c>
      <c r="J62" s="1">
        <v>0.3496774193548387</v>
      </c>
      <c r="K62" t="s">
        <v>210</v>
      </c>
      <c r="L62" t="s">
        <v>7</v>
      </c>
      <c r="M62">
        <v>5420</v>
      </c>
      <c r="N62">
        <v>15500</v>
      </c>
      <c r="O62" t="s">
        <v>108</v>
      </c>
    </row>
    <row r="63" spans="1:15" x14ac:dyDescent="0.25">
      <c r="A63" s="2" t="s">
        <v>8</v>
      </c>
      <c r="B63" s="2" t="s">
        <v>44</v>
      </c>
      <c r="C63" s="2">
        <v>13701</v>
      </c>
      <c r="D63" s="2">
        <v>0.85631250000000003</v>
      </c>
      <c r="E63" t="s">
        <v>8</v>
      </c>
      <c r="F63" t="s">
        <v>44</v>
      </c>
      <c r="G63">
        <v>13701</v>
      </c>
      <c r="J63" s="1">
        <v>0.28006451612903227</v>
      </c>
      <c r="K63" t="s">
        <v>210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v>13617</v>
      </c>
      <c r="D64" s="2">
        <v>0.85106250000000006</v>
      </c>
      <c r="E64" t="s">
        <v>8</v>
      </c>
      <c r="F64" t="s">
        <v>41</v>
      </c>
      <c r="G64">
        <v>13617</v>
      </c>
      <c r="J64" s="1">
        <v>0.26838709677419353</v>
      </c>
      <c r="K64" t="s">
        <v>210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v>12611</v>
      </c>
      <c r="D65" s="2">
        <v>0.78818750000000004</v>
      </c>
      <c r="E65" t="s">
        <v>8</v>
      </c>
      <c r="F65" t="s">
        <v>46</v>
      </c>
      <c r="G65">
        <v>12611</v>
      </c>
      <c r="J65" s="1">
        <v>0.18258064516129033</v>
      </c>
      <c r="K65" t="s">
        <v>210</v>
      </c>
      <c r="L65" t="s">
        <v>7</v>
      </c>
      <c r="M65">
        <v>2830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43</v>
      </c>
      <c r="C66" s="2">
        <v>11217.26</v>
      </c>
      <c r="D66" s="2">
        <v>0.70107874999999997</v>
      </c>
      <c r="E66" t="s">
        <v>8</v>
      </c>
      <c r="F66" t="s">
        <v>43</v>
      </c>
      <c r="G66">
        <v>11217.26</v>
      </c>
      <c r="J66" s="1">
        <v>7.5483870967741937E-2</v>
      </c>
      <c r="K66" t="s">
        <v>210</v>
      </c>
      <c r="L66" t="s">
        <v>7</v>
      </c>
      <c r="M66">
        <v>1170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10570</v>
      </c>
      <c r="D67" s="2">
        <v>0.66062500000000002</v>
      </c>
      <c r="E67" t="s">
        <v>8</v>
      </c>
      <c r="F67" t="s">
        <v>48</v>
      </c>
      <c r="G67">
        <v>10570</v>
      </c>
      <c r="J67" s="1">
        <v>6.4516129032258063E-2</v>
      </c>
      <c r="K67" t="s">
        <v>210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v>8982</v>
      </c>
      <c r="D68" s="2">
        <v>0.56137499999999996</v>
      </c>
      <c r="E68" t="s">
        <v>8</v>
      </c>
      <c r="F68" t="s">
        <v>45</v>
      </c>
      <c r="G68">
        <v>8982</v>
      </c>
      <c r="J68" s="1">
        <v>0.86550000000000005</v>
      </c>
      <c r="K68" t="s">
        <v>208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v>6388</v>
      </c>
      <c r="D69" s="2">
        <v>0.39924999999999999</v>
      </c>
      <c r="E69" t="s">
        <v>8</v>
      </c>
      <c r="F69" t="s">
        <v>97</v>
      </c>
      <c r="G69">
        <v>6388</v>
      </c>
      <c r="J69" s="1">
        <v>0.85631250000000003</v>
      </c>
      <c r="K69" t="s">
        <v>208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v>4500</v>
      </c>
      <c r="D70" s="2">
        <v>0.28125</v>
      </c>
      <c r="E70" t="s">
        <v>8</v>
      </c>
      <c r="F70" t="s">
        <v>92</v>
      </c>
      <c r="G70">
        <v>4500</v>
      </c>
      <c r="J70" s="1">
        <v>0.85106250000000006</v>
      </c>
      <c r="K70" t="s">
        <v>208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v>4200</v>
      </c>
      <c r="D71" s="2">
        <v>0.26250000000000001</v>
      </c>
      <c r="E71" t="s">
        <v>8</v>
      </c>
      <c r="F71" t="s">
        <v>98</v>
      </c>
      <c r="G71">
        <v>4200</v>
      </c>
      <c r="J71" s="1">
        <v>0.78818750000000004</v>
      </c>
      <c r="K71" t="s">
        <v>208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v>1298</v>
      </c>
      <c r="D72" s="2">
        <v>8.1125000000000003E-2</v>
      </c>
      <c r="E72" t="s">
        <v>8</v>
      </c>
      <c r="F72" t="s">
        <v>47</v>
      </c>
      <c r="G72">
        <v>1298</v>
      </c>
      <c r="J72" s="1">
        <v>0.70107874999999997</v>
      </c>
      <c r="K72" t="s">
        <v>208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v>15300.56</v>
      </c>
      <c r="D73" s="2">
        <v>0.95628499999999994</v>
      </c>
      <c r="E73" t="s">
        <v>9</v>
      </c>
      <c r="F73" t="s">
        <v>50</v>
      </c>
      <c r="G73">
        <v>15300.56</v>
      </c>
      <c r="J73" s="1">
        <v>0.66062500000000002</v>
      </c>
      <c r="K73" t="s">
        <v>209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v>12599</v>
      </c>
      <c r="D74" s="2">
        <v>0.78743750000000001</v>
      </c>
      <c r="E74" t="s">
        <v>9</v>
      </c>
      <c r="F74" t="s">
        <v>49</v>
      </c>
      <c r="G74">
        <v>12599</v>
      </c>
      <c r="J74" s="1">
        <v>0.56137499999999996</v>
      </c>
      <c r="K74" t="s">
        <v>209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v>11674</v>
      </c>
      <c r="D75" s="2">
        <v>0.72962499999999997</v>
      </c>
      <c r="E75" t="s">
        <v>9</v>
      </c>
      <c r="F75" t="s">
        <v>51</v>
      </c>
      <c r="G75">
        <v>11674</v>
      </c>
      <c r="J75" s="1">
        <v>0.39924999999999999</v>
      </c>
      <c r="K75" t="s">
        <v>210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v>9850</v>
      </c>
      <c r="D76" s="2">
        <v>0.61562499999999998</v>
      </c>
      <c r="E76" t="s">
        <v>9</v>
      </c>
      <c r="F76" t="s">
        <v>52</v>
      </c>
      <c r="G76">
        <v>9850</v>
      </c>
      <c r="J76" s="1">
        <v>0.28125</v>
      </c>
      <c r="K76" t="s">
        <v>210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v>7399.91</v>
      </c>
      <c r="D77" s="2">
        <v>0.46249437500000001</v>
      </c>
      <c r="E77" t="s">
        <v>9</v>
      </c>
      <c r="F77" t="s">
        <v>53</v>
      </c>
      <c r="G77">
        <v>7399.91</v>
      </c>
      <c r="J77" s="1">
        <v>0.26250000000000001</v>
      </c>
      <c r="K77" t="s">
        <v>210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v>6895</v>
      </c>
      <c r="D78" s="2">
        <v>0.43093749999999997</v>
      </c>
      <c r="E78" t="s">
        <v>9</v>
      </c>
      <c r="F78" t="s">
        <v>55</v>
      </c>
      <c r="G78">
        <v>6895</v>
      </c>
      <c r="J78" s="1">
        <v>8.1125000000000003E-2</v>
      </c>
      <c r="K78" t="s">
        <v>210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v>6415.1</v>
      </c>
      <c r="D79" s="2">
        <v>0.40094375000000004</v>
      </c>
      <c r="E79" t="s">
        <v>9</v>
      </c>
      <c r="F79" t="s">
        <v>54</v>
      </c>
      <c r="G79">
        <v>6415.1</v>
      </c>
      <c r="J79" s="1">
        <v>0.95628499999999994</v>
      </c>
      <c r="K79" t="s">
        <v>208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v>4420</v>
      </c>
      <c r="D80" s="2">
        <v>0.27625</v>
      </c>
      <c r="E80" t="s">
        <v>9</v>
      </c>
      <c r="F80" t="s">
        <v>101</v>
      </c>
      <c r="G80">
        <v>4420</v>
      </c>
      <c r="J80" s="1">
        <v>0.78743750000000001</v>
      </c>
      <c r="K80" t="s">
        <v>208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v>3576</v>
      </c>
      <c r="D81" s="2">
        <v>0.2235</v>
      </c>
      <c r="E81" t="s">
        <v>9</v>
      </c>
      <c r="F81" t="s">
        <v>56</v>
      </c>
      <c r="G81">
        <v>3576</v>
      </c>
      <c r="J81" s="1">
        <v>0.72962499999999997</v>
      </c>
      <c r="K81" t="s">
        <v>208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v>1226</v>
      </c>
      <c r="D82" s="2">
        <v>7.6624999999999999E-2</v>
      </c>
      <c r="E82" t="s">
        <v>9</v>
      </c>
      <c r="F82" t="s">
        <v>100</v>
      </c>
      <c r="G82">
        <v>1226</v>
      </c>
      <c r="J82" s="1">
        <v>0.61562499999999998</v>
      </c>
      <c r="K82" t="s">
        <v>209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209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209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209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210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210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210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J3" s="34">
        <v>2025</v>
      </c>
      <c r="K3" s="34" t="s">
        <v>192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411</v>
      </c>
      <c r="V8" s="41" t="s">
        <v>412</v>
      </c>
      <c r="W8" s="41" t="s">
        <v>413</v>
      </c>
      <c r="X8" s="41" t="s">
        <v>414</v>
      </c>
      <c r="Y8" s="41" t="s">
        <v>415</v>
      </c>
      <c r="Z8" s="41" t="s">
        <v>416</v>
      </c>
      <c r="AA8" s="41" t="s">
        <v>417</v>
      </c>
      <c r="AB8" s="41" t="s">
        <v>418</v>
      </c>
      <c r="AC8" s="41" t="s">
        <v>419</v>
      </c>
      <c r="AD8" s="41" t="s">
        <v>420</v>
      </c>
      <c r="AE8" s="41" t="s">
        <v>421</v>
      </c>
      <c r="AF8" s="41" t="s">
        <v>422</v>
      </c>
      <c r="AG8" s="41" t="s">
        <v>423</v>
      </c>
      <c r="AH8" s="41" t="s">
        <v>424</v>
      </c>
      <c r="AI8" s="41" t="s">
        <v>425</v>
      </c>
      <c r="AJ8" s="41" t="s">
        <v>426</v>
      </c>
      <c r="AK8" s="41" t="s">
        <v>427</v>
      </c>
      <c r="AL8" s="41" t="s">
        <v>428</v>
      </c>
      <c r="AM8" s="41" t="s">
        <v>429</v>
      </c>
      <c r="AN8" s="41" t="s">
        <v>430</v>
      </c>
      <c r="AO8" s="41" t="s">
        <v>431</v>
      </c>
      <c r="AP8" s="41" t="s">
        <v>432</v>
      </c>
      <c r="AQ8" s="19" t="s">
        <v>136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J9" s="1">
        <v>0.74907142857142861</v>
      </c>
      <c r="K9" t="s">
        <v>208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202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J10" s="1">
        <v>2.5640714285714288</v>
      </c>
      <c r="K10" t="s">
        <v>207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202</v>
      </c>
    </row>
    <row r="11" spans="1:43" x14ac:dyDescent="0.25">
      <c r="A11" s="2" t="s">
        <v>3</v>
      </c>
      <c r="B11" s="2" t="s">
        <v>108</v>
      </c>
      <c r="C11" s="2">
        <v>5780</v>
      </c>
      <c r="D11" s="2">
        <v>0.41285714285714287</v>
      </c>
      <c r="E11" t="s">
        <v>3</v>
      </c>
      <c r="F11" t="s">
        <v>108</v>
      </c>
      <c r="G11">
        <v>5780</v>
      </c>
      <c r="J11" s="1">
        <v>0.79028571428571426</v>
      </c>
      <c r="K11" t="s">
        <v>208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203</v>
      </c>
    </row>
    <row r="12" spans="1:43" x14ac:dyDescent="0.25">
      <c r="A12" s="2" t="s">
        <v>3</v>
      </c>
      <c r="B12" s="2" t="s">
        <v>107</v>
      </c>
      <c r="C12" s="2">
        <v>300</v>
      </c>
      <c r="D12" s="2">
        <v>2.1428571428571429E-2</v>
      </c>
      <c r="E12" t="s">
        <v>3</v>
      </c>
      <c r="F12" t="s">
        <v>107</v>
      </c>
      <c r="G12">
        <v>300</v>
      </c>
      <c r="J12" s="1">
        <v>0.3294285714285714</v>
      </c>
      <c r="K12" t="s">
        <v>210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203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J13" s="1">
        <v>0.15714285714285714</v>
      </c>
      <c r="K13" t="s">
        <v>210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127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204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J14" s="1">
        <v>0.68021428571428566</v>
      </c>
      <c r="K14" t="s">
        <v>209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204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J15" s="1">
        <v>0.47214285714285714</v>
      </c>
      <c r="K15" t="s">
        <v>209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201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J16" s="1">
        <v>0.15714285714285714</v>
      </c>
      <c r="K16" t="s">
        <v>210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200</v>
      </c>
    </row>
    <row r="17" spans="1:15" x14ac:dyDescent="0.25">
      <c r="A17" s="2" t="s">
        <v>4</v>
      </c>
      <c r="B17" s="2" t="s">
        <v>112</v>
      </c>
      <c r="C17" s="2">
        <v>6148</v>
      </c>
      <c r="D17" s="2">
        <v>0.43914285714285717</v>
      </c>
      <c r="E17" t="s">
        <v>4</v>
      </c>
      <c r="F17" t="s">
        <v>112</v>
      </c>
      <c r="G17">
        <v>6148</v>
      </c>
      <c r="J17" s="1">
        <v>0.41285714285714287</v>
      </c>
      <c r="K17" t="s">
        <v>209</v>
      </c>
      <c r="L17" t="s">
        <v>3</v>
      </c>
      <c r="M17">
        <v>5780</v>
      </c>
      <c r="N17">
        <v>14000</v>
      </c>
      <c r="O17" t="s">
        <v>108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J18" s="1">
        <v>2.1428571428571429E-2</v>
      </c>
      <c r="K18" t="s">
        <v>210</v>
      </c>
      <c r="L18" t="s">
        <v>3</v>
      </c>
      <c r="M18">
        <v>300</v>
      </c>
      <c r="N18">
        <v>14000</v>
      </c>
      <c r="O18" t="s">
        <v>107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J19" s="1">
        <v>0.28728571428571431</v>
      </c>
      <c r="K19" t="s">
        <v>210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J20" s="1">
        <v>0.47214285714285714</v>
      </c>
      <c r="K20" t="s">
        <v>209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J21" s="1">
        <v>0.47099999999999997</v>
      </c>
      <c r="K21" t="s">
        <v>209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J22" s="1">
        <v>0.75285714285714289</v>
      </c>
      <c r="K22" t="s">
        <v>208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J23" s="1">
        <v>0.43914285714285717</v>
      </c>
      <c r="K23" t="s">
        <v>209</v>
      </c>
      <c r="L23" t="s">
        <v>4</v>
      </c>
      <c r="M23">
        <v>6148</v>
      </c>
      <c r="N23">
        <v>14000</v>
      </c>
      <c r="O23" t="s">
        <v>112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J24" s="1">
        <v>0.43278571428571427</v>
      </c>
      <c r="K24" t="s">
        <v>209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116</v>
      </c>
      <c r="C25" s="2">
        <v>0.4</v>
      </c>
      <c r="D25" s="2">
        <v>2.8571428571428574E-5</v>
      </c>
      <c r="E25" t="s">
        <v>4</v>
      </c>
      <c r="F25" t="s">
        <v>116</v>
      </c>
      <c r="G25">
        <v>0.4</v>
      </c>
      <c r="J25" s="1">
        <v>7.1428571428571425E-2</v>
      </c>
      <c r="K25" t="s">
        <v>210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J26" s="1">
        <v>0.54714285714285715</v>
      </c>
      <c r="K26" t="s">
        <v>209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J27" s="1">
        <v>0.37985714285714284</v>
      </c>
      <c r="K27" t="s">
        <v>210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J28" s="1">
        <v>3</v>
      </c>
      <c r="K28" t="s">
        <v>207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J29" s="1">
        <v>1.5974999999999999</v>
      </c>
      <c r="K29" t="s">
        <v>207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J30" s="1">
        <v>2.4585714285714286</v>
      </c>
      <c r="K30" t="s">
        <v>207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J31" s="1">
        <v>2.8571428571428574E-5</v>
      </c>
      <c r="K31" t="s">
        <v>210</v>
      </c>
      <c r="L31" t="s">
        <v>4</v>
      </c>
      <c r="M31">
        <v>0.4</v>
      </c>
      <c r="N31">
        <v>14000</v>
      </c>
      <c r="O31" t="s">
        <v>116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J32" s="1">
        <v>0.33107142857142857</v>
      </c>
      <c r="K32" t="s">
        <v>210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J33" s="1">
        <v>0.37636842105263157</v>
      </c>
      <c r="K33" t="s">
        <v>210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J34" s="1">
        <v>0.63421052631578945</v>
      </c>
      <c r="K34" t="s">
        <v>209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J35" s="1">
        <v>0.13971052631578948</v>
      </c>
      <c r="K35" t="s">
        <v>210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J36" s="1">
        <v>0.13157894736842105</v>
      </c>
      <c r="K36" t="s">
        <v>210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J37" s="1">
        <v>0.24681578947368421</v>
      </c>
      <c r="K37" t="s">
        <v>210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J38" s="1">
        <v>0.13068421052631579</v>
      </c>
      <c r="K38" t="s">
        <v>210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J39" s="1">
        <v>0.11447368421052631</v>
      </c>
      <c r="K39" t="s">
        <v>210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J40" s="1">
        <v>0.4758421052631579</v>
      </c>
      <c r="K40" t="s">
        <v>209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J41" s="1">
        <v>0.35157894736842105</v>
      </c>
      <c r="K41" t="s">
        <v>210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J42" s="1">
        <v>0.27681578947368424</v>
      </c>
      <c r="K42" t="s">
        <v>210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127</v>
      </c>
      <c r="B43" s="2" t="s">
        <v>99</v>
      </c>
      <c r="C43" s="2">
        <v>10174</v>
      </c>
      <c r="D43" s="2">
        <v>0.11058695652173912</v>
      </c>
      <c r="E43" t="s">
        <v>127</v>
      </c>
      <c r="F43" t="s">
        <v>99</v>
      </c>
      <c r="G43">
        <v>10174</v>
      </c>
      <c r="J43" s="1">
        <v>0.38857894736842108</v>
      </c>
      <c r="K43" t="s">
        <v>210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127</v>
      </c>
      <c r="B44" s="2" t="s">
        <v>75</v>
      </c>
      <c r="C44" s="2">
        <v>12050</v>
      </c>
      <c r="D44" s="2">
        <v>0.13097826086956521</v>
      </c>
      <c r="E44" t="s">
        <v>127</v>
      </c>
      <c r="F44" t="s">
        <v>75</v>
      </c>
      <c r="G44">
        <v>12050</v>
      </c>
      <c r="J44" s="1">
        <v>0.11242105263157895</v>
      </c>
      <c r="K44" t="s">
        <v>210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127</v>
      </c>
      <c r="B45" s="2" t="s">
        <v>78</v>
      </c>
      <c r="C45" s="2">
        <v>25330.65</v>
      </c>
      <c r="D45" s="2">
        <v>0.27533315217391308</v>
      </c>
      <c r="E45" t="s">
        <v>127</v>
      </c>
      <c r="F45" t="s">
        <v>78</v>
      </c>
      <c r="G45">
        <v>25330.65</v>
      </c>
      <c r="J45" s="1">
        <v>0.37215789473684213</v>
      </c>
      <c r="K45" t="s">
        <v>210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127</v>
      </c>
      <c r="B46" s="2" t="s">
        <v>22</v>
      </c>
      <c r="C46" s="2">
        <v>11418</v>
      </c>
      <c r="D46" s="2">
        <v>0.12410869565217392</v>
      </c>
      <c r="E46" t="s">
        <v>127</v>
      </c>
      <c r="F46" t="s">
        <v>22</v>
      </c>
      <c r="G46">
        <v>11418</v>
      </c>
      <c r="J46" s="1">
        <v>0.12842105263157894</v>
      </c>
      <c r="K46" t="s">
        <v>210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127</v>
      </c>
      <c r="B47" s="2" t="s">
        <v>31</v>
      </c>
      <c r="C47" s="2">
        <v>19573</v>
      </c>
      <c r="D47" s="2">
        <v>0.21274999999999999</v>
      </c>
      <c r="E47" t="s">
        <v>127</v>
      </c>
      <c r="F47" t="s">
        <v>31</v>
      </c>
      <c r="G47">
        <v>19573</v>
      </c>
      <c r="J47" s="1">
        <v>0.10902631578947368</v>
      </c>
      <c r="K47" t="s">
        <v>210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127</v>
      </c>
      <c r="B48" s="2" t="s">
        <v>17</v>
      </c>
      <c r="C48" s="2">
        <v>21200</v>
      </c>
      <c r="D48" s="2">
        <v>0.23043478260869565</v>
      </c>
      <c r="E48" t="s">
        <v>127</v>
      </c>
      <c r="F48" t="s">
        <v>17</v>
      </c>
      <c r="G48">
        <v>21200</v>
      </c>
      <c r="J48" s="1">
        <v>0.28421052631578947</v>
      </c>
      <c r="K48" t="s">
        <v>210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127</v>
      </c>
      <c r="B49" s="2" t="s">
        <v>29</v>
      </c>
      <c r="C49" s="2">
        <v>25825</v>
      </c>
      <c r="D49" s="2">
        <v>0.28070652173913041</v>
      </c>
      <c r="E49" t="s">
        <v>127</v>
      </c>
      <c r="F49" t="s">
        <v>29</v>
      </c>
      <c r="G49">
        <v>25825</v>
      </c>
      <c r="J49" s="1">
        <v>0.11058695652173912</v>
      </c>
      <c r="K49" t="s">
        <v>210</v>
      </c>
      <c r="L49" t="s">
        <v>127</v>
      </c>
      <c r="M49">
        <v>10174</v>
      </c>
      <c r="N49">
        <v>92000</v>
      </c>
      <c r="O49" t="s">
        <v>99</v>
      </c>
    </row>
    <row r="50" spans="1:15" x14ac:dyDescent="0.25">
      <c r="A50" s="2" t="s">
        <v>127</v>
      </c>
      <c r="B50" s="2" t="s">
        <v>36</v>
      </c>
      <c r="C50" s="2">
        <v>6190</v>
      </c>
      <c r="D50" s="2">
        <v>6.7282608695652169E-2</v>
      </c>
      <c r="E50" t="s">
        <v>127</v>
      </c>
      <c r="F50" t="s">
        <v>36</v>
      </c>
      <c r="G50">
        <v>6190</v>
      </c>
      <c r="J50" s="1">
        <v>0.13097826086956521</v>
      </c>
      <c r="K50" t="s">
        <v>210</v>
      </c>
      <c r="L50" t="s">
        <v>127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J51" s="1">
        <v>0.27533315217391308</v>
      </c>
      <c r="K51" t="s">
        <v>210</v>
      </c>
      <c r="L51" t="s">
        <v>127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J52" s="1">
        <v>0.12410869565217392</v>
      </c>
      <c r="K52" t="s">
        <v>210</v>
      </c>
      <c r="L52" t="s">
        <v>127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106</v>
      </c>
      <c r="C53" s="2">
        <v>8184</v>
      </c>
      <c r="D53" s="2">
        <v>8.8956521739130434E-2</v>
      </c>
      <c r="E53" t="s">
        <v>7</v>
      </c>
      <c r="F53" t="s">
        <v>106</v>
      </c>
      <c r="G53">
        <v>8184</v>
      </c>
      <c r="J53" s="1">
        <v>0.21274999999999999</v>
      </c>
      <c r="K53" t="s">
        <v>210</v>
      </c>
      <c r="L53" t="s">
        <v>127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J54" s="1">
        <v>0.23043478260869565</v>
      </c>
      <c r="K54" t="s">
        <v>210</v>
      </c>
      <c r="L54" t="s">
        <v>127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J55" s="1">
        <v>0.28070652173913041</v>
      </c>
      <c r="K55" t="s">
        <v>210</v>
      </c>
      <c r="L55" t="s">
        <v>127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J56" s="1">
        <v>6.7282608695652169E-2</v>
      </c>
      <c r="K56" t="s">
        <v>210</v>
      </c>
      <c r="L56" t="s">
        <v>127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J57" s="1">
        <v>9.9086956521739128E-2</v>
      </c>
      <c r="K57" t="s">
        <v>210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112</v>
      </c>
      <c r="C58" s="2">
        <v>6148</v>
      </c>
      <c r="D58" s="2">
        <v>6.6826086956521744E-2</v>
      </c>
      <c r="E58" t="s">
        <v>7</v>
      </c>
      <c r="F58" t="s">
        <v>112</v>
      </c>
      <c r="G58">
        <v>6148</v>
      </c>
      <c r="J58" s="1">
        <v>0.10807608695652174</v>
      </c>
      <c r="K58" t="s">
        <v>210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J59" s="1">
        <v>8.8956521739130434E-2</v>
      </c>
      <c r="K59" t="s">
        <v>210</v>
      </c>
      <c r="L59" t="s">
        <v>7</v>
      </c>
      <c r="M59">
        <v>8184</v>
      </c>
      <c r="N59">
        <v>92000</v>
      </c>
      <c r="O59" t="s">
        <v>106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J60" s="1">
        <v>0.11728804347826087</v>
      </c>
      <c r="K60" t="s">
        <v>210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J61" s="1">
        <v>0.31336956521739129</v>
      </c>
      <c r="K61" t="s">
        <v>210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J62" s="1">
        <v>6.4836956521739125E-2</v>
      </c>
      <c r="K62" t="s">
        <v>210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J63" s="1">
        <v>9.4673913043478261E-2</v>
      </c>
      <c r="K63" t="s">
        <v>210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J64" s="1">
        <v>0.43914285714285717</v>
      </c>
      <c r="K64" t="s">
        <v>209</v>
      </c>
      <c r="L64" t="s">
        <v>4</v>
      </c>
      <c r="M64">
        <v>6148</v>
      </c>
      <c r="N64">
        <v>14000</v>
      </c>
      <c r="O64" t="s">
        <v>112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J65" s="1">
        <v>0.32630434782608697</v>
      </c>
      <c r="K65" t="s">
        <v>210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J66" s="1">
        <v>0.11880434782608695</v>
      </c>
      <c r="K66" t="s">
        <v>210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115</v>
      </c>
      <c r="C67" s="2">
        <v>4168</v>
      </c>
      <c r="D67" s="2">
        <v>5.5573333333333336E-2</v>
      </c>
      <c r="E67" t="s">
        <v>8</v>
      </c>
      <c r="F67" t="s">
        <v>115</v>
      </c>
      <c r="G67">
        <v>4168</v>
      </c>
      <c r="J67" s="1">
        <v>0.56533999999999995</v>
      </c>
      <c r="K67" t="s">
        <v>209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J68" s="1">
        <v>0.11745333333333334</v>
      </c>
      <c r="K68" t="s">
        <v>210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J69" s="1">
        <v>0.33867999999999998</v>
      </c>
      <c r="K69" t="s">
        <v>210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J70" s="1">
        <v>0.28711999999999999</v>
      </c>
      <c r="K70" t="s">
        <v>210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J71" s="1">
        <v>0.36964000000000002</v>
      </c>
      <c r="K71" t="s">
        <v>210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J72" s="1">
        <v>0.45261333333333331</v>
      </c>
      <c r="K72" t="s">
        <v>209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J73" s="1">
        <v>5.5573333333333336E-2</v>
      </c>
      <c r="K73" t="s">
        <v>210</v>
      </c>
      <c r="L73" t="s">
        <v>8</v>
      </c>
      <c r="M73">
        <v>4168</v>
      </c>
      <c r="N73">
        <v>75000</v>
      </c>
      <c r="O73" t="s">
        <v>115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J74" s="1">
        <v>0.13020000000000001</v>
      </c>
      <c r="K74" t="s">
        <v>210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J75" s="1">
        <v>0.11695999999999999</v>
      </c>
      <c r="K75" t="s">
        <v>210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J76" s="1">
        <v>0.16194666666666666</v>
      </c>
      <c r="K76" t="s">
        <v>210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J77" s="1">
        <v>1.2032857142857143</v>
      </c>
      <c r="K77" t="s">
        <v>207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J78" s="1">
        <v>0.63123809523809526</v>
      </c>
      <c r="K78" t="s">
        <v>209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J79" s="1">
        <v>0.37471428571428572</v>
      </c>
      <c r="K79" t="s">
        <v>210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J80" s="1">
        <v>0.2846190476190476</v>
      </c>
      <c r="K80" t="s">
        <v>210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208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210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210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210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209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210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3"/>
  <sheetViews>
    <sheetView zoomScale="70" zoomScaleNormal="70" workbookViewId="0">
      <selection activeCell="K5" sqref="H5:K2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5" ht="26.25" x14ac:dyDescent="0.4">
      <c r="A3" t="s">
        <v>3</v>
      </c>
      <c r="B3" t="s">
        <v>23</v>
      </c>
      <c r="C3">
        <v>58265</v>
      </c>
      <c r="D3">
        <v>2.6484090909090909</v>
      </c>
      <c r="E3" t="s">
        <v>3</v>
      </c>
      <c r="F3" t="s">
        <v>23</v>
      </c>
      <c r="G3">
        <v>58265</v>
      </c>
      <c r="J3" s="34">
        <v>2025</v>
      </c>
      <c r="K3" s="34" t="s">
        <v>193</v>
      </c>
      <c r="L3" s="34">
        <v>22</v>
      </c>
    </row>
    <row r="4" spans="1:65" x14ac:dyDescent="0.25">
      <c r="A4" t="s">
        <v>3</v>
      </c>
      <c r="B4" t="s">
        <v>44</v>
      </c>
      <c r="C4">
        <v>24680</v>
      </c>
      <c r="D4">
        <v>1.1218181818181818</v>
      </c>
      <c r="E4" t="s">
        <v>3</v>
      </c>
      <c r="F4" t="s">
        <v>44</v>
      </c>
      <c r="G4">
        <v>24680</v>
      </c>
    </row>
    <row r="5" spans="1:65" x14ac:dyDescent="0.25">
      <c r="A5" t="s">
        <v>3</v>
      </c>
      <c r="B5" t="s">
        <v>48</v>
      </c>
      <c r="C5">
        <v>23753.200000000001</v>
      </c>
      <c r="D5">
        <v>1.079690909090909</v>
      </c>
      <c r="E5" t="s">
        <v>3</v>
      </c>
      <c r="F5" t="s">
        <v>48</v>
      </c>
      <c r="G5">
        <v>23753.200000000001</v>
      </c>
    </row>
    <row r="6" spans="1:65" x14ac:dyDescent="0.25">
      <c r="A6" t="s">
        <v>3</v>
      </c>
      <c r="B6" t="s">
        <v>43</v>
      </c>
      <c r="C6">
        <v>22255</v>
      </c>
      <c r="D6">
        <v>1.011590909090909</v>
      </c>
      <c r="E6" t="s">
        <v>3</v>
      </c>
      <c r="F6" t="s">
        <v>43</v>
      </c>
      <c r="G6">
        <v>22255</v>
      </c>
    </row>
    <row r="7" spans="1:65" x14ac:dyDescent="0.25">
      <c r="A7" t="s">
        <v>3</v>
      </c>
      <c r="B7" t="s">
        <v>102</v>
      </c>
      <c r="C7">
        <v>20697</v>
      </c>
      <c r="D7">
        <v>0.94077272727272732</v>
      </c>
      <c r="E7" t="s">
        <v>3</v>
      </c>
      <c r="F7" t="s">
        <v>102</v>
      </c>
      <c r="G7">
        <v>20697</v>
      </c>
    </row>
    <row r="8" spans="1:65" x14ac:dyDescent="0.25">
      <c r="A8" t="s">
        <v>3</v>
      </c>
      <c r="B8" t="s">
        <v>97</v>
      </c>
      <c r="C8">
        <v>18798</v>
      </c>
      <c r="D8">
        <v>0.85445454545454547</v>
      </c>
      <c r="E8" t="s">
        <v>3</v>
      </c>
      <c r="F8" t="s">
        <v>97</v>
      </c>
      <c r="G8">
        <v>18798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158</v>
      </c>
      <c r="Q8" s="14" t="s">
        <v>159</v>
      </c>
      <c r="R8" s="14" t="s">
        <v>160</v>
      </c>
      <c r="S8" s="14" t="s">
        <v>161</v>
      </c>
      <c r="T8" s="14" t="s">
        <v>162</v>
      </c>
      <c r="U8" s="14" t="s">
        <v>163</v>
      </c>
      <c r="V8" s="14" t="s">
        <v>164</v>
      </c>
      <c r="W8" s="14" t="s">
        <v>165</v>
      </c>
      <c r="X8" s="14" t="s">
        <v>166</v>
      </c>
      <c r="Y8" s="14" t="s">
        <v>167</v>
      </c>
      <c r="Z8" s="14" t="s">
        <v>168</v>
      </c>
      <c r="AA8" s="14" t="s">
        <v>169</v>
      </c>
      <c r="AB8" s="14" t="s">
        <v>170</v>
      </c>
      <c r="AC8" s="14" t="s">
        <v>171</v>
      </c>
      <c r="AD8" s="14" t="s">
        <v>172</v>
      </c>
      <c r="AE8" s="14" t="s">
        <v>173</v>
      </c>
      <c r="AF8" s="14" t="s">
        <v>174</v>
      </c>
      <c r="AG8" s="14" t="s">
        <v>175</v>
      </c>
      <c r="AH8" s="14" t="s">
        <v>176</v>
      </c>
      <c r="AI8" s="14" t="s">
        <v>177</v>
      </c>
      <c r="AJ8" s="14" t="s">
        <v>178</v>
      </c>
      <c r="AK8" s="14" t="s">
        <v>179</v>
      </c>
      <c r="AM8" s="19" t="s">
        <v>180</v>
      </c>
      <c r="AN8" s="19" t="s">
        <v>182</v>
      </c>
      <c r="AO8" s="19" t="s">
        <v>183</v>
      </c>
      <c r="AP8" s="41" t="s">
        <v>94</v>
      </c>
      <c r="AQ8" s="41" t="s">
        <v>158</v>
      </c>
      <c r="AR8" s="41" t="s">
        <v>159</v>
      </c>
      <c r="AS8" s="41" t="s">
        <v>160</v>
      </c>
      <c r="AT8" s="41" t="s">
        <v>161</v>
      </c>
      <c r="AU8" s="41" t="s">
        <v>162</v>
      </c>
      <c r="AV8" s="41" t="s">
        <v>163</v>
      </c>
      <c r="AW8" s="41" t="s">
        <v>164</v>
      </c>
      <c r="AX8" s="41" t="s">
        <v>165</v>
      </c>
      <c r="AY8" s="41" t="s">
        <v>166</v>
      </c>
      <c r="AZ8" s="41" t="s">
        <v>167</v>
      </c>
      <c r="BA8" s="41" t="s">
        <v>168</v>
      </c>
      <c r="BB8" s="41" t="s">
        <v>169</v>
      </c>
      <c r="BC8" s="41" t="s">
        <v>170</v>
      </c>
      <c r="BD8" s="41" t="s">
        <v>171</v>
      </c>
      <c r="BE8" s="41" t="s">
        <v>172</v>
      </c>
      <c r="BF8" s="41" t="s">
        <v>173</v>
      </c>
      <c r="BG8" s="41" t="s">
        <v>174</v>
      </c>
      <c r="BH8" s="41" t="s">
        <v>175</v>
      </c>
      <c r="BI8" s="41" t="s">
        <v>176</v>
      </c>
      <c r="BJ8" s="41" t="s">
        <v>177</v>
      </c>
      <c r="BK8" s="41" t="s">
        <v>178</v>
      </c>
      <c r="BL8" s="41" t="s">
        <v>179</v>
      </c>
      <c r="BM8" s="19" t="s">
        <v>136</v>
      </c>
    </row>
    <row r="9" spans="1:65" x14ac:dyDescent="0.25">
      <c r="A9" t="s">
        <v>3</v>
      </c>
      <c r="B9" t="s">
        <v>33</v>
      </c>
      <c r="C9">
        <v>16760</v>
      </c>
      <c r="D9">
        <v>0.76181818181818184</v>
      </c>
      <c r="E9" t="s">
        <v>3</v>
      </c>
      <c r="F9" t="s">
        <v>33</v>
      </c>
      <c r="G9">
        <v>16760</v>
      </c>
      <c r="J9" s="1">
        <v>2.6484090909090909</v>
      </c>
      <c r="K9" t="s">
        <v>207</v>
      </c>
      <c r="L9" t="s">
        <v>3</v>
      </c>
      <c r="M9">
        <v>58265</v>
      </c>
      <c r="N9">
        <v>22000</v>
      </c>
      <c r="O9" t="s">
        <v>23</v>
      </c>
      <c r="P9">
        <v>58265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107</v>
      </c>
      <c r="C10">
        <v>15323</v>
      </c>
      <c r="D10">
        <v>0.69650000000000001</v>
      </c>
      <c r="E10" t="s">
        <v>3</v>
      </c>
      <c r="F10" t="s">
        <v>107</v>
      </c>
      <c r="G10">
        <v>15323</v>
      </c>
      <c r="J10" s="1">
        <v>1.1218181818181818</v>
      </c>
      <c r="K10" t="s">
        <v>207</v>
      </c>
      <c r="L10" t="s">
        <v>3</v>
      </c>
      <c r="M10">
        <v>24680</v>
      </c>
      <c r="N10">
        <v>22000</v>
      </c>
      <c r="O10" t="s">
        <v>44</v>
      </c>
      <c r="P10">
        <v>24680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v>9994.4</v>
      </c>
      <c r="D11">
        <v>0.45429090909090908</v>
      </c>
      <c r="E11" t="s">
        <v>3</v>
      </c>
      <c r="F11" t="s">
        <v>53</v>
      </c>
      <c r="G11">
        <v>9994.4</v>
      </c>
      <c r="J11" s="1">
        <v>1.079690909090909</v>
      </c>
      <c r="K11" t="s">
        <v>207</v>
      </c>
      <c r="L11" t="s">
        <v>3</v>
      </c>
      <c r="M11">
        <v>23753.200000000001</v>
      </c>
      <c r="N11">
        <v>22000</v>
      </c>
      <c r="O11" t="s">
        <v>48</v>
      </c>
      <c r="P11">
        <v>23753.200000000001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v>7120</v>
      </c>
      <c r="D12">
        <v>0.32363636363636361</v>
      </c>
      <c r="E12" t="s">
        <v>3</v>
      </c>
      <c r="F12" t="s">
        <v>101</v>
      </c>
      <c r="G12">
        <v>7120</v>
      </c>
      <c r="J12" s="1">
        <v>1.011590909090909</v>
      </c>
      <c r="K12" t="s">
        <v>207</v>
      </c>
      <c r="L12" t="s">
        <v>3</v>
      </c>
      <c r="M12">
        <v>22255</v>
      </c>
      <c r="N12">
        <v>22000</v>
      </c>
      <c r="O12" t="s">
        <v>43</v>
      </c>
      <c r="P12">
        <v>22255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127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v>49284</v>
      </c>
      <c r="D13">
        <v>2.2401818181818181</v>
      </c>
      <c r="E13" t="s">
        <v>4</v>
      </c>
      <c r="F13" t="s">
        <v>40</v>
      </c>
      <c r="G13">
        <v>49284</v>
      </c>
      <c r="J13" s="1">
        <v>0.94077272727272732</v>
      </c>
      <c r="K13" t="s">
        <v>208</v>
      </c>
      <c r="L13" t="s">
        <v>3</v>
      </c>
      <c r="M13">
        <v>20697</v>
      </c>
      <c r="N13">
        <v>22000</v>
      </c>
      <c r="O13" t="s">
        <v>102</v>
      </c>
      <c r="P13">
        <v>20697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v>26162</v>
      </c>
      <c r="D14">
        <v>1.1891818181818181</v>
      </c>
      <c r="E14" t="s">
        <v>4</v>
      </c>
      <c r="F14" t="s">
        <v>93</v>
      </c>
      <c r="G14">
        <v>26162</v>
      </c>
      <c r="J14" s="1">
        <v>0.85445454545454547</v>
      </c>
      <c r="K14" t="s">
        <v>208</v>
      </c>
      <c r="L14" t="s">
        <v>3</v>
      </c>
      <c r="M14">
        <v>18798</v>
      </c>
      <c r="N14">
        <v>22000</v>
      </c>
      <c r="O14" t="s">
        <v>97</v>
      </c>
      <c r="P14">
        <v>18798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v>17692</v>
      </c>
      <c r="D15">
        <v>0.80418181818181822</v>
      </c>
      <c r="E15" t="s">
        <v>4</v>
      </c>
      <c r="F15" t="s">
        <v>35</v>
      </c>
      <c r="G15">
        <v>17692</v>
      </c>
      <c r="J15" s="1">
        <v>0.76181818181818184</v>
      </c>
      <c r="K15" t="s">
        <v>208</v>
      </c>
      <c r="L15" t="s">
        <v>3</v>
      </c>
      <c r="M15">
        <v>16760</v>
      </c>
      <c r="N15">
        <v>22000</v>
      </c>
      <c r="O15" t="s">
        <v>33</v>
      </c>
      <c r="P15">
        <v>16760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v>14814</v>
      </c>
      <c r="D16">
        <v>0.67336363636363639</v>
      </c>
      <c r="E16" t="s">
        <v>4</v>
      </c>
      <c r="F16" t="s">
        <v>55</v>
      </c>
      <c r="G16">
        <v>14814</v>
      </c>
      <c r="J16" s="1">
        <v>0.69650000000000001</v>
      </c>
      <c r="K16" t="s">
        <v>209</v>
      </c>
      <c r="L16" t="s">
        <v>3</v>
      </c>
      <c r="M16">
        <v>15323</v>
      </c>
      <c r="N16">
        <v>22000</v>
      </c>
      <c r="O16" t="s">
        <v>107</v>
      </c>
      <c r="P16">
        <v>15323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37" x14ac:dyDescent="0.25">
      <c r="A17" t="s">
        <v>4</v>
      </c>
      <c r="B17" t="s">
        <v>71</v>
      </c>
      <c r="C17">
        <v>11786</v>
      </c>
      <c r="D17">
        <v>0.53572727272727272</v>
      </c>
      <c r="E17" t="s">
        <v>4</v>
      </c>
      <c r="F17" t="s">
        <v>71</v>
      </c>
      <c r="G17">
        <v>11786</v>
      </c>
      <c r="J17" s="1">
        <v>0.45429090909090908</v>
      </c>
      <c r="K17" t="s">
        <v>209</v>
      </c>
      <c r="L17" t="s">
        <v>3</v>
      </c>
      <c r="M17">
        <v>9994.4</v>
      </c>
      <c r="N17">
        <v>22000</v>
      </c>
      <c r="O17" t="s">
        <v>53</v>
      </c>
      <c r="P17">
        <v>9994.4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37" x14ac:dyDescent="0.25">
      <c r="A18" t="s">
        <v>4</v>
      </c>
      <c r="B18" t="s">
        <v>74</v>
      </c>
      <c r="C18">
        <v>11693</v>
      </c>
      <c r="D18">
        <v>0.53149999999999997</v>
      </c>
      <c r="E18" t="s">
        <v>4</v>
      </c>
      <c r="F18" t="s">
        <v>74</v>
      </c>
      <c r="G18">
        <v>11693</v>
      </c>
      <c r="J18" s="1">
        <v>0.32363636363636361</v>
      </c>
      <c r="K18" t="s">
        <v>210</v>
      </c>
      <c r="L18" t="s">
        <v>3</v>
      </c>
      <c r="M18">
        <v>7120</v>
      </c>
      <c r="N18">
        <v>22000</v>
      </c>
      <c r="O18" t="s">
        <v>101</v>
      </c>
      <c r="P18">
        <v>7120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37" x14ac:dyDescent="0.25">
      <c r="A19" t="s">
        <v>4</v>
      </c>
      <c r="B19" t="s">
        <v>92</v>
      </c>
      <c r="C19">
        <v>9835</v>
      </c>
      <c r="D19">
        <v>0.44704545454545452</v>
      </c>
      <c r="E19" t="s">
        <v>4</v>
      </c>
      <c r="F19" t="s">
        <v>92</v>
      </c>
      <c r="G19">
        <v>9835</v>
      </c>
      <c r="J19" s="1">
        <v>2.2401818181818181</v>
      </c>
      <c r="K19" t="s">
        <v>207</v>
      </c>
      <c r="L19" t="s">
        <v>4</v>
      </c>
      <c r="M19">
        <v>49284</v>
      </c>
      <c r="N19">
        <v>22000</v>
      </c>
      <c r="O19" t="s">
        <v>40</v>
      </c>
      <c r="P19">
        <v>49284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37" x14ac:dyDescent="0.25">
      <c r="A20" t="s">
        <v>4</v>
      </c>
      <c r="B20" t="s">
        <v>116</v>
      </c>
      <c r="C20">
        <v>9348</v>
      </c>
      <c r="D20">
        <v>0.4249090909090909</v>
      </c>
      <c r="E20" t="s">
        <v>4</v>
      </c>
      <c r="F20" t="s">
        <v>116</v>
      </c>
      <c r="G20">
        <v>9348</v>
      </c>
      <c r="J20" s="1">
        <v>1.1891818181818181</v>
      </c>
      <c r="K20" t="s">
        <v>207</v>
      </c>
      <c r="L20" t="s">
        <v>4</v>
      </c>
      <c r="M20">
        <v>26162</v>
      </c>
      <c r="N20">
        <v>22000</v>
      </c>
      <c r="O20" t="s">
        <v>93</v>
      </c>
      <c r="P20">
        <v>26162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</row>
    <row r="21" spans="1:37" x14ac:dyDescent="0.25">
      <c r="A21" t="s">
        <v>4</v>
      </c>
      <c r="B21" t="s">
        <v>49</v>
      </c>
      <c r="C21">
        <v>9305</v>
      </c>
      <c r="D21">
        <v>0.42295454545454547</v>
      </c>
      <c r="E21" t="s">
        <v>4</v>
      </c>
      <c r="F21" t="s">
        <v>49</v>
      </c>
      <c r="G21">
        <v>9305</v>
      </c>
      <c r="J21" s="1">
        <v>0.80418181818181822</v>
      </c>
      <c r="K21" t="s">
        <v>208</v>
      </c>
      <c r="L21" t="s">
        <v>4</v>
      </c>
      <c r="M21">
        <v>17692</v>
      </c>
      <c r="N21">
        <v>22000</v>
      </c>
      <c r="O21" t="s">
        <v>35</v>
      </c>
      <c r="P21">
        <v>17692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37" x14ac:dyDescent="0.25">
      <c r="A22" t="s">
        <v>4</v>
      </c>
      <c r="B22" t="s">
        <v>104</v>
      </c>
      <c r="C22">
        <v>9289</v>
      </c>
      <c r="D22">
        <v>0.42222727272727273</v>
      </c>
      <c r="E22" t="s">
        <v>4</v>
      </c>
      <c r="F22" t="s">
        <v>104</v>
      </c>
      <c r="G22">
        <v>9289</v>
      </c>
      <c r="J22" s="1">
        <v>0.67336363636363639</v>
      </c>
      <c r="K22" t="s">
        <v>209</v>
      </c>
      <c r="L22" t="s">
        <v>4</v>
      </c>
      <c r="M22">
        <v>14814</v>
      </c>
      <c r="N22">
        <v>22000</v>
      </c>
      <c r="O22" t="s">
        <v>55</v>
      </c>
      <c r="P22">
        <v>14814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37" x14ac:dyDescent="0.25">
      <c r="A23" t="s">
        <v>127</v>
      </c>
      <c r="B23" t="s">
        <v>65</v>
      </c>
      <c r="C23">
        <v>44734</v>
      </c>
      <c r="D23">
        <v>1.3979375000000001</v>
      </c>
      <c r="E23" t="s">
        <v>127</v>
      </c>
      <c r="F23" t="s">
        <v>65</v>
      </c>
      <c r="G23">
        <v>44734</v>
      </c>
      <c r="J23" s="1">
        <v>0.53572727272727272</v>
      </c>
      <c r="K23" t="s">
        <v>209</v>
      </c>
      <c r="L23" t="s">
        <v>4</v>
      </c>
      <c r="M23">
        <v>11786</v>
      </c>
      <c r="N23">
        <v>22000</v>
      </c>
      <c r="O23" t="s">
        <v>71</v>
      </c>
      <c r="P23">
        <v>11786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37" x14ac:dyDescent="0.25">
      <c r="A24" t="s">
        <v>127</v>
      </c>
      <c r="B24" t="s">
        <v>91</v>
      </c>
      <c r="C24">
        <v>31860</v>
      </c>
      <c r="D24">
        <v>0.99562499999999998</v>
      </c>
      <c r="E24" t="s">
        <v>127</v>
      </c>
      <c r="F24" t="s">
        <v>91</v>
      </c>
      <c r="G24">
        <v>31860</v>
      </c>
      <c r="J24" s="1">
        <v>0.53149999999999997</v>
      </c>
      <c r="K24" t="s">
        <v>209</v>
      </c>
      <c r="L24" t="s">
        <v>4</v>
      </c>
      <c r="M24">
        <v>11693</v>
      </c>
      <c r="N24">
        <v>22000</v>
      </c>
      <c r="O24" t="s">
        <v>74</v>
      </c>
      <c r="P24">
        <v>11693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37" x14ac:dyDescent="0.25">
      <c r="A25" t="s">
        <v>127</v>
      </c>
      <c r="B25" t="s">
        <v>16</v>
      </c>
      <c r="C25">
        <v>30613</v>
      </c>
      <c r="D25">
        <v>0.95665624999999999</v>
      </c>
      <c r="E25" t="s">
        <v>127</v>
      </c>
      <c r="F25" t="s">
        <v>16</v>
      </c>
      <c r="G25">
        <v>30613</v>
      </c>
      <c r="J25" s="1">
        <v>0.44704545454545452</v>
      </c>
      <c r="K25" t="s">
        <v>209</v>
      </c>
      <c r="L25" t="s">
        <v>4</v>
      </c>
      <c r="M25">
        <v>9835</v>
      </c>
      <c r="N25">
        <v>22000</v>
      </c>
      <c r="O25" t="s">
        <v>92</v>
      </c>
      <c r="P25">
        <v>9835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37" x14ac:dyDescent="0.25">
      <c r="A26" t="s">
        <v>127</v>
      </c>
      <c r="B26" t="s">
        <v>15</v>
      </c>
      <c r="C26">
        <v>30834</v>
      </c>
      <c r="D26">
        <v>0.96356249999999999</v>
      </c>
      <c r="E26" t="s">
        <v>127</v>
      </c>
      <c r="F26" t="s">
        <v>15</v>
      </c>
      <c r="G26">
        <v>30834</v>
      </c>
      <c r="J26" s="1">
        <v>0.4249090909090909</v>
      </c>
      <c r="K26" t="s">
        <v>209</v>
      </c>
      <c r="L26" t="s">
        <v>4</v>
      </c>
      <c r="M26">
        <v>9348</v>
      </c>
      <c r="N26">
        <v>22000</v>
      </c>
      <c r="O26" t="s">
        <v>116</v>
      </c>
      <c r="P26">
        <v>9348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37" x14ac:dyDescent="0.25">
      <c r="A27" t="s">
        <v>127</v>
      </c>
      <c r="B27" t="s">
        <v>38</v>
      </c>
      <c r="C27">
        <v>30627</v>
      </c>
      <c r="D27">
        <v>0.95709374999999997</v>
      </c>
      <c r="E27" t="s">
        <v>127</v>
      </c>
      <c r="F27" t="s">
        <v>38</v>
      </c>
      <c r="G27">
        <v>30627</v>
      </c>
      <c r="J27" s="1">
        <v>0.42295454545454547</v>
      </c>
      <c r="K27" t="s">
        <v>209</v>
      </c>
      <c r="L27" t="s">
        <v>4</v>
      </c>
      <c r="M27">
        <v>9305</v>
      </c>
      <c r="N27">
        <v>22000</v>
      </c>
      <c r="O27" t="s">
        <v>49</v>
      </c>
      <c r="P27">
        <v>9305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37" x14ac:dyDescent="0.25">
      <c r="A28" t="s">
        <v>127</v>
      </c>
      <c r="B28" t="s">
        <v>12</v>
      </c>
      <c r="C28">
        <v>27763</v>
      </c>
      <c r="D28">
        <v>0.86759375000000005</v>
      </c>
      <c r="E28" t="s">
        <v>127</v>
      </c>
      <c r="F28" t="s">
        <v>12</v>
      </c>
      <c r="G28">
        <v>27763</v>
      </c>
      <c r="J28" s="1">
        <v>0.42222727272727273</v>
      </c>
      <c r="K28" t="s">
        <v>209</v>
      </c>
      <c r="L28" t="s">
        <v>4</v>
      </c>
      <c r="M28">
        <v>9289</v>
      </c>
      <c r="N28">
        <v>22000</v>
      </c>
      <c r="O28" t="s">
        <v>104</v>
      </c>
      <c r="P28">
        <v>9289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37" x14ac:dyDescent="0.25">
      <c r="A29" t="s">
        <v>127</v>
      </c>
      <c r="B29" t="s">
        <v>73</v>
      </c>
      <c r="C29">
        <v>14095</v>
      </c>
      <c r="D29">
        <v>0.44046875000000002</v>
      </c>
      <c r="E29" t="s">
        <v>127</v>
      </c>
      <c r="F29" t="s">
        <v>73</v>
      </c>
      <c r="G29">
        <v>14095</v>
      </c>
      <c r="J29" s="1">
        <v>1.3979375000000001</v>
      </c>
      <c r="K29" t="s">
        <v>207</v>
      </c>
      <c r="L29" t="s">
        <v>127</v>
      </c>
      <c r="M29">
        <v>44734</v>
      </c>
      <c r="N29">
        <v>32000</v>
      </c>
      <c r="O29" t="s">
        <v>65</v>
      </c>
      <c r="P29">
        <v>44734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37" x14ac:dyDescent="0.25">
      <c r="A30" t="s">
        <v>127</v>
      </c>
      <c r="B30" t="s">
        <v>41</v>
      </c>
      <c r="C30">
        <v>10734</v>
      </c>
      <c r="D30">
        <v>0.3354375</v>
      </c>
      <c r="E30" t="s">
        <v>127</v>
      </c>
      <c r="F30" t="s">
        <v>41</v>
      </c>
      <c r="G30">
        <v>10734</v>
      </c>
      <c r="J30" s="1">
        <v>0.99562499999999998</v>
      </c>
      <c r="K30" t="s">
        <v>208</v>
      </c>
      <c r="L30" t="s">
        <v>127</v>
      </c>
      <c r="M30">
        <v>31860</v>
      </c>
      <c r="N30">
        <v>32000</v>
      </c>
      <c r="O30" t="s">
        <v>91</v>
      </c>
      <c r="P30">
        <v>31860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37" x14ac:dyDescent="0.25">
      <c r="A31" t="s">
        <v>5</v>
      </c>
      <c r="B31" t="s">
        <v>72</v>
      </c>
      <c r="C31">
        <v>49725.3</v>
      </c>
      <c r="D31">
        <v>1.5539156250000001</v>
      </c>
      <c r="E31" t="s">
        <v>5</v>
      </c>
      <c r="F31" t="s">
        <v>72</v>
      </c>
      <c r="G31">
        <v>49725.3</v>
      </c>
      <c r="J31" s="1">
        <v>0.95665624999999999</v>
      </c>
      <c r="K31" t="s">
        <v>208</v>
      </c>
      <c r="L31" t="s">
        <v>127</v>
      </c>
      <c r="M31">
        <v>30613</v>
      </c>
      <c r="N31">
        <v>32000</v>
      </c>
      <c r="O31" t="s">
        <v>16</v>
      </c>
      <c r="P31">
        <v>30613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37" x14ac:dyDescent="0.25">
      <c r="A32" t="s">
        <v>5</v>
      </c>
      <c r="B32" t="s">
        <v>68</v>
      </c>
      <c r="C32">
        <v>30222</v>
      </c>
      <c r="D32">
        <v>0.94443750000000004</v>
      </c>
      <c r="E32" t="s">
        <v>5</v>
      </c>
      <c r="F32" t="s">
        <v>68</v>
      </c>
      <c r="G32">
        <v>30222</v>
      </c>
      <c r="J32" s="1">
        <v>0.96356249999999999</v>
      </c>
      <c r="K32" t="s">
        <v>208</v>
      </c>
      <c r="L32" t="s">
        <v>127</v>
      </c>
      <c r="M32">
        <v>30834</v>
      </c>
      <c r="N32">
        <v>32000</v>
      </c>
      <c r="O32" t="s">
        <v>15</v>
      </c>
      <c r="P32">
        <v>30834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v>28700</v>
      </c>
      <c r="D33">
        <v>0.89687499999999998</v>
      </c>
      <c r="E33" t="s">
        <v>5</v>
      </c>
      <c r="F33" t="s">
        <v>79</v>
      </c>
      <c r="G33">
        <v>28700</v>
      </c>
      <c r="J33" s="1">
        <v>0.95709374999999997</v>
      </c>
      <c r="K33" t="s">
        <v>208</v>
      </c>
      <c r="L33" t="s">
        <v>127</v>
      </c>
      <c r="M33">
        <v>30627</v>
      </c>
      <c r="N33">
        <v>32000</v>
      </c>
      <c r="O33" t="s">
        <v>38</v>
      </c>
      <c r="P33">
        <v>30627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v>28363</v>
      </c>
      <c r="D34">
        <v>0.88634374999999999</v>
      </c>
      <c r="E34" t="s">
        <v>5</v>
      </c>
      <c r="F34" t="s">
        <v>96</v>
      </c>
      <c r="G34">
        <v>28363</v>
      </c>
      <c r="J34" s="1">
        <v>0.86759375000000005</v>
      </c>
      <c r="K34" t="s">
        <v>208</v>
      </c>
      <c r="L34" t="s">
        <v>127</v>
      </c>
      <c r="M34">
        <v>27763</v>
      </c>
      <c r="N34">
        <v>32000</v>
      </c>
      <c r="O34" t="s">
        <v>12</v>
      </c>
      <c r="P34">
        <v>27763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v>25797</v>
      </c>
      <c r="D35">
        <v>0.80615625000000002</v>
      </c>
      <c r="E35" t="s">
        <v>5</v>
      </c>
      <c r="F35" t="s">
        <v>26</v>
      </c>
      <c r="G35">
        <v>25797</v>
      </c>
      <c r="J35" s="1">
        <v>0.44046875000000002</v>
      </c>
      <c r="K35" t="s">
        <v>209</v>
      </c>
      <c r="L35" t="s">
        <v>127</v>
      </c>
      <c r="M35">
        <v>14095</v>
      </c>
      <c r="N35">
        <v>32000</v>
      </c>
      <c r="O35" t="s">
        <v>73</v>
      </c>
      <c r="P35">
        <v>14095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v>19299</v>
      </c>
      <c r="D36">
        <v>0.60309374999999998</v>
      </c>
      <c r="E36" t="s">
        <v>5</v>
      </c>
      <c r="F36" t="s">
        <v>103</v>
      </c>
      <c r="G36">
        <v>19299</v>
      </c>
      <c r="J36" s="1">
        <v>0.3354375</v>
      </c>
      <c r="K36" t="s">
        <v>210</v>
      </c>
      <c r="L36" t="s">
        <v>127</v>
      </c>
      <c r="M36">
        <v>10734</v>
      </c>
      <c r="N36">
        <v>32000</v>
      </c>
      <c r="O36" t="s">
        <v>41</v>
      </c>
      <c r="P36">
        <v>10734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v>11671</v>
      </c>
      <c r="D37">
        <v>0.36471874999999998</v>
      </c>
      <c r="E37" t="s">
        <v>5</v>
      </c>
      <c r="F37" t="s">
        <v>28</v>
      </c>
      <c r="G37">
        <v>11671</v>
      </c>
      <c r="J37" s="1">
        <v>1.5539156250000001</v>
      </c>
      <c r="K37" t="s">
        <v>207</v>
      </c>
      <c r="L37" t="s">
        <v>5</v>
      </c>
      <c r="M37">
        <v>49725.3</v>
      </c>
      <c r="N37">
        <v>32000</v>
      </c>
      <c r="O37" t="s">
        <v>72</v>
      </c>
      <c r="P37">
        <v>49725.3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v>4399</v>
      </c>
      <c r="D38">
        <v>0.13746875</v>
      </c>
      <c r="E38" t="s">
        <v>5</v>
      </c>
      <c r="F38" t="s">
        <v>70</v>
      </c>
      <c r="G38">
        <v>4399</v>
      </c>
      <c r="J38" s="1">
        <v>0.94443750000000004</v>
      </c>
      <c r="K38" t="s">
        <v>208</v>
      </c>
      <c r="L38" t="s">
        <v>5</v>
      </c>
      <c r="M38">
        <v>30222</v>
      </c>
      <c r="N38">
        <v>32000</v>
      </c>
      <c r="O38" t="s">
        <v>68</v>
      </c>
      <c r="P38">
        <v>30222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v>103773</v>
      </c>
      <c r="D39">
        <v>1.9579811320754716</v>
      </c>
      <c r="E39" t="s">
        <v>6</v>
      </c>
      <c r="F39" t="s">
        <v>75</v>
      </c>
      <c r="G39">
        <v>103773</v>
      </c>
      <c r="J39" s="1">
        <v>0.89687499999999998</v>
      </c>
      <c r="K39" t="s">
        <v>208</v>
      </c>
      <c r="L39" t="s">
        <v>5</v>
      </c>
      <c r="M39">
        <v>28700</v>
      </c>
      <c r="N39">
        <v>32000</v>
      </c>
      <c r="O39" t="s">
        <v>79</v>
      </c>
      <c r="P39">
        <v>28700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v>59800</v>
      </c>
      <c r="D40">
        <v>1.1283018867924528</v>
      </c>
      <c r="E40" t="s">
        <v>6</v>
      </c>
      <c r="F40" t="s">
        <v>22</v>
      </c>
      <c r="G40">
        <v>59800</v>
      </c>
      <c r="J40" s="1">
        <v>0.88634374999999999</v>
      </c>
      <c r="K40" t="s">
        <v>208</v>
      </c>
      <c r="L40" t="s">
        <v>5</v>
      </c>
      <c r="M40">
        <v>28363</v>
      </c>
      <c r="N40">
        <v>32000</v>
      </c>
      <c r="O40" t="s">
        <v>96</v>
      </c>
      <c r="P40">
        <v>28363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v>50759</v>
      </c>
      <c r="D41">
        <v>0.95771698113207548</v>
      </c>
      <c r="E41" t="s">
        <v>6</v>
      </c>
      <c r="F41" t="s">
        <v>78</v>
      </c>
      <c r="G41">
        <v>50759</v>
      </c>
      <c r="J41" s="1">
        <v>0.80615625000000002</v>
      </c>
      <c r="K41" t="s">
        <v>208</v>
      </c>
      <c r="L41" t="s">
        <v>5</v>
      </c>
      <c r="M41">
        <v>25797</v>
      </c>
      <c r="N41">
        <v>32000</v>
      </c>
      <c r="O41" t="s">
        <v>26</v>
      </c>
      <c r="P41">
        <v>25797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v>44785</v>
      </c>
      <c r="D42">
        <v>0.84499999999999997</v>
      </c>
      <c r="E42" t="s">
        <v>6</v>
      </c>
      <c r="F42" t="s">
        <v>67</v>
      </c>
      <c r="G42">
        <v>44785</v>
      </c>
      <c r="J42" s="1">
        <v>0.60309374999999998</v>
      </c>
      <c r="K42" t="s">
        <v>209</v>
      </c>
      <c r="L42" t="s">
        <v>5</v>
      </c>
      <c r="M42">
        <v>19299</v>
      </c>
      <c r="N42">
        <v>32000</v>
      </c>
      <c r="O42" t="s">
        <v>103</v>
      </c>
      <c r="P42">
        <v>19299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v>38960</v>
      </c>
      <c r="D43">
        <v>0.73509433962264148</v>
      </c>
      <c r="E43" t="s">
        <v>6</v>
      </c>
      <c r="F43" t="s">
        <v>99</v>
      </c>
      <c r="G43">
        <v>38960</v>
      </c>
      <c r="J43" s="1">
        <v>0.36471874999999998</v>
      </c>
      <c r="K43" t="s">
        <v>210</v>
      </c>
      <c r="L43" t="s">
        <v>5</v>
      </c>
      <c r="M43">
        <v>11671</v>
      </c>
      <c r="N43">
        <v>32000</v>
      </c>
      <c r="O43" t="s">
        <v>28</v>
      </c>
      <c r="P43">
        <v>11671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v>14534</v>
      </c>
      <c r="D44">
        <v>0.27422641509433965</v>
      </c>
      <c r="E44" t="s">
        <v>6</v>
      </c>
      <c r="F44" t="s">
        <v>36</v>
      </c>
      <c r="G44">
        <v>14534</v>
      </c>
      <c r="J44" s="1">
        <v>0.13746875</v>
      </c>
      <c r="K44" t="s">
        <v>210</v>
      </c>
      <c r="L44" t="s">
        <v>5</v>
      </c>
      <c r="M44">
        <v>4399</v>
      </c>
      <c r="N44">
        <v>32000</v>
      </c>
      <c r="O44" t="s">
        <v>70</v>
      </c>
      <c r="P44">
        <v>4399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v>10361</v>
      </c>
      <c r="D45">
        <v>0.19549056603773585</v>
      </c>
      <c r="E45" t="s">
        <v>6</v>
      </c>
      <c r="F45" t="s">
        <v>29</v>
      </c>
      <c r="G45">
        <v>10361</v>
      </c>
      <c r="J45" s="1">
        <v>1.9579811320754716</v>
      </c>
      <c r="K45" t="s">
        <v>207</v>
      </c>
      <c r="L45" t="s">
        <v>6</v>
      </c>
      <c r="M45">
        <v>103773</v>
      </c>
      <c r="N45">
        <v>53000</v>
      </c>
      <c r="O45" t="s">
        <v>75</v>
      </c>
      <c r="P45">
        <v>103773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v>7500</v>
      </c>
      <c r="D46">
        <v>0.14150943396226415</v>
      </c>
      <c r="E46" t="s">
        <v>6</v>
      </c>
      <c r="F46" t="s">
        <v>31</v>
      </c>
      <c r="G46">
        <v>7500</v>
      </c>
      <c r="J46" s="1">
        <v>1.1283018867924528</v>
      </c>
      <c r="K46" t="s">
        <v>207</v>
      </c>
      <c r="L46" t="s">
        <v>6</v>
      </c>
      <c r="M46">
        <v>59800</v>
      </c>
      <c r="N46">
        <v>53000</v>
      </c>
      <c r="O46" t="s">
        <v>22</v>
      </c>
      <c r="P46">
        <v>59800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v>73820</v>
      </c>
      <c r="D47">
        <v>1.3928301886792454</v>
      </c>
      <c r="E47" t="s">
        <v>7</v>
      </c>
      <c r="F47" t="s">
        <v>69</v>
      </c>
      <c r="G47">
        <v>73820</v>
      </c>
      <c r="J47" s="1">
        <v>0.95771698113207548</v>
      </c>
      <c r="K47" t="s">
        <v>208</v>
      </c>
      <c r="L47" t="s">
        <v>6</v>
      </c>
      <c r="M47">
        <v>50759</v>
      </c>
      <c r="N47">
        <v>53000</v>
      </c>
      <c r="O47" t="s">
        <v>78</v>
      </c>
      <c r="P47">
        <v>50759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v>29240</v>
      </c>
      <c r="D48">
        <v>0.55169811320754714</v>
      </c>
      <c r="E48" t="s">
        <v>7</v>
      </c>
      <c r="F48" t="s">
        <v>60</v>
      </c>
      <c r="G48">
        <v>29240</v>
      </c>
      <c r="J48" s="1">
        <v>0.84499999999999997</v>
      </c>
      <c r="K48" t="s">
        <v>208</v>
      </c>
      <c r="L48" t="s">
        <v>6</v>
      </c>
      <c r="M48">
        <v>44785</v>
      </c>
      <c r="N48">
        <v>53000</v>
      </c>
      <c r="O48" t="s">
        <v>67</v>
      </c>
      <c r="P48">
        <v>44785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v>28185</v>
      </c>
      <c r="D49">
        <v>0.53179245283018872</v>
      </c>
      <c r="E49" t="s">
        <v>7</v>
      </c>
      <c r="F49" t="s">
        <v>21</v>
      </c>
      <c r="G49">
        <v>28185</v>
      </c>
      <c r="J49" s="1">
        <v>0.73509433962264148</v>
      </c>
      <c r="K49" t="s">
        <v>208</v>
      </c>
      <c r="L49" t="s">
        <v>6</v>
      </c>
      <c r="M49">
        <v>38960</v>
      </c>
      <c r="N49">
        <v>53000</v>
      </c>
      <c r="O49" t="s">
        <v>99</v>
      </c>
      <c r="P49">
        <v>38960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v>24962</v>
      </c>
      <c r="D50">
        <v>0.47098113207547171</v>
      </c>
      <c r="E50" t="s">
        <v>7</v>
      </c>
      <c r="F50" t="s">
        <v>11</v>
      </c>
      <c r="G50">
        <v>24962</v>
      </c>
      <c r="J50" s="1">
        <v>0.27422641509433965</v>
      </c>
      <c r="K50" t="s">
        <v>210</v>
      </c>
      <c r="L50" t="s">
        <v>6</v>
      </c>
      <c r="M50">
        <v>14534</v>
      </c>
      <c r="N50">
        <v>53000</v>
      </c>
      <c r="O50" t="s">
        <v>36</v>
      </c>
      <c r="P50">
        <v>14534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v>23946.5</v>
      </c>
      <c r="D51">
        <v>0.45182075471698113</v>
      </c>
      <c r="E51" t="s">
        <v>7</v>
      </c>
      <c r="F51" t="s">
        <v>58</v>
      </c>
      <c r="G51">
        <v>23946.5</v>
      </c>
      <c r="J51" s="1">
        <v>0.19549056603773585</v>
      </c>
      <c r="K51" t="s">
        <v>210</v>
      </c>
      <c r="L51" t="s">
        <v>6</v>
      </c>
      <c r="M51">
        <v>10361</v>
      </c>
      <c r="N51">
        <v>53000</v>
      </c>
      <c r="O51" t="s">
        <v>29</v>
      </c>
      <c r="P51">
        <v>10361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106</v>
      </c>
      <c r="C52">
        <v>18112</v>
      </c>
      <c r="D52">
        <v>0.34173584905660376</v>
      </c>
      <c r="E52" t="s">
        <v>7</v>
      </c>
      <c r="F52" t="s">
        <v>106</v>
      </c>
      <c r="G52">
        <v>18112</v>
      </c>
      <c r="J52" s="1">
        <v>0.14150943396226415</v>
      </c>
      <c r="K52" t="s">
        <v>210</v>
      </c>
      <c r="L52" t="s">
        <v>6</v>
      </c>
      <c r="M52">
        <v>7500</v>
      </c>
      <c r="N52">
        <v>53000</v>
      </c>
      <c r="O52" t="s">
        <v>31</v>
      </c>
      <c r="P52">
        <v>7500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v>14200</v>
      </c>
      <c r="D53">
        <v>0.26792452830188679</v>
      </c>
      <c r="E53" t="s">
        <v>7</v>
      </c>
      <c r="F53" t="s">
        <v>18</v>
      </c>
      <c r="G53">
        <v>14200</v>
      </c>
      <c r="J53" s="1">
        <v>1.3928301886792454</v>
      </c>
      <c r="K53" t="s">
        <v>207</v>
      </c>
      <c r="L53" t="s">
        <v>7</v>
      </c>
      <c r="M53">
        <v>73820</v>
      </c>
      <c r="N53">
        <v>53000</v>
      </c>
      <c r="O53" t="s">
        <v>69</v>
      </c>
      <c r="P53">
        <v>73820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v>13839</v>
      </c>
      <c r="D54">
        <v>0.26111320754716982</v>
      </c>
      <c r="E54" t="s">
        <v>7</v>
      </c>
      <c r="F54" t="s">
        <v>20</v>
      </c>
      <c r="G54">
        <v>13839</v>
      </c>
      <c r="J54" s="1">
        <v>0.55169811320754714</v>
      </c>
      <c r="K54" t="s">
        <v>209</v>
      </c>
      <c r="L54" t="s">
        <v>7</v>
      </c>
      <c r="M54">
        <v>29240</v>
      </c>
      <c r="N54">
        <v>53000</v>
      </c>
      <c r="O54" t="s">
        <v>60</v>
      </c>
      <c r="P54">
        <v>29240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v>117692</v>
      </c>
      <c r="D55">
        <v>1.6813142857142858</v>
      </c>
      <c r="E55" t="s">
        <v>8</v>
      </c>
      <c r="F55" t="s">
        <v>61</v>
      </c>
      <c r="G55">
        <v>117692</v>
      </c>
      <c r="J55" s="1">
        <v>0.53179245283018872</v>
      </c>
      <c r="K55" t="s">
        <v>209</v>
      </c>
      <c r="L55" t="s">
        <v>7</v>
      </c>
      <c r="M55">
        <v>28185</v>
      </c>
      <c r="N55">
        <v>53000</v>
      </c>
      <c r="O55" t="s">
        <v>21</v>
      </c>
      <c r="P55">
        <v>28185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v>93850.05</v>
      </c>
      <c r="D56">
        <v>1.3407150000000001</v>
      </c>
      <c r="E56" t="s">
        <v>8</v>
      </c>
      <c r="F56" t="s">
        <v>81</v>
      </c>
      <c r="G56">
        <v>93850.05</v>
      </c>
      <c r="J56" s="1">
        <v>0.47098113207547171</v>
      </c>
      <c r="K56" t="s">
        <v>209</v>
      </c>
      <c r="L56" t="s">
        <v>7</v>
      </c>
      <c r="M56">
        <v>24962</v>
      </c>
      <c r="N56">
        <v>53000</v>
      </c>
      <c r="O56" t="s">
        <v>11</v>
      </c>
      <c r="P56">
        <v>24962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v>64085.41</v>
      </c>
      <c r="D57">
        <v>0.91550585714285715</v>
      </c>
      <c r="E57" t="s">
        <v>8</v>
      </c>
      <c r="F57" t="s">
        <v>76</v>
      </c>
      <c r="G57">
        <v>64085.41</v>
      </c>
      <c r="J57" s="1">
        <v>0.45182075471698113</v>
      </c>
      <c r="K57" t="s">
        <v>209</v>
      </c>
      <c r="L57" t="s">
        <v>7</v>
      </c>
      <c r="M57">
        <v>23946.5</v>
      </c>
      <c r="N57">
        <v>53000</v>
      </c>
      <c r="O57" t="s">
        <v>58</v>
      </c>
      <c r="P57">
        <v>23946.5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v>60760</v>
      </c>
      <c r="D58">
        <v>0.86799999999999999</v>
      </c>
      <c r="E58" t="s">
        <v>8</v>
      </c>
      <c r="F58" t="s">
        <v>10</v>
      </c>
      <c r="G58">
        <v>60760</v>
      </c>
      <c r="J58" s="1">
        <v>0.34173584905660376</v>
      </c>
      <c r="K58" t="s">
        <v>210</v>
      </c>
      <c r="L58" t="s">
        <v>7</v>
      </c>
      <c r="M58">
        <v>18112</v>
      </c>
      <c r="N58">
        <v>53000</v>
      </c>
      <c r="O58" t="s">
        <v>106</v>
      </c>
      <c r="P58">
        <v>18112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v>53610</v>
      </c>
      <c r="D59">
        <v>0.7658571428571429</v>
      </c>
      <c r="E59" t="s">
        <v>8</v>
      </c>
      <c r="F59" t="s">
        <v>27</v>
      </c>
      <c r="G59">
        <v>53610</v>
      </c>
      <c r="J59" s="1">
        <v>0.26792452830188679</v>
      </c>
      <c r="K59" t="s">
        <v>210</v>
      </c>
      <c r="L59" t="s">
        <v>7</v>
      </c>
      <c r="M59">
        <v>14200</v>
      </c>
      <c r="N59">
        <v>53000</v>
      </c>
      <c r="O59" t="s">
        <v>18</v>
      </c>
      <c r="P59">
        <v>14200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v>45450</v>
      </c>
      <c r="D60">
        <v>0.64928571428571424</v>
      </c>
      <c r="E60" t="s">
        <v>8</v>
      </c>
      <c r="F60" t="s">
        <v>42</v>
      </c>
      <c r="G60">
        <v>45450</v>
      </c>
      <c r="J60" s="1">
        <v>0.26111320754716982</v>
      </c>
      <c r="K60" t="s">
        <v>210</v>
      </c>
      <c r="L60" t="s">
        <v>7</v>
      </c>
      <c r="M60">
        <v>13839</v>
      </c>
      <c r="N60">
        <v>53000</v>
      </c>
      <c r="O60" t="s">
        <v>20</v>
      </c>
      <c r="P60">
        <v>13839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v>36071</v>
      </c>
      <c r="D61">
        <v>0.51529999999999998</v>
      </c>
      <c r="E61" t="s">
        <v>8</v>
      </c>
      <c r="F61" t="s">
        <v>25</v>
      </c>
      <c r="G61">
        <v>36071</v>
      </c>
      <c r="J61" s="1">
        <v>1.6813142857142858</v>
      </c>
      <c r="K61" t="s">
        <v>207</v>
      </c>
      <c r="L61" t="s">
        <v>8</v>
      </c>
      <c r="M61">
        <v>117692</v>
      </c>
      <c r="N61">
        <v>70000</v>
      </c>
      <c r="O61" t="s">
        <v>61</v>
      </c>
      <c r="P61">
        <v>117692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v>19823</v>
      </c>
      <c r="D62">
        <v>0.28318571428571426</v>
      </c>
      <c r="E62" t="s">
        <v>8</v>
      </c>
      <c r="F62" t="s">
        <v>57</v>
      </c>
      <c r="G62">
        <v>19823</v>
      </c>
      <c r="J62" s="1">
        <v>1.3407150000000001</v>
      </c>
      <c r="K62" t="s">
        <v>207</v>
      </c>
      <c r="L62" t="s">
        <v>8</v>
      </c>
      <c r="M62">
        <v>93850.05</v>
      </c>
      <c r="N62">
        <v>70000</v>
      </c>
      <c r="O62" t="s">
        <v>81</v>
      </c>
      <c r="P62">
        <v>93850.05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v>40750</v>
      </c>
      <c r="D63">
        <v>1.7717391304347827</v>
      </c>
      <c r="E63" t="s">
        <v>9</v>
      </c>
      <c r="F63" t="s">
        <v>80</v>
      </c>
      <c r="G63">
        <v>40750</v>
      </c>
      <c r="J63" s="1">
        <v>0.91550585714285715</v>
      </c>
      <c r="K63" t="s">
        <v>208</v>
      </c>
      <c r="L63" t="s">
        <v>8</v>
      </c>
      <c r="M63">
        <v>64085.41</v>
      </c>
      <c r="N63">
        <v>70000</v>
      </c>
      <c r="O63" t="s">
        <v>76</v>
      </c>
      <c r="P63">
        <v>64085.41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v>33193</v>
      </c>
      <c r="D64">
        <v>1.4431739130434782</v>
      </c>
      <c r="E64" t="s">
        <v>9</v>
      </c>
      <c r="F64" t="s">
        <v>19</v>
      </c>
      <c r="G64">
        <v>33193</v>
      </c>
      <c r="J64" s="1">
        <v>0.86799999999999999</v>
      </c>
      <c r="K64" t="s">
        <v>208</v>
      </c>
      <c r="L64" t="s">
        <v>8</v>
      </c>
      <c r="M64">
        <v>60760</v>
      </c>
      <c r="N64">
        <v>70000</v>
      </c>
      <c r="O64" t="s">
        <v>10</v>
      </c>
      <c r="P64">
        <v>60760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v>29725</v>
      </c>
      <c r="D65">
        <v>1.2923913043478261</v>
      </c>
      <c r="E65" t="s">
        <v>9</v>
      </c>
      <c r="F65" t="s">
        <v>34</v>
      </c>
      <c r="G65">
        <v>29725</v>
      </c>
      <c r="J65" s="1">
        <v>0.7658571428571429</v>
      </c>
      <c r="K65" t="s">
        <v>208</v>
      </c>
      <c r="L65" t="s">
        <v>8</v>
      </c>
      <c r="M65">
        <v>53610</v>
      </c>
      <c r="N65">
        <v>70000</v>
      </c>
      <c r="O65" t="s">
        <v>27</v>
      </c>
      <c r="P65">
        <v>53610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v>26341</v>
      </c>
      <c r="D66">
        <v>1.1452608695652173</v>
      </c>
      <c r="E66" t="s">
        <v>9</v>
      </c>
      <c r="F66" t="s">
        <v>13</v>
      </c>
      <c r="G66">
        <v>26341</v>
      </c>
      <c r="J66" s="1">
        <v>0.64928571428571424</v>
      </c>
      <c r="K66" t="s">
        <v>209</v>
      </c>
      <c r="L66" t="s">
        <v>8</v>
      </c>
      <c r="M66">
        <v>45450</v>
      </c>
      <c r="N66">
        <v>70000</v>
      </c>
      <c r="O66" t="s">
        <v>42</v>
      </c>
      <c r="P66">
        <v>45450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v>24620</v>
      </c>
      <c r="D67">
        <v>1.0704347826086957</v>
      </c>
      <c r="E67" t="s">
        <v>9</v>
      </c>
      <c r="F67" t="s">
        <v>24</v>
      </c>
      <c r="G67">
        <v>24620</v>
      </c>
      <c r="J67" s="1">
        <v>0.51529999999999998</v>
      </c>
      <c r="K67" t="s">
        <v>209</v>
      </c>
      <c r="L67" t="s">
        <v>8</v>
      </c>
      <c r="M67">
        <v>36071</v>
      </c>
      <c r="N67">
        <v>70000</v>
      </c>
      <c r="O67" t="s">
        <v>25</v>
      </c>
      <c r="P67">
        <v>36071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v>16965</v>
      </c>
      <c r="D68">
        <v>0.73760869565217391</v>
      </c>
      <c r="E68" t="s">
        <v>9</v>
      </c>
      <c r="F68" t="s">
        <v>51</v>
      </c>
      <c r="G68">
        <v>16965</v>
      </c>
      <c r="J68" s="1">
        <v>0.28318571428571426</v>
      </c>
      <c r="K68" t="s">
        <v>210</v>
      </c>
      <c r="L68" t="s">
        <v>8</v>
      </c>
      <c r="M68">
        <v>19823</v>
      </c>
      <c r="N68">
        <v>70000</v>
      </c>
      <c r="O68" t="s">
        <v>57</v>
      </c>
      <c r="P68">
        <v>19823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v>15001</v>
      </c>
      <c r="D69">
        <v>0.65221739130434786</v>
      </c>
      <c r="E69" t="s">
        <v>9</v>
      </c>
      <c r="F69" t="s">
        <v>77</v>
      </c>
      <c r="G69">
        <v>15001</v>
      </c>
      <c r="J69" s="1">
        <v>1.7717391304347827</v>
      </c>
      <c r="K69" t="s">
        <v>207</v>
      </c>
      <c r="L69" t="s">
        <v>9</v>
      </c>
      <c r="M69">
        <v>40750</v>
      </c>
      <c r="N69">
        <v>23000</v>
      </c>
      <c r="O69" t="s">
        <v>80</v>
      </c>
      <c r="P69">
        <v>40750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v>8861</v>
      </c>
      <c r="D70">
        <v>0.38526086956521738</v>
      </c>
      <c r="E70" t="s">
        <v>9</v>
      </c>
      <c r="F70" t="s">
        <v>54</v>
      </c>
      <c r="G70">
        <v>8861</v>
      </c>
      <c r="J70" s="1">
        <v>1.4431739130434782</v>
      </c>
      <c r="K70" t="s">
        <v>207</v>
      </c>
      <c r="L70" t="s">
        <v>9</v>
      </c>
      <c r="M70">
        <v>33193</v>
      </c>
      <c r="N70">
        <v>23000</v>
      </c>
      <c r="O70" t="s">
        <v>19</v>
      </c>
      <c r="P70">
        <v>33193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v>6242</v>
      </c>
      <c r="D71">
        <v>0.2713913043478261</v>
      </c>
      <c r="E71" t="s">
        <v>9</v>
      </c>
      <c r="F71" t="s">
        <v>100</v>
      </c>
      <c r="G71">
        <v>6242</v>
      </c>
      <c r="J71" s="1">
        <v>1.2923913043478261</v>
      </c>
      <c r="K71" t="s">
        <v>207</v>
      </c>
      <c r="L71" t="s">
        <v>9</v>
      </c>
      <c r="M71">
        <v>29725</v>
      </c>
      <c r="N71">
        <v>23000</v>
      </c>
      <c r="O71" t="s">
        <v>34</v>
      </c>
      <c r="P71">
        <v>29725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v>3760</v>
      </c>
      <c r="D72">
        <v>0.16347826086956521</v>
      </c>
      <c r="E72" t="s">
        <v>9</v>
      </c>
      <c r="F72" t="s">
        <v>50</v>
      </c>
      <c r="G72">
        <v>3760</v>
      </c>
      <c r="J72" s="1">
        <v>1.1452608695652173</v>
      </c>
      <c r="K72" t="s">
        <v>207</v>
      </c>
      <c r="L72" t="s">
        <v>9</v>
      </c>
      <c r="M72">
        <v>26341</v>
      </c>
      <c r="N72">
        <v>23000</v>
      </c>
      <c r="O72" t="s">
        <v>13</v>
      </c>
      <c r="P72">
        <v>26341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207</v>
      </c>
      <c r="L73" t="s">
        <v>9</v>
      </c>
      <c r="M73">
        <v>24620</v>
      </c>
      <c r="N73">
        <v>23000</v>
      </c>
      <c r="O73" t="s">
        <v>24</v>
      </c>
      <c r="P73">
        <v>24620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208</v>
      </c>
      <c r="L74" t="s">
        <v>9</v>
      </c>
      <c r="M74">
        <v>16965</v>
      </c>
      <c r="N74">
        <v>23000</v>
      </c>
      <c r="O74" t="s">
        <v>51</v>
      </c>
      <c r="P74">
        <v>16965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209</v>
      </c>
      <c r="L75" t="s">
        <v>9</v>
      </c>
      <c r="M75">
        <v>15001</v>
      </c>
      <c r="N75">
        <v>23000</v>
      </c>
      <c r="O75" t="s">
        <v>77</v>
      </c>
      <c r="P75">
        <v>15001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210</v>
      </c>
      <c r="L76" t="s">
        <v>9</v>
      </c>
      <c r="M76">
        <v>8861</v>
      </c>
      <c r="N76">
        <v>23000</v>
      </c>
      <c r="O76" t="s">
        <v>54</v>
      </c>
      <c r="P76">
        <v>8861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210</v>
      </c>
      <c r="L77" t="s">
        <v>9</v>
      </c>
      <c r="M77">
        <v>6242</v>
      </c>
      <c r="N77">
        <v>23000</v>
      </c>
      <c r="O77" t="s">
        <v>100</v>
      </c>
      <c r="P77">
        <v>6242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210</v>
      </c>
      <c r="L78" t="s">
        <v>9</v>
      </c>
      <c r="M78">
        <v>3760</v>
      </c>
      <c r="N78">
        <v>23000</v>
      </c>
      <c r="O78" t="s">
        <v>50</v>
      </c>
      <c r="P78">
        <v>3760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84" spans="12:12" x14ac:dyDescent="0.25">
      <c r="L84" t="s">
        <v>3</v>
      </c>
    </row>
    <row r="85" spans="12:12" x14ac:dyDescent="0.25">
      <c r="L85" t="s">
        <v>3</v>
      </c>
    </row>
    <row r="86" spans="12:12" x14ac:dyDescent="0.25">
      <c r="L86" t="s">
        <v>3</v>
      </c>
    </row>
    <row r="87" spans="12:12" x14ac:dyDescent="0.25">
      <c r="L87" t="s">
        <v>3</v>
      </c>
    </row>
    <row r="88" spans="12:12" x14ac:dyDescent="0.25">
      <c r="L88" t="s">
        <v>3</v>
      </c>
    </row>
    <row r="89" spans="12:12" x14ac:dyDescent="0.25">
      <c r="L89" t="s">
        <v>3</v>
      </c>
    </row>
    <row r="90" spans="12:12" x14ac:dyDescent="0.25">
      <c r="L90" t="s">
        <v>3</v>
      </c>
    </row>
    <row r="91" spans="12:12" x14ac:dyDescent="0.25">
      <c r="L91" t="s">
        <v>3</v>
      </c>
    </row>
    <row r="92" spans="12:12" x14ac:dyDescent="0.25">
      <c r="L92" t="s">
        <v>3</v>
      </c>
    </row>
    <row r="93" spans="12:12" x14ac:dyDescent="0.25">
      <c r="L93" t="s">
        <v>3</v>
      </c>
    </row>
    <row r="94" spans="12:12" x14ac:dyDescent="0.25">
      <c r="L94" t="s">
        <v>4</v>
      </c>
    </row>
    <row r="95" spans="12:12" x14ac:dyDescent="0.25">
      <c r="L95" t="s">
        <v>4</v>
      </c>
    </row>
    <row r="96" spans="12:12" x14ac:dyDescent="0.25">
      <c r="L96" t="s">
        <v>4</v>
      </c>
    </row>
    <row r="97" spans="12:12" x14ac:dyDescent="0.25">
      <c r="L97" t="s">
        <v>4</v>
      </c>
    </row>
    <row r="98" spans="12:12" x14ac:dyDescent="0.25">
      <c r="L98" t="s">
        <v>4</v>
      </c>
    </row>
    <row r="99" spans="12:12" x14ac:dyDescent="0.25">
      <c r="L99" t="s">
        <v>4</v>
      </c>
    </row>
    <row r="100" spans="12:12" x14ac:dyDescent="0.25">
      <c r="L100" t="s">
        <v>4</v>
      </c>
    </row>
    <row r="101" spans="12:12" x14ac:dyDescent="0.25">
      <c r="L101" t="s">
        <v>4</v>
      </c>
    </row>
    <row r="102" spans="12:12" x14ac:dyDescent="0.25">
      <c r="L102" t="s">
        <v>4</v>
      </c>
    </row>
    <row r="103" spans="12:12" x14ac:dyDescent="0.25">
      <c r="L103" t="s">
        <v>4</v>
      </c>
    </row>
    <row r="104" spans="12:12" x14ac:dyDescent="0.25">
      <c r="L104" t="s">
        <v>127</v>
      </c>
    </row>
    <row r="105" spans="12:12" x14ac:dyDescent="0.25">
      <c r="L105" t="s">
        <v>127</v>
      </c>
    </row>
    <row r="106" spans="12:12" x14ac:dyDescent="0.25">
      <c r="L106" t="s">
        <v>127</v>
      </c>
    </row>
    <row r="107" spans="12:12" x14ac:dyDescent="0.25">
      <c r="L107" t="s">
        <v>127</v>
      </c>
    </row>
    <row r="108" spans="12:12" x14ac:dyDescent="0.25">
      <c r="L108" t="s">
        <v>127</v>
      </c>
    </row>
    <row r="109" spans="12:12" x14ac:dyDescent="0.25">
      <c r="L109" t="s">
        <v>127</v>
      </c>
    </row>
    <row r="110" spans="12:12" x14ac:dyDescent="0.25">
      <c r="L110" t="s">
        <v>127</v>
      </c>
    </row>
    <row r="111" spans="12:12" x14ac:dyDescent="0.25">
      <c r="L111" t="s">
        <v>127</v>
      </c>
    </row>
    <row r="112" spans="12:12" x14ac:dyDescent="0.25">
      <c r="L112" t="s">
        <v>5</v>
      </c>
    </row>
    <row r="113" spans="12:12" x14ac:dyDescent="0.25">
      <c r="L113" t="s">
        <v>5</v>
      </c>
    </row>
    <row r="114" spans="12:12" x14ac:dyDescent="0.25">
      <c r="L114" t="s">
        <v>5</v>
      </c>
    </row>
    <row r="115" spans="12:12" x14ac:dyDescent="0.25">
      <c r="L115" t="s">
        <v>5</v>
      </c>
    </row>
    <row r="116" spans="12:12" x14ac:dyDescent="0.25">
      <c r="L116" t="s">
        <v>5</v>
      </c>
    </row>
    <row r="117" spans="12:12" x14ac:dyDescent="0.25">
      <c r="L117" t="s">
        <v>5</v>
      </c>
    </row>
    <row r="118" spans="12:12" x14ac:dyDescent="0.25">
      <c r="L118" t="s">
        <v>5</v>
      </c>
    </row>
    <row r="119" spans="12:12" x14ac:dyDescent="0.25">
      <c r="L119" t="s">
        <v>5</v>
      </c>
    </row>
    <row r="120" spans="12:12" x14ac:dyDescent="0.25">
      <c r="L120" t="s">
        <v>6</v>
      </c>
    </row>
    <row r="121" spans="12:12" x14ac:dyDescent="0.25">
      <c r="L121" t="s">
        <v>6</v>
      </c>
    </row>
    <row r="122" spans="12:12" x14ac:dyDescent="0.25">
      <c r="L122" t="s">
        <v>6</v>
      </c>
    </row>
    <row r="123" spans="12:12" x14ac:dyDescent="0.25">
      <c r="L123" t="s">
        <v>6</v>
      </c>
    </row>
    <row r="124" spans="12:12" x14ac:dyDescent="0.25">
      <c r="L124" t="s">
        <v>6</v>
      </c>
    </row>
    <row r="125" spans="12:12" x14ac:dyDescent="0.25">
      <c r="L125" t="s">
        <v>6</v>
      </c>
    </row>
    <row r="126" spans="12:12" x14ac:dyDescent="0.25">
      <c r="L126" t="s">
        <v>6</v>
      </c>
    </row>
    <row r="127" spans="12:12" x14ac:dyDescent="0.25">
      <c r="L127" t="s">
        <v>6</v>
      </c>
    </row>
    <row r="128" spans="12:12" x14ac:dyDescent="0.25">
      <c r="L128" t="s">
        <v>7</v>
      </c>
    </row>
    <row r="129" spans="12:12" x14ac:dyDescent="0.25">
      <c r="L129" t="s">
        <v>7</v>
      </c>
    </row>
    <row r="130" spans="12:12" x14ac:dyDescent="0.25">
      <c r="L130" t="s">
        <v>7</v>
      </c>
    </row>
    <row r="131" spans="12:12" x14ac:dyDescent="0.25">
      <c r="L131" t="s">
        <v>7</v>
      </c>
    </row>
    <row r="132" spans="12:12" x14ac:dyDescent="0.25">
      <c r="L132" t="s">
        <v>7</v>
      </c>
    </row>
    <row r="133" spans="12:12" x14ac:dyDescent="0.25">
      <c r="L133" t="s">
        <v>7</v>
      </c>
    </row>
    <row r="134" spans="12:12" x14ac:dyDescent="0.25">
      <c r="L134" t="s">
        <v>7</v>
      </c>
    </row>
    <row r="135" spans="12:12" x14ac:dyDescent="0.25">
      <c r="L135" t="s">
        <v>7</v>
      </c>
    </row>
    <row r="136" spans="12:12" x14ac:dyDescent="0.25">
      <c r="L136" t="s">
        <v>8</v>
      </c>
    </row>
    <row r="137" spans="12:12" x14ac:dyDescent="0.25">
      <c r="L137" t="s">
        <v>8</v>
      </c>
    </row>
    <row r="138" spans="12:12" x14ac:dyDescent="0.25">
      <c r="L138" t="s">
        <v>8</v>
      </c>
    </row>
    <row r="139" spans="12:12" x14ac:dyDescent="0.25">
      <c r="L139" t="s">
        <v>8</v>
      </c>
    </row>
    <row r="140" spans="12:12" x14ac:dyDescent="0.25">
      <c r="L140" t="s">
        <v>8</v>
      </c>
    </row>
    <row r="141" spans="12:12" x14ac:dyDescent="0.25">
      <c r="L141" t="s">
        <v>8</v>
      </c>
    </row>
    <row r="142" spans="12:12" x14ac:dyDescent="0.25">
      <c r="L142" t="s">
        <v>8</v>
      </c>
    </row>
    <row r="143" spans="12:12" x14ac:dyDescent="0.25">
      <c r="L143" t="s">
        <v>8</v>
      </c>
    </row>
    <row r="144" spans="12:12" x14ac:dyDescent="0.25">
      <c r="L144" t="s">
        <v>9</v>
      </c>
    </row>
    <row r="145" spans="12:12" x14ac:dyDescent="0.25">
      <c r="L145" t="s">
        <v>9</v>
      </c>
    </row>
    <row r="146" spans="12:12" x14ac:dyDescent="0.25">
      <c r="L146" t="s">
        <v>9</v>
      </c>
    </row>
    <row r="147" spans="12:12" x14ac:dyDescent="0.25">
      <c r="L147" t="s">
        <v>9</v>
      </c>
    </row>
    <row r="148" spans="12:12" x14ac:dyDescent="0.25">
      <c r="L148" t="s">
        <v>9</v>
      </c>
    </row>
    <row r="149" spans="12:12" x14ac:dyDescent="0.25">
      <c r="L149" t="s">
        <v>9</v>
      </c>
    </row>
    <row r="150" spans="12:12" x14ac:dyDescent="0.25">
      <c r="L150" t="s">
        <v>9</v>
      </c>
    </row>
    <row r="151" spans="12:12" x14ac:dyDescent="0.25">
      <c r="L151" t="s">
        <v>9</v>
      </c>
    </row>
    <row r="152" spans="12:12" x14ac:dyDescent="0.25">
      <c r="L152" t="s">
        <v>9</v>
      </c>
    </row>
    <row r="153" spans="12:12" x14ac:dyDescent="0.25">
      <c r="L153" t="s">
        <v>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3" ht="26.25" x14ac:dyDescent="0.4">
      <c r="A3" t="s">
        <v>5</v>
      </c>
      <c r="B3" t="s">
        <v>29</v>
      </c>
      <c r="C3">
        <v>23366</v>
      </c>
      <c r="D3" s="1">
        <v>1.669</v>
      </c>
      <c r="E3" s="1" t="s">
        <v>5</v>
      </c>
      <c r="F3" t="s">
        <v>29</v>
      </c>
      <c r="G3">
        <v>23366</v>
      </c>
      <c r="J3" s="34">
        <v>2025</v>
      </c>
      <c r="K3" s="34" t="s">
        <v>194</v>
      </c>
      <c r="L3" s="34">
        <v>21</v>
      </c>
    </row>
    <row r="4" spans="1:63" x14ac:dyDescent="0.25">
      <c r="A4" t="s">
        <v>5</v>
      </c>
      <c r="B4" t="s">
        <v>96</v>
      </c>
      <c r="C4">
        <v>20031</v>
      </c>
      <c r="D4" s="1">
        <v>1.4307857142857143</v>
      </c>
      <c r="E4" s="1" t="s">
        <v>5</v>
      </c>
      <c r="F4" t="s">
        <v>96</v>
      </c>
      <c r="G4">
        <v>20031</v>
      </c>
    </row>
    <row r="5" spans="1:63" x14ac:dyDescent="0.25">
      <c r="A5" t="s">
        <v>5</v>
      </c>
      <c r="B5" t="s">
        <v>79</v>
      </c>
      <c r="C5">
        <v>14036</v>
      </c>
      <c r="D5" s="1">
        <v>1.0025714285714287</v>
      </c>
      <c r="E5" s="1" t="s">
        <v>5</v>
      </c>
      <c r="F5" t="s">
        <v>79</v>
      </c>
      <c r="G5">
        <v>14036</v>
      </c>
    </row>
    <row r="6" spans="1:63" x14ac:dyDescent="0.25">
      <c r="A6" t="s">
        <v>5</v>
      </c>
      <c r="B6" t="s">
        <v>77</v>
      </c>
      <c r="C6">
        <v>12649</v>
      </c>
      <c r="D6" s="1">
        <v>0.90349999999999997</v>
      </c>
      <c r="E6" s="1" t="s">
        <v>5</v>
      </c>
      <c r="F6" t="s">
        <v>77</v>
      </c>
      <c r="G6">
        <v>12649</v>
      </c>
    </row>
    <row r="7" spans="1:63" x14ac:dyDescent="0.25">
      <c r="A7" t="s">
        <v>5</v>
      </c>
      <c r="B7" t="s">
        <v>55</v>
      </c>
      <c r="C7">
        <v>11140</v>
      </c>
      <c r="D7" s="1">
        <v>0.79571428571428571</v>
      </c>
      <c r="E7" s="1" t="s">
        <v>5</v>
      </c>
      <c r="F7" t="s">
        <v>55</v>
      </c>
      <c r="G7">
        <v>11140</v>
      </c>
      <c r="K7" s="1"/>
    </row>
    <row r="8" spans="1:63" x14ac:dyDescent="0.25">
      <c r="A8" t="s">
        <v>5</v>
      </c>
      <c r="B8" t="s">
        <v>54</v>
      </c>
      <c r="C8">
        <v>10033</v>
      </c>
      <c r="D8" s="1">
        <v>0.71664285714285714</v>
      </c>
      <c r="E8" s="1" t="s">
        <v>5</v>
      </c>
      <c r="F8" t="s">
        <v>54</v>
      </c>
      <c r="G8">
        <v>10033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137</v>
      </c>
      <c r="Q8" s="14" t="s">
        <v>138</v>
      </c>
      <c r="R8" s="14" t="s">
        <v>139</v>
      </c>
      <c r="S8" s="14" t="s">
        <v>140</v>
      </c>
      <c r="T8" s="14" t="s">
        <v>141</v>
      </c>
      <c r="U8" s="14" t="s">
        <v>142</v>
      </c>
      <c r="V8" s="14" t="s">
        <v>143</v>
      </c>
      <c r="W8" s="14" t="s">
        <v>144</v>
      </c>
      <c r="X8" s="14" t="s">
        <v>145</v>
      </c>
      <c r="Y8" s="14" t="s">
        <v>146</v>
      </c>
      <c r="Z8" s="14" t="s">
        <v>147</v>
      </c>
      <c r="AA8" s="14" t="s">
        <v>148</v>
      </c>
      <c r="AB8" s="14" t="s">
        <v>149</v>
      </c>
      <c r="AC8" s="14" t="s">
        <v>150</v>
      </c>
      <c r="AD8" s="14" t="s">
        <v>151</v>
      </c>
      <c r="AE8" s="14" t="s">
        <v>152</v>
      </c>
      <c r="AF8" s="14" t="s">
        <v>153</v>
      </c>
      <c r="AG8" s="14" t="s">
        <v>154</v>
      </c>
      <c r="AH8" s="14" t="s">
        <v>155</v>
      </c>
      <c r="AI8" s="14" t="s">
        <v>156</v>
      </c>
      <c r="AJ8" s="14" t="s">
        <v>157</v>
      </c>
      <c r="AL8" s="19" t="s">
        <v>180</v>
      </c>
      <c r="AM8" s="19" t="s">
        <v>182</v>
      </c>
      <c r="AN8" s="19" t="s">
        <v>183</v>
      </c>
      <c r="AO8" s="20" t="s">
        <v>94</v>
      </c>
      <c r="AP8" s="20" t="s">
        <v>137</v>
      </c>
      <c r="AQ8" s="20" t="s">
        <v>138</v>
      </c>
      <c r="AR8" s="20" t="s">
        <v>139</v>
      </c>
      <c r="AS8" s="20" t="s">
        <v>140</v>
      </c>
      <c r="AT8" s="20" t="s">
        <v>141</v>
      </c>
      <c r="AU8" s="20" t="s">
        <v>142</v>
      </c>
      <c r="AV8" s="20" t="s">
        <v>143</v>
      </c>
      <c r="AW8" s="20" t="s">
        <v>144</v>
      </c>
      <c r="AX8" s="20" t="s">
        <v>145</v>
      </c>
      <c r="AY8" s="20" t="s">
        <v>146</v>
      </c>
      <c r="AZ8" s="20" t="s">
        <v>147</v>
      </c>
      <c r="BA8" s="20" t="s">
        <v>148</v>
      </c>
      <c r="BB8" s="20" t="s">
        <v>149</v>
      </c>
      <c r="BC8" s="20" t="s">
        <v>150</v>
      </c>
      <c r="BD8" s="20" t="s">
        <v>151</v>
      </c>
      <c r="BE8" s="20" t="s">
        <v>152</v>
      </c>
      <c r="BF8" s="20" t="s">
        <v>153</v>
      </c>
      <c r="BG8" s="20" t="s">
        <v>154</v>
      </c>
      <c r="BH8" s="20" t="s">
        <v>155</v>
      </c>
      <c r="BI8" s="20" t="s">
        <v>156</v>
      </c>
      <c r="BJ8" s="20" t="s">
        <v>157</v>
      </c>
      <c r="BK8" s="19" t="s">
        <v>136</v>
      </c>
    </row>
    <row r="9" spans="1:63" x14ac:dyDescent="0.25">
      <c r="A9" t="s">
        <v>5</v>
      </c>
      <c r="B9" t="s">
        <v>100</v>
      </c>
      <c r="C9">
        <v>8032</v>
      </c>
      <c r="D9" s="1">
        <v>0.57371428571428573</v>
      </c>
      <c r="E9" s="1" t="s">
        <v>5</v>
      </c>
      <c r="F9" t="s">
        <v>100</v>
      </c>
      <c r="G9">
        <v>8032</v>
      </c>
      <c r="J9" s="1">
        <v>1.669</v>
      </c>
      <c r="K9" s="5" t="s">
        <v>207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204</v>
      </c>
    </row>
    <row r="10" spans="1:63" x14ac:dyDescent="0.25">
      <c r="A10" t="s">
        <v>5</v>
      </c>
      <c r="B10" t="s">
        <v>36</v>
      </c>
      <c r="C10">
        <v>5724</v>
      </c>
      <c r="D10" s="1">
        <v>0.40885714285714286</v>
      </c>
      <c r="E10" s="1" t="s">
        <v>5</v>
      </c>
      <c r="F10" t="s">
        <v>36</v>
      </c>
      <c r="G10">
        <v>5724</v>
      </c>
      <c r="J10" s="1">
        <v>1.4307857142857143</v>
      </c>
      <c r="K10" s="5" t="s">
        <v>207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204</v>
      </c>
    </row>
    <row r="11" spans="1:63" x14ac:dyDescent="0.25">
      <c r="A11" t="s">
        <v>2</v>
      </c>
      <c r="B11" t="s">
        <v>15</v>
      </c>
      <c r="C11">
        <v>55500</v>
      </c>
      <c r="D11" s="1">
        <v>3.7</v>
      </c>
      <c r="E11" s="1" t="s">
        <v>2</v>
      </c>
      <c r="F11" t="s">
        <v>15</v>
      </c>
      <c r="G11">
        <v>55500</v>
      </c>
      <c r="J11" s="1">
        <v>1.0025714285714287</v>
      </c>
      <c r="K11" s="5" t="s">
        <v>207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205</v>
      </c>
    </row>
    <row r="12" spans="1:63" x14ac:dyDescent="0.25">
      <c r="A12" t="s">
        <v>2</v>
      </c>
      <c r="B12" t="s">
        <v>49</v>
      </c>
      <c r="C12">
        <v>20550</v>
      </c>
      <c r="D12" s="1">
        <v>1.37</v>
      </c>
      <c r="E12" s="1" t="s">
        <v>2</v>
      </c>
      <c r="F12" t="s">
        <v>49</v>
      </c>
      <c r="G12">
        <v>20550</v>
      </c>
      <c r="J12" s="1">
        <v>0.90349999999999997</v>
      </c>
      <c r="K12" s="5" t="s">
        <v>208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203</v>
      </c>
    </row>
    <row r="13" spans="1:63" x14ac:dyDescent="0.25">
      <c r="A13" t="s">
        <v>2</v>
      </c>
      <c r="B13" t="s">
        <v>68</v>
      </c>
      <c r="C13">
        <v>20390</v>
      </c>
      <c r="D13" s="1">
        <v>1.3593333333333333</v>
      </c>
      <c r="E13" s="1" t="s">
        <v>2</v>
      </c>
      <c r="F13" t="s">
        <v>68</v>
      </c>
      <c r="G13">
        <v>20390</v>
      </c>
      <c r="J13" s="1">
        <v>0.79571428571428571</v>
      </c>
      <c r="K13" s="5" t="s">
        <v>208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206</v>
      </c>
    </row>
    <row r="14" spans="1:63" x14ac:dyDescent="0.25">
      <c r="A14" t="s">
        <v>2</v>
      </c>
      <c r="B14" t="s">
        <v>38</v>
      </c>
      <c r="C14">
        <v>18126</v>
      </c>
      <c r="D14" s="1">
        <v>1.2083999999999999</v>
      </c>
      <c r="E14" s="1" t="s">
        <v>2</v>
      </c>
      <c r="F14" t="s">
        <v>38</v>
      </c>
      <c r="G14">
        <v>18126</v>
      </c>
      <c r="J14" s="1">
        <v>0.71664285714285714</v>
      </c>
      <c r="K14" s="5" t="s">
        <v>208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205</v>
      </c>
    </row>
    <row r="15" spans="1:63" x14ac:dyDescent="0.25">
      <c r="A15" t="s">
        <v>2</v>
      </c>
      <c r="B15" t="s">
        <v>42</v>
      </c>
      <c r="C15">
        <v>17508</v>
      </c>
      <c r="D15" s="1">
        <v>1.1672</v>
      </c>
      <c r="E15" s="1" t="s">
        <v>2</v>
      </c>
      <c r="F15" t="s">
        <v>42</v>
      </c>
      <c r="G15">
        <v>17508</v>
      </c>
      <c r="J15" s="1">
        <v>0.57371428571428573</v>
      </c>
      <c r="K15" s="5" t="s">
        <v>209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v>16150</v>
      </c>
      <c r="D16" s="1">
        <v>1.0766666666666667</v>
      </c>
      <c r="E16" s="1" t="s">
        <v>2</v>
      </c>
      <c r="F16" t="s">
        <v>21</v>
      </c>
      <c r="G16">
        <v>16150</v>
      </c>
      <c r="J16" s="1">
        <v>0.40885714285714286</v>
      </c>
      <c r="K16" s="5" t="s">
        <v>209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v>10860</v>
      </c>
      <c r="D17" s="1">
        <v>0.72399999999999998</v>
      </c>
      <c r="E17" s="1" t="s">
        <v>2</v>
      </c>
      <c r="F17" t="s">
        <v>73</v>
      </c>
      <c r="G17">
        <v>10860</v>
      </c>
      <c r="J17" s="1">
        <v>3.7</v>
      </c>
      <c r="K17" s="5" t="s">
        <v>207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v>7990</v>
      </c>
      <c r="D18" s="1">
        <v>0.53266666666666662</v>
      </c>
      <c r="E18" s="1" t="s">
        <v>2</v>
      </c>
      <c r="F18" t="s">
        <v>48</v>
      </c>
      <c r="G18">
        <v>7990</v>
      </c>
      <c r="J18" s="1">
        <v>1.37</v>
      </c>
      <c r="K18" s="5" t="s">
        <v>207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v>6000</v>
      </c>
      <c r="D19" s="1">
        <v>0.4</v>
      </c>
      <c r="E19" s="1" t="s">
        <v>2</v>
      </c>
      <c r="F19" t="s">
        <v>27</v>
      </c>
      <c r="G19">
        <v>6000</v>
      </c>
      <c r="J19" s="1">
        <v>1.3593333333333333</v>
      </c>
      <c r="K19" s="5" t="s">
        <v>207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124</v>
      </c>
      <c r="C20">
        <v>27598</v>
      </c>
      <c r="D20" s="1">
        <v>1.9712857142857143</v>
      </c>
      <c r="E20" s="1" t="s">
        <v>7</v>
      </c>
      <c r="F20" t="s">
        <v>124</v>
      </c>
      <c r="G20">
        <v>27598</v>
      </c>
      <c r="J20" s="1">
        <v>1.2083999999999999</v>
      </c>
      <c r="K20" s="5" t="s">
        <v>207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v>18370</v>
      </c>
      <c r="D21" s="1">
        <v>1.3121428571428571</v>
      </c>
      <c r="E21" s="1" t="s">
        <v>7</v>
      </c>
      <c r="F21" t="s">
        <v>72</v>
      </c>
      <c r="G21">
        <v>18370</v>
      </c>
      <c r="J21" s="1">
        <v>1.1672</v>
      </c>
      <c r="K21" s="5" t="s">
        <v>207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v>8237</v>
      </c>
      <c r="D22" s="1">
        <v>0.58835714285714291</v>
      </c>
      <c r="E22" s="1" t="s">
        <v>7</v>
      </c>
      <c r="F22" t="s">
        <v>74</v>
      </c>
      <c r="G22">
        <v>8237</v>
      </c>
      <c r="J22" s="1">
        <v>1.0766666666666667</v>
      </c>
      <c r="K22" s="5" t="s">
        <v>207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v>8156</v>
      </c>
      <c r="D23" s="1">
        <v>0.58257142857142852</v>
      </c>
      <c r="E23" s="1" t="s">
        <v>7</v>
      </c>
      <c r="F23" t="s">
        <v>20</v>
      </c>
      <c r="G23">
        <v>8156</v>
      </c>
      <c r="J23" s="1">
        <v>0.72399999999999998</v>
      </c>
      <c r="K23" s="5" t="s">
        <v>208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v>7160</v>
      </c>
      <c r="D24" s="1">
        <v>0.51142857142857145</v>
      </c>
      <c r="E24" s="1" t="s">
        <v>7</v>
      </c>
      <c r="F24" t="s">
        <v>51</v>
      </c>
      <c r="G24">
        <v>7160</v>
      </c>
      <c r="J24" s="1">
        <v>0.53266666666666662</v>
      </c>
      <c r="K24" s="5" t="s">
        <v>209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v>5432</v>
      </c>
      <c r="D25" s="1">
        <v>0.38800000000000001</v>
      </c>
      <c r="E25" s="1" t="s">
        <v>7</v>
      </c>
      <c r="F25" t="s">
        <v>92</v>
      </c>
      <c r="G25">
        <v>5432</v>
      </c>
      <c r="J25" s="1">
        <v>0.4</v>
      </c>
      <c r="K25" s="5" t="s">
        <v>209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116</v>
      </c>
      <c r="C26">
        <v>4952</v>
      </c>
      <c r="D26" s="1">
        <v>0.3537142857142857</v>
      </c>
      <c r="E26" s="1" t="s">
        <v>7</v>
      </c>
      <c r="F26" t="s">
        <v>116</v>
      </c>
      <c r="G26">
        <v>4952</v>
      </c>
      <c r="J26" s="1">
        <v>1.9712857142857143</v>
      </c>
      <c r="K26" s="5" t="s">
        <v>207</v>
      </c>
      <c r="L26" t="s">
        <v>7</v>
      </c>
      <c r="M26">
        <v>27598</v>
      </c>
      <c r="N26">
        <v>14000</v>
      </c>
      <c r="O26" t="s">
        <v>124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v>1290</v>
      </c>
      <c r="D27" s="1">
        <v>9.2142857142857137E-2</v>
      </c>
      <c r="E27" s="1" t="s">
        <v>7</v>
      </c>
      <c r="F27" t="s">
        <v>53</v>
      </c>
      <c r="G27">
        <v>1290</v>
      </c>
      <c r="J27" s="1">
        <v>1.3121428571428571</v>
      </c>
      <c r="K27" s="5" t="s">
        <v>207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v>77469.58</v>
      </c>
      <c r="D28" s="1">
        <v>1.8016181395348838</v>
      </c>
      <c r="E28" s="1" t="s">
        <v>6</v>
      </c>
      <c r="F28" t="s">
        <v>18</v>
      </c>
      <c r="G28">
        <v>77469.58</v>
      </c>
      <c r="J28" s="1">
        <v>0.58835714285714291</v>
      </c>
      <c r="K28" s="5" t="s">
        <v>209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v>57393</v>
      </c>
      <c r="D29" s="1">
        <v>1.3347209302325582</v>
      </c>
      <c r="E29" s="1" t="s">
        <v>6</v>
      </c>
      <c r="F29" t="s">
        <v>24</v>
      </c>
      <c r="G29">
        <v>57393</v>
      </c>
      <c r="J29" s="1">
        <v>0.58257142857142852</v>
      </c>
      <c r="K29" s="5" t="s">
        <v>209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v>39700</v>
      </c>
      <c r="D30" s="1">
        <v>0.92325581395348832</v>
      </c>
      <c r="E30" s="1" t="s">
        <v>6</v>
      </c>
      <c r="F30" t="s">
        <v>61</v>
      </c>
      <c r="G30">
        <v>39700</v>
      </c>
      <c r="J30" s="1">
        <v>0.51142857142857145</v>
      </c>
      <c r="K30" s="5" t="s">
        <v>209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v>10671</v>
      </c>
      <c r="D31" s="1">
        <v>0.24816279069767441</v>
      </c>
      <c r="E31" s="1" t="s">
        <v>6</v>
      </c>
      <c r="F31" t="s">
        <v>78</v>
      </c>
      <c r="G31">
        <v>10671</v>
      </c>
      <c r="J31" s="1">
        <v>0.38800000000000001</v>
      </c>
      <c r="K31" s="5" t="s">
        <v>210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v>55485</v>
      </c>
      <c r="D32" s="1">
        <v>2.7742499999999999</v>
      </c>
      <c r="E32" s="1" t="s">
        <v>6</v>
      </c>
      <c r="F32" t="s">
        <v>50</v>
      </c>
      <c r="G32">
        <v>55485</v>
      </c>
      <c r="J32" s="1">
        <v>0.3537142857142857</v>
      </c>
      <c r="K32" s="5" t="s">
        <v>210</v>
      </c>
      <c r="L32" t="s">
        <v>7</v>
      </c>
      <c r="M32">
        <v>4952</v>
      </c>
      <c r="N32">
        <v>14000</v>
      </c>
      <c r="O32" t="s">
        <v>116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v>31712.5</v>
      </c>
      <c r="D33" s="1">
        <v>1.5856250000000001</v>
      </c>
      <c r="E33" s="1" t="s">
        <v>6</v>
      </c>
      <c r="F33" t="s">
        <v>35</v>
      </c>
      <c r="G33">
        <v>31712.5</v>
      </c>
      <c r="J33" s="1">
        <v>9.2142857142857137E-2</v>
      </c>
      <c r="K33" s="5" t="s">
        <v>210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v>23266</v>
      </c>
      <c r="D34" s="1">
        <v>1.1633</v>
      </c>
      <c r="E34" s="1" t="s">
        <v>6</v>
      </c>
      <c r="F34" t="s">
        <v>11</v>
      </c>
      <c r="G34">
        <v>23266</v>
      </c>
      <c r="J34" s="1">
        <v>1.8016181395348838</v>
      </c>
      <c r="K34" s="5" t="s">
        <v>207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v>23073</v>
      </c>
      <c r="D35" s="1">
        <v>1.1536500000000001</v>
      </c>
      <c r="E35" s="1" t="s">
        <v>6</v>
      </c>
      <c r="F35" t="s">
        <v>26</v>
      </c>
      <c r="G35">
        <v>23073</v>
      </c>
      <c r="J35" s="1">
        <v>1.3347209302325582</v>
      </c>
      <c r="K35" s="5" t="s">
        <v>207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v>20840</v>
      </c>
      <c r="D36" s="1">
        <v>1.042</v>
      </c>
      <c r="E36" s="1" t="s">
        <v>6</v>
      </c>
      <c r="F36" t="s">
        <v>81</v>
      </c>
      <c r="G36">
        <v>20840</v>
      </c>
      <c r="J36" s="1">
        <v>0.92325581395348832</v>
      </c>
      <c r="K36" s="5" t="s">
        <v>208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v>18922.900000000001</v>
      </c>
      <c r="D37" s="1">
        <v>0.94614500000000012</v>
      </c>
      <c r="E37" s="1" t="s">
        <v>6</v>
      </c>
      <c r="F37" t="s">
        <v>67</v>
      </c>
      <c r="G37">
        <v>18922.900000000001</v>
      </c>
      <c r="J37" s="1">
        <v>0.24816279069767441</v>
      </c>
      <c r="K37" s="5" t="s">
        <v>210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v>14521</v>
      </c>
      <c r="D38" s="1">
        <v>0.72604999999999997</v>
      </c>
      <c r="E38" s="1" t="s">
        <v>6</v>
      </c>
      <c r="F38" t="s">
        <v>19</v>
      </c>
      <c r="G38">
        <v>14521</v>
      </c>
      <c r="J38" s="1">
        <v>2.7742499999999999</v>
      </c>
      <c r="K38" s="5" t="s">
        <v>207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v>14085</v>
      </c>
      <c r="D39" s="1">
        <v>0.70425000000000004</v>
      </c>
      <c r="E39" s="1" t="s">
        <v>6</v>
      </c>
      <c r="F39" t="s">
        <v>65</v>
      </c>
      <c r="G39">
        <v>14085</v>
      </c>
      <c r="J39" s="1">
        <v>1.5856250000000001</v>
      </c>
      <c r="K39" s="5" t="s">
        <v>207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v>6153</v>
      </c>
      <c r="D40" s="1">
        <v>0.30764999999999998</v>
      </c>
      <c r="E40" s="1" t="s">
        <v>6</v>
      </c>
      <c r="F40" t="s">
        <v>41</v>
      </c>
      <c r="G40">
        <v>6153</v>
      </c>
      <c r="J40" s="1">
        <v>1.1633</v>
      </c>
      <c r="K40" s="5" t="s">
        <v>207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v>52011</v>
      </c>
      <c r="D41" s="1">
        <v>0.94565454545454541</v>
      </c>
      <c r="E41" s="1" t="s">
        <v>4</v>
      </c>
      <c r="F41" t="s">
        <v>57</v>
      </c>
      <c r="G41">
        <v>52011</v>
      </c>
      <c r="J41" s="1">
        <v>1.1536500000000001</v>
      </c>
      <c r="K41" s="5" t="s">
        <v>207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v>49500</v>
      </c>
      <c r="D42" s="1">
        <v>0.9</v>
      </c>
      <c r="E42" s="1" t="s">
        <v>4</v>
      </c>
      <c r="F42" t="s">
        <v>10</v>
      </c>
      <c r="G42">
        <v>49500</v>
      </c>
      <c r="J42" s="1">
        <v>1.042</v>
      </c>
      <c r="K42" s="5" t="s">
        <v>207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v>43548</v>
      </c>
      <c r="D43" s="1">
        <v>0.79178181818181814</v>
      </c>
      <c r="E43" s="1" t="s">
        <v>4</v>
      </c>
      <c r="F43" t="s">
        <v>60</v>
      </c>
      <c r="G43">
        <v>43548</v>
      </c>
      <c r="J43" s="1">
        <v>0.94614500000000012</v>
      </c>
      <c r="K43" s="5" t="s">
        <v>208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v>38655</v>
      </c>
      <c r="D44" s="1">
        <v>0.70281818181818179</v>
      </c>
      <c r="E44" s="1" t="s">
        <v>4</v>
      </c>
      <c r="F44" t="s">
        <v>59</v>
      </c>
      <c r="G44">
        <v>38655</v>
      </c>
      <c r="J44" s="1">
        <v>0.72604999999999997</v>
      </c>
      <c r="K44" s="5" t="s">
        <v>208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v>38121</v>
      </c>
      <c r="D45" s="1">
        <v>0.6931090909090909</v>
      </c>
      <c r="E45" s="1" t="s">
        <v>4</v>
      </c>
      <c r="F45" t="s">
        <v>75</v>
      </c>
      <c r="G45">
        <v>38121</v>
      </c>
      <c r="J45" s="1">
        <v>0.70425000000000004</v>
      </c>
      <c r="K45" s="5" t="s">
        <v>208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v>28146</v>
      </c>
      <c r="D46" s="1">
        <v>0.5117454545454545</v>
      </c>
      <c r="E46" s="1" t="s">
        <v>4</v>
      </c>
      <c r="F46" t="s">
        <v>80</v>
      </c>
      <c r="G46">
        <v>28146</v>
      </c>
      <c r="J46" s="1">
        <v>0.30764999999999998</v>
      </c>
      <c r="K46" s="5" t="s">
        <v>210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106</v>
      </c>
      <c r="C47">
        <v>28040</v>
      </c>
      <c r="D47" s="1">
        <v>0.50981818181818184</v>
      </c>
      <c r="E47" s="1" t="s">
        <v>4</v>
      </c>
      <c r="F47" t="s">
        <v>106</v>
      </c>
      <c r="G47">
        <v>28040</v>
      </c>
      <c r="J47" s="1">
        <v>0.94565454545454541</v>
      </c>
      <c r="K47" s="5" t="s">
        <v>208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v>26139</v>
      </c>
      <c r="D48" s="1">
        <v>0.47525454545454543</v>
      </c>
      <c r="E48" s="1" t="s">
        <v>4</v>
      </c>
      <c r="F48" t="s">
        <v>58</v>
      </c>
      <c r="G48">
        <v>26139</v>
      </c>
      <c r="J48" s="1">
        <v>0.9</v>
      </c>
      <c r="K48" s="5" t="s">
        <v>208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v>24730</v>
      </c>
      <c r="D49" s="1">
        <v>0.44963636363636361</v>
      </c>
      <c r="E49" s="1" t="s">
        <v>4</v>
      </c>
      <c r="F49" t="s">
        <v>93</v>
      </c>
      <c r="G49">
        <v>24730</v>
      </c>
      <c r="J49" s="1">
        <v>0.79178181818181814</v>
      </c>
      <c r="K49" s="5" t="s">
        <v>208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v>14342</v>
      </c>
      <c r="D50" s="1">
        <v>0.26076363636363636</v>
      </c>
      <c r="E50" s="1" t="s">
        <v>4</v>
      </c>
      <c r="F50" t="s">
        <v>40</v>
      </c>
      <c r="G50">
        <v>14342</v>
      </c>
      <c r="J50" s="1">
        <v>0.70281818181818179</v>
      </c>
      <c r="K50" s="5" t="s">
        <v>208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v>8469</v>
      </c>
      <c r="D51" s="1">
        <v>0.15398181818181819</v>
      </c>
      <c r="E51" s="1" t="s">
        <v>4</v>
      </c>
      <c r="F51" t="s">
        <v>37</v>
      </c>
      <c r="G51">
        <v>8469</v>
      </c>
      <c r="J51" s="1">
        <v>0.6931090909090909</v>
      </c>
      <c r="K51" s="5" t="s">
        <v>209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v>62084</v>
      </c>
      <c r="D52" s="1">
        <v>1.1288</v>
      </c>
      <c r="E52" s="1" t="s">
        <v>3</v>
      </c>
      <c r="F52" t="s">
        <v>31</v>
      </c>
      <c r="G52">
        <v>62084</v>
      </c>
      <c r="J52" s="1">
        <v>0.5117454545454545</v>
      </c>
      <c r="K52" s="5" t="s">
        <v>209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v>60632</v>
      </c>
      <c r="D53" s="1">
        <v>1.1024</v>
      </c>
      <c r="E53" s="1" t="s">
        <v>3</v>
      </c>
      <c r="F53" t="s">
        <v>23</v>
      </c>
      <c r="G53">
        <v>60632</v>
      </c>
      <c r="J53" s="1">
        <v>0.50981818181818184</v>
      </c>
      <c r="K53" s="5" t="s">
        <v>209</v>
      </c>
      <c r="L53" t="s">
        <v>4</v>
      </c>
      <c r="M53">
        <v>28040</v>
      </c>
      <c r="N53">
        <v>55000</v>
      </c>
      <c r="O53" t="s">
        <v>106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v>45839</v>
      </c>
      <c r="D54" s="1">
        <v>0.83343636363636364</v>
      </c>
      <c r="E54" s="1" t="s">
        <v>3</v>
      </c>
      <c r="F54" t="s">
        <v>69</v>
      </c>
      <c r="G54">
        <v>45839</v>
      </c>
      <c r="J54" s="1">
        <v>0.47525454545454543</v>
      </c>
      <c r="K54" s="5" t="s">
        <v>209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v>30280</v>
      </c>
      <c r="D55" s="1">
        <v>0.55054545454545456</v>
      </c>
      <c r="E55" s="1" t="s">
        <v>3</v>
      </c>
      <c r="F55" t="s">
        <v>32</v>
      </c>
      <c r="G55">
        <v>30280</v>
      </c>
      <c r="J55" s="1">
        <v>0.44963636363636361</v>
      </c>
      <c r="K55" s="5" t="s">
        <v>209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v>28100</v>
      </c>
      <c r="D56" s="1">
        <v>0.51090909090909087</v>
      </c>
      <c r="E56" s="1" t="s">
        <v>3</v>
      </c>
      <c r="F56" t="s">
        <v>13</v>
      </c>
      <c r="G56">
        <v>28100</v>
      </c>
      <c r="J56" s="1">
        <v>0.26076363636363636</v>
      </c>
      <c r="K56" s="5" t="s">
        <v>210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v>27454</v>
      </c>
      <c r="D57" s="1">
        <v>0.49916363636363636</v>
      </c>
      <c r="E57" s="1" t="s">
        <v>3</v>
      </c>
      <c r="F57" t="s">
        <v>22</v>
      </c>
      <c r="G57">
        <v>27454</v>
      </c>
      <c r="J57" s="1">
        <v>0.15398181818181819</v>
      </c>
      <c r="K57" s="5" t="s">
        <v>210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v>22405</v>
      </c>
      <c r="D58" s="1">
        <v>0.40736363636363637</v>
      </c>
      <c r="E58" s="1" t="s">
        <v>3</v>
      </c>
      <c r="F58" t="s">
        <v>16</v>
      </c>
      <c r="G58">
        <v>22405</v>
      </c>
      <c r="J58" s="1">
        <v>1.1288</v>
      </c>
      <c r="K58" s="5" t="s">
        <v>207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v>19800</v>
      </c>
      <c r="D59" s="1">
        <v>0.36</v>
      </c>
      <c r="E59" s="1" t="s">
        <v>3</v>
      </c>
      <c r="F59" t="s">
        <v>17</v>
      </c>
      <c r="G59">
        <v>19800</v>
      </c>
      <c r="J59" s="1">
        <v>1.1024</v>
      </c>
      <c r="K59" s="5" t="s">
        <v>207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v>19933</v>
      </c>
      <c r="D60" s="1">
        <v>0.36241818181818181</v>
      </c>
      <c r="E60" s="1" t="s">
        <v>3</v>
      </c>
      <c r="F60" t="s">
        <v>44</v>
      </c>
      <c r="G60">
        <v>19933</v>
      </c>
      <c r="J60" s="1">
        <v>0.83343636363636364</v>
      </c>
      <c r="K60" s="5" t="s">
        <v>208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v>16043</v>
      </c>
      <c r="D61" s="1">
        <v>0.29169090909090911</v>
      </c>
      <c r="E61" s="1" t="s">
        <v>3</v>
      </c>
      <c r="F61" t="s">
        <v>76</v>
      </c>
      <c r="G61">
        <v>16043</v>
      </c>
      <c r="J61" s="1">
        <v>0.55054545454545456</v>
      </c>
      <c r="K61" s="5" t="s">
        <v>209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v>15470</v>
      </c>
      <c r="D62" s="1">
        <v>0.28127272727272729</v>
      </c>
      <c r="E62" s="1" t="s">
        <v>3</v>
      </c>
      <c r="F62" t="s">
        <v>97</v>
      </c>
      <c r="G62">
        <v>15470</v>
      </c>
      <c r="J62" s="1">
        <v>0.51090909090909087</v>
      </c>
      <c r="K62" s="5" t="s">
        <v>209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209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209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210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210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210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210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59"/>
  <sheetViews>
    <sheetView zoomScale="70" zoomScaleNormal="70" workbookViewId="0">
      <selection activeCell="I11" sqref="I11"/>
    </sheetView>
  </sheetViews>
  <sheetFormatPr baseColWidth="10" defaultRowHeight="15" x14ac:dyDescent="0.25"/>
  <cols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K1" s="5"/>
    </row>
    <row r="2" spans="1:6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1" ht="26.25" x14ac:dyDescent="0.4">
      <c r="A3" s="35" t="s">
        <v>6</v>
      </c>
      <c r="B3" s="35" t="s">
        <v>19</v>
      </c>
      <c r="C3" s="37">
        <v>91930</v>
      </c>
      <c r="D3" s="36">
        <v>3.17</v>
      </c>
      <c r="E3" s="36" t="s">
        <v>6</v>
      </c>
      <c r="F3" t="s">
        <v>19</v>
      </c>
      <c r="G3" s="3">
        <v>91930</v>
      </c>
      <c r="J3" s="34">
        <v>2025</v>
      </c>
      <c r="K3" s="34" t="s">
        <v>241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v>67213</v>
      </c>
      <c r="D4" s="36">
        <v>2.3176896551724138</v>
      </c>
      <c r="E4" s="36" t="s">
        <v>6</v>
      </c>
      <c r="F4" t="s">
        <v>26</v>
      </c>
      <c r="G4" s="3">
        <v>67213</v>
      </c>
      <c r="K4" s="5"/>
    </row>
    <row r="5" spans="1:61" x14ac:dyDescent="0.25">
      <c r="A5" s="35" t="s">
        <v>6</v>
      </c>
      <c r="B5" s="35" t="s">
        <v>11</v>
      </c>
      <c r="C5" s="37">
        <v>47956</v>
      </c>
      <c r="D5" s="36">
        <v>1.6536551724137931</v>
      </c>
      <c r="E5" s="36" t="s">
        <v>6</v>
      </c>
      <c r="F5" t="s">
        <v>11</v>
      </c>
      <c r="G5" s="3">
        <v>47956</v>
      </c>
      <c r="K5" s="5"/>
      <c r="AY5" s="46"/>
    </row>
    <row r="6" spans="1:61" x14ac:dyDescent="0.25">
      <c r="A6" s="35" t="s">
        <v>6</v>
      </c>
      <c r="B6" s="35" t="s">
        <v>50</v>
      </c>
      <c r="C6" s="37">
        <v>45733</v>
      </c>
      <c r="D6" s="36">
        <v>1.577</v>
      </c>
      <c r="E6" s="36" t="s">
        <v>6</v>
      </c>
      <c r="F6" t="s">
        <v>50</v>
      </c>
      <c r="G6" s="3">
        <v>45733</v>
      </c>
      <c r="K6" s="5"/>
    </row>
    <row r="7" spans="1:61" x14ac:dyDescent="0.25">
      <c r="A7" s="35" t="s">
        <v>6</v>
      </c>
      <c r="B7" s="35" t="s">
        <v>34</v>
      </c>
      <c r="C7" s="37">
        <v>45665</v>
      </c>
      <c r="D7" s="36">
        <v>1.5746551724137932</v>
      </c>
      <c r="E7" s="36" t="s">
        <v>6</v>
      </c>
      <c r="F7" t="s">
        <v>34</v>
      </c>
      <c r="G7" s="3">
        <v>45665</v>
      </c>
      <c r="J7" s="1"/>
      <c r="K7" s="5"/>
    </row>
    <row r="8" spans="1:61" x14ac:dyDescent="0.25">
      <c r="A8" s="35" t="s">
        <v>6</v>
      </c>
      <c r="B8" s="35" t="s">
        <v>80</v>
      </c>
      <c r="C8" s="37">
        <v>45091</v>
      </c>
      <c r="D8" s="36">
        <v>1.5548620689655173</v>
      </c>
      <c r="E8" s="36" t="s">
        <v>6</v>
      </c>
      <c r="F8" t="s">
        <v>80</v>
      </c>
      <c r="G8" s="3">
        <v>45091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211</v>
      </c>
      <c r="Q8" s="14" t="s">
        <v>212</v>
      </c>
      <c r="R8" s="14" t="s">
        <v>213</v>
      </c>
      <c r="S8" s="14" t="s">
        <v>214</v>
      </c>
      <c r="T8" s="14" t="s">
        <v>215</v>
      </c>
      <c r="U8" s="14" t="s">
        <v>216</v>
      </c>
      <c r="V8" s="14" t="s">
        <v>217</v>
      </c>
      <c r="W8" s="14" t="s">
        <v>218</v>
      </c>
      <c r="X8" s="14" t="s">
        <v>219</v>
      </c>
      <c r="Y8" s="14" t="s">
        <v>220</v>
      </c>
      <c r="Z8" s="14" t="s">
        <v>221</v>
      </c>
      <c r="AA8" s="14" t="s">
        <v>222</v>
      </c>
      <c r="AB8" s="14" t="s">
        <v>223</v>
      </c>
      <c r="AC8" s="14" t="s">
        <v>224</v>
      </c>
      <c r="AD8" s="14" t="s">
        <v>225</v>
      </c>
      <c r="AE8" s="14" t="s">
        <v>226</v>
      </c>
      <c r="AF8" s="14" t="s">
        <v>227</v>
      </c>
      <c r="AG8" s="14" t="s">
        <v>228</v>
      </c>
      <c r="AH8" s="14" t="s">
        <v>229</v>
      </c>
      <c r="AI8" s="14" t="s">
        <v>230</v>
      </c>
      <c r="AK8" s="19" t="s">
        <v>180</v>
      </c>
      <c r="AL8" s="19" t="s">
        <v>182</v>
      </c>
      <c r="AM8" s="19" t="s">
        <v>183</v>
      </c>
      <c r="AN8" s="20" t="s">
        <v>94</v>
      </c>
      <c r="AO8" s="20" t="s">
        <v>211</v>
      </c>
      <c r="AP8" s="20" t="s">
        <v>212</v>
      </c>
      <c r="AQ8" s="20" t="s">
        <v>213</v>
      </c>
      <c r="AR8" s="20" t="s">
        <v>214</v>
      </c>
      <c r="AS8" s="20" t="s">
        <v>215</v>
      </c>
      <c r="AT8" s="20" t="s">
        <v>216</v>
      </c>
      <c r="AU8" s="20" t="s">
        <v>217</v>
      </c>
      <c r="AV8" s="20" t="s">
        <v>218</v>
      </c>
      <c r="AW8" s="20" t="s">
        <v>219</v>
      </c>
      <c r="AX8" s="20" t="s">
        <v>220</v>
      </c>
      <c r="AY8" s="20" t="s">
        <v>221</v>
      </c>
      <c r="AZ8" s="20" t="s">
        <v>222</v>
      </c>
      <c r="BA8" s="20" t="s">
        <v>223</v>
      </c>
      <c r="BB8" s="20" t="s">
        <v>224</v>
      </c>
      <c r="BC8" s="20" t="s">
        <v>225</v>
      </c>
      <c r="BD8" s="20" t="s">
        <v>226</v>
      </c>
      <c r="BE8" s="20" t="s">
        <v>227</v>
      </c>
      <c r="BF8" s="20" t="s">
        <v>228</v>
      </c>
      <c r="BG8" s="20" t="s">
        <v>229</v>
      </c>
      <c r="BH8" s="20" t="s">
        <v>230</v>
      </c>
      <c r="BI8" s="19" t="s">
        <v>136</v>
      </c>
    </row>
    <row r="9" spans="1:61" x14ac:dyDescent="0.25">
      <c r="A9" s="35" t="s">
        <v>6</v>
      </c>
      <c r="B9" s="35" t="s">
        <v>37</v>
      </c>
      <c r="C9" s="37">
        <v>40755</v>
      </c>
      <c r="D9" s="36">
        <v>1.4053448275862068</v>
      </c>
      <c r="E9" s="36" t="s">
        <v>6</v>
      </c>
      <c r="F9" t="s">
        <v>37</v>
      </c>
      <c r="G9" s="3">
        <v>40755</v>
      </c>
      <c r="J9">
        <v>1.5548620689655173</v>
      </c>
      <c r="K9" s="5" t="s">
        <v>207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204</v>
      </c>
    </row>
    <row r="10" spans="1:61" x14ac:dyDescent="0.25">
      <c r="A10" s="35" t="s">
        <v>6</v>
      </c>
      <c r="B10" s="35" t="s">
        <v>35</v>
      </c>
      <c r="C10" s="37">
        <v>37901.5</v>
      </c>
      <c r="D10" s="36">
        <v>1.306948275862069</v>
      </c>
      <c r="E10" s="36" t="s">
        <v>6</v>
      </c>
      <c r="F10" t="s">
        <v>35</v>
      </c>
      <c r="G10" s="3">
        <v>37901.5</v>
      </c>
      <c r="J10">
        <v>1.4053448275862068</v>
      </c>
      <c r="K10" s="5" t="s">
        <v>207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204</v>
      </c>
    </row>
    <row r="11" spans="1:61" x14ac:dyDescent="0.25">
      <c r="A11" s="35" t="s">
        <v>6</v>
      </c>
      <c r="B11" s="35" t="s">
        <v>81</v>
      </c>
      <c r="C11" s="37">
        <v>36382</v>
      </c>
      <c r="D11" s="36">
        <v>1.2545517241379309</v>
      </c>
      <c r="E11" s="36" t="s">
        <v>6</v>
      </c>
      <c r="F11" t="s">
        <v>81</v>
      </c>
      <c r="G11" s="3">
        <v>36382</v>
      </c>
      <c r="J11">
        <v>1.5746551724137932</v>
      </c>
      <c r="K11" s="5" t="s">
        <v>207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435</v>
      </c>
    </row>
    <row r="12" spans="1:61" x14ac:dyDescent="0.25">
      <c r="A12" s="35" t="s">
        <v>4</v>
      </c>
      <c r="B12" s="35" t="s">
        <v>75</v>
      </c>
      <c r="C12" s="37">
        <v>134547</v>
      </c>
      <c r="D12" s="36">
        <v>2.4242702702702701</v>
      </c>
      <c r="E12" s="36" t="s">
        <v>4</v>
      </c>
      <c r="F12" t="s">
        <v>75</v>
      </c>
      <c r="G12" s="3">
        <v>134547</v>
      </c>
      <c r="J12">
        <v>1.306948275862069</v>
      </c>
      <c r="K12" s="5" t="s">
        <v>207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434</v>
      </c>
    </row>
    <row r="13" spans="1:61" x14ac:dyDescent="0.25">
      <c r="A13" s="35" t="s">
        <v>4</v>
      </c>
      <c r="B13" s="35" t="s">
        <v>59</v>
      </c>
      <c r="C13" s="37">
        <v>78717</v>
      </c>
      <c r="D13" s="36">
        <v>1.4183243243243244</v>
      </c>
      <c r="E13" s="36" t="s">
        <v>4</v>
      </c>
      <c r="F13" t="s">
        <v>59</v>
      </c>
      <c r="G13" s="3">
        <v>78717</v>
      </c>
      <c r="J13">
        <v>3.17</v>
      </c>
      <c r="K13" s="5" t="s">
        <v>207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240</v>
      </c>
    </row>
    <row r="14" spans="1:61" x14ac:dyDescent="0.25">
      <c r="A14" s="35" t="s">
        <v>4</v>
      </c>
      <c r="B14" s="35" t="s">
        <v>60</v>
      </c>
      <c r="C14" s="37">
        <v>71791</v>
      </c>
      <c r="D14" s="36">
        <v>1.2935315315315314</v>
      </c>
      <c r="E14" s="36" t="s">
        <v>4</v>
      </c>
      <c r="F14" t="s">
        <v>60</v>
      </c>
      <c r="G14" s="3">
        <v>71791</v>
      </c>
      <c r="J14">
        <v>1.2545517241379309</v>
      </c>
      <c r="K14" s="5" t="s">
        <v>207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v>62676</v>
      </c>
      <c r="D15" s="36">
        <v>1.1292972972972972</v>
      </c>
      <c r="E15" s="36" t="s">
        <v>4</v>
      </c>
      <c r="F15" t="s">
        <v>61</v>
      </c>
      <c r="G15" s="3">
        <v>62676</v>
      </c>
      <c r="J15">
        <v>1.577</v>
      </c>
      <c r="K15" s="5" t="s">
        <v>207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v>61628</v>
      </c>
      <c r="D16" s="36">
        <v>1.1104144144144144</v>
      </c>
      <c r="E16" s="36" t="s">
        <v>4</v>
      </c>
      <c r="F16" t="s">
        <v>18</v>
      </c>
      <c r="G16" s="3">
        <v>61628</v>
      </c>
      <c r="J16">
        <v>2.3176896551724138</v>
      </c>
      <c r="K16" s="5" t="s">
        <v>207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v>58400</v>
      </c>
      <c r="D17" s="36">
        <v>1.0522522522522522</v>
      </c>
      <c r="E17" s="36" t="s">
        <v>4</v>
      </c>
      <c r="F17" t="s">
        <v>10</v>
      </c>
      <c r="G17" s="3">
        <v>58400</v>
      </c>
      <c r="J17">
        <v>1.6536551724137931</v>
      </c>
      <c r="K17" s="5" t="s">
        <v>207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124</v>
      </c>
      <c r="C18" s="37">
        <v>53210</v>
      </c>
      <c r="D18" s="36">
        <v>0.95873873873873872</v>
      </c>
      <c r="E18" s="36" t="s">
        <v>4</v>
      </c>
      <c r="F18" t="s">
        <v>124</v>
      </c>
      <c r="G18" s="3">
        <v>53210</v>
      </c>
      <c r="J18">
        <v>0.95873873873873872</v>
      </c>
      <c r="K18" s="5" t="s">
        <v>208</v>
      </c>
      <c r="L18" t="s">
        <v>4</v>
      </c>
      <c r="M18">
        <v>53210</v>
      </c>
      <c r="N18">
        <v>55500</v>
      </c>
      <c r="O18" t="s">
        <v>124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v>44484</v>
      </c>
      <c r="D19" s="36">
        <v>0.80151351351351352</v>
      </c>
      <c r="E19" s="36" t="s">
        <v>4</v>
      </c>
      <c r="F19" t="s">
        <v>72</v>
      </c>
      <c r="G19" s="3">
        <v>44484</v>
      </c>
      <c r="J19">
        <v>1.4183243243243244</v>
      </c>
      <c r="K19" s="5" t="s">
        <v>207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v>8094</v>
      </c>
      <c r="D20" s="36">
        <v>0.14583783783783782</v>
      </c>
      <c r="E20" s="36" t="s">
        <v>4</v>
      </c>
      <c r="F20" t="s">
        <v>55</v>
      </c>
      <c r="G20" s="3">
        <v>8094</v>
      </c>
      <c r="J20">
        <v>2.4242702702702701</v>
      </c>
      <c r="K20" s="5" t="s">
        <v>207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v>6500</v>
      </c>
      <c r="D21" s="36">
        <v>0.11711711711711711</v>
      </c>
      <c r="E21" s="36" t="s">
        <v>4</v>
      </c>
      <c r="F21" t="s">
        <v>57</v>
      </c>
      <c r="G21" s="3">
        <v>6500</v>
      </c>
      <c r="J21">
        <v>1.1292972972972972</v>
      </c>
      <c r="K21" s="5" t="s">
        <v>207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v>123680</v>
      </c>
      <c r="D22" s="36">
        <v>2.2284684684684684</v>
      </c>
      <c r="E22" s="36" t="s">
        <v>3</v>
      </c>
      <c r="F22" t="s">
        <v>23</v>
      </c>
      <c r="G22" s="3">
        <v>123680</v>
      </c>
      <c r="J22">
        <v>1.1104144144144144</v>
      </c>
      <c r="K22" s="5" t="s">
        <v>207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v>73300</v>
      </c>
      <c r="D23" s="36">
        <v>1.3207207207207208</v>
      </c>
      <c r="E23" s="36" t="s">
        <v>3</v>
      </c>
      <c r="F23" t="s">
        <v>24</v>
      </c>
      <c r="G23" s="3">
        <v>73300</v>
      </c>
      <c r="J23">
        <v>0.80151351351351352</v>
      </c>
      <c r="K23" s="5" t="s">
        <v>208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v>70942</v>
      </c>
      <c r="D24" s="36">
        <v>1.2782342342342343</v>
      </c>
      <c r="E24" s="36" t="s">
        <v>3</v>
      </c>
      <c r="F24" t="s">
        <v>13</v>
      </c>
      <c r="G24" s="3">
        <v>70942</v>
      </c>
      <c r="J24">
        <v>1.0522522522522522</v>
      </c>
      <c r="K24" s="5" t="s">
        <v>207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v>65786</v>
      </c>
      <c r="D25" s="36">
        <v>1.1853333333333333</v>
      </c>
      <c r="E25" s="36" t="s">
        <v>3</v>
      </c>
      <c r="F25" t="s">
        <v>31</v>
      </c>
      <c r="G25" s="3">
        <v>65786</v>
      </c>
      <c r="J25">
        <v>0.11711711711711711</v>
      </c>
      <c r="K25" s="5" t="s">
        <v>210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v>60772</v>
      </c>
      <c r="D26" s="36">
        <v>1.094990990990991</v>
      </c>
      <c r="E26" s="36" t="s">
        <v>3</v>
      </c>
      <c r="F26" t="s">
        <v>32</v>
      </c>
      <c r="G26" s="3">
        <v>60772</v>
      </c>
      <c r="J26">
        <v>1.2935315315315314</v>
      </c>
      <c r="K26" s="5" t="s">
        <v>207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v>52140</v>
      </c>
      <c r="D27" s="36">
        <v>0.93945945945945941</v>
      </c>
      <c r="E27" s="36" t="s">
        <v>3</v>
      </c>
      <c r="F27" t="s">
        <v>22</v>
      </c>
      <c r="G27" s="3">
        <v>52140</v>
      </c>
      <c r="J27">
        <v>0.14583783783783782</v>
      </c>
      <c r="K27" s="5" t="s">
        <v>210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v>48554</v>
      </c>
      <c r="D28" s="36">
        <v>0.87484684684684688</v>
      </c>
      <c r="E28" s="36" t="s">
        <v>3</v>
      </c>
      <c r="F28" t="s">
        <v>96</v>
      </c>
      <c r="G28" s="3">
        <v>48554</v>
      </c>
      <c r="J28">
        <v>2.2284684684684684</v>
      </c>
      <c r="K28" s="5" t="s">
        <v>207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v>46006</v>
      </c>
      <c r="D29" s="36">
        <v>0.82893693693693693</v>
      </c>
      <c r="E29" s="36" t="s">
        <v>3</v>
      </c>
      <c r="F29" t="s">
        <v>17</v>
      </c>
      <c r="G29" s="3">
        <v>46006</v>
      </c>
      <c r="J29">
        <v>0.71255855855855854</v>
      </c>
      <c r="K29" s="5" t="s">
        <v>208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v>39547</v>
      </c>
      <c r="D30" s="36">
        <v>0.71255855855855854</v>
      </c>
      <c r="E30" s="36" t="s">
        <v>3</v>
      </c>
      <c r="F30" t="s">
        <v>33</v>
      </c>
      <c r="G30" s="3">
        <v>39547</v>
      </c>
      <c r="J30">
        <v>1.2782342342342343</v>
      </c>
      <c r="K30" s="5" t="s">
        <v>207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v>22703</v>
      </c>
      <c r="D31" s="36">
        <v>0.40906306306306306</v>
      </c>
      <c r="E31" s="36" t="s">
        <v>3</v>
      </c>
      <c r="F31" t="s">
        <v>65</v>
      </c>
      <c r="G31" s="3">
        <v>22703</v>
      </c>
      <c r="J31">
        <v>1.094990990990991</v>
      </c>
      <c r="K31" s="5" t="s">
        <v>207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v>87629.42</v>
      </c>
      <c r="D32" s="36">
        <v>2.468434366197183</v>
      </c>
      <c r="E32" s="36" t="s">
        <v>2</v>
      </c>
      <c r="F32" t="s">
        <v>76</v>
      </c>
      <c r="G32" s="3">
        <v>87629.42</v>
      </c>
      <c r="J32">
        <v>0.87484684684684688</v>
      </c>
      <c r="K32" s="5" t="s">
        <v>208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v>71399</v>
      </c>
      <c r="D33" s="36">
        <v>2.0112394366197184</v>
      </c>
      <c r="E33" s="36" t="s">
        <v>2</v>
      </c>
      <c r="F33" t="s">
        <v>38</v>
      </c>
      <c r="G33" s="3">
        <v>71399</v>
      </c>
      <c r="J33">
        <v>1.3207207207207208</v>
      </c>
      <c r="K33" s="5" t="s">
        <v>207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v>69256</v>
      </c>
      <c r="D34" s="36">
        <v>1.9508732394366197</v>
      </c>
      <c r="E34" s="36" t="s">
        <v>2</v>
      </c>
      <c r="F34" t="s">
        <v>68</v>
      </c>
      <c r="G34" s="3">
        <v>69256</v>
      </c>
      <c r="J34">
        <v>0.40906306306306306</v>
      </c>
      <c r="K34" s="5" t="s">
        <v>209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v>55486</v>
      </c>
      <c r="D35" s="36">
        <v>1.5629859154929577</v>
      </c>
      <c r="E35" s="36" t="s">
        <v>2</v>
      </c>
      <c r="F35" t="s">
        <v>42</v>
      </c>
      <c r="G35" s="3">
        <v>55486</v>
      </c>
      <c r="J35">
        <v>1.1853333333333333</v>
      </c>
      <c r="K35" s="5" t="s">
        <v>207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v>55649</v>
      </c>
      <c r="D36" s="36">
        <v>1.5675774647887324</v>
      </c>
      <c r="E36" s="36" t="s">
        <v>2</v>
      </c>
      <c r="F36" t="s">
        <v>78</v>
      </c>
      <c r="G36" s="3">
        <v>55649</v>
      </c>
      <c r="J36">
        <v>0.82893693693693693</v>
      </c>
      <c r="K36" s="5" t="s">
        <v>208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v>50650</v>
      </c>
      <c r="D37" s="36">
        <v>1.4267605633802818</v>
      </c>
      <c r="E37" s="36" t="s">
        <v>2</v>
      </c>
      <c r="F37" t="s">
        <v>25</v>
      </c>
      <c r="G37" s="3">
        <v>50650</v>
      </c>
      <c r="J37">
        <v>0.93945945945945941</v>
      </c>
      <c r="K37" s="5" t="s">
        <v>208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v>44122</v>
      </c>
      <c r="D38" s="36">
        <v>1.2428732394366198</v>
      </c>
      <c r="E38" s="36" t="s">
        <v>2</v>
      </c>
      <c r="F38" t="s">
        <v>15</v>
      </c>
      <c r="G38" s="3">
        <v>44122</v>
      </c>
      <c r="J38">
        <v>2.0112394366197184</v>
      </c>
      <c r="K38" s="5" t="s">
        <v>207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v>37132.9</v>
      </c>
      <c r="D39" s="36">
        <v>1.0459971830985917</v>
      </c>
      <c r="E39" s="36" t="s">
        <v>2</v>
      </c>
      <c r="F39" t="s">
        <v>29</v>
      </c>
      <c r="G39" s="3">
        <v>37132.9</v>
      </c>
      <c r="J39">
        <v>1.9508732394366197</v>
      </c>
      <c r="K39" s="5" t="s">
        <v>207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v>35643.279999999999</v>
      </c>
      <c r="D40" s="36">
        <v>1.0040360563380282</v>
      </c>
      <c r="E40" s="36" t="s">
        <v>2</v>
      </c>
      <c r="F40" t="s">
        <v>79</v>
      </c>
      <c r="G40" s="3">
        <v>35643.279999999999</v>
      </c>
      <c r="J40">
        <v>1.0459971830985917</v>
      </c>
      <c r="K40" s="5" t="s">
        <v>207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v>62720</v>
      </c>
      <c r="D41" s="36">
        <v>2.9866666666666668</v>
      </c>
      <c r="E41" s="36" t="s">
        <v>7</v>
      </c>
      <c r="F41" t="s">
        <v>58</v>
      </c>
      <c r="G41" s="3">
        <v>62720</v>
      </c>
      <c r="J41">
        <v>1.5629859154929577</v>
      </c>
      <c r="K41" s="5" t="s">
        <v>207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v>47357</v>
      </c>
      <c r="D42" s="36">
        <v>2.255095238095238</v>
      </c>
      <c r="E42" s="36" t="s">
        <v>7</v>
      </c>
      <c r="F42" t="s">
        <v>49</v>
      </c>
      <c r="G42" s="3">
        <v>47357</v>
      </c>
      <c r="J42">
        <v>1.2428732394366198</v>
      </c>
      <c r="K42" s="5" t="s">
        <v>207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v>38771</v>
      </c>
      <c r="D43" s="36">
        <v>1.8462380952380952</v>
      </c>
      <c r="E43" s="36" t="s">
        <v>7</v>
      </c>
      <c r="F43" t="s">
        <v>97</v>
      </c>
      <c r="G43" s="3">
        <v>38771</v>
      </c>
      <c r="J43">
        <v>1.4267605633802818</v>
      </c>
      <c r="K43" s="5" t="s">
        <v>207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v>36128</v>
      </c>
      <c r="D44" s="36">
        <v>1.7203809523809523</v>
      </c>
      <c r="E44" s="36" t="s">
        <v>7</v>
      </c>
      <c r="F44" t="s">
        <v>77</v>
      </c>
      <c r="G44" s="3">
        <v>36128</v>
      </c>
      <c r="J44">
        <v>2.468434366197183</v>
      </c>
      <c r="K44" s="5" t="s">
        <v>207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v>33350</v>
      </c>
      <c r="D45" s="36">
        <v>1.588095238095238</v>
      </c>
      <c r="E45" s="36" t="s">
        <v>7</v>
      </c>
      <c r="F45" t="s">
        <v>21</v>
      </c>
      <c r="G45" s="3">
        <v>33350</v>
      </c>
      <c r="J45">
        <v>1.0040360563380282</v>
      </c>
      <c r="K45" s="5" t="s">
        <v>207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v>32279</v>
      </c>
      <c r="D46" s="36">
        <v>1.5370952380952381</v>
      </c>
      <c r="E46" s="36" t="s">
        <v>7</v>
      </c>
      <c r="F46" t="s">
        <v>41</v>
      </c>
      <c r="G46" s="3">
        <v>32279</v>
      </c>
      <c r="J46">
        <v>1.5675774647887324</v>
      </c>
      <c r="K46" s="5" t="s">
        <v>207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v>27510</v>
      </c>
      <c r="D47" s="36">
        <v>1.31</v>
      </c>
      <c r="E47" s="36" t="s">
        <v>7</v>
      </c>
      <c r="F47" t="s">
        <v>12</v>
      </c>
      <c r="G47" s="3">
        <v>27510</v>
      </c>
      <c r="J47">
        <v>1.1331904761904761</v>
      </c>
      <c r="K47" s="5" t="s">
        <v>207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v>23797</v>
      </c>
      <c r="D48" s="36">
        <v>1.1331904761904761</v>
      </c>
      <c r="E48" s="36" t="s">
        <v>7</v>
      </c>
      <c r="F48" t="s">
        <v>40</v>
      </c>
      <c r="G48" s="3">
        <v>23797</v>
      </c>
      <c r="J48">
        <v>1.7203809523809523</v>
      </c>
      <c r="K48" s="5" t="s">
        <v>207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v>22480</v>
      </c>
      <c r="D49" s="36">
        <v>1.0704761904761906</v>
      </c>
      <c r="E49" s="36" t="s">
        <v>7</v>
      </c>
      <c r="F49" t="s">
        <v>51</v>
      </c>
      <c r="G49" s="3">
        <v>22480</v>
      </c>
      <c r="J49">
        <v>2.255095238095238</v>
      </c>
      <c r="K49" s="5" t="s">
        <v>207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v>22236</v>
      </c>
      <c r="D50" s="36">
        <v>1.0588571428571429</v>
      </c>
      <c r="E50" s="36" t="s">
        <v>7</v>
      </c>
      <c r="F50" t="s">
        <v>48</v>
      </c>
      <c r="G50" s="3">
        <v>22236</v>
      </c>
      <c r="J50">
        <v>1.0588571428571429</v>
      </c>
      <c r="K50" s="5" t="s">
        <v>207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239</v>
      </c>
      <c r="C51" s="37">
        <v>19471</v>
      </c>
      <c r="D51" s="36">
        <v>0.92719047619047623</v>
      </c>
      <c r="E51" s="36" t="s">
        <v>7</v>
      </c>
      <c r="F51" t="s">
        <v>436</v>
      </c>
      <c r="G51" s="3">
        <v>19471</v>
      </c>
      <c r="J51">
        <v>1.0704761904761906</v>
      </c>
      <c r="K51" s="5" t="s">
        <v>207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v>17729</v>
      </c>
      <c r="D52" s="36">
        <v>0.84423809523809523</v>
      </c>
      <c r="E52" s="36" t="s">
        <v>7</v>
      </c>
      <c r="F52" t="s">
        <v>73</v>
      </c>
      <c r="G52" s="3">
        <v>17729</v>
      </c>
      <c r="J52">
        <v>1.31</v>
      </c>
      <c r="K52" s="5" t="s">
        <v>207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116</v>
      </c>
      <c r="C53" s="37">
        <v>5539</v>
      </c>
      <c r="D53" s="36">
        <v>0.26376190476190475</v>
      </c>
      <c r="E53" s="36" t="s">
        <v>7</v>
      </c>
      <c r="F53" t="s">
        <v>116</v>
      </c>
      <c r="G53" s="3">
        <v>5539</v>
      </c>
      <c r="J53">
        <v>1.8462380952380952</v>
      </c>
      <c r="K53" s="5" t="s">
        <v>207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J54">
        <v>2.9866666666666668</v>
      </c>
      <c r="K54" s="5" t="s">
        <v>207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J55">
        <v>1.588095238095238</v>
      </c>
      <c r="K55" s="5" t="s">
        <v>207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J56">
        <v>1.5370952380952381</v>
      </c>
      <c r="K56" s="5" t="s">
        <v>207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J57">
        <v>0.84423809523809523</v>
      </c>
      <c r="K57" s="5" t="s">
        <v>208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J58">
        <v>0.26376190476190475</v>
      </c>
      <c r="K58" s="5" t="s">
        <v>210</v>
      </c>
      <c r="L58" t="s">
        <v>7</v>
      </c>
      <c r="M58">
        <v>5539</v>
      </c>
      <c r="N58">
        <v>21000</v>
      </c>
      <c r="O58" t="s">
        <v>116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J59">
        <v>0.92719047619047623</v>
      </c>
      <c r="K59" s="5" t="s">
        <v>208</v>
      </c>
      <c r="L59" t="s">
        <v>7</v>
      </c>
      <c r="M59">
        <v>19471</v>
      </c>
      <c r="N59">
        <v>21000</v>
      </c>
      <c r="O59" t="s">
        <v>239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</sheetData>
  <conditionalFormatting sqref="O9:O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tabSelected="1" zoomScale="70" zoomScaleNormal="70" workbookViewId="0">
      <selection activeCell="I5" sqref="I5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bestFit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H2"/>
      <c r="J2" s="33" t="s">
        <v>231</v>
      </c>
      <c r="K2" s="33" t="s">
        <v>181</v>
      </c>
      <c r="L2" s="33" t="s">
        <v>437</v>
      </c>
    </row>
    <row r="3" spans="1:65" ht="26.25" x14ac:dyDescent="0.4">
      <c r="A3" s="35" t="str">
        <f>IFERROR(VLOOKUP(D1_ENERO_2026[[#This Row],[ASESOR_CRR]],PLANTILLA_ACTUAL[],2,0),"")</f>
        <v>MELINA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PIERINA TESEN</v>
      </c>
      <c r="C3" s="37">
        <f>D1_ENERO_2026[[#This Row],[RECUPERO]]</f>
        <v>12700</v>
      </c>
      <c r="D3" s="36">
        <f>IFERROR(D1_ENERO_2026[[#This Row],[RECUP]]/VLOOKUP($J$3&amp;$K$3&amp;D1_ENERO_2026[[#This Row],[SUPER]],TablaMeta[],6,0),"")</f>
        <v>0.26458333333333334</v>
      </c>
      <c r="E3" s="36" t="str">
        <f>D1_ENERO_2026[[#This Row],[SUPER]]</f>
        <v>MELINA</v>
      </c>
      <c r="F3" t="s">
        <v>59</v>
      </c>
      <c r="G3" s="3">
        <v>12700</v>
      </c>
      <c r="H3"/>
      <c r="J3" s="34">
        <v>2026</v>
      </c>
      <c r="K3" s="34" t="s">
        <v>184</v>
      </c>
      <c r="L3" s="34">
        <v>22</v>
      </c>
    </row>
    <row r="4" spans="1:65" x14ac:dyDescent="0.25">
      <c r="A4" s="35" t="str">
        <f>IFERROR(VLOOKUP(D1_ENERO_2026[[#This Row],[ASESOR_CRR]],PLANTILLA_ACTUAL[],2,0),"")</f>
        <v>MELINA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JEREMIAS ROJAS</v>
      </c>
      <c r="C4" s="37">
        <f>D1_ENERO_2026[[#This Row],[RECUPERO]]</f>
        <v>11030</v>
      </c>
      <c r="D4" s="36">
        <f>IFERROR(D1_ENERO_2026[[#This Row],[RECUP]]/VLOOKUP($J$3&amp;$K$3&amp;D1_ENERO_2026[[#This Row],[SUPER]],TablaMeta[],6,0),"")</f>
        <v>0.22979166666666667</v>
      </c>
      <c r="E4" s="36" t="str">
        <f>D1_ENERO_2026[[#This Row],[SUPER]]</f>
        <v>MELINA</v>
      </c>
      <c r="F4" t="s">
        <v>124</v>
      </c>
      <c r="G4" s="3">
        <v>11030</v>
      </c>
      <c r="H4"/>
      <c r="K4" s="5"/>
      <c r="L4"/>
    </row>
    <row r="5" spans="1:65" x14ac:dyDescent="0.25">
      <c r="A5" s="35" t="str">
        <f>IFERROR(VLOOKUP(D1_ENERO_2026[[#This Row],[ASESOR_CRR]],PLANTILLA_ACTUAL[],2,0),"")</f>
        <v>MELINA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VERONICA TASAYCO</v>
      </c>
      <c r="C5" s="37">
        <f>D1_ENERO_2026[[#This Row],[RECUPERO]]</f>
        <v>9451</v>
      </c>
      <c r="D5" s="36">
        <f>IFERROR(D1_ENERO_2026[[#This Row],[RECUP]]/VLOOKUP($J$3&amp;$K$3&amp;D1_ENERO_2026[[#This Row],[SUPER]],TablaMeta[],6,0),"")</f>
        <v>0.19689583333333333</v>
      </c>
      <c r="E5" s="36" t="str">
        <f>D1_ENERO_2026[[#This Row],[SUPER]]</f>
        <v>MELINA</v>
      </c>
      <c r="F5" t="s">
        <v>10</v>
      </c>
      <c r="G5" s="3">
        <v>9451</v>
      </c>
      <c r="H5"/>
      <c r="K5" s="5"/>
      <c r="L5"/>
      <c r="BC5" s="46"/>
    </row>
    <row r="6" spans="1:65" x14ac:dyDescent="0.25">
      <c r="A6" s="35" t="str">
        <f>IFERROR(VLOOKUP(D1_ENERO_2026[[#This Row],[ASESOR_CRR]],PLANTILLA_ACTUAL[],2,0),"")</f>
        <v>MELINA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GENESIS VICUNA</v>
      </c>
      <c r="C6" s="37">
        <f>D1_ENERO_2026[[#This Row],[RECUPERO]]</f>
        <v>4930</v>
      </c>
      <c r="D6" s="36">
        <f>IFERROR(D1_ENERO_2026[[#This Row],[RECUP]]/VLOOKUP($J$3&amp;$K$3&amp;D1_ENERO_2026[[#This Row],[SUPER]],TablaMeta[],6,0),"")</f>
        <v>0.10270833333333333</v>
      </c>
      <c r="E6" s="36" t="str">
        <f>D1_ENERO_2026[[#This Row],[SUPER]]</f>
        <v>MELINA</v>
      </c>
      <c r="F6" t="s">
        <v>442</v>
      </c>
      <c r="G6" s="3">
        <v>4930</v>
      </c>
      <c r="H6"/>
      <c r="K6" s="5"/>
      <c r="L6"/>
    </row>
    <row r="7" spans="1:65" x14ac:dyDescent="0.25">
      <c r="A7" s="35" t="str">
        <f>IFERROR(VLOOKUP(D1_ENERO_2026[[#This Row],[ASESOR_CRR]],PLANTILLA_ACTUAL[],2,0),"")</f>
        <v>MELINA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ANALUCIA PONCE</v>
      </c>
      <c r="C7" s="37">
        <f>D1_ENERO_2026[[#This Row],[RECUPERO]]</f>
        <v>4600</v>
      </c>
      <c r="D7" s="36">
        <f>IFERROR(D1_ENERO_2026[[#This Row],[RECUP]]/VLOOKUP($J$3&amp;$K$3&amp;D1_ENERO_2026[[#This Row],[SUPER]],TablaMeta[],6,0),"")</f>
        <v>9.583333333333334E-2</v>
      </c>
      <c r="E7" s="36" t="str">
        <f>D1_ENERO_2026[[#This Row],[SUPER]]</f>
        <v>MELINA</v>
      </c>
      <c r="F7" t="s">
        <v>60</v>
      </c>
      <c r="G7" s="3">
        <v>4600</v>
      </c>
      <c r="H7"/>
      <c r="J7" s="1"/>
      <c r="K7" s="5"/>
      <c r="L7"/>
    </row>
    <row r="8" spans="1:65" x14ac:dyDescent="0.25">
      <c r="A8" s="35" t="str">
        <f>IFERROR(VLOOKUP(D1_ENERO_2026[[#This Row],[ASESOR_CRR]],PLANTILLA_ACTUAL[],2,0),"")</f>
        <v>MELINA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MARIA TINTAYA</v>
      </c>
      <c r="C8" s="37">
        <f>D1_ENERO_2026[[#This Row],[RECUPERO]]</f>
        <v>3500</v>
      </c>
      <c r="D8" s="36">
        <f>IFERROR(D1_ENERO_2026[[#This Row],[RECUP]]/VLOOKUP($J$3&amp;$K$3&amp;D1_ENERO_2026[[#This Row],[SUPER]],TablaMeta[],6,0),"")</f>
        <v>7.2916666666666671E-2</v>
      </c>
      <c r="E8" s="36" t="str">
        <f>D1_ENERO_2026[[#This Row],[SUPER]]</f>
        <v>MELINA</v>
      </c>
      <c r="F8" t="s">
        <v>75</v>
      </c>
      <c r="G8" s="3">
        <v>3500</v>
      </c>
      <c r="H8"/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246</v>
      </c>
      <c r="Q8" s="14" t="s">
        <v>438</v>
      </c>
      <c r="R8" s="14" t="s">
        <v>248</v>
      </c>
      <c r="S8" s="14" t="s">
        <v>249</v>
      </c>
      <c r="T8" s="14" t="s">
        <v>267</v>
      </c>
      <c r="U8" s="14" t="s">
        <v>250</v>
      </c>
      <c r="V8" s="14" t="s">
        <v>439</v>
      </c>
      <c r="W8" s="14" t="s">
        <v>252</v>
      </c>
      <c r="X8" s="14" t="s">
        <v>253</v>
      </c>
      <c r="Y8" s="14" t="s">
        <v>254</v>
      </c>
      <c r="Z8" s="14" t="s">
        <v>255</v>
      </c>
      <c r="AA8" s="14" t="s">
        <v>440</v>
      </c>
      <c r="AB8" s="14" t="s">
        <v>257</v>
      </c>
      <c r="AC8" s="14" t="s">
        <v>258</v>
      </c>
      <c r="AD8" s="14" t="s">
        <v>259</v>
      </c>
      <c r="AE8" s="14" t="s">
        <v>260</v>
      </c>
      <c r="AF8" s="14" t="s">
        <v>441</v>
      </c>
      <c r="AG8" s="14" t="s">
        <v>262</v>
      </c>
      <c r="AH8" s="14" t="s">
        <v>263</v>
      </c>
      <c r="AI8" s="14" t="s">
        <v>264</v>
      </c>
      <c r="AJ8" s="14" t="s">
        <v>265</v>
      </c>
      <c r="AK8" s="14" t="s">
        <v>266</v>
      </c>
      <c r="AM8" s="19" t="s">
        <v>180</v>
      </c>
      <c r="AN8" s="19" t="s">
        <v>182</v>
      </c>
      <c r="AO8" s="19" t="s">
        <v>183</v>
      </c>
      <c r="AP8" s="20" t="s">
        <v>94</v>
      </c>
      <c r="AQ8" s="20" t="s">
        <v>246</v>
      </c>
      <c r="AR8" s="20" t="s">
        <v>438</v>
      </c>
      <c r="AS8" s="20" t="s">
        <v>248</v>
      </c>
      <c r="AT8" s="20" t="s">
        <v>249</v>
      </c>
      <c r="AU8" s="20" t="s">
        <v>267</v>
      </c>
      <c r="AV8" s="20" t="s">
        <v>250</v>
      </c>
      <c r="AW8" s="20" t="s">
        <v>439</v>
      </c>
      <c r="AX8" s="20" t="s">
        <v>252</v>
      </c>
      <c r="AY8" s="20" t="s">
        <v>253</v>
      </c>
      <c r="AZ8" s="20" t="s">
        <v>254</v>
      </c>
      <c r="BA8" s="20" t="s">
        <v>255</v>
      </c>
      <c r="BB8" s="20" t="s">
        <v>440</v>
      </c>
      <c r="BC8" s="20" t="s">
        <v>257</v>
      </c>
      <c r="BD8" s="20" t="s">
        <v>258</v>
      </c>
      <c r="BE8" s="20" t="s">
        <v>259</v>
      </c>
      <c r="BF8" s="20" t="s">
        <v>260</v>
      </c>
      <c r="BG8" s="20" t="s">
        <v>441</v>
      </c>
      <c r="BH8" s="20" t="s">
        <v>262</v>
      </c>
      <c r="BI8" s="20" t="s">
        <v>263</v>
      </c>
      <c r="BJ8" s="20" t="s">
        <v>264</v>
      </c>
      <c r="BK8" s="20" t="s">
        <v>265</v>
      </c>
      <c r="BL8" s="20" t="s">
        <v>266</v>
      </c>
      <c r="BM8" s="19" t="s">
        <v>136</v>
      </c>
    </row>
    <row r="9" spans="1:65" x14ac:dyDescent="0.25">
      <c r="A9" s="35" t="str">
        <f>IFERROR(VLOOKUP(D1_ENERO_2026[[#This Row],[ASESOR_CRR]],PLANTILLA_ACTUAL[],2,0),"")</f>
        <v>MELINA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ERIKA VILLAR</v>
      </c>
      <c r="C9" s="37">
        <f>D1_ENERO_2026[[#This Row],[RECUPERO]]</f>
        <v>3160</v>
      </c>
      <c r="D9" s="36">
        <f>IFERROR(D1_ENERO_2026[[#This Row],[RECUP]]/VLOOKUP($J$3&amp;$K$3&amp;D1_ENERO_2026[[#This Row],[SUPER]],TablaMeta[],6,0),"")</f>
        <v>6.5833333333333327E-2</v>
      </c>
      <c r="E9" s="36" t="str">
        <f>D1_ENERO_2026[[#This Row],[SUPER]]</f>
        <v>MELINA</v>
      </c>
      <c r="F9" t="s">
        <v>72</v>
      </c>
      <c r="G9" s="3">
        <v>3160</v>
      </c>
      <c r="H9"/>
      <c r="J9">
        <f>IF(DATA_ENERO_2026[[#This Row],[ASER_]]="","",VLOOKUP(DATA_ENERO_2026[[#This Row],[ASER_]],$B:$G,3,0))</f>
        <v>0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&gt;0%</v>
      </c>
      <c r="L9" t="str">
        <f>IFERROR(VLOOKUP(DATA_ENERO_2026[[#This Row],[ASER_]],$B:$G,4,0),"")</f>
        <v>MELINA</v>
      </c>
      <c r="M9">
        <f>IF(DATA_ENERO_2026[[#This Row],[SUPERVISOR]]="","",VLOOKUP(DATA_ENERO_2026[[#This Row],[ASER_]],$B:$G,6,0))</f>
        <v>0</v>
      </c>
      <c r="N9">
        <f>IF(DATA_ENERO_2026[[#This Row],[RECUPERO]]="","",VLOOKUP($J$3&amp;$K$3&amp;DATA_ENERO_2026[[#This Row],[SUPERVISOR]],TablaMeta[],6,0))</f>
        <v>48000</v>
      </c>
      <c r="O9" t="s">
        <v>18</v>
      </c>
      <c r="P9">
        <v>0</v>
      </c>
      <c r="Q9">
        <v>0</v>
      </c>
      <c r="AM9" s="11">
        <f>VLOOKUP($J$3&amp;$K$3&amp;DITE_ENERO_2026[[#This Row],[SUPER]],TablaMeta[],5,0)</f>
        <v>431682</v>
      </c>
      <c r="AN9" s="11">
        <f>MAX(DITE_ENERO_2026[[#This Row],[SUPER]:[CARTERA]])</f>
        <v>21285</v>
      </c>
      <c r="AO9" s="17">
        <f>IFERROR(DITE_ENERO_2026[[#This Row],[RECUPERO SUPERVISOR]]/DITE_ENERO_2026[[#This Row],[META SUPER]],"")</f>
        <v>4.9307128858743242E-2</v>
      </c>
      <c r="AP9" s="11" t="s">
        <v>3</v>
      </c>
      <c r="AQ9" s="47">
        <v>6248</v>
      </c>
      <c r="AR9" s="47">
        <v>21285</v>
      </c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MELINA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MARTIN VARGAS</v>
      </c>
      <c r="C10" s="37">
        <f>D1_ENERO_2026[[#This Row],[RECUPERO]]</f>
        <v>750</v>
      </c>
      <c r="D10" s="36">
        <f>IFERROR(D1_ENERO_2026[[#This Row],[RECUP]]/VLOOKUP($J$3&amp;$K$3&amp;D1_ENERO_2026[[#This Row],[SUPER]],TablaMeta[],6,0),"")</f>
        <v>1.5625E-2</v>
      </c>
      <c r="E10" s="36" t="str">
        <f>D1_ENERO_2026[[#This Row],[SUPER]]</f>
        <v>MELINA</v>
      </c>
      <c r="F10" t="s">
        <v>443</v>
      </c>
      <c r="G10" s="3">
        <v>750</v>
      </c>
      <c r="H10"/>
      <c r="J10">
        <f>IF(DATA_ENERO_2026[[#This Row],[ASER_]]="","",VLOOKUP(DATA_ENERO_2026[[#This Row],[ASER_]],$B:$G,3,0))</f>
        <v>9.583333333333334E-2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&gt;0%</v>
      </c>
      <c r="L10" t="str">
        <f>IFERROR(VLOOKUP(DATA_ENERO_2026[[#This Row],[ASER_]],$B:$G,4,0),"")</f>
        <v>MELINA</v>
      </c>
      <c r="M10">
        <f>IF(DATA_ENERO_2026[[#This Row],[SUPERVISOR]]="","",VLOOKUP(DATA_ENERO_2026[[#This Row],[ASER_]],$B:$G,6,0))</f>
        <v>4600</v>
      </c>
      <c r="N10">
        <f>IF(DATA_ENERO_2026[[#This Row],[RECUPERO]]="","",VLOOKUP($J$3&amp;$K$3&amp;DATA_ENERO_2026[[#This Row],[SUPERVISOR]],TablaMeta[],6,0))</f>
        <v>48000</v>
      </c>
      <c r="O10" t="s">
        <v>60</v>
      </c>
      <c r="P10">
        <v>4000</v>
      </c>
      <c r="Q10">
        <v>600</v>
      </c>
      <c r="AM10" s="12">
        <f>VLOOKUP($J$3&amp;$K$3&amp;DITE_ENERO_2026[[#This Row],[SUPER]],TablaMeta[],5,0)</f>
        <v>431682</v>
      </c>
      <c r="AN10" s="12">
        <f>MAX(DITE_ENERO_2026[[#This Row],[SUPER]:[CARTERA]])</f>
        <v>50121</v>
      </c>
      <c r="AO10" s="18">
        <f>IFERROR(DITE_ENERO_2026[[#This Row],[RECUPERO SUPERVISOR]]/DITE_ENERO_2026[[#This Row],[META SUPER]],"")</f>
        <v>0.11610630047118017</v>
      </c>
      <c r="AP10" s="12" t="s">
        <v>4</v>
      </c>
      <c r="AQ10" s="47">
        <v>20590</v>
      </c>
      <c r="AR10" s="47">
        <v>50121</v>
      </c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MELINA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ALEIDITH GUEVARA</v>
      </c>
      <c r="C11" s="37">
        <f>D1_ENERO_2026[[#This Row],[RECUPERO]]</f>
        <v>0</v>
      </c>
      <c r="D11" s="36">
        <f>IFERROR(D1_ENERO_2026[[#This Row],[RECUP]]/VLOOKUP($J$3&amp;$K$3&amp;D1_ENERO_2026[[#This Row],[SUPER]],TablaMeta[],6,0),"")</f>
        <v>0</v>
      </c>
      <c r="E11" s="36" t="str">
        <f>D1_ENERO_2026[[#This Row],[SUPER]]</f>
        <v>MELINA</v>
      </c>
      <c r="F11" t="s">
        <v>18</v>
      </c>
      <c r="G11" s="3">
        <v>0</v>
      </c>
      <c r="H11"/>
      <c r="J11">
        <f>IF(DATA_ENERO_2026[[#This Row],[ASER_]]="","",VLOOKUP(DATA_ENERO_2026[[#This Row],[ASER_]],$B:$G,3,0))</f>
        <v>6.5833333333333327E-2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&gt;0%</v>
      </c>
      <c r="L11" t="str">
        <f>IFERROR(VLOOKUP(DATA_ENERO_2026[[#This Row],[ASER_]],$B:$G,4,0),"")</f>
        <v>MELINA</v>
      </c>
      <c r="M11">
        <f>IF(DATA_ENERO_2026[[#This Row],[SUPERVISOR]]="","",VLOOKUP(DATA_ENERO_2026[[#This Row],[ASER_]],$B:$G,6,0))</f>
        <v>3160</v>
      </c>
      <c r="N11">
        <f>IF(DATA_ENERO_2026[[#This Row],[RECUPERO]]="","",VLOOKUP($J$3&amp;$K$3&amp;DATA_ENERO_2026[[#This Row],[SUPERVISOR]],TablaMeta[],6,0))</f>
        <v>48000</v>
      </c>
      <c r="O11" t="s">
        <v>72</v>
      </c>
      <c r="P11">
        <v>3160</v>
      </c>
      <c r="Q11">
        <v>0</v>
      </c>
      <c r="AM11" s="11">
        <f>VLOOKUP($J$3&amp;$K$3&amp;DITE_ENERO_2026[[#This Row],[SUPER]],TablaMeta[],5,0)</f>
        <v>294010</v>
      </c>
      <c r="AN11" s="11">
        <f>MAX(DITE_ENERO_2026[[#This Row],[SUPER]:[CARTERA]])</f>
        <v>11258.4</v>
      </c>
      <c r="AO11" s="17">
        <f>IFERROR(DITE_ENERO_2026[[#This Row],[RECUPERO SUPERVISOR]]/DITE_ENERO_2026[[#This Row],[META SUPER]],"")</f>
        <v>3.8292575082480185E-2</v>
      </c>
      <c r="AP11" s="11" t="s">
        <v>2</v>
      </c>
      <c r="AQ11" s="47">
        <v>1108.4000000000001</v>
      </c>
      <c r="AR11" s="47">
        <v>11258.4</v>
      </c>
      <c r="AS11" s="47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JORGE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VICTOR RAMIREZ</v>
      </c>
      <c r="C12" s="37">
        <f>D1_ENERO_2026[[#This Row],[RECUPERO]]</f>
        <v>8000</v>
      </c>
      <c r="D12" s="36">
        <f>IFERROR(D1_ENERO_2026[[#This Row],[RECUP]]/VLOOKUP($J$3&amp;$K$3&amp;D1_ENERO_2026[[#This Row],[SUPER]],TablaMeta[],6,0),"")</f>
        <v>0.24539877300613497</v>
      </c>
      <c r="E12" s="36" t="str">
        <f>D1_ENERO_2026[[#This Row],[SUPER]]</f>
        <v>JORGE</v>
      </c>
      <c r="F12" t="s">
        <v>76</v>
      </c>
      <c r="G12" s="3">
        <v>8000</v>
      </c>
      <c r="H12"/>
      <c r="J12">
        <f>IF(DATA_ENERO_2026[[#This Row],[ASER_]]="","",VLOOKUP(DATA_ENERO_2026[[#This Row],[ASER_]],$B:$G,3,0))</f>
        <v>0.10270833333333333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&gt;0%</v>
      </c>
      <c r="L12" t="str">
        <f>IFERROR(VLOOKUP(DATA_ENERO_2026[[#This Row],[ASER_]],$B:$G,4,0),"")</f>
        <v>MELINA</v>
      </c>
      <c r="M12">
        <f>IF(DATA_ENERO_2026[[#This Row],[SUPERVISOR]]="","",VLOOKUP(DATA_ENERO_2026[[#This Row],[ASER_]],$B:$G,6,0))</f>
        <v>4930</v>
      </c>
      <c r="N12">
        <f>IF(DATA_ENERO_2026[[#This Row],[RECUPERO]]="","",VLOOKUP($J$3&amp;$K$3&amp;DATA_ENERO_2026[[#This Row],[SUPERVISOR]],TablaMeta[],6,0))</f>
        <v>48000</v>
      </c>
      <c r="O12" t="s">
        <v>12</v>
      </c>
      <c r="P12">
        <v>1700</v>
      </c>
      <c r="Q12">
        <v>3230</v>
      </c>
      <c r="AM12" s="12">
        <f>VLOOKUP($J$3&amp;$K$3&amp;DITE_ENERO_2026[[#This Row],[SUPER]],TablaMeta[],5,0)</f>
        <v>251174</v>
      </c>
      <c r="AN12" s="12">
        <f>MAX(DITE_ENERO_2026[[#This Row],[SUPER]:[CARTERA]])</f>
        <v>29950</v>
      </c>
      <c r="AO12" s="18">
        <f>IFERROR(DITE_ENERO_2026[[#This Row],[RECUPERO SUPERVISOR]]/DITE_ENERO_2026[[#This Row],[META SUPER]],"")</f>
        <v>0.11924004873115848</v>
      </c>
      <c r="AP12" s="12" t="s">
        <v>6</v>
      </c>
      <c r="AQ12" s="47">
        <v>21800</v>
      </c>
      <c r="AR12" s="47">
        <v>29950</v>
      </c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JORGE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HAROLD FLORES</v>
      </c>
      <c r="C13" s="37">
        <f>D1_ENERO_2026[[#This Row],[RECUPERO]]</f>
        <v>1650</v>
      </c>
      <c r="D13" s="36">
        <f>IFERROR(D1_ENERO_2026[[#This Row],[RECUP]]/VLOOKUP($J$3&amp;$K$3&amp;D1_ENERO_2026[[#This Row],[SUPER]],TablaMeta[],6,0),"")</f>
        <v>5.0613496932515337E-2</v>
      </c>
      <c r="E13" s="36" t="str">
        <f>D1_ENERO_2026[[#This Row],[SUPER]]</f>
        <v>JORGE</v>
      </c>
      <c r="F13" t="s">
        <v>42</v>
      </c>
      <c r="G13" s="3">
        <v>1650</v>
      </c>
      <c r="H13"/>
      <c r="J13">
        <f>IF(DATA_ENERO_2026[[#This Row],[ASER_]]="","",VLOOKUP(DATA_ENERO_2026[[#This Row],[ASER_]],$B:$G,3,0))</f>
        <v>0.22979166666666667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&gt;0%</v>
      </c>
      <c r="L13" t="str">
        <f>IFERROR(VLOOKUP(DATA_ENERO_2026[[#This Row],[ASER_]],$B:$G,4,0),"")</f>
        <v>MELINA</v>
      </c>
      <c r="M13">
        <f>IF(DATA_ENERO_2026[[#This Row],[SUPERVISOR]]="","",VLOOKUP(DATA_ENERO_2026[[#This Row],[ASER_]],$B:$G,6,0))</f>
        <v>11030</v>
      </c>
      <c r="N13">
        <f>IF(DATA_ENERO_2026[[#This Row],[RECUPERO]]="","",VLOOKUP($J$3&amp;$K$3&amp;DATA_ENERO_2026[[#This Row],[SUPERVISOR]],TablaMeta[],6,0))</f>
        <v>48000</v>
      </c>
      <c r="O13" t="s">
        <v>124</v>
      </c>
      <c r="P13">
        <v>1030</v>
      </c>
      <c r="Q13">
        <v>10000</v>
      </c>
      <c r="AM13" s="11">
        <f>VLOOKUP($J$3&amp;$K$3&amp;DITE_ENERO_2026[[#This Row],[SUPER]],TablaMeta[],5,0)</f>
        <v>297083</v>
      </c>
      <c r="AN13" s="11">
        <f>MAX(DITE_ENERO_2026[[#This Row],[SUPER]:[CARTERA]])</f>
        <v>14526</v>
      </c>
      <c r="AO13" s="17">
        <f>IFERROR(DITE_ENERO_2026[[#This Row],[RECUPERO SUPERVISOR]]/DITE_ENERO_2026[[#This Row],[META SUPER]],"")</f>
        <v>4.8895426530632856E-2</v>
      </c>
      <c r="AP13" s="11" t="s">
        <v>127</v>
      </c>
      <c r="AQ13" s="47">
        <v>1710</v>
      </c>
      <c r="AR13" s="47">
        <v>14526</v>
      </c>
      <c r="AS13" s="47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JORGE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LUIS VALLADARES</v>
      </c>
      <c r="C14" s="37">
        <f>D1_ENERO_2026[[#This Row],[RECUPERO]]</f>
        <v>1108.4000000000001</v>
      </c>
      <c r="D14" s="36">
        <f>IFERROR(D1_ENERO_2026[[#This Row],[RECUP]]/VLOOKUP($J$3&amp;$K$3&amp;D1_ENERO_2026[[#This Row],[SUPER]],TablaMeta[],6,0),"")</f>
        <v>3.4000000000000002E-2</v>
      </c>
      <c r="E14" s="36" t="str">
        <f>D1_ENERO_2026[[#This Row],[SUPER]]</f>
        <v>JORGE</v>
      </c>
      <c r="F14" t="s">
        <v>29</v>
      </c>
      <c r="G14" s="3">
        <v>1108.4000000000001</v>
      </c>
      <c r="H14"/>
      <c r="J14">
        <f>IF(DATA_ENERO_2026[[#This Row],[ASER_]]="","",VLOOKUP(DATA_ENERO_2026[[#This Row],[ASER_]],$B:$G,3,0))</f>
        <v>7.2916666666666671E-2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&gt;0%</v>
      </c>
      <c r="L14" t="str">
        <f>IFERROR(VLOOKUP(DATA_ENERO_2026[[#This Row],[ASER_]],$B:$G,4,0),"")</f>
        <v>MELINA</v>
      </c>
      <c r="M14">
        <f>IF(DATA_ENERO_2026[[#This Row],[SUPERVISOR]]="","",VLOOKUP(DATA_ENERO_2026[[#This Row],[ASER_]],$B:$G,6,0))</f>
        <v>3500</v>
      </c>
      <c r="N14">
        <f>IF(DATA_ENERO_2026[[#This Row],[RECUPERO]]="","",VLOOKUP($J$3&amp;$K$3&amp;DATA_ENERO_2026[[#This Row],[SUPERVISOR]],TablaMeta[],6,0))</f>
        <v>48000</v>
      </c>
      <c r="O14" t="s">
        <v>75</v>
      </c>
      <c r="P14">
        <v>0</v>
      </c>
      <c r="Q14">
        <v>3500</v>
      </c>
    </row>
    <row r="15" spans="1:65" x14ac:dyDescent="0.25">
      <c r="A15" s="35" t="str">
        <f>IFERROR(VLOOKUP(D1_ENERO_2026[[#This Row],[ASESOR_CRR]],PLANTILLA_ACTUAL[],2,0),"")</f>
        <v>JORGE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URSULA CENTENO</v>
      </c>
      <c r="C15" s="37">
        <f>D1_ENERO_2026[[#This Row],[RECUPERO]]</f>
        <v>500</v>
      </c>
      <c r="D15" s="36">
        <f>IFERROR(D1_ENERO_2026[[#This Row],[RECUP]]/VLOOKUP($J$3&amp;$K$3&amp;D1_ENERO_2026[[#This Row],[SUPER]],TablaMeta[],6,0),"")</f>
        <v>1.5337423312883436E-2</v>
      </c>
      <c r="E15" s="36" t="str">
        <f>D1_ENERO_2026[[#This Row],[SUPER]]</f>
        <v>JORGE</v>
      </c>
      <c r="F15" t="s">
        <v>78</v>
      </c>
      <c r="G15" s="3">
        <v>500</v>
      </c>
      <c r="H15"/>
      <c r="J15">
        <f>IF(DATA_ENERO_2026[[#This Row],[ASER_]]="","",VLOOKUP(DATA_ENERO_2026[[#This Row],[ASER_]],$B:$G,3,0))</f>
        <v>1.5625E-2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&gt;0%</v>
      </c>
      <c r="L15" t="str">
        <f>IFERROR(VLOOKUP(DATA_ENERO_2026[[#This Row],[ASER_]],$B:$G,4,0),"")</f>
        <v>MELINA</v>
      </c>
      <c r="M15">
        <f>IF(DATA_ENERO_2026[[#This Row],[SUPERVISOR]]="","",VLOOKUP(DATA_ENERO_2026[[#This Row],[ASER_]],$B:$G,6,0))</f>
        <v>750</v>
      </c>
      <c r="N15">
        <f>IF(DATA_ENERO_2026[[#This Row],[RECUPERO]]="","",VLOOKUP($J$3&amp;$K$3&amp;DATA_ENERO_2026[[#This Row],[SUPERVISOR]],TablaMeta[],6,0))</f>
        <v>48000</v>
      </c>
      <c r="O15" t="s">
        <v>443</v>
      </c>
      <c r="P15">
        <v>0</v>
      </c>
      <c r="Q15">
        <v>750</v>
      </c>
    </row>
    <row r="16" spans="1:65" x14ac:dyDescent="0.25">
      <c r="A16" s="35" t="str">
        <f>IFERROR(VLOOKUP(D1_ENERO_2026[[#This Row],[ASESOR_CRR]],PLANTILLA_ACTUAL[],2,0),"")</f>
        <v>JORGE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MARIA HUARCAYA</v>
      </c>
      <c r="C16" s="37">
        <f>D1_ENERO_2026[[#This Row],[RECUPERO]]</f>
        <v>0</v>
      </c>
      <c r="D16" s="36">
        <f>IFERROR(D1_ENERO_2026[[#This Row],[RECUP]]/VLOOKUP($J$3&amp;$K$3&amp;D1_ENERO_2026[[#This Row],[SUPER]],TablaMeta[],6,0),"")</f>
        <v>0</v>
      </c>
      <c r="E16" s="36" t="str">
        <f>D1_ENERO_2026[[#This Row],[SUPER]]</f>
        <v>JORGE</v>
      </c>
      <c r="F16" t="s">
        <v>38</v>
      </c>
      <c r="G16" s="3">
        <v>0</v>
      </c>
      <c r="H16"/>
      <c r="J16">
        <f>IF(DATA_ENERO_2026[[#This Row],[ASER_]]="","",VLOOKUP(DATA_ENERO_2026[[#This Row],[ASER_]],$B:$G,3,0))</f>
        <v>0.26458333333333334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&gt;0%</v>
      </c>
      <c r="L16" t="str">
        <f>IFERROR(VLOOKUP(DATA_ENERO_2026[[#This Row],[ASER_]],$B:$G,4,0),"")</f>
        <v>MELINA</v>
      </c>
      <c r="M16">
        <f>IF(DATA_ENERO_2026[[#This Row],[SUPERVISOR]]="","",VLOOKUP(DATA_ENERO_2026[[#This Row],[ASER_]],$B:$G,6,0))</f>
        <v>12700</v>
      </c>
      <c r="N16">
        <f>IF(DATA_ENERO_2026[[#This Row],[RECUPERO]]="","",VLOOKUP($J$3&amp;$K$3&amp;DATA_ENERO_2026[[#This Row],[SUPERVISOR]],TablaMeta[],6,0))</f>
        <v>48000</v>
      </c>
      <c r="O16" t="s">
        <v>59</v>
      </c>
      <c r="P16">
        <v>10000</v>
      </c>
      <c r="Q16">
        <v>2700</v>
      </c>
      <c r="BK16" s="46"/>
    </row>
    <row r="17" spans="1:64" x14ac:dyDescent="0.25">
      <c r="A17" s="35" t="str">
        <f>IFERROR(VLOOKUP(D1_ENERO_2026[[#This Row],[ASESOR_CRR]],PLANTILLA_ACTUAL[],2,0),"")</f>
        <v>JORGE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LUCERO JORDAN</v>
      </c>
      <c r="C17" s="37">
        <f>D1_ENERO_2026[[#This Row],[RECUPERO]]</f>
        <v>0</v>
      </c>
      <c r="D17" s="36">
        <f>IFERROR(D1_ENERO_2026[[#This Row],[RECUP]]/VLOOKUP($J$3&amp;$K$3&amp;D1_ENERO_2026[[#This Row],[SUPER]],TablaMeta[],6,0),"")</f>
        <v>0</v>
      </c>
      <c r="E17" s="36" t="str">
        <f>D1_ENERO_2026[[#This Row],[SUPER]]</f>
        <v>JORGE</v>
      </c>
      <c r="F17" t="s">
        <v>68</v>
      </c>
      <c r="G17" s="3">
        <v>0</v>
      </c>
      <c r="H17"/>
      <c r="J17">
        <f>IF(DATA_ENERO_2026[[#This Row],[ASER_]]="","",VLOOKUP(DATA_ENERO_2026[[#This Row],[ASER_]],$B:$G,3,0))</f>
        <v>0.19689583333333333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&gt;0%</v>
      </c>
      <c r="L17" t="str">
        <f>IFERROR(VLOOKUP(DATA_ENERO_2026[[#This Row],[ASER_]],$B:$G,4,0),"")</f>
        <v>MELINA</v>
      </c>
      <c r="M17">
        <f>IF(DATA_ENERO_2026[[#This Row],[SUPERVISOR]]="","",VLOOKUP(DATA_ENERO_2026[[#This Row],[ASER_]],$B:$G,6,0))</f>
        <v>9451</v>
      </c>
      <c r="N17">
        <f>IF(DATA_ENERO_2026[[#This Row],[RECUPERO]]="","",VLOOKUP($J$3&amp;$K$3&amp;DATA_ENERO_2026[[#This Row],[SUPERVISOR]],TablaMeta[],6,0))</f>
        <v>48000</v>
      </c>
      <c r="O17" t="s">
        <v>10</v>
      </c>
      <c r="P17">
        <v>700</v>
      </c>
      <c r="Q17">
        <v>8751</v>
      </c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JORGE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MALORY MONTEBLANCO</v>
      </c>
      <c r="C18" s="37">
        <f>D1_ENERO_2026[[#This Row],[RECUPERO]]</f>
        <v>0</v>
      </c>
      <c r="D18" s="36">
        <f>IFERROR(D1_ENERO_2026[[#This Row],[RECUP]]/VLOOKUP($J$3&amp;$K$3&amp;D1_ENERO_2026[[#This Row],[SUPER]],TablaMeta[],6,0),"")</f>
        <v>0</v>
      </c>
      <c r="E18" s="36" t="str">
        <f>D1_ENERO_2026[[#This Row],[SUPER]]</f>
        <v>JORGE</v>
      </c>
      <c r="F18" t="s">
        <v>25</v>
      </c>
      <c r="G18" s="3">
        <v>0</v>
      </c>
      <c r="H18"/>
      <c r="J18">
        <f>IF(DATA_ENERO_2026[[#This Row],[ASER_]]="","",VLOOKUP(DATA_ENERO_2026[[#This Row],[ASER_]],$B:$G,3,0))</f>
        <v>0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&gt;0%</v>
      </c>
      <c r="L18" t="str">
        <f>IFERROR(VLOOKUP(DATA_ENERO_2026[[#This Row],[ASER_]],$B:$G,4,0),"")</f>
        <v>JORGE</v>
      </c>
      <c r="M18">
        <f>IF(DATA_ENERO_2026[[#This Row],[SUPERVISOR]]="","",VLOOKUP(DATA_ENERO_2026[[#This Row],[ASER_]],$B:$G,6,0))</f>
        <v>0</v>
      </c>
      <c r="N18">
        <f>IF(DATA_ENERO_2026[[#This Row],[RECUPERO]]="","",VLOOKUP($J$3&amp;$K$3&amp;DATA_ENERO_2026[[#This Row],[SUPERVISOR]],TablaMeta[],6,0))</f>
        <v>32600</v>
      </c>
      <c r="O18" t="s">
        <v>38</v>
      </c>
      <c r="P18">
        <v>0</v>
      </c>
      <c r="Q18">
        <v>0</v>
      </c>
      <c r="AQ18" s="46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JORGE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ANDERSON RODRIGUEZ</v>
      </c>
      <c r="C19" s="37">
        <f>D1_ENERO_2026[[#This Row],[RECUPERO]]</f>
        <v>0</v>
      </c>
      <c r="D19" s="36">
        <f>IFERROR(D1_ENERO_2026[[#This Row],[RECUP]]/VLOOKUP($J$3&amp;$K$3&amp;D1_ENERO_2026[[#This Row],[SUPER]],TablaMeta[],6,0),"")</f>
        <v>0</v>
      </c>
      <c r="E19" s="36" t="str">
        <f>D1_ENERO_2026[[#This Row],[SUPER]]</f>
        <v>JORGE</v>
      </c>
      <c r="F19" t="s">
        <v>15</v>
      </c>
      <c r="G19" s="3">
        <v>0</v>
      </c>
      <c r="H19"/>
      <c r="J19">
        <f>IF(DATA_ENERO_2026[[#This Row],[ASER_]]="","",VLOOKUP(DATA_ENERO_2026[[#This Row],[ASER_]],$B:$G,3,0))</f>
        <v>0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&gt;0%</v>
      </c>
      <c r="L19" t="str">
        <f>IFERROR(VLOOKUP(DATA_ENERO_2026[[#This Row],[ASER_]],$B:$G,4,0),"")</f>
        <v>JORGE</v>
      </c>
      <c r="M19">
        <f>IF(DATA_ENERO_2026[[#This Row],[SUPERVISOR]]="","",VLOOKUP(DATA_ENERO_2026[[#This Row],[ASER_]],$B:$G,6,0))</f>
        <v>0</v>
      </c>
      <c r="N19">
        <f>IF(DATA_ENERO_2026[[#This Row],[RECUPERO]]="","",VLOOKUP($J$3&amp;$K$3&amp;DATA_ENERO_2026[[#This Row],[SUPERVISOR]],TablaMeta[],6,0))</f>
        <v>32600</v>
      </c>
      <c r="O19" t="s">
        <v>68</v>
      </c>
      <c r="P19">
        <v>0</v>
      </c>
      <c r="Q19">
        <v>0</v>
      </c>
      <c r="AQ19" s="46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JORGE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NATALIA MARIN</v>
      </c>
      <c r="C20" s="37">
        <f>D1_ENERO_2026[[#This Row],[RECUPERO]]</f>
        <v>0</v>
      </c>
      <c r="D20" s="36">
        <f>IFERROR(D1_ENERO_2026[[#This Row],[RECUP]]/VLOOKUP($J$3&amp;$K$3&amp;D1_ENERO_2026[[#This Row],[SUPER]],TablaMeta[],6,0),"")</f>
        <v>0</v>
      </c>
      <c r="E20" s="36" t="str">
        <f>D1_ENERO_2026[[#This Row],[SUPER]]</f>
        <v>JORGE</v>
      </c>
      <c r="F20" t="s">
        <v>79</v>
      </c>
      <c r="G20" s="3">
        <v>0</v>
      </c>
      <c r="H20"/>
      <c r="J20">
        <f>IF(DATA_ENERO_2026[[#This Row],[ASER_]]="","",VLOOKUP(DATA_ENERO_2026[[#This Row],[ASER_]],$B:$G,3,0))</f>
        <v>3.4000000000000002E-2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&gt;0%</v>
      </c>
      <c r="L20" t="str">
        <f>IFERROR(VLOOKUP(DATA_ENERO_2026[[#This Row],[ASER_]],$B:$G,4,0),"")</f>
        <v>JORGE</v>
      </c>
      <c r="M20">
        <f>IF(DATA_ENERO_2026[[#This Row],[SUPERVISOR]]="","",VLOOKUP(DATA_ENERO_2026[[#This Row],[ASER_]],$B:$G,6,0))</f>
        <v>1108.4000000000001</v>
      </c>
      <c r="N20">
        <f>IF(DATA_ENERO_2026[[#This Row],[RECUPERO]]="","",VLOOKUP($J$3&amp;$K$3&amp;DATA_ENERO_2026[[#This Row],[SUPERVISOR]],TablaMeta[],6,0))</f>
        <v>32600</v>
      </c>
      <c r="O20" t="s">
        <v>29</v>
      </c>
      <c r="P20">
        <v>1108</v>
      </c>
      <c r="Q20">
        <v>0</v>
      </c>
      <c r="AQ20" s="48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KENNETH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KIARA CANEPA</v>
      </c>
      <c r="C21" s="37">
        <f>D1_ENERO_2026[[#This Row],[RECUPERO]]</f>
        <v>13850</v>
      </c>
      <c r="D21" s="36">
        <f>IFERROR(D1_ENERO_2026[[#This Row],[RECUP]]/VLOOKUP($J$3&amp;$K$3&amp;D1_ENERO_2026[[#This Row],[SUPER]],TablaMeta[],6,0),"")</f>
        <v>0.49641577060931902</v>
      </c>
      <c r="E21" s="36" t="str">
        <f>D1_ENERO_2026[[#This Row],[SUPER]]</f>
        <v>KENNETH</v>
      </c>
      <c r="F21" t="s">
        <v>50</v>
      </c>
      <c r="G21" s="3">
        <v>13850</v>
      </c>
      <c r="H21"/>
      <c r="J21">
        <f>IF(DATA_ENERO_2026[[#This Row],[ASER_]]="","",VLOOKUP(DATA_ENERO_2026[[#This Row],[ASER_]],$B:$G,3,0))</f>
        <v>5.0613496932515337E-2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JORGE</v>
      </c>
      <c r="M21">
        <f>IF(DATA_ENERO_2026[[#This Row],[SUPERVISOR]]="","",VLOOKUP(DATA_ENERO_2026[[#This Row],[ASER_]],$B:$G,6,0))</f>
        <v>1650</v>
      </c>
      <c r="N21">
        <f>IF(DATA_ENERO_2026[[#This Row],[RECUPERO]]="","",VLOOKUP($J$3&amp;$K$3&amp;DATA_ENERO_2026[[#This Row],[SUPERVISOR]],TablaMeta[],6,0))</f>
        <v>32600</v>
      </c>
      <c r="O21" t="s">
        <v>42</v>
      </c>
      <c r="P21">
        <v>0</v>
      </c>
      <c r="Q21">
        <v>1650</v>
      </c>
      <c r="AQ21" s="48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KENNETH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STWUAR MACURI</v>
      </c>
      <c r="C22" s="37">
        <f>D1_ENERO_2026[[#This Row],[RECUPERO]]</f>
        <v>6000</v>
      </c>
      <c r="D22" s="36">
        <f>IFERROR(D1_ENERO_2026[[#This Row],[RECUP]]/VLOOKUP($J$3&amp;$K$3&amp;D1_ENERO_2026[[#This Row],[SUPER]],TablaMeta[],6,0),"")</f>
        <v>0.21505376344086022</v>
      </c>
      <c r="E22" s="36" t="str">
        <f>D1_ENERO_2026[[#This Row],[SUPER]]</f>
        <v>KENNETH</v>
      </c>
      <c r="F22" t="s">
        <v>34</v>
      </c>
      <c r="G22" s="3">
        <v>6000</v>
      </c>
      <c r="H22"/>
      <c r="J22">
        <f>IF(DATA_ENERO_2026[[#This Row],[ASER_]]="","",VLOOKUP(DATA_ENERO_2026[[#This Row],[ASER_]],$B:$G,3,0))</f>
        <v>0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&gt;0%</v>
      </c>
      <c r="L22" t="str">
        <f>IFERROR(VLOOKUP(DATA_ENERO_2026[[#This Row],[ASER_]],$B:$G,4,0),"")</f>
        <v>JORGE</v>
      </c>
      <c r="M22">
        <f>IF(DATA_ENERO_2026[[#This Row],[SUPERVISOR]]="","",VLOOKUP(DATA_ENERO_2026[[#This Row],[ASER_]],$B:$G,6,0))</f>
        <v>0</v>
      </c>
      <c r="N22">
        <f>IF(DATA_ENERO_2026[[#This Row],[RECUPERO]]="","",VLOOKUP($J$3&amp;$K$3&amp;DATA_ENERO_2026[[#This Row],[SUPERVISOR]],TablaMeta[],6,0))</f>
        <v>32600</v>
      </c>
      <c r="O22" t="s">
        <v>15</v>
      </c>
      <c r="P22">
        <v>0</v>
      </c>
      <c r="Q22">
        <v>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KENNETH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MILAGROS QUIO</v>
      </c>
      <c r="C23" s="37">
        <f>D1_ENERO_2026[[#This Row],[RECUPERO]]</f>
        <v>4800</v>
      </c>
      <c r="D23" s="36">
        <f>IFERROR(D1_ENERO_2026[[#This Row],[RECUP]]/VLOOKUP($J$3&amp;$K$3&amp;D1_ENERO_2026[[#This Row],[SUPER]],TablaMeta[],6,0),"")</f>
        <v>0.17204301075268819</v>
      </c>
      <c r="E23" s="36" t="str">
        <f>D1_ENERO_2026[[#This Row],[SUPER]]</f>
        <v>KENNETH</v>
      </c>
      <c r="F23" t="s">
        <v>11</v>
      </c>
      <c r="G23" s="3">
        <v>4800</v>
      </c>
      <c r="H23"/>
      <c r="J23">
        <f>IF(DATA_ENERO_2026[[#This Row],[ASER_]]="","",VLOOKUP(DATA_ENERO_2026[[#This Row],[ASER_]],$B:$G,3,0))</f>
        <v>0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&gt;0%</v>
      </c>
      <c r="L23" t="str">
        <f>IFERROR(VLOOKUP(DATA_ENERO_2026[[#This Row],[ASER_]],$B:$G,4,0),"")</f>
        <v>JORGE</v>
      </c>
      <c r="M23">
        <f>IF(DATA_ENERO_2026[[#This Row],[SUPERVISOR]]="","",VLOOKUP(DATA_ENERO_2026[[#This Row],[ASER_]],$B:$G,6,0))</f>
        <v>0</v>
      </c>
      <c r="N23">
        <f>IF(DATA_ENERO_2026[[#This Row],[RECUPERO]]="","",VLOOKUP($J$3&amp;$K$3&amp;DATA_ENERO_2026[[#This Row],[SUPERVISOR]],TablaMeta[],6,0))</f>
        <v>32600</v>
      </c>
      <c r="O23" t="s">
        <v>25</v>
      </c>
      <c r="P23">
        <v>0</v>
      </c>
      <c r="Q23">
        <v>0</v>
      </c>
      <c r="BE23" s="46"/>
    </row>
    <row r="24" spans="1:64" x14ac:dyDescent="0.25">
      <c r="A24" s="35" t="str">
        <f>IFERROR(VLOOKUP(D1_ENERO_2026[[#This Row],[ASESOR_CRR]],PLANTILLA_ACTUAL[],2,0),"")</f>
        <v>KENNETH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DANIEL ZAPATA</v>
      </c>
      <c r="C24" s="37">
        <f>D1_ENERO_2026[[#This Row],[RECUPERO]]</f>
        <v>3000</v>
      </c>
      <c r="D24" s="36">
        <f>IFERROR(D1_ENERO_2026[[#This Row],[RECUP]]/VLOOKUP($J$3&amp;$K$3&amp;D1_ENERO_2026[[#This Row],[SUPER]],TablaMeta[],6,0),"")</f>
        <v>0.10752688172043011</v>
      </c>
      <c r="E24" s="36" t="str">
        <f>D1_ENERO_2026[[#This Row],[SUPER]]</f>
        <v>KENNETH</v>
      </c>
      <c r="F24" t="s">
        <v>80</v>
      </c>
      <c r="G24" s="3">
        <v>3000</v>
      </c>
      <c r="H24"/>
      <c r="J24">
        <f>IF(DATA_ENERO_2026[[#This Row],[ASER_]]="","",VLOOKUP(DATA_ENERO_2026[[#This Row],[ASER_]],$B:$G,3,0))</f>
        <v>0.24539877300613497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&gt;0%</v>
      </c>
      <c r="L24" t="str">
        <f>IFERROR(VLOOKUP(DATA_ENERO_2026[[#This Row],[ASER_]],$B:$G,4,0),"")</f>
        <v>JORGE</v>
      </c>
      <c r="M24">
        <f>IF(DATA_ENERO_2026[[#This Row],[SUPERVISOR]]="","",VLOOKUP(DATA_ENERO_2026[[#This Row],[ASER_]],$B:$G,6,0))</f>
        <v>8000</v>
      </c>
      <c r="N24">
        <f>IF(DATA_ENERO_2026[[#This Row],[RECUPERO]]="","",VLOOKUP($J$3&amp;$K$3&amp;DATA_ENERO_2026[[#This Row],[SUPERVISOR]],TablaMeta[],6,0))</f>
        <v>32600</v>
      </c>
      <c r="O24" t="s">
        <v>76</v>
      </c>
      <c r="P24">
        <v>0</v>
      </c>
      <c r="Q24">
        <v>8000</v>
      </c>
      <c r="BI24" s="46"/>
    </row>
    <row r="25" spans="1:64" x14ac:dyDescent="0.25">
      <c r="A25" s="35" t="str">
        <f>IFERROR(VLOOKUP(D1_ENERO_2026[[#This Row],[ASESOR_CRR]],PLANTILLA_ACTUAL[],2,0),"")</f>
        <v>KENNETH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JENY LAZARO</v>
      </c>
      <c r="C25" s="37">
        <f>D1_ENERO_2026[[#This Row],[RECUPERO]]</f>
        <v>1500</v>
      </c>
      <c r="D25" s="36">
        <f>IFERROR(D1_ENERO_2026[[#This Row],[RECUP]]/VLOOKUP($J$3&amp;$K$3&amp;D1_ENERO_2026[[#This Row],[SUPER]],TablaMeta[],6,0),"")</f>
        <v>5.3763440860215055E-2</v>
      </c>
      <c r="E25" s="36" t="str">
        <f>D1_ENERO_2026[[#This Row],[SUPER]]</f>
        <v>KENNETH</v>
      </c>
      <c r="F25" t="s">
        <v>26</v>
      </c>
      <c r="G25" s="3">
        <v>1500</v>
      </c>
      <c r="H25"/>
      <c r="J25">
        <f>IF(DATA_ENERO_2026[[#This Row],[ASER_]]="","",VLOOKUP(DATA_ENERO_2026[[#This Row],[ASER_]],$B:$G,3,0))</f>
        <v>0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&gt;0%</v>
      </c>
      <c r="L25" t="str">
        <f>IFERROR(VLOOKUP(DATA_ENERO_2026[[#This Row],[ASER_]],$B:$G,4,0),"")</f>
        <v>JORGE</v>
      </c>
      <c r="M25">
        <f>IF(DATA_ENERO_2026[[#This Row],[SUPERVISOR]]="","",VLOOKUP(DATA_ENERO_2026[[#This Row],[ASER_]],$B:$G,6,0))</f>
        <v>0</v>
      </c>
      <c r="N25">
        <f>IF(DATA_ENERO_2026[[#This Row],[RECUPERO]]="","",VLOOKUP($J$3&amp;$K$3&amp;DATA_ENERO_2026[[#This Row],[SUPERVISOR]],TablaMeta[],6,0))</f>
        <v>32600</v>
      </c>
      <c r="O25" t="s">
        <v>79</v>
      </c>
      <c r="P25">
        <v>0</v>
      </c>
      <c r="Q25">
        <v>0</v>
      </c>
    </row>
    <row r="26" spans="1:64" x14ac:dyDescent="0.25">
      <c r="A26" s="35" t="str">
        <f>IFERROR(VLOOKUP(D1_ENERO_2026[[#This Row],[ASESOR_CRR]],PLANTILLA_ACTUAL[],2,0),"")</f>
        <v>KENNETH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JUAN LOZA</v>
      </c>
      <c r="C26" s="37">
        <f>D1_ENERO_2026[[#This Row],[RECUPERO]]</f>
        <v>800</v>
      </c>
      <c r="D26" s="36">
        <f>IFERROR(D1_ENERO_2026[[#This Row],[RECUP]]/VLOOKUP($J$3&amp;$K$3&amp;D1_ENERO_2026[[#This Row],[SUPER]],TablaMeta[],6,0),"")</f>
        <v>2.8673835125448029E-2</v>
      </c>
      <c r="E26" s="36" t="str">
        <f>D1_ENERO_2026[[#This Row],[SUPER]]</f>
        <v>KENNETH</v>
      </c>
      <c r="F26" t="s">
        <v>35</v>
      </c>
      <c r="G26" s="3">
        <v>800</v>
      </c>
      <c r="H26"/>
      <c r="J26">
        <f>IF(DATA_ENERO_2026[[#This Row],[ASER_]]="","",VLOOKUP(DATA_ENERO_2026[[#This Row],[ASER_]],$B:$G,3,0))</f>
        <v>1.5337423312883436E-2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&gt;0%</v>
      </c>
      <c r="L26" t="str">
        <f>IFERROR(VLOOKUP(DATA_ENERO_2026[[#This Row],[ASER_]],$B:$G,4,0),"")</f>
        <v>JORGE</v>
      </c>
      <c r="M26">
        <f>IF(DATA_ENERO_2026[[#This Row],[SUPERVISOR]]="","",VLOOKUP(DATA_ENERO_2026[[#This Row],[ASER_]],$B:$G,6,0))</f>
        <v>500</v>
      </c>
      <c r="N26">
        <f>IF(DATA_ENERO_2026[[#This Row],[RECUPERO]]="","",VLOOKUP($J$3&amp;$K$3&amp;DATA_ENERO_2026[[#This Row],[SUPERVISOR]],TablaMeta[],6,0))</f>
        <v>32600</v>
      </c>
      <c r="O26" t="s">
        <v>78</v>
      </c>
      <c r="P26">
        <v>500</v>
      </c>
      <c r="Q26">
        <v>0</v>
      </c>
    </row>
    <row r="27" spans="1:64" x14ac:dyDescent="0.25">
      <c r="A27" s="35" t="str">
        <f>IFERROR(VLOOKUP(D1_ENERO_2026[[#This Row],[ASESOR_CRR]],PLANTILLA_ACTUAL[],2,0),"")</f>
        <v>KENNETH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CARMEN PUMA</v>
      </c>
      <c r="C27" s="37">
        <f>D1_ENERO_2026[[#This Row],[RECUPERO]]</f>
        <v>0</v>
      </c>
      <c r="D27" s="36">
        <f>IFERROR(D1_ENERO_2026[[#This Row],[RECUP]]/VLOOKUP($J$3&amp;$K$3&amp;D1_ENERO_2026[[#This Row],[SUPER]],TablaMeta[],6,0),"")</f>
        <v>0</v>
      </c>
      <c r="E27" s="36" t="str">
        <f>D1_ENERO_2026[[#This Row],[SUPER]]</f>
        <v>KENNETH</v>
      </c>
      <c r="F27" t="s">
        <v>19</v>
      </c>
      <c r="G27" s="3">
        <v>0</v>
      </c>
      <c r="H27"/>
      <c r="J27">
        <f>IF(DATA_ENERO_2026[[#This Row],[ASER_]]="","",VLOOKUP(DATA_ENERO_2026[[#This Row],[ASER_]],$B:$G,3,0))</f>
        <v>0.10752688172043011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&gt;0%</v>
      </c>
      <c r="L27" t="str">
        <f>IFERROR(VLOOKUP(DATA_ENERO_2026[[#This Row],[ASER_]],$B:$G,4,0),"")</f>
        <v>KENNETH</v>
      </c>
      <c r="M27">
        <f>IF(DATA_ENERO_2026[[#This Row],[SUPERVISOR]]="","",VLOOKUP(DATA_ENERO_2026[[#This Row],[ASER_]],$B:$G,6,0))</f>
        <v>3000</v>
      </c>
      <c r="N27">
        <f>IF(DATA_ENERO_2026[[#This Row],[RECUPERO]]="","",VLOOKUP($J$3&amp;$K$3&amp;DATA_ENERO_2026[[#This Row],[SUPERVISOR]],TablaMeta[],6,0))</f>
        <v>27900</v>
      </c>
      <c r="O27" t="s">
        <v>80</v>
      </c>
      <c r="P27" s="46">
        <v>3000</v>
      </c>
      <c r="Q27">
        <v>0</v>
      </c>
    </row>
    <row r="28" spans="1:64" x14ac:dyDescent="0.25">
      <c r="A28" s="35" t="str">
        <f>IFERROR(VLOOKUP(D1_ENERO_2026[[#This Row],[ASESOR_CRR]],PLANTILLA_ACTUAL[],2,0),"")</f>
        <v>KENNETH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JIMENA MEDINA</v>
      </c>
      <c r="C28" s="37">
        <f>D1_ENERO_2026[[#This Row],[RECUPERO]]</f>
        <v>0</v>
      </c>
      <c r="D28" s="36">
        <f>IFERROR(D1_ENERO_2026[[#This Row],[RECUP]]/VLOOKUP($J$3&amp;$K$3&amp;D1_ENERO_2026[[#This Row],[SUPER]],TablaMeta[],6,0),"")</f>
        <v>0</v>
      </c>
      <c r="E28" s="36" t="str">
        <f>D1_ENERO_2026[[#This Row],[SUPER]]</f>
        <v>KENNETH</v>
      </c>
      <c r="F28" t="s">
        <v>37</v>
      </c>
      <c r="G28" s="3">
        <v>0</v>
      </c>
      <c r="H28"/>
      <c r="J28">
        <f>IF(DATA_ENERO_2026[[#This Row],[ASER_]]="","",VLOOKUP(DATA_ENERO_2026[[#This Row],[ASER_]],$B:$G,3,0))</f>
        <v>0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&gt;0%</v>
      </c>
      <c r="L28" t="str">
        <f>IFERROR(VLOOKUP(DATA_ENERO_2026[[#This Row],[ASER_]],$B:$G,4,0),"")</f>
        <v>KENNETH</v>
      </c>
      <c r="M28">
        <f>IF(DATA_ENERO_2026[[#This Row],[SUPERVISOR]]="","",VLOOKUP(DATA_ENERO_2026[[#This Row],[ASER_]],$B:$G,6,0))</f>
        <v>0</v>
      </c>
      <c r="N28">
        <f>IF(DATA_ENERO_2026[[#This Row],[RECUPERO]]="","",VLOOKUP($J$3&amp;$K$3&amp;DATA_ENERO_2026[[#This Row],[SUPERVISOR]],TablaMeta[],6,0))</f>
        <v>27900</v>
      </c>
      <c r="O28" t="s">
        <v>37</v>
      </c>
      <c r="P28" s="46">
        <v>0</v>
      </c>
      <c r="Q28">
        <v>0</v>
      </c>
    </row>
    <row r="29" spans="1:64" x14ac:dyDescent="0.25">
      <c r="A29" s="35" t="str">
        <f>IFERROR(VLOOKUP(D1_ENERO_2026[[#This Row],[ASESOR_CRR]],PLANTILLA_ACTUAL[],2,0),"")</f>
        <v>KENNETH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DAVID SANCHEZ</v>
      </c>
      <c r="C29" s="37">
        <f>D1_ENERO_2026[[#This Row],[RECUPERO]]</f>
        <v>0</v>
      </c>
      <c r="D29" s="36">
        <f>IFERROR(D1_ENERO_2026[[#This Row],[RECUP]]/VLOOKUP($J$3&amp;$K$3&amp;D1_ENERO_2026[[#This Row],[SUPER]],TablaMeta[],6,0),"")</f>
        <v>0</v>
      </c>
      <c r="E29" s="36" t="str">
        <f>D1_ENERO_2026[[#This Row],[SUPER]]</f>
        <v>KENNETH</v>
      </c>
      <c r="F29" t="s">
        <v>81</v>
      </c>
      <c r="G29" s="3">
        <v>0</v>
      </c>
      <c r="H29"/>
      <c r="J29">
        <f>IF(DATA_ENERO_2026[[#This Row],[ASER_]]="","",VLOOKUP(DATA_ENERO_2026[[#This Row],[ASER_]],$B:$G,3,0))</f>
        <v>0.21505376344086022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&gt;0%</v>
      </c>
      <c r="L29" t="str">
        <f>IFERROR(VLOOKUP(DATA_ENERO_2026[[#This Row],[ASER_]],$B:$G,4,0),"")</f>
        <v>KENNETH</v>
      </c>
      <c r="M29">
        <f>IF(DATA_ENERO_2026[[#This Row],[SUPERVISOR]]="","",VLOOKUP(DATA_ENERO_2026[[#This Row],[ASER_]],$B:$G,6,0))</f>
        <v>6000</v>
      </c>
      <c r="N29">
        <f>IF(DATA_ENERO_2026[[#This Row],[RECUPERO]]="","",VLOOKUP($J$3&amp;$K$3&amp;DATA_ENERO_2026[[#This Row],[SUPERVISOR]],TablaMeta[],6,0))</f>
        <v>27900</v>
      </c>
      <c r="O29" t="s">
        <v>34</v>
      </c>
      <c r="P29" s="46">
        <v>500</v>
      </c>
      <c r="Q29">
        <v>5500</v>
      </c>
    </row>
    <row r="30" spans="1:64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JUAN ALANOCCA</v>
      </c>
      <c r="C30" s="37">
        <f>D1_ENERO_2026[[#This Row],[RECUPERO]]</f>
        <v>4350</v>
      </c>
      <c r="D30" s="36">
        <f>IFERROR(D1_ENERO_2026[[#This Row],[RECUP]]/VLOOKUP($J$3&amp;$K$3&amp;D1_ENERO_2026[[#This Row],[SUPER]],TablaMeta[],6,0),"")</f>
        <v>0.17755102040816326</v>
      </c>
      <c r="E30" s="36" t="str">
        <f>D1_ENERO_2026[[#This Row],[SUPER]]</f>
        <v>JOHAN</v>
      </c>
      <c r="F30" t="s">
        <v>77</v>
      </c>
      <c r="G30" s="3">
        <v>4350</v>
      </c>
      <c r="H30"/>
      <c r="J30">
        <f>IF(DATA_ENERO_2026[[#This Row],[ASER_]]="","",VLOOKUP(DATA_ENERO_2026[[#This Row],[ASER_]],$B:$G,3,0))</f>
        <v>2.8673835125448029E-2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&gt;0%</v>
      </c>
      <c r="L30" t="str">
        <f>IFERROR(VLOOKUP(DATA_ENERO_2026[[#This Row],[ASER_]],$B:$G,4,0),"")</f>
        <v>KENNETH</v>
      </c>
      <c r="M30">
        <f>IF(DATA_ENERO_2026[[#This Row],[SUPERVISOR]]="","",VLOOKUP(DATA_ENERO_2026[[#This Row],[ASER_]],$B:$G,6,0))</f>
        <v>800</v>
      </c>
      <c r="N30">
        <f>IF(DATA_ENERO_2026[[#This Row],[RECUPERO]]="","",VLOOKUP($J$3&amp;$K$3&amp;DATA_ENERO_2026[[#This Row],[SUPERVISOR]],TablaMeta[],6,0))</f>
        <v>27900</v>
      </c>
      <c r="O30" t="s">
        <v>35</v>
      </c>
      <c r="P30" s="46">
        <v>0</v>
      </c>
      <c r="Q30">
        <v>800</v>
      </c>
    </row>
    <row r="31" spans="1:64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VERONICA HUARCA</v>
      </c>
      <c r="C31" s="37">
        <f>D1_ENERO_2026[[#This Row],[RECUPERO]]</f>
        <v>4300</v>
      </c>
      <c r="D31" s="36">
        <f>IFERROR(D1_ENERO_2026[[#This Row],[RECUP]]/VLOOKUP($J$3&amp;$K$3&amp;D1_ENERO_2026[[#This Row],[SUPER]],TablaMeta[],6,0),"")</f>
        <v>0.17551020408163265</v>
      </c>
      <c r="E31" s="36" t="str">
        <f>D1_ENERO_2026[[#This Row],[SUPER]]</f>
        <v>JOHAN</v>
      </c>
      <c r="F31" t="s">
        <v>48</v>
      </c>
      <c r="G31" s="3">
        <v>4300</v>
      </c>
      <c r="H31"/>
      <c r="J31">
        <f>IF(DATA_ENERO_2026[[#This Row],[ASER_]]="","",VLOOKUP(DATA_ENERO_2026[[#This Row],[ASER_]],$B:$G,3,0))</f>
        <v>0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&gt;0%</v>
      </c>
      <c r="L31" t="str">
        <f>IFERROR(VLOOKUP(DATA_ENERO_2026[[#This Row],[ASER_]],$B:$G,4,0),"")</f>
        <v>KENNETH</v>
      </c>
      <c r="M31">
        <f>IF(DATA_ENERO_2026[[#This Row],[SUPERVISOR]]="","",VLOOKUP(DATA_ENERO_2026[[#This Row],[ASER_]],$B:$G,6,0))</f>
        <v>0</v>
      </c>
      <c r="N31">
        <f>IF(DATA_ENERO_2026[[#This Row],[RECUPERO]]="","",VLOOKUP($J$3&amp;$K$3&amp;DATA_ENERO_2026[[#This Row],[SUPERVISOR]],TablaMeta[],6,0))</f>
        <v>27900</v>
      </c>
      <c r="O31" t="s">
        <v>19</v>
      </c>
      <c r="P31" s="46">
        <v>0</v>
      </c>
      <c r="Q31">
        <v>0</v>
      </c>
    </row>
    <row r="32" spans="1:64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CHRISTIAN ALVARADO</v>
      </c>
      <c r="C32" s="37">
        <f>D1_ENERO_2026[[#This Row],[RECUPERO]]</f>
        <v>1486</v>
      </c>
      <c r="D32" s="36">
        <f>IFERROR(D1_ENERO_2026[[#This Row],[RECUP]]/VLOOKUP($J$3&amp;$K$3&amp;D1_ENERO_2026[[#This Row],[SUPER]],TablaMeta[],6,0),"")</f>
        <v>6.0653061224489796E-2</v>
      </c>
      <c r="E32" s="36" t="str">
        <f>D1_ENERO_2026[[#This Row],[SUPER]]</f>
        <v>JOHAN</v>
      </c>
      <c r="F32" t="s">
        <v>41</v>
      </c>
      <c r="G32" s="3">
        <v>1486</v>
      </c>
      <c r="H32"/>
      <c r="J32">
        <f>IF(DATA_ENERO_2026[[#This Row],[ASER_]]="","",VLOOKUP(DATA_ENERO_2026[[#This Row],[ASER_]],$B:$G,3,0))</f>
        <v>0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&gt;0%</v>
      </c>
      <c r="L32" t="str">
        <f>IFERROR(VLOOKUP(DATA_ENERO_2026[[#This Row],[ASER_]],$B:$G,4,0),"")</f>
        <v>KENNETH</v>
      </c>
      <c r="M32">
        <f>IF(DATA_ENERO_2026[[#This Row],[SUPERVISOR]]="","",VLOOKUP(DATA_ENERO_2026[[#This Row],[ASER_]],$B:$G,6,0))</f>
        <v>0</v>
      </c>
      <c r="N32">
        <f>IF(DATA_ENERO_2026[[#This Row],[RECUPERO]]="","",VLOOKUP($J$3&amp;$K$3&amp;DATA_ENERO_2026[[#This Row],[SUPERVISOR]],TablaMeta[],6,0))</f>
        <v>27900</v>
      </c>
      <c r="O32" t="s">
        <v>81</v>
      </c>
      <c r="P32">
        <v>0</v>
      </c>
      <c r="Q32">
        <v>0</v>
      </c>
    </row>
    <row r="33" spans="1:18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ALEJANDRA QUISPE</v>
      </c>
      <c r="C33" s="37">
        <f>D1_ENERO_2026[[#This Row],[RECUPERO]]</f>
        <v>1000</v>
      </c>
      <c r="D33" s="36">
        <f>IFERROR(D1_ENERO_2026[[#This Row],[RECUP]]/VLOOKUP($J$3&amp;$K$3&amp;D1_ENERO_2026[[#This Row],[SUPER]],TablaMeta[],6,0),"")</f>
        <v>4.0816326530612242E-2</v>
      </c>
      <c r="E33" s="36" t="str">
        <f>D1_ENERO_2026[[#This Row],[SUPER]]</f>
        <v>JOHAN</v>
      </c>
      <c r="F33" t="s">
        <v>58</v>
      </c>
      <c r="G33" s="3">
        <v>1000</v>
      </c>
      <c r="H33"/>
      <c r="J33">
        <f>IF(DATA_ENERO_2026[[#This Row],[ASER_]]="","",VLOOKUP(DATA_ENERO_2026[[#This Row],[ASER_]],$B:$G,3,0))</f>
        <v>0.49641577060931902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&gt;40%</v>
      </c>
      <c r="L33" t="str">
        <f>IFERROR(VLOOKUP(DATA_ENERO_2026[[#This Row],[ASER_]],$B:$G,4,0),"")</f>
        <v>KENNETH</v>
      </c>
      <c r="M33">
        <f>IF(DATA_ENERO_2026[[#This Row],[SUPERVISOR]]="","",VLOOKUP(DATA_ENERO_2026[[#This Row],[ASER_]],$B:$G,6,0))</f>
        <v>13850</v>
      </c>
      <c r="N33">
        <f>IF(DATA_ENERO_2026[[#This Row],[RECUPERO]]="","",VLOOKUP($J$3&amp;$K$3&amp;DATA_ENERO_2026[[#This Row],[SUPERVISOR]],TablaMeta[],6,0))</f>
        <v>27900</v>
      </c>
      <c r="O33" t="s">
        <v>50</v>
      </c>
      <c r="P33">
        <v>13500</v>
      </c>
      <c r="Q33">
        <v>350</v>
      </c>
    </row>
    <row r="34" spans="1:18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ALEJANDRO GONZALES</v>
      </c>
      <c r="C34" s="37">
        <f>D1_ENERO_2026[[#This Row],[RECUPERO]]</f>
        <v>1000</v>
      </c>
      <c r="D34" s="36">
        <f>IFERROR(D1_ENERO_2026[[#This Row],[RECUP]]/VLOOKUP($J$3&amp;$K$3&amp;D1_ENERO_2026[[#This Row],[SUPER]],TablaMeta[],6,0),"")</f>
        <v>4.0816326530612242E-2</v>
      </c>
      <c r="E34" s="36" t="str">
        <f>D1_ENERO_2026[[#This Row],[SUPER]]</f>
        <v>JOHAN</v>
      </c>
      <c r="F34" t="s">
        <v>111</v>
      </c>
      <c r="G34" s="3">
        <v>1000</v>
      </c>
      <c r="H34"/>
      <c r="J34">
        <f>IF(DATA_ENERO_2026[[#This Row],[ASER_]]="","",VLOOKUP(DATA_ENERO_2026[[#This Row],[ASER_]],$B:$G,3,0))</f>
        <v>5.3763440860215055E-2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&gt;0%</v>
      </c>
      <c r="L34" t="str">
        <f>IFERROR(VLOOKUP(DATA_ENERO_2026[[#This Row],[ASER_]],$B:$G,4,0),"")</f>
        <v>KENNETH</v>
      </c>
      <c r="M34">
        <f>IF(DATA_ENERO_2026[[#This Row],[SUPERVISOR]]="","",VLOOKUP(DATA_ENERO_2026[[#This Row],[ASER_]],$B:$G,6,0))</f>
        <v>1500</v>
      </c>
      <c r="N34">
        <f>IF(DATA_ENERO_2026[[#This Row],[RECUPERO]]="","",VLOOKUP($J$3&amp;$K$3&amp;DATA_ENERO_2026[[#This Row],[SUPERVISOR]],TablaMeta[],6,0))</f>
        <v>27900</v>
      </c>
      <c r="O34" t="s">
        <v>26</v>
      </c>
      <c r="P34">
        <v>1500</v>
      </c>
      <c r="Q34">
        <v>0</v>
      </c>
    </row>
    <row r="35" spans="1:18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CARLA VALENCIA</v>
      </c>
      <c r="C35" s="37">
        <f>D1_ENERO_2026[[#This Row],[RECUPERO]]</f>
        <v>800</v>
      </c>
      <c r="D35" s="36">
        <f>IFERROR(D1_ENERO_2026[[#This Row],[RECUP]]/VLOOKUP($J$3&amp;$K$3&amp;D1_ENERO_2026[[#This Row],[SUPER]],TablaMeta[],6,0),"")</f>
        <v>3.2653061224489799E-2</v>
      </c>
      <c r="E35" s="36" t="str">
        <f>D1_ENERO_2026[[#This Row],[SUPER]]</f>
        <v>JOHAN</v>
      </c>
      <c r="F35" t="s">
        <v>436</v>
      </c>
      <c r="G35" s="3">
        <v>800</v>
      </c>
      <c r="H35"/>
      <c r="J35">
        <f>IF(DATA_ENERO_2026[[#This Row],[ASER_]]="","",VLOOKUP(DATA_ENERO_2026[[#This Row],[ASER_]],$B:$G,3,0))</f>
        <v>0.17204301075268819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&gt;0%</v>
      </c>
      <c r="L35" t="str">
        <f>IFERROR(VLOOKUP(DATA_ENERO_2026[[#This Row],[ASER_]],$B:$G,4,0),"")</f>
        <v>KENNETH</v>
      </c>
      <c r="M35">
        <f>IF(DATA_ENERO_2026[[#This Row],[SUPERVISOR]]="","",VLOOKUP(DATA_ENERO_2026[[#This Row],[ASER_]],$B:$G,6,0))</f>
        <v>4800</v>
      </c>
      <c r="N35">
        <f>IF(DATA_ENERO_2026[[#This Row],[RECUPERO]]="","",VLOOKUP($J$3&amp;$K$3&amp;DATA_ENERO_2026[[#This Row],[SUPERVISOR]],TablaMeta[],6,0))</f>
        <v>27900</v>
      </c>
      <c r="O35" t="s">
        <v>11</v>
      </c>
      <c r="P35">
        <v>3300</v>
      </c>
      <c r="Q35">
        <v>1500</v>
      </c>
    </row>
    <row r="36" spans="1:18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SARITA GARAY</v>
      </c>
      <c r="C36" s="37">
        <f>D1_ENERO_2026[[#This Row],[RECUPERO]]</f>
        <v>600</v>
      </c>
      <c r="D36" s="36">
        <f>IFERROR(D1_ENERO_2026[[#This Row],[RECUP]]/VLOOKUP($J$3&amp;$K$3&amp;D1_ENERO_2026[[#This Row],[SUPER]],TablaMeta[],6,0),"")</f>
        <v>2.4489795918367346E-2</v>
      </c>
      <c r="E36" s="36" t="str">
        <f>D1_ENERO_2026[[#This Row],[SUPER]]</f>
        <v>JOHAN</v>
      </c>
      <c r="F36" t="s">
        <v>73</v>
      </c>
      <c r="G36" s="3">
        <v>600</v>
      </c>
      <c r="H36"/>
      <c r="J36">
        <f>IF(DATA_ENERO_2026[[#This Row],[ASER_]]="","",VLOOKUP(DATA_ENERO_2026[[#This Row],[ASER_]],$B:$G,3,0))</f>
        <v>0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&gt;0%</v>
      </c>
      <c r="L36" t="str">
        <f>IFERROR(VLOOKUP(DATA_ENERO_2026[[#This Row],[ASER_]],$B:$G,4,0),"")</f>
        <v>JOHAN</v>
      </c>
      <c r="M36">
        <f>IF(DATA_ENERO_2026[[#This Row],[SUPERVISOR]]="","",VLOOKUP(DATA_ENERO_2026[[#This Row],[ASER_]],$B:$G,6,0))</f>
        <v>0</v>
      </c>
      <c r="N36">
        <f>IF(DATA_ENERO_2026[[#This Row],[RECUPERO]]="","",VLOOKUP($J$3&amp;$K$3&amp;DATA_ENERO_2026[[#This Row],[SUPERVISOR]],TablaMeta[],6,0))</f>
        <v>24500</v>
      </c>
      <c r="O36" t="s">
        <v>40</v>
      </c>
      <c r="P36">
        <v>0</v>
      </c>
      <c r="Q36">
        <v>0</v>
      </c>
    </row>
    <row r="37" spans="1:18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MAYRA AVALOS</v>
      </c>
      <c r="C37" s="37">
        <f>D1_ENERO_2026[[#This Row],[RECUPERO]]</f>
        <v>590</v>
      </c>
      <c r="D37" s="36">
        <f>IFERROR(D1_ENERO_2026[[#This Row],[RECUP]]/VLOOKUP($J$3&amp;$K$3&amp;D1_ENERO_2026[[#This Row],[SUPER]],TablaMeta[],6,0),"")</f>
        <v>2.4081632653061225E-2</v>
      </c>
      <c r="E37" s="36" t="str">
        <f>D1_ENERO_2026[[#This Row],[SUPER]]</f>
        <v>JOHAN</v>
      </c>
      <c r="F37" t="s">
        <v>55</v>
      </c>
      <c r="G37" s="3">
        <v>590</v>
      </c>
      <c r="H37"/>
      <c r="J37">
        <f>IF(DATA_ENERO_2026[[#This Row],[ASER_]]="","",VLOOKUP(DATA_ENERO_2026[[#This Row],[ASER_]],$B:$G,3,0))</f>
        <v>0.17755102040816326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&gt;0%</v>
      </c>
      <c r="L37" t="str">
        <f>IFERROR(VLOOKUP(DATA_ENERO_2026[[#This Row],[ASER_]],$B:$G,4,0),"")</f>
        <v>JOHAN</v>
      </c>
      <c r="M37">
        <f>IF(DATA_ENERO_2026[[#This Row],[SUPERVISOR]]="","",VLOOKUP(DATA_ENERO_2026[[#This Row],[ASER_]],$B:$G,6,0))</f>
        <v>4350</v>
      </c>
      <c r="N37">
        <f>IF(DATA_ENERO_2026[[#This Row],[RECUPERO]]="","",VLOOKUP($J$3&amp;$K$3&amp;DATA_ENERO_2026[[#This Row],[SUPERVISOR]],TablaMeta[],6,0))</f>
        <v>24500</v>
      </c>
      <c r="O37" t="s">
        <v>77</v>
      </c>
      <c r="P37">
        <v>200</v>
      </c>
      <c r="Q37">
        <v>4150</v>
      </c>
    </row>
    <row r="38" spans="1:18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GERALDINE ARROYO</v>
      </c>
      <c r="C38" s="37">
        <f>D1_ENERO_2026[[#This Row],[RECUPERO]]</f>
        <v>400</v>
      </c>
      <c r="D38" s="36">
        <f>IFERROR(D1_ENERO_2026[[#This Row],[RECUP]]/VLOOKUP($J$3&amp;$K$3&amp;D1_ENERO_2026[[#This Row],[SUPER]],TablaMeta[],6,0),"")</f>
        <v>1.6326530612244899E-2</v>
      </c>
      <c r="E38" s="36" t="str">
        <f>D1_ENERO_2026[[#This Row],[SUPER]]</f>
        <v>JOHAN</v>
      </c>
      <c r="F38" t="s">
        <v>51</v>
      </c>
      <c r="G38" s="3">
        <v>400</v>
      </c>
      <c r="H38"/>
      <c r="J38">
        <f>IF(DATA_ENERO_2026[[#This Row],[ASER_]]="","",VLOOKUP(DATA_ENERO_2026[[#This Row],[ASER_]],$B:$G,3,0))</f>
        <v>0.17551020408163265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&gt;0%</v>
      </c>
      <c r="L38" t="str">
        <f>IFERROR(VLOOKUP(DATA_ENERO_2026[[#This Row],[ASER_]],$B:$G,4,0),"")</f>
        <v>JOHAN</v>
      </c>
      <c r="M38">
        <f>IF(DATA_ENERO_2026[[#This Row],[SUPERVISOR]]="","",VLOOKUP(DATA_ENERO_2026[[#This Row],[ASER_]],$B:$G,6,0))</f>
        <v>4300</v>
      </c>
      <c r="N38">
        <f>IF(DATA_ENERO_2026[[#This Row],[RECUPERO]]="","",VLOOKUP($J$3&amp;$K$3&amp;DATA_ENERO_2026[[#This Row],[SUPERVISOR]],TablaMeta[],6,0))</f>
        <v>24500</v>
      </c>
      <c r="O38" t="s">
        <v>48</v>
      </c>
      <c r="P38">
        <v>200</v>
      </c>
      <c r="Q38">
        <v>4100</v>
      </c>
    </row>
    <row r="39" spans="1:18" x14ac:dyDescent="0.25">
      <c r="A39" s="35" t="str">
        <f>IFERROR(VLOOKUP(D1_ENERO_2026[[#This Row],[ASESOR_CRR]],PLANTILLA_ACTUAL[],2,0),"")</f>
        <v>JOHAN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NOEMI CHUQUILIN</v>
      </c>
      <c r="C39" s="37">
        <f>D1_ENERO_2026[[#This Row],[RECUPERO]]</f>
        <v>0</v>
      </c>
      <c r="D39" s="36">
        <f>IFERROR(D1_ENERO_2026[[#This Row],[RECUP]]/VLOOKUP($J$3&amp;$K$3&amp;D1_ENERO_2026[[#This Row],[SUPER]],TablaMeta[],6,0),"")</f>
        <v>0</v>
      </c>
      <c r="E39" s="36" t="str">
        <f>D1_ENERO_2026[[#This Row],[SUPER]]</f>
        <v>JOHAN</v>
      </c>
      <c r="F39" t="s">
        <v>97</v>
      </c>
      <c r="G39" s="3">
        <v>0</v>
      </c>
      <c r="H39"/>
      <c r="J39">
        <f>IF(DATA_ENERO_2026[[#This Row],[ASER_]]="","",VLOOKUP(DATA_ENERO_2026[[#This Row],[ASER_]],$B:$G,3,0))</f>
        <v>1.6326530612244899E-2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&gt;0%</v>
      </c>
      <c r="L39" t="str">
        <f>IFERROR(VLOOKUP(DATA_ENERO_2026[[#This Row],[ASER_]],$B:$G,4,0),"")</f>
        <v>JOHAN</v>
      </c>
      <c r="M39">
        <f>IF(DATA_ENERO_2026[[#This Row],[SUPERVISOR]]="","",VLOOKUP(DATA_ENERO_2026[[#This Row],[ASER_]],$B:$G,6,0))</f>
        <v>400</v>
      </c>
      <c r="N39">
        <f>IF(DATA_ENERO_2026[[#This Row],[RECUPERO]]="","",VLOOKUP($J$3&amp;$K$3&amp;DATA_ENERO_2026[[#This Row],[SUPERVISOR]],TablaMeta[],6,0))</f>
        <v>24500</v>
      </c>
      <c r="O39" t="s">
        <v>51</v>
      </c>
      <c r="P39">
        <v>0</v>
      </c>
      <c r="Q39">
        <v>400</v>
      </c>
    </row>
    <row r="40" spans="1:18" x14ac:dyDescent="0.25">
      <c r="A40" s="35" t="str">
        <f>IFERROR(VLOOKUP(D1_ENERO_2026[[#This Row],[ASESOR_CRR]],PLANTILLA_ACTUAL[],2,0),"")</f>
        <v>JOHAN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DARYL FERREL</v>
      </c>
      <c r="C40" s="37">
        <f>D1_ENERO_2026[[#This Row],[RECUPERO]]</f>
        <v>0</v>
      </c>
      <c r="D40" s="36">
        <f>IFERROR(D1_ENERO_2026[[#This Row],[RECUP]]/VLOOKUP($J$3&amp;$K$3&amp;D1_ENERO_2026[[#This Row],[SUPER]],TablaMeta[],6,0),"")</f>
        <v>0</v>
      </c>
      <c r="E40" s="36" t="str">
        <f>D1_ENERO_2026[[#This Row],[SUPER]]</f>
        <v>JOHAN</v>
      </c>
      <c r="F40" t="s">
        <v>40</v>
      </c>
      <c r="G40" s="3">
        <v>0</v>
      </c>
      <c r="H40"/>
      <c r="J40">
        <f>IF(DATA_ENERO_2026[[#This Row],[ASER_]]="","",VLOOKUP(DATA_ENERO_2026[[#This Row],[ASER_]],$B:$G,3,0))</f>
        <v>0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&gt;0%</v>
      </c>
      <c r="L40" t="str">
        <f>IFERROR(VLOOKUP(DATA_ENERO_2026[[#This Row],[ASER_]],$B:$G,4,0),"")</f>
        <v>JOHAN</v>
      </c>
      <c r="M40">
        <f>IF(DATA_ENERO_2026[[#This Row],[SUPERVISOR]]="","",VLOOKUP(DATA_ENERO_2026[[#This Row],[ASER_]],$B:$G,6,0))</f>
        <v>0</v>
      </c>
      <c r="N40">
        <f>IF(DATA_ENERO_2026[[#This Row],[RECUPERO]]="","",VLOOKUP($J$3&amp;$K$3&amp;DATA_ENERO_2026[[#This Row],[SUPERVISOR]],TablaMeta[],6,0))</f>
        <v>24500</v>
      </c>
      <c r="O40" t="s">
        <v>97</v>
      </c>
      <c r="P40">
        <v>0</v>
      </c>
      <c r="Q40">
        <v>0</v>
      </c>
    </row>
    <row r="41" spans="1:18" x14ac:dyDescent="0.25">
      <c r="A41" s="35" t="str">
        <f>IFERROR(VLOOKUP(D1_ENERO_2026[[#This Row],[ASESOR_CRR]],PLANTILLA_ACTUAL[],2,0),"")</f>
        <v>SANDY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LUIS CENTENO</v>
      </c>
      <c r="C41" s="37">
        <f>D1_ENERO_2026[[#This Row],[RECUPERO]]</f>
        <v>8300</v>
      </c>
      <c r="D41" s="36">
        <f>IFERROR(D1_ENERO_2026[[#This Row],[RECUP]]/VLOOKUP($J$3&amp;$K$3&amp;D1_ENERO_2026[[#This Row],[SUPER]],TablaMeta[],6,0),"")</f>
        <v>0.17291666666666666</v>
      </c>
      <c r="E41" s="36" t="str">
        <f>D1_ENERO_2026[[#This Row],[SUPER]]</f>
        <v>SANDY</v>
      </c>
      <c r="F41" t="s">
        <v>31</v>
      </c>
      <c r="G41" s="3">
        <v>8300</v>
      </c>
      <c r="H41"/>
      <c r="J41">
        <f>IF(DATA_ENERO_2026[[#This Row],[ASER_]]="","",VLOOKUP(DATA_ENERO_2026[[#This Row],[ASER_]],$B:$G,3,0))</f>
        <v>4.0816326530612242E-2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&gt;0%</v>
      </c>
      <c r="L41" t="str">
        <f>IFERROR(VLOOKUP(DATA_ENERO_2026[[#This Row],[ASER_]],$B:$G,4,0),"")</f>
        <v>JOHAN</v>
      </c>
      <c r="M41">
        <f>IF(DATA_ENERO_2026[[#This Row],[SUPERVISOR]]="","",VLOOKUP(DATA_ENERO_2026[[#This Row],[ASER_]],$B:$G,6,0))</f>
        <v>1000</v>
      </c>
      <c r="N41">
        <f>IF(DATA_ENERO_2026[[#This Row],[RECUPERO]]="","",VLOOKUP($J$3&amp;$K$3&amp;DATA_ENERO_2026[[#This Row],[SUPERVISOR]],TablaMeta[],6,0))</f>
        <v>24500</v>
      </c>
      <c r="O41" t="s">
        <v>58</v>
      </c>
      <c r="P41" s="46">
        <v>1000</v>
      </c>
      <c r="Q41">
        <v>0</v>
      </c>
    </row>
    <row r="42" spans="1:18" x14ac:dyDescent="0.25">
      <c r="A42" s="35" t="str">
        <f>IFERROR(VLOOKUP(D1_ENERO_2026[[#This Row],[ASESOR_CRR]],PLANTILLA_ACTUAL[],2,0),"")</f>
        <v>SANDY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LISELY MERA</v>
      </c>
      <c r="C42" s="37">
        <f>D1_ENERO_2026[[#This Row],[RECUPERO]]</f>
        <v>5278</v>
      </c>
      <c r="D42" s="36">
        <f>IFERROR(D1_ENERO_2026[[#This Row],[RECUP]]/VLOOKUP($J$3&amp;$K$3&amp;D1_ENERO_2026[[#This Row],[SUPER]],TablaMeta[],6,0),"")</f>
        <v>0.10995833333333334</v>
      </c>
      <c r="E42" s="36" t="str">
        <f>D1_ENERO_2026[[#This Row],[SUPER]]</f>
        <v>SANDY</v>
      </c>
      <c r="F42" t="s">
        <v>23</v>
      </c>
      <c r="G42" s="3">
        <v>5278</v>
      </c>
      <c r="H42"/>
      <c r="J42">
        <f>IF(DATA_ENERO_2026[[#This Row],[ASER_]]="","",VLOOKUP(DATA_ENERO_2026[[#This Row],[ASER_]],$B:$G,3,0))</f>
        <v>2.4081632653061225E-2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&gt;0%</v>
      </c>
      <c r="L42" t="str">
        <f>IFERROR(VLOOKUP(DATA_ENERO_2026[[#This Row],[ASER_]],$B:$G,4,0),"")</f>
        <v>JOHAN</v>
      </c>
      <c r="M42">
        <f>IF(DATA_ENERO_2026[[#This Row],[SUPERVISOR]]="","",VLOOKUP(DATA_ENERO_2026[[#This Row],[ASER_]],$B:$G,6,0))</f>
        <v>590</v>
      </c>
      <c r="N42">
        <f>IF(DATA_ENERO_2026[[#This Row],[RECUPERO]]="","",VLOOKUP($J$3&amp;$K$3&amp;DATA_ENERO_2026[[#This Row],[SUPERVISOR]],TablaMeta[],6,0))</f>
        <v>24500</v>
      </c>
      <c r="O42" t="s">
        <v>55</v>
      </c>
      <c r="P42" s="46">
        <v>310</v>
      </c>
      <c r="Q42">
        <v>280</v>
      </c>
    </row>
    <row r="43" spans="1:18" x14ac:dyDescent="0.25">
      <c r="A43" s="35" t="str">
        <f>IFERROR(VLOOKUP(D1_ENERO_2026[[#This Row],[ASESOR_CRR]],PLANTILLA_ACTUAL[],2,0),"")</f>
        <v>SANDY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FRANCO HUAMANI</v>
      </c>
      <c r="C43" s="37">
        <f>D1_ENERO_2026[[#This Row],[RECUPERO]]</f>
        <v>3578</v>
      </c>
      <c r="D43" s="36">
        <f>IFERROR(D1_ENERO_2026[[#This Row],[RECUP]]/VLOOKUP($J$3&amp;$K$3&amp;D1_ENERO_2026[[#This Row],[SUPER]],TablaMeta[],6,0),"")</f>
        <v>7.4541666666666673E-2</v>
      </c>
      <c r="E43" s="36" t="str">
        <f>D1_ENERO_2026[[#This Row],[SUPER]]</f>
        <v>SANDY</v>
      </c>
      <c r="F43" t="s">
        <v>24</v>
      </c>
      <c r="G43" s="3">
        <v>3578</v>
      </c>
      <c r="H43"/>
      <c r="J43">
        <f>IF(DATA_ENERO_2026[[#This Row],[ASER_]]="","",VLOOKUP(DATA_ENERO_2026[[#This Row],[ASER_]],$B:$G,3,0))</f>
        <v>6.0653061224489796E-2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&gt;0%</v>
      </c>
      <c r="L43" t="str">
        <f>IFERROR(VLOOKUP(DATA_ENERO_2026[[#This Row],[ASER_]],$B:$G,4,0),"")</f>
        <v>JOHAN</v>
      </c>
      <c r="M43">
        <f>IF(DATA_ENERO_2026[[#This Row],[SUPERVISOR]]="","",VLOOKUP(DATA_ENERO_2026[[#This Row],[ASER_]],$B:$G,6,0))</f>
        <v>1486</v>
      </c>
      <c r="N43">
        <f>IF(DATA_ENERO_2026[[#This Row],[RECUPERO]]="","",VLOOKUP($J$3&amp;$K$3&amp;DATA_ENERO_2026[[#This Row],[SUPERVISOR]],TablaMeta[],6,0))</f>
        <v>24500</v>
      </c>
      <c r="O43" t="s">
        <v>41</v>
      </c>
      <c r="P43">
        <v>0</v>
      </c>
      <c r="Q43">
        <v>1486</v>
      </c>
    </row>
    <row r="44" spans="1:18" x14ac:dyDescent="0.25">
      <c r="A44" s="35" t="str">
        <f>IFERROR(VLOOKUP(D1_ENERO_2026[[#This Row],[ASESOR_CRR]],PLANTILLA_ACTUAL[],2,0),"")</f>
        <v>SANDY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GIANNINA AGUILAR</v>
      </c>
      <c r="C44" s="37">
        <f>D1_ENERO_2026[[#This Row],[RECUPERO]]</f>
        <v>1477</v>
      </c>
      <c r="D44" s="36">
        <f>IFERROR(D1_ENERO_2026[[#This Row],[RECUP]]/VLOOKUP($J$3&amp;$K$3&amp;D1_ENERO_2026[[#This Row],[SUPER]],TablaMeta[],6,0),"")</f>
        <v>3.0770833333333334E-2</v>
      </c>
      <c r="E44" s="36" t="str">
        <f>D1_ENERO_2026[[#This Row],[SUPER]]</f>
        <v>SANDY</v>
      </c>
      <c r="F44" t="s">
        <v>32</v>
      </c>
      <c r="G44" s="3">
        <v>1477</v>
      </c>
      <c r="H44"/>
      <c r="J44">
        <f>IF(DATA_ENERO_2026[[#This Row],[ASER_]]="","",VLOOKUP(DATA_ENERO_2026[[#This Row],[ASER_]],$B:$G,3,0))</f>
        <v>2.4489795918367346E-2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&gt;0%</v>
      </c>
      <c r="L44" t="str">
        <f>IFERROR(VLOOKUP(DATA_ENERO_2026[[#This Row],[ASER_]],$B:$G,4,0),"")</f>
        <v>JOHAN</v>
      </c>
      <c r="M44">
        <f>IF(DATA_ENERO_2026[[#This Row],[SUPERVISOR]]="","",VLOOKUP(DATA_ENERO_2026[[#This Row],[ASER_]],$B:$G,6,0))</f>
        <v>600</v>
      </c>
      <c r="N44">
        <f>IF(DATA_ENERO_2026[[#This Row],[RECUPERO]]="","",VLOOKUP($J$3&amp;$K$3&amp;DATA_ENERO_2026[[#This Row],[SUPERVISOR]],TablaMeta[],6,0))</f>
        <v>24500</v>
      </c>
      <c r="O44" t="s">
        <v>73</v>
      </c>
      <c r="P44">
        <v>0</v>
      </c>
      <c r="Q44">
        <v>600</v>
      </c>
    </row>
    <row r="45" spans="1:18" x14ac:dyDescent="0.25">
      <c r="A45" s="35" t="str">
        <f>IFERROR(VLOOKUP(D1_ENERO_2026[[#This Row],[ASESOR_CRR]],PLANTILLA_ACTUAL[],2,0),"")</f>
        <v>SANDY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JHONATAN CHAVEZ</v>
      </c>
      <c r="C45" s="37">
        <f>D1_ENERO_2026[[#This Row],[RECUPERO]]</f>
        <v>981</v>
      </c>
      <c r="D45" s="36">
        <f>IFERROR(D1_ENERO_2026[[#This Row],[RECUP]]/VLOOKUP($J$3&amp;$K$3&amp;D1_ENERO_2026[[#This Row],[SUPER]],TablaMeta[],6,0),"")</f>
        <v>2.0437500000000001E-2</v>
      </c>
      <c r="E45" s="36" t="str">
        <f>D1_ENERO_2026[[#This Row],[SUPER]]</f>
        <v>SANDY</v>
      </c>
      <c r="F45" t="s">
        <v>65</v>
      </c>
      <c r="G45" s="3">
        <v>981</v>
      </c>
      <c r="H45"/>
      <c r="J45">
        <f>IF(DATA_ENERO_2026[[#This Row],[ASER_]]="","",VLOOKUP(DATA_ENERO_2026[[#This Row],[ASER_]],$B:$G,3,0))</f>
        <v>3.2653061224489799E-2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&gt;0%</v>
      </c>
      <c r="L45" t="str">
        <f>IFERROR(VLOOKUP(DATA_ENERO_2026[[#This Row],[ASER_]],$B:$G,4,0),"")</f>
        <v>JOHAN</v>
      </c>
      <c r="M45">
        <f>IF(DATA_ENERO_2026[[#This Row],[SUPERVISOR]]="","",VLOOKUP(DATA_ENERO_2026[[#This Row],[ASER_]],$B:$G,6,0))</f>
        <v>800</v>
      </c>
      <c r="N45">
        <f>IF(DATA_ENERO_2026[[#This Row],[RECUPERO]]="","",VLOOKUP($J$3&amp;$K$3&amp;DATA_ENERO_2026[[#This Row],[SUPERVISOR]],TablaMeta[],6,0))</f>
        <v>24500</v>
      </c>
      <c r="O45" t="s">
        <v>239</v>
      </c>
      <c r="P45">
        <v>0</v>
      </c>
      <c r="Q45">
        <v>800</v>
      </c>
    </row>
    <row r="46" spans="1:18" x14ac:dyDescent="0.25">
      <c r="A46" s="35" t="str">
        <f>IFERROR(VLOOKUP(D1_ENERO_2026[[#This Row],[ASESOR_CRR]],PLANTILLA_ACTUAL[],2,0),"")</f>
        <v>SANDY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GIANFRANCO PINEDO</v>
      </c>
      <c r="C46" s="37">
        <f>D1_ENERO_2026[[#This Row],[RECUPERO]]</f>
        <v>700</v>
      </c>
      <c r="D46" s="36">
        <f>IFERROR(D1_ENERO_2026[[#This Row],[RECUP]]/VLOOKUP($J$3&amp;$K$3&amp;D1_ENERO_2026[[#This Row],[SUPER]],TablaMeta[],6,0),"")</f>
        <v>1.4583333333333334E-2</v>
      </c>
      <c r="E46" s="36" t="str">
        <f>D1_ENERO_2026[[#This Row],[SUPER]]</f>
        <v>SANDY</v>
      </c>
      <c r="F46" t="s">
        <v>13</v>
      </c>
      <c r="G46" s="3">
        <v>700</v>
      </c>
      <c r="H46"/>
      <c r="J46">
        <f>IF(DATA_ENERO_2026[[#This Row],[ASER_]]="","",VLOOKUP(DATA_ENERO_2026[[#This Row],[ASER_]],$B:$G,3,0))</f>
        <v>4.0816326530612242E-2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&gt;0%</v>
      </c>
      <c r="L46" t="str">
        <f>IFERROR(VLOOKUP(DATA_ENERO_2026[[#This Row],[ASER_]],$B:$G,4,0),"")</f>
        <v>JOHAN</v>
      </c>
      <c r="M46">
        <f>IF(DATA_ENERO_2026[[#This Row],[SUPERVISOR]]="","",VLOOKUP(DATA_ENERO_2026[[#This Row],[ASER_]],$B:$G,6,0))</f>
        <v>1000</v>
      </c>
      <c r="N46">
        <f>IF(DATA_ENERO_2026[[#This Row],[RECUPERO]]="","",VLOOKUP($J$3&amp;$K$3&amp;DATA_ENERO_2026[[#This Row],[SUPERVISOR]],TablaMeta[],6,0))</f>
        <v>24500</v>
      </c>
      <c r="O46" t="s">
        <v>111</v>
      </c>
      <c r="P46">
        <v>0</v>
      </c>
      <c r="Q46">
        <v>1000</v>
      </c>
    </row>
    <row r="47" spans="1:18" x14ac:dyDescent="0.25">
      <c r="A47" s="35" t="str">
        <f>IFERROR(VLOOKUP(D1_ENERO_2026[[#This Row],[ASESOR_CRR]],PLANTILLA_ACTUAL[],2,0),"")</f>
        <v>SANDY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MARGARITA PIANCHACHI</v>
      </c>
      <c r="C47" s="37">
        <f>D1_ENERO_2026[[#This Row],[RECUPERO]]</f>
        <v>636</v>
      </c>
      <c r="D47" s="36">
        <f>IFERROR(D1_ENERO_2026[[#This Row],[RECUP]]/VLOOKUP($J$3&amp;$K$3&amp;D1_ENERO_2026[[#This Row],[SUPER]],TablaMeta[],6,0),"")</f>
        <v>1.325E-2</v>
      </c>
      <c r="E47" s="36" t="str">
        <f>D1_ENERO_2026[[#This Row],[SUPER]]</f>
        <v>SANDY</v>
      </c>
      <c r="F47" t="s">
        <v>17</v>
      </c>
      <c r="G47" s="3">
        <v>636</v>
      </c>
      <c r="H47"/>
      <c r="J47">
        <f>IF(DATA_ENERO_2026[[#This Row],[ASER_]]="","",VLOOKUP(DATA_ENERO_2026[[#This Row],[ASER_]],$B:$G,3,0))</f>
        <v>0.17291666666666666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&gt;0%</v>
      </c>
      <c r="L47" t="str">
        <f>IFERROR(VLOOKUP(DATA_ENERO_2026[[#This Row],[ASER_]],$B:$G,4,0),"")</f>
        <v>SANDY</v>
      </c>
      <c r="M47">
        <f>IF(DATA_ENERO_2026[[#This Row],[SUPERVISOR]]="","",VLOOKUP(DATA_ENERO_2026[[#This Row],[ASER_]],$B:$G,6,0))</f>
        <v>8300</v>
      </c>
      <c r="N47">
        <f>IF(DATA_ENERO_2026[[#This Row],[RECUPERO]]="","",VLOOKUP($J$3&amp;$K$3&amp;DATA_ENERO_2026[[#This Row],[SUPERVISOR]],TablaMeta[],6,0))</f>
        <v>48000</v>
      </c>
      <c r="O47" t="s">
        <v>31</v>
      </c>
      <c r="P47">
        <v>2000</v>
      </c>
      <c r="Q47">
        <v>6300</v>
      </c>
      <c r="R47" s="46"/>
    </row>
    <row r="48" spans="1:18" x14ac:dyDescent="0.25">
      <c r="A48" s="35" t="str">
        <f>IFERROR(VLOOKUP(D1_ENERO_2026[[#This Row],[ASESOR_CRR]],PLANTILLA_ACTUAL[],2,0),"")</f>
        <v>SANDY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LINDA TUESTA</v>
      </c>
      <c r="C48" s="37">
        <f>D1_ENERO_2026[[#This Row],[RECUPERO]]</f>
        <v>335</v>
      </c>
      <c r="D48" s="36">
        <f>IFERROR(D1_ENERO_2026[[#This Row],[RECUP]]/VLOOKUP($J$3&amp;$K$3&amp;D1_ENERO_2026[[#This Row],[SUPER]],TablaMeta[],6,0),"")</f>
        <v>6.9791666666666665E-3</v>
      </c>
      <c r="E48" s="36" t="str">
        <f>D1_ENERO_2026[[#This Row],[SUPER]]</f>
        <v>SANDY</v>
      </c>
      <c r="F48" t="s">
        <v>33</v>
      </c>
      <c r="G48" s="3">
        <v>335</v>
      </c>
      <c r="H48"/>
      <c r="J48">
        <f>IF(DATA_ENERO_2026[[#This Row],[ASER_]]="","",VLOOKUP(DATA_ENERO_2026[[#This Row],[ASER_]],$B:$G,3,0))</f>
        <v>0.10995833333333334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&gt;0%</v>
      </c>
      <c r="L48" t="str">
        <f>IFERROR(VLOOKUP(DATA_ENERO_2026[[#This Row],[ASER_]],$B:$G,4,0),"")</f>
        <v>SANDY</v>
      </c>
      <c r="M48">
        <f>IF(DATA_ENERO_2026[[#This Row],[SUPERVISOR]]="","",VLOOKUP(DATA_ENERO_2026[[#This Row],[ASER_]],$B:$G,6,0))</f>
        <v>5278</v>
      </c>
      <c r="N48">
        <f>IF(DATA_ENERO_2026[[#This Row],[RECUPERO]]="","",VLOOKUP($J$3&amp;$K$3&amp;DATA_ENERO_2026[[#This Row],[SUPERVISOR]],TablaMeta[],6,0))</f>
        <v>48000</v>
      </c>
      <c r="O48" t="s">
        <v>23</v>
      </c>
      <c r="P48">
        <v>1700</v>
      </c>
      <c r="Q48">
        <v>3578</v>
      </c>
    </row>
    <row r="49" spans="1:17" x14ac:dyDescent="0.25">
      <c r="A49" s="35" t="str">
        <f>IFERROR(VLOOKUP(D1_ENERO_2026[[#This Row],[ASESOR_CRR]],PLANTILLA_ACTUAL[],2,0),"")</f>
        <v>SANDY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JESSICA MELGAREJO</v>
      </c>
      <c r="C49" s="37">
        <f>D1_ENERO_2026[[#This Row],[RECUPERO]]</f>
        <v>0</v>
      </c>
      <c r="D49" s="36">
        <f>IFERROR(D1_ENERO_2026[[#This Row],[RECUP]]/VLOOKUP($J$3&amp;$K$3&amp;D1_ENERO_2026[[#This Row],[SUPER]],TablaMeta[],6,0),"")</f>
        <v>0</v>
      </c>
      <c r="E49" s="36" t="str">
        <f>D1_ENERO_2026[[#This Row],[SUPER]]</f>
        <v>SANDY</v>
      </c>
      <c r="F49" t="s">
        <v>96</v>
      </c>
      <c r="G49" s="3">
        <v>0</v>
      </c>
      <c r="H49"/>
      <c r="J49">
        <f>IF(DATA_ENERO_2026[[#This Row],[ASER_]]="","",VLOOKUP(DATA_ENERO_2026[[#This Row],[ASER_]],$B:$G,3,0))</f>
        <v>3.0770833333333334E-2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&gt;0%</v>
      </c>
      <c r="L49" t="str">
        <f>IFERROR(VLOOKUP(DATA_ENERO_2026[[#This Row],[ASER_]],$B:$G,4,0),"")</f>
        <v>SANDY</v>
      </c>
      <c r="M49">
        <f>IF(DATA_ENERO_2026[[#This Row],[SUPERVISOR]]="","",VLOOKUP(DATA_ENERO_2026[[#This Row],[ASER_]],$B:$G,6,0))</f>
        <v>1477</v>
      </c>
      <c r="N49">
        <f>IF(DATA_ENERO_2026[[#This Row],[RECUPERO]]="","",VLOOKUP($J$3&amp;$K$3&amp;DATA_ENERO_2026[[#This Row],[SUPERVISOR]],TablaMeta[],6,0))</f>
        <v>48000</v>
      </c>
      <c r="O49" t="s">
        <v>32</v>
      </c>
      <c r="P49">
        <v>877</v>
      </c>
      <c r="Q49">
        <v>600</v>
      </c>
    </row>
    <row r="50" spans="1:17" x14ac:dyDescent="0.25">
      <c r="H50"/>
      <c r="J50">
        <f>IF(DATA_ENERO_2026[[#This Row],[ASER_]]="","",VLOOKUP(DATA_ENERO_2026[[#This Row],[ASER_]],$B:$G,3,0))</f>
        <v>2.0437500000000001E-2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&gt;0%</v>
      </c>
      <c r="L50" t="str">
        <f>IFERROR(VLOOKUP(DATA_ENERO_2026[[#This Row],[ASER_]],$B:$G,4,0),"")</f>
        <v>SANDY</v>
      </c>
      <c r="M50">
        <f>IF(DATA_ENERO_2026[[#This Row],[SUPERVISOR]]="","",VLOOKUP(DATA_ENERO_2026[[#This Row],[ASER_]],$B:$G,6,0))</f>
        <v>981</v>
      </c>
      <c r="N50">
        <f>IF(DATA_ENERO_2026[[#This Row],[RECUPERO]]="","",VLOOKUP($J$3&amp;$K$3&amp;DATA_ENERO_2026[[#This Row],[SUPERVISOR]],TablaMeta[],6,0))</f>
        <v>48000</v>
      </c>
      <c r="O50" t="s">
        <v>65</v>
      </c>
      <c r="P50">
        <v>700</v>
      </c>
      <c r="Q50">
        <v>281</v>
      </c>
    </row>
    <row r="51" spans="1:17" x14ac:dyDescent="0.25">
      <c r="H51"/>
      <c r="J51">
        <f>IF(DATA_ENERO_2026[[#This Row],[ASER_]]="","",VLOOKUP(DATA_ENERO_2026[[#This Row],[ASER_]],$B:$G,3,0))</f>
        <v>1.325E-2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&gt;0%</v>
      </c>
      <c r="L51" t="str">
        <f>IFERROR(VLOOKUP(DATA_ENERO_2026[[#This Row],[ASER_]],$B:$G,4,0),"")</f>
        <v>SANDY</v>
      </c>
      <c r="M51">
        <f>IF(DATA_ENERO_2026[[#This Row],[SUPERVISOR]]="","",VLOOKUP(DATA_ENERO_2026[[#This Row],[ASER_]],$B:$G,6,0))</f>
        <v>636</v>
      </c>
      <c r="N51">
        <f>IF(DATA_ENERO_2026[[#This Row],[RECUPERO]]="","",VLOOKUP($J$3&amp;$K$3&amp;DATA_ENERO_2026[[#This Row],[SUPERVISOR]],TablaMeta[],6,0))</f>
        <v>48000</v>
      </c>
      <c r="O51" t="s">
        <v>17</v>
      </c>
      <c r="P51">
        <v>636</v>
      </c>
      <c r="Q51">
        <v>0</v>
      </c>
    </row>
    <row r="52" spans="1:17" x14ac:dyDescent="0.25">
      <c r="H52"/>
      <c r="J52">
        <f>IF(DATA_ENERO_2026[[#This Row],[ASER_]]="","",VLOOKUP(DATA_ENERO_2026[[#This Row],[ASER_]],$B:$G,3,0))</f>
        <v>6.9791666666666665E-3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&gt;0%</v>
      </c>
      <c r="L52" t="str">
        <f>IFERROR(VLOOKUP(DATA_ENERO_2026[[#This Row],[ASER_]],$B:$G,4,0),"")</f>
        <v>SANDY</v>
      </c>
      <c r="M52">
        <f>IF(DATA_ENERO_2026[[#This Row],[SUPERVISOR]]="","",VLOOKUP(DATA_ENERO_2026[[#This Row],[ASER_]],$B:$G,6,0))</f>
        <v>335</v>
      </c>
      <c r="N52">
        <f>IF(DATA_ENERO_2026[[#This Row],[RECUPERO]]="","",VLOOKUP($J$3&amp;$K$3&amp;DATA_ENERO_2026[[#This Row],[SUPERVISOR]],TablaMeta[],6,0))</f>
        <v>48000</v>
      </c>
      <c r="O52" t="s">
        <v>33</v>
      </c>
      <c r="P52">
        <v>335</v>
      </c>
      <c r="Q52">
        <v>0</v>
      </c>
    </row>
    <row r="53" spans="1:17" x14ac:dyDescent="0.25">
      <c r="H53"/>
      <c r="J53">
        <f>IF(DATA_ENERO_2026[[#This Row],[ASER_]]="","",VLOOKUP(DATA_ENERO_2026[[#This Row],[ASER_]],$B:$G,3,0))</f>
        <v>1.4583333333333334E-2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&gt;0%</v>
      </c>
      <c r="L53" t="str">
        <f>IFERROR(VLOOKUP(DATA_ENERO_2026[[#This Row],[ASER_]],$B:$G,4,0),"")</f>
        <v>SANDY</v>
      </c>
      <c r="M53">
        <f>IF(DATA_ENERO_2026[[#This Row],[SUPERVISOR]]="","",VLOOKUP(DATA_ENERO_2026[[#This Row],[ASER_]],$B:$G,6,0))</f>
        <v>700</v>
      </c>
      <c r="N53">
        <f>IF(DATA_ENERO_2026[[#This Row],[RECUPERO]]="","",VLOOKUP($J$3&amp;$K$3&amp;DATA_ENERO_2026[[#This Row],[SUPERVISOR]],TablaMeta[],6,0))</f>
        <v>48000</v>
      </c>
      <c r="O53" t="s">
        <v>13</v>
      </c>
      <c r="P53">
        <v>0</v>
      </c>
      <c r="Q53">
        <v>700</v>
      </c>
    </row>
    <row r="54" spans="1:17" x14ac:dyDescent="0.25">
      <c r="H54"/>
      <c r="J54">
        <f>IF(DATA_ENERO_2026[[#This Row],[ASER_]]="","",VLOOKUP(DATA_ENERO_2026[[#This Row],[ASER_]],$B:$G,3,0))</f>
        <v>0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&gt;0%</v>
      </c>
      <c r="L54" t="str">
        <f>IFERROR(VLOOKUP(DATA_ENERO_2026[[#This Row],[ASER_]],$B:$G,4,0),"")</f>
        <v>SANDY</v>
      </c>
      <c r="M54">
        <f>IF(DATA_ENERO_2026[[#This Row],[SUPERVISOR]]="","",VLOOKUP(DATA_ENERO_2026[[#This Row],[ASER_]],$B:$G,6,0))</f>
        <v>0</v>
      </c>
      <c r="N54">
        <f>IF(DATA_ENERO_2026[[#This Row],[RECUPERO]]="","",VLOOKUP($J$3&amp;$K$3&amp;DATA_ENERO_2026[[#This Row],[SUPERVISOR]],TablaMeta[],6,0))</f>
        <v>48000</v>
      </c>
      <c r="O54" t="s">
        <v>96</v>
      </c>
      <c r="P54">
        <v>0</v>
      </c>
      <c r="Q54">
        <v>0</v>
      </c>
    </row>
    <row r="55" spans="1:17" x14ac:dyDescent="0.25">
      <c r="H55"/>
      <c r="J55">
        <f>IF(DATA_ENERO_2026[[#This Row],[ASER_]]="","",VLOOKUP(DATA_ENERO_2026[[#This Row],[ASER_]],$B:$G,3,0))</f>
        <v>7.4541666666666673E-2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&gt;0%</v>
      </c>
      <c r="L55" t="str">
        <f>IFERROR(VLOOKUP(DATA_ENERO_2026[[#This Row],[ASER_]],$B:$G,4,0),"")</f>
        <v>SANDY</v>
      </c>
      <c r="M55">
        <f>IF(DATA_ENERO_2026[[#This Row],[SUPERVISOR]]="","",VLOOKUP(DATA_ENERO_2026[[#This Row],[ASER_]],$B:$G,6,0))</f>
        <v>3578</v>
      </c>
      <c r="N55">
        <f>IF(DATA_ENERO_2026[[#This Row],[RECUPERO]]="","",VLOOKUP($J$3&amp;$K$3&amp;DATA_ENERO_2026[[#This Row],[SUPERVISOR]],TablaMeta[],6,0))</f>
        <v>48000</v>
      </c>
      <c r="O55" t="s">
        <v>24</v>
      </c>
      <c r="P55">
        <v>0</v>
      </c>
      <c r="Q55">
        <v>2850</v>
      </c>
    </row>
    <row r="56" spans="1:17" x14ac:dyDescent="0.25">
      <c r="H56"/>
    </row>
    <row r="57" spans="1:17" x14ac:dyDescent="0.25">
      <c r="H57"/>
    </row>
    <row r="58" spans="1:17" x14ac:dyDescent="0.25">
      <c r="H58"/>
    </row>
    <row r="59" spans="1:17" x14ac:dyDescent="0.25">
      <c r="F59" s="3"/>
      <c r="G59" s="1"/>
      <c r="H59"/>
    </row>
    <row r="60" spans="1:17" x14ac:dyDescent="0.25">
      <c r="F60" s="3"/>
      <c r="G60" s="1"/>
      <c r="H60"/>
    </row>
    <row r="61" spans="1:17" x14ac:dyDescent="0.25">
      <c r="F61" s="3"/>
      <c r="G61" s="1"/>
      <c r="H61"/>
    </row>
    <row r="62" spans="1:17" x14ac:dyDescent="0.25">
      <c r="F62" s="3"/>
      <c r="G62" s="1"/>
      <c r="H62"/>
    </row>
    <row r="63" spans="1:17" x14ac:dyDescent="0.25">
      <c r="G63" s="3"/>
    </row>
    <row r="64" spans="1:17" x14ac:dyDescent="0.25">
      <c r="G64" s="3"/>
    </row>
    <row r="65" spans="7:37" x14ac:dyDescent="0.25">
      <c r="G65" s="3"/>
    </row>
    <row r="66" spans="7:37" x14ac:dyDescent="0.25">
      <c r="G66" s="3"/>
    </row>
    <row r="67" spans="7:37" x14ac:dyDescent="0.25">
      <c r="G67" s="3"/>
    </row>
    <row r="68" spans="7:37" x14ac:dyDescent="0.25">
      <c r="G68" s="3"/>
    </row>
    <row r="69" spans="7:37" x14ac:dyDescent="0.25">
      <c r="G69" s="3"/>
    </row>
    <row r="70" spans="7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5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C53"/>
  <sheetViews>
    <sheetView workbookViewId="0"/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</cols>
  <sheetData>
    <row r="1" spans="1:3" x14ac:dyDescent="0.25">
      <c r="A1" s="10" t="s">
        <v>0</v>
      </c>
      <c r="B1" s="5" t="s">
        <v>135</v>
      </c>
      <c r="C1" s="5" t="s">
        <v>245</v>
      </c>
    </row>
    <row r="2" spans="1:3" x14ac:dyDescent="0.25">
      <c r="A2" s="5" t="s">
        <v>58</v>
      </c>
      <c r="B2" s="5" t="s">
        <v>127</v>
      </c>
      <c r="C2" s="5" t="str">
        <f>PLANTILLA_ACTUAL[[#This Row],[ASESOR]]</f>
        <v>ALEJANDRA QUISPE</v>
      </c>
    </row>
    <row r="3" spans="1:3" x14ac:dyDescent="0.25">
      <c r="A3" s="5" t="s">
        <v>49</v>
      </c>
      <c r="B3" s="5" t="s">
        <v>127</v>
      </c>
      <c r="C3" s="5" t="str">
        <f>PLANTILLA_ACTUAL[[#This Row],[ASESOR]]</f>
        <v>JANETH PORTOCARRERO</v>
      </c>
    </row>
    <row r="4" spans="1:3" x14ac:dyDescent="0.25">
      <c r="A4" s="5" t="s">
        <v>23</v>
      </c>
      <c r="B4" s="5" t="s">
        <v>3</v>
      </c>
      <c r="C4" s="5" t="str">
        <f>PLANTILLA_ACTUAL[[#This Row],[ASESOR]]</f>
        <v>LISELY MERA</v>
      </c>
    </row>
    <row r="5" spans="1:3" x14ac:dyDescent="0.25">
      <c r="A5" s="5" t="s">
        <v>26</v>
      </c>
      <c r="B5" s="5" t="s">
        <v>6</v>
      </c>
      <c r="C5" s="5" t="str">
        <f>PLANTILLA_ACTUAL[[#This Row],[ASESOR]]</f>
        <v>JENY LAZARO</v>
      </c>
    </row>
    <row r="6" spans="1:3" x14ac:dyDescent="0.25">
      <c r="A6" s="5" t="s">
        <v>19</v>
      </c>
      <c r="B6" s="5" t="s">
        <v>6</v>
      </c>
      <c r="C6" s="5" t="str">
        <f>PLANTILLA_ACTUAL[[#This Row],[ASESOR]]</f>
        <v>CARMEN PUMA</v>
      </c>
    </row>
    <row r="7" spans="1:3" x14ac:dyDescent="0.25">
      <c r="A7" s="5" t="s">
        <v>29</v>
      </c>
      <c r="B7" s="5" t="s">
        <v>2</v>
      </c>
      <c r="C7" s="5" t="str">
        <f>PLANTILLA_ACTUAL[[#This Row],[ASESOR]]</f>
        <v>LUIS VALLADARES</v>
      </c>
    </row>
    <row r="8" spans="1:3" x14ac:dyDescent="0.25">
      <c r="A8" s="5" t="s">
        <v>10</v>
      </c>
      <c r="B8" s="5" t="s">
        <v>4</v>
      </c>
      <c r="C8" s="5" t="str">
        <f>PLANTILLA_ACTUAL[[#This Row],[ASESOR]]</f>
        <v>VERONICA TASAYCO</v>
      </c>
    </row>
    <row r="9" spans="1:3" x14ac:dyDescent="0.25">
      <c r="A9" s="5" t="s">
        <v>75</v>
      </c>
      <c r="B9" s="5" t="s">
        <v>4</v>
      </c>
      <c r="C9" s="5" t="str">
        <f>PLANTILLA_ACTUAL[[#This Row],[ASESOR]]</f>
        <v>MARIA TINTAYA</v>
      </c>
    </row>
    <row r="10" spans="1:3" x14ac:dyDescent="0.25">
      <c r="A10" s="5" t="s">
        <v>15</v>
      </c>
      <c r="B10" s="5" t="s">
        <v>2</v>
      </c>
      <c r="C10" s="5" t="str">
        <f>PLANTILLA_ACTUAL[[#This Row],[ASESOR]]</f>
        <v>ANDERSON RODRIGUEZ</v>
      </c>
    </row>
    <row r="11" spans="1:3" x14ac:dyDescent="0.25">
      <c r="A11" s="5" t="s">
        <v>35</v>
      </c>
      <c r="B11" s="5" t="s">
        <v>6</v>
      </c>
      <c r="C11" s="5" t="str">
        <f>PLANTILLA_ACTUAL[[#This Row],[ASESOR]]</f>
        <v>JUAN LOZA</v>
      </c>
    </row>
    <row r="12" spans="1:3" x14ac:dyDescent="0.25">
      <c r="A12" s="5" t="s">
        <v>48</v>
      </c>
      <c r="B12" s="5" t="s">
        <v>127</v>
      </c>
      <c r="C12" s="5" t="str">
        <f>PLANTILLA_ACTUAL[[#This Row],[ASESOR]]</f>
        <v>VERONICA HUARCA</v>
      </c>
    </row>
    <row r="13" spans="1:3" x14ac:dyDescent="0.25">
      <c r="A13" s="5" t="s">
        <v>13</v>
      </c>
      <c r="B13" s="5" t="s">
        <v>3</v>
      </c>
      <c r="C13" s="5" t="str">
        <f>PLANTILLA_ACTUAL[[#This Row],[ASESOR]]</f>
        <v>GIANFRANCO PINEDO</v>
      </c>
    </row>
    <row r="14" spans="1:3" x14ac:dyDescent="0.25">
      <c r="A14" s="5" t="s">
        <v>76</v>
      </c>
      <c r="B14" s="5" t="s">
        <v>2</v>
      </c>
      <c r="C14" s="5" t="str">
        <f>PLANTILLA_ACTUAL[[#This Row],[ASESOR]]</f>
        <v>VICTOR RAMIREZ</v>
      </c>
    </row>
    <row r="15" spans="1:3" x14ac:dyDescent="0.25">
      <c r="A15" s="5" t="s">
        <v>25</v>
      </c>
      <c r="B15" s="5" t="s">
        <v>2</v>
      </c>
      <c r="C15" s="5" t="str">
        <f>PLANTILLA_ACTUAL[[#This Row],[ASESOR]]</f>
        <v>MALORY MONTEBLANCO</v>
      </c>
    </row>
    <row r="16" spans="1:3" x14ac:dyDescent="0.25">
      <c r="A16" s="5" t="s">
        <v>77</v>
      </c>
      <c r="B16" s="5" t="s">
        <v>127</v>
      </c>
      <c r="C16" s="5" t="str">
        <f>PLANTILLA_ACTUAL[[#This Row],[ASESOR]]</f>
        <v>JUAN ALANOCCA</v>
      </c>
    </row>
    <row r="17" spans="1:3" x14ac:dyDescent="0.25">
      <c r="A17" s="5" t="s">
        <v>33</v>
      </c>
      <c r="B17" s="5" t="s">
        <v>3</v>
      </c>
      <c r="C17" s="5" t="str">
        <f>PLANTILLA_ACTUAL[[#This Row],[ASESOR]]</f>
        <v>LINDA TUESTA</v>
      </c>
    </row>
    <row r="18" spans="1:3" x14ac:dyDescent="0.25">
      <c r="A18" s="5" t="s">
        <v>12</v>
      </c>
      <c r="B18" s="5" t="s">
        <v>4</v>
      </c>
      <c r="C18" s="5" t="str">
        <f>PLANTILLA_ACTUAL[[#This Row],[ASESOR]]</f>
        <v>GENESIS VICUNA</v>
      </c>
    </row>
    <row r="19" spans="1:3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</row>
    <row r="20" spans="1:3" x14ac:dyDescent="0.25">
      <c r="A20" s="5" t="s">
        <v>61</v>
      </c>
      <c r="B20" s="5" t="s">
        <v>4</v>
      </c>
      <c r="C20" s="5" t="str">
        <f>PLANTILLA_ACTUAL[[#This Row],[ASESOR]]</f>
        <v>CRISTINA TICONA</v>
      </c>
    </row>
    <row r="21" spans="1:3" x14ac:dyDescent="0.25">
      <c r="A21" s="5" t="s">
        <v>78</v>
      </c>
      <c r="B21" s="5" t="s">
        <v>2</v>
      </c>
      <c r="C21" s="5" t="str">
        <f>PLANTILLA_ACTUAL[[#This Row],[ASESOR]]</f>
        <v>URSULA CENTENO</v>
      </c>
    </row>
    <row r="22" spans="1:3" x14ac:dyDescent="0.25">
      <c r="A22" s="5" t="s">
        <v>65</v>
      </c>
      <c r="B22" s="5" t="s">
        <v>3</v>
      </c>
      <c r="C22" s="5" t="str">
        <f>PLANTILLA_ACTUAL[[#This Row],[ASESOR]]</f>
        <v>JHONATAN CHAVEZ</v>
      </c>
    </row>
    <row r="23" spans="1:3" x14ac:dyDescent="0.25">
      <c r="A23" s="5" t="s">
        <v>37</v>
      </c>
      <c r="B23" s="5" t="s">
        <v>6</v>
      </c>
      <c r="C23" s="5" t="str">
        <f>PLANTILLA_ACTUAL[[#This Row],[ASESOR]]</f>
        <v>JIMENA MEDINA</v>
      </c>
    </row>
    <row r="24" spans="1:3" x14ac:dyDescent="0.25">
      <c r="A24" s="5" t="s">
        <v>18</v>
      </c>
      <c r="B24" s="5" t="s">
        <v>4</v>
      </c>
      <c r="C24" s="5" t="str">
        <f>PLANTILLA_ACTUAL[[#This Row],[ASESOR]]</f>
        <v>ALEIDITH GUEVARA</v>
      </c>
    </row>
    <row r="25" spans="1:3" x14ac:dyDescent="0.25">
      <c r="A25" s="5" t="s">
        <v>73</v>
      </c>
      <c r="B25" s="5" t="s">
        <v>127</v>
      </c>
      <c r="C25" s="5" t="str">
        <f>PLANTILLA_ACTUAL[[#This Row],[ASESOR]]</f>
        <v>SARITA GARAY</v>
      </c>
    </row>
    <row r="26" spans="1:3" x14ac:dyDescent="0.25">
      <c r="A26" s="5" t="s">
        <v>79</v>
      </c>
      <c r="B26" s="5" t="s">
        <v>2</v>
      </c>
      <c r="C26" s="5" t="str">
        <f>PLANTILLA_ACTUAL[[#This Row],[ASESOR]]</f>
        <v>NATALIA MARIN</v>
      </c>
    </row>
    <row r="27" spans="1:3" x14ac:dyDescent="0.25">
      <c r="A27" s="5" t="s">
        <v>34</v>
      </c>
      <c r="B27" s="5" t="s">
        <v>6</v>
      </c>
      <c r="C27" s="5" t="str">
        <f>PLANTILLA_ACTUAL[[#This Row],[ASESOR]]</f>
        <v>STWUAR MACURI</v>
      </c>
    </row>
    <row r="28" spans="1:3" x14ac:dyDescent="0.25">
      <c r="A28" s="5" t="s">
        <v>80</v>
      </c>
      <c r="B28" s="5" t="s">
        <v>6</v>
      </c>
      <c r="C28" s="5" t="str">
        <f>PLANTILLA_ACTUAL[[#This Row],[ASESOR]]</f>
        <v>DANIEL ZAPATA</v>
      </c>
    </row>
    <row r="29" spans="1:3" x14ac:dyDescent="0.25">
      <c r="A29" s="5" t="s">
        <v>22</v>
      </c>
      <c r="B29" s="5" t="s">
        <v>3</v>
      </c>
      <c r="C29" s="5" t="str">
        <f>PLANTILLA_ACTUAL[[#This Row],[ASESOR]]</f>
        <v>EVELY TENORIO</v>
      </c>
    </row>
    <row r="30" spans="1:3" x14ac:dyDescent="0.25">
      <c r="A30" s="5" t="s">
        <v>41</v>
      </c>
      <c r="B30" s="5" t="s">
        <v>127</v>
      </c>
      <c r="C30" s="5" t="str">
        <f>PLANTILLA_ACTUAL[[#This Row],[ASESOR]]</f>
        <v>CHRISTIAN ALVARADO</v>
      </c>
    </row>
    <row r="31" spans="1:3" x14ac:dyDescent="0.25">
      <c r="A31" s="5" t="s">
        <v>24</v>
      </c>
      <c r="B31" s="5" t="s">
        <v>3</v>
      </c>
      <c r="C31" s="5" t="str">
        <f>PLANTILLA_ACTUAL[[#This Row],[ASESOR]]</f>
        <v>FRANCO HUAMANI</v>
      </c>
    </row>
    <row r="32" spans="1:3" x14ac:dyDescent="0.25">
      <c r="A32" s="5" t="s">
        <v>31</v>
      </c>
      <c r="B32" s="5" t="s">
        <v>3</v>
      </c>
      <c r="C32" s="5" t="str">
        <f>PLANTILLA_ACTUAL[[#This Row],[ASESOR]]</f>
        <v>LUIS CENTENO</v>
      </c>
    </row>
    <row r="33" spans="1:3" x14ac:dyDescent="0.25">
      <c r="A33" s="5" t="s">
        <v>59</v>
      </c>
      <c r="B33" s="5" t="s">
        <v>4</v>
      </c>
      <c r="C33" s="5" t="str">
        <f>PLANTILLA_ACTUAL[[#This Row],[ASESOR]]</f>
        <v>PIERINA TESEN</v>
      </c>
    </row>
    <row r="34" spans="1:3" x14ac:dyDescent="0.25">
      <c r="A34" s="5" t="s">
        <v>68</v>
      </c>
      <c r="B34" s="5" t="s">
        <v>2</v>
      </c>
      <c r="C34" s="5" t="str">
        <f>PLANTILLA_ACTUAL[[#This Row],[ASESOR]]</f>
        <v>LUCERO JORDAN</v>
      </c>
    </row>
    <row r="35" spans="1:3" x14ac:dyDescent="0.25">
      <c r="A35" s="5" t="s">
        <v>11</v>
      </c>
      <c r="B35" s="5" t="s">
        <v>6</v>
      </c>
      <c r="C35" s="5" t="str">
        <f>PLANTILLA_ACTUAL[[#This Row],[ASESOR]]</f>
        <v>MILAGROS QUIO</v>
      </c>
    </row>
    <row r="36" spans="1:3" x14ac:dyDescent="0.25">
      <c r="A36" s="5" t="s">
        <v>42</v>
      </c>
      <c r="B36" s="5" t="s">
        <v>2</v>
      </c>
      <c r="C36" s="5" t="str">
        <f>PLANTILLA_ACTUAL[[#This Row],[ASESOR]]</f>
        <v>HAROLD FLORES</v>
      </c>
    </row>
    <row r="37" spans="1:3" x14ac:dyDescent="0.25">
      <c r="A37" s="5" t="s">
        <v>40</v>
      </c>
      <c r="B37" s="5" t="s">
        <v>127</v>
      </c>
      <c r="C37" s="5" t="str">
        <f>PLANTILLA_ACTUAL[[#This Row],[ASESOR]]</f>
        <v>DARYL FERREL</v>
      </c>
    </row>
    <row r="38" spans="1:3" x14ac:dyDescent="0.25">
      <c r="A38" s="5" t="s">
        <v>81</v>
      </c>
      <c r="B38" s="5" t="s">
        <v>6</v>
      </c>
      <c r="C38" s="5" t="str">
        <f>PLANTILLA_ACTUAL[[#This Row],[ASESOR]]</f>
        <v>DAVID SANCHEZ</v>
      </c>
    </row>
    <row r="39" spans="1:3" x14ac:dyDescent="0.25">
      <c r="A39" s="5" t="s">
        <v>32</v>
      </c>
      <c r="B39" s="5" t="s">
        <v>3</v>
      </c>
      <c r="C39" s="5" t="str">
        <f>PLANTILLA_ACTUAL[[#This Row],[ASESOR]]</f>
        <v>GIANNINA AGUILAR</v>
      </c>
    </row>
    <row r="40" spans="1:3" x14ac:dyDescent="0.25">
      <c r="A40" s="5" t="s">
        <v>51</v>
      </c>
      <c r="B40" s="5" t="s">
        <v>127</v>
      </c>
      <c r="C40" s="5" t="str">
        <f>PLANTILLA_ACTUAL[[#This Row],[ASESOR]]</f>
        <v>GERALDINE ARROYO</v>
      </c>
    </row>
    <row r="41" spans="1:3" x14ac:dyDescent="0.25">
      <c r="A41" s="5" t="s">
        <v>72</v>
      </c>
      <c r="B41" s="5" t="s">
        <v>4</v>
      </c>
      <c r="C41" s="5" t="str">
        <f>PLANTILLA_ACTUAL[[#This Row],[ASESOR]]</f>
        <v>ERIKA VILLAR</v>
      </c>
    </row>
    <row r="42" spans="1:3" x14ac:dyDescent="0.25">
      <c r="A42" s="5" t="s">
        <v>50</v>
      </c>
      <c r="B42" s="5" t="s">
        <v>6</v>
      </c>
      <c r="C42" s="5" t="str">
        <f>PLANTILLA_ACTUAL[[#This Row],[ASESOR]]</f>
        <v>KIARA CANEPA</v>
      </c>
    </row>
    <row r="43" spans="1:3" x14ac:dyDescent="0.25">
      <c r="A43" s="5" t="s">
        <v>38</v>
      </c>
      <c r="B43" s="5" t="s">
        <v>2</v>
      </c>
      <c r="C43" s="5" t="str">
        <f>PLANTILLA_ACTUAL[[#This Row],[ASESOR]]</f>
        <v>MARIA HUARCAYA</v>
      </c>
    </row>
    <row r="44" spans="1:3" x14ac:dyDescent="0.25">
      <c r="A44" s="5" t="s">
        <v>55</v>
      </c>
      <c r="B44" s="5" t="s">
        <v>127</v>
      </c>
      <c r="C44" s="5" t="str">
        <f>PLANTILLA_ACTUAL[[#This Row],[ASESOR]]</f>
        <v>MAYRA AVALOS</v>
      </c>
    </row>
    <row r="45" spans="1:3" x14ac:dyDescent="0.25">
      <c r="A45" s="5" t="s">
        <v>60</v>
      </c>
      <c r="B45" s="5" t="s">
        <v>4</v>
      </c>
      <c r="C45" s="5" t="str">
        <f>PLANTILLA_ACTUAL[[#This Row],[ASESOR]]</f>
        <v>ANALUCIA PONCE</v>
      </c>
    </row>
    <row r="46" spans="1:3" x14ac:dyDescent="0.25">
      <c r="A46" s="5" t="s">
        <v>96</v>
      </c>
      <c r="B46" s="5" t="s">
        <v>3</v>
      </c>
      <c r="C46" s="5" t="str">
        <f>PLANTILLA_ACTUAL[[#This Row],[ASESOR]]</f>
        <v>JESSICA MELGAREJO</v>
      </c>
    </row>
    <row r="47" spans="1:3" x14ac:dyDescent="0.25">
      <c r="A47" s="5" t="s">
        <v>97</v>
      </c>
      <c r="B47" s="5" t="s">
        <v>127</v>
      </c>
      <c r="C47" s="5" t="str">
        <f>PLANTILLA_ACTUAL[[#This Row],[ASESOR]]</f>
        <v>NOEMI CHUQUILIN</v>
      </c>
    </row>
    <row r="48" spans="1:3" x14ac:dyDescent="0.25">
      <c r="A48" s="5" t="s">
        <v>124</v>
      </c>
      <c r="B48" s="5" t="s">
        <v>4</v>
      </c>
      <c r="C48" s="5" t="str">
        <f>PLANTILLA_ACTUAL[[#This Row],[ASESOR]]</f>
        <v>JEREMIAS ROJAS</v>
      </c>
    </row>
    <row r="49" spans="1:3" x14ac:dyDescent="0.25">
      <c r="A49" s="5" t="s">
        <v>239</v>
      </c>
      <c r="B49" s="5" t="s">
        <v>127</v>
      </c>
      <c r="C49" s="5" t="str">
        <f>PLANTILLA_ACTUAL[[#This Row],[ASESOR]]</f>
        <v>CARLA VALENCIA</v>
      </c>
    </row>
    <row r="50" spans="1:3" x14ac:dyDescent="0.25">
      <c r="A50" s="5" t="s">
        <v>443</v>
      </c>
      <c r="B50" s="5" t="s">
        <v>4</v>
      </c>
      <c r="C50" s="5" t="str">
        <f>PLANTILLA_ACTUAL[[#This Row],[ASESOR]]</f>
        <v>MARTIN VARGAS</v>
      </c>
    </row>
    <row r="51" spans="1:3" x14ac:dyDescent="0.25">
      <c r="A51" s="5" t="s">
        <v>111</v>
      </c>
      <c r="B51" s="5" t="s">
        <v>127</v>
      </c>
      <c r="C51" s="5" t="str">
        <f>PLANTILLA_ACTUAL[[#This Row],[ASESOR]]</f>
        <v>ALEJANDRO GONZALES</v>
      </c>
    </row>
    <row r="52" spans="1:3" x14ac:dyDescent="0.25">
      <c r="A52" s="5" t="s">
        <v>106</v>
      </c>
      <c r="B52" s="5" t="s">
        <v>6</v>
      </c>
      <c r="C52" s="5" t="str">
        <f>PLANTILLA_ACTUAL[[#This Row],[ASESOR]]</f>
        <v>FRANK PACORA</v>
      </c>
    </row>
    <row r="53" spans="1:3" x14ac:dyDescent="0.25">
      <c r="A53" s="5" t="s">
        <v>444</v>
      </c>
      <c r="C53" s="5" t="str">
        <f>PLANTILLA_ACTUAL[[#This Row],[ASESOR]]</f>
        <v>MARIA BARRIONUEVO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68" zoomScale="85" zoomScaleNormal="85" workbookViewId="0">
      <selection activeCell="E181" sqref="E18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242</v>
      </c>
      <c r="B1" s="21" t="s">
        <v>231</v>
      </c>
      <c r="C1" s="22" t="s">
        <v>232</v>
      </c>
      <c r="D1" s="23" t="s">
        <v>233</v>
      </c>
      <c r="E1" s="24" t="s">
        <v>234</v>
      </c>
      <c r="F1" s="25" t="s">
        <v>235</v>
      </c>
      <c r="G1" s="23" t="s">
        <v>244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237</v>
      </c>
      <c r="C2" s="27" t="s">
        <v>241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237</v>
      </c>
      <c r="C3" s="27" t="s">
        <v>241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237</v>
      </c>
      <c r="C4" s="27" t="s">
        <v>241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237</v>
      </c>
      <c r="C5" s="27" t="s">
        <v>241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237</v>
      </c>
      <c r="C6" s="27" t="s">
        <v>241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237</v>
      </c>
      <c r="C7" s="27" t="s">
        <v>241</v>
      </c>
      <c r="D7" s="13" t="s">
        <v>117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238</v>
      </c>
      <c r="C8" s="27" t="s">
        <v>184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238</v>
      </c>
      <c r="C9" s="27" t="s">
        <v>184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238</v>
      </c>
      <c r="C10" s="27" t="s">
        <v>184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238</v>
      </c>
      <c r="C11" s="27" t="s">
        <v>184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238</v>
      </c>
      <c r="C12" s="27" t="s">
        <v>184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238</v>
      </c>
      <c r="C13" s="27" t="s">
        <v>184</v>
      </c>
      <c r="D13" s="13" t="s">
        <v>117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238</v>
      </c>
      <c r="C14" s="27" t="s">
        <v>185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238</v>
      </c>
      <c r="C15" s="27" t="s">
        <v>185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238</v>
      </c>
      <c r="C16" s="27" t="s">
        <v>185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238</v>
      </c>
      <c r="C17" s="27" t="s">
        <v>185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238</v>
      </c>
      <c r="C18" s="27" t="s">
        <v>185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238</v>
      </c>
      <c r="C19" s="27" t="s">
        <v>185</v>
      </c>
      <c r="D19" s="13" t="s">
        <v>117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238</v>
      </c>
      <c r="C20" s="27" t="s">
        <v>185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238</v>
      </c>
      <c r="C21" s="27" t="s">
        <v>186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238</v>
      </c>
      <c r="C22" s="27" t="s">
        <v>186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238</v>
      </c>
      <c r="C23" s="27" t="s">
        <v>186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238</v>
      </c>
      <c r="C24" s="27" t="s">
        <v>186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238</v>
      </c>
      <c r="C25" s="27" t="s">
        <v>186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238</v>
      </c>
      <c r="C26" s="27" t="s">
        <v>186</v>
      </c>
      <c r="D26" s="13" t="s">
        <v>117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238</v>
      </c>
      <c r="C27" s="27" t="s">
        <v>186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238</v>
      </c>
      <c r="C28" s="27" t="s">
        <v>187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238</v>
      </c>
      <c r="C29" s="27" t="s">
        <v>187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238</v>
      </c>
      <c r="C30" s="27" t="s">
        <v>187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238</v>
      </c>
      <c r="C31" s="27" t="s">
        <v>187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238</v>
      </c>
      <c r="C32" s="27" t="s">
        <v>187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238</v>
      </c>
      <c r="C33" s="27" t="s">
        <v>187</v>
      </c>
      <c r="D33" s="13" t="s">
        <v>117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238</v>
      </c>
      <c r="C34" s="27" t="s">
        <v>187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238</v>
      </c>
      <c r="C35" s="27" t="s">
        <v>188</v>
      </c>
      <c r="D35" s="13" t="s">
        <v>117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238</v>
      </c>
      <c r="C36" s="27" t="s">
        <v>188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238</v>
      </c>
      <c r="C37" s="27" t="s">
        <v>188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238</v>
      </c>
      <c r="C38" s="27" t="s">
        <v>188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238</v>
      </c>
      <c r="C39" s="27" t="s">
        <v>188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238</v>
      </c>
      <c r="C40" s="27" t="s">
        <v>188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238</v>
      </c>
      <c r="C41" s="28" t="s">
        <v>188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238</v>
      </c>
      <c r="C42" s="27" t="s">
        <v>189</v>
      </c>
      <c r="D42" s="13" t="s">
        <v>117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238</v>
      </c>
      <c r="C43" s="27" t="s">
        <v>189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238</v>
      </c>
      <c r="C44" s="27" t="s">
        <v>189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238</v>
      </c>
      <c r="C45" s="27" t="s">
        <v>189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238</v>
      </c>
      <c r="C46" s="27" t="s">
        <v>189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238</v>
      </c>
      <c r="C47" s="27" t="s">
        <v>189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238</v>
      </c>
      <c r="C48" s="28" t="s">
        <v>189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238</v>
      </c>
      <c r="C49" s="27" t="s">
        <v>190</v>
      </c>
      <c r="D49" s="13" t="s">
        <v>117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238</v>
      </c>
      <c r="C50" s="27" t="s">
        <v>190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238</v>
      </c>
      <c r="C51" s="27" t="s">
        <v>190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238</v>
      </c>
      <c r="C52" s="27" t="s">
        <v>190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238</v>
      </c>
      <c r="C53" s="27" t="s">
        <v>190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238</v>
      </c>
      <c r="C54" s="27" t="s">
        <v>190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238</v>
      </c>
      <c r="C55" s="28" t="s">
        <v>190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238</v>
      </c>
      <c r="C56" s="27" t="s">
        <v>191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238</v>
      </c>
      <c r="C57" s="27" t="s">
        <v>191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238</v>
      </c>
      <c r="C58" s="27" t="s">
        <v>191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238</v>
      </c>
      <c r="C59" s="27" t="s">
        <v>191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238</v>
      </c>
      <c r="C60" s="27" t="s">
        <v>191</v>
      </c>
      <c r="D60" s="13" t="s">
        <v>117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238</v>
      </c>
      <c r="C61" s="27" t="s">
        <v>191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238</v>
      </c>
      <c r="C62" s="28" t="s">
        <v>191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238</v>
      </c>
      <c r="C63" s="27" t="s">
        <v>192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238</v>
      </c>
      <c r="C64" s="27" t="s">
        <v>192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238</v>
      </c>
      <c r="C65" s="27" t="s">
        <v>192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238</v>
      </c>
      <c r="C66" s="27" t="s">
        <v>192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238</v>
      </c>
      <c r="C67" s="27" t="s">
        <v>192</v>
      </c>
      <c r="D67" s="13" t="s">
        <v>117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238</v>
      </c>
      <c r="C68" s="27" t="s">
        <v>192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238</v>
      </c>
      <c r="C69" s="28" t="s">
        <v>192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238</v>
      </c>
      <c r="C70" s="27" t="s">
        <v>193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238</v>
      </c>
      <c r="C71" s="27" t="s">
        <v>193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238</v>
      </c>
      <c r="C72" s="27" t="s">
        <v>193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238</v>
      </c>
      <c r="C73" s="27" t="s">
        <v>193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238</v>
      </c>
      <c r="C74" s="27" t="s">
        <v>193</v>
      </c>
      <c r="D74" s="13" t="s">
        <v>117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238</v>
      </c>
      <c r="C75" s="27" t="s">
        <v>193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238</v>
      </c>
      <c r="C76" s="28" t="s">
        <v>193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238</v>
      </c>
      <c r="C77" s="27" t="s">
        <v>194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238</v>
      </c>
      <c r="C78" s="27" t="s">
        <v>194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238</v>
      </c>
      <c r="C79" s="27" t="s">
        <v>194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238</v>
      </c>
      <c r="C80" s="27" t="s">
        <v>194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238</v>
      </c>
      <c r="C81" s="27" t="s">
        <v>194</v>
      </c>
      <c r="D81" s="13" t="s">
        <v>117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238</v>
      </c>
      <c r="C82" s="27" t="s">
        <v>194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238</v>
      </c>
      <c r="C83" s="28" t="s">
        <v>194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238</v>
      </c>
      <c r="C84" s="27" t="s">
        <v>241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238</v>
      </c>
      <c r="C85" s="27" t="s">
        <v>241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238</v>
      </c>
      <c r="C86" s="27" t="s">
        <v>241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238</v>
      </c>
      <c r="C87" s="27" t="s">
        <v>241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238</v>
      </c>
      <c r="C88" s="27" t="s">
        <v>241</v>
      </c>
      <c r="D88" s="13" t="s">
        <v>117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238</v>
      </c>
      <c r="C89" s="27" t="s">
        <v>241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238</v>
      </c>
      <c r="C90" s="28" t="s">
        <v>241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236</v>
      </c>
      <c r="C91" s="27" t="s">
        <v>184</v>
      </c>
      <c r="D91" s="13" t="s">
        <v>7</v>
      </c>
      <c r="E91" s="9">
        <v>439600</v>
      </c>
      <c r="F91" s="9">
        <v>58000</v>
      </c>
      <c r="G91" s="40" t="s">
        <v>195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236</v>
      </c>
      <c r="C92" s="27" t="s">
        <v>184</v>
      </c>
      <c r="D92" s="13" t="s">
        <v>4</v>
      </c>
      <c r="E92" s="9">
        <v>439600</v>
      </c>
      <c r="F92" s="9">
        <v>58000</v>
      </c>
      <c r="G92" s="40" t="s">
        <v>195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236</v>
      </c>
      <c r="C93" s="27" t="s">
        <v>184</v>
      </c>
      <c r="D93" s="13" t="s">
        <v>5</v>
      </c>
      <c r="E93" s="9">
        <v>439600</v>
      </c>
      <c r="F93" s="9">
        <v>58000</v>
      </c>
      <c r="G93" s="40" t="s">
        <v>195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236</v>
      </c>
      <c r="C94" s="27" t="s">
        <v>184</v>
      </c>
      <c r="D94" s="13" t="s">
        <v>2</v>
      </c>
      <c r="E94" s="9">
        <v>174200</v>
      </c>
      <c r="F94" s="9">
        <v>22000</v>
      </c>
      <c r="G94" s="40" t="s">
        <v>196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236</v>
      </c>
      <c r="C95" s="27" t="s">
        <v>184</v>
      </c>
      <c r="D95" s="13" t="s">
        <v>117</v>
      </c>
      <c r="E95" s="9">
        <v>108600</v>
      </c>
      <c r="F95" s="9">
        <v>16500</v>
      </c>
      <c r="G95" s="40" t="s">
        <v>196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236</v>
      </c>
      <c r="C96" s="27" t="s">
        <v>184</v>
      </c>
      <c r="D96" s="13" t="s">
        <v>6</v>
      </c>
      <c r="E96" s="9">
        <v>209900</v>
      </c>
      <c r="F96" s="9">
        <v>21000</v>
      </c>
      <c r="G96" s="40" t="s">
        <v>197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236</v>
      </c>
      <c r="C97" s="28" t="s">
        <v>184</v>
      </c>
      <c r="D97" s="29" t="s">
        <v>9</v>
      </c>
      <c r="E97" s="30">
        <v>200500</v>
      </c>
      <c r="F97" s="9">
        <v>21000</v>
      </c>
      <c r="G97" s="40" t="s">
        <v>198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236</v>
      </c>
      <c r="C98" s="27" t="s">
        <v>185</v>
      </c>
      <c r="D98" s="13" t="s">
        <v>3</v>
      </c>
      <c r="E98" s="9">
        <v>499600</v>
      </c>
      <c r="F98" s="9">
        <v>58000</v>
      </c>
      <c r="G98" s="40" t="s">
        <v>195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236</v>
      </c>
      <c r="C99" s="27" t="s">
        <v>185</v>
      </c>
      <c r="D99" s="13" t="s">
        <v>4</v>
      </c>
      <c r="E99" s="9">
        <v>499600</v>
      </c>
      <c r="F99" s="9">
        <v>58000</v>
      </c>
      <c r="G99" s="40" t="s">
        <v>195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236</v>
      </c>
      <c r="C100" s="27" t="s">
        <v>185</v>
      </c>
      <c r="D100" s="13" t="s">
        <v>5</v>
      </c>
      <c r="E100" s="9">
        <v>499600</v>
      </c>
      <c r="F100" s="9">
        <v>58000</v>
      </c>
      <c r="G100" s="40" t="s">
        <v>195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236</v>
      </c>
      <c r="C101" s="27" t="s">
        <v>185</v>
      </c>
      <c r="D101" s="13" t="s">
        <v>2</v>
      </c>
      <c r="E101" s="9">
        <v>174200</v>
      </c>
      <c r="F101" s="9">
        <v>22000</v>
      </c>
      <c r="G101" s="40" t="s">
        <v>196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236</v>
      </c>
      <c r="C102" s="27" t="s">
        <v>185</v>
      </c>
      <c r="D102" s="13" t="s">
        <v>126</v>
      </c>
      <c r="E102" s="9">
        <v>108600</v>
      </c>
      <c r="F102" s="9">
        <v>16500</v>
      </c>
      <c r="G102" s="40" t="s">
        <v>199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236</v>
      </c>
      <c r="C103" s="27" t="s">
        <v>185</v>
      </c>
      <c r="D103" s="13" t="s">
        <v>6</v>
      </c>
      <c r="E103" s="9">
        <v>209900</v>
      </c>
      <c r="F103" s="9">
        <v>21000</v>
      </c>
      <c r="G103" s="40" t="s">
        <v>197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236</v>
      </c>
      <c r="C104" s="28" t="s">
        <v>185</v>
      </c>
      <c r="D104" s="29" t="s">
        <v>9</v>
      </c>
      <c r="E104" s="30">
        <v>200500</v>
      </c>
      <c r="F104" s="9">
        <v>21000</v>
      </c>
      <c r="G104" s="40" t="s">
        <v>198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236</v>
      </c>
      <c r="C105" s="27" t="s">
        <v>186</v>
      </c>
      <c r="D105" s="13" t="s">
        <v>3</v>
      </c>
      <c r="E105" s="9">
        <v>531100</v>
      </c>
      <c r="F105" s="9">
        <v>62000</v>
      </c>
      <c r="G105" s="40" t="s">
        <v>195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236</v>
      </c>
      <c r="C106" s="27" t="s">
        <v>186</v>
      </c>
      <c r="D106" s="13" t="s">
        <v>4</v>
      </c>
      <c r="E106" s="9">
        <v>531100</v>
      </c>
      <c r="F106" s="9">
        <v>62000</v>
      </c>
      <c r="G106" s="40" t="s">
        <v>195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236</v>
      </c>
      <c r="C107" s="27" t="s">
        <v>186</v>
      </c>
      <c r="D107" s="13" t="s">
        <v>5</v>
      </c>
      <c r="E107" s="9">
        <v>531100</v>
      </c>
      <c r="F107" s="9">
        <v>62000</v>
      </c>
      <c r="G107" s="40" t="s">
        <v>195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236</v>
      </c>
      <c r="C108" s="27" t="s">
        <v>186</v>
      </c>
      <c r="D108" s="13" t="s">
        <v>2</v>
      </c>
      <c r="E108" s="9">
        <v>174200</v>
      </c>
      <c r="F108" s="9">
        <v>24000</v>
      </c>
      <c r="G108" s="40" t="s">
        <v>196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236</v>
      </c>
      <c r="C109" s="27" t="s">
        <v>186</v>
      </c>
      <c r="D109" s="13" t="s">
        <v>117</v>
      </c>
      <c r="E109" s="9">
        <v>108600</v>
      </c>
      <c r="F109" s="9">
        <v>16500</v>
      </c>
      <c r="G109" s="40" t="s">
        <v>199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236</v>
      </c>
      <c r="C110" s="27" t="s">
        <v>186</v>
      </c>
      <c r="D110" s="13" t="s">
        <v>6</v>
      </c>
      <c r="E110" s="9">
        <v>209900</v>
      </c>
      <c r="F110" s="9">
        <v>21000</v>
      </c>
      <c r="G110" s="40" t="s">
        <v>197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236</v>
      </c>
      <c r="C111" s="28" t="s">
        <v>186</v>
      </c>
      <c r="D111" s="29" t="s">
        <v>9</v>
      </c>
      <c r="E111" s="30">
        <v>200500</v>
      </c>
      <c r="F111" s="9">
        <v>21000</v>
      </c>
      <c r="G111" s="40" t="s">
        <v>198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236</v>
      </c>
      <c r="C112" s="27" t="s">
        <v>187</v>
      </c>
      <c r="D112" s="13" t="s">
        <v>3</v>
      </c>
      <c r="E112" s="9">
        <v>437325</v>
      </c>
      <c r="F112" s="9">
        <v>57000</v>
      </c>
      <c r="G112" s="40" t="s">
        <v>195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236</v>
      </c>
      <c r="C113" s="27" t="s">
        <v>187</v>
      </c>
      <c r="D113" s="13" t="s">
        <v>9</v>
      </c>
      <c r="E113" s="9">
        <v>437325</v>
      </c>
      <c r="F113" s="9">
        <v>57000</v>
      </c>
      <c r="G113" s="40" t="s">
        <v>195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236</v>
      </c>
      <c r="C114" s="27" t="s">
        <v>187</v>
      </c>
      <c r="D114" s="13" t="s">
        <v>5</v>
      </c>
      <c r="E114" s="9">
        <v>437325</v>
      </c>
      <c r="F114" s="9">
        <v>57000</v>
      </c>
      <c r="G114" s="40" t="s">
        <v>195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236</v>
      </c>
      <c r="C115" s="27" t="s">
        <v>187</v>
      </c>
      <c r="D115" s="13" t="s">
        <v>2</v>
      </c>
      <c r="E115" s="9">
        <v>437325</v>
      </c>
      <c r="F115" s="9">
        <v>57000</v>
      </c>
      <c r="G115" s="40" t="s">
        <v>195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236</v>
      </c>
      <c r="C116" s="27" t="s">
        <v>187</v>
      </c>
      <c r="D116" s="13" t="s">
        <v>126</v>
      </c>
      <c r="E116" s="9">
        <v>171900</v>
      </c>
      <c r="F116" s="9">
        <v>20500</v>
      </c>
      <c r="G116" s="40" t="s">
        <v>198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236</v>
      </c>
      <c r="C117" s="27" t="s">
        <v>187</v>
      </c>
      <c r="D117" s="13" t="s">
        <v>6</v>
      </c>
      <c r="E117" s="9">
        <v>257600</v>
      </c>
      <c r="F117" s="9">
        <v>26000</v>
      </c>
      <c r="G117" s="40" t="s">
        <v>197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236</v>
      </c>
      <c r="C118" s="28" t="s">
        <v>187</v>
      </c>
      <c r="D118" s="29" t="s">
        <v>127</v>
      </c>
      <c r="E118" s="30">
        <v>171900</v>
      </c>
      <c r="F118" s="9">
        <v>20500</v>
      </c>
      <c r="G118" s="40" t="s">
        <v>198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236</v>
      </c>
      <c r="C119" s="28" t="s">
        <v>187</v>
      </c>
      <c r="D119" s="29" t="s">
        <v>8</v>
      </c>
      <c r="E119" s="30">
        <v>171900</v>
      </c>
      <c r="F119" s="9">
        <v>20500</v>
      </c>
      <c r="G119" s="40" t="s">
        <v>198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236</v>
      </c>
      <c r="C120" s="27" t="s">
        <v>188</v>
      </c>
      <c r="D120" s="13" t="s">
        <v>3</v>
      </c>
      <c r="E120" s="9">
        <v>495375</v>
      </c>
      <c r="F120" s="9">
        <v>65000</v>
      </c>
      <c r="G120" s="40" t="s">
        <v>195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236</v>
      </c>
      <c r="C121" s="27" t="s">
        <v>188</v>
      </c>
      <c r="D121" s="13" t="s">
        <v>4</v>
      </c>
      <c r="E121" s="9">
        <v>495375</v>
      </c>
      <c r="F121" s="9">
        <v>65000</v>
      </c>
      <c r="G121" s="40" t="s">
        <v>195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236</v>
      </c>
      <c r="C122" s="27" t="s">
        <v>188</v>
      </c>
      <c r="D122" s="13" t="s">
        <v>5</v>
      </c>
      <c r="E122" s="9">
        <v>495375</v>
      </c>
      <c r="F122" s="9">
        <v>65000</v>
      </c>
      <c r="G122" s="40" t="s">
        <v>195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236</v>
      </c>
      <c r="C123" s="27" t="s">
        <v>188</v>
      </c>
      <c r="D123" s="13" t="s">
        <v>2</v>
      </c>
      <c r="E123" s="9">
        <v>495375</v>
      </c>
      <c r="F123" s="9">
        <v>65000</v>
      </c>
      <c r="G123" s="40" t="s">
        <v>195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236</v>
      </c>
      <c r="C124" s="27" t="s">
        <v>188</v>
      </c>
      <c r="D124" s="13" t="s">
        <v>6</v>
      </c>
      <c r="E124" s="9">
        <v>258000</v>
      </c>
      <c r="F124" s="9">
        <v>26000</v>
      </c>
      <c r="G124" s="40" t="s">
        <v>197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236</v>
      </c>
      <c r="C125" s="27" t="s">
        <v>188</v>
      </c>
      <c r="D125" s="13" t="s">
        <v>9</v>
      </c>
      <c r="E125" s="9">
        <v>166833</v>
      </c>
      <c r="F125" s="9">
        <v>20000</v>
      </c>
      <c r="G125" s="40" t="s">
        <v>198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236</v>
      </c>
      <c r="C126" s="27" t="s">
        <v>188</v>
      </c>
      <c r="D126" s="13" t="s">
        <v>127</v>
      </c>
      <c r="E126" s="9">
        <v>166833</v>
      </c>
      <c r="F126" s="9">
        <v>20000</v>
      </c>
      <c r="G126" s="40" t="s">
        <v>198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236</v>
      </c>
      <c r="C127" s="28" t="s">
        <v>188</v>
      </c>
      <c r="D127" s="29" t="s">
        <v>8</v>
      </c>
      <c r="E127" s="30">
        <v>166833</v>
      </c>
      <c r="F127" s="9">
        <v>20000</v>
      </c>
      <c r="G127" s="40" t="s">
        <v>198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236</v>
      </c>
      <c r="C128" s="27" t="s">
        <v>189</v>
      </c>
      <c r="D128" s="13" t="s">
        <v>3</v>
      </c>
      <c r="E128" s="9">
        <v>495375</v>
      </c>
      <c r="F128" s="9">
        <v>65000</v>
      </c>
      <c r="G128" s="40" t="s">
        <v>195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236</v>
      </c>
      <c r="C129" s="27" t="s">
        <v>189</v>
      </c>
      <c r="D129" s="13" t="s">
        <v>4</v>
      </c>
      <c r="E129" s="9">
        <v>495375</v>
      </c>
      <c r="F129" s="9">
        <v>65000</v>
      </c>
      <c r="G129" s="40" t="s">
        <v>195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236</v>
      </c>
      <c r="C130" s="27" t="s">
        <v>189</v>
      </c>
      <c r="D130" s="13" t="s">
        <v>5</v>
      </c>
      <c r="E130" s="9">
        <v>495375</v>
      </c>
      <c r="F130" s="9">
        <v>65000</v>
      </c>
      <c r="G130" s="40" t="s">
        <v>195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236</v>
      </c>
      <c r="C131" s="27" t="s">
        <v>189</v>
      </c>
      <c r="D131" s="13" t="s">
        <v>2</v>
      </c>
      <c r="E131" s="9">
        <v>495375</v>
      </c>
      <c r="F131" s="9">
        <v>65000</v>
      </c>
      <c r="G131" s="40" t="s">
        <v>195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236</v>
      </c>
      <c r="C132" s="27" t="s">
        <v>189</v>
      </c>
      <c r="D132" s="13" t="s">
        <v>6</v>
      </c>
      <c r="E132" s="9">
        <v>302800</v>
      </c>
      <c r="F132" s="9">
        <v>30500</v>
      </c>
      <c r="G132" s="40" t="s">
        <v>197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236</v>
      </c>
      <c r="C133" s="27" t="s">
        <v>189</v>
      </c>
      <c r="D133" s="13" t="s">
        <v>9</v>
      </c>
      <c r="E133" s="9">
        <v>123200</v>
      </c>
      <c r="F133" s="9">
        <v>15000</v>
      </c>
      <c r="G133" s="40" t="s">
        <v>198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236</v>
      </c>
      <c r="C134" s="27" t="s">
        <v>189</v>
      </c>
      <c r="D134" s="13" t="s">
        <v>127</v>
      </c>
      <c r="E134" s="9">
        <v>123200</v>
      </c>
      <c r="F134" s="9">
        <v>15000</v>
      </c>
      <c r="G134" s="40" t="s">
        <v>198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236</v>
      </c>
      <c r="C135" s="28" t="s">
        <v>189</v>
      </c>
      <c r="D135" s="29" t="s">
        <v>8</v>
      </c>
      <c r="E135" s="30">
        <v>123200</v>
      </c>
      <c r="F135" s="9">
        <v>15000</v>
      </c>
      <c r="G135" s="40" t="s">
        <v>198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236</v>
      </c>
      <c r="C136" s="27" t="s">
        <v>190</v>
      </c>
      <c r="D136" s="13" t="s">
        <v>3</v>
      </c>
      <c r="E136" s="9">
        <v>615100</v>
      </c>
      <c r="F136" s="9">
        <v>65000</v>
      </c>
      <c r="G136" s="40" t="s">
        <v>200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236</v>
      </c>
      <c r="C137" s="27" t="s">
        <v>190</v>
      </c>
      <c r="D137" s="13" t="s">
        <v>4</v>
      </c>
      <c r="E137" s="9">
        <v>615100</v>
      </c>
      <c r="F137" s="9">
        <v>65000</v>
      </c>
      <c r="G137" s="40" t="s">
        <v>200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236</v>
      </c>
      <c r="C138" s="27" t="s">
        <v>190</v>
      </c>
      <c r="D138" s="13" t="s">
        <v>5</v>
      </c>
      <c r="E138" s="9">
        <v>458800</v>
      </c>
      <c r="F138" s="9">
        <v>54000</v>
      </c>
      <c r="G138" s="40" t="s">
        <v>195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236</v>
      </c>
      <c r="C139" s="27" t="s">
        <v>190</v>
      </c>
      <c r="D139" s="13" t="s">
        <v>2</v>
      </c>
      <c r="E139" s="9">
        <v>458800</v>
      </c>
      <c r="F139" s="9">
        <v>54000</v>
      </c>
      <c r="G139" s="40" t="s">
        <v>195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236</v>
      </c>
      <c r="C140" s="27" t="s">
        <v>190</v>
      </c>
      <c r="D140" s="13" t="s">
        <v>6</v>
      </c>
      <c r="E140" s="9">
        <v>260350</v>
      </c>
      <c r="F140" s="9">
        <v>26000</v>
      </c>
      <c r="G140" s="40" t="s">
        <v>201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236</v>
      </c>
      <c r="C141" s="27" t="s">
        <v>190</v>
      </c>
      <c r="D141" s="13" t="s">
        <v>7</v>
      </c>
      <c r="E141" s="9">
        <v>154800</v>
      </c>
      <c r="F141" s="9">
        <v>15500</v>
      </c>
      <c r="G141" s="40" t="s">
        <v>197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236</v>
      </c>
      <c r="C142" s="27" t="s">
        <v>190</v>
      </c>
      <c r="D142" s="13" t="s">
        <v>9</v>
      </c>
      <c r="E142" s="9">
        <v>130825</v>
      </c>
      <c r="F142" s="9">
        <v>15500</v>
      </c>
      <c r="G142" s="40" t="s">
        <v>198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236</v>
      </c>
      <c r="C143" s="28" t="s">
        <v>190</v>
      </c>
      <c r="D143" s="29" t="s">
        <v>8</v>
      </c>
      <c r="E143" s="30">
        <v>130825</v>
      </c>
      <c r="F143" s="9">
        <v>15500</v>
      </c>
      <c r="G143" s="40" t="s">
        <v>198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236</v>
      </c>
      <c r="C144" s="27" t="s">
        <v>191</v>
      </c>
      <c r="D144" s="13" t="s">
        <v>127</v>
      </c>
      <c r="E144" s="9">
        <v>683530</v>
      </c>
      <c r="F144" s="9">
        <v>72000</v>
      </c>
      <c r="G144" s="40" t="s">
        <v>200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236</v>
      </c>
      <c r="C145" s="27" t="s">
        <v>191</v>
      </c>
      <c r="D145" s="13" t="s">
        <v>4</v>
      </c>
      <c r="E145" s="9">
        <v>683530</v>
      </c>
      <c r="F145" s="9">
        <v>72000</v>
      </c>
      <c r="G145" s="40" t="s">
        <v>200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236</v>
      </c>
      <c r="C146" s="27" t="s">
        <v>191</v>
      </c>
      <c r="D146" s="13" t="s">
        <v>5</v>
      </c>
      <c r="E146" s="9">
        <v>458800</v>
      </c>
      <c r="F146" s="9">
        <v>54000</v>
      </c>
      <c r="G146" s="40" t="s">
        <v>195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236</v>
      </c>
      <c r="C147" s="27" t="s">
        <v>191</v>
      </c>
      <c r="D147" s="13" t="s">
        <v>2</v>
      </c>
      <c r="E147" s="9">
        <v>458800</v>
      </c>
      <c r="F147" s="9">
        <v>54000</v>
      </c>
      <c r="G147" s="40" t="s">
        <v>195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236</v>
      </c>
      <c r="C148" s="27" t="s">
        <v>191</v>
      </c>
      <c r="D148" s="13" t="s">
        <v>6</v>
      </c>
      <c r="E148" s="9">
        <v>260350</v>
      </c>
      <c r="F148" s="9">
        <v>26000</v>
      </c>
      <c r="G148" s="40" t="s">
        <v>201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236</v>
      </c>
      <c r="C149" s="27" t="s">
        <v>191</v>
      </c>
      <c r="D149" s="13" t="s">
        <v>7</v>
      </c>
      <c r="E149" s="9">
        <v>154800</v>
      </c>
      <c r="F149" s="9">
        <v>15500</v>
      </c>
      <c r="G149" s="40" t="s">
        <v>197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236</v>
      </c>
      <c r="C150" s="27" t="s">
        <v>191</v>
      </c>
      <c r="D150" s="13" t="s">
        <v>9</v>
      </c>
      <c r="E150" s="9">
        <v>132595</v>
      </c>
      <c r="F150" s="9">
        <v>16000</v>
      </c>
      <c r="G150" s="40" t="s">
        <v>198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236</v>
      </c>
      <c r="C151" s="28" t="s">
        <v>191</v>
      </c>
      <c r="D151" s="29" t="s">
        <v>8</v>
      </c>
      <c r="E151" s="30">
        <v>132595</v>
      </c>
      <c r="F151" s="9">
        <v>16000</v>
      </c>
      <c r="G151" s="40" t="s">
        <v>198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236</v>
      </c>
      <c r="C152" s="27" t="s">
        <v>192</v>
      </c>
      <c r="D152" s="13" t="s">
        <v>3</v>
      </c>
      <c r="E152" s="9">
        <v>200950</v>
      </c>
      <c r="F152" s="9">
        <v>14000</v>
      </c>
      <c r="G152" s="40" t="s">
        <v>202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236</v>
      </c>
      <c r="C153" s="27" t="s">
        <v>192</v>
      </c>
      <c r="D153" s="13" t="s">
        <v>4</v>
      </c>
      <c r="E153" s="9">
        <v>200950</v>
      </c>
      <c r="F153" s="9">
        <v>14000</v>
      </c>
      <c r="G153" s="40" t="s">
        <v>202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236</v>
      </c>
      <c r="C154" s="27" t="s">
        <v>192</v>
      </c>
      <c r="D154" s="13" t="s">
        <v>5</v>
      </c>
      <c r="E154" s="9">
        <v>301000</v>
      </c>
      <c r="F154" s="9">
        <v>38000</v>
      </c>
      <c r="G154" s="40" t="s">
        <v>203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236</v>
      </c>
      <c r="C155" s="27" t="s">
        <v>192</v>
      </c>
      <c r="D155" s="13" t="s">
        <v>2</v>
      </c>
      <c r="E155" s="9">
        <v>301000</v>
      </c>
      <c r="F155" s="9">
        <v>38000</v>
      </c>
      <c r="G155" s="40" t="s">
        <v>203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236</v>
      </c>
      <c r="C156" s="27" t="s">
        <v>192</v>
      </c>
      <c r="D156" s="13" t="s">
        <v>127</v>
      </c>
      <c r="E156" s="9">
        <v>643200</v>
      </c>
      <c r="F156" s="9">
        <v>92000</v>
      </c>
      <c r="G156" s="40" t="s">
        <v>204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236</v>
      </c>
      <c r="C157" s="27" t="s">
        <v>192</v>
      </c>
      <c r="D157" s="13" t="s">
        <v>7</v>
      </c>
      <c r="E157" s="9">
        <v>643200</v>
      </c>
      <c r="F157" s="9">
        <v>92000</v>
      </c>
      <c r="G157" s="40" t="s">
        <v>204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236</v>
      </c>
      <c r="C158" s="27" t="s">
        <v>192</v>
      </c>
      <c r="D158" s="13" t="s">
        <v>9</v>
      </c>
      <c r="E158" s="9">
        <v>209800</v>
      </c>
      <c r="F158" s="9">
        <v>21000</v>
      </c>
      <c r="G158" s="40" t="s">
        <v>201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236</v>
      </c>
      <c r="C159" s="28" t="s">
        <v>192</v>
      </c>
      <c r="D159" s="29" t="s">
        <v>8</v>
      </c>
      <c r="E159" s="30">
        <v>749600</v>
      </c>
      <c r="F159" s="9">
        <v>75000</v>
      </c>
      <c r="G159" s="40" t="s">
        <v>200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236</v>
      </c>
      <c r="C160" s="27" t="s">
        <v>193</v>
      </c>
      <c r="D160" s="13" t="s">
        <v>3</v>
      </c>
      <c r="E160" s="9">
        <v>239472</v>
      </c>
      <c r="F160" s="9">
        <v>22000</v>
      </c>
      <c r="G160" s="40" t="s">
        <v>202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236</v>
      </c>
      <c r="C161" s="27" t="s">
        <v>193</v>
      </c>
      <c r="D161" s="13" t="s">
        <v>4</v>
      </c>
      <c r="E161" s="9">
        <v>239472</v>
      </c>
      <c r="F161" s="9">
        <v>22000</v>
      </c>
      <c r="G161" s="40" t="s">
        <v>202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236</v>
      </c>
      <c r="C162" s="27" t="s">
        <v>193</v>
      </c>
      <c r="D162" s="13" t="s">
        <v>5</v>
      </c>
      <c r="E162" s="9">
        <v>253237</v>
      </c>
      <c r="F162" s="9">
        <v>32000</v>
      </c>
      <c r="G162" s="40" t="s">
        <v>203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236</v>
      </c>
      <c r="C163" s="27" t="s">
        <v>193</v>
      </c>
      <c r="D163" s="13" t="s">
        <v>127</v>
      </c>
      <c r="E163" s="9">
        <v>253237</v>
      </c>
      <c r="F163" s="9">
        <v>32000</v>
      </c>
      <c r="G163" s="40" t="s">
        <v>203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236</v>
      </c>
      <c r="C164" s="27" t="s">
        <v>193</v>
      </c>
      <c r="D164" s="13" t="s">
        <v>6</v>
      </c>
      <c r="E164" s="9">
        <v>420827</v>
      </c>
      <c r="F164" s="9">
        <v>53000</v>
      </c>
      <c r="G164" s="40" t="s">
        <v>204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236</v>
      </c>
      <c r="C165" s="27" t="s">
        <v>193</v>
      </c>
      <c r="D165" s="13" t="s">
        <v>7</v>
      </c>
      <c r="E165" s="9">
        <v>420827</v>
      </c>
      <c r="F165" s="9">
        <v>53000</v>
      </c>
      <c r="G165" s="40" t="s">
        <v>204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236</v>
      </c>
      <c r="C166" s="27" t="s">
        <v>193</v>
      </c>
      <c r="D166" s="13" t="s">
        <v>9</v>
      </c>
      <c r="E166" s="9">
        <v>230608</v>
      </c>
      <c r="F166" s="9">
        <v>23000</v>
      </c>
      <c r="G166" s="40" t="s">
        <v>201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236</v>
      </c>
      <c r="C167" s="28" t="s">
        <v>193</v>
      </c>
      <c r="D167" s="29" t="s">
        <v>8</v>
      </c>
      <c r="E167" s="9">
        <v>698156</v>
      </c>
      <c r="F167" s="9">
        <v>70000</v>
      </c>
      <c r="G167" s="40" t="s">
        <v>200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236</v>
      </c>
      <c r="C168" s="27" t="s">
        <v>194</v>
      </c>
      <c r="D168" s="13" t="s">
        <v>3</v>
      </c>
      <c r="E168" s="9">
        <v>599640</v>
      </c>
      <c r="F168" s="9">
        <v>55000</v>
      </c>
      <c r="G168" s="40" t="s">
        <v>204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236</v>
      </c>
      <c r="C169" s="27" t="s">
        <v>194</v>
      </c>
      <c r="D169" s="13" t="s">
        <v>4</v>
      </c>
      <c r="E169" s="9">
        <v>599640</v>
      </c>
      <c r="F169" s="9">
        <v>55000</v>
      </c>
      <c r="G169" s="40" t="s">
        <v>204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236</v>
      </c>
      <c r="C170" s="27" t="s">
        <v>194</v>
      </c>
      <c r="D170" s="13" t="s">
        <v>5</v>
      </c>
      <c r="E170" s="9">
        <v>100323</v>
      </c>
      <c r="F170" s="9">
        <v>14000</v>
      </c>
      <c r="G170" s="40" t="s">
        <v>205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236</v>
      </c>
      <c r="C171" s="27" t="s">
        <v>194</v>
      </c>
      <c r="D171" s="13" t="s">
        <v>2</v>
      </c>
      <c r="E171" s="9">
        <v>144490</v>
      </c>
      <c r="F171" s="9">
        <v>15000</v>
      </c>
      <c r="G171" s="40" t="s">
        <v>203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236</v>
      </c>
      <c r="C172" s="27" t="s">
        <v>194</v>
      </c>
      <c r="D172" s="13" t="s">
        <v>6</v>
      </c>
      <c r="E172" s="9">
        <v>346906</v>
      </c>
      <c r="F172" s="9">
        <v>63000</v>
      </c>
      <c r="G172" s="40" t="s">
        <v>206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236</v>
      </c>
      <c r="C173" s="28" t="s">
        <v>194</v>
      </c>
      <c r="D173" s="29" t="s">
        <v>7</v>
      </c>
      <c r="E173" s="9">
        <v>100323</v>
      </c>
      <c r="F173" s="9">
        <v>14000</v>
      </c>
      <c r="G173" s="40" t="s">
        <v>205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236</v>
      </c>
      <c r="C174" s="27" t="s">
        <v>241</v>
      </c>
      <c r="D174" s="13" t="s">
        <v>3</v>
      </c>
      <c r="E174" s="9">
        <v>555813</v>
      </c>
      <c r="F174" s="9">
        <v>55500</v>
      </c>
      <c r="G174" s="40" t="s">
        <v>204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236</v>
      </c>
      <c r="C175" s="27" t="s">
        <v>241</v>
      </c>
      <c r="D175" s="13" t="s">
        <v>4</v>
      </c>
      <c r="E175" s="9">
        <v>555813</v>
      </c>
      <c r="F175" s="9">
        <v>55500</v>
      </c>
      <c r="G175" s="40" t="s">
        <v>204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236</v>
      </c>
      <c r="C176" s="27" t="s">
        <v>241</v>
      </c>
      <c r="D176" s="13" t="s">
        <v>2</v>
      </c>
      <c r="E176" s="9">
        <v>319493</v>
      </c>
      <c r="F176" s="9">
        <v>35500</v>
      </c>
      <c r="G176" s="40" t="s">
        <v>435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236</v>
      </c>
      <c r="C177" s="27" t="s">
        <v>241</v>
      </c>
      <c r="D177" s="13" t="s">
        <v>6</v>
      </c>
      <c r="E177" s="9">
        <v>262676</v>
      </c>
      <c r="F177" s="9">
        <v>29000</v>
      </c>
      <c r="G177" s="40" t="s">
        <v>434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236</v>
      </c>
      <c r="C178" s="28" t="s">
        <v>241</v>
      </c>
      <c r="D178" s="29" t="s">
        <v>7</v>
      </c>
      <c r="E178" s="30">
        <v>269196</v>
      </c>
      <c r="F178" s="9">
        <v>21000</v>
      </c>
      <c r="G178" s="40" t="s">
        <v>240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445</v>
      </c>
      <c r="C179" s="27" t="s">
        <v>184</v>
      </c>
      <c r="D179" s="53" t="s">
        <v>3</v>
      </c>
      <c r="E179" s="9">
        <v>431682</v>
      </c>
      <c r="F179" s="9">
        <v>48000</v>
      </c>
      <c r="G179" s="40" t="s">
        <v>204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445</v>
      </c>
      <c r="C180" s="27" t="s">
        <v>184</v>
      </c>
      <c r="D180" s="53" t="s">
        <v>4</v>
      </c>
      <c r="E180" s="9">
        <v>431682</v>
      </c>
      <c r="F180" s="9">
        <v>48000</v>
      </c>
      <c r="G180" s="40" t="s">
        <v>204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445</v>
      </c>
      <c r="C181" s="27" t="s">
        <v>184</v>
      </c>
      <c r="D181" s="53" t="s">
        <v>2</v>
      </c>
      <c r="E181" s="9">
        <v>294010</v>
      </c>
      <c r="F181" s="9">
        <v>32600</v>
      </c>
      <c r="G181" s="40" t="s">
        <v>446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445</v>
      </c>
      <c r="C182" s="27" t="s">
        <v>184</v>
      </c>
      <c r="D182" s="53" t="s">
        <v>6</v>
      </c>
      <c r="E182" s="9">
        <v>251174</v>
      </c>
      <c r="F182" s="9">
        <v>27900</v>
      </c>
      <c r="G182" s="40" t="s">
        <v>446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445</v>
      </c>
      <c r="C183" s="28" t="s">
        <v>184</v>
      </c>
      <c r="D183" s="55" t="s">
        <v>127</v>
      </c>
      <c r="E183" s="30">
        <v>297083</v>
      </c>
      <c r="F183" s="30">
        <v>24500</v>
      </c>
      <c r="G183" s="56" t="s">
        <v>240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2026-01-06T12:58:14Z</dcterms:modified>
</cp:coreProperties>
</file>