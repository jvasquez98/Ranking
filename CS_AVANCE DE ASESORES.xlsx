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781B9BBB-0727-4670-A02E-AA2E9CE21032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0" i="18" l="1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E23" i="17"/>
  <c r="D11" i="17"/>
  <c r="E11" i="17"/>
  <c r="D46" i="17"/>
  <c r="E46" i="17"/>
  <c r="D34" i="17"/>
  <c r="E34" i="17"/>
  <c r="D22" i="17"/>
  <c r="E22" i="17"/>
  <c r="D45" i="17"/>
  <c r="E45" i="17"/>
  <c r="D21" i="17"/>
  <c r="E21" i="17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D35" i="17"/>
  <c r="E35" i="17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J25" i="17" l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M9" i="17" s="1"/>
  <c r="N9" i="17" s="1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J45" i="17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25" i="17" a="1"/>
  <c r="K25" i="17" s="1"/>
  <c r="D3" i="17"/>
  <c r="J47" i="17" s="1"/>
  <c r="K47" i="17" s="1" a="1"/>
  <c r="K47" i="17" s="1"/>
  <c r="E3" i="17"/>
  <c r="L47" i="17" s="1"/>
  <c r="M47" i="17" s="1"/>
  <c r="L45" i="17" l="1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4" i="18"/>
  <c r="AN10" i="18"/>
  <c r="AN9" i="18"/>
  <c r="AN12" i="18"/>
  <c r="AN15" i="18"/>
  <c r="AN16" i="18"/>
  <c r="AN11" i="18"/>
  <c r="AN13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<sst xmlns="http://schemas.openxmlformats.org/spreadsheetml/2006/main" count="8041" uniqueCount="637">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</sst>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8"/>
    </tableStyle>
    <tableStyle name="Estilo de tabla dinámica 2" table="0" count="1" xr9:uid="{9E60CF16-845A-4669-9AA4-E5ACD7B8B1A8}">
      <tableStyleElement type="headerRow" dxfId="687"/>
    </tableStyle>
    <tableStyle name="Estilo de tabla dinámica 3" table="0" count="1" xr9:uid="{A9F08836-5681-4078-A387-711930301837}">
      <tableStyleElement type="headerRow" dxfId="686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5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4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3" headerRowBorderDxfId="682" tableBorderDxfId="681">
  <autoFilter ref="J8:O79" xr:uid="{F9313B9F-39C6-4A12-8F5B-FED5B42DCC51}"/>
  <tableColumns count="6">
    <tableColumn id="2" xr3:uid="{8AB5D9E7-4408-4FC9-BFF6-A0452692116C}" name="AL_AC" dataDxfId="680"/>
    <tableColumn id="3" xr3:uid="{16F39E06-76AE-43AD-903E-9F641E37CB06}" name="CLASIFICACIÓN" dataDxfId="679"/>
    <tableColumn id="1" xr3:uid="{EEB18830-CD66-4BAC-81C5-B5940467DF41}" name="SUPERVISOR" dataDxfId="678"/>
    <tableColumn id="6" xr3:uid="{087774B2-9699-454D-B0E9-E9D62B239262}" name="RECUPERO" dataDxfId="677"/>
    <tableColumn id="7" xr3:uid="{B938E452-5678-4623-B9AD-47B290EB3B56}" name="META" dataDxfId="676"/>
    <tableColumn id="5" xr3:uid="{A39094CA-883F-4450-A53A-370F0AE54B0C}" name="ASER_" dataDxfId="67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4" dataDxfId="672" headerRowBorderDxfId="673" tableBorderDxfId="671" totalsRowBorderDxfId="670">
  <autoFilter ref="Q8:AQ15" xr:uid="{E6812878-A002-44BE-A5F5-A1BD7B73CAE8}"/>
  <tableColumns count="27">
    <tableColumn id="5" xr3:uid="{D940A1C4-A356-4E96-973D-81CE0B6B74AF}" name="META SUPER" dataDxfId="669"/>
    <tableColumn id="1" xr3:uid="{5A7C4C9C-3E71-483D-9C6F-3AFA18F0B768}" name="RECUPERO SUPERVISOR" dataDxfId="668"/>
    <tableColumn id="2" xr3:uid="{1DBABE23-BC0D-4016-A3DE-102C34B93437}" name="ALCANCE SUPERVISOR" dataDxfId="667"/>
    <tableColumn id="4" xr3:uid="{AAFE5F6A-D443-4B76-896C-3012A63A21B1}" name="SUPER" dataDxfId="666"/>
    <tableColumn id="6" xr3:uid="{CAC1468E-FE7F-46E8-8FA8-2EBFE78F55CF}" name="2-Ene" dataDxfId="665"/>
    <tableColumn id="7" xr3:uid="{2C1F1DCC-5615-43E9-8493-73A6B92A7B8C}" name="3-Ene" dataDxfId="664"/>
    <tableColumn id="8" xr3:uid="{CB1DD332-E0A5-4BEF-8B71-8820CA4A145B}" name="6-Ene" dataDxfId="663"/>
    <tableColumn id="9" xr3:uid="{1BB0DD4F-A73A-4F8E-93FB-252CA932D637}" name="7-Ene" dataDxfId="662"/>
    <tableColumn id="10" xr3:uid="{F4A27082-EDDE-411F-B0E7-C50309499B06}" name="8-Ene" dataDxfId="661"/>
    <tableColumn id="11" xr3:uid="{DDC3545E-22B2-4DEC-A217-59650C8BAC95}" name="9-Ene" dataDxfId="660"/>
    <tableColumn id="12" xr3:uid="{F4B5BD15-E4EF-4A2E-9071-FE5F69E48F1F}" name="10-Ene" dataDxfId="659"/>
    <tableColumn id="13" xr3:uid="{BB490521-3D08-4C83-9065-B52FD273A638}" name="13-Ene" dataDxfId="658"/>
    <tableColumn id="14" xr3:uid="{1DE13FA2-B93D-487E-A105-3A5622C997DE}" name="14-Ene" dataDxfId="657"/>
    <tableColumn id="15" xr3:uid="{6273FFBE-FC81-40C7-91CB-E95ECAD8BE5D}" name="15-Ene" dataDxfId="656"/>
    <tableColumn id="16" xr3:uid="{35253537-0DA1-45D4-B9A3-D1CBC6E92B8B}" name="16-Ene" dataDxfId="655"/>
    <tableColumn id="17" xr3:uid="{4BF3707C-841F-4140-B63C-5B47863B4CA4}" name="17-Ene" dataDxfId="654"/>
    <tableColumn id="18" xr3:uid="{1F7B79C3-A22C-49D8-9C1F-629E6C41B955}" name="20-Ene" dataDxfId="653"/>
    <tableColumn id="19" xr3:uid="{361B16CF-A887-4C9E-88B3-E8A7F4F314B0}" name="21-Ene" dataDxfId="652"/>
    <tableColumn id="20" xr3:uid="{9B3EDA9C-6CB0-4D9F-965A-6EB0593C19D9}" name="22-Ene" dataDxfId="651"/>
    <tableColumn id="21" xr3:uid="{B02655DA-D4F9-4926-88A4-5E8B2F4DF911}" name="23-Ene" dataDxfId="650"/>
    <tableColumn id="22" xr3:uid="{43854B99-1BF7-4DF3-8A04-A277447DE3B8}" name="24-Ene" dataDxfId="649"/>
    <tableColumn id="23" xr3:uid="{CAC2F677-42BD-4EFA-8E99-ABA2036DAF56}" name="27-Ene" dataDxfId="648"/>
    <tableColumn id="24" xr3:uid="{20489B5B-5885-4E43-B5F0-4EAAEE4E8EB8}" name="28-Ene" dataDxfId="647"/>
    <tableColumn id="25" xr3:uid="{B4D29A08-5206-4DCD-AF4C-9B7ABB8D3CFF}" name="29-Ene" dataDxfId="646"/>
    <tableColumn id="26" xr3:uid="{7B49DBDA-317E-4CFB-B7FA-841DFC27E42B}" name="30-Ene" dataDxfId="645"/>
    <tableColumn id="27" xr3:uid="{0126152E-7354-43DB-A75E-4841194C453D}" name="31-Ene" dataDxfId="644"/>
    <tableColumn id="3" xr3:uid="{93315C06-D400-4502-BDDD-AC5886091EC6}" name="CARTERA" dataDxfId="6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2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1"/>
    <tableColumn id="5" xr3:uid="{44178C41-B41B-4820-A8E8-222FE453335F}" name="ASESOR" dataDxfId="640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9" headerRowBorderDxfId="638" tableBorderDxfId="637">
  <autoFilter ref="J8:O78" xr:uid="{89A51909-AC95-49E8-8345-D544ACD1F830}"/>
  <tableColumns count="6">
    <tableColumn id="2" xr3:uid="{DAC112DC-4F95-46E1-A307-6AA9F60DB951}" name="AL_AC" dataDxfId="636"/>
    <tableColumn id="3" xr3:uid="{AE4A1FA5-3083-4CA4-B657-D2D0F2E20004}" name="CLASIFICACIÓN" dataDxfId="635"/>
    <tableColumn id="1" xr3:uid="{16B2CCFD-0F54-4846-AA70-4C06CEC9176C}" name="SUPERVISOR" dataDxfId="634"/>
    <tableColumn id="6" xr3:uid="{2DE1A6CE-7493-4B20-83EE-59078393B5AF}" name="RECUPERO" dataDxfId="633"/>
    <tableColumn id="7" xr3:uid="{24FB90FB-A888-41AB-9B19-627A74DA2062}" name="META" dataDxfId="632"/>
    <tableColumn id="5" xr3:uid="{E6A5C563-3502-4EF4-8D06-C88816E905A8}" name="ASER_" dataDxfId="63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0" dataDxfId="628" headerRowBorderDxfId="629" tableBorderDxfId="627" totalsRowBorderDxfId="626">
  <autoFilter ref="Q8:AO15" xr:uid="{E527C2E2-32E2-49CA-9D9E-F70EC25D5514}"/>
  <tableColumns count="25">
    <tableColumn id="5" xr3:uid="{27DAF7E5-964C-4280-AB26-7715BE71CF28}" name="META SUPER" dataDxfId="625"/>
    <tableColumn id="1" xr3:uid="{C46409A5-9201-4E30-A3EB-7B6FC2DAF473}" name="RECUPERO SUPERVISOR" dataDxfId="624"/>
    <tableColumn id="2" xr3:uid="{445C2C89-5F44-46FD-8C70-EF4EE30F232E}" name="ALCANCE SUPERVISOR" dataDxfId="623"/>
    <tableColumn id="4" xr3:uid="{55D4E2C7-B609-4C8C-A5DE-AABFFD74BEB8}" name="SUPER" dataDxfId="622"/>
    <tableColumn id="6" xr3:uid="{29925D04-B597-415A-B40B-62A3FBA8B23D}" name="3-Feb" dataDxfId="621"/>
    <tableColumn id="7" xr3:uid="{31865A72-E634-4CB8-8660-811FA8147632}" name="4-Feb" dataDxfId="620"/>
    <tableColumn id="8" xr3:uid="{C70A98A0-1CB0-425B-975B-D4464009CDD0}" name="5-Feb" dataDxfId="619"/>
    <tableColumn id="9" xr3:uid="{F56CF612-0AA5-44CB-878D-FA59D84052AD}" name="6-Feb" dataDxfId="618"/>
    <tableColumn id="10" xr3:uid="{3CC1D48D-8A84-4931-841A-8283B47C8687}" name="7-Feb" dataDxfId="617"/>
    <tableColumn id="11" xr3:uid="{A6DAF4DF-EAFF-47AB-9A6F-0B2896AE1A18}" name="10-Feb" dataDxfId="616"/>
    <tableColumn id="12" xr3:uid="{3DC03FF0-BAC6-4F5D-B5DE-18A95E2C1B97}" name="11-Feb" dataDxfId="615"/>
    <tableColumn id="13" xr3:uid="{A90729AA-CC5E-4236-924F-A736B7A4BE93}" name="12-Feb" dataDxfId="614"/>
    <tableColumn id="14" xr3:uid="{B48B5FF0-5C49-4DDC-AC33-B45D349AD044}" name="13-Feb" dataDxfId="613"/>
    <tableColumn id="15" xr3:uid="{D36E617E-0BBB-4BC1-BBF1-EB24E3C2CE90}" name="14-Feb" dataDxfId="612"/>
    <tableColumn id="16" xr3:uid="{BD346F05-FCC2-4EA9-8F0F-B55AB2E68BE0}" name="17-Feb" dataDxfId="611"/>
    <tableColumn id="17" xr3:uid="{F5BB9730-A5AE-4489-9CB0-182052BA6557}" name="18-Feb" dataDxfId="610"/>
    <tableColumn id="18" xr3:uid="{B3DEF063-7A67-4F08-9D09-8310B4B64F2B}" name="19-Feb" dataDxfId="609"/>
    <tableColumn id="19" xr3:uid="{558BE332-1E67-4EF7-9FF1-541A019A7066}" name="20-Feb" dataDxfId="608"/>
    <tableColumn id="20" xr3:uid="{073BAAB2-EF92-4A82-B7FE-8339FF3A62EA}" name="21-Feb" dataDxfId="607"/>
    <tableColumn id="21" xr3:uid="{6EC9D118-EB0A-4FDC-A694-0A630EB1048E}" name="24-Feb" dataDxfId="606"/>
    <tableColumn id="22" xr3:uid="{DFF298CB-C24B-4F90-BD14-F99C28391208}" name="25-Feb" dataDxfId="605"/>
    <tableColumn id="23" xr3:uid="{7EF0365B-2B81-4022-84F3-7A3859D35934}" name="26-Feb" dataDxfId="604"/>
    <tableColumn id="24" xr3:uid="{D92D6A29-5A30-4405-A019-D7F8F39E4176}" name="27-Feb" dataDxfId="603"/>
    <tableColumn id="25" xr3:uid="{9BFA1186-4A61-452A-8EAC-4FE410743029}" name="28-Feb" dataDxfId="602"/>
    <tableColumn id="3" xr3:uid="{5EBD9DD4-78E3-4E78-8FD5-A71A2DE2CBE8}" name="CARTERA" dataDxfId="6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0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9"/>
    <tableColumn id="5" xr3:uid="{C9BC0167-A73A-4B66-AB0E-BCC22F3CD7BF}" name="ASESOR" dataDxfId="598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7" headerRowBorderDxfId="596" tableBorderDxfId="595">
  <autoFilter ref="J8:O80" xr:uid="{46A1AC28-8F5A-449B-BE41-0BD3EA45E5F4}"/>
  <tableColumns count="6">
    <tableColumn id="2" xr3:uid="{291F0275-242F-4948-BE64-7F8C6727586A}" name="AL_AC" dataDxfId="594"/>
    <tableColumn id="3" xr3:uid="{6050B278-B3D2-4B4C-8475-D701C9B8AB17}" name="CLASIFICACIÓN" dataDxfId="593"/>
    <tableColumn id="1" xr3:uid="{A94CCC19-556A-4124-8949-24896CDBE45E}" name="SUPERVISOR" dataDxfId="592"/>
    <tableColumn id="6" xr3:uid="{EBBFD24C-8909-45B0-B8CB-4ED73B62F2AB}" name="RECUPERO" dataDxfId="591"/>
    <tableColumn id="7" xr3:uid="{D5702432-6067-40C7-B647-63D5EBDD13C2}" name="META" dataDxfId="590"/>
    <tableColumn id="5" xr3:uid="{40A208DF-2D8B-4D71-B923-6BFFA76CDA11}" name="ASER_" dataDxfId="58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8" dataDxfId="586" headerRowBorderDxfId="587" tableBorderDxfId="585" totalsRowBorderDxfId="584">
  <autoFilter ref="Q8:AP15" xr:uid="{58377685-C18F-4F73-9CAA-BD0654B19E94}"/>
  <tableColumns count="26">
    <tableColumn id="5" xr3:uid="{9B6AA382-98FA-4EBD-A213-DB4460B552CB}" name="META SUPER" dataDxfId="583"/>
    <tableColumn id="1" xr3:uid="{23B67F77-728E-46C0-B5B1-11CE8E08D862}" name="RECUPERO SUPERVISOR" dataDxfId="582"/>
    <tableColumn id="2" xr3:uid="{0BAE08AE-6A16-447E-9DDD-8800D68BFFA3}" name="ALCANCE SUPERVISOR" dataDxfId="581"/>
    <tableColumn id="4" xr3:uid="{663301EA-2B77-4C76-B8E0-713CAAD1AC41}" name="SUPER" dataDxfId="580"/>
    <tableColumn id="6" xr3:uid="{9A6FEB31-48E4-456F-8C1F-14055131E9D6}" name="3-Mar" dataDxfId="579"/>
    <tableColumn id="7" xr3:uid="{B8154FAF-39D2-4ED9-8DD7-C179156ECA39}" name="4-Mar" dataDxfId="578"/>
    <tableColumn id="8" xr3:uid="{E58A14C1-44D1-46A4-9137-21E70261FA76}" name="5-Mar" dataDxfId="577"/>
    <tableColumn id="9" xr3:uid="{EFDA2093-809C-4DA2-80F9-0388CCC5E290}" name="6-Mar" dataDxfId="576"/>
    <tableColumn id="10" xr3:uid="{634CF5F0-F36D-4B26-8143-8C3A6FB59216}" name="7-Mar" dataDxfId="575"/>
    <tableColumn id="11" xr3:uid="{77A0553B-7BDF-49B7-B459-701A77496BEA}" name="10-Mar" dataDxfId="574"/>
    <tableColumn id="12" xr3:uid="{5EFD93D5-61E2-4104-88B4-214E61D06A6D}" name="11-Mar" dataDxfId="573"/>
    <tableColumn id="13" xr3:uid="{C6D91E97-E16B-4E76-BE55-A08C2A1131DD}" name="12-Mar" dataDxfId="572"/>
    <tableColumn id="14" xr3:uid="{2A5F1078-A097-4171-BD28-7B9B623471D0}" name="13-Mar" dataDxfId="571"/>
    <tableColumn id="15" xr3:uid="{5E883D61-775A-4AD4-A304-156DCFD9F825}" name="14-Mar" dataDxfId="570"/>
    <tableColumn id="16" xr3:uid="{BEFB5788-590D-4EFA-8707-20BAAF7026F1}" name="17-Mar" dataDxfId="569"/>
    <tableColumn id="17" xr3:uid="{8FC06E69-FAE9-4DBE-9C75-7A6598DE29C6}" name="18-Mar" dataDxfId="568"/>
    <tableColumn id="18" xr3:uid="{966EC934-1D25-407E-AE13-8147AC3FF531}" name="19-Mar" dataDxfId="567"/>
    <tableColumn id="19" xr3:uid="{5437FF24-6F5D-412D-82EE-8C668C7DC853}" name="20-Mar" dataDxfId="566"/>
    <tableColumn id="20" xr3:uid="{204A7CBC-2C07-4027-851F-021033B930C1}" name="21-Mar" dataDxfId="565"/>
    <tableColumn id="21" xr3:uid="{DF491418-AC74-4C6A-852F-F0797487D11C}" name="24-Mar" dataDxfId="564"/>
    <tableColumn id="22" xr3:uid="{E184F0A4-EF1A-48F5-8166-10085FC40D13}" name="25-Mar" dataDxfId="563"/>
    <tableColumn id="23" xr3:uid="{66C12B87-BC6D-46BE-AF31-D0C68A22BC7E}" name="26-Mar" dataDxfId="562"/>
    <tableColumn id="24" xr3:uid="{A2DB9C74-4CB6-4BBF-A230-DF50FDE9380D}" name="27-Mar" dataDxfId="561"/>
    <tableColumn id="25" xr3:uid="{D54E02BE-AA16-43C7-ABD3-89326740EA63}" name="28-Mar" dataDxfId="560"/>
    <tableColumn id="26" xr3:uid="{11172EA7-856A-4297-8329-62917B649E9A}" name="31-Mar" dataDxfId="559"/>
    <tableColumn id="3" xr3:uid="{42C6AD34-2DFF-436B-BB22-6DE170226F44}" name="CARTERA" dataDxfId="55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7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6"/>
    <tableColumn id="5" xr3:uid="{D789E66F-CC8C-4715-A998-7AE532E85E8A}" name="ASESOR" dataDxfId="555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4" headerRowBorderDxfId="553" tableBorderDxfId="552">
  <autoFilter ref="J8:O75" xr:uid="{4A270262-D445-41EE-9E8E-99052505C698}"/>
  <tableColumns count="6">
    <tableColumn id="2" xr3:uid="{ED28E462-F988-4D79-8917-612828B3B45E}" name="AL_AC" dataDxfId="551"/>
    <tableColumn id="3" xr3:uid="{1B1E8B7A-D562-46FD-89DE-12ADBC7146F2}" name="CLASIFICACIÓN" dataDxfId="550"/>
    <tableColumn id="1" xr3:uid="{B2C9AE52-4849-4DBA-83AD-3E350CC25C2D}" name="SUPERVISOR" dataDxfId="549"/>
    <tableColumn id="6" xr3:uid="{9C2D93B7-85A2-4E07-8DD4-3C81F7BF7EBF}" name="RECUPERO" dataDxfId="548"/>
    <tableColumn id="7" xr3:uid="{8F4173FF-BB8D-4C61-A5E9-1B6F872C619C}" name="META" dataDxfId="547"/>
    <tableColumn id="5" xr3:uid="{64151D2C-B822-41DF-8964-343214960730}" name="ASER_" dataDxfId="54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5" dataDxfId="543" headerRowBorderDxfId="544" tableBorderDxfId="542" totalsRowBorderDxfId="541">
  <autoFilter ref="Q8:AO16" xr:uid="{91037D17-6E76-48A2-93CB-F090733274F3}"/>
  <tableColumns count="25">
    <tableColumn id="5" xr3:uid="{F0D5233F-ED84-4824-B218-63AAB5DF69A8}" name="META SUPER" dataDxfId="540"/>
    <tableColumn id="1" xr3:uid="{56AD13BC-F67F-4EBC-8601-073AD9D41E5D}" name="RECUPERO SUPERVISOR" dataDxfId="539"/>
    <tableColumn id="2" xr3:uid="{B40C8394-DA7A-4DDD-89EA-AE757C76DD20}" name="ALCANCE SUPERVISOR" dataDxfId="538"/>
    <tableColumn id="4" xr3:uid="{B71408F8-B985-4B11-8661-52EFC6FA8097}" name="SUPER" dataDxfId="537"/>
    <tableColumn id="6" xr3:uid="{9E37ADBB-A64C-4E4B-9AF4-6087C797FB5E}" name="1-Abr" dataDxfId="536"/>
    <tableColumn id="7" xr3:uid="{09E3EE83-45B5-4808-842B-71D4652DE46A}" name="2-Abr" dataDxfId="535"/>
    <tableColumn id="8" xr3:uid="{243F9102-2670-48D4-B25D-8432658D89F6}" name="3-Abr" dataDxfId="534"/>
    <tableColumn id="9" xr3:uid="{06003E0F-B470-4925-ACE4-1381347B3E87}" name="4-Abr" dataDxfId="533"/>
    <tableColumn id="10" xr3:uid="{DF8C4E72-181D-4E2F-A34D-2BB7FD231520}" name="7-Abr" dataDxfId="532"/>
    <tableColumn id="11" xr3:uid="{56E37C44-85E9-4431-A560-A54606105B9D}" name="8-Abr" dataDxfId="531"/>
    <tableColumn id="12" xr3:uid="{9ADEA573-5E4A-46C0-8569-AFED61AE0141}" name="9-Abr" dataDxfId="530"/>
    <tableColumn id="13" xr3:uid="{D44E56ED-D810-4F08-ACAA-0850A2CBA861}" name="10-Abr" dataDxfId="529"/>
    <tableColumn id="14" xr3:uid="{4F1A46EB-156C-42BB-A090-307A483EDA59}" name="11-Abr" dataDxfId="528"/>
    <tableColumn id="15" xr3:uid="{EA2196AC-4B67-4905-BF5F-D57BA3E6F3AD}" name="14-Abr" dataDxfId="527"/>
    <tableColumn id="16" xr3:uid="{C78E77EC-88A1-4EFD-AD1A-7DF788C46683}" name="15-Abr" dataDxfId="526"/>
    <tableColumn id="17" xr3:uid="{D5FD8172-0B95-4406-9239-1ABAD08F1B45}" name="16-Abr" dataDxfId="525"/>
    <tableColumn id="18" xr3:uid="{8E9BAC3F-3B04-449B-88EE-DBF57FA626AC}" name="21-Abr" dataDxfId="524"/>
    <tableColumn id="19" xr3:uid="{BFA3B7EB-0BC7-4311-8FCE-7C69A9357A03}" name="22-Abr" dataDxfId="523"/>
    <tableColumn id="20" xr3:uid="{D2BE25CA-961F-40EE-9EC1-A49EEA4DDB5A}" name="23-Abr" dataDxfId="522"/>
    <tableColumn id="21" xr3:uid="{77AAB025-517F-4236-B11B-AEE9B7399348}" name="24-Abr" dataDxfId="521"/>
    <tableColumn id="22" xr3:uid="{E35C7392-A09A-482A-9C37-79B0D6711E60}" name="25-Abr" dataDxfId="520"/>
    <tableColumn id="23" xr3:uid="{B9F1E360-1FEC-4978-B5DB-3DECA1925AE9}" name="28-Abr" dataDxfId="519"/>
    <tableColumn id="24" xr3:uid="{89A20735-1F9D-4A38-9BEB-B3BD56D1FD35}" name="29-Abr" dataDxfId="518"/>
    <tableColumn id="25" xr3:uid="{4BE1A809-8A7F-4933-9AB7-B0E4C9CDDD7E}" name="30-Abr" dataDxfId="517"/>
    <tableColumn id="3" xr3:uid="{8BAF39B2-F0EB-433E-8F3A-FEAC89C5F9BF}" name="CARTERA" dataDxfId="51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5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4"/>
    <tableColumn id="5" xr3:uid="{5FAC7613-1036-4D50-9A09-AB4F41D88D12}" name="ASESOR" dataDxfId="513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2" headerRowBorderDxfId="511" tableBorderDxfId="510">
  <autoFilter ref="J8:O84" xr:uid="{3430F05E-BC8F-402B-8A1E-08930825C5B5}"/>
  <tableColumns count="6">
    <tableColumn id="2" xr3:uid="{C6ACB1FD-DF21-4A7E-80CD-085902D05EAD}" name="AL_AC" dataDxfId="509"/>
    <tableColumn id="3" xr3:uid="{8551335D-BE40-494B-A806-42FAA211C207}" name="CLASIFICACIÓN" dataDxfId="508"/>
    <tableColumn id="1" xr3:uid="{1F17A9F8-FF2D-4D38-ADF0-9C21DD7CE96D}" name="SUPERVISOR" dataDxfId="507"/>
    <tableColumn id="6" xr3:uid="{85DC5B94-4FF7-4224-A993-E56A00A5F6DA}" name="RECUPERO" dataDxfId="506"/>
    <tableColumn id="7" xr3:uid="{E2EB46E1-D5BC-46B2-859F-8C05EBBE26F5}" name="META" dataDxfId="505"/>
    <tableColumn id="5" xr3:uid="{A8ED42EF-7F3D-47A1-A928-02CDC650D596}" name="ASER_" dataDxfId="5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3" dataDxfId="501" headerRowBorderDxfId="502" tableBorderDxfId="500" totalsRowBorderDxfId="499">
  <autoFilter ref="Q8:AP16" xr:uid="{7D264E3B-5554-4E56-BAB0-6F3EEF5A5778}"/>
  <tableColumns count="26">
    <tableColumn id="5" xr3:uid="{1904281A-2BE1-4A00-9848-D90C0A837D4D}" name="META SUPER" dataDxfId="498"/>
    <tableColumn id="1" xr3:uid="{E8B4D119-C811-4392-9EE6-8F0C79BEE9E9}" name="RECUPERO SUPERVISOR" dataDxfId="497"/>
    <tableColumn id="2" xr3:uid="{B44E621C-D444-4670-8FB8-CA1A1E3293FE}" name="ALCANCE SUPERVISOR" dataDxfId="496"/>
    <tableColumn id="4" xr3:uid="{63B60F11-ECE7-4839-BADE-F875CF35D6C8}" name="SUPER" dataDxfId="495"/>
    <tableColumn id="6" xr3:uid="{795F9848-930D-4B49-893D-00DA36A6069C}" name="2-May" dataDxfId="494"/>
    <tableColumn id="7" xr3:uid="{A0F1B09B-45CD-4449-B0E0-2A746353F5F6}" name="5-May" dataDxfId="493"/>
    <tableColumn id="8" xr3:uid="{42485F8E-3938-40CB-B75A-E12120AF085D}" name="6-May" dataDxfId="492"/>
    <tableColumn id="9" xr3:uid="{16CE59CD-D621-412D-8F6E-F5B8FEEFCBB4}" name="7-May" dataDxfId="491"/>
    <tableColumn id="10" xr3:uid="{D1B5939A-E95A-4BE2-BA16-796CFB62C7BB}" name="8-May" dataDxfId="490"/>
    <tableColumn id="11" xr3:uid="{42606FA2-25C4-48F7-BC25-B75CFBF93D7E}" name="9-May" dataDxfId="489"/>
    <tableColumn id="12" xr3:uid="{91DD2662-D657-4CF0-B378-5B3D9B374F80}" name="12-May" dataDxfId="488"/>
    <tableColumn id="13" xr3:uid="{02E91914-A4C0-4DF0-A670-ED42110CA3F2}" name="13-May" dataDxfId="487"/>
    <tableColumn id="14" xr3:uid="{FDAEFC46-2A8B-451E-929D-76EC4BC7CA39}" name="14-May" dataDxfId="486"/>
    <tableColumn id="15" xr3:uid="{1F944C9F-2359-45A9-8922-617195550B92}" name="15-May" dataDxfId="485"/>
    <tableColumn id="16" xr3:uid="{D023EA95-922B-4435-8A92-F165E2F3A560}" name="16-May" dataDxfId="484"/>
    <tableColumn id="17" xr3:uid="{7AC3BA92-E630-483B-B27E-18C40869116B}" name="19-May" dataDxfId="483"/>
    <tableColumn id="18" xr3:uid="{3609A57C-B1DB-4D87-9574-007183221000}" name="20-May" dataDxfId="482"/>
    <tableColumn id="19" xr3:uid="{98740490-1047-4343-85C8-834AE6AF935A}" name="21-May" dataDxfId="481"/>
    <tableColumn id="20" xr3:uid="{CE682DBD-B5A8-49C9-8A73-515C0BB553A8}" name="22-May" dataDxfId="480"/>
    <tableColumn id="21" xr3:uid="{2C63A6DB-A36B-488F-8D7C-F86E11CED59A}" name="23-May" dataDxfId="479"/>
    <tableColumn id="22" xr3:uid="{01511E88-F7F3-4FDD-998C-292B28698241}" name="26-May" dataDxfId="478"/>
    <tableColumn id="23" xr3:uid="{B0CE642E-7F10-4E00-9DD1-FC5CF0499DC2}" name="27-May" dataDxfId="477"/>
    <tableColumn id="24" xr3:uid="{EE9469B0-D486-4046-8AA2-36629B9D9667}" name="28-May" dataDxfId="476"/>
    <tableColumn id="25" xr3:uid="{D05B2A45-8E05-43BB-9FFA-CC56C7D8C31E}" name="29-May" dataDxfId="475"/>
    <tableColumn id="26" xr3:uid="{AE78D865-FDC9-4B75-AADF-A48F19C319DC}" name="31-May" dataDxfId="474"/>
    <tableColumn id="3" xr3:uid="{0887DE9C-F035-4EEC-B2F4-4C2CEB11922C}" name="CARTERA" dataDxfId="4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2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1"/>
    <tableColumn id="5" xr3:uid="{1BF578D9-FB1B-48B0-B732-40F721FD7C19}" name="ASESOR" dataDxfId="470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9" headerRowBorderDxfId="468" tableBorderDxfId="467">
  <autoFilter ref="J8:O83" xr:uid="{97B1AEE0-937A-4085-8A6E-FCEB23E4FC30}"/>
  <tableColumns count="6">
    <tableColumn id="2" xr3:uid="{1850D85D-70AA-4C8C-B259-0C0B744B6CE0}" name="AL_AC" dataDxfId="466"/>
    <tableColumn id="3" xr3:uid="{78E201C6-658E-4437-AC52-3D0E669D8389}" name="CLASIFICACIÓN" dataDxfId="465"/>
    <tableColumn id="1" xr3:uid="{C1D03C86-C680-4F57-A317-59AA1FC8881C}" name="SUPERVISOR" dataDxfId="464"/>
    <tableColumn id="6" xr3:uid="{3AD4A449-DB0B-4879-AD61-28FA40E45717}" name="RECUPERO" dataDxfId="463"/>
    <tableColumn id="7" xr3:uid="{2BD9FB92-38FC-44A8-B5F2-890569E48C37}" name="META" dataDxfId="462"/>
    <tableColumn id="5" xr3:uid="{9812F1F1-AB5A-41A6-A84D-86B290FCB7E7}" name="ASER_" dataDxfId="4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0" dataDxfId="458" headerRowBorderDxfId="459" tableBorderDxfId="457" totalsRowBorderDxfId="456">
  <autoFilter ref="Q8:AP16" xr:uid="{9512D78B-B0C0-473E-AE3C-7C31C89EE38A}"/>
  <tableColumns count="26">
    <tableColumn id="5" xr3:uid="{2E4B2724-B4DE-4C03-B5C0-3E36829C3373}" name="META SUPER" dataDxfId="455"/>
    <tableColumn id="1" xr3:uid="{1A75BF93-811F-4AFA-86B4-9AD496200913}" name="RECUPERO SUPERVISOR" dataDxfId="454"/>
    <tableColumn id="2" xr3:uid="{60B107BC-0938-4363-BE59-47C4E7777D14}" name="ALCANCE SUPERVISOR" dataDxfId="453"/>
    <tableColumn id="4" xr3:uid="{846684E8-1F2C-4021-AB12-AFBE9E56FAA4}" name="SUPER" dataDxfId="452"/>
    <tableColumn id="6" xr3:uid="{A217DEAD-ACD7-4C63-A622-E2E01ECF328C}" name="2-Jun" dataDxfId="451"/>
    <tableColumn id="7" xr3:uid="{5CA18C0A-7D47-455B-B153-EFA8D01D32D6}" name="3-Jun" dataDxfId="450"/>
    <tableColumn id="8" xr3:uid="{3CBBE086-E28B-4224-AF45-5A4E7A009E3F}" name="4-Jun" dataDxfId="449"/>
    <tableColumn id="9" xr3:uid="{4B327145-F7C9-4ABC-A911-6EB2E553C986}" name="5-Jun" dataDxfId="448"/>
    <tableColumn id="10" xr3:uid="{C644450F-2149-4D87-8E04-D3DD6B99C066}" name="6-Jun" dataDxfId="447"/>
    <tableColumn id="11" xr3:uid="{92D6DA00-2083-479D-96F6-4B48312C9C12}" name="9-Jun" dataDxfId="446"/>
    <tableColumn id="12" xr3:uid="{2EC613D6-BDCD-416F-817F-42C8018B90FE}" name="10-Jun" dataDxfId="445"/>
    <tableColumn id="13" xr3:uid="{B55C5834-2D46-4D83-8429-14D18D9B95EF}" name="11-Jun" dataDxfId="444"/>
    <tableColumn id="14" xr3:uid="{5C6DF4C8-EDC0-4827-AA8B-9C2B7202A4DA}" name="12-Jun" dataDxfId="443"/>
    <tableColumn id="15" xr3:uid="{764D7AA1-F3E2-4E06-A4A9-952B47F95E76}" name="13-Jun" dataDxfId="442"/>
    <tableColumn id="16" xr3:uid="{6D896E44-118D-4124-BF4A-2E06B8568517}" name="16-Jun" dataDxfId="441"/>
    <tableColumn id="17" xr3:uid="{BE609D90-F294-44A1-B944-804292CC8FAC}" name="17-Jun" dataDxfId="440"/>
    <tableColumn id="18" xr3:uid="{E97C32F3-7B30-46E7-B4CD-72B412E48E28}" name="18-Jun" dataDxfId="439"/>
    <tableColumn id="19" xr3:uid="{FD784BF8-211E-4275-A9B4-168979C2AFD1}" name="19-Jun" dataDxfId="438"/>
    <tableColumn id="20" xr3:uid="{766DA9FA-C407-4AC5-BFFB-BF6A1B6D5B26}" name="20-Jun" dataDxfId="437"/>
    <tableColumn id="21" xr3:uid="{CD1B765C-53CF-4C5C-A708-487BC53AF68A}" name="23-Jun" dataDxfId="436"/>
    <tableColumn id="22" xr3:uid="{2800A805-A560-4CF0-B47E-4486A92755E4}" name="24-Jun" dataDxfId="435"/>
    <tableColumn id="23" xr3:uid="{7067EFFA-F2EA-4FFF-A281-8E3E0E718C87}" name="25-Jun" dataDxfId="434"/>
    <tableColumn id="24" xr3:uid="{BB01C4B5-FEB4-44E1-BF58-4C9BF81261B1}" name="26-Jun" dataDxfId="433"/>
    <tableColumn id="25" xr3:uid="{2116D7DE-6632-4314-9539-6B4BA9407512}" name="27-Jun" dataDxfId="432"/>
    <tableColumn id="26" xr3:uid="{B0D188FD-F41F-4C43-A42F-87048D9F3347}" name="30-Jun" dataDxfId="431"/>
    <tableColumn id="3" xr3:uid="{153A774F-FA3D-4DE9-A743-A193E9EC2BE7}" name="CARTERA" dataDxfId="43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9" headerRowBorderDxfId="428" tableBorderDxfId="427">
  <autoFilter ref="J8:O91" xr:uid="{13D0755C-A8D1-41FD-8722-0AA4CD765999}"/>
  <tableColumns count="6">
    <tableColumn id="2" xr3:uid="{72C3FA18-E65D-4943-AF0A-CD7AC5502A56}" name="AL_AC" dataDxfId="426"/>
    <tableColumn id="3" xr3:uid="{1754C817-3C23-490F-BEA3-3ACD2AC34A65}" name="CLASIFICACIÓN" dataDxfId="425"/>
    <tableColumn id="5" xr3:uid="{635B51D1-72B4-46A4-B795-4985950C2B5D}" name="SUPERVISOR" dataDxfId="424"/>
    <tableColumn id="6" xr3:uid="{BCDF5A35-E274-481A-8FAA-7585E0413D78}" name="RECUPERO" dataDxfId="423"/>
    <tableColumn id="7" xr3:uid="{8DE1FEE0-51D3-4EA8-A46E-89BEBA12056E}" name="META" dataDxfId="422"/>
    <tableColumn id="1" xr3:uid="{3C41F150-757E-4673-8594-D891B2820E33}" name="ASER_" dataDxfId="4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9" headerRowBorderDxfId="420" tableBorderDxfId="418">
  <autoFilter ref="A2:G85" xr:uid="{F460AB3C-55A7-4610-B74D-44400B82E396}"/>
  <tableColumns count="7">
    <tableColumn id="1" xr3:uid="{174E92CC-5FBB-42E6-ABBA-A2148115201A}" name="SUPER" dataDxfId="417"/>
    <tableColumn id="6" xr3:uid="{D87E1435-21B2-485D-8BCD-1C27FC523EEA}" name="ASESOR_CRR" dataDxfId="416"/>
    <tableColumn id="2" xr3:uid="{FC570054-965C-4F29-B04A-C58608AEAECA}" name="RECUP" dataDxfId="415"/>
    <tableColumn id="3" xr3:uid="{CF023A93-4AFB-4349-9235-179A60BC2249}" name="ALCANCE" dataDxfId="414"/>
    <tableColumn id="7" xr3:uid="{59576C9E-00A8-419A-8EFC-86D74D6B4B3F}" name="SUPER2" dataDxfId="413"/>
    <tableColumn id="4" xr3:uid="{6F567985-92B6-498E-BDE9-81AA438ECD22}" name="ASESOR" dataDxfId="412"/>
    <tableColumn id="5" xr3:uid="{2DFC340F-6B74-4E64-B475-782D4A5F8B3E}" name="RECUPERO" dataDxfId="4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0" dataDxfId="408" headerRowBorderDxfId="409" tableBorderDxfId="407" totalsRowBorderDxfId="406">
  <autoFilter ref="Q8:AO16" xr:uid="{1FBB17F4-7F2F-4438-9C76-1C20A2CD5EED}"/>
  <tableColumns count="25">
    <tableColumn id="5" xr3:uid="{054DF3D6-44FE-4EF9-8B28-32077473621F}" name="META SUPER" dataDxfId="405"/>
    <tableColumn id="1" xr3:uid="{4CE2BFB4-C324-4ECE-B3B7-77A433373BEC}" name="RECUPERO SUPERVISOR" dataDxfId="404"/>
    <tableColumn id="2" xr3:uid="{76C6BCA1-6820-46A6-B790-01B3E88F6266}" name="ALCANCE SUPERVISOR" dataDxfId="403"/>
    <tableColumn id="4" xr3:uid="{FE9C5289-6F21-4D71-92B6-F36B6C9748E7}" name="SUPER" dataDxfId="402"/>
    <tableColumn id="6" xr3:uid="{A5188244-D142-4196-92CC-15B237C3E734}" name="1-Jul" dataDxfId="401"/>
    <tableColumn id="7" xr3:uid="{9754BD88-AFD1-4BCB-AF69-DA7B55E3A053}" name="2-Jul" dataDxfId="400"/>
    <tableColumn id="8" xr3:uid="{851C8CA8-D257-4BFB-B6BE-D82354200CA7}" name="3-Jul" dataDxfId="399"/>
    <tableColumn id="9" xr3:uid="{AE769B63-903F-46E5-A3F0-8DA27C689974}" name="4-Jul" dataDxfId="398"/>
    <tableColumn id="10" xr3:uid="{D09A5961-EE10-491A-BFFE-C5ABD80598A8}" name="7-Jul" dataDxfId="397"/>
    <tableColumn id="11" xr3:uid="{EC4AF483-303E-4488-AFA2-DD9A058F071A}" name="8-Jul" dataDxfId="396"/>
    <tableColumn id="12" xr3:uid="{E0699685-C582-4C4A-A838-E66961F44487}" name="9-Jul" dataDxfId="395"/>
    <tableColumn id="13" xr3:uid="{377D024A-00DD-4A77-A549-5C6BEBE894D0}" name="10-Jul" dataDxfId="394"/>
    <tableColumn id="14" xr3:uid="{8FABF999-C8BA-4B7D-980A-2659F766178B}" name="11-Jul" dataDxfId="393"/>
    <tableColumn id="15" xr3:uid="{06AC6AD7-A191-47DD-AE3F-9A0525AF8DD6}" name="14-Jul" dataDxfId="392"/>
    <tableColumn id="16" xr3:uid="{BB465107-63D7-443B-8989-EF197F62D322}" name="15-Jul" dataDxfId="391"/>
    <tableColumn id="17" xr3:uid="{3DFE5CBD-1315-4CBA-A14E-1763583D7BEC}" name="16-Jul" dataDxfId="390"/>
    <tableColumn id="18" xr3:uid="{5DB3135E-36A1-4F0D-890E-50AC461B96C4}" name="17-Jul" dataDxfId="389"/>
    <tableColumn id="19" xr3:uid="{57CA79FE-F6A3-4697-8926-36322AD1BC6C}" name="18-Jul" dataDxfId="388"/>
    <tableColumn id="20" xr3:uid="{A99C4302-A806-4344-ABAF-AF753E7EF30D}" name="21-Jul" dataDxfId="387"/>
    <tableColumn id="21" xr3:uid="{D1C3F20A-0988-4CC4-8D06-ED3EE15A7AB1}" name="22-Jul" dataDxfId="386"/>
    <tableColumn id="22" xr3:uid="{ECEC5739-F3E4-44C4-9408-4DAA6DE5069C}" name="24-Jul" dataDxfId="385"/>
    <tableColumn id="23" xr3:uid="{CD77FB96-6C17-47A0-82BA-2ABEA1725A41}" name="25-Jul" dataDxfId="384"/>
    <tableColumn id="24" xr3:uid="{87D0EFA1-B9FB-444F-B737-EE4C1B838FBC}" name="30-Jul" dataDxfId="383"/>
    <tableColumn id="25" xr3:uid="{BF0F5A29-80D1-482F-9C53-48E4478A5F1D}" name="31-Jul" dataDxfId="382"/>
    <tableColumn id="3" xr3:uid="{51B2E01F-098B-4EAB-AB37-99A7A456DDF6}" name="CARTERA" dataDxfId="38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9" headerRowBorderDxfId="380" tableBorderDxfId="378">
  <autoFilter ref="A2:G82" xr:uid="{816CEBCE-101B-42C2-A45C-8113A647428A}"/>
  <tableColumns count="7">
    <tableColumn id="1" xr3:uid="{596664E6-24CF-4AF3-A84D-121AC4745B4C}" name="SUPER" dataDxfId="377"/>
    <tableColumn id="6" xr3:uid="{CA4B13E9-2CAB-42E2-A028-4DFB844CF726}" name="ASESOR_CRR" dataDxfId="376"/>
    <tableColumn id="2" xr3:uid="{B3C2F90C-6F59-4998-9F82-960596BF09D8}" name="RECUP" dataDxfId="375"/>
    <tableColumn id="3" xr3:uid="{6CE379C4-19C8-4C90-81DB-EA83E873B03A}" name="ALCANCE" dataDxfId="374"/>
    <tableColumn id="7" xr3:uid="{28AC502F-3113-4B59-AA88-4F9E0E7D938B}" name="SUPER2" dataDxfId="373"/>
    <tableColumn id="4" xr3:uid="{9AE19661-0B03-4D03-9661-4B81FCE456D3}" name="ASESOR" dataDxfId="372"/>
    <tableColumn id="5" xr3:uid="{9CCAC285-FD2E-415B-BE6E-AD7E20CECF29}" name="RECUPERO" dataDxfId="3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0" headerRowBorderDxfId="369" tableBorderDxfId="368">
  <autoFilter ref="J8:O88" xr:uid="{DB356FA9-1639-4BCD-8041-CDF840B60928}"/>
  <tableColumns count="6">
    <tableColumn id="2" xr3:uid="{1BEFB030-F8FC-467E-8D03-CF9E8433E11F}" name="AL_AC" dataDxfId="367"/>
    <tableColumn id="3" xr3:uid="{88C3CECE-F881-4C05-BA2B-95B253894A39}" name="CLASIFICACIÓN" dataDxfId="366"/>
    <tableColumn id="1" xr3:uid="{F581F4DA-B6F3-4641-93F9-FB4CABD3B045}" name="SUPERVISOR" dataDxfId="365"/>
    <tableColumn id="6" xr3:uid="{40820BC6-7E2D-416A-AC23-B4520FC0957D}" name="RECUPERO" dataDxfId="364"/>
    <tableColumn id="7" xr3:uid="{F7BC8835-EC2E-4047-8AE9-C742ABE03445}" name="META" dataDxfId="363"/>
    <tableColumn id="5" xr3:uid="{22298E20-98EB-421A-8978-F019348D2A10}" name="ASER_" dataDxfId="36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1" dataDxfId="359" headerRowBorderDxfId="360" tableBorderDxfId="358" totalsRowBorderDxfId="357">
  <autoFilter ref="Q8:AO16" xr:uid="{90430F39-92FE-4ECF-9803-071C2A54AA46}"/>
  <tableColumns count="25">
    <tableColumn id="5" xr3:uid="{0F1D2B08-548B-4035-A7F1-689294B1B15E}" name="META SUPER" dataDxfId="356"/>
    <tableColumn id="1" xr3:uid="{D853C78B-294B-4C5B-87F9-8B837DBCA858}" name="RECUPERO SUPERVISOR" dataDxfId="355"/>
    <tableColumn id="2" xr3:uid="{A6B49739-8C7F-42B7-AB2B-2D9B8785D8A7}" name="ALCANCE SUPERVISOR" dataDxfId="354"/>
    <tableColumn id="4" xr3:uid="{96D2A1C2-9EA3-4132-B41A-8B57BBB00DD3}" name="SUPER" dataDxfId="353"/>
    <tableColumn id="6" xr3:uid="{49EEE6CA-AF7B-4615-AE46-CA713F4E9209}" name="1-Ago" dataDxfId="352"/>
    <tableColumn id="7" xr3:uid="{61649C96-BFE5-4D18-BCE1-727E2E74D883}" name="4-Ago" dataDxfId="351"/>
    <tableColumn id="8" xr3:uid="{3D095B63-6086-4E9E-85B2-511507890CD8}" name="5-Ago" dataDxfId="350"/>
    <tableColumn id="9" xr3:uid="{36CD21E6-51F3-49C9-8448-36B269029EF6}" name="7-Ago" dataDxfId="349"/>
    <tableColumn id="10" xr3:uid="{D4DBAD01-5AE1-474A-AF64-A98DFD56153A}" name="8-Ago" dataDxfId="348"/>
    <tableColumn id="11" xr3:uid="{FDF3CA30-E7DF-4684-9747-03744CC16AAE}" name="11-Ago" dataDxfId="347"/>
    <tableColumn id="12" xr3:uid="{0D320307-8BC6-475A-9E12-91C32320EC74}" name="12-Ago" dataDxfId="346"/>
    <tableColumn id="13" xr3:uid="{55EA3D15-E74B-4AB3-B0D5-B387C3EAAB83}" name="13-Ago" dataDxfId="345"/>
    <tableColumn id="14" xr3:uid="{507E3CA9-692F-4A2D-BA96-B401D04EEDD0}" name="14-Ago" dataDxfId="344"/>
    <tableColumn id="15" xr3:uid="{E5F719C0-0646-408A-976E-C57966E876F4}" name="15-Ago" dataDxfId="343"/>
    <tableColumn id="16" xr3:uid="{8AC2AE0D-50EC-4387-A0A4-A1F2DF092A3C}" name="18-Ago" dataDxfId="342"/>
    <tableColumn id="17" xr3:uid="{7B1EE470-E258-4B37-BEC3-E798950632D8}" name="19-Ago" dataDxfId="341"/>
    <tableColumn id="18" xr3:uid="{F77C3800-E94B-4C32-A796-122D364094EA}" name="20-Ago" dataDxfId="340"/>
    <tableColumn id="19" xr3:uid="{0DA4161D-30F3-4E97-BCBB-4C1E891B36FB}" name="21-Ago" dataDxfId="339"/>
    <tableColumn id="20" xr3:uid="{94B916D9-415F-4F66-A6C0-0EE398A152E9}" name="22-Ago" dataDxfId="338"/>
    <tableColumn id="21" xr3:uid="{D814BC25-89A4-4A6B-B889-6BF06DD3D2EC}" name="25-Ago" dataDxfId="337"/>
    <tableColumn id="22" xr3:uid="{7DEFEDE7-498F-4CCF-A7C2-F63ACE1BA092}" name="26-Ago" dataDxfId="336"/>
    <tableColumn id="23" xr3:uid="{CA36A7C5-BBBD-47FB-AAB4-1F5CBDA1EE93}" name="27-Ago" dataDxfId="335"/>
    <tableColumn id="24" xr3:uid="{958DFD93-9566-47EC-807E-E21861CB1F39}" name="28-Ago" dataDxfId="334"/>
    <tableColumn id="25" xr3:uid="{C690FBB6-6A9F-4B4D-AEF8-49C27DFF4FCF}" name="29-Ago" dataDxfId="333"/>
    <tableColumn id="3" xr3:uid="{C5283215-E8BB-41D8-B093-AA31F8252394}" name="CARTERA" dataDxfId="33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0" headerRowBorderDxfId="331" tableBorderDxfId="329">
  <autoFilter ref="A2:G80" xr:uid="{111BC5E6-A71D-437E-ABD5-0E09FCDEF3FD}"/>
  <tableColumns count="7">
    <tableColumn id="1" xr3:uid="{EABDBA5F-3C1B-4AC8-8F40-8C9EED5560F3}" name="SUPER" dataDxfId="328"/>
    <tableColumn id="6" xr3:uid="{C37701A2-99CA-45B9-AA89-63D54C88C5B9}" name="ASESOR_CRR" dataDxfId="327"/>
    <tableColumn id="2" xr3:uid="{8360BA59-782B-4699-ABEA-458A3C9299AD}" name="RECUP" dataDxfId="326"/>
    <tableColumn id="3" xr3:uid="{BD5C8833-8CBB-40D9-BC66-F164208CFEC0}" name="ALCANCE" dataDxfId="325"/>
    <tableColumn id="7" xr3:uid="{07FA8551-F17A-4D20-BAC6-4B128B0ECF57}" name="SUPER2" dataDxfId="324"/>
    <tableColumn id="4" xr3:uid="{91470BB1-1A8E-4802-9D93-28E5A1DF6790}" name="ASESOR" dataDxfId="323"/>
    <tableColumn id="5" xr3:uid="{2B49EE5D-87EB-458C-99B1-7F94B8EDDE4B}" name="RECUPERO" dataDxfId="32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1" headerRowBorderDxfId="320" tableBorderDxfId="319">
  <autoFilter ref="J8:O86" xr:uid="{91775BD2-E36D-479B-95DE-48127C3410BC}"/>
  <tableColumns count="6">
    <tableColumn id="2" xr3:uid="{033A6CF7-EC22-4EEE-8FF0-8C343161421D}" name="AL_AC" dataDxfId="318"/>
    <tableColumn id="3" xr3:uid="{2234E43A-FB04-4BD5-A5FB-BE681630D39D}" name="CLASIFICACIÓN" dataDxfId="317"/>
    <tableColumn id="1" xr3:uid="{E68E03C4-584B-48EC-AA41-D10E171DF6E2}" name="SUPERVISOR" dataDxfId="316"/>
    <tableColumn id="6" xr3:uid="{8FEE60A3-7153-47ED-82A3-25E3E95BD5B9}" name="RECUPERO" dataDxfId="315"/>
    <tableColumn id="5" xr3:uid="{96DEFE26-B796-4F9F-BB26-62A9B1295009}" name="META" dataDxfId="314"/>
    <tableColumn id="4" xr3:uid="{98491906-C3E6-4CCF-96D0-36184A648156}" name="ASER_" dataDxfId="31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2" dataDxfId="310" headerRowBorderDxfId="311" tableBorderDxfId="309" totalsRowBorderDxfId="308">
  <autoFilter ref="Q8:AQ16" xr:uid="{B03330B9-97D2-48C8-8B43-740321917DA5}"/>
  <tableColumns count="27">
    <tableColumn id="5" xr3:uid="{4E3B6BB8-3B21-487C-8667-D21D7F0B0DDF}" name="META SUPER" dataDxfId="307"/>
    <tableColumn id="1" xr3:uid="{C390EAAF-612A-443A-A32B-07A66CB5EF93}" name="RECUPERO SUPERVISOR" dataDxfId="306"/>
    <tableColumn id="2" xr3:uid="{BF66D468-0BA9-433F-A558-DB3EB49638C0}" name="ALCANCE SUPERVISOR" dataDxfId="305"/>
    <tableColumn id="4" xr3:uid="{833C2FF4-09CC-46A1-B127-078899129ED2}" name="SUPER" dataDxfId="304"/>
    <tableColumn id="6" xr3:uid="{7268ABE3-61CC-4084-9F8D-F9F866838337}" name="1-Set" dataDxfId="303"/>
    <tableColumn id="7" xr3:uid="{934984E8-2516-4844-B21B-29330A07EEE9}" name="2-Set" dataDxfId="302"/>
    <tableColumn id="8" xr3:uid="{5F8B97B9-8D43-4455-9D8F-E58FD0EDAC17}" name="3-Set" dataDxfId="301"/>
    <tableColumn id="9" xr3:uid="{85D24C9E-9252-4D30-9E54-18DBF77A6C70}" name="4-Set" dataDxfId="300"/>
    <tableColumn id="10" xr3:uid="{5A78F08C-1794-450A-88A4-F02CE65D2409}" name="5-Set" dataDxfId="299"/>
    <tableColumn id="11" xr3:uid="{C9868C58-D704-4A31-95DB-6D8FBCC63D90}" name="8-Set" dataDxfId="298"/>
    <tableColumn id="12" xr3:uid="{5A69AB6F-1CBE-456F-9AB1-9CFA02551564}" name="9-Set" dataDxfId="297"/>
    <tableColumn id="13" xr3:uid="{2FB09AC7-C3A6-45CD-8892-0B683DF946C3}" name="10-Set" dataDxfId="296"/>
    <tableColumn id="14" xr3:uid="{B8720ED9-AC2B-41EC-BFA3-A12BF9C966CC}" name="11-Set" dataDxfId="295"/>
    <tableColumn id="15" xr3:uid="{31CBBA73-A7BD-468C-BD0B-435687D2ACAD}" name="12-Set" dataDxfId="294"/>
    <tableColumn id="16" xr3:uid="{02C13EA1-381F-4C2D-B917-AF0FF1A9F773}" name="15-Set" dataDxfId="293"/>
    <tableColumn id="17" xr3:uid="{E6B04D90-5126-40CD-BDA1-E2B120BAD73C}" name="16-Set" dataDxfId="292"/>
    <tableColumn id="18" xr3:uid="{7CB5014E-CB0D-4F8A-A9D7-BD9A166A1B37}" name="17-Set" dataDxfId="291"/>
    <tableColumn id="19" xr3:uid="{040ABF10-1BFC-447A-AE21-D052CBC2ED82}" name="18-Set" dataDxfId="290"/>
    <tableColumn id="20" xr3:uid="{44DFBCB9-0C1E-48F5-ACC2-AC0990D1520D}" name="19-Set" dataDxfId="289"/>
    <tableColumn id="21" xr3:uid="{AFFC2ABC-F24F-4F16-B5DD-03747097DBCC}" name="22-Set" dataDxfId="288"/>
    <tableColumn id="22" xr3:uid="{E8A652BF-A601-498B-965E-DF95F032A19E}" name="23-Set" dataDxfId="287"/>
    <tableColumn id="23" xr3:uid="{E1A1F3EC-A932-4B54-BD80-6B3004BAC18C}" name="24-Set" dataDxfId="286"/>
    <tableColumn id="24" xr3:uid="{7F5C1B88-4DF8-4775-AEFB-F5F5D12AD778}" name="25-Set" dataDxfId="285"/>
    <tableColumn id="25" xr3:uid="{B40C371A-A255-4AD7-B43D-47350B1FF421}" name="26-Set" dataDxfId="284"/>
    <tableColumn id="26" xr3:uid="{AFFE8D31-2DD6-4039-8ED5-AD63D5758F88}" name="29-Set" dataDxfId="283"/>
    <tableColumn id="27" xr3:uid="{041693B7-E11C-4B55-8C93-8CFB39922E84}" name="30-Set" dataDxfId="282"/>
    <tableColumn id="3" xr3:uid="{1DAB60E5-FA3D-4422-89D0-AD46643BF45E}" name="CARTERA" dataDxfId="2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0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9" tableBorderDxfId="278">
  <autoFilter ref="J8:AK78" xr:uid="{9F0A99F2-3C50-482B-B8B8-6D475831019E}"/>
  <tableColumns count="28">
    <tableColumn id="2" xr3:uid="{FD017399-1781-4BF7-BF22-C61DBDB7CC6F}" name="AL_AC" dataDxfId="277"/>
    <tableColumn id="3" xr3:uid="{EE681579-D463-48E9-A57F-B73D04925E37}" name="CLASIFICACIÓN" dataDxfId="276"/>
    <tableColumn id="1" xr3:uid="{DDD85E5B-35ED-4EC0-8A85-7316C4176729}" name="SUPERVISOR" dataDxfId="275"/>
    <tableColumn id="6" xr3:uid="{3B45E8CF-4BCD-492C-B1A3-3E157855AA4E}" name="RECUPERO" dataDxfId="274"/>
    <tableColumn id="7" xr3:uid="{2D762908-0860-493B-A482-9514EAD41E9B}" name="META" dataDxfId="273"/>
    <tableColumn id="4" xr3:uid="{B03F71B4-D73E-47CB-8F19-B1EBCB980D51}" name="ASER_" dataDxfId="272"/>
    <tableColumn id="8" xr3:uid="{DADEF8E1-B4EF-4A54-BDEA-772F65B2659B}" name="1-Oct" dataDxfId="271"/>
    <tableColumn id="9" xr3:uid="{09759773-B387-4885-980B-3377FCF2784C}" name="2-Oct" dataDxfId="270"/>
    <tableColumn id="10" xr3:uid="{0BEF3C74-7822-4935-9DEF-DBB8EF94B2E8}" name="3-Oct" dataDxfId="269"/>
    <tableColumn id="11" xr3:uid="{AB623BA8-8BC3-4899-82B4-0D2F75C64AC1}" name="6-Oct" dataDxfId="268"/>
    <tableColumn id="12" xr3:uid="{F3FF380C-FA1C-400D-953D-2426EC1D78FF}" name="7-Oct" dataDxfId="267"/>
    <tableColumn id="13" xr3:uid="{513A526B-B8DC-4F0A-BB71-A3C5DCBEE598}" name="9-Oct" dataDxfId="266"/>
    <tableColumn id="14" xr3:uid="{FE79AC7F-62E7-4115-BE1B-AAF936521653}" name="10-Oct" dataDxfId="265"/>
    <tableColumn id="15" xr3:uid="{68C170E4-F271-468B-91F8-3408D287CC52}" name="13-Oct" dataDxfId="264"/>
    <tableColumn id="16" xr3:uid="{AD7DCB27-1227-49CE-B962-67316F312A49}" name="14-Oct" dataDxfId="263"/>
    <tableColumn id="17" xr3:uid="{A28A426F-20DF-4E28-817D-D45F6DE67B10}" name="15-Oct" dataDxfId="262"/>
    <tableColumn id="18" xr3:uid="{E8A185AF-1E28-4F0F-9855-74F54DBD006B}" name="16-Oct" dataDxfId="261"/>
    <tableColumn id="19" xr3:uid="{63732328-29EA-40C6-ACD8-4B4DD4B4CF86}" name="17-Oct" dataDxfId="260"/>
    <tableColumn id="20" xr3:uid="{310FCF67-D23C-4020-A281-2A5E20DFB23F}" name="20-Oct" dataDxfId="259"/>
    <tableColumn id="21" xr3:uid="{C17C4587-18F5-4FBD-868F-EBEC86A07A20}" name="21-Oct" dataDxfId="258"/>
    <tableColumn id="22" xr3:uid="{A943FEC5-F867-455B-820F-28C4395DB276}" name="22-Oct" dataDxfId="257"/>
    <tableColumn id="23" xr3:uid="{A8FFD2FC-7F1E-4386-AF41-D5EEEF19CDD0}" name="23-Oct" dataDxfId="256"/>
    <tableColumn id="24" xr3:uid="{ADF6FE87-D285-4286-AA45-3909EFB078E5}" name="24-Oct" dataDxfId="255"/>
    <tableColumn id="25" xr3:uid="{2F0BE83F-F151-4F99-839F-143CA77B5B85}" name="27-Oct" dataDxfId="254"/>
    <tableColumn id="26" xr3:uid="{380107E6-E719-4EEB-80BE-3FC920AAB0D8}" name="28-Oct" dataDxfId="253"/>
    <tableColumn id="27" xr3:uid="{E4578405-DBB6-4571-976F-D9686E90472D}" name="29-Oct" dataDxfId="252"/>
    <tableColumn id="28" xr3:uid="{C03A0B6A-D740-474A-B5C0-16AD1C50D0EF}" name="30-Oct" dataDxfId="251"/>
    <tableColumn id="29" xr3:uid="{ABC45238-95B8-44E1-B32D-323E0E09BD1E}" name="31-Oct" dataDxfId="25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9" dataDxfId="247" headerRowBorderDxfId="248" tableBorderDxfId="246" totalsRowBorderDxfId="245">
  <autoFilter ref="AM8:BM16" xr:uid="{5954078F-00B5-453B-BA4F-96D1B0651C11}"/>
  <tableColumns count="27">
    <tableColumn id="5" xr3:uid="{FF5E1E87-686F-47B4-BFF5-1EFD8B824238}" name="META SUPER" dataDxfId="244">
      <calculatedColumnFormula>VLOOKUP($J$3&amp;$K$3&amp;DITE_OCTUBRE_2025[[#This Row],[SUPER]],TablaMeta[],5,0)</calculatedColumnFormula>
    </tableColumn>
    <tableColumn id="1" xr3:uid="{2B34CFC4-0C9F-41CE-999A-2588C7446A9F}" name="RECUPERO SUPERVISOR" dataDxfId="243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1"/>
    <tableColumn id="6" xr3:uid="{949DC2F4-4585-4646-A396-157D2DF8052D}" name="1-Oct" dataDxfId="240"/>
    <tableColumn id="7" xr3:uid="{97391D14-7779-42A7-9DB8-C0989C430B43}" name="2-Oct" dataDxfId="239"/>
    <tableColumn id="8" xr3:uid="{6354D769-4310-45AC-8145-E44CED72B4A9}" name="3-Oct" dataDxfId="238"/>
    <tableColumn id="9" xr3:uid="{4656D04C-0F05-4626-AF66-C82B40AEFAD8}" name="6-Oct" dataDxfId="237"/>
    <tableColumn id="10" xr3:uid="{7D1ED70B-0155-4C0E-8A2F-37B332A6F313}" name="7-Oct" dataDxfId="236"/>
    <tableColumn id="11" xr3:uid="{0111FAC8-499F-4CC3-8375-0BF99A4C35FA}" name="9-Oct" dataDxfId="235"/>
    <tableColumn id="12" xr3:uid="{C0C00B80-78A4-43E2-93D4-3EE00B3626FF}" name="10-Oct" dataDxfId="234"/>
    <tableColumn id="13" xr3:uid="{83880E56-1497-4302-8CA7-1D39E0DC1A97}" name="13-Oct" dataDxfId="233"/>
    <tableColumn id="14" xr3:uid="{BE01EA14-2F15-437D-A238-21FF4B75A0DE}" name="14-Oct" dataDxfId="232"/>
    <tableColumn id="15" xr3:uid="{EB92F6CE-8ACE-4537-AECA-46B61474948E}" name="15-Oct" dataDxfId="231"/>
    <tableColumn id="16" xr3:uid="{6D6490DB-3DEB-438C-AB40-C97EC626F0BE}" name="16-Oct" dataDxfId="230"/>
    <tableColumn id="17" xr3:uid="{0392FF10-F85D-41D2-8460-C3A186218696}" name="17-Oct" dataDxfId="229"/>
    <tableColumn id="18" xr3:uid="{A5448450-2F70-4B3F-AA25-3C4713BF2DE8}" name="20-Oct" dataDxfId="228"/>
    <tableColumn id="19" xr3:uid="{3D252296-5BDD-4576-BACF-EBAA4EDD5204}" name="21-Oct" dataDxfId="227"/>
    <tableColumn id="20" xr3:uid="{23EB3C4F-7D5A-4D3B-8B24-D8DE6128BA5F}" name="22-Oct" dataDxfId="226"/>
    <tableColumn id="21" xr3:uid="{129CAF30-1851-4238-9880-454B24575BB9}" name="23-Oct" dataDxfId="225"/>
    <tableColumn id="22" xr3:uid="{72C02609-42DC-4EDE-B4E1-44D533A24355}" name="24-Oct" dataDxfId="224"/>
    <tableColumn id="23" xr3:uid="{9123D15C-9492-4356-8328-1BE17F140523}" name="27-Oct" dataDxfId="223"/>
    <tableColumn id="24" xr3:uid="{9D5D7ED1-F248-4C81-8326-BBA9C067C915}" name="28-Oct" dataDxfId="222"/>
    <tableColumn id="25" xr3:uid="{AF14494A-3DA5-4A85-BD20-353698E70147}" name="29-Oct" dataDxfId="221"/>
    <tableColumn id="26" xr3:uid="{B48EAE26-54B8-4E0C-A4A1-6956DA0D148E}" name="30-Oct" dataDxfId="220"/>
    <tableColumn id="27" xr3:uid="{85AC05C5-FE82-41A6-837C-F1F547FD8C2F}" name="31-Oct" dataDxfId="219"/>
    <tableColumn id="3" xr3:uid="{1CA2638D-96F9-4A0C-980A-6DAE6545AFFA}" name="CARTERA" dataDxfId="218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7" tableBorderDxfId="216">
  <autoFilter ref="J8:AJ68" xr:uid="{DAB8FAFE-224D-43C2-8CC5-F1C1350990D2}"/>
  <tableColumns count="27">
    <tableColumn id="2" xr3:uid="{47BD346F-18D2-49E6-8AEE-939CBC049365}" name="AL_AC" dataDxfId="215"/>
    <tableColumn id="3" xr3:uid="{855F5F44-294A-4871-9840-A24614956994}" name="CLASIFICACIÓN" dataDxfId="214"/>
    <tableColumn id="5" xr3:uid="{9D944B93-5BF5-4B70-A89F-707C3D5946DA}" name="SUPERVISOR" dataDxfId="213"/>
    <tableColumn id="6" xr3:uid="{C0A22187-40B7-435A-ABDA-27944F0D7030}" name="RECUPERO" dataDxfId="212"/>
    <tableColumn id="7" xr3:uid="{72E7F13E-9273-4AED-98D2-5508FB4A326C}" name="META" dataDxfId="211"/>
    <tableColumn id="30" xr3:uid="{CFEB99FE-9EED-4763-A696-5BC3DA916AC5}" name="ASER_"/>
    <tableColumn id="8" xr3:uid="{00AE5065-FE4D-45E6-A294-E826836A1E33}" name="3-Nov" dataDxfId="210"/>
    <tableColumn id="9" xr3:uid="{EF6C35AD-ACD8-4C7F-8937-91D53147656D}" name="4-Nov" dataDxfId="209"/>
    <tableColumn id="10" xr3:uid="{CF32F196-CA95-4750-A946-3E0AC1A85184}" name="5-Nov" dataDxfId="208"/>
    <tableColumn id="11" xr3:uid="{9F563EAD-A249-4851-B979-F5575DE957AB}" name="6-Nov" dataDxfId="207"/>
    <tableColumn id="12" xr3:uid="{D6A6323F-D160-499D-BD7C-7C323AE07CB0}" name="7-Nov" dataDxfId="206"/>
    <tableColumn id="13" xr3:uid="{D8839D7F-77FA-4448-ADBC-6D52D4F61BF2}" name="10-Nov" dataDxfId="205"/>
    <tableColumn id="14" xr3:uid="{46BCBBD6-EB67-46A1-A356-989FA4845EF7}" name="11-Nov" dataDxfId="204"/>
    <tableColumn id="15" xr3:uid="{B50A5F7B-5C7E-48C1-80DA-278B6510B811}" name="12-Nov" dataDxfId="203"/>
    <tableColumn id="16" xr3:uid="{05796B28-1DD1-422E-9658-78C2FB73FD83}" name="13-Nov" dataDxfId="202"/>
    <tableColumn id="17" xr3:uid="{DB0D6520-FFC2-440C-B97F-9604384ED84D}" name="14-Nov" dataDxfId="201"/>
    <tableColumn id="18" xr3:uid="{50423629-1D31-4CC8-B9D0-046394DFED68}" name="17-Nov" dataDxfId="200"/>
    <tableColumn id="19" xr3:uid="{80B70DB0-A059-4A28-A799-0529D6BF1263}" name="18-Nov" dataDxfId="199"/>
    <tableColumn id="20" xr3:uid="{CE0AE96C-2D78-4B18-ADD7-C86E26CE69AB}" name="19-Nov" dataDxfId="198"/>
    <tableColumn id="21" xr3:uid="{D6CA8ADF-F50B-4822-B7AD-A49AC8CD28E8}" name="20-Nov" dataDxfId="197"/>
    <tableColumn id="22" xr3:uid="{8D2522DF-F1BC-4031-89AD-8B4B3515396A}" name="21-Nov" dataDxfId="196"/>
    <tableColumn id="23" xr3:uid="{293ABA54-17AB-40AD-A5F9-E0308A358390}" name="24-Nov" dataDxfId="195"/>
    <tableColumn id="24" xr3:uid="{099B62F0-F67D-4CF2-8C6A-AD383B297F15}" name="25-Nov" dataDxfId="194"/>
    <tableColumn id="25" xr3:uid="{104E6C24-1381-41DA-BF76-0DD6D49DF0C1}" name="26-Nov" dataDxfId="193"/>
    <tableColumn id="26" xr3:uid="{095F601D-F187-4396-A356-C09936718FF5}" name="27-Nov" dataDxfId="192"/>
    <tableColumn id="27" xr3:uid="{4F9FCA77-406D-4319-913A-82D308726F04}" name="28-Nov" dataDxfId="191"/>
    <tableColumn id="28" xr3:uid="{5825F9EE-936A-4C38-B210-9DA3DA553F75}" name="29-Nov" dataDxfId="1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9"/>
    <tableColumn id="2" xr3:uid="{7E004A30-FB94-4ABB-88FD-3005F8FA00C6}" name="ASESOR_CRR" dataDxfId="188"/>
    <tableColumn id="3" xr3:uid="{679C21D4-8623-41D0-82CA-284D4E24A873}" name="RECUP"/>
    <tableColumn id="4" xr3:uid="{486641C9-82E5-4121-AF8C-05900E5003FF}" name="ALCANCE" dataDxfId="187"/>
    <tableColumn id="7" xr3:uid="{AA9D9715-8EBE-4ECB-8BB4-3F41AF689173}" name="SUPER2" dataDxfId="186"/>
    <tableColumn id="5" xr3:uid="{DDD5C800-04E2-4D8A-8C83-C410D5DF7F70}" name="ASESOR" dataDxfId="185"/>
    <tableColumn id="6" xr3:uid="{88DDFA81-E306-4531-9C28-1EEEFB91AC37}" name="RECUPERO" dataDxfId="1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3" dataDxfId="182">
  <autoFilter ref="AL8:BK14" xr:uid="{EBC613B8-DDA0-40C2-A4A1-8722CD61E9A4}"/>
  <tableColumns count="26">
    <tableColumn id="5" xr3:uid="{074B6FAA-838C-491D-A02E-1DD85446A037}" name="META SUPER" dataDxfId="181"/>
    <tableColumn id="2" xr3:uid="{39564DF7-490C-4B42-BA0D-A0C7965369AD}" name="RECUPERO SUPERVISOR" dataDxfId="180"/>
    <tableColumn id="3" xr3:uid="{714DADEA-706C-4919-B3C2-F0BF1111E161}" name="ALCANCE SUPERVISOR" dataDxfId="179"/>
    <tableColumn id="1" xr3:uid="{9452BB90-F5DE-4B57-AF8A-BBAB41BDA625}" name="SUPER" dataDxfId="178"/>
    <tableColumn id="6" xr3:uid="{87C598B5-62D4-4EE7-861E-EEAA52C00585}" name="3-Nov" dataDxfId="177"/>
    <tableColumn id="7" xr3:uid="{633891A0-1EBF-4F76-A7F4-F66318664C43}" name="4-Nov" dataDxfId="176"/>
    <tableColumn id="8" xr3:uid="{0592F328-9F13-4B6C-80C9-E9F1845891CB}" name="5-Nov" dataDxfId="175"/>
    <tableColumn id="9" xr3:uid="{AE7882D8-BBFD-45AE-B2CB-28F66322BAEE}" name="6-Nov" dataDxfId="174"/>
    <tableColumn id="10" xr3:uid="{05F48497-7C3E-4EF2-8908-E3DDE502B309}" name="7-Nov" dataDxfId="173"/>
    <tableColumn id="11" xr3:uid="{BD05847D-8156-476D-9D43-53BF9B333675}" name="10-Nov" dataDxfId="172"/>
    <tableColumn id="12" xr3:uid="{407098C8-B89E-46C0-9B9A-DA4AD2929032}" name="11-Nov" dataDxfId="171"/>
    <tableColumn id="13" xr3:uid="{91FC56B9-68A8-46E6-AF86-C055E5241ADE}" name="12-Nov" dataDxfId="170"/>
    <tableColumn id="14" xr3:uid="{E1FFC0DE-105F-4D85-B671-ACC24555978C}" name="13-Nov" dataDxfId="169"/>
    <tableColumn id="15" xr3:uid="{6D9CB553-B7A7-4211-8DDF-E67D0F75BD0A}" name="14-Nov" dataDxfId="168"/>
    <tableColumn id="16" xr3:uid="{C060B537-6CE4-430B-8A22-7A540BACE464}" name="17-Nov" dataDxfId="167"/>
    <tableColumn id="17" xr3:uid="{4C8D59DE-F0E8-4B3F-8552-A394ADA4C013}" name="18-Nov" dataDxfId="166"/>
    <tableColumn id="18" xr3:uid="{3AB7DFB9-4558-4621-AB3C-3891ECC67DB4}" name="19-Nov" dataDxfId="165"/>
    <tableColumn id="19" xr3:uid="{ECC2D027-50E3-4374-BA37-6384A463E763}" name="20-Nov" dataDxfId="164"/>
    <tableColumn id="20" xr3:uid="{03C4446D-2883-4E24-87C6-489668916C57}" name="21-Nov" dataDxfId="163"/>
    <tableColumn id="21" xr3:uid="{1D103BD3-6849-47BB-B1AD-9FF31C3432E4}" name="24-Nov" dataDxfId="162"/>
    <tableColumn id="22" xr3:uid="{E2A6B954-BE7E-4918-9A92-245143E3726C}" name="25-Nov" dataDxfId="161"/>
    <tableColumn id="23" xr3:uid="{3BE5D700-08A4-480A-8651-AFBBD596763A}" name="26-Nov" dataDxfId="160"/>
    <tableColumn id="24" xr3:uid="{16A1ECF5-0D22-4B11-B95E-D5BF2A42B1A3}" name="27-Nov" dataDxfId="159"/>
    <tableColumn id="25" xr3:uid="{AACA19B9-FD00-4B90-8B58-181F058F24E3}" name="28-Nov" dataDxfId="158"/>
    <tableColumn id="26" xr3:uid="{2DE2D547-EE6E-49C4-858B-C4D674245BFC}" name="29-Nov" dataDxfId="157"/>
    <tableColumn id="4" xr3:uid="{9AD4619F-F825-4B54-8AE2-92E8B9E9E57F}" name="CARTERA" dataDxfId="1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5" tableBorderDxfId="154">
  <autoFilter ref="J8:AI59" xr:uid="{90FB4C0E-F2DE-4EDC-B1EC-681DEA1C3B06}"/>
  <tableColumns count="26">
    <tableColumn id="5" xr3:uid="{B4C25367-266D-4CFD-B126-E990F1B705B9}" name="AL_AC" dataDxfId="153"/>
    <tableColumn id="2" xr3:uid="{B5D97F6A-AE7C-4FC3-8428-5737699DFEB1}" name="CLASIFICACIÓN" dataDxfId="152"/>
    <tableColumn id="3" xr3:uid="{BB03A19C-EA5E-4A7C-9910-2B74FE663EFC}" name="SUPERVISOR" dataDxfId="151"/>
    <tableColumn id="1" xr3:uid="{47FCFB9B-5515-45CC-BFF9-2785144AD854}" name="RECUPERO" dataDxfId="150"/>
    <tableColumn id="6" xr3:uid="{ED7BE75E-3624-4159-BFE7-645CEA862C3E}" name="META" dataDxfId="149"/>
    <tableColumn id="7" xr3:uid="{AD05A858-B012-4836-80E5-BF630A338442}" name="ASER_" dataDxfId="148"/>
    <tableColumn id="4" xr3:uid="{6792E8BB-5B6A-4E20-BC71-7F342FD1DE33}" name="1-Dic" dataDxfId="147"/>
    <tableColumn id="8" xr3:uid="{AFF95CFC-A6A6-4F82-9A47-D8F9735B080F}" name="2-Dic" dataDxfId="146"/>
    <tableColumn id="9" xr3:uid="{3EE2031A-4396-4C20-9B21-B423FD7A4983}" name="3-Dic" dataDxfId="145"/>
    <tableColumn id="10" xr3:uid="{98A61AE3-7932-414B-AE75-E4B9F37090B7}" name="4-Dic" dataDxfId="144"/>
    <tableColumn id="11" xr3:uid="{2B37FA03-0832-40E1-966B-188EC131A687}" name="5-Dic" dataDxfId="143"/>
    <tableColumn id="12" xr3:uid="{9A4E011C-C4A7-4F49-AD1B-BB28BEA4BF8C}" name="10-Dic" dataDxfId="142"/>
    <tableColumn id="13" xr3:uid="{EFB94F58-F00C-45C8-B4D0-E0C1802DF92E}" name="11-Dic" dataDxfId="141"/>
    <tableColumn id="14" xr3:uid="{F8800705-9DF6-4EEA-8D67-8321AE1E80D1}" name="12-Dic" dataDxfId="140"/>
    <tableColumn id="15" xr3:uid="{7B6D79FE-5D1B-462C-8037-0CACAB6F3911}" name="15-Dic" dataDxfId="139"/>
    <tableColumn id="16" xr3:uid="{E0E24420-1BF8-4BED-A5CC-D5EF1C7DF685}" name="16-Dic" dataDxfId="138"/>
    <tableColumn id="17" xr3:uid="{871FA82C-5019-42EF-A529-D11DB848F55F}" name="17-Dic" dataDxfId="137"/>
    <tableColumn id="18" xr3:uid="{388429A9-C1D2-4EE1-BB12-A7C9C48AA9F0}" name="18-Dic" dataDxfId="136"/>
    <tableColumn id="19" xr3:uid="{6D1522B5-D820-4F42-ADD5-A6062E68E06A}" name="19-Dic" dataDxfId="135"/>
    <tableColumn id="20" xr3:uid="{A78EF6CB-6A5A-488F-8EC5-34C0267191BD}" name="22-Dic" dataDxfId="134"/>
    <tableColumn id="21" xr3:uid="{0817989E-B5E4-435D-99FF-C9E1A1D429CD}" name="23-Dic" dataDxfId="133"/>
    <tableColumn id="22" xr3:uid="{5AE7BF00-6E17-4434-AFC3-A082971963E9}" name="24-Dic" dataDxfId="132"/>
    <tableColumn id="23" xr3:uid="{AC4528BB-516C-4650-8587-2267B9400C8D}" name="26-Dic" dataDxfId="131"/>
    <tableColumn id="24" xr3:uid="{AB7921F2-B36A-4ABC-9DBC-BB0EC20ACC62}" name="29-Dic" dataDxfId="130"/>
    <tableColumn id="25" xr3:uid="{5D1446EA-3DB7-4807-AE25-EB2149040D6D}" name="30-Dic" dataDxfId="129"/>
    <tableColumn id="26" xr3:uid="{B5F2A170-57DC-49D6-9752-24386332D295}" name="31-Dic" dataDxfId="128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7">
  <autoFilter ref="A2:G53" xr:uid="{0A33CB5E-7EB5-4C86-9959-A823C2BDBBB9}"/>
  <tableColumns count="7">
    <tableColumn id="1" xr3:uid="{51989F96-0689-4D57-8685-B8A3DF492A97}" name="SUPER" dataDxfId="126"/>
    <tableColumn id="2" xr3:uid="{C1D8B208-A530-42D3-A6B3-202247844AC6}" name="ASESOR_CRR" dataDxfId="125"/>
    <tableColumn id="5" xr3:uid="{0E2E2A96-2FDE-425E-A454-24F26F26F817}" name="RECUP" dataDxfId="124"/>
    <tableColumn id="6" xr3:uid="{99265ED5-3CFF-4A20-97B4-3560EE99C717}" name="ALCANCE" dataDxfId="123"/>
    <tableColumn id="7" xr3:uid="{374D40BE-0CEA-496A-A350-4762CACC979E}" name="SUPER2" dataDxfId="122"/>
    <tableColumn id="3" xr3:uid="{CE2FC99C-C2FA-4CF8-B4D5-38DB34F6C4C0}" name="ASESOR"/>
    <tableColumn id="4" xr3:uid="{1034AC9B-8A72-4332-A474-8471A1B8C391}" name="RECUPERO" dataDxfId="12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0" dataDxfId="118" headerRowBorderDxfId="119" tableBorderDxfId="117" totalsRowBorderDxfId="116">
  <autoFilter ref="AK8:BI13" xr:uid="{85547817-F0EB-410B-A548-9876F8A51100}"/>
  <tableColumns count="25">
    <tableColumn id="2" xr3:uid="{68E67A80-18A4-4734-A9E7-E6917BDD1EDB}" name="META SUPER" dataDxfId="115"/>
    <tableColumn id="3" xr3:uid="{DED03312-7BDA-4CEA-9273-AA5DB2237A5F}" name="RECUPERO SUPERVISOR" dataDxfId="114"/>
    <tableColumn id="4" xr3:uid="{5A956735-F760-4B1F-B874-402D928B71EA}" name="ALCANCE SUPERVISOR" dataDxfId="113"/>
    <tableColumn id="1" xr3:uid="{ED2A948C-9442-4C47-9BE9-277A3D6239D3}" name="SUPER" dataDxfId="112"/>
    <tableColumn id="6" xr3:uid="{6E784300-7704-4F45-8E90-F7C2D4F71F66}" name="1-Dic" dataDxfId="111"/>
    <tableColumn id="7" xr3:uid="{EA789C05-CA47-4D66-B493-7D6222022389}" name="2-Dic" dataDxfId="110"/>
    <tableColumn id="8" xr3:uid="{4ACB3C1D-600B-4503-9368-987BC1B3B0EA}" name="3-Dic" dataDxfId="109"/>
    <tableColumn id="9" xr3:uid="{B5C8B277-5A83-47A1-95FD-A620D749E785}" name="4-Dic" dataDxfId="108"/>
    <tableColumn id="10" xr3:uid="{FB101921-E892-41E0-B8B7-4141F51A83BB}" name="5-Dic" dataDxfId="107"/>
    <tableColumn id="11" xr3:uid="{C777EEA2-F048-439C-9EA1-0C4C731AA6E9}" name="10-Dic" dataDxfId="106"/>
    <tableColumn id="12" xr3:uid="{7AA80CD7-0570-4507-8C49-9CF331F01C83}" name="11-Dic" dataDxfId="105"/>
    <tableColumn id="13" xr3:uid="{F115F6D4-E69D-46D7-AD4B-F13AFDF74268}" name="12-Dic" dataDxfId="104"/>
    <tableColumn id="14" xr3:uid="{393E1035-13E1-4131-B853-53B4CA536CF0}" name="15-Dic" dataDxfId="103"/>
    <tableColumn id="15" xr3:uid="{7FF1CB48-1402-460C-BDDE-C67F81F66807}" name="16-Dic" dataDxfId="102"/>
    <tableColumn id="16" xr3:uid="{419173FA-3C44-4167-9CA2-3C07CF180C9B}" name="17-Dic" dataDxfId="101"/>
    <tableColumn id="17" xr3:uid="{A8A10E2B-AFD7-46D0-8149-9A05D1EC2C03}" name="18-Dic" dataDxfId="100"/>
    <tableColumn id="18" xr3:uid="{CF29209E-568F-4788-AE4E-864CF179A3F5}" name="19-Dic" dataDxfId="99"/>
    <tableColumn id="19" xr3:uid="{C33D5154-B635-4235-8170-2F374C119543}" name="22-Dic" dataDxfId="98"/>
    <tableColumn id="20" xr3:uid="{70E870EC-47B5-4461-AC8F-7662212D49E0}" name="23-Dic" dataDxfId="97"/>
    <tableColumn id="21" xr3:uid="{2215DAF3-2DFC-47A4-940A-DC348054A7EB}" name="24-Dic" dataDxfId="96"/>
    <tableColumn id="22" xr3:uid="{BE707551-BD9D-4E46-9F38-1BF8DA272627}" name="26-Dic" dataDxfId="95"/>
    <tableColumn id="23" xr3:uid="{BA6108F0-3F12-4B54-8E19-7FF232FA9893}" name="29-Dic" dataDxfId="94"/>
    <tableColumn id="24" xr3:uid="{B18366FB-64C7-4779-8DB9-91A30E111223}" name="30-Dic" dataDxfId="93"/>
    <tableColumn id="25" xr3:uid="{8BD30A4B-DE19-4C3A-8A9E-7FFE10B8C56B}" name="31-Dic" dataDxfId="92"/>
    <tableColumn id="5" xr3:uid="{1A8ADD20-D8A3-4981-B322-7C16CBD19ABB}" name="CARTERA" dataDxfId="9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0" tableBorderDxfId="89">
  <autoFilter ref="J8:AK57" xr:uid="{C43AC382-896C-48E3-967E-003D8C3BB4E1}"/>
  <tableColumns count="28">
    <tableColumn id="5" xr3:uid="{3070F4BF-8DA0-42C9-A329-60BF3937C6CD}" name="AL_AC" dataDxfId="88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7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6">
      <calculatedColumnFormula>IFERROR(VLOOKUP(DATA_ENERO_2026[[#This Row],[ASER_]],$B:$G,4,0),"")</calculatedColumnFormula>
    </tableColumn>
    <tableColumn id="1" xr3:uid="{9CEE94D1-F610-44F2-BECC-051BA76BFF42}" name="RECUPERO" dataDxfId="85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4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3"/>
    <tableColumn id="4" xr3:uid="{DA0D3C8E-070D-4088-AECD-5F2EBC6508EA}" name="2-Ene" dataDxfId="82"/>
    <tableColumn id="8" xr3:uid="{D7FBF1F2-5A46-485F-925D-86EC9088EE46}" name="5-Ene" dataDxfId="81"/>
    <tableColumn id="9" xr3:uid="{98D48677-E650-4067-8686-1CC9080B6D71}" name="6-Ene" dataDxfId="80"/>
    <tableColumn id="10" xr3:uid="{A974A4A9-21AF-43B2-9C93-C6F103E8C411}" name="7-Ene" dataDxfId="79"/>
    <tableColumn id="11" xr3:uid="{D058D028-4AAB-47B9-A7D3-876CEDD146AA}" name="8-Ene" dataDxfId="78"/>
    <tableColumn id="12" xr3:uid="{307618CA-E43D-42A3-8C03-88388003A5BF}" name="9-Ene" dataDxfId="77"/>
    <tableColumn id="13" xr3:uid="{65D16E27-3C15-4385-9A4F-B28821EF4DF6}" name="12-Ene" dataDxfId="76"/>
    <tableColumn id="14" xr3:uid="{5A29EA5C-756B-4F6D-B764-BBEF2AB98C7D}" name="13-Ene" dataDxfId="75"/>
    <tableColumn id="15" xr3:uid="{3B9CE493-BFF8-40F7-8EBA-E6D80D76579A}" name="14-Ene" dataDxfId="74"/>
    <tableColumn id="16" xr3:uid="{AEBDE2A8-76B9-42D9-9059-4EA0D9C9EF1E}" name="15-Ene" dataDxfId="73"/>
    <tableColumn id="17" xr3:uid="{0874DB56-268A-4369-AFDE-AC61ECA55C23}" name="16-Ene" dataDxfId="72"/>
    <tableColumn id="18" xr3:uid="{E7197C37-94F8-4DE8-B898-F87CE13A355A}" name="19-Ene" dataDxfId="71"/>
    <tableColumn id="19" xr3:uid="{0266C1AC-EA27-4324-B7B0-8AB3B4A997D1}" name="20-Ene" dataDxfId="70"/>
    <tableColumn id="20" xr3:uid="{645E39B2-DC80-4E66-9458-0C362658FA9E}" name="21-Ene" dataDxfId="69"/>
    <tableColumn id="21" xr3:uid="{D0A909F0-E9C1-4BFB-A1C7-251196BA5DC0}" name="22-Ene" dataDxfId="68"/>
    <tableColumn id="22" xr3:uid="{CD196172-6AE3-4DE5-A06F-949E71EBEB0F}" name="23-Ene" dataDxfId="67"/>
    <tableColumn id="23" xr3:uid="{F4228B36-78DF-4ADD-88C1-72728A3AEB39}" name="26-Ene" dataDxfId="66"/>
    <tableColumn id="24" xr3:uid="{E94F1207-568E-4B89-8DB0-06CEBC5513E0}" name="27-Ene" dataDxfId="65"/>
    <tableColumn id="25" xr3:uid="{8DA8D870-2FE5-422D-A1EF-11DB81F83097}" name="28-Ene" dataDxfId="64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2">
  <autoFilter ref="A2:G51" xr:uid="{AB1967BC-98FE-49B9-B96E-7F91454A75DF}"/>
  <tableColumns count="7">
    <tableColumn id="1" xr3:uid="{E8C9BFA3-A821-4545-B3F0-1D85338E10F0}" name="SUPER" dataDxfId="61">
      <calculatedColumnFormula>IFERROR(VLOOKUP(D1_ENERO_2026[[#This Row],[ASESOR_CRR]],PLANTILLA_ACTUAL[],2,0),"")</calculatedColumnFormula>
    </tableColumn>
    <tableColumn id="2" xr3:uid="{3FE812CA-3CC6-4126-82E1-67F5FCA4D1F0}" name="ASESOR_CRR" dataDxfId="60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9">
      <calculatedColumnFormula>D1_ENERO_2026[[#This Row],[RECUPERO]]</calculatedColumnFormula>
    </tableColumn>
    <tableColumn id="6" xr3:uid="{504193EF-8C81-4E3C-85B4-7DDC31010511}" name="ALCANCE" dataDxfId="58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7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5" dataDxfId="53" headerRowBorderDxfId="54" tableBorderDxfId="52" totalsRowBorderDxfId="51">
  <autoFilter ref="AM8:BM13" xr:uid="{D9D89D51-DAB1-406D-9BCC-FA9DDE7F1EF0}"/>
  <tableColumns count="27">
    <tableColumn id="2" xr3:uid="{08060355-86C1-47A6-9DB1-6B46E3007B8A}" name="META SUPER" dataDxfId="50">
      <calculatedColumnFormula>VLOOKUP($J$3&amp;$K$3&amp;DITE_ENERO_2026[[#This Row],[SUPER]],TablaMeta[],5,0)</calculatedColumnFormula>
    </tableColumn>
    <tableColumn id="3" xr3:uid="{FDF7E5B8-6E43-422A-BFC9-1CCD7EE7F4E8}" name="RECUPERO SUPERVISOR" dataDxfId="49">
      <calculatedColumnFormula>MAX(DITE_ENERO_2026[[#This Row],[SUPER]:[CARTERA]])</calculatedColumnFormula>
    </tableColumn>
    <tableColumn id="4" xr3:uid="{F9F9E33D-CF47-4A7B-B383-5185C72E6DBF}" name="ALCANCE SUPERVISOR" dataDxfId="4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7"/>
    <tableColumn id="6" xr3:uid="{C6BD95E9-37E9-4C3B-8FAC-71C063D3CCCF}" name="2-Ene" dataDxfId="46"/>
    <tableColumn id="7" xr3:uid="{154D80CB-9358-4F70-B790-869141CEED69}" name="5-Ene" dataDxfId="45"/>
    <tableColumn id="27" xr3:uid="{B1E200F5-8C17-45BD-9A07-4B3CFCF2F55B}" name="6-Ene" dataDxfId="44"/>
    <tableColumn id="26" xr3:uid="{C4A34376-F48F-4D30-891F-680F0DC972B5}" name="7-Ene" dataDxfId="43"/>
    <tableColumn id="8" xr3:uid="{B8634A52-4E10-47C7-A2E2-7268D75FF3B1}" name="8-Ene" dataDxfId="42"/>
    <tableColumn id="9" xr3:uid="{50F52F97-2FFF-429B-8205-9821B5E2DDA3}" name="9-Ene" dataDxfId="41"/>
    <tableColumn id="10" xr3:uid="{6CA0D076-C021-4ECD-9708-296693BD3D20}" name="12-Ene" dataDxfId="40"/>
    <tableColumn id="11" xr3:uid="{60AC6543-9932-43CA-8508-68010867604A}" name="13-Ene" dataDxfId="39"/>
    <tableColumn id="12" xr3:uid="{0838B302-CF6C-41FA-9981-2C61DC3D728B}" name="14-Ene" dataDxfId="38"/>
    <tableColumn id="13" xr3:uid="{26042530-89B3-48FD-877D-23191B67C000}" name="15-Ene" dataDxfId="37"/>
    <tableColumn id="14" xr3:uid="{995CAE1C-81F5-4376-9FBF-9057F92CEBA2}" name="16-Ene" dataDxfId="36"/>
    <tableColumn id="15" xr3:uid="{CE078F22-32E6-477A-8610-B39D8802D198}" name="19-Ene" dataDxfId="35"/>
    <tableColumn id="16" xr3:uid="{E61DEB3E-541F-4914-B1D0-C31E52B10974}" name="20-Ene" dataDxfId="34"/>
    <tableColumn id="17" xr3:uid="{EC1E57C1-8228-4A17-A0ED-ACC28C9F0842}" name="21-Ene" dataDxfId="33"/>
    <tableColumn id="18" xr3:uid="{2DA8EC35-62DF-44D7-9B0C-1DA9FD7CFD91}" name="22-Ene" dataDxfId="32"/>
    <tableColumn id="19" xr3:uid="{302180D2-EA42-43C4-9FEA-201681FA861E}" name="23-Ene" dataDxfId="31"/>
    <tableColumn id="20" xr3:uid="{451825B8-387D-40FA-8E98-2EFAE991267E}" name="26-Ene" dataDxfId="30"/>
    <tableColumn id="21" xr3:uid="{026C2977-2F45-419E-AE54-92E82A6FE474}" name="27-Ene" dataDxfId="29"/>
    <tableColumn id="22" xr3:uid="{3BBAF7E2-3A2C-4E90-AE74-EEF9947AB60E}" name="28-Ene" dataDxfId="28"/>
    <tableColumn id="23" xr3:uid="{8879B076-C842-409F-9B19-61F59EF05584}" name="29-Ene" dataDxfId="27"/>
    <tableColumn id="24" xr3:uid="{AF13A28F-47F7-4494-B809-B096327E1B45}" name="30-Ene" dataDxfId="26"/>
    <tableColumn id="25" xr3:uid="{89BC57AE-7003-4222-9075-CD5FB2129550}" name="31-Ene" dataDxfId="25"/>
    <tableColumn id="5" xr3:uid="{E0FECB44-CCD1-447F-A9BF-090DD9D8B323}" name="CARTERA" dataDxfId="24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3"/>
    <tableColumn id="2" xr3:uid="{4006F32F-EE4A-427A-AF49-74D52FBF6D53}" uniqueName="2" name="PUESTO REAL" queryTableFieldId="10"/>
    <tableColumn id="3" xr3:uid="{E33DD98B-2314-40D0-9DFA-F987324F30A3}" uniqueName="3" name="FEC_NAC" queryTableFieldId="3" dataDxfId="22"/>
    <tableColumn id="4" xr3:uid="{8397B954-43F8-46B6-880D-47B541CAB0B9}" uniqueName="4" name="NOMBRE" queryTableFieldId="4" dataDxfId="21"/>
    <tableColumn id="8" xr3:uid="{C558150D-EEDC-4907-8F09-51F784EDF9BF}" uniqueName="8" name="PUESTO" queryTableFieldId="8" dataDxfId="20"/>
    <tableColumn id="7" xr3:uid="{C74AABE2-4219-45A4-BAE7-8D08B65D7B0D}" uniqueName="7" name="MES" queryTableFieldId="7" dataDxfId="1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topLeftCell="E1" zoomScale="70" zoomScaleNormal="70" workbookViewId="0">
      <selection activeCell="O18" sqref="O1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L1" zoomScale="70" zoomScaleNormal="70" workbookViewId="0">
      <selection activeCell="AY18" sqref="AY1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KENNETH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KIARA CANEPA</v>
      </c>
      <c r="C3" s="37">
        <f>D1_ENERO_2026[[#This Row],[RECUPERO]]</f>
        <v>34233</v>
      </c>
      <c r="D3" s="36">
        <f>IFERROR(D1_ENERO_2026[[#This Row],[RECUP]]/VLOOKUP($J$3&amp;$K$3&amp;D1_ENERO_2026[[#This Row],[SUPER]],TablaMeta[],6,0),"")</f>
        <v>1.226989247311828</v>
      </c>
      <c r="E3" s="36" t="str">
        <f>D1_ENERO_2026[[#This Row],[SUPER]]</f>
        <v>KENNETH</v>
      </c>
      <c r="F3" t="s">
        <v>50</v>
      </c>
      <c r="G3" s="3">
        <v>34233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KENNETH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DAVID SANCHEZ</v>
      </c>
      <c r="C4" s="37">
        <f>D1_ENERO_2026[[#This Row],[RECUPERO]]</f>
        <v>32999</v>
      </c>
      <c r="D4" s="36">
        <f>IFERROR(D1_ENERO_2026[[#This Row],[RECUP]]/VLOOKUP($J$3&amp;$K$3&amp;D1_ENERO_2026[[#This Row],[SUPER]],TablaMeta[],6,0),"")</f>
        <v>1.1827598566308244</v>
      </c>
      <c r="E4" s="36" t="str">
        <f>D1_ENERO_2026[[#This Row],[SUPER]]</f>
        <v>KENNETH</v>
      </c>
      <c r="F4" t="s">
        <v>81</v>
      </c>
      <c r="G4" s="3">
        <v>32999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KENNETH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STWUAR MACURI</v>
      </c>
      <c r="C5" s="37">
        <f>D1_ENERO_2026[[#This Row],[RECUPERO]]</f>
        <v>23388</v>
      </c>
      <c r="D5" s="36">
        <f>IFERROR(D1_ENERO_2026[[#This Row],[RECUP]]/VLOOKUP($J$3&amp;$K$3&amp;D1_ENERO_2026[[#This Row],[SUPER]],TablaMeta[],6,0),"")</f>
        <v>0.8382795698924731</v>
      </c>
      <c r="E5" s="36" t="str">
        <f>D1_ENERO_2026[[#This Row],[SUPER]]</f>
        <v>KENNETH</v>
      </c>
      <c r="F5" t="s">
        <v>34</v>
      </c>
      <c r="G5" s="3">
        <v>23388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KENNETH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FRANK PACORA</v>
      </c>
      <c r="C6" s="37">
        <f>D1_ENERO_2026[[#This Row],[RECUPERO]]</f>
        <v>21205</v>
      </c>
      <c r="D6" s="36">
        <f>IFERROR(D1_ENERO_2026[[#This Row],[RECUP]]/VLOOKUP($J$3&amp;$K$3&amp;D1_ENERO_2026[[#This Row],[SUPER]],TablaMeta[],6,0),"")</f>
        <v>0.76003584229390686</v>
      </c>
      <c r="E6" s="36" t="str">
        <f>D1_ENERO_2026[[#This Row],[SUPER]]</f>
        <v>KENNETH</v>
      </c>
      <c r="F6" t="s">
        <v>106</v>
      </c>
      <c r="G6" s="3">
        <v>21205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KENNETH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MILAGROS QUIO</v>
      </c>
      <c r="C7" s="37">
        <f>D1_ENERO_2026[[#This Row],[RECUPERO]]</f>
        <v>21125</v>
      </c>
      <c r="D7" s="36">
        <f>IFERROR(D1_ENERO_2026[[#This Row],[RECUP]]/VLOOKUP($J$3&amp;$K$3&amp;D1_ENERO_2026[[#This Row],[SUPER]],TablaMeta[],6,0),"")</f>
        <v>0.75716845878136196</v>
      </c>
      <c r="E7" s="36" t="str">
        <f>D1_ENERO_2026[[#This Row],[SUPER]]</f>
        <v>KENNETH</v>
      </c>
      <c r="F7" t="s">
        <v>11</v>
      </c>
      <c r="G7" s="3">
        <v>21125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KENNETH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CARMEN PUMA</v>
      </c>
      <c r="C8" s="37">
        <f>D1_ENERO_2026[[#This Row],[RECUPERO]]</f>
        <v>20950</v>
      </c>
      <c r="D8" s="36">
        <f>IFERROR(D1_ENERO_2026[[#This Row],[RECUP]]/VLOOKUP($J$3&amp;$K$3&amp;D1_ENERO_2026[[#This Row],[SUPER]],TablaMeta[],6,0),"")</f>
        <v>0.75089605734767029</v>
      </c>
      <c r="E8" s="36" t="str">
        <f>D1_ENERO_2026[[#This Row],[SUPER]]</f>
        <v>KENNETH</v>
      </c>
      <c r="F8" t="s">
        <v>19</v>
      </c>
      <c r="G8" s="3">
        <v>20950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KENNETH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DANIEL ZAPATA</v>
      </c>
      <c r="C9" s="37">
        <f>D1_ENERO_2026[[#This Row],[RECUPERO]]</f>
        <v>19910</v>
      </c>
      <c r="D9" s="36">
        <f>IFERROR(D1_ENERO_2026[[#This Row],[RECUP]]/VLOOKUP($J$3&amp;$K$3&amp;D1_ENERO_2026[[#This Row],[SUPER]],TablaMeta[],6,0),"")</f>
        <v>0.71362007168458785</v>
      </c>
      <c r="E9" s="36" t="str">
        <f>D1_ENERO_2026[[#This Row],[SUPER]]</f>
        <v>KENNETH</v>
      </c>
      <c r="F9" t="s">
        <v>80</v>
      </c>
      <c r="G9" s="3">
        <v>19910</v>
      </c>
      <c r="H9"/>
      <c r="J9">
        <f>IF(DATA_ENERO_2026[[#This Row],[ASER_]]="","",VLOOKUP(DATA_ENERO_2026[[#This Row],[ASER_]],$B:$G,3,0))</f>
        <v>0.15714285714285714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JOHAN</v>
      </c>
      <c r="M9">
        <f>IF(DATA_ENERO_2026[[#This Row],[SUPERVISOR]]="","",VLOOKUP(DATA_ENERO_2026[[#This Row],[ASER_]],$B:$G,6,0))</f>
        <v>3850</v>
      </c>
      <c r="N9">
        <f>IF(DATA_ENERO_2026[[#This Row],[RECUPERO]]="","",VLOOKUP($J$3&amp;$K$3&amp;DATA_ENERO_2026[[#This Row],[SUPERVISOR]],TablaMeta[],6,0))</f>
        <v>24500</v>
      </c>
      <c r="O9" t="s">
        <v>40</v>
      </c>
      <c r="P9">
        <v>0</v>
      </c>
      <c r="Q9">
        <v>0</v>
      </c>
      <c r="R9">
        <v>0</v>
      </c>
      <c r="S9">
        <v>0</v>
      </c>
      <c r="T9">
        <v>0</v>
      </c>
      <c r="U9">
        <v>1000</v>
      </c>
      <c r="V9">
        <v>600</v>
      </c>
      <c r="W9">
        <v>200</v>
      </c>
      <c r="X9">
        <v>0</v>
      </c>
      <c r="Y9">
        <v>2050</v>
      </c>
      <c r="AM9" s="11">
        <f>VLOOKUP($J$3&amp;$K$3&amp;DITE_ENERO_2026[[#This Row],[SUPER]],TablaMeta[],5,0)</f>
        <v>431682</v>
      </c>
      <c r="AN9" s="11">
        <f>MAX(DITE_ENERO_2026[[#This Row],[SUPER]:[CARTERA]])</f>
        <v>200156</v>
      </c>
      <c r="AO9" s="17">
        <f>IFERROR(DITE_ENERO_2026[[#This Row],[RECUPERO SUPERVISOR]]/DITE_ENERO_2026[[#This Row],[META SUPER]],"")</f>
        <v>0.46366538331456952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KENNETH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JENY LAZARO</v>
      </c>
      <c r="C10" s="37">
        <f>D1_ENERO_2026[[#This Row],[RECUPERO]]</f>
        <v>7213</v>
      </c>
      <c r="D10" s="36">
        <f>IFERROR(D1_ENERO_2026[[#This Row],[RECUP]]/VLOOKUP($J$3&amp;$K$3&amp;D1_ENERO_2026[[#This Row],[SUPER]],TablaMeta[],6,0),"")</f>
        <v>0.25853046594982076</v>
      </c>
      <c r="E10" s="36" t="str">
        <f>D1_ENERO_2026[[#This Row],[SUPER]]</f>
        <v>KENNETH</v>
      </c>
      <c r="F10" t="s">
        <v>26</v>
      </c>
      <c r="G10" s="3">
        <v>7213</v>
      </c>
      <c r="H10"/>
      <c r="J10">
        <f>IF(DATA_ENERO_2026[[#This Row],[ASER_]]="","",VLOOKUP(DATA_ENERO_2026[[#This Row],[ASER_]],$B:$G,3,0))</f>
        <v>1.1621224489795918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&gt;100%</v>
      </c>
      <c r="L10" t="str">
        <f>IFERROR(VLOOKUP(DATA_ENERO_2026[[#This Row],[ASER_]],$B:$G,4,0),"")</f>
        <v>JOHAN</v>
      </c>
      <c r="M10">
        <f>IF(DATA_ENERO_2026[[#This Row],[SUPERVISOR]]="","",VLOOKUP(DATA_ENERO_2026[[#This Row],[ASER_]],$B:$G,6,0))</f>
        <v>28472</v>
      </c>
      <c r="N10">
        <f>IF(DATA_ENERO_2026[[#This Row],[RECUPERO]]="","",VLOOKUP($J$3&amp;$K$3&amp;DATA_ENERO_2026[[#This Row],[SUPERVISOR]],TablaMeta[],6,0))</f>
        <v>24500</v>
      </c>
      <c r="O10" t="s">
        <v>77</v>
      </c>
      <c r="P10">
        <v>200</v>
      </c>
      <c r="Q10">
        <v>4150</v>
      </c>
      <c r="R10">
        <v>3000</v>
      </c>
      <c r="S10">
        <v>3500</v>
      </c>
      <c r="T10">
        <v>0</v>
      </c>
      <c r="U10">
        <v>400</v>
      </c>
      <c r="V10">
        <v>1222</v>
      </c>
      <c r="W10">
        <v>300</v>
      </c>
      <c r="X10">
        <v>0</v>
      </c>
      <c r="Y10">
        <v>15700</v>
      </c>
      <c r="AM10" s="12">
        <f>VLOOKUP($J$3&amp;$K$3&amp;DITE_ENERO_2026[[#This Row],[SUPER]],TablaMeta[],5,0)</f>
        <v>431682</v>
      </c>
      <c r="AN10" s="12">
        <f>MAX(DITE_ENERO_2026[[#This Row],[SUPER]:[CARTERA]])</f>
        <v>170967</v>
      </c>
      <c r="AO10" s="18">
        <f>IFERROR(DITE_ENERO_2026[[#This Row],[RECUPERO SUPERVISOR]]/DITE_ENERO_2026[[#This Row],[META SUPER]],"")</f>
        <v>0.39604848013120769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KENNETH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JUAN LOZA</v>
      </c>
      <c r="C11" s="37">
        <f>D1_ENERO_2026[[#This Row],[RECUPERO]]</f>
        <v>2392</v>
      </c>
      <c r="D11" s="36">
        <f>IFERROR(D1_ENERO_2026[[#This Row],[RECUP]]/VLOOKUP($J$3&amp;$K$3&amp;D1_ENERO_2026[[#This Row],[SUPER]],TablaMeta[],6,0),"")</f>
        <v>8.57347670250896E-2</v>
      </c>
      <c r="E11" s="36" t="str">
        <f>D1_ENERO_2026[[#This Row],[SUPER]]</f>
        <v>KENNETH</v>
      </c>
      <c r="F11" t="s">
        <v>35</v>
      </c>
      <c r="G11" s="3">
        <v>2392</v>
      </c>
      <c r="H11"/>
      <c r="J11">
        <f>IF(DATA_ENERO_2026[[#This Row],[ASER_]]="","",VLOOKUP(DATA_ENERO_2026[[#This Row],[ASER_]],$B:$G,3,0))</f>
        <v>0.64489795918367343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JOHAN</v>
      </c>
      <c r="M11">
        <f>IF(DATA_ENERO_2026[[#This Row],[SUPERVISOR]]="","",VLOOKUP(DATA_ENERO_2026[[#This Row],[ASER_]],$B:$G,6,0))</f>
        <v>15800</v>
      </c>
      <c r="N11">
        <f>IF(DATA_ENERO_2026[[#This Row],[RECUPERO]]="","",VLOOKUP($J$3&amp;$K$3&amp;DATA_ENERO_2026[[#This Row],[SUPERVISOR]],TablaMeta[],6,0))</f>
        <v>24500</v>
      </c>
      <c r="O11" t="s">
        <v>48</v>
      </c>
      <c r="P11">
        <v>200</v>
      </c>
      <c r="Q11">
        <v>4100</v>
      </c>
      <c r="R11">
        <v>1500</v>
      </c>
      <c r="S11">
        <v>6000</v>
      </c>
      <c r="T11">
        <v>3000</v>
      </c>
      <c r="U11">
        <v>1000</v>
      </c>
      <c r="V11">
        <v>0</v>
      </c>
      <c r="W11">
        <v>0</v>
      </c>
      <c r="X11">
        <v>0</v>
      </c>
      <c r="Y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143971.53</v>
      </c>
      <c r="AO11" s="17">
        <f>IFERROR(DITE_ENERO_2026[[#This Row],[RECUPERO SUPERVISOR]]/DITE_ENERO_2026[[#This Row],[META SUPER]],"")</f>
        <v>0.489682425767831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JIMENA MEDINA</v>
      </c>
      <c r="C12" s="37">
        <f>D1_ENERO_2026[[#This Row],[RECUPERO]]</f>
        <v>434</v>
      </c>
      <c r="D12" s="36">
        <f>IFERROR(D1_ENERO_2026[[#This Row],[RECUP]]/VLOOKUP($J$3&amp;$K$3&amp;D1_ENERO_2026[[#This Row],[SUPER]],TablaMeta[],6,0),"")</f>
        <v>1.5555555555555555E-2</v>
      </c>
      <c r="E12" s="36" t="str">
        <f>D1_ENERO_2026[[#This Row],[SUPER]]</f>
        <v>KENNETH</v>
      </c>
      <c r="F12" t="s">
        <v>37</v>
      </c>
      <c r="G12" s="3">
        <v>434</v>
      </c>
      <c r="H12"/>
      <c r="J12">
        <f>IF(DATA_ENERO_2026[[#This Row],[ASER_]]="","",VLOOKUP(DATA_ENERO_2026[[#This Row],[ASER_]],$B:$G,3,0))</f>
        <v>0.29277551020408166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JOHAN</v>
      </c>
      <c r="M12">
        <f>IF(DATA_ENERO_2026[[#This Row],[SUPERVISOR]]="","",VLOOKUP(DATA_ENERO_2026[[#This Row],[ASER_]],$B:$G,6,0))</f>
        <v>7173</v>
      </c>
      <c r="N12">
        <f>IF(DATA_ENERO_2026[[#This Row],[RECUPERO]]="","",VLOOKUP($J$3&amp;$K$3&amp;DATA_ENERO_2026[[#This Row],[SUPERVISOR]],TablaMeta[],6,0))</f>
        <v>24500</v>
      </c>
      <c r="O12" t="s">
        <v>51</v>
      </c>
      <c r="P12">
        <v>0</v>
      </c>
      <c r="Q12">
        <v>400</v>
      </c>
      <c r="R12">
        <v>0</v>
      </c>
      <c r="S12">
        <v>0</v>
      </c>
      <c r="T12">
        <v>0</v>
      </c>
      <c r="U12">
        <v>4000</v>
      </c>
      <c r="V12">
        <v>2500</v>
      </c>
      <c r="W12">
        <v>0</v>
      </c>
      <c r="X12">
        <v>0</v>
      </c>
      <c r="Y12">
        <v>273</v>
      </c>
      <c r="AM12" s="12">
        <f>VLOOKUP($J$3&amp;$K$3&amp;DITE_ENERO_2026[[#This Row],[SUPER]],TablaMeta[],5,0)</f>
        <v>251174</v>
      </c>
      <c r="AN12" s="12">
        <f>MAX(DITE_ENERO_2026[[#This Row],[SUPER]:[CARTERA]])</f>
        <v>190849</v>
      </c>
      <c r="AO12" s="18">
        <f>IFERROR(DITE_ENERO_2026[[#This Row],[RECUPERO SUPERVISOR]]/DITE_ENERO_2026[[#This Row],[META SUPER]],"")</f>
        <v>0.7598278484238018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JESSICA MELGAREJO</v>
      </c>
      <c r="C13" s="37">
        <f>D1_ENERO_2026[[#This Row],[RECUPERO]]</f>
        <v>44810</v>
      </c>
      <c r="D13" s="36">
        <f>IFERROR(D1_ENERO_2026[[#This Row],[RECUP]]/VLOOKUP($J$3&amp;$K$3&amp;D1_ENERO_2026[[#This Row],[SUPER]],TablaMeta[],6,0),"")</f>
        <v>0.93354166666666671</v>
      </c>
      <c r="E13" s="36" t="str">
        <f>D1_ENERO_2026[[#This Row],[SUPER]]</f>
        <v>SANDY</v>
      </c>
      <c r="F13" t="s">
        <v>96</v>
      </c>
      <c r="G13" s="3">
        <v>44810</v>
      </c>
      <c r="H13"/>
      <c r="J13">
        <f>IF(DATA_ENERO_2026[[#This Row],[ASER_]]="","",VLOOKUP(DATA_ENERO_2026[[#This Row],[ASER_]],$B:$G,3,0))</f>
        <v>0.61089795918367351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&gt;40%</v>
      </c>
      <c r="L13" t="str">
        <f>IFERROR(VLOOKUP(DATA_ENERO_2026[[#This Row],[ASER_]],$B:$G,4,0),"")</f>
        <v>JOHAN</v>
      </c>
      <c r="M13">
        <f>IF(DATA_ENERO_2026[[#This Row],[SUPERVISOR]]="","",VLOOKUP(DATA_ENERO_2026[[#This Row],[ASER_]],$B:$G,6,0))</f>
        <v>14967</v>
      </c>
      <c r="N13">
        <f>IF(DATA_ENERO_2026[[#This Row],[RECUPERO]]="","",VLOOKUP($J$3&amp;$K$3&amp;DATA_ENERO_2026[[#This Row],[SUPERVISOR]],TablaMeta[],6,0))</f>
        <v>24500</v>
      </c>
      <c r="O13" t="s">
        <v>97</v>
      </c>
      <c r="P13">
        <v>0</v>
      </c>
      <c r="Q13">
        <v>0</v>
      </c>
      <c r="R13">
        <v>5900</v>
      </c>
      <c r="S13">
        <v>400</v>
      </c>
      <c r="T13">
        <v>0</v>
      </c>
      <c r="U13">
        <v>2067</v>
      </c>
      <c r="V13">
        <v>500</v>
      </c>
      <c r="W13">
        <v>0</v>
      </c>
      <c r="X13">
        <v>6100</v>
      </c>
      <c r="Y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145998</v>
      </c>
      <c r="AO13" s="17">
        <f>IFERROR(DITE_ENERO_2026[[#This Row],[RECUPERO SUPERVISOR]]/DITE_ENERO_2026[[#This Row],[META SUPER]],"")</f>
        <v>0.49143841956624917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LUIS CENTENO</v>
      </c>
      <c r="C14" s="37">
        <f>D1_ENERO_2026[[#This Row],[RECUPERO]]</f>
        <v>25020</v>
      </c>
      <c r="D14" s="36">
        <f>IFERROR(D1_ENERO_2026[[#This Row],[RECUP]]/VLOOKUP($J$3&amp;$K$3&amp;D1_ENERO_2026[[#This Row],[SUPER]],TablaMeta[],6,0),"")</f>
        <v>0.52124999999999999</v>
      </c>
      <c r="E14" s="36" t="str">
        <f>D1_ENERO_2026[[#This Row],[SUPER]]</f>
        <v>SANDY</v>
      </c>
      <c r="F14" t="s">
        <v>31</v>
      </c>
      <c r="G14" s="3">
        <v>25020</v>
      </c>
      <c r="H14"/>
      <c r="J14">
        <f>IF(DATA_ENERO_2026[[#This Row],[ASER_]]="","",VLOOKUP(DATA_ENERO_2026[[#This Row],[ASER_]],$B:$G,3,0))</f>
        <v>0.71857142857142853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&gt;70%</v>
      </c>
      <c r="L14" t="str">
        <f>IFERROR(VLOOKUP(DATA_ENERO_2026[[#This Row],[ASER_]],$B:$G,4,0),"")</f>
        <v>JOHAN</v>
      </c>
      <c r="M14">
        <f>IF(DATA_ENERO_2026[[#This Row],[SUPERVISOR]]="","",VLOOKUP(DATA_ENERO_2026[[#This Row],[ASER_]],$B:$G,6,0))</f>
        <v>17605</v>
      </c>
      <c r="N14">
        <f>IF(DATA_ENERO_2026[[#This Row],[RECUPERO]]="","",VLOOKUP($J$3&amp;$K$3&amp;DATA_ENERO_2026[[#This Row],[SUPERVISOR]],TablaMeta[],6,0))</f>
        <v>24500</v>
      </c>
      <c r="O14" t="s">
        <v>58</v>
      </c>
      <c r="P14">
        <v>1000</v>
      </c>
      <c r="Q14">
        <v>0</v>
      </c>
      <c r="R14">
        <v>1650</v>
      </c>
      <c r="S14">
        <v>205</v>
      </c>
      <c r="T14">
        <v>11100</v>
      </c>
      <c r="U14">
        <v>0</v>
      </c>
      <c r="V14">
        <v>500</v>
      </c>
      <c r="W14">
        <v>0</v>
      </c>
      <c r="X14">
        <v>2850</v>
      </c>
      <c r="Y14">
        <v>300</v>
      </c>
    </row>
    <row r="15" spans="1:65" x14ac:dyDescent="0.25">
      <c r="A15" s="35" t="str">
        <f>IFERROR(VLOOKUP(D1_ENERO_2026[[#This Row],[ASESOR_CRR]],PLANTILLA_ACTUAL[],2,0),"")</f>
        <v>SANDY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FRANCO HUAMANI</v>
      </c>
      <c r="C15" s="37">
        <f>D1_ENERO_2026[[#This Row],[RECUPERO]]</f>
        <v>23665</v>
      </c>
      <c r="D15" s="36">
        <f>IFERROR(D1_ENERO_2026[[#This Row],[RECUP]]/VLOOKUP($J$3&amp;$K$3&amp;D1_ENERO_2026[[#This Row],[SUPER]],TablaMeta[],6,0),"")</f>
        <v>0.49302083333333335</v>
      </c>
      <c r="E15" s="36" t="str">
        <f>D1_ENERO_2026[[#This Row],[SUPER]]</f>
        <v>SANDY</v>
      </c>
      <c r="F15" t="s">
        <v>24</v>
      </c>
      <c r="G15" s="3">
        <v>23665</v>
      </c>
      <c r="H15"/>
      <c r="J15">
        <f>IF(DATA_ENERO_2026[[#This Row],[ASER_]]="","",VLOOKUP(DATA_ENERO_2026[[#This Row],[ASER_]],$B:$G,3,0))</f>
        <v>0.16632653061224489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JOHAN</v>
      </c>
      <c r="M15">
        <f>IF(DATA_ENERO_2026[[#This Row],[SUPERVISOR]]="","",VLOOKUP(DATA_ENERO_2026[[#This Row],[ASER_]],$B:$G,6,0))</f>
        <v>4075</v>
      </c>
      <c r="N15">
        <f>IF(DATA_ENERO_2026[[#This Row],[RECUPERO]]="","",VLOOKUP($J$3&amp;$K$3&amp;DATA_ENERO_2026[[#This Row],[SUPERVISOR]],TablaMeta[],6,0))</f>
        <v>24500</v>
      </c>
      <c r="O15" t="s">
        <v>55</v>
      </c>
      <c r="P15">
        <v>310</v>
      </c>
      <c r="Q15">
        <v>280</v>
      </c>
      <c r="R15">
        <v>735</v>
      </c>
      <c r="S15">
        <v>500</v>
      </c>
      <c r="T15">
        <v>0</v>
      </c>
      <c r="U15">
        <v>0</v>
      </c>
      <c r="V15">
        <v>0</v>
      </c>
      <c r="W15">
        <v>0</v>
      </c>
      <c r="X15">
        <v>2250</v>
      </c>
      <c r="Y15">
        <v>0</v>
      </c>
      <c r="AV15" s="46"/>
      <c r="AX15" s="46"/>
      <c r="AY15" s="46"/>
    </row>
    <row r="16" spans="1:65" x14ac:dyDescent="0.25">
      <c r="A16" s="35" t="str">
        <f>IFERROR(VLOOKUP(D1_ENERO_2026[[#This Row],[ASESOR_CRR]],PLANTILLA_ACTUAL[],2,0),"")</f>
        <v>SANDY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GIANNINA AGUILAR</v>
      </c>
      <c r="C16" s="37">
        <f>D1_ENERO_2026[[#This Row],[RECUPERO]]</f>
        <v>22570</v>
      </c>
      <c r="D16" s="36">
        <f>IFERROR(D1_ENERO_2026[[#This Row],[RECUP]]/VLOOKUP($J$3&amp;$K$3&amp;D1_ENERO_2026[[#This Row],[SUPER]],TablaMeta[],6,0),"")</f>
        <v>0.47020833333333334</v>
      </c>
      <c r="E16" s="36" t="str">
        <f>D1_ENERO_2026[[#This Row],[SUPER]]</f>
        <v>SANDY</v>
      </c>
      <c r="F16" t="s">
        <v>32</v>
      </c>
      <c r="G16" s="3">
        <v>22570</v>
      </c>
      <c r="H16"/>
      <c r="J16">
        <f>IF(DATA_ENERO_2026[[#This Row],[ASER_]]="","",VLOOKUP(DATA_ENERO_2026[[#This Row],[ASER_]],$B:$G,3,0))</f>
        <v>0.16269387755102041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JOHAN</v>
      </c>
      <c r="M16">
        <f>IF(DATA_ENERO_2026[[#This Row],[SUPERVISOR]]="","",VLOOKUP(DATA_ENERO_2026[[#This Row],[ASER_]],$B:$G,6,0))</f>
        <v>3986</v>
      </c>
      <c r="N16">
        <f>IF(DATA_ENERO_2026[[#This Row],[RECUPERO]]="","",VLOOKUP($J$3&amp;$K$3&amp;DATA_ENERO_2026[[#This Row],[SUPERVISOR]],TablaMeta[],6,0))</f>
        <v>24500</v>
      </c>
      <c r="O16" t="s">
        <v>41</v>
      </c>
      <c r="P16">
        <v>0</v>
      </c>
      <c r="Q16">
        <v>1486</v>
      </c>
      <c r="R16">
        <v>0</v>
      </c>
      <c r="S16">
        <v>0</v>
      </c>
      <c r="T16">
        <v>0</v>
      </c>
      <c r="U16">
        <v>200</v>
      </c>
      <c r="V16">
        <v>2300</v>
      </c>
      <c r="W16">
        <v>0</v>
      </c>
      <c r="X16">
        <v>0</v>
      </c>
      <c r="Y16">
        <v>0</v>
      </c>
      <c r="AV16" s="46"/>
      <c r="AW16" s="46"/>
      <c r="AX16" s="46"/>
      <c r="AY16" s="46"/>
      <c r="BK16" s="46"/>
    </row>
    <row r="17" spans="1:64" x14ac:dyDescent="0.25">
      <c r="A17" s="35" t="str">
        <f>IFERROR(VLOOKUP(D1_ENERO_2026[[#This Row],[ASESOR_CRR]],PLANTILLA_ACTUAL[],2,0),"")</f>
        <v>SANDY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MARGARITA PIANCHACHI</v>
      </c>
      <c r="C17" s="37">
        <f>D1_ENERO_2026[[#This Row],[RECUPERO]]</f>
        <v>22297</v>
      </c>
      <c r="D17" s="36">
        <f>IFERROR(D1_ENERO_2026[[#This Row],[RECUP]]/VLOOKUP($J$3&amp;$K$3&amp;D1_ENERO_2026[[#This Row],[SUPER]],TablaMeta[],6,0),"")</f>
        <v>0.46452083333333333</v>
      </c>
      <c r="E17" s="36" t="str">
        <f>D1_ENERO_2026[[#This Row],[SUPER]]</f>
        <v>SANDY</v>
      </c>
      <c r="F17" t="s">
        <v>17</v>
      </c>
      <c r="G17" s="3">
        <v>22297</v>
      </c>
      <c r="H17"/>
      <c r="J17">
        <f>IF(DATA_ENERO_2026[[#This Row],[ASER_]]="","",VLOOKUP(DATA_ENERO_2026[[#This Row],[ASER_]],$B:$G,3,0))</f>
        <v>0.3183673469387755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JOHAN</v>
      </c>
      <c r="M17">
        <f>IF(DATA_ENERO_2026[[#This Row],[SUPERVISOR]]="","",VLOOKUP(DATA_ENERO_2026[[#This Row],[ASER_]],$B:$G,6,0))</f>
        <v>7800</v>
      </c>
      <c r="N17">
        <f>IF(DATA_ENERO_2026[[#This Row],[RECUPERO]]="","",VLOOKUP($J$3&amp;$K$3&amp;DATA_ENERO_2026[[#This Row],[SUPERVISOR]],TablaMeta[],6,0))</f>
        <v>24500</v>
      </c>
      <c r="O17" t="s">
        <v>73</v>
      </c>
      <c r="P17">
        <v>0</v>
      </c>
      <c r="Q17">
        <v>600</v>
      </c>
      <c r="R17">
        <v>0</v>
      </c>
      <c r="S17">
        <v>0</v>
      </c>
      <c r="T17">
        <v>0</v>
      </c>
      <c r="U17">
        <v>2500</v>
      </c>
      <c r="V17">
        <v>1500</v>
      </c>
      <c r="W17">
        <v>0</v>
      </c>
      <c r="X17">
        <v>0</v>
      </c>
      <c r="Y17">
        <v>3200</v>
      </c>
      <c r="AU17" s="46"/>
      <c r="AW17" s="46"/>
      <c r="AX17" s="48"/>
      <c r="AY17" s="48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SANDY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LISELY MERA</v>
      </c>
      <c r="C18" s="37">
        <f>D1_ENERO_2026[[#This Row],[RECUPERO]]</f>
        <v>21438</v>
      </c>
      <c r="D18" s="36">
        <f>IFERROR(D1_ENERO_2026[[#This Row],[RECUP]]/VLOOKUP($J$3&amp;$K$3&amp;D1_ENERO_2026[[#This Row],[SUPER]],TablaMeta[],6,0),"")</f>
        <v>0.44662499999999999</v>
      </c>
      <c r="E18" s="36" t="str">
        <f>D1_ENERO_2026[[#This Row],[SUPER]]</f>
        <v>SANDY</v>
      </c>
      <c r="F18" t="s">
        <v>23</v>
      </c>
      <c r="G18" s="3">
        <v>21438</v>
      </c>
      <c r="H18"/>
      <c r="J18">
        <f>IF(DATA_ENERO_2026[[#This Row],[ASER_]]="","",VLOOKUP(DATA_ENERO_2026[[#This Row],[ASER_]],$B:$G,3,0))</f>
        <v>0.42857142857142855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&gt;40%</v>
      </c>
      <c r="L18" t="str">
        <f>IFERROR(VLOOKUP(DATA_ENERO_2026[[#This Row],[ASER_]],$B:$G,4,0),"")</f>
        <v>JOHAN</v>
      </c>
      <c r="M18">
        <f>IF(DATA_ENERO_2026[[#This Row],[SUPERVISOR]]="","",VLOOKUP(DATA_ENERO_2026[[#This Row],[ASER_]],$B:$G,6,0))</f>
        <v>10500</v>
      </c>
      <c r="N18">
        <f>IF(DATA_ENERO_2026[[#This Row],[RECUPERO]]="","",VLOOKUP($J$3&amp;$K$3&amp;DATA_ENERO_2026[[#This Row],[SUPERVISOR]],TablaMeta[],6,0))</f>
        <v>24500</v>
      </c>
      <c r="O18" t="s">
        <v>239</v>
      </c>
      <c r="P18">
        <v>0</v>
      </c>
      <c r="Q18">
        <v>800</v>
      </c>
      <c r="R18">
        <v>1000</v>
      </c>
      <c r="S18">
        <v>0</v>
      </c>
      <c r="T18">
        <v>1500</v>
      </c>
      <c r="U18">
        <v>700</v>
      </c>
      <c r="V18">
        <v>1000</v>
      </c>
      <c r="W18">
        <v>500</v>
      </c>
      <c r="X18">
        <v>0</v>
      </c>
      <c r="Y18">
        <v>5000</v>
      </c>
      <c r="AQ18" s="46"/>
      <c r="AT18" s="46"/>
      <c r="AU18" s="46"/>
      <c r="AV18" s="46"/>
      <c r="AW18" s="48"/>
      <c r="AX18" s="46"/>
      <c r="AY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SANDY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GIANFRANCO PINEDO</v>
      </c>
      <c r="C19" s="37">
        <f>D1_ENERO_2026[[#This Row],[RECUPERO]]</f>
        <v>16400</v>
      </c>
      <c r="D19" s="36">
        <f>IFERROR(D1_ENERO_2026[[#This Row],[RECUP]]/VLOOKUP($J$3&amp;$K$3&amp;D1_ENERO_2026[[#This Row],[SUPER]],TablaMeta[],6,0),"")</f>
        <v>0.34166666666666667</v>
      </c>
      <c r="E19" s="36" t="str">
        <f>D1_ENERO_2026[[#This Row],[SUPER]]</f>
        <v>SANDY</v>
      </c>
      <c r="F19" t="s">
        <v>13</v>
      </c>
      <c r="G19" s="3">
        <v>16400</v>
      </c>
      <c r="H19"/>
      <c r="J19">
        <f>IF(DATA_ENERO_2026[[#This Row],[ASER_]]="","",VLOOKUP(DATA_ENERO_2026[[#This Row],[ASER_]],$B:$G,3,0))</f>
        <v>0.58775510204081638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14400</v>
      </c>
      <c r="N19">
        <f>IF(DATA_ENERO_2026[[#This Row],[RECUPERO]]="","",VLOOKUP($J$3&amp;$K$3&amp;DATA_ENERO_2026[[#This Row],[SUPERVISOR]],TablaMeta[],6,0))</f>
        <v>24500</v>
      </c>
      <c r="O19" t="s">
        <v>111</v>
      </c>
      <c r="P19">
        <v>0</v>
      </c>
      <c r="Q19">
        <v>1200</v>
      </c>
      <c r="R19">
        <v>2000</v>
      </c>
      <c r="S19">
        <v>4000</v>
      </c>
      <c r="T19">
        <v>0</v>
      </c>
      <c r="U19">
        <v>0</v>
      </c>
      <c r="V19">
        <v>3000</v>
      </c>
      <c r="W19">
        <v>1000</v>
      </c>
      <c r="X19">
        <v>3000</v>
      </c>
      <c r="Y19">
        <v>200</v>
      </c>
      <c r="AQ19" s="46"/>
      <c r="AT19" s="48"/>
      <c r="AU19" s="48"/>
      <c r="AV19" s="46"/>
      <c r="AW19" s="48"/>
      <c r="AX19" s="46"/>
      <c r="AY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SANDY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JHONATAN CHAVEZ</v>
      </c>
      <c r="C20" s="37">
        <f>D1_ENERO_2026[[#This Row],[RECUPERO]]</f>
        <v>12981</v>
      </c>
      <c r="D20" s="36">
        <f>IFERROR(D1_ENERO_2026[[#This Row],[RECUP]]/VLOOKUP($J$3&amp;$K$3&amp;D1_ENERO_2026[[#This Row],[SUPER]],TablaMeta[],6,0),"")</f>
        <v>0.2704375</v>
      </c>
      <c r="E20" s="36" t="str">
        <f>D1_ENERO_2026[[#This Row],[SUPER]]</f>
        <v>SANDY</v>
      </c>
      <c r="F20" t="s">
        <v>65</v>
      </c>
      <c r="G20" s="3">
        <v>12981</v>
      </c>
      <c r="H20"/>
      <c r="J20">
        <f>IF(DATA_ENERO_2026[[#This Row],[ASER_]]="","",VLOOKUP(DATA_ENERO_2026[[#This Row],[ASER_]],$B:$G,3,0))</f>
        <v>0.46408163265306124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&gt;40%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11370</v>
      </c>
      <c r="N20">
        <f>IF(DATA_ENERO_2026[[#This Row],[RECUPERO]]="","",VLOOKUP($J$3&amp;$K$3&amp;DATA_ENERO_2026[[#This Row],[SUPERVISOR]],TablaMeta[],6,0))</f>
        <v>24500</v>
      </c>
      <c r="O20" t="s">
        <v>443</v>
      </c>
      <c r="P20">
        <v>0</v>
      </c>
      <c r="Q20">
        <v>0</v>
      </c>
      <c r="R20">
        <v>0</v>
      </c>
      <c r="S20">
        <v>4000</v>
      </c>
      <c r="T20">
        <v>0</v>
      </c>
      <c r="U20">
        <v>0</v>
      </c>
      <c r="V20">
        <v>0</v>
      </c>
      <c r="W20">
        <v>1300</v>
      </c>
      <c r="X20">
        <v>150</v>
      </c>
      <c r="Y20">
        <v>5920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SANDY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LINDA TUESTA</v>
      </c>
      <c r="C21" s="37">
        <f>D1_ENERO_2026[[#This Row],[RECUPERO]]</f>
        <v>10160</v>
      </c>
      <c r="D21" s="36">
        <f>IFERROR(D1_ENERO_2026[[#This Row],[RECUP]]/VLOOKUP($J$3&amp;$K$3&amp;D1_ENERO_2026[[#This Row],[SUPER]],TablaMeta[],6,0),"")</f>
        <v>0.21166666666666667</v>
      </c>
      <c r="E21" s="36" t="str">
        <f>D1_ENERO_2026[[#This Row],[SUPER]]</f>
        <v>SANDY</v>
      </c>
      <c r="F21" t="s">
        <v>33</v>
      </c>
      <c r="G21" s="3">
        <v>10160</v>
      </c>
      <c r="H21"/>
      <c r="J21">
        <f>IF(DATA_ENERO_2026[[#This Row],[ASER_]]="","",VLOOKUP(DATA_ENERO_2026[[#This Row],[ASER_]],$B:$G,3,0))</f>
        <v>0.16250000000000001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MELINA</v>
      </c>
      <c r="M21">
        <f>IF(DATA_ENERO_2026[[#This Row],[SUPERVISOR]]="","",VLOOKUP(DATA_ENERO_2026[[#This Row],[ASER_]],$B:$G,6,0))</f>
        <v>7800</v>
      </c>
      <c r="N21">
        <f>IF(DATA_ENERO_2026[[#This Row],[RECUPERO]]="","",VLOOKUP($J$3&amp;$K$3&amp;DATA_ENERO_2026[[#This Row],[SUPERVISOR]],TablaMeta[],6,0))</f>
        <v>48000</v>
      </c>
      <c r="O21" t="s">
        <v>18</v>
      </c>
      <c r="P21">
        <v>0</v>
      </c>
      <c r="Q21">
        <v>0</v>
      </c>
      <c r="R21">
        <v>1700</v>
      </c>
      <c r="S21">
        <v>2000</v>
      </c>
      <c r="T21">
        <v>2500</v>
      </c>
      <c r="U21">
        <v>0</v>
      </c>
      <c r="V21">
        <v>0</v>
      </c>
      <c r="W21">
        <v>600</v>
      </c>
      <c r="X21">
        <v>0</v>
      </c>
      <c r="Y21">
        <v>1000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VERONICA TASAYCO</v>
      </c>
      <c r="C22" s="37">
        <f>D1_ENERO_2026[[#This Row],[RECUPERO]]</f>
        <v>35851</v>
      </c>
      <c r="D22" s="36">
        <f>IFERROR(D1_ENERO_2026[[#This Row],[RECUP]]/VLOOKUP($J$3&amp;$K$3&amp;D1_ENERO_2026[[#This Row],[SUPER]],TablaMeta[],6,0),"")</f>
        <v>0.74689583333333331</v>
      </c>
      <c r="E22" s="36" t="str">
        <f>D1_ENERO_2026[[#This Row],[SUPER]]</f>
        <v>MELINA</v>
      </c>
      <c r="F22" t="s">
        <v>10</v>
      </c>
      <c r="G22" s="3">
        <v>35851</v>
      </c>
      <c r="H22"/>
      <c r="J22">
        <f>IF(DATA_ENERO_2026[[#This Row],[ASER_]]="","",VLOOKUP(DATA_ENERO_2026[[#This Row],[ASER_]],$B:$G,3,0))</f>
        <v>0.35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MELINA</v>
      </c>
      <c r="M22">
        <f>IF(DATA_ENERO_2026[[#This Row],[SUPERVISOR]]="","",VLOOKUP(DATA_ENERO_2026[[#This Row],[ASER_]],$B:$G,6,0))</f>
        <v>16800</v>
      </c>
      <c r="N22">
        <f>IF(DATA_ENERO_2026[[#This Row],[RECUPERO]]="","",VLOOKUP($J$3&amp;$K$3&amp;DATA_ENERO_2026[[#This Row],[SUPERVISOR]],TablaMeta[],6,0))</f>
        <v>48000</v>
      </c>
      <c r="O22" t="s">
        <v>60</v>
      </c>
      <c r="P22">
        <v>4000</v>
      </c>
      <c r="Q22">
        <v>600</v>
      </c>
      <c r="R22">
        <v>3400</v>
      </c>
      <c r="S22">
        <v>2500</v>
      </c>
      <c r="T22">
        <v>0</v>
      </c>
      <c r="U22">
        <v>0</v>
      </c>
      <c r="V22">
        <v>0</v>
      </c>
      <c r="W22">
        <v>2500</v>
      </c>
      <c r="X22">
        <v>3800</v>
      </c>
      <c r="Y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PIERINA TESEN</v>
      </c>
      <c r="C23" s="37">
        <f>D1_ENERO_2026[[#This Row],[RECUPERO]]</f>
        <v>31146</v>
      </c>
      <c r="D23" s="36">
        <f>IFERROR(D1_ENERO_2026[[#This Row],[RECUP]]/VLOOKUP($J$3&amp;$K$3&amp;D1_ENERO_2026[[#This Row],[SUPER]],TablaMeta[],6,0),"")</f>
        <v>0.64887499999999998</v>
      </c>
      <c r="E23" s="36" t="str">
        <f>D1_ENERO_2026[[#This Row],[SUPER]]</f>
        <v>MELINA</v>
      </c>
      <c r="F23" t="s">
        <v>59</v>
      </c>
      <c r="G23" s="3">
        <v>31146</v>
      </c>
      <c r="H23"/>
      <c r="J23">
        <f>IF(DATA_ENERO_2026[[#This Row],[ASER_]]="","",VLOOKUP(DATA_ENERO_2026[[#This Row],[ASER_]],$B:$G,3,0))</f>
        <v>0.12937499999999999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MELINA</v>
      </c>
      <c r="M23">
        <f>IF(DATA_ENERO_2026[[#This Row],[SUPERVISOR]]="","",VLOOKUP(DATA_ENERO_2026[[#This Row],[ASER_]],$B:$G,6,0))</f>
        <v>6210</v>
      </c>
      <c r="N23">
        <f>IF(DATA_ENERO_2026[[#This Row],[RECUPERO]]="","",VLOOKUP($J$3&amp;$K$3&amp;DATA_ENERO_2026[[#This Row],[SUPERVISOR]],TablaMeta[],6,0))</f>
        <v>48000</v>
      </c>
      <c r="O23" t="s">
        <v>72</v>
      </c>
      <c r="P23">
        <v>3160</v>
      </c>
      <c r="Q23">
        <v>0</v>
      </c>
      <c r="R23">
        <v>2000</v>
      </c>
      <c r="S23">
        <v>0</v>
      </c>
      <c r="T23">
        <v>0</v>
      </c>
      <c r="U23">
        <v>0</v>
      </c>
      <c r="V23">
        <v>250</v>
      </c>
      <c r="W23">
        <v>0</v>
      </c>
      <c r="X23">
        <v>0</v>
      </c>
      <c r="Y23">
        <v>800</v>
      </c>
      <c r="BE23" s="46"/>
    </row>
    <row r="24" spans="1:64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GENESIS VICUNA</v>
      </c>
      <c r="C24" s="37">
        <f>D1_ENERO_2026[[#This Row],[RECUPERO]]</f>
        <v>24180</v>
      </c>
      <c r="D24" s="36">
        <f>IFERROR(D1_ENERO_2026[[#This Row],[RECUP]]/VLOOKUP($J$3&amp;$K$3&amp;D1_ENERO_2026[[#This Row],[SUPER]],TablaMeta[],6,0),"")</f>
        <v>0.50375000000000003</v>
      </c>
      <c r="E24" s="36" t="str">
        <f>D1_ENERO_2026[[#This Row],[SUPER]]</f>
        <v>MELINA</v>
      </c>
      <c r="F24" t="s">
        <v>12</v>
      </c>
      <c r="G24" s="3">
        <v>24180</v>
      </c>
      <c r="H24"/>
      <c r="J24">
        <f>IF(DATA_ENERO_2026[[#This Row],[ASER_]]="","",VLOOKUP(DATA_ENERO_2026[[#This Row],[ASER_]],$B:$G,3,0))</f>
        <v>0.50375000000000003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&gt;40%</v>
      </c>
      <c r="L24" t="str">
        <f>IFERROR(VLOOKUP(DATA_ENERO_2026[[#This Row],[ASER_]],$B:$G,4,0),"")</f>
        <v>MELINA</v>
      </c>
      <c r="M24">
        <f>IF(DATA_ENERO_2026[[#This Row],[SUPERVISOR]]="","",VLOOKUP(DATA_ENERO_2026[[#This Row],[ASER_]],$B:$G,6,0))</f>
        <v>24180</v>
      </c>
      <c r="N24">
        <f>IF(DATA_ENERO_2026[[#This Row],[RECUPERO]]="","",VLOOKUP($J$3&amp;$K$3&amp;DATA_ENERO_2026[[#This Row],[SUPERVISOR]],TablaMeta[],6,0))</f>
        <v>48000</v>
      </c>
      <c r="O24" t="s">
        <v>12</v>
      </c>
      <c r="P24">
        <v>1700</v>
      </c>
      <c r="Q24">
        <v>3230</v>
      </c>
      <c r="R24">
        <v>0</v>
      </c>
      <c r="S24">
        <v>6700</v>
      </c>
      <c r="T24">
        <v>2800</v>
      </c>
      <c r="U24">
        <v>750</v>
      </c>
      <c r="V24">
        <v>0</v>
      </c>
      <c r="W24">
        <v>6500</v>
      </c>
      <c r="X24">
        <v>0</v>
      </c>
      <c r="Y24">
        <v>2500</v>
      </c>
      <c r="BI24" s="46"/>
    </row>
    <row r="25" spans="1:64" x14ac:dyDescent="0.25">
      <c r="A25" s="35" t="str">
        <f>IFERROR(VLOOKUP(D1_ENERO_2026[[#This Row],[ASESOR_CRR]],PLANTILLA_ACTUAL[],2,0),"")</f>
        <v>MELINA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MARIA TINTAYA</v>
      </c>
      <c r="C25" s="37">
        <f>D1_ENERO_2026[[#This Row],[RECUPERO]]</f>
        <v>19800</v>
      </c>
      <c r="D25" s="36">
        <f>IFERROR(D1_ENERO_2026[[#This Row],[RECUP]]/VLOOKUP($J$3&amp;$K$3&amp;D1_ENERO_2026[[#This Row],[SUPER]],TablaMeta[],6,0),"")</f>
        <v>0.41249999999999998</v>
      </c>
      <c r="E25" s="36" t="str">
        <f>D1_ENERO_2026[[#This Row],[SUPER]]</f>
        <v>MELINA</v>
      </c>
      <c r="F25" t="s">
        <v>75</v>
      </c>
      <c r="G25" s="3">
        <v>19800</v>
      </c>
      <c r="H25"/>
      <c r="J25">
        <f>IF(DATA_ENERO_2026[[#This Row],[ASER_]]="","",VLOOKUP(DATA_ENERO_2026[[#This Row],[ASER_]],$B:$G,3,0))</f>
        <v>0.39020833333333332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MELINA</v>
      </c>
      <c r="M25">
        <f>IF(DATA_ENERO_2026[[#This Row],[SUPERVISOR]]="","",VLOOKUP(DATA_ENERO_2026[[#This Row],[ASER_]],$B:$G,6,0))</f>
        <v>18730</v>
      </c>
      <c r="N25">
        <f>IF(DATA_ENERO_2026[[#This Row],[RECUPERO]]="","",VLOOKUP($J$3&amp;$K$3&amp;DATA_ENERO_2026[[#This Row],[SUPERVISOR]],TablaMeta[],6,0))</f>
        <v>48000</v>
      </c>
      <c r="O25" t="s">
        <v>124</v>
      </c>
      <c r="P25">
        <v>1030</v>
      </c>
      <c r="Q25">
        <v>10000</v>
      </c>
      <c r="R25">
        <v>500</v>
      </c>
      <c r="S25">
        <v>0</v>
      </c>
      <c r="T25">
        <v>0</v>
      </c>
      <c r="U25">
        <v>5300</v>
      </c>
      <c r="V25">
        <v>0</v>
      </c>
      <c r="W25">
        <v>0</v>
      </c>
      <c r="X25">
        <v>0</v>
      </c>
      <c r="Y25">
        <v>1900</v>
      </c>
    </row>
    <row r="26" spans="1:64" x14ac:dyDescent="0.25">
      <c r="A26" s="35" t="str">
        <f>IFERROR(VLOOKUP(D1_ENERO_2026[[#This Row],[ASESOR_CRR]],PLANTILLA_ACTUAL[],2,0),"")</f>
        <v>MELINA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JEREMIAS ROJAS</v>
      </c>
      <c r="C26" s="37">
        <f>D1_ENERO_2026[[#This Row],[RECUPERO]]</f>
        <v>18730</v>
      </c>
      <c r="D26" s="36">
        <f>IFERROR(D1_ENERO_2026[[#This Row],[RECUP]]/VLOOKUP($J$3&amp;$K$3&amp;D1_ENERO_2026[[#This Row],[SUPER]],TablaMeta[],6,0),"")</f>
        <v>0.39020833333333332</v>
      </c>
      <c r="E26" s="36" t="str">
        <f>D1_ENERO_2026[[#This Row],[SUPER]]</f>
        <v>MELINA</v>
      </c>
      <c r="F26" t="s">
        <v>124</v>
      </c>
      <c r="G26" s="3">
        <v>18730</v>
      </c>
      <c r="H26"/>
      <c r="J26">
        <f>IF(DATA_ENERO_2026[[#This Row],[ASER_]]="","",VLOOKUP(DATA_ENERO_2026[[#This Row],[ASER_]],$B:$G,3,0))</f>
        <v>0.41249999999999998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&gt;40%</v>
      </c>
      <c r="L26" t="str">
        <f>IFERROR(VLOOKUP(DATA_ENERO_2026[[#This Row],[ASER_]],$B:$G,4,0),"")</f>
        <v>MELINA</v>
      </c>
      <c r="M26">
        <f>IF(DATA_ENERO_2026[[#This Row],[SUPERVISOR]]="","",VLOOKUP(DATA_ENERO_2026[[#This Row],[ASER_]],$B:$G,6,0))</f>
        <v>19800</v>
      </c>
      <c r="N26">
        <f>IF(DATA_ENERO_2026[[#This Row],[RECUPERO]]="","",VLOOKUP($J$3&amp;$K$3&amp;DATA_ENERO_2026[[#This Row],[SUPERVISOR]],TablaMeta[],6,0))</f>
        <v>48000</v>
      </c>
      <c r="O26" t="s">
        <v>75</v>
      </c>
      <c r="P26">
        <v>0</v>
      </c>
      <c r="Q26">
        <v>3500</v>
      </c>
      <c r="R26">
        <v>0</v>
      </c>
      <c r="S26">
        <v>0</v>
      </c>
      <c r="T26">
        <v>0</v>
      </c>
      <c r="U26">
        <v>10000</v>
      </c>
      <c r="V26">
        <v>800</v>
      </c>
      <c r="W26">
        <v>0</v>
      </c>
      <c r="X26">
        <v>2000</v>
      </c>
      <c r="Y26">
        <v>3500</v>
      </c>
    </row>
    <row r="27" spans="1:64" x14ac:dyDescent="0.25">
      <c r="A27" s="35" t="str">
        <f>IFERROR(VLOOKUP(D1_ENERO_2026[[#This Row],[ASESOR_CRR]],PLANTILLA_ACTUAL[],2,0),"")</f>
        <v>MELINA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ANALUCIA PONCE</v>
      </c>
      <c r="C27" s="37">
        <f>D1_ENERO_2026[[#This Row],[RECUPERO]]</f>
        <v>16800</v>
      </c>
      <c r="D27" s="36">
        <f>IFERROR(D1_ENERO_2026[[#This Row],[RECUP]]/VLOOKUP($J$3&amp;$K$3&amp;D1_ENERO_2026[[#This Row],[SUPER]],TablaMeta[],6,0),"")</f>
        <v>0.35</v>
      </c>
      <c r="E27" s="36" t="str">
        <f>D1_ENERO_2026[[#This Row],[SUPER]]</f>
        <v>MELINA</v>
      </c>
      <c r="F27" t="s">
        <v>60</v>
      </c>
      <c r="G27" s="3">
        <v>16800</v>
      </c>
      <c r="H27"/>
      <c r="J27">
        <f>IF(DATA_ENERO_2026[[#This Row],[ASER_]]="","",VLOOKUP(DATA_ENERO_2026[[#This Row],[ASER_]],$B:$G,3,0))</f>
        <v>0.21770833333333334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MELINA</v>
      </c>
      <c r="M27">
        <f>IF(DATA_ENERO_2026[[#This Row],[SUPERVISOR]]="","",VLOOKUP(DATA_ENERO_2026[[#This Row],[ASER_]],$B:$G,6,0))</f>
        <v>10450</v>
      </c>
      <c r="N27">
        <f>IF(DATA_ENERO_2026[[#This Row],[RECUPERO]]="","",VLOOKUP($J$3&amp;$K$3&amp;DATA_ENERO_2026[[#This Row],[SUPERVISOR]],TablaMeta[],6,0))</f>
        <v>48000</v>
      </c>
      <c r="O27" t="s">
        <v>442</v>
      </c>
      <c r="P27" s="46">
        <v>0</v>
      </c>
      <c r="Q27">
        <v>750</v>
      </c>
      <c r="R27">
        <v>0</v>
      </c>
      <c r="S27">
        <v>0</v>
      </c>
      <c r="T27">
        <v>0</v>
      </c>
      <c r="U27">
        <v>4400</v>
      </c>
      <c r="V27">
        <v>0</v>
      </c>
      <c r="W27">
        <v>300</v>
      </c>
      <c r="X27">
        <v>0</v>
      </c>
      <c r="Y27">
        <v>5000</v>
      </c>
    </row>
    <row r="28" spans="1:64" x14ac:dyDescent="0.25">
      <c r="A28" s="35" t="str">
        <f>IFERROR(VLOOKUP(D1_ENERO_2026[[#This Row],[ASESOR_CRR]],PLANTILLA_ACTUAL[],2,0),"")</f>
        <v>MELINA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MARTIN VARGAS</v>
      </c>
      <c r="C28" s="37">
        <f>D1_ENERO_2026[[#This Row],[RECUPERO]]</f>
        <v>10450</v>
      </c>
      <c r="D28" s="36">
        <f>IFERROR(D1_ENERO_2026[[#This Row],[RECUP]]/VLOOKUP($J$3&amp;$K$3&amp;D1_ENERO_2026[[#This Row],[SUPER]],TablaMeta[],6,0),"")</f>
        <v>0.21770833333333334</v>
      </c>
      <c r="E28" s="36" t="str">
        <f>D1_ENERO_2026[[#This Row],[SUPER]]</f>
        <v>MELINA</v>
      </c>
      <c r="F28" t="s">
        <v>442</v>
      </c>
      <c r="G28" s="3">
        <v>10450</v>
      </c>
      <c r="H28"/>
      <c r="J28">
        <f>IF(DATA_ENERO_2026[[#This Row],[ASER_]]="","",VLOOKUP(DATA_ENERO_2026[[#This Row],[ASER_]],$B:$G,3,0))</f>
        <v>0.64887499999999998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MELINA</v>
      </c>
      <c r="M28">
        <f>IF(DATA_ENERO_2026[[#This Row],[SUPERVISOR]]="","",VLOOKUP(DATA_ENERO_2026[[#This Row],[ASER_]],$B:$G,6,0))</f>
        <v>31146</v>
      </c>
      <c r="N28">
        <f>IF(DATA_ENERO_2026[[#This Row],[RECUPERO]]="","",VLOOKUP($J$3&amp;$K$3&amp;DATA_ENERO_2026[[#This Row],[SUPERVISOR]],TablaMeta[],6,0))</f>
        <v>48000</v>
      </c>
      <c r="O28" t="s">
        <v>59</v>
      </c>
      <c r="P28" s="46">
        <v>10000</v>
      </c>
      <c r="Q28">
        <v>2700</v>
      </c>
      <c r="R28">
        <v>1650</v>
      </c>
      <c r="S28">
        <v>0</v>
      </c>
      <c r="T28">
        <v>0</v>
      </c>
      <c r="U28">
        <v>10596</v>
      </c>
      <c r="V28">
        <v>1000</v>
      </c>
      <c r="W28">
        <v>0</v>
      </c>
      <c r="X28">
        <v>0</v>
      </c>
      <c r="Y28">
        <v>5200</v>
      </c>
    </row>
    <row r="29" spans="1:64" x14ac:dyDescent="0.25">
      <c r="A29" s="35" t="str">
        <f>IFERROR(VLOOKUP(D1_ENERO_2026[[#This Row],[ASESOR_CRR]],PLANTILLA_ACTUAL[],2,0),"")</f>
        <v>MELINA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ALEIDITH GUEVARA</v>
      </c>
      <c r="C29" s="37">
        <f>D1_ENERO_2026[[#This Row],[RECUPERO]]</f>
        <v>7800</v>
      </c>
      <c r="D29" s="36">
        <f>IFERROR(D1_ENERO_2026[[#This Row],[RECUP]]/VLOOKUP($J$3&amp;$K$3&amp;D1_ENERO_2026[[#This Row],[SUPER]],TablaMeta[],6,0),"")</f>
        <v>0.16250000000000001</v>
      </c>
      <c r="E29" s="36" t="str">
        <f>D1_ENERO_2026[[#This Row],[SUPER]]</f>
        <v>MELINA</v>
      </c>
      <c r="F29" t="s">
        <v>18</v>
      </c>
      <c r="G29" s="3">
        <v>7800</v>
      </c>
      <c r="H29"/>
      <c r="J29">
        <f>IF(DATA_ENERO_2026[[#This Row],[ASER_]]="","",VLOOKUP(DATA_ENERO_2026[[#This Row],[ASER_]],$B:$G,3,0))</f>
        <v>0.74689583333333331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&gt;70%</v>
      </c>
      <c r="L29" t="str">
        <f>IFERROR(VLOOKUP(DATA_ENERO_2026[[#This Row],[ASER_]],$B:$G,4,0),"")</f>
        <v>MELINA</v>
      </c>
      <c r="M29">
        <f>IF(DATA_ENERO_2026[[#This Row],[SUPERVISOR]]="","",VLOOKUP(DATA_ENERO_2026[[#This Row],[ASER_]],$B:$G,6,0))</f>
        <v>35851</v>
      </c>
      <c r="N29">
        <f>IF(DATA_ENERO_2026[[#This Row],[RECUPERO]]="","",VLOOKUP($J$3&amp;$K$3&amp;DATA_ENERO_2026[[#This Row],[SUPERVISOR]],TablaMeta[],6,0))</f>
        <v>48000</v>
      </c>
      <c r="O29" t="s">
        <v>10</v>
      </c>
      <c r="P29" s="46">
        <v>700</v>
      </c>
      <c r="Q29">
        <v>8751</v>
      </c>
      <c r="R29">
        <v>0</v>
      </c>
      <c r="S29">
        <v>7000</v>
      </c>
      <c r="T29">
        <v>0</v>
      </c>
      <c r="U29">
        <v>1300</v>
      </c>
      <c r="V29">
        <v>16100</v>
      </c>
      <c r="W29">
        <v>0</v>
      </c>
      <c r="X29">
        <v>0</v>
      </c>
      <c r="Y29">
        <v>2000</v>
      </c>
    </row>
    <row r="30" spans="1:64" x14ac:dyDescent="0.25">
      <c r="A30" s="35" t="str">
        <f>IFERROR(VLOOKUP(D1_ENERO_2026[[#This Row],[ASESOR_CRR]],PLANTILLA_ACTUAL[],2,0),"")</f>
        <v>MELINA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ERIKA VILLAR</v>
      </c>
      <c r="C30" s="37">
        <f>D1_ENERO_2026[[#This Row],[RECUPERO]]</f>
        <v>6210</v>
      </c>
      <c r="D30" s="36">
        <f>IFERROR(D1_ENERO_2026[[#This Row],[RECUP]]/VLOOKUP($J$3&amp;$K$3&amp;D1_ENERO_2026[[#This Row],[SUPER]],TablaMeta[],6,0),"")</f>
        <v>0.12937499999999999</v>
      </c>
      <c r="E30" s="36" t="str">
        <f>D1_ENERO_2026[[#This Row],[SUPER]]</f>
        <v>MELINA</v>
      </c>
      <c r="F30" t="s">
        <v>72</v>
      </c>
      <c r="G30" s="3">
        <v>6210</v>
      </c>
      <c r="H30"/>
      <c r="J30">
        <f>IF(DATA_ENERO_2026[[#This Row],[ASER_]]="","",VLOOKUP(DATA_ENERO_2026[[#This Row],[ASER_]],$B:$G,3,0))</f>
        <v>0.52124999999999999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SANDY</v>
      </c>
      <c r="M30">
        <f>IF(DATA_ENERO_2026[[#This Row],[SUPERVISOR]]="","",VLOOKUP(DATA_ENERO_2026[[#This Row],[ASER_]],$B:$G,6,0))</f>
        <v>25020</v>
      </c>
      <c r="N30">
        <f>IF(DATA_ENERO_2026[[#This Row],[RECUPERO]]="","",VLOOKUP($J$3&amp;$K$3&amp;DATA_ENERO_2026[[#This Row],[SUPERVISOR]],TablaMeta[],6,0))</f>
        <v>48000</v>
      </c>
      <c r="O30" t="s">
        <v>31</v>
      </c>
      <c r="P30" s="46">
        <v>2000</v>
      </c>
      <c r="Q30">
        <v>6300</v>
      </c>
      <c r="R30">
        <v>0</v>
      </c>
      <c r="S30">
        <v>0</v>
      </c>
      <c r="T30">
        <v>0</v>
      </c>
      <c r="U30">
        <v>11500</v>
      </c>
      <c r="V30">
        <v>0</v>
      </c>
      <c r="W30">
        <v>1500</v>
      </c>
      <c r="X30">
        <v>2220</v>
      </c>
      <c r="Y30">
        <v>3000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JUAN ALANOCCA</v>
      </c>
      <c r="C31" s="37">
        <f>D1_ENERO_2026[[#This Row],[RECUPERO]]</f>
        <v>28472</v>
      </c>
      <c r="D31" s="36">
        <f>IFERROR(D1_ENERO_2026[[#This Row],[RECUP]]/VLOOKUP($J$3&amp;$K$3&amp;D1_ENERO_2026[[#This Row],[SUPER]],TablaMeta[],6,0),"")</f>
        <v>1.1621224489795918</v>
      </c>
      <c r="E31" s="36" t="str">
        <f>D1_ENERO_2026[[#This Row],[SUPER]]</f>
        <v>JOHAN</v>
      </c>
      <c r="F31" t="s">
        <v>77</v>
      </c>
      <c r="G31" s="3">
        <v>28472</v>
      </c>
      <c r="H31"/>
      <c r="J31">
        <f>IF(DATA_ENERO_2026[[#This Row],[ASER_]]="","",VLOOKUP(DATA_ENERO_2026[[#This Row],[ASER_]],$B:$G,3,0))</f>
        <v>0.44662499999999999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&gt;40%</v>
      </c>
      <c r="L31" t="str">
        <f>IFERROR(VLOOKUP(DATA_ENERO_2026[[#This Row],[ASER_]],$B:$G,4,0),"")</f>
        <v>SANDY</v>
      </c>
      <c r="M31">
        <f>IF(DATA_ENERO_2026[[#This Row],[SUPERVISOR]]="","",VLOOKUP(DATA_ENERO_2026[[#This Row],[ASER_]],$B:$G,6,0))</f>
        <v>21438</v>
      </c>
      <c r="N31">
        <f>IF(DATA_ENERO_2026[[#This Row],[RECUPERO]]="","",VLOOKUP($J$3&amp;$K$3&amp;DATA_ENERO_2026[[#This Row],[SUPERVISOR]],TablaMeta[],6,0))</f>
        <v>48000</v>
      </c>
      <c r="O31" t="s">
        <v>23</v>
      </c>
      <c r="P31" s="46">
        <v>1700</v>
      </c>
      <c r="Q31">
        <v>3578</v>
      </c>
      <c r="R31">
        <v>830</v>
      </c>
      <c r="S31">
        <v>2200</v>
      </c>
      <c r="T31">
        <v>0</v>
      </c>
      <c r="U31">
        <v>580</v>
      </c>
      <c r="V31">
        <v>10850</v>
      </c>
      <c r="W31">
        <v>1000</v>
      </c>
      <c r="X31">
        <v>0</v>
      </c>
      <c r="Y31">
        <v>700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ALEJANDRA QUISPE</v>
      </c>
      <c r="C32" s="37">
        <f>D1_ENERO_2026[[#This Row],[RECUPERO]]</f>
        <v>17605</v>
      </c>
      <c r="D32" s="36">
        <f>IFERROR(D1_ENERO_2026[[#This Row],[RECUP]]/VLOOKUP($J$3&amp;$K$3&amp;D1_ENERO_2026[[#This Row],[SUPER]],TablaMeta[],6,0),"")</f>
        <v>0.71857142857142853</v>
      </c>
      <c r="E32" s="36" t="str">
        <f>D1_ENERO_2026[[#This Row],[SUPER]]</f>
        <v>JOHAN</v>
      </c>
      <c r="F32" t="s">
        <v>58</v>
      </c>
      <c r="G32" s="3">
        <v>17605</v>
      </c>
      <c r="H32"/>
      <c r="J32">
        <f>IF(DATA_ENERO_2026[[#This Row],[ASER_]]="","",VLOOKUP(DATA_ENERO_2026[[#This Row],[ASER_]],$B:$G,3,0))</f>
        <v>0.47020833333333334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SANDY</v>
      </c>
      <c r="M32">
        <f>IF(DATA_ENERO_2026[[#This Row],[SUPERVISOR]]="","",VLOOKUP(DATA_ENERO_2026[[#This Row],[ASER_]],$B:$G,6,0))</f>
        <v>22570</v>
      </c>
      <c r="N32">
        <f>IF(DATA_ENERO_2026[[#This Row],[RECUPERO]]="","",VLOOKUP($J$3&amp;$K$3&amp;DATA_ENERO_2026[[#This Row],[SUPERVISOR]],TablaMeta[],6,0))</f>
        <v>48000</v>
      </c>
      <c r="O32" t="s">
        <v>32</v>
      </c>
      <c r="P32">
        <v>877</v>
      </c>
      <c r="Q32">
        <v>600</v>
      </c>
      <c r="R32">
        <v>3233</v>
      </c>
      <c r="S32">
        <v>1800</v>
      </c>
      <c r="T32">
        <v>0</v>
      </c>
      <c r="U32">
        <v>7000</v>
      </c>
      <c r="V32">
        <v>0</v>
      </c>
      <c r="W32">
        <v>8350</v>
      </c>
      <c r="X32">
        <v>0</v>
      </c>
      <c r="Y32">
        <v>710</v>
      </c>
    </row>
    <row r="33" spans="1:25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VERONICA HUARCA</v>
      </c>
      <c r="C33" s="37">
        <f>D1_ENERO_2026[[#This Row],[RECUPERO]]</f>
        <v>15800</v>
      </c>
      <c r="D33" s="36">
        <f>IFERROR(D1_ENERO_2026[[#This Row],[RECUP]]/VLOOKUP($J$3&amp;$K$3&amp;D1_ENERO_2026[[#This Row],[SUPER]],TablaMeta[],6,0),"")</f>
        <v>0.64489795918367343</v>
      </c>
      <c r="E33" s="36" t="str">
        <f>D1_ENERO_2026[[#This Row],[SUPER]]</f>
        <v>JOHAN</v>
      </c>
      <c r="F33" t="s">
        <v>48</v>
      </c>
      <c r="G33" s="3">
        <v>15800</v>
      </c>
      <c r="H33"/>
      <c r="J33">
        <f>IF(DATA_ENERO_2026[[#This Row],[ASER_]]="","",VLOOKUP(DATA_ENERO_2026[[#This Row],[ASER_]],$B:$G,3,0))</f>
        <v>0.2704375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SANDY</v>
      </c>
      <c r="M33">
        <f>IF(DATA_ENERO_2026[[#This Row],[SUPERVISOR]]="","",VLOOKUP(DATA_ENERO_2026[[#This Row],[ASER_]],$B:$G,6,0))</f>
        <v>12981</v>
      </c>
      <c r="N33">
        <f>IF(DATA_ENERO_2026[[#This Row],[RECUPERO]]="","",VLOOKUP($J$3&amp;$K$3&amp;DATA_ENERO_2026[[#This Row],[SUPERVISOR]],TablaMeta[],6,0))</f>
        <v>48000</v>
      </c>
      <c r="O33" t="s">
        <v>65</v>
      </c>
      <c r="P33">
        <v>700</v>
      </c>
      <c r="Q33">
        <v>281</v>
      </c>
      <c r="R33">
        <v>0</v>
      </c>
      <c r="S33">
        <v>0</v>
      </c>
      <c r="T33">
        <v>0</v>
      </c>
      <c r="U33">
        <v>2300</v>
      </c>
      <c r="V33">
        <v>1000</v>
      </c>
      <c r="W33">
        <v>1000</v>
      </c>
      <c r="X33">
        <v>4700</v>
      </c>
      <c r="Y33">
        <v>3000</v>
      </c>
    </row>
    <row r="34" spans="1:25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NOEMI CHUQUILIN</v>
      </c>
      <c r="C34" s="37">
        <f>D1_ENERO_2026[[#This Row],[RECUPERO]]</f>
        <v>14967</v>
      </c>
      <c r="D34" s="36">
        <f>IFERROR(D1_ENERO_2026[[#This Row],[RECUP]]/VLOOKUP($J$3&amp;$K$3&amp;D1_ENERO_2026[[#This Row],[SUPER]],TablaMeta[],6,0),"")</f>
        <v>0.61089795918367351</v>
      </c>
      <c r="E34" s="36" t="str">
        <f>D1_ENERO_2026[[#This Row],[SUPER]]</f>
        <v>JOHAN</v>
      </c>
      <c r="F34" t="s">
        <v>97</v>
      </c>
      <c r="G34" s="3">
        <v>14967</v>
      </c>
      <c r="H34"/>
      <c r="J34">
        <f>IF(DATA_ENERO_2026[[#This Row],[ASER_]]="","",VLOOKUP(DATA_ENERO_2026[[#This Row],[ASER_]],$B:$G,3,0))</f>
        <v>0.46452083333333333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SANDY</v>
      </c>
      <c r="M34">
        <f>IF(DATA_ENERO_2026[[#This Row],[SUPERVISOR]]="","",VLOOKUP(DATA_ENERO_2026[[#This Row],[ASER_]],$B:$G,6,0))</f>
        <v>22297</v>
      </c>
      <c r="N34">
        <f>IF(DATA_ENERO_2026[[#This Row],[RECUPERO]]="","",VLOOKUP($J$3&amp;$K$3&amp;DATA_ENERO_2026[[#This Row],[SUPERVISOR]],TablaMeta[],6,0))</f>
        <v>48000</v>
      </c>
      <c r="O34" t="s">
        <v>17</v>
      </c>
      <c r="P34">
        <v>636</v>
      </c>
      <c r="Q34">
        <v>0</v>
      </c>
      <c r="R34">
        <v>4000</v>
      </c>
      <c r="S34">
        <v>4200</v>
      </c>
      <c r="T34">
        <v>0</v>
      </c>
      <c r="U34">
        <v>0</v>
      </c>
      <c r="V34">
        <v>461</v>
      </c>
      <c r="W34">
        <v>13000</v>
      </c>
      <c r="X34">
        <v>0</v>
      </c>
      <c r="Y34">
        <v>0</v>
      </c>
    </row>
    <row r="35" spans="1:25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ALEJANDRO GONZALES</v>
      </c>
      <c r="C35" s="37">
        <f>D1_ENERO_2026[[#This Row],[RECUPERO]]</f>
        <v>14400</v>
      </c>
      <c r="D35" s="36">
        <f>IFERROR(D1_ENERO_2026[[#This Row],[RECUP]]/VLOOKUP($J$3&amp;$K$3&amp;D1_ENERO_2026[[#This Row],[SUPER]],TablaMeta[],6,0),"")</f>
        <v>0.58775510204081638</v>
      </c>
      <c r="E35" s="36" t="str">
        <f>D1_ENERO_2026[[#This Row],[SUPER]]</f>
        <v>JOHAN</v>
      </c>
      <c r="F35" t="s">
        <v>111</v>
      </c>
      <c r="G35" s="3">
        <v>14400</v>
      </c>
      <c r="H35"/>
      <c r="J35">
        <f>IF(DATA_ENERO_2026[[#This Row],[ASER_]]="","",VLOOKUP(DATA_ENERO_2026[[#This Row],[ASER_]],$B:$G,3,0))</f>
        <v>0.21166666666666667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SANDY</v>
      </c>
      <c r="M35">
        <f>IF(DATA_ENERO_2026[[#This Row],[SUPERVISOR]]="","",VLOOKUP(DATA_ENERO_2026[[#This Row],[ASER_]],$B:$G,6,0))</f>
        <v>10160</v>
      </c>
      <c r="N35">
        <f>IF(DATA_ENERO_2026[[#This Row],[RECUPERO]]="","",VLOOKUP($J$3&amp;$K$3&amp;DATA_ENERO_2026[[#This Row],[SUPERVISOR]],TablaMeta[],6,0))</f>
        <v>48000</v>
      </c>
      <c r="O35" t="s">
        <v>33</v>
      </c>
      <c r="P35">
        <v>335</v>
      </c>
      <c r="Q35">
        <v>0</v>
      </c>
      <c r="R35">
        <v>7300</v>
      </c>
      <c r="S35">
        <v>0</v>
      </c>
      <c r="T35">
        <v>300</v>
      </c>
      <c r="U35">
        <v>225</v>
      </c>
      <c r="V35">
        <v>0</v>
      </c>
      <c r="W35">
        <v>0</v>
      </c>
      <c r="X35">
        <v>2000</v>
      </c>
      <c r="Y35">
        <v>0</v>
      </c>
    </row>
    <row r="36" spans="1:25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MARIA BARRIONUEVO</v>
      </c>
      <c r="C36" s="37">
        <f>D1_ENERO_2026[[#This Row],[RECUPERO]]</f>
        <v>11370</v>
      </c>
      <c r="D36" s="36">
        <f>IFERROR(D1_ENERO_2026[[#This Row],[RECUP]]/VLOOKUP($J$3&amp;$K$3&amp;D1_ENERO_2026[[#This Row],[SUPER]],TablaMeta[],6,0),"")</f>
        <v>0.46408163265306124</v>
      </c>
      <c r="E36" s="36" t="str">
        <f>D1_ENERO_2026[[#This Row],[SUPER]]</f>
        <v>JOHAN</v>
      </c>
      <c r="F36" t="s">
        <v>443</v>
      </c>
      <c r="G36" s="3">
        <v>11370</v>
      </c>
      <c r="H36"/>
      <c r="J36">
        <f>IF(DATA_ENERO_2026[[#This Row],[ASER_]]="","",VLOOKUP(DATA_ENERO_2026[[#This Row],[ASER_]],$B:$G,3,0))</f>
        <v>0.34166666666666667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SANDY</v>
      </c>
      <c r="M36">
        <f>IF(DATA_ENERO_2026[[#This Row],[SUPERVISOR]]="","",VLOOKUP(DATA_ENERO_2026[[#This Row],[ASER_]],$B:$G,6,0))</f>
        <v>16400</v>
      </c>
      <c r="N36">
        <f>IF(DATA_ENERO_2026[[#This Row],[RECUPERO]]="","",VLOOKUP($J$3&amp;$K$3&amp;DATA_ENERO_2026[[#This Row],[SUPERVISOR]],TablaMeta[],6,0))</f>
        <v>48000</v>
      </c>
      <c r="O36" t="s">
        <v>13</v>
      </c>
      <c r="P36">
        <v>0</v>
      </c>
      <c r="Q36">
        <v>700</v>
      </c>
      <c r="R36">
        <v>2000</v>
      </c>
      <c r="S36">
        <v>3000</v>
      </c>
      <c r="T36">
        <v>0</v>
      </c>
      <c r="U36">
        <v>2500</v>
      </c>
      <c r="V36">
        <v>0</v>
      </c>
      <c r="W36">
        <v>5000</v>
      </c>
      <c r="X36">
        <v>700</v>
      </c>
      <c r="Y36">
        <v>2500</v>
      </c>
    </row>
    <row r="37" spans="1:25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CARLA VALENCIA</v>
      </c>
      <c r="C37" s="37">
        <f>D1_ENERO_2026[[#This Row],[RECUPERO]]</f>
        <v>10500</v>
      </c>
      <c r="D37" s="36">
        <f>IFERROR(D1_ENERO_2026[[#This Row],[RECUP]]/VLOOKUP($J$3&amp;$K$3&amp;D1_ENERO_2026[[#This Row],[SUPER]],TablaMeta[],6,0),"")</f>
        <v>0.42857142857142855</v>
      </c>
      <c r="E37" s="36" t="str">
        <f>D1_ENERO_2026[[#This Row],[SUPER]]</f>
        <v>JOHAN</v>
      </c>
      <c r="F37" t="s">
        <v>436</v>
      </c>
      <c r="G37" s="3">
        <v>10500</v>
      </c>
      <c r="H37"/>
      <c r="J37">
        <f>IF(DATA_ENERO_2026[[#This Row],[ASER_]]="","",VLOOKUP(DATA_ENERO_2026[[#This Row],[ASER_]],$B:$G,3,0))</f>
        <v>0.93354166666666671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&gt;70%</v>
      </c>
      <c r="L37" t="str">
        <f>IFERROR(VLOOKUP(DATA_ENERO_2026[[#This Row],[ASER_]],$B:$G,4,0),"")</f>
        <v>SANDY</v>
      </c>
      <c r="M37">
        <f>IF(DATA_ENERO_2026[[#This Row],[SUPERVISOR]]="","",VLOOKUP(DATA_ENERO_2026[[#This Row],[ASER_]],$B:$G,6,0))</f>
        <v>44810</v>
      </c>
      <c r="N37">
        <f>IF(DATA_ENERO_2026[[#This Row],[RECUPERO]]="","",VLOOKUP($J$3&amp;$K$3&amp;DATA_ENERO_2026[[#This Row],[SUPERVISOR]],TablaMeta[],6,0))</f>
        <v>48000</v>
      </c>
      <c r="O37" t="s">
        <v>96</v>
      </c>
      <c r="P37">
        <v>0</v>
      </c>
      <c r="Q37">
        <v>0</v>
      </c>
      <c r="R37">
        <v>0</v>
      </c>
      <c r="S37">
        <v>0</v>
      </c>
      <c r="T37">
        <v>2100</v>
      </c>
      <c r="U37">
        <v>23800</v>
      </c>
      <c r="V37">
        <v>1200</v>
      </c>
      <c r="W37">
        <v>6820</v>
      </c>
      <c r="X37">
        <v>0</v>
      </c>
      <c r="Y37">
        <v>10890</v>
      </c>
    </row>
    <row r="38" spans="1:25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SARITA GARAY</v>
      </c>
      <c r="C38" s="37">
        <f>D1_ENERO_2026[[#This Row],[RECUPERO]]</f>
        <v>7800</v>
      </c>
      <c r="D38" s="36">
        <f>IFERROR(D1_ENERO_2026[[#This Row],[RECUP]]/VLOOKUP($J$3&amp;$K$3&amp;D1_ENERO_2026[[#This Row],[SUPER]],TablaMeta[],6,0),"")</f>
        <v>0.3183673469387755</v>
      </c>
      <c r="E38" s="36" t="str">
        <f>D1_ENERO_2026[[#This Row],[SUPER]]</f>
        <v>JOHAN</v>
      </c>
      <c r="F38" t="s">
        <v>73</v>
      </c>
      <c r="G38" s="3">
        <v>7800</v>
      </c>
      <c r="H38"/>
      <c r="J38">
        <f>IF(DATA_ENERO_2026[[#This Row],[ASER_]]="","",VLOOKUP(DATA_ENERO_2026[[#This Row],[ASER_]],$B:$G,3,0))</f>
        <v>0.49302083333333335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&gt;40%</v>
      </c>
      <c r="L38" t="str">
        <f>IFERROR(VLOOKUP(DATA_ENERO_2026[[#This Row],[ASER_]],$B:$G,4,0),"")</f>
        <v>SANDY</v>
      </c>
      <c r="M38">
        <f>IF(DATA_ENERO_2026[[#This Row],[SUPERVISOR]]="","",VLOOKUP(DATA_ENERO_2026[[#This Row],[ASER_]],$B:$G,6,0))</f>
        <v>23665</v>
      </c>
      <c r="N38">
        <f>IF(DATA_ENERO_2026[[#This Row],[RECUPERO]]="","",VLOOKUP($J$3&amp;$K$3&amp;DATA_ENERO_2026[[#This Row],[SUPERVISOR]],TablaMeta[],6,0))</f>
        <v>48000</v>
      </c>
      <c r="O38" t="s">
        <v>24</v>
      </c>
      <c r="P38">
        <v>0</v>
      </c>
      <c r="Q38">
        <v>2850</v>
      </c>
      <c r="R38">
        <v>0</v>
      </c>
      <c r="S38">
        <v>3300</v>
      </c>
      <c r="T38">
        <v>200</v>
      </c>
      <c r="U38">
        <v>100</v>
      </c>
      <c r="V38">
        <v>0</v>
      </c>
      <c r="W38">
        <v>7435</v>
      </c>
      <c r="X38">
        <v>3000</v>
      </c>
      <c r="Y38">
        <v>5900</v>
      </c>
    </row>
    <row r="39" spans="1:25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GERALDINE ARROYO</v>
      </c>
      <c r="C39" s="37">
        <f>D1_ENERO_2026[[#This Row],[RECUPERO]]</f>
        <v>7173</v>
      </c>
      <c r="D39" s="36">
        <f>IFERROR(D1_ENERO_2026[[#This Row],[RECUP]]/VLOOKUP($J$3&amp;$K$3&amp;D1_ENERO_2026[[#This Row],[SUPER]],TablaMeta[],6,0),"")</f>
        <v>0.29277551020408166</v>
      </c>
      <c r="E39" s="36" t="str">
        <f>D1_ENERO_2026[[#This Row],[SUPER]]</f>
        <v>JOHAN</v>
      </c>
      <c r="F39" t="s">
        <v>51</v>
      </c>
      <c r="G39" s="3">
        <v>7173</v>
      </c>
      <c r="H39"/>
      <c r="J39">
        <f>IF(DATA_ENERO_2026[[#This Row],[ASER_]]="","",VLOOKUP(DATA_ENERO_2026[[#This Row],[ASER_]],$B:$G,3,0))</f>
        <v>0.71362007168458785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&gt;70%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19910</v>
      </c>
      <c r="N39">
        <f>IF(DATA_ENERO_2026[[#This Row],[RECUPERO]]="","",VLOOKUP($J$3&amp;$K$3&amp;DATA_ENERO_2026[[#This Row],[SUPERVISOR]],TablaMeta[],6,0))</f>
        <v>27900</v>
      </c>
      <c r="O39" t="s">
        <v>80</v>
      </c>
      <c r="P39">
        <v>3000</v>
      </c>
      <c r="Q39">
        <v>0</v>
      </c>
      <c r="R39">
        <v>8300</v>
      </c>
      <c r="S39">
        <v>0</v>
      </c>
      <c r="T39">
        <v>0</v>
      </c>
      <c r="U39">
        <v>0</v>
      </c>
      <c r="V39">
        <v>4200</v>
      </c>
      <c r="W39">
        <v>3710</v>
      </c>
      <c r="X39">
        <v>0</v>
      </c>
      <c r="Y39">
        <v>700</v>
      </c>
    </row>
    <row r="40" spans="1:25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MAYRA AVALOS</v>
      </c>
      <c r="C40" s="37">
        <f>D1_ENERO_2026[[#This Row],[RECUPERO]]</f>
        <v>4075</v>
      </c>
      <c r="D40" s="36">
        <f>IFERROR(D1_ENERO_2026[[#This Row],[RECUP]]/VLOOKUP($J$3&amp;$K$3&amp;D1_ENERO_2026[[#This Row],[SUPER]],TablaMeta[],6,0),"")</f>
        <v>0.16632653061224489</v>
      </c>
      <c r="E40" s="36" t="str">
        <f>D1_ENERO_2026[[#This Row],[SUPER]]</f>
        <v>JOHAN</v>
      </c>
      <c r="F40" t="s">
        <v>55</v>
      </c>
      <c r="G40" s="3">
        <v>4075</v>
      </c>
      <c r="H40"/>
      <c r="J40">
        <f>IF(DATA_ENERO_2026[[#This Row],[ASER_]]="","",VLOOKUP(DATA_ENERO_2026[[#This Row],[ASER_]],$B:$G,3,0))</f>
        <v>1.5555555555555555E-2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434</v>
      </c>
      <c r="N40">
        <f>IF(DATA_ENERO_2026[[#This Row],[RECUPERO]]="","",VLOOKUP($J$3&amp;$K$3&amp;DATA_ENERO_2026[[#This Row],[SUPERVISOR]],TablaMeta[],6,0))</f>
        <v>27900</v>
      </c>
      <c r="O40" t="s">
        <v>37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148</v>
      </c>
      <c r="X40">
        <v>286</v>
      </c>
      <c r="Y40">
        <v>0</v>
      </c>
    </row>
    <row r="41" spans="1:25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CHRISTIAN ALVARADO</v>
      </c>
      <c r="C41" s="37">
        <f>D1_ENERO_2026[[#This Row],[RECUPERO]]</f>
        <v>3986</v>
      </c>
      <c r="D41" s="36">
        <f>IFERROR(D1_ENERO_2026[[#This Row],[RECUP]]/VLOOKUP($J$3&amp;$K$3&amp;D1_ENERO_2026[[#This Row],[SUPER]],TablaMeta[],6,0),"")</f>
        <v>0.16269387755102041</v>
      </c>
      <c r="E41" s="36" t="str">
        <f>D1_ENERO_2026[[#This Row],[SUPER]]</f>
        <v>JOHAN</v>
      </c>
      <c r="F41" t="s">
        <v>41</v>
      </c>
      <c r="G41" s="3">
        <v>3986</v>
      </c>
      <c r="H41"/>
      <c r="J41">
        <f>IF(DATA_ENERO_2026[[#This Row],[ASER_]]="","",VLOOKUP(DATA_ENERO_2026[[#This Row],[ASER_]],$B:$G,3,0))</f>
        <v>0.8382795698924731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&gt;70%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23388</v>
      </c>
      <c r="N41">
        <f>IF(DATA_ENERO_2026[[#This Row],[RECUPERO]]="","",VLOOKUP($J$3&amp;$K$3&amp;DATA_ENERO_2026[[#This Row],[SUPERVISOR]],TablaMeta[],6,0))</f>
        <v>27900</v>
      </c>
      <c r="O41" t="s">
        <v>34</v>
      </c>
      <c r="P41" s="46">
        <v>500</v>
      </c>
      <c r="Q41">
        <v>5500</v>
      </c>
      <c r="R41">
        <v>8500</v>
      </c>
      <c r="S41">
        <v>3313</v>
      </c>
      <c r="T41">
        <v>0</v>
      </c>
      <c r="U41">
        <v>0</v>
      </c>
      <c r="V41">
        <v>0</v>
      </c>
      <c r="W41">
        <v>500</v>
      </c>
      <c r="X41">
        <v>4500</v>
      </c>
      <c r="Y41">
        <v>575</v>
      </c>
    </row>
    <row r="42" spans="1:25" x14ac:dyDescent="0.25">
      <c r="A42" s="35" t="str">
        <f>IFERROR(VLOOKUP(D1_ENERO_2026[[#This Row],[ASESOR_CRR]],PLANTILLA_ACTUAL[],2,0),"")</f>
        <v>JOHAN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DARYL FERREL</v>
      </c>
      <c r="C42" s="37">
        <f>D1_ENERO_2026[[#This Row],[RECUPERO]]</f>
        <v>3850</v>
      </c>
      <c r="D42" s="36">
        <f>IFERROR(D1_ENERO_2026[[#This Row],[RECUP]]/VLOOKUP($J$3&amp;$K$3&amp;D1_ENERO_2026[[#This Row],[SUPER]],TablaMeta[],6,0),"")</f>
        <v>0.15714285714285714</v>
      </c>
      <c r="E42" s="36" t="str">
        <f>D1_ENERO_2026[[#This Row],[SUPER]]</f>
        <v>JOHAN</v>
      </c>
      <c r="F42" t="s">
        <v>40</v>
      </c>
      <c r="G42" s="3">
        <v>3850</v>
      </c>
      <c r="H42"/>
      <c r="J42">
        <f>IF(DATA_ENERO_2026[[#This Row],[ASER_]]="","",VLOOKUP(DATA_ENERO_2026[[#This Row],[ASER_]],$B:$G,3,0))</f>
        <v>8.57347670250896E-2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2392</v>
      </c>
      <c r="N42">
        <f>IF(DATA_ENERO_2026[[#This Row],[RECUPERO]]="","",VLOOKUP($J$3&amp;$K$3&amp;DATA_ENERO_2026[[#This Row],[SUPERVISOR]],TablaMeta[],6,0))</f>
        <v>27900</v>
      </c>
      <c r="O42" t="s">
        <v>35</v>
      </c>
      <c r="P42" s="46">
        <v>0</v>
      </c>
      <c r="Q42">
        <v>800</v>
      </c>
      <c r="R42">
        <v>350</v>
      </c>
      <c r="S42">
        <v>0</v>
      </c>
      <c r="T42">
        <v>0</v>
      </c>
      <c r="U42">
        <v>257</v>
      </c>
      <c r="V42">
        <v>370</v>
      </c>
      <c r="W42">
        <v>500</v>
      </c>
      <c r="X42">
        <v>115</v>
      </c>
      <c r="Y42">
        <v>0</v>
      </c>
    </row>
    <row r="43" spans="1:25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MARIA HUARCAYA</v>
      </c>
      <c r="C43" s="37">
        <f>D1_ENERO_2026[[#This Row],[RECUPERO]]</f>
        <v>33683</v>
      </c>
      <c r="D43" s="36">
        <f>IFERROR(D1_ENERO_2026[[#This Row],[RECUP]]/VLOOKUP($J$3&amp;$K$3&amp;D1_ENERO_2026[[#This Row],[SUPER]],TablaMeta[],6,0),"")</f>
        <v>1.0332208588957055</v>
      </c>
      <c r="E43" s="36" t="str">
        <f>D1_ENERO_2026[[#This Row],[SUPER]]</f>
        <v>JORGE</v>
      </c>
      <c r="F43" t="s">
        <v>38</v>
      </c>
      <c r="G43" s="3">
        <v>33683</v>
      </c>
      <c r="H43"/>
      <c r="J43">
        <f>IF(DATA_ENERO_2026[[#This Row],[ASER_]]="","",VLOOKUP(DATA_ENERO_2026[[#This Row],[ASER_]],$B:$G,3,0))</f>
        <v>0.75089605734767029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&gt;70%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20950</v>
      </c>
      <c r="N43">
        <f>IF(DATA_ENERO_2026[[#This Row],[RECUPERO]]="","",VLOOKUP($J$3&amp;$K$3&amp;DATA_ENERO_2026[[#This Row],[SUPERVISOR]],TablaMeta[],6,0))</f>
        <v>27900</v>
      </c>
      <c r="O43" t="s">
        <v>19</v>
      </c>
      <c r="P43">
        <v>0</v>
      </c>
      <c r="Q43">
        <v>0</v>
      </c>
      <c r="R43">
        <v>0</v>
      </c>
      <c r="S43">
        <v>3200</v>
      </c>
      <c r="T43">
        <v>500</v>
      </c>
      <c r="U43">
        <v>2000</v>
      </c>
      <c r="V43">
        <v>7000</v>
      </c>
      <c r="W43">
        <v>5000</v>
      </c>
      <c r="X43">
        <v>3250</v>
      </c>
      <c r="Y43">
        <v>0</v>
      </c>
    </row>
    <row r="44" spans="1:25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VICTOR RAMIREZ</v>
      </c>
      <c r="C44" s="37">
        <f>D1_ENERO_2026[[#This Row],[RECUPERO]]</f>
        <v>30155</v>
      </c>
      <c r="D44" s="36">
        <f>IFERROR(D1_ENERO_2026[[#This Row],[RECUP]]/VLOOKUP($J$3&amp;$K$3&amp;D1_ENERO_2026[[#This Row],[SUPER]],TablaMeta[],6,0),"")</f>
        <v>0.92500000000000004</v>
      </c>
      <c r="E44" s="36" t="str">
        <f>D1_ENERO_2026[[#This Row],[SUPER]]</f>
        <v>JORGE</v>
      </c>
      <c r="F44" t="s">
        <v>76</v>
      </c>
      <c r="G44" s="3">
        <v>30155</v>
      </c>
      <c r="H44"/>
      <c r="J44">
        <f>IF(DATA_ENERO_2026[[#This Row],[ASER_]]="","",VLOOKUP(DATA_ENERO_2026[[#This Row],[ASER_]],$B:$G,3,0))</f>
        <v>1.1827598566308244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&gt;100%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32999</v>
      </c>
      <c r="N44">
        <f>IF(DATA_ENERO_2026[[#This Row],[RECUPERO]]="","",VLOOKUP($J$3&amp;$K$3&amp;DATA_ENERO_2026[[#This Row],[SUPERVISOR]],TablaMeta[],6,0))</f>
        <v>27900</v>
      </c>
      <c r="O44" t="s">
        <v>81</v>
      </c>
      <c r="P44">
        <v>0</v>
      </c>
      <c r="Q44">
        <v>0</v>
      </c>
      <c r="R44">
        <v>0</v>
      </c>
      <c r="S44">
        <v>0</v>
      </c>
      <c r="T44">
        <v>0</v>
      </c>
      <c r="U44">
        <v>28574</v>
      </c>
      <c r="V44">
        <v>0</v>
      </c>
      <c r="W44">
        <v>3925</v>
      </c>
      <c r="X44">
        <v>0</v>
      </c>
      <c r="Y44">
        <v>500</v>
      </c>
    </row>
    <row r="45" spans="1:25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MALORY MONTEBLANCO</v>
      </c>
      <c r="C45" s="37">
        <f>D1_ENERO_2026[[#This Row],[RECUPERO]]</f>
        <v>28238</v>
      </c>
      <c r="D45" s="36">
        <f>IFERROR(D1_ENERO_2026[[#This Row],[RECUP]]/VLOOKUP($J$3&amp;$K$3&amp;D1_ENERO_2026[[#This Row],[SUPER]],TablaMeta[],6,0),"")</f>
        <v>0.86619631901840488</v>
      </c>
      <c r="E45" s="36" t="str">
        <f>D1_ENERO_2026[[#This Row],[SUPER]]</f>
        <v>JORGE</v>
      </c>
      <c r="F45" t="s">
        <v>25</v>
      </c>
      <c r="G45" s="3">
        <v>28238</v>
      </c>
      <c r="H45"/>
      <c r="J45">
        <f>IF(DATA_ENERO_2026[[#This Row],[ASER_]]="","",VLOOKUP(DATA_ENERO_2026[[#This Row],[ASER_]],$B:$G,3,0))</f>
        <v>1.226989247311828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&gt;100%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34233</v>
      </c>
      <c r="N45">
        <f>IF(DATA_ENERO_2026[[#This Row],[RECUPERO]]="","",VLOOKUP($J$3&amp;$K$3&amp;DATA_ENERO_2026[[#This Row],[SUPERVISOR]],TablaMeta[],6,0))</f>
        <v>27900</v>
      </c>
      <c r="O45" t="s">
        <v>50</v>
      </c>
      <c r="P45">
        <v>13500</v>
      </c>
      <c r="Q45">
        <v>350</v>
      </c>
      <c r="R45">
        <v>0</v>
      </c>
      <c r="S45">
        <v>0</v>
      </c>
      <c r="T45">
        <v>0</v>
      </c>
      <c r="U45">
        <v>0</v>
      </c>
      <c r="V45">
        <v>8485</v>
      </c>
      <c r="W45">
        <v>6750</v>
      </c>
      <c r="X45">
        <v>4500</v>
      </c>
      <c r="Y45">
        <v>648</v>
      </c>
    </row>
    <row r="46" spans="1:25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LUCERO JORDAN</v>
      </c>
      <c r="C46" s="37">
        <f>D1_ENERO_2026[[#This Row],[RECUPERO]]</f>
        <v>13650</v>
      </c>
      <c r="D46" s="36">
        <f>IFERROR(D1_ENERO_2026[[#This Row],[RECUP]]/VLOOKUP($J$3&amp;$K$3&amp;D1_ENERO_2026[[#This Row],[SUPER]],TablaMeta[],6,0),"")</f>
        <v>0.41871165644171782</v>
      </c>
      <c r="E46" s="36" t="str">
        <f>D1_ENERO_2026[[#This Row],[SUPER]]</f>
        <v>JORGE</v>
      </c>
      <c r="F46" t="s">
        <v>68</v>
      </c>
      <c r="G46" s="3">
        <v>13650</v>
      </c>
      <c r="H46"/>
      <c r="J46">
        <f>IF(DATA_ENERO_2026[[#This Row],[ASER_]]="","",VLOOKUP(DATA_ENERO_2026[[#This Row],[ASER_]],$B:$G,3,0))</f>
        <v>0.76003584229390686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&gt;70%</v>
      </c>
      <c r="L46" t="str">
        <f>IFERROR(VLOOKUP(DATA_ENERO_2026[[#This Row],[ASER_]],$B:$G,4,0),"")</f>
        <v>KENNETH</v>
      </c>
      <c r="M46">
        <f>IF(DATA_ENERO_2026[[#This Row],[SUPERVISOR]]="","",VLOOKUP(DATA_ENERO_2026[[#This Row],[ASER_]],$B:$G,6,0))</f>
        <v>21205</v>
      </c>
      <c r="N46">
        <f>IF(DATA_ENERO_2026[[#This Row],[RECUPERO]]="","",VLOOKUP($J$3&amp;$K$3&amp;DATA_ENERO_2026[[#This Row],[SUPERVISOR]],TablaMeta[],6,0))</f>
        <v>27900</v>
      </c>
      <c r="O46" t="s">
        <v>106</v>
      </c>
      <c r="R46">
        <v>0</v>
      </c>
      <c r="S46">
        <v>0</v>
      </c>
      <c r="T46">
        <v>20000</v>
      </c>
      <c r="U46">
        <v>600</v>
      </c>
      <c r="V46">
        <v>0</v>
      </c>
      <c r="W46">
        <v>0</v>
      </c>
      <c r="X46">
        <v>0</v>
      </c>
      <c r="Y46">
        <v>605</v>
      </c>
    </row>
    <row r="47" spans="1:25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HAROLD FLORES</v>
      </c>
      <c r="C47" s="37">
        <f>D1_ENERO_2026[[#This Row],[RECUPERO]]</f>
        <v>13231.13</v>
      </c>
      <c r="D47" s="36">
        <f>IFERROR(D1_ENERO_2026[[#This Row],[RECUP]]/VLOOKUP($J$3&amp;$K$3&amp;D1_ENERO_2026[[#This Row],[SUPER]],TablaMeta[],6,0),"")</f>
        <v>0.4058628834355828</v>
      </c>
      <c r="E47" s="36" t="str">
        <f>D1_ENERO_2026[[#This Row],[SUPER]]</f>
        <v>JORGE</v>
      </c>
      <c r="F47" t="s">
        <v>42</v>
      </c>
      <c r="G47" s="3">
        <v>13231.13</v>
      </c>
      <c r="H47"/>
      <c r="J47">
        <f>IF(DATA_ENERO_2026[[#This Row],[ASER_]]="","",VLOOKUP(DATA_ENERO_2026[[#This Row],[ASER_]],$B:$G,3,0))</f>
        <v>0.25853046594982076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KENNETH</v>
      </c>
      <c r="M47">
        <f>IF(DATA_ENERO_2026[[#This Row],[SUPERVISOR]]="","",VLOOKUP(DATA_ENERO_2026[[#This Row],[ASER_]],$B:$G,6,0))</f>
        <v>7213</v>
      </c>
      <c r="N47">
        <f>IF(DATA_ENERO_2026[[#This Row],[RECUPERO]]="","",VLOOKUP($J$3&amp;$K$3&amp;DATA_ENERO_2026[[#This Row],[SUPERVISOR]],TablaMeta[],6,0))</f>
        <v>27900</v>
      </c>
      <c r="O47" t="s">
        <v>26</v>
      </c>
      <c r="P47">
        <v>1500</v>
      </c>
      <c r="Q47">
        <v>0</v>
      </c>
      <c r="R47" s="46">
        <v>3500</v>
      </c>
      <c r="S47">
        <v>950</v>
      </c>
      <c r="T47">
        <v>0</v>
      </c>
      <c r="U47">
        <v>0</v>
      </c>
      <c r="V47">
        <v>0</v>
      </c>
      <c r="W47">
        <v>0</v>
      </c>
      <c r="X47">
        <v>0</v>
      </c>
      <c r="Y47">
        <v>1263</v>
      </c>
    </row>
    <row r="48" spans="1:25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LUIS VALLADARES</v>
      </c>
      <c r="C48" s="37">
        <f>D1_ENERO_2026[[#This Row],[RECUPERO]]</f>
        <v>8203.4</v>
      </c>
      <c r="D48" s="36">
        <f>IFERROR(D1_ENERO_2026[[#This Row],[RECUP]]/VLOOKUP($J$3&amp;$K$3&amp;D1_ENERO_2026[[#This Row],[SUPER]],TablaMeta[],6,0),"")</f>
        <v>0.25163803680981595</v>
      </c>
      <c r="E48" s="36" t="str">
        <f>D1_ENERO_2026[[#This Row],[SUPER]]</f>
        <v>JORGE</v>
      </c>
      <c r="F48" t="s">
        <v>29</v>
      </c>
      <c r="G48" s="3">
        <v>8203.4</v>
      </c>
      <c r="H48"/>
      <c r="J48">
        <f>IF(DATA_ENERO_2026[[#This Row],[ASER_]]="","",VLOOKUP(DATA_ENERO_2026[[#This Row],[ASER_]],$B:$G,3,0))</f>
        <v>0.75716845878136196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&gt;70%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21125</v>
      </c>
      <c r="N48">
        <f>IF(DATA_ENERO_2026[[#This Row],[RECUPERO]]="","",VLOOKUP($J$3&amp;$K$3&amp;DATA_ENERO_2026[[#This Row],[SUPERVISOR]],TablaMeta[],6,0))</f>
        <v>27900</v>
      </c>
      <c r="O48" t="s">
        <v>11</v>
      </c>
      <c r="P48">
        <v>3300</v>
      </c>
      <c r="Q48">
        <v>1500</v>
      </c>
      <c r="R48">
        <v>0</v>
      </c>
      <c r="S48">
        <v>0</v>
      </c>
      <c r="T48">
        <v>675</v>
      </c>
      <c r="U48">
        <v>0</v>
      </c>
      <c r="V48">
        <v>0</v>
      </c>
      <c r="W48">
        <v>0</v>
      </c>
      <c r="X48">
        <v>13500</v>
      </c>
      <c r="Y48">
        <v>2150</v>
      </c>
    </row>
    <row r="49" spans="1:25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URSULA CENTENO</v>
      </c>
      <c r="C49" s="37">
        <f>D1_ENERO_2026[[#This Row],[RECUPERO]]</f>
        <v>8090</v>
      </c>
      <c r="D49" s="36">
        <f>IFERROR(D1_ENERO_2026[[#This Row],[RECUP]]/VLOOKUP($J$3&amp;$K$3&amp;D1_ENERO_2026[[#This Row],[SUPER]],TablaMeta[],6,0),"")</f>
        <v>0.248159509202454</v>
      </c>
      <c r="E49" s="36" t="str">
        <f>D1_ENERO_2026[[#This Row],[SUPER]]</f>
        <v>JORGE</v>
      </c>
      <c r="F49" t="s">
        <v>78</v>
      </c>
      <c r="G49" s="3">
        <v>8090</v>
      </c>
      <c r="H49"/>
      <c r="J49">
        <f>IF(DATA_ENERO_2026[[#This Row],[ASER_]]="","",VLOOKUP(DATA_ENERO_2026[[#This Row],[ASER_]],$B:$G,3,0))</f>
        <v>1.0332208588957055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&gt;100%</v>
      </c>
      <c r="L49" t="str">
        <f>IFERROR(VLOOKUP(DATA_ENERO_2026[[#This Row],[ASER_]],$B:$G,4,0),"")</f>
        <v>JORGE</v>
      </c>
      <c r="M49">
        <f>IF(DATA_ENERO_2026[[#This Row],[SUPERVISOR]]="","",VLOOKUP(DATA_ENERO_2026[[#This Row],[ASER_]],$B:$G,6,0))</f>
        <v>33683</v>
      </c>
      <c r="N49">
        <f>IF(DATA_ENERO_2026[[#This Row],[RECUPERO]]="","",VLOOKUP($J$3&amp;$K$3&amp;DATA_ENERO_2026[[#This Row],[SUPERVISOR]],TablaMeta[],6,0))</f>
        <v>32600</v>
      </c>
      <c r="O49" t="s">
        <v>38</v>
      </c>
      <c r="P49">
        <v>0</v>
      </c>
      <c r="Q49">
        <v>0</v>
      </c>
      <c r="R49">
        <v>0</v>
      </c>
      <c r="S49">
        <v>0</v>
      </c>
      <c r="T49">
        <v>0</v>
      </c>
      <c r="U49">
        <v>8573</v>
      </c>
      <c r="V49">
        <v>18000</v>
      </c>
      <c r="W49">
        <v>0</v>
      </c>
      <c r="X49">
        <v>910</v>
      </c>
      <c r="Y49">
        <v>6200</v>
      </c>
    </row>
    <row r="50" spans="1:25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ANDERSON RODRIGUEZ</v>
      </c>
      <c r="C50" s="37">
        <f>D1_ENERO_2026[[#This Row],[RECUPERO]]</f>
        <v>6821</v>
      </c>
      <c r="D50" s="36">
        <f>IFERROR(D1_ENERO_2026[[#This Row],[RECUP]]/VLOOKUP($J$3&amp;$K$3&amp;D1_ENERO_2026[[#This Row],[SUPER]],TablaMeta[],6,0),"")</f>
        <v>0.20923312883435582</v>
      </c>
      <c r="E50" s="36" t="str">
        <f>D1_ENERO_2026[[#This Row],[SUPER]]</f>
        <v>JORGE</v>
      </c>
      <c r="F50" t="s">
        <v>15</v>
      </c>
      <c r="G50" s="3">
        <v>6821</v>
      </c>
      <c r="H50"/>
      <c r="J50">
        <f>IF(DATA_ENERO_2026[[#This Row],[ASER_]]="","",VLOOKUP(DATA_ENERO_2026[[#This Row],[ASER_]],$B:$G,3,0))</f>
        <v>0.41871165644171782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&gt;40%</v>
      </c>
      <c r="L50" t="str">
        <f>IFERROR(VLOOKUP(DATA_ENERO_2026[[#This Row],[ASER_]],$B:$G,4,0),"")</f>
        <v>JORGE</v>
      </c>
      <c r="M50">
        <f>IF(DATA_ENERO_2026[[#This Row],[SUPERVISOR]]="","",VLOOKUP(DATA_ENERO_2026[[#This Row],[ASER_]],$B:$G,6,0))</f>
        <v>13650</v>
      </c>
      <c r="N50">
        <f>IF(DATA_ENERO_2026[[#This Row],[RECUPERO]]="","",VLOOKUP($J$3&amp;$K$3&amp;DATA_ENERO_2026[[#This Row],[SUPERVISOR]],TablaMeta[],6,0))</f>
        <v>32600</v>
      </c>
      <c r="O50" t="s">
        <v>68</v>
      </c>
      <c r="P50">
        <v>0</v>
      </c>
      <c r="Q50">
        <v>0</v>
      </c>
      <c r="R50">
        <v>0</v>
      </c>
      <c r="S50">
        <v>0</v>
      </c>
      <c r="T50">
        <v>6000</v>
      </c>
      <c r="U50">
        <v>0</v>
      </c>
      <c r="V50">
        <v>1400</v>
      </c>
      <c r="W50">
        <v>3250</v>
      </c>
      <c r="X50">
        <v>0</v>
      </c>
      <c r="Y50">
        <v>3000</v>
      </c>
    </row>
    <row r="51" spans="1:25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NATALIA MARIN</v>
      </c>
      <c r="C51" s="37">
        <f>D1_ENERO_2026[[#This Row],[RECUPERO]]</f>
        <v>400</v>
      </c>
      <c r="D51" s="36">
        <f>IFERROR(D1_ENERO_2026[[#This Row],[RECUP]]/VLOOKUP($J$3&amp;$K$3&amp;D1_ENERO_2026[[#This Row],[SUPER]],TablaMeta[],6,0),"")</f>
        <v>1.2269938650306749E-2</v>
      </c>
      <c r="E51" s="36" t="str">
        <f>D1_ENERO_2026[[#This Row],[SUPER]]</f>
        <v>JORGE</v>
      </c>
      <c r="F51" t="s">
        <v>79</v>
      </c>
      <c r="G51" s="3">
        <v>400</v>
      </c>
      <c r="H51"/>
      <c r="J51">
        <f>IF(DATA_ENERO_2026[[#This Row],[ASER_]]="","",VLOOKUP(DATA_ENERO_2026[[#This Row],[ASER_]],$B:$G,3,0))</f>
        <v>0.25163803680981595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8203.4</v>
      </c>
      <c r="N51">
        <f>IF(DATA_ENERO_2026[[#This Row],[RECUPERO]]="","",VLOOKUP($J$3&amp;$K$3&amp;DATA_ENERO_2026[[#This Row],[SUPERVISOR]],TablaMeta[],6,0))</f>
        <v>32600</v>
      </c>
      <c r="O51" t="s">
        <v>29</v>
      </c>
      <c r="P51">
        <v>1108</v>
      </c>
      <c r="Q51">
        <v>0</v>
      </c>
      <c r="R51">
        <v>250</v>
      </c>
      <c r="S51">
        <v>380</v>
      </c>
      <c r="T51">
        <v>0</v>
      </c>
      <c r="U51">
        <v>1650</v>
      </c>
      <c r="V51">
        <v>0</v>
      </c>
      <c r="W51">
        <v>0</v>
      </c>
      <c r="X51">
        <v>3815</v>
      </c>
      <c r="Y51">
        <v>1000</v>
      </c>
    </row>
    <row r="52" spans="1:25" x14ac:dyDescent="0.25">
      <c r="H52"/>
      <c r="J52">
        <f>IF(DATA_ENERO_2026[[#This Row],[ASER_]]="","",VLOOKUP(DATA_ENERO_2026[[#This Row],[ASER_]],$B:$G,3,0))</f>
        <v>0.4058628834355828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&gt;40%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13231.13</v>
      </c>
      <c r="N52">
        <f>IF(DATA_ENERO_2026[[#This Row],[RECUPERO]]="","",VLOOKUP($J$3&amp;$K$3&amp;DATA_ENERO_2026[[#This Row],[SUPERVISOR]],TablaMeta[],6,0))</f>
        <v>32600</v>
      </c>
      <c r="O52" t="s">
        <v>42</v>
      </c>
      <c r="P52">
        <v>0</v>
      </c>
      <c r="Q52">
        <v>1650</v>
      </c>
      <c r="R52">
        <v>0</v>
      </c>
      <c r="S52">
        <v>1825</v>
      </c>
      <c r="T52">
        <v>0</v>
      </c>
      <c r="U52">
        <v>0</v>
      </c>
      <c r="V52">
        <v>0</v>
      </c>
      <c r="W52">
        <v>5000</v>
      </c>
      <c r="X52">
        <v>4631.13</v>
      </c>
      <c r="Y52">
        <v>125</v>
      </c>
    </row>
    <row r="53" spans="1:25" x14ac:dyDescent="0.25">
      <c r="H53"/>
      <c r="J53" s="58">
        <f>IF(DATA_ENERO_2026[[#This Row],[ASER_]]="","",VLOOKUP(DATA_ENERO_2026[[#This Row],[ASER_]],$B:$G,3,0))</f>
        <v>0.20923312883435582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6821</v>
      </c>
      <c r="N53">
        <f>IF(DATA_ENERO_2026[[#This Row],[RECUPERO]]="","",VLOOKUP($J$3&amp;$K$3&amp;DATA_ENERO_2026[[#This Row],[SUPERVISOR]],TablaMeta[],6,0))</f>
        <v>32600</v>
      </c>
      <c r="O53" t="s">
        <v>15</v>
      </c>
      <c r="P53">
        <v>0</v>
      </c>
      <c r="Q53">
        <v>0</v>
      </c>
      <c r="R53">
        <v>0</v>
      </c>
      <c r="S53">
        <v>0</v>
      </c>
      <c r="T53">
        <v>351</v>
      </c>
      <c r="U53">
        <v>340</v>
      </c>
      <c r="V53">
        <v>0</v>
      </c>
      <c r="W53">
        <v>3130</v>
      </c>
      <c r="X53">
        <v>0</v>
      </c>
      <c r="Y53">
        <v>3000</v>
      </c>
    </row>
    <row r="54" spans="1:25" x14ac:dyDescent="0.25">
      <c r="H54"/>
      <c r="J54" s="58">
        <f>IF(DATA_ENERO_2026[[#This Row],[ASER_]]="","",VLOOKUP(DATA_ENERO_2026[[#This Row],[ASER_]],$B:$G,3,0))</f>
        <v>0.86619631901840488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&gt;70%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28238</v>
      </c>
      <c r="N54">
        <f>IF(DATA_ENERO_2026[[#This Row],[RECUPERO]]="","",VLOOKUP($J$3&amp;$K$3&amp;DATA_ENERO_2026[[#This Row],[SUPERVISOR]],TablaMeta[],6,0))</f>
        <v>32600</v>
      </c>
      <c r="O54" t="s">
        <v>25</v>
      </c>
      <c r="P54">
        <v>0</v>
      </c>
      <c r="Q54">
        <v>458</v>
      </c>
      <c r="R54">
        <v>0</v>
      </c>
      <c r="S54">
        <v>0</v>
      </c>
      <c r="T54">
        <v>10500</v>
      </c>
      <c r="U54">
        <v>0</v>
      </c>
      <c r="V54">
        <v>2500</v>
      </c>
      <c r="W54">
        <v>4780</v>
      </c>
      <c r="X54">
        <v>10000</v>
      </c>
      <c r="Y54">
        <v>0</v>
      </c>
    </row>
    <row r="55" spans="1:25" x14ac:dyDescent="0.25">
      <c r="H55"/>
      <c r="J55" s="58">
        <f>IF(DATA_ENERO_2026[[#This Row],[ASER_]]="","",VLOOKUP(DATA_ENERO_2026[[#This Row],[ASER_]],$B:$G,3,0))</f>
        <v>0.92500000000000004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&gt;70%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30155</v>
      </c>
      <c r="N55">
        <f>IF(DATA_ENERO_2026[[#This Row],[RECUPERO]]="","",VLOOKUP($J$3&amp;$K$3&amp;DATA_ENERO_2026[[#This Row],[SUPERVISOR]],TablaMeta[],6,0))</f>
        <v>32600</v>
      </c>
      <c r="O55" t="s">
        <v>76</v>
      </c>
      <c r="P55">
        <v>0</v>
      </c>
      <c r="Q55">
        <v>8000</v>
      </c>
      <c r="R55">
        <v>0</v>
      </c>
      <c r="S55">
        <v>800</v>
      </c>
      <c r="T55">
        <v>0</v>
      </c>
      <c r="U55">
        <v>4000</v>
      </c>
      <c r="V55">
        <v>4200</v>
      </c>
      <c r="W55">
        <v>8050</v>
      </c>
      <c r="X55">
        <v>0</v>
      </c>
      <c r="Y55">
        <v>5105</v>
      </c>
    </row>
    <row r="56" spans="1:25" x14ac:dyDescent="0.25">
      <c r="H56"/>
      <c r="J56" s="58">
        <f>IF(DATA_ENERO_2026[[#This Row],[ASER_]]="","",VLOOKUP(DATA_ENERO_2026[[#This Row],[ASER_]],$B:$G,3,0))</f>
        <v>1.2269938650306749E-2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400</v>
      </c>
      <c r="N56">
        <f>IF(DATA_ENERO_2026[[#This Row],[RECUPERO]]="","",VLOOKUP($J$3&amp;$K$3&amp;DATA_ENERO_2026[[#This Row],[SUPERVISOR]],TablaMeta[],6,0))</f>
        <v>32600</v>
      </c>
      <c r="O56" t="s">
        <v>79</v>
      </c>
      <c r="P56">
        <v>0</v>
      </c>
      <c r="Q56">
        <v>0</v>
      </c>
      <c r="R56">
        <v>400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H57"/>
      <c r="J57">
        <f>IF(DATA_ENERO_2026[[#This Row],[ASER_]]="","",VLOOKUP(DATA_ENERO_2026[[#This Row],[ASER_]],$B:$G,3,0))</f>
        <v>0.248159509202454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JORGE</v>
      </c>
      <c r="M57">
        <f>IF(DATA_ENERO_2026[[#This Row],[SUPERVISOR]]="","",VLOOKUP(DATA_ENERO_2026[[#This Row],[ASER_]],$B:$G,6,0))</f>
        <v>8090</v>
      </c>
      <c r="N57">
        <f>IF(DATA_ENERO_2026[[#This Row],[RECUPERO]]="","",VLOOKUP($J$3&amp;$K$3&amp;DATA_ENERO_2026[[#This Row],[SUPERVISOR]],TablaMeta[],6,0))</f>
        <v>32600</v>
      </c>
      <c r="O57" t="s">
        <v>78</v>
      </c>
      <c r="P57">
        <v>500</v>
      </c>
      <c r="Q57">
        <v>0</v>
      </c>
      <c r="R57">
        <v>0</v>
      </c>
      <c r="S57">
        <v>0</v>
      </c>
      <c r="T57">
        <v>0</v>
      </c>
      <c r="U57">
        <v>1640</v>
      </c>
      <c r="V57">
        <v>450</v>
      </c>
      <c r="W57">
        <v>0</v>
      </c>
      <c r="X57">
        <v>3500</v>
      </c>
      <c r="Y57">
        <v>2000</v>
      </c>
    </row>
    <row r="58" spans="1:25" x14ac:dyDescent="0.25">
      <c r="H58"/>
    </row>
    <row r="59" spans="1:25" x14ac:dyDescent="0.25">
      <c r="H59"/>
    </row>
    <row r="60" spans="1:25" x14ac:dyDescent="0.25">
      <c r="H60"/>
    </row>
    <row r="61" spans="1:25" x14ac:dyDescent="0.25">
      <c r="F61" s="3"/>
      <c r="G61" s="1"/>
      <c r="H61"/>
    </row>
    <row r="62" spans="1:25" x14ac:dyDescent="0.25">
      <c r="F62" s="3"/>
      <c r="G62" s="1"/>
      <c r="H62"/>
    </row>
    <row r="63" spans="1:25" x14ac:dyDescent="0.25">
      <c r="F63" s="3"/>
      <c r="G63" s="1"/>
    </row>
    <row r="64" spans="1:25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topLeftCell="B14" workbookViewId="0">
      <selection activeCell="D19" sqref="D1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446</v>
      </c>
      <c r="B1" t="s">
        <v>598</v>
      </c>
      <c r="C1" t="s">
        <v>590</v>
      </c>
      <c r="D1" t="s">
        <v>589</v>
      </c>
      <c r="E1" t="s">
        <v>596</v>
      </c>
      <c r="F1" t="s">
        <v>181</v>
      </c>
      <c r="G1" t="s">
        <v>597</v>
      </c>
    </row>
    <row r="2" spans="1:7" x14ac:dyDescent="0.25">
      <c r="A2" t="s">
        <v>58</v>
      </c>
      <c r="B2" t="s">
        <v>599</v>
      </c>
      <c r="C2" s="59">
        <v>34110</v>
      </c>
      <c r="D2" t="s">
        <v>452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599</v>
      </c>
      <c r="C3" s="59">
        <v>35504</v>
      </c>
      <c r="D3" t="s">
        <v>447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470</v>
      </c>
      <c r="B4" t="s">
        <v>600</v>
      </c>
      <c r="C4" s="59">
        <v>34917</v>
      </c>
      <c r="D4" t="s">
        <v>471</v>
      </c>
      <c r="E4" t="s">
        <v>591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448</v>
      </c>
      <c r="B5" t="s">
        <v>135</v>
      </c>
      <c r="C5" s="59">
        <v>34332</v>
      </c>
      <c r="D5" t="s">
        <v>449</v>
      </c>
      <c r="E5" t="s">
        <v>591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450</v>
      </c>
      <c r="B6" t="s">
        <v>135</v>
      </c>
      <c r="C6" s="59">
        <v>32748</v>
      </c>
      <c r="D6" t="s">
        <v>451</v>
      </c>
      <c r="E6" t="s">
        <v>591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472</v>
      </c>
      <c r="B7" t="s">
        <v>601</v>
      </c>
      <c r="C7" s="59">
        <v>32523</v>
      </c>
      <c r="D7" t="s">
        <v>473</v>
      </c>
      <c r="E7" t="s">
        <v>591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476</v>
      </c>
      <c r="B8" t="s">
        <v>602</v>
      </c>
      <c r="C8" s="59">
        <v>31700</v>
      </c>
      <c r="D8" t="s">
        <v>477</v>
      </c>
      <c r="E8" t="s">
        <v>591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599</v>
      </c>
      <c r="C9" s="59">
        <v>29446</v>
      </c>
      <c r="D9" t="s">
        <v>453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474</v>
      </c>
      <c r="B10" t="s">
        <v>603</v>
      </c>
      <c r="C10" s="59">
        <v>30884</v>
      </c>
      <c r="D10" t="s">
        <v>475</v>
      </c>
      <c r="E10" t="s">
        <v>591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599</v>
      </c>
      <c r="C11" s="59">
        <v>36072</v>
      </c>
      <c r="D11" t="s">
        <v>454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599</v>
      </c>
      <c r="C12" s="59">
        <v>29802</v>
      </c>
      <c r="D12" t="s">
        <v>457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455</v>
      </c>
      <c r="B13" t="s">
        <v>135</v>
      </c>
      <c r="C13" s="59">
        <v>35909</v>
      </c>
      <c r="D13" t="s">
        <v>456</v>
      </c>
      <c r="E13" t="s">
        <v>591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458</v>
      </c>
      <c r="B14" t="s">
        <v>135</v>
      </c>
      <c r="C14" s="59">
        <v>37410</v>
      </c>
      <c r="D14" t="s">
        <v>459</v>
      </c>
      <c r="E14" t="s">
        <v>591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468</v>
      </c>
      <c r="B15" t="s">
        <v>604</v>
      </c>
      <c r="C15" s="59">
        <v>35013</v>
      </c>
      <c r="D15" t="s">
        <v>469</v>
      </c>
      <c r="E15" t="s">
        <v>591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464</v>
      </c>
      <c r="B16" t="s">
        <v>605</v>
      </c>
      <c r="C16" s="59">
        <v>32507</v>
      </c>
      <c r="D16" t="s">
        <v>465</v>
      </c>
      <c r="E16" t="s">
        <v>591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460</v>
      </c>
      <c r="B17" t="s">
        <v>135</v>
      </c>
      <c r="C17" s="59">
        <v>34369</v>
      </c>
      <c r="D17" t="s">
        <v>461</v>
      </c>
      <c r="E17" t="s">
        <v>591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462</v>
      </c>
      <c r="B18" t="s">
        <v>135</v>
      </c>
      <c r="C18" s="59">
        <v>34159</v>
      </c>
      <c r="D18" t="s">
        <v>463</v>
      </c>
      <c r="E18" t="s">
        <v>591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466</v>
      </c>
      <c r="B19" t="s">
        <v>606</v>
      </c>
      <c r="C19" s="59">
        <v>32245</v>
      </c>
      <c r="D19" t="s">
        <v>467</v>
      </c>
      <c r="E19" t="s">
        <v>591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478</v>
      </c>
      <c r="B20" t="s">
        <v>607</v>
      </c>
      <c r="C20" s="59">
        <v>28072</v>
      </c>
      <c r="D20" t="s">
        <v>479</v>
      </c>
      <c r="E20" t="s">
        <v>591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599</v>
      </c>
      <c r="C21" s="59">
        <v>35268</v>
      </c>
      <c r="D21" t="s">
        <v>480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599</v>
      </c>
      <c r="C22" s="59">
        <v>32742</v>
      </c>
      <c r="D22" t="s">
        <v>481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599</v>
      </c>
      <c r="C23" s="59">
        <v>34138</v>
      </c>
      <c r="D23" t="s">
        <v>482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599</v>
      </c>
      <c r="C24" s="59">
        <v>35905</v>
      </c>
      <c r="D24" t="s">
        <v>483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484</v>
      </c>
      <c r="B25" t="s">
        <v>135</v>
      </c>
      <c r="C25" s="59">
        <v>31900</v>
      </c>
      <c r="D25" t="s">
        <v>485</v>
      </c>
      <c r="E25" t="s">
        <v>591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599</v>
      </c>
      <c r="C26" s="59">
        <v>34083</v>
      </c>
      <c r="D26" t="s">
        <v>486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599</v>
      </c>
      <c r="C27" s="59">
        <v>29662</v>
      </c>
      <c r="D27" t="s">
        <v>487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599</v>
      </c>
      <c r="C28" s="59">
        <v>34563</v>
      </c>
      <c r="D28" t="s">
        <v>488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599</v>
      </c>
      <c r="C29" s="59">
        <v>33997</v>
      </c>
      <c r="D29" t="s">
        <v>489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599</v>
      </c>
      <c r="C30" s="59">
        <v>28011</v>
      </c>
      <c r="D30" t="s">
        <v>490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599</v>
      </c>
      <c r="C31" s="59">
        <v>31158</v>
      </c>
      <c r="D31" t="s">
        <v>491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599</v>
      </c>
      <c r="C32" s="59">
        <v>35346</v>
      </c>
      <c r="D32" t="s">
        <v>492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599</v>
      </c>
      <c r="C33" s="59">
        <v>35600</v>
      </c>
      <c r="D33" t="s">
        <v>493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599</v>
      </c>
      <c r="C34" s="59">
        <v>36267</v>
      </c>
      <c r="D34" t="s">
        <v>494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495</v>
      </c>
      <c r="B35" t="s">
        <v>608</v>
      </c>
      <c r="C35" s="59">
        <v>33261</v>
      </c>
      <c r="D35" t="s">
        <v>496</v>
      </c>
      <c r="E35" t="s">
        <v>591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599</v>
      </c>
      <c r="C36" s="59">
        <v>30549</v>
      </c>
      <c r="D36" t="s">
        <v>497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498</v>
      </c>
      <c r="B37" t="s">
        <v>609</v>
      </c>
      <c r="C37" s="59">
        <v>36240</v>
      </c>
      <c r="D37" t="s">
        <v>499</v>
      </c>
      <c r="E37" t="s">
        <v>591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599</v>
      </c>
      <c r="C38" s="59">
        <v>28077</v>
      </c>
      <c r="D38" t="s">
        <v>500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599</v>
      </c>
      <c r="C39" s="59">
        <v>32342</v>
      </c>
      <c r="D39" t="s">
        <v>501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599</v>
      </c>
      <c r="C40" s="59">
        <v>35492</v>
      </c>
      <c r="D40" t="s">
        <v>502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599</v>
      </c>
      <c r="C41" s="59">
        <v>31644</v>
      </c>
      <c r="D41" t="s">
        <v>503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599</v>
      </c>
      <c r="C42" s="59">
        <v>27152</v>
      </c>
      <c r="D42" t="s">
        <v>504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599</v>
      </c>
      <c r="C43" s="59">
        <v>33579</v>
      </c>
      <c r="D43" t="s">
        <v>505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599</v>
      </c>
      <c r="C44" s="59">
        <v>34546</v>
      </c>
      <c r="D44" t="s">
        <v>506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599</v>
      </c>
      <c r="C45" s="59">
        <v>34072</v>
      </c>
      <c r="D45" t="s">
        <v>507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599</v>
      </c>
      <c r="C46" s="59">
        <v>35472</v>
      </c>
      <c r="D46" t="s">
        <v>508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599</v>
      </c>
      <c r="C47" s="59">
        <v>29084</v>
      </c>
      <c r="D47" t="s">
        <v>509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599</v>
      </c>
      <c r="C48" s="59">
        <v>35634</v>
      </c>
      <c r="D48" t="s">
        <v>510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511</v>
      </c>
      <c r="B49" t="s">
        <v>610</v>
      </c>
      <c r="C49" s="59">
        <v>29359</v>
      </c>
      <c r="D49" t="s">
        <v>512</v>
      </c>
      <c r="E49" t="s">
        <v>591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599</v>
      </c>
      <c r="C50" s="59">
        <v>32273</v>
      </c>
      <c r="D50" t="s">
        <v>513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599</v>
      </c>
      <c r="C51" s="59">
        <v>34422</v>
      </c>
      <c r="D51" t="s">
        <v>514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515</v>
      </c>
      <c r="B52" t="s">
        <v>609</v>
      </c>
      <c r="C52" s="59">
        <v>34263</v>
      </c>
      <c r="D52" t="s">
        <v>516</v>
      </c>
      <c r="E52" t="s">
        <v>591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599</v>
      </c>
      <c r="C53" s="59">
        <v>36877</v>
      </c>
      <c r="D53" t="s">
        <v>517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599</v>
      </c>
      <c r="C54" s="59">
        <v>37505</v>
      </c>
      <c r="D54" t="s">
        <v>518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599</v>
      </c>
      <c r="C55" s="59">
        <v>35706</v>
      </c>
      <c r="D55" t="s">
        <v>519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599</v>
      </c>
      <c r="C56" s="59">
        <v>31492</v>
      </c>
      <c r="D56" t="s">
        <v>520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599</v>
      </c>
      <c r="C57" s="59">
        <v>38004</v>
      </c>
      <c r="D57" t="s">
        <v>521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599</v>
      </c>
      <c r="C58" s="59">
        <v>35108</v>
      </c>
      <c r="D58" t="s">
        <v>522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599</v>
      </c>
      <c r="C59" s="59">
        <v>32262</v>
      </c>
      <c r="D59" t="s">
        <v>523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592</v>
      </c>
      <c r="B60" t="s">
        <v>611</v>
      </c>
      <c r="C60" s="59">
        <v>36301</v>
      </c>
      <c r="D60" t="s">
        <v>594</v>
      </c>
      <c r="E60" t="s">
        <v>591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599</v>
      </c>
      <c r="C61" s="59">
        <v>37683</v>
      </c>
      <c r="D61" t="s">
        <v>524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599</v>
      </c>
      <c r="C62" s="59">
        <v>35241</v>
      </c>
      <c r="D62" t="s">
        <v>525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526</v>
      </c>
      <c r="B63" t="s">
        <v>612</v>
      </c>
      <c r="C63" s="59">
        <v>36801</v>
      </c>
      <c r="D63" t="s">
        <v>527</v>
      </c>
      <c r="E63" t="s">
        <v>591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528</v>
      </c>
      <c r="B64" t="s">
        <v>613</v>
      </c>
      <c r="C64" s="59">
        <v>37354</v>
      </c>
      <c r="D64" t="s">
        <v>529</v>
      </c>
      <c r="E64" t="s">
        <v>591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599</v>
      </c>
      <c r="C65" s="59">
        <v>34710</v>
      </c>
      <c r="D65" t="s">
        <v>530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599</v>
      </c>
      <c r="C66" s="59">
        <v>33383</v>
      </c>
      <c r="D66" t="s">
        <v>531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599</v>
      </c>
      <c r="C67" s="59">
        <v>34529</v>
      </c>
      <c r="D67" t="s">
        <v>532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533</v>
      </c>
      <c r="B68" t="s">
        <v>614</v>
      </c>
      <c r="C68" s="59">
        <v>33496</v>
      </c>
      <c r="D68" t="s">
        <v>534</v>
      </c>
      <c r="E68" t="s">
        <v>591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535</v>
      </c>
      <c r="B69" t="s">
        <v>615</v>
      </c>
      <c r="C69" s="59">
        <v>34610</v>
      </c>
      <c r="D69" t="s">
        <v>536</v>
      </c>
      <c r="E69" t="s">
        <v>591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537</v>
      </c>
      <c r="B70" t="s">
        <v>616</v>
      </c>
      <c r="C70" s="59">
        <v>32983</v>
      </c>
      <c r="D70" t="s">
        <v>538</v>
      </c>
      <c r="E70" t="s">
        <v>591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539</v>
      </c>
      <c r="B71" t="s">
        <v>617</v>
      </c>
      <c r="C71" s="59">
        <v>30628</v>
      </c>
      <c r="D71" t="s">
        <v>540</v>
      </c>
      <c r="E71" t="s">
        <v>591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541</v>
      </c>
      <c r="B72" t="s">
        <v>618</v>
      </c>
      <c r="C72" s="59">
        <v>34575</v>
      </c>
      <c r="D72" t="s">
        <v>542</v>
      </c>
      <c r="E72" t="s">
        <v>591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543</v>
      </c>
      <c r="B73" t="s">
        <v>619</v>
      </c>
      <c r="C73" s="59">
        <v>32019</v>
      </c>
      <c r="D73" t="s">
        <v>544</v>
      </c>
      <c r="E73" t="s">
        <v>591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599</v>
      </c>
      <c r="C74" s="59">
        <v>33230</v>
      </c>
      <c r="D74" t="s">
        <v>545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599</v>
      </c>
      <c r="C75" s="59">
        <v>35642</v>
      </c>
      <c r="D75" t="s">
        <v>546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547</v>
      </c>
      <c r="B76" t="s">
        <v>620</v>
      </c>
      <c r="C76" s="59">
        <v>36819</v>
      </c>
      <c r="D76" t="s">
        <v>548</v>
      </c>
      <c r="E76" t="s">
        <v>591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549</v>
      </c>
      <c r="B77" t="s">
        <v>621</v>
      </c>
      <c r="C77" s="59">
        <v>30385</v>
      </c>
      <c r="D77" t="s">
        <v>550</v>
      </c>
      <c r="E77" t="s">
        <v>591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551</v>
      </c>
      <c r="B78" t="s">
        <v>622</v>
      </c>
      <c r="C78" s="59">
        <v>34782</v>
      </c>
      <c r="D78" t="s">
        <v>552</v>
      </c>
      <c r="E78" t="s">
        <v>591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553</v>
      </c>
      <c r="B79" t="s">
        <v>623</v>
      </c>
      <c r="C79" s="59">
        <v>37036</v>
      </c>
      <c r="D79" t="s">
        <v>554</v>
      </c>
      <c r="E79" t="s">
        <v>591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593</v>
      </c>
      <c r="B80" t="s">
        <v>624</v>
      </c>
      <c r="C80" s="59">
        <v>38118</v>
      </c>
      <c r="D80" t="s">
        <v>595</v>
      </c>
      <c r="E80" t="s">
        <v>591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555</v>
      </c>
      <c r="B81" t="s">
        <v>625</v>
      </c>
      <c r="C81" s="59">
        <v>35356</v>
      </c>
      <c r="D81" t="s">
        <v>556</v>
      </c>
      <c r="E81" t="s">
        <v>591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599</v>
      </c>
      <c r="C82" s="59">
        <v>33472</v>
      </c>
      <c r="D82" t="s">
        <v>557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599</v>
      </c>
      <c r="C83" s="59">
        <v>32222</v>
      </c>
      <c r="D83" t="s">
        <v>558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559</v>
      </c>
      <c r="B84" t="s">
        <v>626</v>
      </c>
      <c r="C84" s="59">
        <v>37051</v>
      </c>
      <c r="D84" t="s">
        <v>560</v>
      </c>
      <c r="E84" t="s">
        <v>591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561</v>
      </c>
      <c r="B85" t="s">
        <v>627</v>
      </c>
      <c r="C85" s="59">
        <v>38500</v>
      </c>
      <c r="D85" t="s">
        <v>562</v>
      </c>
      <c r="E85" t="s">
        <v>591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599</v>
      </c>
      <c r="C86" s="59">
        <v>34832</v>
      </c>
      <c r="D86" t="s">
        <v>563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564</v>
      </c>
      <c r="B87" t="s">
        <v>628</v>
      </c>
      <c r="C87" s="59">
        <v>30965</v>
      </c>
      <c r="D87" t="s">
        <v>565</v>
      </c>
      <c r="E87" t="s">
        <v>591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566</v>
      </c>
      <c r="B88" t="s">
        <v>629</v>
      </c>
      <c r="C88" s="59">
        <v>34307</v>
      </c>
      <c r="D88" t="s">
        <v>567</v>
      </c>
      <c r="E88" t="s">
        <v>591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568</v>
      </c>
      <c r="B89" t="s">
        <v>630</v>
      </c>
      <c r="C89" s="59">
        <v>34317</v>
      </c>
      <c r="D89" t="s">
        <v>569</v>
      </c>
      <c r="E89" t="s">
        <v>591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570</v>
      </c>
      <c r="B90" t="s">
        <v>631</v>
      </c>
      <c r="C90" s="59">
        <v>38097</v>
      </c>
      <c r="D90" t="s">
        <v>571</v>
      </c>
      <c r="E90" t="s">
        <v>591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572</v>
      </c>
      <c r="B91" t="s">
        <v>632</v>
      </c>
      <c r="C91" s="59">
        <v>34677</v>
      </c>
      <c r="D91" t="s">
        <v>573</v>
      </c>
      <c r="E91" t="s">
        <v>591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574</v>
      </c>
      <c r="B92" t="s">
        <v>622</v>
      </c>
      <c r="C92" s="59">
        <v>33158</v>
      </c>
      <c r="D92" t="s">
        <v>575</v>
      </c>
      <c r="E92" t="s">
        <v>591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576</v>
      </c>
      <c r="B93" t="s">
        <v>633</v>
      </c>
      <c r="C93" s="59">
        <v>37080</v>
      </c>
      <c r="D93" t="s">
        <v>577</v>
      </c>
      <c r="E93" t="s">
        <v>591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578</v>
      </c>
      <c r="B94" t="s">
        <v>634</v>
      </c>
      <c r="C94" s="59">
        <v>37550</v>
      </c>
      <c r="D94" t="s">
        <v>579</v>
      </c>
      <c r="E94" t="s">
        <v>591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580</v>
      </c>
      <c r="B95" t="s">
        <v>635</v>
      </c>
      <c r="C95" s="59">
        <v>35081</v>
      </c>
      <c r="D95" t="s">
        <v>581</v>
      </c>
      <c r="E95" t="s">
        <v>591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599</v>
      </c>
      <c r="C96" s="59">
        <v>32697</v>
      </c>
      <c r="D96" t="s">
        <v>582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583</v>
      </c>
      <c r="B97" t="s">
        <v>636</v>
      </c>
      <c r="C97" s="59">
        <v>35388</v>
      </c>
      <c r="D97" t="s">
        <v>584</v>
      </c>
      <c r="E97" t="s">
        <v>591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585</v>
      </c>
      <c r="B98" t="s">
        <v>599</v>
      </c>
      <c r="C98" s="59">
        <v>31980</v>
      </c>
      <c r="D98" t="s">
        <v>586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442</v>
      </c>
      <c r="B99" t="s">
        <v>599</v>
      </c>
      <c r="C99" s="59">
        <v>33627</v>
      </c>
      <c r="D99" t="s">
        <v>587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443</v>
      </c>
      <c r="B100" t="s">
        <v>599</v>
      </c>
      <c r="C100" s="59">
        <v>37156</v>
      </c>
      <c r="D100" t="s">
        <v>588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442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443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444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444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444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445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444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445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444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2026-01-16T12:31:32Z</dcterms:modified>
</cp:coreProperties>
</file>