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88C3548-3EC0-4583-9FB1-063D3ADE508F}" xr6:coauthVersionLast="47" xr6:coauthVersionMax="47" xr10:uidLastSave="{00000000-0000-0000-0000-000000000000}"/>
  <bookViews>
    <workbookView xWindow="-120" yWindow="-120" windowWidth="20730" windowHeight="11040" firstSheet="10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externalReferences>
    <externalReference r:id="rId18"/>
  </externalReference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P11" i="13"/>
  <c r="M11" i="13" s="1"/>
  <c r="N11" i="13" s="1" a="1"/>
  <c r="N11" i="13" s="1"/>
  <c r="P12" i="13"/>
  <c r="M12" i="13" s="1"/>
  <c r="N12" i="13" s="1" a="1"/>
  <c r="N12" i="13" s="1"/>
  <c r="P13" i="13"/>
  <c r="P14" i="13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P20" i="13"/>
  <c r="P21" i="13"/>
  <c r="M21" i="13" s="1"/>
  <c r="N21" i="13" s="1" a="1"/>
  <c r="N21" i="13" s="1"/>
  <c r="P22" i="13"/>
  <c r="P23" i="13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P35" i="13"/>
  <c r="P36" i="13"/>
  <c r="M36" i="13" s="1"/>
  <c r="N36" i="13" s="1" a="1"/>
  <c r="N36" i="13" s="1"/>
  <c r="P37" i="13"/>
  <c r="P38" i="13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P47" i="13"/>
  <c r="P48" i="13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P59" i="13"/>
  <c r="P60" i="13"/>
  <c r="P61" i="13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P71" i="13"/>
  <c r="P72" i="13"/>
  <c r="M72" i="13" s="1"/>
  <c r="N72" i="13" s="1" a="1"/>
  <c r="N72" i="13" s="1"/>
  <c r="P73" i="13"/>
  <c r="M73" i="13" s="1"/>
  <c r="N73" i="13" s="1" a="1"/>
  <c r="N73" i="13" s="1"/>
  <c r="P74" i="13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14" i="13"/>
  <c r="N14" i="13" s="1" a="1"/>
  <c r="N14" i="13" s="1"/>
  <c r="M15" i="13"/>
  <c r="N15" i="13" s="1" a="1"/>
  <c r="N15" i="13" s="1"/>
  <c r="M17" i="13"/>
  <c r="N17" i="13" s="1" a="1"/>
  <c r="N17" i="13" s="1"/>
  <c r="M19" i="13"/>
  <c r="N19" i="13" s="1" a="1"/>
  <c r="N19" i="13" s="1"/>
  <c r="M20" i="13"/>
  <c r="N20" i="13" s="1" a="1"/>
  <c r="N20" i="13" s="1"/>
  <c r="M23" i="13"/>
  <c r="N23" i="13" s="1" a="1"/>
  <c r="N23" i="13" s="1"/>
  <c r="B78" i="13"/>
  <c r="B79" i="13"/>
  <c r="A78" i="13"/>
  <c r="C78" i="13" s="1"/>
  <c r="D78" i="13" s="1"/>
  <c r="A79" i="13"/>
  <c r="C79" i="13" s="1"/>
  <c r="D79" i="13" s="1"/>
  <c r="M74" i="13"/>
  <c r="N74" i="13" s="1" a="1"/>
  <c r="N74" i="13" s="1"/>
  <c r="B76" i="13"/>
  <c r="B77" i="13"/>
  <c r="A77" i="13"/>
  <c r="C77" i="13"/>
  <c r="M60" i="13"/>
  <c r="N60" i="13" s="1" a="1"/>
  <c r="N60" i="13" s="1"/>
  <c r="A76" i="13"/>
  <c r="C76" i="13" s="1"/>
  <c r="D76" i="13" s="1"/>
  <c r="M47" i="13"/>
  <c r="N47" i="13" s="1" a="1"/>
  <c r="N47" i="13" s="1"/>
  <c r="B75" i="13"/>
  <c r="C75" i="13"/>
  <c r="D75" i="13" s="1"/>
  <c r="M13" i="13"/>
  <c r="N13" i="13" s="1" a="1"/>
  <c r="N13" i="13" s="1"/>
  <c r="M59" i="13"/>
  <c r="N59" i="13" s="1" a="1"/>
  <c r="N59" i="13" s="1"/>
  <c r="M70" i="13"/>
  <c r="N70" i="13" s="1" a="1"/>
  <c r="N70" i="13" s="1"/>
  <c r="M49" i="13"/>
  <c r="N49" i="13" s="1" a="1"/>
  <c r="N49" i="13" s="1"/>
  <c r="M58" i="13"/>
  <c r="N58" i="13" s="1" a="1"/>
  <c r="N58" i="13" s="1"/>
  <c r="M71" i="13"/>
  <c r="N71" i="13" s="1" a="1"/>
  <c r="N71" i="13" s="1"/>
  <c r="M22" i="13"/>
  <c r="N22" i="13" s="1" a="1"/>
  <c r="N22" i="13" s="1"/>
  <c r="M35" i="13"/>
  <c r="N35" i="13" s="1" a="1"/>
  <c r="N35" i="13" s="1"/>
  <c r="M37" i="13"/>
  <c r="N37" i="13" s="1" a="1"/>
  <c r="N37" i="13" s="1"/>
  <c r="M46" i="13"/>
  <c r="N46" i="13" s="1" a="1"/>
  <c r="N46" i="13" s="1"/>
  <c r="M61" i="13"/>
  <c r="N61" i="13" s="1" a="1"/>
  <c r="N61" i="13" s="1"/>
  <c r="M10" i="13"/>
  <c r="N10" i="13" s="1" a="1"/>
  <c r="N10" i="13" s="1"/>
  <c r="M34" i="13"/>
  <c r="N34" i="13" s="1" a="1"/>
  <c r="N34" i="13" s="1"/>
  <c r="M38" i="13"/>
  <c r="N38" i="13" s="1" a="1"/>
  <c r="N38" i="13" s="1"/>
  <c r="M82" i="13"/>
  <c r="N82" i="13" s="1" a="1"/>
  <c r="N82" i="13" s="1"/>
  <c r="M9" i="13"/>
  <c r="N9" i="13" s="1" a="1"/>
  <c r="N9" i="13" s="1"/>
  <c r="M48" i="13"/>
  <c r="N48" i="13" s="1" a="1"/>
  <c r="N48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Z15" i="18" s="1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G105" i="28"/>
  <c r="F105" i="28"/>
  <c r="G104" i="28"/>
  <c r="F104" i="28"/>
  <c r="G103" i="28"/>
  <c r="F103" i="28"/>
  <c r="G102" i="28"/>
  <c r="F102" i="28"/>
  <c r="G101" i="28"/>
  <c r="F101" i="28"/>
  <c r="G100" i="28"/>
  <c r="F100" i="28"/>
  <c r="G99" i="28"/>
  <c r="F99" i="28"/>
  <c r="G98" i="28"/>
  <c r="F98" i="28"/>
  <c r="G97" i="28"/>
  <c r="F97" i="28"/>
  <c r="G96" i="28"/>
  <c r="F96" i="28"/>
  <c r="G95" i="28"/>
  <c r="F95" i="28"/>
  <c r="G94" i="28"/>
  <c r="F94" i="28"/>
  <c r="G93" i="28"/>
  <c r="F93" i="28"/>
  <c r="G92" i="28"/>
  <c r="F92" i="28"/>
  <c r="G91" i="28"/>
  <c r="F91" i="28"/>
  <c r="G90" i="28"/>
  <c r="F90" i="28"/>
  <c r="G89" i="28"/>
  <c r="F89" i="28"/>
  <c r="G88" i="28"/>
  <c r="F88" i="28"/>
  <c r="G87" i="28"/>
  <c r="F87" i="28"/>
  <c r="G86" i="28"/>
  <c r="F86" i="28"/>
  <c r="G85" i="28"/>
  <c r="F85" i="28"/>
  <c r="G84" i="28"/>
  <c r="F84" i="28"/>
  <c r="G83" i="28"/>
  <c r="F83" i="28"/>
  <c r="G82" i="28"/>
  <c r="F82" i="28"/>
  <c r="G81" i="28"/>
  <c r="F81" i="28"/>
  <c r="G80" i="28"/>
  <c r="F80" i="28"/>
  <c r="G79" i="28"/>
  <c r="F79" i="28"/>
  <c r="G78" i="28"/>
  <c r="F78" i="28"/>
  <c r="G77" i="28"/>
  <c r="F77" i="28"/>
  <c r="G76" i="28"/>
  <c r="F76" i="28"/>
  <c r="G75" i="28"/>
  <c r="F75" i="28"/>
  <c r="G74" i="28"/>
  <c r="F74" i="28"/>
  <c r="G73" i="28"/>
  <c r="F73" i="28"/>
  <c r="G72" i="28"/>
  <c r="F72" i="28"/>
  <c r="G71" i="28"/>
  <c r="F71" i="28"/>
  <c r="G70" i="28"/>
  <c r="F70" i="28"/>
  <c r="G69" i="28"/>
  <c r="F69" i="28"/>
  <c r="G68" i="28"/>
  <c r="F68" i="28"/>
  <c r="G67" i="28"/>
  <c r="F67" i="28"/>
  <c r="G66" i="28"/>
  <c r="F66" i="28"/>
  <c r="G65" i="28"/>
  <c r="F65" i="28"/>
  <c r="G64" i="28"/>
  <c r="F64" i="28"/>
  <c r="G63" i="28"/>
  <c r="F63" i="28"/>
  <c r="G62" i="28"/>
  <c r="F62" i="28"/>
  <c r="G61" i="28"/>
  <c r="F61" i="28"/>
  <c r="G60" i="28"/>
  <c r="F60" i="28"/>
  <c r="G59" i="28"/>
  <c r="F59" i="28"/>
  <c r="G58" i="28"/>
  <c r="F58" i="28"/>
  <c r="G57" i="28"/>
  <c r="F57" i="28"/>
  <c r="G56" i="28"/>
  <c r="F56" i="28"/>
  <c r="G55" i="28"/>
  <c r="F55" i="28"/>
  <c r="G54" i="28"/>
  <c r="F54" i="28"/>
  <c r="G53" i="28"/>
  <c r="F53" i="28"/>
  <c r="G52" i="28"/>
  <c r="F52" i="28"/>
  <c r="G51" i="28"/>
  <c r="F51" i="28"/>
  <c r="G50" i="28"/>
  <c r="F50" i="28"/>
  <c r="G49" i="28"/>
  <c r="F49" i="28"/>
  <c r="G48" i="28"/>
  <c r="F48" i="28"/>
  <c r="G47" i="28"/>
  <c r="F47" i="28"/>
  <c r="G46" i="28"/>
  <c r="F46" i="28"/>
  <c r="G45" i="28"/>
  <c r="F45" i="28"/>
  <c r="G44" i="28"/>
  <c r="F44" i="28"/>
  <c r="G43" i="28"/>
  <c r="F43" i="28"/>
  <c r="G42" i="28"/>
  <c r="F42" i="28"/>
  <c r="G41" i="28"/>
  <c r="F41" i="28"/>
  <c r="G40" i="28"/>
  <c r="F40" i="28"/>
  <c r="G39" i="28"/>
  <c r="F39" i="28"/>
  <c r="G38" i="28"/>
  <c r="F38" i="28"/>
  <c r="G37" i="28"/>
  <c r="F37" i="28"/>
  <c r="G36" i="28"/>
  <c r="F36" i="28"/>
  <c r="G35" i="28"/>
  <c r="F35" i="28"/>
  <c r="G34" i="28"/>
  <c r="F34" i="28"/>
  <c r="G33" i="28"/>
  <c r="F33" i="28"/>
  <c r="G32" i="28"/>
  <c r="F32" i="28"/>
  <c r="G31" i="28"/>
  <c r="F31" i="28"/>
  <c r="G30" i="28"/>
  <c r="F30" i="28"/>
  <c r="G29" i="28"/>
  <c r="F29" i="28"/>
  <c r="G28" i="28"/>
  <c r="F28" i="28"/>
  <c r="G27" i="28"/>
  <c r="F27" i="28"/>
  <c r="G26" i="28"/>
  <c r="F26" i="28"/>
  <c r="G25" i="28"/>
  <c r="F25" i="28"/>
  <c r="G24" i="28"/>
  <c r="F24" i="28"/>
  <c r="G23" i="28"/>
  <c r="F23" i="28"/>
  <c r="G22" i="28"/>
  <c r="F22" i="28"/>
  <c r="G21" i="28"/>
  <c r="F21" i="28"/>
  <c r="G20" i="28"/>
  <c r="F20" i="28"/>
  <c r="G19" i="28"/>
  <c r="F19" i="28"/>
  <c r="G18" i="28"/>
  <c r="F18" i="28"/>
  <c r="G17" i="28"/>
  <c r="F17" i="28"/>
  <c r="G16" i="28"/>
  <c r="F16" i="28"/>
  <c r="G15" i="28"/>
  <c r="F15" i="28"/>
  <c r="G14" i="28"/>
  <c r="F14" i="28"/>
  <c r="G13" i="28"/>
  <c r="F13" i="28"/>
  <c r="G12" i="28"/>
  <c r="F12" i="28"/>
  <c r="G11" i="28"/>
  <c r="F11" i="28"/>
  <c r="G10" i="28"/>
  <c r="F10" i="28"/>
  <c r="G9" i="28"/>
  <c r="F9" i="28"/>
  <c r="G8" i="28"/>
  <c r="F8" i="28"/>
  <c r="G7" i="28"/>
  <c r="F7" i="28"/>
  <c r="G6" i="28"/>
  <c r="F6" i="28"/>
  <c r="G5" i="28"/>
  <c r="F5" i="28"/>
  <c r="G4" i="28"/>
  <c r="F4" i="28"/>
  <c r="G3" i="28"/>
  <c r="F3" i="28"/>
  <c r="G2" i="28"/>
  <c r="F2" i="28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A6" i="17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D91" i="10"/>
  <c r="C91" i="10"/>
  <c r="B91" i="10"/>
  <c r="D90" i="10"/>
  <c r="C90" i="10"/>
  <c r="P89" i="10"/>
  <c r="N89" i="10"/>
  <c r="N89" i="10" a="1"/>
  <c r="M89" i="10"/>
  <c r="D89" i="10"/>
  <c r="C89" i="10"/>
  <c r="P88" i="10"/>
  <c r="N88" i="10"/>
  <c r="N88" i="10" a="1"/>
  <c r="M88" i="10"/>
  <c r="D88" i="10"/>
  <c r="C88" i="10"/>
  <c r="P87" i="10"/>
  <c r="N87" i="10"/>
  <c r="N87" i="10" a="1"/>
  <c r="M87" i="10"/>
  <c r="D87" i="10"/>
  <c r="C87" i="10"/>
  <c r="P86" i="10"/>
  <c r="N86" i="10"/>
  <c r="N86" i="10" a="1"/>
  <c r="M86" i="10"/>
  <c r="D86" i="10"/>
  <c r="C86" i="10"/>
  <c r="P85" i="10"/>
  <c r="N85" i="10"/>
  <c r="N85" i="10" a="1"/>
  <c r="M85" i="10"/>
  <c r="D85" i="10"/>
  <c r="C85" i="10"/>
  <c r="P84" i="10"/>
  <c r="N84" i="10"/>
  <c r="N84" i="10" a="1"/>
  <c r="M84" i="10"/>
  <c r="D84" i="10"/>
  <c r="C84" i="10"/>
  <c r="P83" i="10"/>
  <c r="N83" i="10"/>
  <c r="N83" i="10" a="1"/>
  <c r="M83" i="10"/>
  <c r="D83" i="10"/>
  <c r="C83" i="10"/>
  <c r="P82" i="10"/>
  <c r="N82" i="10"/>
  <c r="N82" i="10" a="1"/>
  <c r="M82" i="10"/>
  <c r="D82" i="10"/>
  <c r="C82" i="10"/>
  <c r="P81" i="10"/>
  <c r="N81" i="10"/>
  <c r="N81" i="10" a="1"/>
  <c r="M81" i="10"/>
  <c r="D81" i="10"/>
  <c r="C81" i="10"/>
  <c r="P80" i="10"/>
  <c r="N80" i="10"/>
  <c r="N80" i="10" a="1"/>
  <c r="M80" i="10"/>
  <c r="D80" i="10"/>
  <c r="C80" i="10"/>
  <c r="P79" i="10"/>
  <c r="N79" i="10"/>
  <c r="N79" i="10" a="1"/>
  <c r="M79" i="10"/>
  <c r="D79" i="10"/>
  <c r="C79" i="10"/>
  <c r="P78" i="10"/>
  <c r="N78" i="10"/>
  <c r="N78" i="10" a="1"/>
  <c r="M78" i="10"/>
  <c r="D78" i="10"/>
  <c r="C78" i="10"/>
  <c r="P77" i="10"/>
  <c r="N77" i="10"/>
  <c r="N77" i="10" a="1"/>
  <c r="M77" i="10"/>
  <c r="D77" i="10"/>
  <c r="C77" i="10"/>
  <c r="P76" i="10"/>
  <c r="N76" i="10"/>
  <c r="N76" i="10" a="1"/>
  <c r="M76" i="10"/>
  <c r="D76" i="10"/>
  <c r="C76" i="10"/>
  <c r="P75" i="10"/>
  <c r="N75" i="10"/>
  <c r="N75" i="10" a="1"/>
  <c r="M75" i="10"/>
  <c r="D75" i="10"/>
  <c r="C75" i="10"/>
  <c r="P74" i="10"/>
  <c r="N74" i="10"/>
  <c r="N74" i="10" a="1"/>
  <c r="M74" i="10"/>
  <c r="D74" i="10"/>
  <c r="C74" i="10"/>
  <c r="P73" i="10"/>
  <c r="N73" i="10"/>
  <c r="N73" i="10" a="1"/>
  <c r="M73" i="10"/>
  <c r="D73" i="10"/>
  <c r="C73" i="10"/>
  <c r="P72" i="10"/>
  <c r="N72" i="10"/>
  <c r="N72" i="10" a="1"/>
  <c r="M72" i="10"/>
  <c r="D72" i="10"/>
  <c r="C72" i="10"/>
  <c r="P71" i="10"/>
  <c r="N71" i="10"/>
  <c r="N71" i="10" a="1"/>
  <c r="M71" i="10"/>
  <c r="D71" i="10"/>
  <c r="C71" i="10"/>
  <c r="P70" i="10"/>
  <c r="N70" i="10"/>
  <c r="N70" i="10" a="1"/>
  <c r="M70" i="10"/>
  <c r="D70" i="10"/>
  <c r="C70" i="10"/>
  <c r="P69" i="10"/>
  <c r="N69" i="10"/>
  <c r="N69" i="10" a="1"/>
  <c r="M69" i="10"/>
  <c r="D69" i="10"/>
  <c r="C69" i="10"/>
  <c r="P68" i="10"/>
  <c r="N68" i="10"/>
  <c r="N68" i="10" a="1"/>
  <c r="M68" i="10"/>
  <c r="D68" i="10"/>
  <c r="C68" i="10"/>
  <c r="P67" i="10"/>
  <c r="N67" i="10"/>
  <c r="N67" i="10" a="1"/>
  <c r="M67" i="10"/>
  <c r="D67" i="10"/>
  <c r="C67" i="10"/>
  <c r="P66" i="10"/>
  <c r="N66" i="10"/>
  <c r="N66" i="10" a="1"/>
  <c r="M66" i="10"/>
  <c r="D66" i="10"/>
  <c r="C66" i="10"/>
  <c r="P65" i="10"/>
  <c r="N65" i="10"/>
  <c r="N65" i="10" a="1"/>
  <c r="M65" i="10"/>
  <c r="D65" i="10"/>
  <c r="C65" i="10"/>
  <c r="P64" i="10"/>
  <c r="N64" i="10"/>
  <c r="N64" i="10" a="1"/>
  <c r="M64" i="10"/>
  <c r="D64" i="10"/>
  <c r="C64" i="10"/>
  <c r="P63" i="10"/>
  <c r="N63" i="10"/>
  <c r="N63" i="10" a="1"/>
  <c r="M63" i="10"/>
  <c r="D63" i="10"/>
  <c r="C63" i="10"/>
  <c r="P62" i="10"/>
  <c r="N62" i="10"/>
  <c r="N62" i="10" a="1"/>
  <c r="M62" i="10"/>
  <c r="D62" i="10"/>
  <c r="C62" i="10"/>
  <c r="P61" i="10"/>
  <c r="N61" i="10"/>
  <c r="N61" i="10" a="1"/>
  <c r="M61" i="10"/>
  <c r="D61" i="10"/>
  <c r="C61" i="10"/>
  <c r="P60" i="10"/>
  <c r="N60" i="10"/>
  <c r="N60" i="10" a="1"/>
  <c r="M60" i="10"/>
  <c r="D60" i="10"/>
  <c r="C60" i="10"/>
  <c r="P59" i="10"/>
  <c r="N59" i="10"/>
  <c r="N59" i="10" a="1"/>
  <c r="M59" i="10"/>
  <c r="D59" i="10"/>
  <c r="C59" i="10"/>
  <c r="P58" i="10"/>
  <c r="N58" i="10"/>
  <c r="N58" i="10" a="1"/>
  <c r="M58" i="10"/>
  <c r="D58" i="10"/>
  <c r="C58" i="10"/>
  <c r="P57" i="10"/>
  <c r="N57" i="10"/>
  <c r="N57" i="10" a="1"/>
  <c r="M57" i="10"/>
  <c r="D57" i="10"/>
  <c r="C57" i="10"/>
  <c r="P56" i="10"/>
  <c r="N56" i="10"/>
  <c r="N56" i="10" a="1"/>
  <c r="M56" i="10"/>
  <c r="D56" i="10"/>
  <c r="C56" i="10"/>
  <c r="P55" i="10"/>
  <c r="N55" i="10"/>
  <c r="N55" i="10" a="1"/>
  <c r="M55" i="10"/>
  <c r="D55" i="10"/>
  <c r="C55" i="10"/>
  <c r="P54" i="10"/>
  <c r="N54" i="10"/>
  <c r="N54" i="10" a="1"/>
  <c r="M54" i="10"/>
  <c r="D54" i="10"/>
  <c r="C54" i="10"/>
  <c r="P53" i="10"/>
  <c r="N53" i="10"/>
  <c r="N53" i="10" a="1"/>
  <c r="M53" i="10"/>
  <c r="D53" i="10"/>
  <c r="C53" i="10"/>
  <c r="P52" i="10"/>
  <c r="N52" i="10"/>
  <c r="N52" i="10" a="1"/>
  <c r="M52" i="10"/>
  <c r="D52" i="10"/>
  <c r="C52" i="10"/>
  <c r="P51" i="10"/>
  <c r="N51" i="10"/>
  <c r="N51" i="10" a="1"/>
  <c r="M51" i="10"/>
  <c r="D51" i="10"/>
  <c r="C51" i="10"/>
  <c r="P50" i="10"/>
  <c r="N50" i="10"/>
  <c r="N50" i="10" a="1"/>
  <c r="M50" i="10"/>
  <c r="D50" i="10"/>
  <c r="C50" i="10"/>
  <c r="P49" i="10"/>
  <c r="N49" i="10"/>
  <c r="N49" i="10" a="1"/>
  <c r="M49" i="10"/>
  <c r="D49" i="10"/>
  <c r="C49" i="10"/>
  <c r="P48" i="10"/>
  <c r="N48" i="10"/>
  <c r="N48" i="10" a="1"/>
  <c r="M48" i="10"/>
  <c r="D48" i="10"/>
  <c r="C48" i="10"/>
  <c r="P47" i="10"/>
  <c r="N47" i="10"/>
  <c r="N47" i="10" a="1"/>
  <c r="M47" i="10"/>
  <c r="D47" i="10"/>
  <c r="C47" i="10"/>
  <c r="P46" i="10"/>
  <c r="N46" i="10"/>
  <c r="N46" i="10" a="1"/>
  <c r="M46" i="10"/>
  <c r="D46" i="10"/>
  <c r="C46" i="10"/>
  <c r="P45" i="10"/>
  <c r="N45" i="10"/>
  <c r="N45" i="10" a="1"/>
  <c r="M45" i="10"/>
  <c r="D45" i="10"/>
  <c r="C45" i="10"/>
  <c r="P44" i="10"/>
  <c r="N44" i="10"/>
  <c r="N44" i="10" a="1"/>
  <c r="M44" i="10"/>
  <c r="D44" i="10"/>
  <c r="C44" i="10"/>
  <c r="P43" i="10"/>
  <c r="N43" i="10"/>
  <c r="N43" i="10" a="1"/>
  <c r="M43" i="10"/>
  <c r="D43" i="10"/>
  <c r="C43" i="10"/>
  <c r="P42" i="10"/>
  <c r="N42" i="10"/>
  <c r="N42" i="10" a="1"/>
  <c r="M42" i="10"/>
  <c r="D42" i="10"/>
  <c r="C42" i="10"/>
  <c r="P41" i="10"/>
  <c r="N41" i="10"/>
  <c r="N41" i="10" a="1"/>
  <c r="M41" i="10"/>
  <c r="D41" i="10"/>
  <c r="C41" i="10"/>
  <c r="P40" i="10"/>
  <c r="N40" i="10"/>
  <c r="N40" i="10" a="1"/>
  <c r="M40" i="10"/>
  <c r="D40" i="10"/>
  <c r="C40" i="10"/>
  <c r="P39" i="10"/>
  <c r="N39" i="10"/>
  <c r="N39" i="10" a="1"/>
  <c r="M39" i="10"/>
  <c r="D39" i="10"/>
  <c r="C39" i="10"/>
  <c r="P38" i="10"/>
  <c r="N38" i="10"/>
  <c r="N38" i="10" a="1"/>
  <c r="M38" i="10"/>
  <c r="D38" i="10"/>
  <c r="C38" i="10"/>
  <c r="P37" i="10"/>
  <c r="N37" i="10"/>
  <c r="N37" i="10" a="1"/>
  <c r="M37" i="10"/>
  <c r="D37" i="10"/>
  <c r="C37" i="10"/>
  <c r="P36" i="10"/>
  <c r="N36" i="10"/>
  <c r="N36" i="10" a="1"/>
  <c r="M36" i="10"/>
  <c r="D36" i="10"/>
  <c r="C36" i="10"/>
  <c r="P35" i="10"/>
  <c r="N35" i="10"/>
  <c r="N35" i="10" a="1"/>
  <c r="M35" i="10"/>
  <c r="D35" i="10"/>
  <c r="C35" i="10"/>
  <c r="P34" i="10"/>
  <c r="N34" i="10"/>
  <c r="N34" i="10" a="1"/>
  <c r="M34" i="10"/>
  <c r="D34" i="10"/>
  <c r="C34" i="10"/>
  <c r="P33" i="10"/>
  <c r="N33" i="10"/>
  <c r="N33" i="10" a="1"/>
  <c r="M33" i="10"/>
  <c r="D33" i="10"/>
  <c r="C33" i="10"/>
  <c r="P32" i="10"/>
  <c r="N32" i="10"/>
  <c r="N32" i="10" a="1"/>
  <c r="M32" i="10"/>
  <c r="D32" i="10"/>
  <c r="C32" i="10"/>
  <c r="P31" i="10"/>
  <c r="N31" i="10"/>
  <c r="N31" i="10" a="1"/>
  <c r="M31" i="10"/>
  <c r="D31" i="10"/>
  <c r="C31" i="10"/>
  <c r="P30" i="10"/>
  <c r="N30" i="10"/>
  <c r="N30" i="10" a="1"/>
  <c r="M30" i="10"/>
  <c r="D30" i="10"/>
  <c r="C30" i="10"/>
  <c r="P29" i="10"/>
  <c r="N29" i="10"/>
  <c r="N29" i="10" a="1"/>
  <c r="M29" i="10"/>
  <c r="D29" i="10"/>
  <c r="C29" i="10"/>
  <c r="P28" i="10"/>
  <c r="N28" i="10"/>
  <c r="N28" i="10" a="1"/>
  <c r="M28" i="10"/>
  <c r="D28" i="10"/>
  <c r="C28" i="10"/>
  <c r="P27" i="10"/>
  <c r="N27" i="10"/>
  <c r="N27" i="10" a="1"/>
  <c r="M27" i="10"/>
  <c r="D27" i="10"/>
  <c r="C27" i="10"/>
  <c r="P26" i="10"/>
  <c r="N26" i="10"/>
  <c r="N26" i="10" a="1"/>
  <c r="M26" i="10"/>
  <c r="D26" i="10"/>
  <c r="C26" i="10"/>
  <c r="P25" i="10"/>
  <c r="N25" i="10"/>
  <c r="N25" i="10" a="1"/>
  <c r="M25" i="10"/>
  <c r="D25" i="10"/>
  <c r="C25" i="10"/>
  <c r="P24" i="10"/>
  <c r="N24" i="10"/>
  <c r="N24" i="10" a="1"/>
  <c r="M24" i="10"/>
  <c r="D24" i="10"/>
  <c r="C24" i="10"/>
  <c r="P23" i="10"/>
  <c r="N23" i="10"/>
  <c r="N23" i="10" a="1"/>
  <c r="M23" i="10"/>
  <c r="D23" i="10"/>
  <c r="C23" i="10"/>
  <c r="P22" i="10"/>
  <c r="N22" i="10"/>
  <c r="N22" i="10" a="1"/>
  <c r="M22" i="10"/>
  <c r="D22" i="10"/>
  <c r="C22" i="10"/>
  <c r="P21" i="10"/>
  <c r="N21" i="10"/>
  <c r="N21" i="10" a="1"/>
  <c r="M21" i="10"/>
  <c r="D21" i="10"/>
  <c r="C21" i="10"/>
  <c r="P20" i="10"/>
  <c r="N20" i="10"/>
  <c r="N20" i="10" a="1"/>
  <c r="M20" i="10"/>
  <c r="D20" i="10"/>
  <c r="C20" i="10"/>
  <c r="P19" i="10"/>
  <c r="N19" i="10"/>
  <c r="N19" i="10" a="1"/>
  <c r="M19" i="10"/>
  <c r="D19" i="10"/>
  <c r="C19" i="10"/>
  <c r="P18" i="10"/>
  <c r="N18" i="10"/>
  <c r="N18" i="10" a="1"/>
  <c r="M18" i="10"/>
  <c r="D18" i="10"/>
  <c r="C18" i="10"/>
  <c r="P17" i="10"/>
  <c r="N17" i="10"/>
  <c r="N17" i="10" a="1"/>
  <c r="M17" i="10"/>
  <c r="D17" i="10"/>
  <c r="C17" i="10"/>
  <c r="BB16" i="10"/>
  <c r="BA16" i="10"/>
  <c r="P16" i="10"/>
  <c r="N16" i="10"/>
  <c r="N16" i="10" a="1"/>
  <c r="M16" i="10"/>
  <c r="D16" i="10"/>
  <c r="C16" i="10"/>
  <c r="BB15" i="10"/>
  <c r="BA15" i="10"/>
  <c r="P15" i="10"/>
  <c r="N15" i="10"/>
  <c r="N15" i="10" a="1"/>
  <c r="M15" i="10"/>
  <c r="D15" i="10"/>
  <c r="C15" i="10"/>
  <c r="BB14" i="10"/>
  <c r="BA14" i="10"/>
  <c r="P14" i="10"/>
  <c r="N14" i="10"/>
  <c r="N14" i="10" a="1"/>
  <c r="M14" i="10"/>
  <c r="D14" i="10"/>
  <c r="C14" i="10"/>
  <c r="BB13" i="10"/>
  <c r="BA13" i="10"/>
  <c r="P13" i="10"/>
  <c r="N13" i="10"/>
  <c r="N13" i="10" a="1"/>
  <c r="M13" i="10"/>
  <c r="D13" i="10"/>
  <c r="C13" i="10"/>
  <c r="BB12" i="10"/>
  <c r="BA12" i="10"/>
  <c r="P12" i="10"/>
  <c r="N12" i="10"/>
  <c r="N12" i="10" a="1"/>
  <c r="M12" i="10"/>
  <c r="D12" i="10"/>
  <c r="C12" i="10"/>
  <c r="BB11" i="10"/>
  <c r="BA11" i="10"/>
  <c r="P11" i="10"/>
  <c r="N11" i="10"/>
  <c r="N11" i="10" a="1"/>
  <c r="M11" i="10"/>
  <c r="D11" i="10"/>
  <c r="C11" i="10"/>
  <c r="BB10" i="10"/>
  <c r="BA10" i="10"/>
  <c r="P10" i="10"/>
  <c r="N10" i="10"/>
  <c r="N10" i="10" a="1"/>
  <c r="M10" i="10"/>
  <c r="BB9" i="10"/>
  <c r="BA9" i="10"/>
  <c r="P9" i="10"/>
  <c r="N9" i="10"/>
  <c r="N9" i="10" a="1"/>
  <c r="M9" i="10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5" i="17" l="1"/>
  <c r="M54" i="17" s="1"/>
  <c r="N54" i="17" s="1" a="1"/>
  <c r="N54" i="17" s="1"/>
  <c r="AZ11" i="18"/>
  <c r="BB11" i="18" s="1"/>
  <c r="AQ11" i="17"/>
  <c r="CI13" i="18"/>
  <c r="AQ9" i="17"/>
  <c r="BQ11" i="17"/>
  <c r="AR11" i="17" s="1"/>
  <c r="AS11" i="17" s="1"/>
  <c r="AZ16" i="18"/>
  <c r="D41" i="17"/>
  <c r="M15" i="17" s="1"/>
  <c r="N15" i="17" s="1" a="1"/>
  <c r="N15" i="17" s="1"/>
  <c r="BQ13" i="17"/>
  <c r="AR13" i="17" s="1"/>
  <c r="AS13" i="17" s="1"/>
  <c r="CI11" i="18"/>
  <c r="AZ14" i="18"/>
  <c r="BB14" i="18" s="1"/>
  <c r="BQ12" i="17"/>
  <c r="AR12" i="17" s="1"/>
  <c r="CI10" i="18"/>
  <c r="BB15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D6" i="17"/>
  <c r="M49" i="17" s="1"/>
  <c r="N49" i="17" s="1" a="1"/>
  <c r="N49" i="17" s="1"/>
  <c r="BQ10" i="17"/>
  <c r="AR10" i="17" s="1"/>
  <c r="D48" i="17"/>
  <c r="M53" i="17" s="1"/>
  <c r="N53" i="17" s="1" a="1"/>
  <c r="N53" i="17" s="1"/>
  <c r="D9" i="17"/>
  <c r="M50" i="17" s="1"/>
  <c r="N50" i="17" s="1" a="1"/>
  <c r="N50" i="17" s="1"/>
  <c r="BB16" i="18"/>
  <c r="AQ13" i="17"/>
  <c r="D11" i="17"/>
  <c r="M42" i="17" s="1"/>
  <c r="N42" i="17" s="1" a="1"/>
  <c r="N42" i="17" s="1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Q54" i="17" s="1"/>
  <c r="C48" i="17"/>
  <c r="Q53" i="17" s="1"/>
  <c r="M44" i="17"/>
  <c r="N44" i="17" s="1" a="1"/>
  <c r="N44" i="17" s="1"/>
  <c r="A3" i="17"/>
  <c r="D3" i="17" s="1"/>
  <c r="C41" i="17"/>
  <c r="Q15" i="17" s="1"/>
  <c r="I18" i="17"/>
  <c r="A12" i="17"/>
  <c r="D12" i="17" s="1"/>
  <c r="M46" i="17" s="1"/>
  <c r="N46" i="17" s="1" a="1"/>
  <c r="N46" i="17" s="1"/>
  <c r="E55" i="17"/>
  <c r="A14" i="17"/>
  <c r="D14" i="17" s="1"/>
  <c r="A34" i="17"/>
  <c r="A15" i="17"/>
  <c r="E34" i="17"/>
  <c r="D20" i="29" s="1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D27" i="29" s="1"/>
  <c r="E42" i="17"/>
  <c r="C11" i="17"/>
  <c r="Q42" i="17" s="1"/>
  <c r="C9" i="17"/>
  <c r="Q50" i="17" s="1"/>
  <c r="H9" i="17"/>
  <c r="I9" i="17"/>
  <c r="C6" i="17"/>
  <c r="Q49" i="17" s="1"/>
  <c r="J9" i="17"/>
  <c r="A26" i="17"/>
  <c r="J4" i="17"/>
  <c r="I4" i="17"/>
  <c r="H4" i="17"/>
  <c r="E11" i="29"/>
  <c r="O11" i="17"/>
  <c r="AO11" i="17" s="1"/>
  <c r="E30" i="29"/>
  <c r="D11" i="29"/>
  <c r="E5" i="29"/>
  <c r="O9" i="17"/>
  <c r="AO9" i="17" s="1"/>
  <c r="E4" i="17"/>
  <c r="E23" i="29"/>
  <c r="E10" i="29"/>
  <c r="O18" i="17"/>
  <c r="E29" i="29"/>
  <c r="E15" i="29"/>
  <c r="O57" i="17"/>
  <c r="D15" i="29"/>
  <c r="O55" i="17"/>
  <c r="O51" i="17"/>
  <c r="E21" i="29"/>
  <c r="E9" i="29"/>
  <c r="O14" i="17"/>
  <c r="AO14" i="17" s="1"/>
  <c r="E14" i="29"/>
  <c r="A4" i="17"/>
  <c r="D4" i="17" s="1"/>
  <c r="O56" i="17"/>
  <c r="AO56" i="17" s="1"/>
  <c r="O52" i="17"/>
  <c r="A21" i="17"/>
  <c r="J21" i="17"/>
  <c r="I21" i="17"/>
  <c r="H21" i="17"/>
  <c r="E21" i="17"/>
  <c r="D9" i="29" s="1"/>
  <c r="I24" i="17"/>
  <c r="H24" i="17"/>
  <c r="A24" i="17"/>
  <c r="J24" i="17"/>
  <c r="E24" i="17"/>
  <c r="D10" i="29" s="1"/>
  <c r="I10" i="17"/>
  <c r="J10" i="17"/>
  <c r="H10" i="17"/>
  <c r="E10" i="17"/>
  <c r="A10" i="17"/>
  <c r="J13" i="17"/>
  <c r="I13" i="17"/>
  <c r="H13" i="17"/>
  <c r="E13" i="17"/>
  <c r="A13" i="17"/>
  <c r="J30" i="17"/>
  <c r="E30" i="17"/>
  <c r="O21" i="17" s="1"/>
  <c r="A30" i="17"/>
  <c r="I30" i="17"/>
  <c r="H30" i="17"/>
  <c r="J33" i="17"/>
  <c r="I33" i="17"/>
  <c r="H33" i="17"/>
  <c r="E33" i="17"/>
  <c r="D5" i="29" s="1"/>
  <c r="A33" i="17"/>
  <c r="A35" i="17"/>
  <c r="J35" i="17"/>
  <c r="I35" i="17"/>
  <c r="E35" i="17"/>
  <c r="D2" i="29" s="1"/>
  <c r="H35" i="17"/>
  <c r="J43" i="17"/>
  <c r="I43" i="17"/>
  <c r="E43" i="17"/>
  <c r="A43" i="17"/>
  <c r="H43" i="17"/>
  <c r="J51" i="17"/>
  <c r="I51" i="17"/>
  <c r="H51" i="17"/>
  <c r="A51" i="17"/>
  <c r="E51" i="17"/>
  <c r="D14" i="29" s="1"/>
  <c r="E54" i="17"/>
  <c r="J54" i="17"/>
  <c r="I54" i="17"/>
  <c r="A54" i="17"/>
  <c r="H54" i="17"/>
  <c r="A22" i="17"/>
  <c r="J22" i="17"/>
  <c r="I22" i="17"/>
  <c r="H22" i="17"/>
  <c r="E22" i="17"/>
  <c r="E25" i="17"/>
  <c r="O23" i="17" s="1"/>
  <c r="AO23" i="17" s="1"/>
  <c r="J25" i="17"/>
  <c r="I25" i="17"/>
  <c r="H25" i="17"/>
  <c r="A25" i="17"/>
  <c r="A29" i="17"/>
  <c r="J29" i="17"/>
  <c r="I29" i="17"/>
  <c r="H29" i="17"/>
  <c r="E29" i="17"/>
  <c r="D4" i="29" s="1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D23" i="29" s="1"/>
  <c r="A45" i="17"/>
  <c r="H53" i="17"/>
  <c r="E53" i="17"/>
  <c r="J53" i="17"/>
  <c r="I53" i="17"/>
  <c r="A53" i="17"/>
  <c r="A28" i="17"/>
  <c r="J28" i="17"/>
  <c r="I28" i="17"/>
  <c r="H28" i="17"/>
  <c r="E28" i="17"/>
  <c r="O27" i="17" s="1"/>
  <c r="I31" i="17"/>
  <c r="H31" i="17"/>
  <c r="J31" i="17"/>
  <c r="E31" i="17"/>
  <c r="O28" i="17" s="1"/>
  <c r="A31" i="17"/>
  <c r="A36" i="17"/>
  <c r="J36" i="17"/>
  <c r="I36" i="17"/>
  <c r="H36" i="17"/>
  <c r="E36" i="17"/>
  <c r="O30" i="17" s="1"/>
  <c r="H39" i="17"/>
  <c r="E39" i="17"/>
  <c r="D22" i="29" s="1"/>
  <c r="I39" i="17"/>
  <c r="A39" i="17"/>
  <c r="J39" i="17"/>
  <c r="J44" i="17"/>
  <c r="I44" i="17"/>
  <c r="H44" i="17"/>
  <c r="E44" i="17"/>
  <c r="D7" i="29" s="1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O13" i="17" s="1"/>
  <c r="A47" i="17"/>
  <c r="H47" i="17"/>
  <c r="H7" i="17"/>
  <c r="J7" i="17"/>
  <c r="I7" i="17"/>
  <c r="E7" i="17"/>
  <c r="D13" i="29" s="1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D12" i="29" s="1"/>
  <c r="I16" i="17"/>
  <c r="A16" i="17"/>
  <c r="E17" i="17"/>
  <c r="E38" i="17"/>
  <c r="I46" i="17"/>
  <c r="A49" i="17"/>
  <c r="J49" i="17"/>
  <c r="I49" i="17"/>
  <c r="H49" i="17"/>
  <c r="E50" i="17"/>
  <c r="E12" i="17"/>
  <c r="O46" i="17" s="1"/>
  <c r="I17" i="17"/>
  <c r="E27" i="17"/>
  <c r="H12" i="17"/>
  <c r="J17" i="17"/>
  <c r="H27" i="17"/>
  <c r="E41" i="17"/>
  <c r="D6" i="29" s="1"/>
  <c r="J48" i="17"/>
  <c r="I48" i="17"/>
  <c r="E6" i="17"/>
  <c r="D25" i="29" s="1"/>
  <c r="I12" i="17"/>
  <c r="E16" i="17"/>
  <c r="O34" i="17" s="1"/>
  <c r="E26" i="17"/>
  <c r="O19" i="17" s="1"/>
  <c r="I27" i="17"/>
  <c r="H41" i="17"/>
  <c r="E49" i="17"/>
  <c r="D29" i="29" s="1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D30" i="29" s="1"/>
  <c r="E28" i="29"/>
  <c r="E24" i="29"/>
  <c r="E20" i="29"/>
  <c r="E16" i="29"/>
  <c r="E12" i="29"/>
  <c r="E8" i="29"/>
  <c r="E4" i="29"/>
  <c r="O59" i="17"/>
  <c r="O50" i="17"/>
  <c r="AO50" i="17" s="1"/>
  <c r="O43" i="17"/>
  <c r="O36" i="17"/>
  <c r="H3" i="17"/>
  <c r="D28" i="29"/>
  <c r="D16" i="29"/>
  <c r="O35" i="17"/>
  <c r="AO35" i="17" s="1"/>
  <c r="E18" i="29"/>
  <c r="O54" i="17"/>
  <c r="O48" i="17"/>
  <c r="O47" i="17"/>
  <c r="AO47" i="17" s="1"/>
  <c r="O44" i="17"/>
  <c r="AO44" i="17" s="1"/>
  <c r="E3" i="17"/>
  <c r="E27" i="29"/>
  <c r="D18" i="29"/>
  <c r="E13" i="29"/>
  <c r="E3" i="29"/>
  <c r="O58" i="17"/>
  <c r="AO58" i="17" s="1"/>
  <c r="O40" i="17"/>
  <c r="O37" i="17"/>
  <c r="O33" i="17"/>
  <c r="O32" i="17"/>
  <c r="AO32" i="17" s="1"/>
  <c r="O31" i="17"/>
  <c r="O29" i="17"/>
  <c r="AO29" i="17" s="1"/>
  <c r="O26" i="17"/>
  <c r="AO26" i="17" s="1"/>
  <c r="O22" i="17"/>
  <c r="O10" i="17"/>
  <c r="AO10" i="17" s="1"/>
  <c r="E22" i="29"/>
  <c r="O39" i="17"/>
  <c r="O25" i="17"/>
  <c r="O24" i="17"/>
  <c r="E31" i="29"/>
  <c r="E17" i="29"/>
  <c r="E7" i="29"/>
  <c r="D31" i="29"/>
  <c r="E26" i="29"/>
  <c r="D17" i="29"/>
  <c r="E2" i="29"/>
  <c r="H14" i="17"/>
  <c r="I15" i="17"/>
  <c r="E18" i="17"/>
  <c r="O38" i="17" s="1"/>
  <c r="AO38" i="17" s="1"/>
  <c r="A18" i="17"/>
  <c r="E20" i="17"/>
  <c r="H48" i="17"/>
  <c r="O49" i="17"/>
  <c r="O53" i="17"/>
  <c r="AO53" i="17" s="1"/>
  <c r="J55" i="17"/>
  <c r="I55" i="17"/>
  <c r="H55" i="17"/>
  <c r="E25" i="29"/>
  <c r="A7" i="17"/>
  <c r="I14" i="17"/>
  <c r="E19" i="17"/>
  <c r="D24" i="29" s="1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AS12" i="17" l="1"/>
  <c r="AS9" i="17"/>
  <c r="AS10" i="17"/>
  <c r="N49" i="18" a="1"/>
  <c r="N49" i="18" s="1"/>
  <c r="N50" i="18" a="1"/>
  <c r="N50" i="18" s="1"/>
  <c r="D26" i="29"/>
  <c r="O45" i="17"/>
  <c r="D8" i="29"/>
  <c r="O17" i="17"/>
  <c r="D21" i="29"/>
  <c r="O12" i="17"/>
  <c r="AO12" i="17" s="1"/>
  <c r="D3" i="29"/>
  <c r="O20" i="17"/>
  <c r="AO20" i="17" s="1"/>
  <c r="D50" i="17"/>
  <c r="M52" i="17" s="1"/>
  <c r="N52" i="17" s="1" a="1"/>
  <c r="N52" i="17" s="1"/>
  <c r="C50" i="17"/>
  <c r="Q52" i="17" s="1"/>
  <c r="D56" i="17"/>
  <c r="M56" i="17" s="1"/>
  <c r="N56" i="17" s="1" a="1"/>
  <c r="N56" i="17" s="1"/>
  <c r="C56" i="17"/>
  <c r="Q56" i="17" s="1"/>
  <c r="D54" i="17"/>
  <c r="M59" i="17" s="1"/>
  <c r="N59" i="17" s="1" a="1"/>
  <c r="N59" i="17" s="1"/>
  <c r="C54" i="17"/>
  <c r="Q59" i="17" s="1"/>
  <c r="D53" i="17"/>
  <c r="M55" i="17" s="1"/>
  <c r="N55" i="17" s="1" a="1"/>
  <c r="N55" i="17" s="1"/>
  <c r="C53" i="17"/>
  <c r="Q55" i="17" s="1"/>
  <c r="O16" i="17"/>
  <c r="P16" i="17" s="1"/>
  <c r="D51" i="17"/>
  <c r="M51" i="17" s="1"/>
  <c r="N51" i="17" s="1" a="1"/>
  <c r="N51" i="17" s="1"/>
  <c r="C51" i="17"/>
  <c r="Q51" i="17" s="1"/>
  <c r="D49" i="17"/>
  <c r="M58" i="17" s="1"/>
  <c r="N58" i="17" s="1" a="1"/>
  <c r="N58" i="17" s="1"/>
  <c r="C49" i="17"/>
  <c r="Q58" i="17" s="1"/>
  <c r="D52" i="17"/>
  <c r="M57" i="17" s="1"/>
  <c r="N57" i="17" s="1" a="1"/>
  <c r="N57" i="17" s="1"/>
  <c r="C52" i="17"/>
  <c r="Q57" i="17" s="1"/>
  <c r="O15" i="17"/>
  <c r="P15" i="17" s="1"/>
  <c r="D19" i="29"/>
  <c r="O41" i="17"/>
  <c r="AO41" i="17" s="1"/>
  <c r="O42" i="17"/>
  <c r="P42" i="17" s="1"/>
  <c r="D44" i="17"/>
  <c r="M16" i="17" s="1"/>
  <c r="N16" i="17" s="1" a="1"/>
  <c r="N16" i="17" s="1"/>
  <c r="C44" i="17"/>
  <c r="Q16" i="17" s="1"/>
  <c r="D47" i="17"/>
  <c r="M13" i="17" s="1"/>
  <c r="N13" i="17" s="1" a="1"/>
  <c r="N13" i="17" s="1"/>
  <c r="C47" i="17"/>
  <c r="Q13" i="17" s="1"/>
  <c r="D40" i="17"/>
  <c r="M9" i="17" s="1"/>
  <c r="N9" i="17" s="1" a="1"/>
  <c r="N9" i="17" s="1"/>
  <c r="C40" i="17"/>
  <c r="Q9" i="17" s="1"/>
  <c r="C12" i="17"/>
  <c r="Q46" i="17" s="1"/>
  <c r="D42" i="17"/>
  <c r="M10" i="17" s="1"/>
  <c r="N10" i="17" s="1" a="1"/>
  <c r="N10" i="17" s="1"/>
  <c r="C42" i="17"/>
  <c r="Q10" i="17" s="1"/>
  <c r="D39" i="17"/>
  <c r="M14" i="17" s="1"/>
  <c r="N14" i="17" s="1" a="1"/>
  <c r="N14" i="17" s="1"/>
  <c r="C39" i="17"/>
  <c r="Q14" i="17" s="1"/>
  <c r="D45" i="17"/>
  <c r="M11" i="17" s="1"/>
  <c r="N11" i="17" s="1" a="1"/>
  <c r="N11" i="17" s="1"/>
  <c r="C45" i="17"/>
  <c r="Q11" i="17" s="1"/>
  <c r="P29" i="17"/>
  <c r="D43" i="17"/>
  <c r="M12" i="17" s="1"/>
  <c r="N12" i="17" s="1" a="1"/>
  <c r="N12" i="17" s="1"/>
  <c r="C43" i="17"/>
  <c r="Q12" i="17" s="1"/>
  <c r="D46" i="17"/>
  <c r="M17" i="17" s="1"/>
  <c r="N17" i="17" s="1" a="1"/>
  <c r="N17" i="17" s="1"/>
  <c r="C46" i="17"/>
  <c r="Q17" i="17" s="1"/>
  <c r="P14" i="17"/>
  <c r="C14" i="17"/>
  <c r="Q44" i="17" s="1"/>
  <c r="D37" i="17"/>
  <c r="M24" i="17" s="1"/>
  <c r="N24" i="17" s="1" a="1"/>
  <c r="N24" i="17" s="1"/>
  <c r="C37" i="17"/>
  <c r="Q24" i="17" s="1"/>
  <c r="D27" i="17"/>
  <c r="M20" i="17" s="1"/>
  <c r="N20" i="17" s="1" a="1"/>
  <c r="N20" i="17" s="1"/>
  <c r="C27" i="17"/>
  <c r="Q20" i="17" s="1"/>
  <c r="D28" i="17"/>
  <c r="M27" i="17" s="1"/>
  <c r="N27" i="17" s="1" a="1"/>
  <c r="N27" i="17" s="1"/>
  <c r="C28" i="17"/>
  <c r="Q27" i="17" s="1"/>
  <c r="D25" i="17"/>
  <c r="M23" i="17" s="1"/>
  <c r="N23" i="17" s="1" a="1"/>
  <c r="N23" i="17" s="1"/>
  <c r="C25" i="17"/>
  <c r="Q23" i="17" s="1"/>
  <c r="D30" i="17"/>
  <c r="M21" i="17" s="1"/>
  <c r="N21" i="17" s="1" a="1"/>
  <c r="N21" i="17" s="1"/>
  <c r="C30" i="17"/>
  <c r="Q21" i="17" s="1"/>
  <c r="D26" i="17"/>
  <c r="M19" i="17" s="1"/>
  <c r="N19" i="17" s="1" a="1"/>
  <c r="N19" i="17" s="1"/>
  <c r="C26" i="17"/>
  <c r="Q19" i="17" s="1"/>
  <c r="D34" i="17"/>
  <c r="M26" i="17" s="1"/>
  <c r="N26" i="17" s="1" a="1"/>
  <c r="N26" i="17" s="1"/>
  <c r="C34" i="17"/>
  <c r="Q26" i="17" s="1"/>
  <c r="D33" i="17"/>
  <c r="M25" i="17" s="1"/>
  <c r="N25" i="17" s="1" a="1"/>
  <c r="N25" i="17" s="1"/>
  <c r="C33" i="17"/>
  <c r="Q25" i="17" s="1"/>
  <c r="D29" i="17"/>
  <c r="M22" i="17" s="1"/>
  <c r="N22" i="17" s="1" a="1"/>
  <c r="N22" i="17" s="1"/>
  <c r="C29" i="17"/>
  <c r="Q22" i="17" s="1"/>
  <c r="D38" i="17"/>
  <c r="M31" i="17" s="1"/>
  <c r="N31" i="17" s="1" a="1"/>
  <c r="N31" i="17" s="1"/>
  <c r="C38" i="17"/>
  <c r="Q31" i="17" s="1"/>
  <c r="D36" i="17"/>
  <c r="M30" i="17" s="1"/>
  <c r="N30" i="17" s="1" a="1"/>
  <c r="N30" i="17" s="1"/>
  <c r="C36" i="17"/>
  <c r="Q30" i="17" s="1"/>
  <c r="D32" i="17"/>
  <c r="M29" i="17" s="1"/>
  <c r="N29" i="17" s="1" a="1"/>
  <c r="N29" i="17" s="1"/>
  <c r="C32" i="17"/>
  <c r="Q29" i="17" s="1"/>
  <c r="D31" i="17"/>
  <c r="M28" i="17" s="1"/>
  <c r="N28" i="17" s="1" a="1"/>
  <c r="N28" i="17" s="1"/>
  <c r="C31" i="17"/>
  <c r="Q28" i="17" s="1"/>
  <c r="P58" i="17"/>
  <c r="D35" i="17"/>
  <c r="M18" i="17" s="1"/>
  <c r="N18" i="17" s="1" a="1"/>
  <c r="N18" i="17" s="1"/>
  <c r="C35" i="17"/>
  <c r="Q18" i="17" s="1"/>
  <c r="D15" i="17"/>
  <c r="M37" i="17" s="1"/>
  <c r="N37" i="17" s="1" a="1"/>
  <c r="N37" i="17" s="1"/>
  <c r="C15" i="17"/>
  <c r="Q37" i="17" s="1"/>
  <c r="P53" i="17"/>
  <c r="D23" i="17"/>
  <c r="M35" i="17" s="1"/>
  <c r="N35" i="17" s="1" a="1"/>
  <c r="N35" i="17" s="1"/>
  <c r="C23" i="17"/>
  <c r="Q35" i="17" s="1"/>
  <c r="D24" i="17"/>
  <c r="M33" i="17" s="1"/>
  <c r="N33" i="17" s="1" a="1"/>
  <c r="N33" i="17" s="1"/>
  <c r="C24" i="17"/>
  <c r="Q33" i="17" s="1"/>
  <c r="D20" i="17"/>
  <c r="M39" i="17" s="1"/>
  <c r="N39" i="17" s="1" a="1"/>
  <c r="N39" i="17" s="1"/>
  <c r="C20" i="17"/>
  <c r="Q39" i="17" s="1"/>
  <c r="D22" i="17"/>
  <c r="M40" i="17" s="1"/>
  <c r="N40" i="17" s="1" a="1"/>
  <c r="N40" i="17" s="1"/>
  <c r="C22" i="17"/>
  <c r="Q40" i="17" s="1"/>
  <c r="D18" i="17"/>
  <c r="M38" i="17" s="1"/>
  <c r="N38" i="17" s="1" a="1"/>
  <c r="N38" i="17" s="1"/>
  <c r="C18" i="17"/>
  <c r="Q38" i="17" s="1"/>
  <c r="D19" i="17"/>
  <c r="M41" i="17" s="1"/>
  <c r="N41" i="17" s="1" a="1"/>
  <c r="N41" i="17" s="1"/>
  <c r="C19" i="17"/>
  <c r="Q41" i="17" s="1"/>
  <c r="D21" i="17"/>
  <c r="M32" i="17" s="1"/>
  <c r="N32" i="17" s="1" a="1"/>
  <c r="N32" i="17" s="1"/>
  <c r="C21" i="17"/>
  <c r="Q32" i="17" s="1"/>
  <c r="D16" i="17"/>
  <c r="M34" i="17" s="1"/>
  <c r="N34" i="17" s="1" a="1"/>
  <c r="N34" i="17" s="1"/>
  <c r="C16" i="17"/>
  <c r="Q34" i="17" s="1"/>
  <c r="P56" i="17"/>
  <c r="D17" i="17"/>
  <c r="M36" i="17" s="1"/>
  <c r="N36" i="17" s="1" a="1"/>
  <c r="N36" i="17" s="1"/>
  <c r="C17" i="17"/>
  <c r="Q36" i="17" s="1"/>
  <c r="P50" i="17"/>
  <c r="P38" i="17"/>
  <c r="D8" i="17"/>
  <c r="M47" i="17" s="1"/>
  <c r="N47" i="17" s="1" a="1"/>
  <c r="N47" i="17" s="1"/>
  <c r="C8" i="17"/>
  <c r="Q47" i="17" s="1"/>
  <c r="D13" i="17"/>
  <c r="M48" i="17" s="1"/>
  <c r="N48" i="17" s="1" a="1"/>
  <c r="N48" i="17" s="1"/>
  <c r="C13" i="17"/>
  <c r="Q48" i="17" s="1"/>
  <c r="D10" i="17"/>
  <c r="M45" i="17" s="1"/>
  <c r="N45" i="17" s="1" a="1"/>
  <c r="N45" i="17" s="1"/>
  <c r="C10" i="17"/>
  <c r="Q45" i="17" s="1"/>
  <c r="D7" i="17"/>
  <c r="M43" i="17" s="1"/>
  <c r="N43" i="17" s="1" a="1"/>
  <c r="N43" i="17" s="1"/>
  <c r="C7" i="17"/>
  <c r="Q43" i="17" s="1"/>
  <c r="P21" i="17"/>
  <c r="AO21" i="17"/>
  <c r="P47" i="17"/>
  <c r="P30" i="17"/>
  <c r="AO30" i="17"/>
  <c r="P28" i="17"/>
  <c r="AO28" i="17"/>
  <c r="P18" i="17"/>
  <c r="AO18" i="17"/>
  <c r="P52" i="17"/>
  <c r="AO52" i="17"/>
  <c r="P44" i="17"/>
  <c r="P9" i="17"/>
  <c r="P31" i="17"/>
  <c r="AO31" i="17"/>
  <c r="P55" i="17"/>
  <c r="AO55" i="17"/>
  <c r="P35" i="17"/>
  <c r="P48" i="17"/>
  <c r="AO48" i="17"/>
  <c r="P49" i="17"/>
  <c r="AO49" i="17"/>
  <c r="P25" i="17"/>
  <c r="AO25" i="17"/>
  <c r="P45" i="17"/>
  <c r="AO45" i="17"/>
  <c r="P39" i="17"/>
  <c r="AO39" i="17"/>
  <c r="P27" i="17"/>
  <c r="AO27" i="17"/>
  <c r="P46" i="17"/>
  <c r="AO46" i="17"/>
  <c r="P51" i="17"/>
  <c r="AO51" i="17"/>
  <c r="P33" i="17"/>
  <c r="AO33" i="17"/>
  <c r="P32" i="17"/>
  <c r="P22" i="17"/>
  <c r="AO22" i="17"/>
  <c r="P37" i="17"/>
  <c r="AO37" i="17"/>
  <c r="P34" i="17"/>
  <c r="AO34" i="17"/>
  <c r="P54" i="17"/>
  <c r="AO54" i="17"/>
  <c r="P36" i="17"/>
  <c r="AO36" i="17"/>
  <c r="P10" i="17"/>
  <c r="P13" i="17"/>
  <c r="AO13" i="17"/>
  <c r="P43" i="17"/>
  <c r="AO43" i="17"/>
  <c r="P26" i="17"/>
  <c r="P19" i="17"/>
  <c r="AO19" i="17"/>
  <c r="P11" i="17"/>
  <c r="P23" i="17"/>
  <c r="P24" i="17"/>
  <c r="AO24" i="17"/>
  <c r="P40" i="17"/>
  <c r="AO40" i="17"/>
  <c r="P59" i="17"/>
  <c r="AO59" i="17"/>
  <c r="P57" i="17"/>
  <c r="AO57" i="17"/>
  <c r="P41" i="17" l="1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<sst xmlns="http://schemas.openxmlformats.org/spreadsheetml/2006/main" count="10227" uniqueCount="578">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</sst>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INFORMACION%20SUPERVISORES\BD%20ASIGNACION\ASIGNACION%202025\BD_ASIGNACION%20-%20MARZO%20-%202025.xlsx" TargetMode="External"/><Relationship Id="rId1" Type="http://schemas.openxmlformats.org/officeDocument/2006/relationships/externalLinkPath" Target="file:///Y:\INFORMACION%20SUPERVISORES\BD%20ASIGNACION\ASIGNACION%202025\BD_ASIGNACION%20-%20MARZO%20-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BD- MARZO 2025"/>
      <sheetName val="INTERNO"/>
      <sheetName val="EXTERNO"/>
      <sheetName val="TOTAL - MELITA"/>
      <sheetName val="RESUMEN J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767"/>
    <tableColumn id="8" xr3:uid="{8B3B2929-A591-41D7-9D44-B220287F0F2A}" name="DNI" dataDxfId="766"/>
    <tableColumn id="9" xr3:uid="{AAABF626-1A15-4E7A-A444-7423611F1BB2}" name="FECHA DE INGRESO" dataDxfId="765"/>
    <tableColumn id="10" xr3:uid="{CACFA6D6-8D93-432C-AAD6-E9CBF58F5197}" name="ESTADO" dataDxfId="7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3" headerRowBorderDxfId="762" tableBorderDxfId="76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0">
      <calculatedColumnFormula>DATA_ENERO_2025[[#This Row],[RECUPERO]]/DATA_ENERO_2025[[#This Row],[META]]</calculatedColumnFormula>
    </tableColumn>
    <tableColumn id="3" xr3:uid="{16F39E06-76AE-43AD-903E-9F641E37CB06}" name="CLASIFICACIÓN" dataDxfId="75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8"/>
    <tableColumn id="6" xr3:uid="{087774B2-9699-454D-B0E9-E9D62B239262}" name="RECUPERO" dataDxfId="757">
      <calculatedColumnFormula>SUM(DATA_ENERO_2025[[#This Row],[1]:[31]])</calculatedColumnFormula>
    </tableColumn>
    <tableColumn id="7" xr3:uid="{B938E452-5678-4623-B9AD-47B290EB3B56}" name="META" dataDxfId="756"/>
    <tableColumn id="5" xr3:uid="{A39094CA-883F-4450-A53A-370F0AE54B0C}" name="ASER_" dataDxfId="755"/>
    <tableColumn id="28" xr3:uid="{BA402970-CDDC-479B-AF0C-DE6FB6DEA3A2}" name="1" dataDxfId="75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2" dataDxfId="750" headerRowBorderDxfId="751" tableBorderDxfId="749" totalsRowBorderDxfId="74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7"/>
    <tableColumn id="1" xr3:uid="{5A7C4C9C-3E71-483D-9C6F-3AFA18F0B768}" name="RECUPERO SUPERVISOR" dataDxfId="746">
      <calculatedColumnFormula>MAX(DITE_ENERO_2025[[#This Row],[1]:[31]])</calculatedColumnFormula>
    </tableColumn>
    <tableColumn id="2" xr3:uid="{1DBABE23-BC0D-4016-A3DE-102C34B93437}" name="ALCANCE SUPERVISOR" dataDxfId="745">
      <calculatedColumnFormula>DITE_ENERO_2025[[#This Row],[RECUPERO SUPERVISOR]]/DITE_ENERO_2025[[#This Row],[META SUPER]]</calculatedColumnFormula>
    </tableColumn>
    <tableColumn id="4" xr3:uid="{AAFE5F6A-D443-4B76-896C-3012A63A21B1}" name="SUPER" dataDxfId="744"/>
    <tableColumn id="6" xr3:uid="{CAC1468E-FE7F-46E8-8FA8-2EBFE78F55CF}" name="1" dataDxfId="743"/>
    <tableColumn id="7" xr3:uid="{2C1F1DCC-5615-43E9-8493-73A6B92A7B8C}" name="2" dataDxfId="742"/>
    <tableColumn id="8" xr3:uid="{CB1DD332-E0A5-4BEF-8B71-8820CA4A145B}" name="3" dataDxfId="741"/>
    <tableColumn id="9" xr3:uid="{1BB0DD4F-A73A-4F8E-93FB-252CA932D637}" name="4" dataDxfId="740"/>
    <tableColumn id="10" xr3:uid="{F4A27082-EDDE-411F-B0E7-C50309499B06}" name="5" dataDxfId="739"/>
    <tableColumn id="11" xr3:uid="{DDC3545E-22B2-4DEC-A217-59650C8BAC95}" name="6" dataDxfId="738"/>
    <tableColumn id="12" xr3:uid="{F4B5BD15-E4EF-4A2E-9071-FE5F69E48F1F}" name="7" dataDxfId="73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6"/>
    <tableColumn id="14" xr3:uid="{1DE13FA2-B93D-487E-A105-3A5622C997DE}" name="18" dataDxfId="735"/>
    <tableColumn id="15" xr3:uid="{6273FFBE-FC81-40C7-91CB-E95ECAD8BE5D}" name="19" dataDxfId="734"/>
    <tableColumn id="16" xr3:uid="{35253537-0DA1-45D4-B9A3-D1CBC6E92B8B}" name="20" dataDxfId="733"/>
    <tableColumn id="17" xr3:uid="{4BF3707C-841F-4140-B63C-5B47863B4CA4}" name="21" dataDxfId="732"/>
    <tableColumn id="18" xr3:uid="{1F7B79C3-A22C-49D8-9C1F-629E6C41B955}" name="22" dataDxfId="731"/>
    <tableColumn id="19" xr3:uid="{361B16CF-A887-4C9E-88B3-E8A7F4F314B0}" name="23" dataDxfId="730"/>
    <tableColumn id="20" xr3:uid="{9B3EDA9C-6CB0-4D9F-965A-6EB0593C19D9}" name="24" dataDxfId="729"/>
    <tableColumn id="21" xr3:uid="{B02655DA-D4F9-4926-88A4-5E8B2F4DF911}" name="25" dataDxfId="728"/>
    <tableColumn id="22" xr3:uid="{43854B99-1BF7-4DF3-8A04-A277447DE3B8}" name="26" dataDxfId="727"/>
    <tableColumn id="23" xr3:uid="{CAC2F677-42BD-4EFA-8E99-ABA2036DAF56}" name="27" dataDxfId="726"/>
    <tableColumn id="24" xr3:uid="{20489B5B-5885-4E43-B5F0-4EAAEE4E8EB8}" name="28" dataDxfId="725"/>
    <tableColumn id="25" xr3:uid="{B4D29A08-5206-4DCD-AF4C-9B7ABB8D3CFF}" name="29" dataDxfId="724"/>
    <tableColumn id="26" xr3:uid="{7B49DBDA-317E-4CFB-B7FA-841DFC27E42B}" name="30" dataDxfId="723"/>
    <tableColumn id="27" xr3:uid="{0126152E-7354-43DB-A75E-4841194C453D}" name="31" dataDxfId="722"/>
    <tableColumn id="3" xr3:uid="{93315C06-D400-4502-BDDD-AC5886091EC6}" name="CARTERA" dataDxfId="7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19"/>
    <tableColumn id="5" xr3:uid="{44178C41-B41B-4820-A8E8-222FE453335F}" name="ASESOR" dataDxfId="718"/>
    <tableColumn id="6" xr3:uid="{AC6EB590-A7E8-408F-A892-A1851BCCF0B5}" name="RECUPERO" dataDxfId="717"/>
    <tableColumn id="8" xr3:uid="{9B60B527-D768-46F8-BB97-824B255159D2}" name="DNI" dataDxfId="716"/>
    <tableColumn id="9" xr3:uid="{BDF8C571-22FC-498B-99CF-8D578B086437}" name="FECHA DE INGRESO" dataDxfId="715"/>
    <tableColumn id="10" xr3:uid="{4A0E2A05-69C0-48C2-B0D3-4D952F052DB2}" name="ESTADO" dataDxfId="7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3" headerRowBorderDxfId="712" tableBorderDxfId="7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0">
      <calculatedColumnFormula>DATA_FEBRERO_2025[[#This Row],[RECUPERO]]/DATA_FEBRERO_2025[[#This Row],[META]]</calculatedColumnFormula>
    </tableColumn>
    <tableColumn id="3" xr3:uid="{AE4A1FA5-3083-4CA4-B657-D2D0F2E20004}" name="CLASIFICACIÓN" dataDxfId="7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08"/>
    <tableColumn id="6" xr3:uid="{2DE1A6CE-7493-4B20-83EE-59078393B5AF}" name="RECUPERO" dataDxfId="707">
      <calculatedColumnFormula>SUM(DATA_FEBRERO_2025[[#This Row],[1]:[31]])</calculatedColumnFormula>
    </tableColumn>
    <tableColumn id="7" xr3:uid="{24FB90FB-A888-41AB-9B19-627A74DA2062}" name="META" dataDxfId="706"/>
    <tableColumn id="5" xr3:uid="{E6A5C563-3502-4EF4-8D06-C88816E905A8}" name="ASER_" dataDxfId="7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04"/>
    <tableColumn id="8" xr3:uid="{E99C6359-BA67-4127-80B1-429613DA94CB}" name="31"/>
    <tableColumn id="4" xr3:uid="{1AB4C76D-3918-4961-B05E-216E9D0F2A8C}" name="CARTERA ASESOR" dataDxfId="7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2" dataDxfId="700" headerRowBorderDxfId="701" tableBorderDxfId="699" totalsRowBorderDxfId="6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697"/>
    <tableColumn id="1" xr3:uid="{C46409A5-9201-4E30-A3EB-7B6FC2DAF473}" name="RECUPERO SUPERVISOR" dataDxfId="696">
      <calculatedColumnFormula>MAX(DITE_FEBRERO_2025[[#This Row],[1]:[31]])</calculatedColumnFormula>
    </tableColumn>
    <tableColumn id="2" xr3:uid="{445C2C89-5F44-46FD-8C70-EF4EE30F232E}" name="ALCANCE SUPERVISOR" dataDxfId="695">
      <calculatedColumnFormula>DITE_FEBRERO_2025[[#This Row],[RECUPERO SUPERVISOR]]/DITE_FEBRERO_2025[[#This Row],[META SUPER]]</calculatedColumnFormula>
    </tableColumn>
    <tableColumn id="4" xr3:uid="{55D4E2C7-B609-4C8C-A5DE-AABFFD74BEB8}" name="SUPER" dataDxfId="694"/>
    <tableColumn id="6" xr3:uid="{29925D04-B597-415A-B40B-62A3FBA8B23D}" name="1" dataDxfId="693"/>
    <tableColumn id="7" xr3:uid="{31865A72-E634-4CB8-8660-811FA8147632}" name="2" dataDxfId="692"/>
    <tableColumn id="8" xr3:uid="{C70A98A0-1CB0-425B-975B-D4464009CDD0}" name="3" dataDxfId="691"/>
    <tableColumn id="9" xr3:uid="{F56CF612-0AA5-44CB-878D-FA59D84052AD}" name="4" dataDxfId="6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89"/>
    <tableColumn id="11" xr3:uid="{A6DAF4DF-EAFF-47AB-9A6F-0B2896AE1A18}" name="17" dataDxfId="688"/>
    <tableColumn id="12" xr3:uid="{3DC03FF0-BAC6-4F5D-B5DE-18A95E2C1B97}" name="18" dataDxfId="687"/>
    <tableColumn id="13" xr3:uid="{A90729AA-CC5E-4236-924F-A736B7A4BE93}" name="19" dataDxfId="686"/>
    <tableColumn id="14" xr3:uid="{B48B5FF0-5C49-4DDC-AC33-B45D349AD044}" name="20" dataDxfId="685"/>
    <tableColumn id="15" xr3:uid="{D36E617E-0BBB-4BC1-BBF1-EB24E3C2CE90}" name="21" dataDxfId="684"/>
    <tableColumn id="16" xr3:uid="{BD346F05-FCC2-4EA9-8F0F-B55AB2E68BE0}" name="22" dataDxfId="683"/>
    <tableColumn id="17" xr3:uid="{F5BB9730-A5AE-4489-9CB0-182052BA6557}" name="23" dataDxfId="682"/>
    <tableColumn id="18" xr3:uid="{B3DEF063-7A67-4F08-9D09-8310B4B64F2B}" name="24" dataDxfId="681"/>
    <tableColumn id="19" xr3:uid="{558BE332-1E67-4EF7-9FF1-541A019A7066}" name="25" dataDxfId="680"/>
    <tableColumn id="20" xr3:uid="{073BAAB2-EF92-4A82-B7FE-8339FF3A62EA}" name="26" dataDxfId="679"/>
    <tableColumn id="21" xr3:uid="{6EC9D118-EB0A-4FDC-A694-0A630EB1048E}" name="27" dataDxfId="678"/>
    <tableColumn id="22" xr3:uid="{DFF298CB-C24B-4F90-BD14-F99C28391208}" name="28" dataDxfId="677"/>
    <tableColumn id="23" xr3:uid="{7EF0365B-2B81-4022-84F3-7A3859D35934}" name="29" dataDxfId="676"/>
    <tableColumn id="24" xr3:uid="{D92D6A29-5A30-4405-A019-D7F8F39E4176}" name="30" dataDxfId="675"/>
    <tableColumn id="25" xr3:uid="{9BFA1186-4A61-452A-8EAC-4FE410743029}" name="31" dataDxfId="674"/>
    <tableColumn id="3" xr3:uid="{5EBD9DD4-78E3-4E78-8FD5-A71A2DE2CBE8}" name="CARTERA" dataDxfId="67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671">
      <calculatedColumnFormula>D1_MARZO_2025[[#This Row],[RECUPERO]]/D1_MARZO_2025[[#This Row],[META]]</calculatedColumnFormula>
    </tableColumn>
    <tableColumn id="7" xr3:uid="{7155E541-BC22-41C0-914A-E54D790D436D}" name="SUPER2" dataDxfId="670"/>
    <tableColumn id="5" xr3:uid="{C9BC0167-A73A-4B66-AB0E-BCC22F3CD7BF}" name="ASESOR" dataDxfId="669"/>
    <tableColumn id="6" xr3:uid="{32E44CF1-7B46-45AA-916C-7D5322097EFD}" name="RECUPERO" dataDxfId="668"/>
    <tableColumn id="8" xr3:uid="{5504CD70-2376-413C-9DD9-7E1FC1D78F37}" name="DNI" dataDxfId="667"/>
    <tableColumn id="9" xr3:uid="{27659D49-6FC1-457B-BF33-A19DBF78CDF2}" name="FECHA DE INGRESO" dataDxfId="666"/>
    <tableColumn id="10" xr3:uid="{79E50096-FDE3-4403-8568-FF008447BCC2}" name="ESTADO" dataDxfId="6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64" headerRowBorderDxfId="663" tableBorderDxfId="6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1">
      <calculatedColumnFormula>DATA_MARZO_2025[[#This Row],[RECUPERO]]/DATA_MARZO_2025[[#This Row],[META]]</calculatedColumnFormula>
    </tableColumn>
    <tableColumn id="3" xr3:uid="{6050B278-B3D2-4B4C-8475-D701C9B8AB17}" name="CLASIFICACIÓN" dataDxfId="660"/>
    <tableColumn id="1" xr3:uid="{A94CCC19-556A-4124-8949-24896CDBE45E}" name="SUPERVISOR" dataDxfId="659"/>
    <tableColumn id="6" xr3:uid="{EBBFD24C-8909-45B0-B8CB-4ED73B62F2AB}" name="RECUPERO" dataDxfId="658">
      <calculatedColumnFormula>SUM(DATA_MARZO_2025[[#This Row],[1]:[31]])</calculatedColumnFormula>
    </tableColumn>
    <tableColumn id="7" xr3:uid="{D5702432-6067-40C7-B647-63D5EBDD13C2}" name="META" dataDxfId="657"/>
    <tableColumn id="5" xr3:uid="{40A208DF-2D8B-4D71-B923-6BFFA76CDA11}" name="ASER_" dataDxfId="656"/>
    <tableColumn id="38" xr3:uid="{1F074B40-AB13-4BEE-BC21-9D178D274909}" name="1"/>
    <tableColumn id="41" xr3:uid="{936D83D8-C85E-4C4D-9E8D-BA3D7C54F99A}" name="2" dataDxfId="655">
      <calculatedColumnFormula>VLOOKUP(DATA_MARZO_2025[[#This Row],[ASER_]],[1]Hoja1!$A$6:$AH$76,34,0)</calculatedColumnFormula>
    </tableColumn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5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52" dataDxfId="650" headerRowBorderDxfId="651" tableBorderDxfId="649" totalsRowBorderDxfId="6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47"/>
    <tableColumn id="1" xr3:uid="{23B67F77-728E-46C0-B5B1-11CE8E08D862}" name="RECUPERO SUPERVISOR" dataDxfId="646">
      <calculatedColumnFormula>MAX(DITE_MARZO_2025[[#This Row],[1]:[31]])</calculatedColumnFormula>
    </tableColumn>
    <tableColumn id="2" xr3:uid="{0BAE08AE-6A16-447E-9DDD-8800D68BFFA3}" name="ALCANCE SUPERVISOR" dataDxfId="645">
      <calculatedColumnFormula>DITE_MARZO_2025[[#This Row],[RECUPERO SUPERVISOR]]/DITE_MARZO_2025[[#This Row],[META SUPER]]</calculatedColumnFormula>
    </tableColumn>
    <tableColumn id="4" xr3:uid="{663301EA-2B77-4C76-B8E0-713CAAD1AC41}" name="SUPER" dataDxfId="644"/>
    <tableColumn id="6" xr3:uid="{9A6FEB31-48E4-456F-8C1F-14055131E9D6}" name="1" dataDxfId="643"/>
    <tableColumn id="7" xr3:uid="{B8154FAF-39D2-4ED9-8DD7-C179156ECA39}" name="2" dataDxfId="642"/>
    <tableColumn id="8" xr3:uid="{E58A14C1-44D1-46A4-9137-21E70261FA76}" name="3" dataDxfId="641"/>
    <tableColumn id="9" xr3:uid="{EFDA2093-809C-4DA2-80F9-0388CCC5E290}" name="4" dataDxfId="640"/>
    <tableColumn id="10" xr3:uid="{634CF5F0-F36D-4B26-8143-8C3A6FB59216}" name="5" dataDxfId="639"/>
    <tableColumn id="11" xr3:uid="{77A0553B-7BDF-49B7-B459-701A77496BEA}" name="6" dataDxfId="6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37"/>
    <tableColumn id="13" xr3:uid="{C6D91E97-E16B-4E76-BE55-A08C2A1131DD}" name="18" dataDxfId="636"/>
    <tableColumn id="14" xr3:uid="{2A5F1078-A097-4171-BD28-7B9B623471D0}" name="19" dataDxfId="635"/>
    <tableColumn id="15" xr3:uid="{5E883D61-775A-4AD4-A304-156DCFD9F825}" name="20" dataDxfId="634"/>
    <tableColumn id="16" xr3:uid="{BEFB5788-590D-4EFA-8707-20BAAF7026F1}" name="21" dataDxfId="633"/>
    <tableColumn id="17" xr3:uid="{8FC06E69-FAE9-4DBE-9C75-7A6598DE29C6}" name="22" dataDxfId="632"/>
    <tableColumn id="18" xr3:uid="{966EC934-1D25-407E-AE13-8147AC3FF531}" name="23" dataDxfId="631"/>
    <tableColumn id="19" xr3:uid="{5437FF24-6F5D-412D-82EE-8C668C7DC853}" name="24" dataDxfId="630"/>
    <tableColumn id="20" xr3:uid="{204A7CBC-2C07-4027-851F-021033B930C1}" name="25" dataDxfId="629"/>
    <tableColumn id="21" xr3:uid="{DF491418-AC74-4C6A-852F-F0797487D11C}" name="26" dataDxfId="628"/>
    <tableColumn id="22" xr3:uid="{E184F0A4-EF1A-48F5-8166-10085FC40D13}" name="27" dataDxfId="627"/>
    <tableColumn id="23" xr3:uid="{66C12B87-BC6D-46BE-AF31-D0C68A22BC7E}" name="28" dataDxfId="626"/>
    <tableColumn id="24" xr3:uid="{A2DB9C74-4CB6-4BBF-A230-DF50FDE9380D}" name="29" dataDxfId="625"/>
    <tableColumn id="25" xr3:uid="{D54E02BE-AA16-43C7-ABD3-89326740EA63}" name="30" dataDxfId="624"/>
    <tableColumn id="26" xr3:uid="{11172EA7-856A-4297-8329-62917B649E9A}" name="31" dataDxfId="623"/>
    <tableColumn id="3" xr3:uid="{42C6AD34-2DFF-436B-BB22-6DE170226F44}" name="CARTERA" dataDxfId="6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0"/>
    <tableColumn id="5" xr3:uid="{D789E66F-CC8C-4715-A998-7AE532E85E8A}" name="ASESOR" dataDxfId="619"/>
    <tableColumn id="6" xr3:uid="{3455DB8A-5A64-4A8F-8153-2471763CA60D}" name="RECUPERO" dataDxfId="618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14" headerRowBorderDxfId="613" tableBorderDxfId="61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11">
      <calculatedColumnFormula>DATA_ABRIL_2025[[#This Row],[RECUPERO]]/DATA_ABRIL_2025[[#This Row],[META]]</calculatedColumnFormula>
    </tableColumn>
    <tableColumn id="3" xr3:uid="{1B1E8B7A-D562-46FD-89DE-12ADBC7146F2}" name="CLASIFICACIÓN" dataDxfId="61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09"/>
    <tableColumn id="6" xr3:uid="{9C2D93B7-85A2-4E07-8DD4-3C81F7BF7EBF}" name="RECUPERO" dataDxfId="608">
      <calculatedColumnFormula>SUM(DATA_ABRIL_2025[[#This Row],[1]:[31]])</calculatedColumnFormula>
    </tableColumn>
    <tableColumn id="7" xr3:uid="{8F4173FF-BB8D-4C61-A5E9-1B6F872C619C}" name="META" dataDxfId="607"/>
    <tableColumn id="5" xr3:uid="{64151D2C-B822-41DF-8964-343214960730}" name="ASER_" dataDxfId="60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04" dataDxfId="602" headerRowBorderDxfId="603" tableBorderDxfId="601" totalsRowBorderDxfId="60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599"/>
    <tableColumn id="1" xr3:uid="{56AD13BC-F67F-4EBC-8601-073AD9D41E5D}" name="RECUPERO SUPERVISOR" dataDxfId="598">
      <calculatedColumnFormula>MAX(DITE_ABRIL_2025[[#This Row],[1]:[31]])</calculatedColumnFormula>
    </tableColumn>
    <tableColumn id="2" xr3:uid="{B40C8394-DA7A-4DDD-89EA-AE757C76DD20}" name="ALCANCE SUPERVISOR" dataDxfId="597">
      <calculatedColumnFormula>BA9/DITE_ABRIL_2025[[#This Row],[META SUPER]]</calculatedColumnFormula>
    </tableColumn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5" dataDxfId="591"/>
    <tableColumn id="11" xr3:uid="{56E37C44-85E9-4431-A560-A54606105B9D}" name="6" dataDxfId="590"/>
    <tableColumn id="12" xr3:uid="{9ADEA573-5E4A-46C0-8569-AFED61AE0141}" name="7" dataDxfId="589"/>
    <tableColumn id="13" xr3:uid="{D44E56ED-D810-4F08-ACAA-0850A2CBA861}" name="8" dataDxfId="588"/>
    <tableColumn id="14" xr3:uid="{4F1A46EB-156C-42BB-A090-307A483EDA59}" name="9" dataDxfId="58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86"/>
    <tableColumn id="16" xr3:uid="{C78E77EC-88A1-4EFD-AD1A-7DF788C46683}" name="22" dataDxfId="585"/>
    <tableColumn id="17" xr3:uid="{D5FD8172-0B95-4406-9239-1ABAD08F1B45}" name="23" dataDxfId="584"/>
    <tableColumn id="18" xr3:uid="{8E9BAC3F-3B04-449B-88EE-DBF57FA626AC}" name="24" dataDxfId="583"/>
    <tableColumn id="19" xr3:uid="{BFA3B7EB-0BC7-4311-8FCE-7C69A9357A03}" name="25" dataDxfId="582"/>
    <tableColumn id="20" xr3:uid="{D2BE25CA-961F-40EE-9EC1-A49EEA4DDB5A}" name="26" dataDxfId="581"/>
    <tableColumn id="21" xr3:uid="{77AAB025-517F-4236-B11B-AEE9B7399348}" name="27" dataDxfId="580"/>
    <tableColumn id="22" xr3:uid="{E35C7392-A09A-482A-9C37-79B0D6711E60}" name="28" dataDxfId="579"/>
    <tableColumn id="23" xr3:uid="{B9F1E360-1FEC-4978-B5DB-3DECA1925AE9}" name="29" dataDxfId="578"/>
    <tableColumn id="24" xr3:uid="{89A20735-1F9D-4A38-9BEB-B3BD56D1FD35}" name="30" dataDxfId="577"/>
    <tableColumn id="25" xr3:uid="{4BE1A809-8A7F-4933-9AB7-B0E4C9CDDD7E}" name="31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573">
      <calculatedColumnFormula>D1_MAYO_2025[[#This Row],[RECUPERO]]/D1_MAYO_2025[[#This Row],[META]]</calculatedColumnFormula>
    </tableColumn>
    <tableColumn id="7" xr3:uid="{7C5F88F0-9FF3-49CF-BE68-2D455D9DEE81}" name="SUPER2" dataDxfId="572"/>
    <tableColumn id="5" xr3:uid="{5FAC7613-1036-4D50-9A09-AB4F41D88D12}" name="ASESOR" dataDxfId="571"/>
    <tableColumn id="6" xr3:uid="{373B07DA-C176-4486-843D-36C5A3043867}" name="RECUPERO" dataDxfId="570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6" headerRowBorderDxfId="565" tableBorderDxfId="56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3">
      <calculatedColumnFormula>DATA_MAYO_2025[[#This Row],[RECUPERO]]/DATA_MAYO_2025[[#This Row],[META]]</calculatedColumnFormula>
    </tableColumn>
    <tableColumn id="3" xr3:uid="{8551335D-BE40-494B-A806-42FAA211C207}" name="CLASIFICACIÓN" dataDxfId="56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561"/>
    <tableColumn id="6" xr3:uid="{85DC5B94-4FF7-4224-A993-E56A00A5F6DA}" name="RECUPERO" dataDxfId="560">
      <calculatedColumnFormula>SUM(DATA_MAYO_2025[[#This Row],[1]:[31]])</calculatedColumnFormula>
    </tableColumn>
    <tableColumn id="7" xr3:uid="{E2EB46E1-D5BC-46B2-859F-8C05EBBE26F5}" name="META" dataDxfId="559"/>
    <tableColumn id="5" xr3:uid="{A8ED42EF-7F3D-47A1-A928-02CDC650D596}" name="ASER_" dataDxfId="55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56" dataDxfId="554" headerRowBorderDxfId="555" tableBorderDxfId="553" totalsRowBorderDxfId="55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1"/>
    <tableColumn id="1" xr3:uid="{E8B4D119-C811-4392-9EE6-8F0C79BEE9E9}" name="RECUPERO SUPERVISOR" dataDxfId="550">
      <calculatedColumnFormula>MAX(DITE_MAYO_2025[[#This Row],[1]:[31]])</calculatedColumnFormula>
    </tableColumn>
    <tableColumn id="2" xr3:uid="{B44E621C-D444-4670-8FB8-CA1A1E3293FE}" name="ALCANCE SUPERVISOR" dataDxfId="549">
      <calculatedColumnFormula>DITE_MAYO_2025[[#This Row],[RECUPERO SUPERVISOR]]/DITE_MAYO_2025[[#This Row],[META SUPER]]</calculatedColumnFormula>
    </tableColumn>
    <tableColumn id="4" xr3:uid="{63B60F11-ECE7-4839-BADE-F875CF35D6C8}" name="SUPER" dataDxfId="548"/>
    <tableColumn id="6" xr3:uid="{795F9848-930D-4B49-893D-00DA36A6069C}" name="1" dataDxfId="547"/>
    <tableColumn id="7" xr3:uid="{A0F1B09B-45CD-4449-B0E0-2A746353F5F6}" name="2" dataDxfId="546"/>
    <tableColumn id="8" xr3:uid="{42485F8E-3938-40CB-B75A-E12120AF085D}" name="3" dataDxfId="545"/>
    <tableColumn id="9" xr3:uid="{16CE59CD-D621-412D-8F6E-F5B8FEEFCBB4}" name="4" dataDxfId="544"/>
    <tableColumn id="10" xr3:uid="{D1B5939A-E95A-4BE2-BA16-796CFB62C7BB}" name="5" dataDxfId="543"/>
    <tableColumn id="11" xr3:uid="{42606FA2-25C4-48F7-BC25-B75CFBF93D7E}" name="6" dataDxfId="542"/>
    <tableColumn id="12" xr3:uid="{91DD2662-D657-4CF0-B378-5B3D9B374F80}" name="7" dataDxfId="54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0"/>
    <tableColumn id="14" xr3:uid="{FDAEFC46-2A8B-451E-929D-76EC4BC7CA39}" name="19" dataDxfId="539"/>
    <tableColumn id="15" xr3:uid="{1F944C9F-2359-45A9-8922-617195550B92}" name="20" dataDxfId="538"/>
    <tableColumn id="16" xr3:uid="{D023EA95-922B-4435-8A92-F165E2F3A560}" name="21" dataDxfId="537"/>
    <tableColumn id="17" xr3:uid="{7AC3BA92-E630-483B-B27E-18C40869116B}" name="22" dataDxfId="536"/>
    <tableColumn id="18" xr3:uid="{3609A57C-B1DB-4D87-9574-007183221000}" name="23" dataDxfId="535"/>
    <tableColumn id="19" xr3:uid="{98740490-1047-4343-85C8-834AE6AF935A}" name="24" dataDxfId="534"/>
    <tableColumn id="20" xr3:uid="{CE682DBD-B5A8-49C9-8A73-515C0BB553A8}" name="25" dataDxfId="533"/>
    <tableColumn id="21" xr3:uid="{2C63A6DB-A36B-488F-8D7C-F86E11CED59A}" name="26" dataDxfId="532"/>
    <tableColumn id="22" xr3:uid="{01511E88-F7F3-4FDD-998C-292B28698241}" name="27" dataDxfId="531"/>
    <tableColumn id="23" xr3:uid="{B0CE642E-7F10-4E00-9DD1-FC5CF0499DC2}" name="28" dataDxfId="530"/>
    <tableColumn id="24" xr3:uid="{EE9469B0-D486-4046-8AA2-36629B9D9667}" name="29" dataDxfId="529"/>
    <tableColumn id="25" xr3:uid="{D05B2A45-8E05-43BB-9FFA-CC56C7D8C31E}" name="30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317">
      <calculatedColumnFormula>VLOOKUP(D1_OCTUBRE_2025[[#This Row],[ASESOR]],F78:$G$155,2,0)</calculatedColumnFormula>
    </tableColumn>
    <tableColumn id="8" xr3:uid="{7F2D2756-92A6-4522-A15C-2F10A82AAD95}" name="DNI" dataDxfId="316"/>
    <tableColumn id="9" xr3:uid="{B01E98C6-A76C-417B-B7FA-B0F1C8C2C7C6}" name="FECHA DE INGRESO" dataDxfId="315"/>
    <tableColumn id="10" xr3:uid="{DEB6156D-2B0C-4157-8EE4-0EE1578CCF4A}" name="ESTADO" dataDxfId="31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3" tableBorderDxfId="3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1">
      <calculatedColumnFormula>DATA_OCTUBRE_2025[[#This Row],[RECUPERO]]/DATA_OCTUBRE_2025[[#This Row],[META]]</calculatedColumnFormula>
    </tableColumn>
    <tableColumn id="3" xr3:uid="{EE681579-D463-48E9-A57F-B73D04925E37}" name="CLASIFICACIÓN" dataDxfId="310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09"/>
    <tableColumn id="6" xr3:uid="{3B45E8CF-4BCD-492C-B1A3-3E157855AA4E}" name="RECUPERO" dataDxfId="308">
      <calculatedColumnFormula>SUM(DATA_OCTUBRE_2025[[#This Row],[1]:[31]])</calculatedColumnFormula>
    </tableColumn>
    <tableColumn id="7" xr3:uid="{2D762908-0860-493B-A482-9514EAD41E9B}" name="META" dataDxfId="307"/>
    <tableColumn id="4" xr3:uid="{B03F71B4-D73E-47CB-8F19-B1EBCB980D51}" name="ASER_" dataDxfId="306"/>
    <tableColumn id="8" xr3:uid="{DADEF8E1-B4EF-4A54-BDEA-772F65B2659B}" name="1" dataDxfId="305"/>
    <tableColumn id="9" xr3:uid="{09759773-B387-4885-980B-3377FCF2784C}" name="2" dataDxfId="304"/>
    <tableColumn id="10" xr3:uid="{0BEF3C74-7822-4935-9DEF-DBB8EF94B2E8}" name="3" dataDxfId="303"/>
    <tableColumn id="11" xr3:uid="{AB623BA8-8BC3-4899-82B4-0D2F75C64AC1}" name="4" dataDxfId="302"/>
    <tableColumn id="12" xr3:uid="{F3FF380C-FA1C-400D-953D-2426EC1D78FF}" name="5" dataDxfId="301"/>
    <tableColumn id="13" xr3:uid="{513A526B-B8DC-4F0A-BB71-A3C5DCBEE598}" name="6" dataDxfId="300"/>
    <tableColumn id="14" xr3:uid="{FE79AC7F-62E7-4115-BE1B-AAF936521653}" name="7" dataDxfId="299"/>
    <tableColumn id="15" xr3:uid="{68C170E4-F271-468B-91F8-3408D287CC52}" name="8" dataDxfId="298"/>
    <tableColumn id="16" xr3:uid="{AD7DCB27-1227-49CE-B962-67316F312A49}" name="9" dataDxfId="297"/>
    <tableColumn id="17" xr3:uid="{A28A426F-20DF-4E28-817D-D45F6DE67B10}" name="10" dataDxfId="296"/>
    <tableColumn id="18" xr3:uid="{E8A185AF-1E28-4F0F-9855-74F54DBD006B}" name="11" dataDxfId="295"/>
    <tableColumn id="19" xr3:uid="{63732328-29EA-40C6-ACD8-4B4DD4B4CF86}" name="12" dataDxfId="2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3"/>
    <tableColumn id="21" xr3:uid="{C17C4587-18F5-4FBD-868F-EBEC86A07A20}" name="23" dataDxfId="292"/>
    <tableColumn id="22" xr3:uid="{A943FEC5-F867-455B-820F-28C4395DB276}" name="24" dataDxfId="291"/>
    <tableColumn id="23" xr3:uid="{A8FFD2FC-7F1E-4386-AF41-D5EEEF19CDD0}" name="25" dataDxfId="290"/>
    <tableColumn id="24" xr3:uid="{ADF6FE87-D285-4286-AA45-3909EFB078E5}" name="26" dataDxfId="289"/>
    <tableColumn id="25" xr3:uid="{2F0BE83F-F151-4F99-839F-143CA77B5B85}" name="27" dataDxfId="288"/>
    <tableColumn id="26" xr3:uid="{380107E6-E719-4EEB-80BE-3FC920AAB0D8}" name="28" dataDxfId="287"/>
    <tableColumn id="27" xr3:uid="{E4578405-DBB6-4571-976F-D9686E90472D}" name="29" dataDxfId="286"/>
    <tableColumn id="28" xr3:uid="{C03A0B6A-D740-474A-B5C0-16AD1C50D0EF}" name="30" dataDxfId="285"/>
    <tableColumn id="29" xr3:uid="{ABC45238-95B8-44E1-B32D-323E0E09BD1E}" name="31" dataDxfId="284"/>
    <tableColumn id="5" xr3:uid="{DFC53255-43CA-45C9-9269-4215B54AB062}" name="CARTERA ASESOR" dataDxfId="28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2" dataDxfId="280" headerRowBorderDxfId="281" tableBorderDxfId="279" totalsRowBorderDxfId="2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7">
      <calculatedColumnFormula>VLOOKUP($M$3&amp;$N$3&amp;DITE_OCTUBRE_2025[[#This Row],[SUPER]],TablaMeta[],5,0)</calculatedColumnFormula>
    </tableColumn>
    <tableColumn id="1" xr3:uid="{2B34CFC4-0C9F-41CE-999A-2588C7446A9F}" name="RECUPERO SUPERVISOR" dataDxfId="276">
      <calculatedColumnFormula>MAX(DITE_OCTUBRE_2025[[#This Row],[1]:[31]])</calculatedColumnFormula>
    </tableColumn>
    <tableColumn id="2" xr3:uid="{12F44D75-C159-4886-875E-F84E5B64A541}" name="ALCANCE SUPERVISOR" dataDxfId="2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4"/>
    <tableColumn id="6" xr3:uid="{949DC2F4-4585-4646-A396-157D2DF8052D}" name="1" dataDxfId="273"/>
    <tableColumn id="7" xr3:uid="{97391D14-7779-42A7-9DB8-C0989C430B43}" name="2" dataDxfId="272"/>
    <tableColumn id="8" xr3:uid="{6354D769-4310-45AC-8145-E44CED72B4A9}" name="3" dataDxfId="271"/>
    <tableColumn id="9" xr3:uid="{4656D04C-0F05-4626-AF66-C82B40AEFAD8}" name="4" dataDxfId="270"/>
    <tableColumn id="10" xr3:uid="{7D1ED70B-0155-4C0E-8A2F-37B332A6F313}" name="5" dataDxfId="269"/>
    <tableColumn id="11" xr3:uid="{0111FAC8-499F-4CC3-8375-0BF99A4C35FA}" name="6" dataDxfId="268"/>
    <tableColumn id="12" xr3:uid="{C0C00B80-78A4-43E2-93D4-3EE00B3626FF}" name="7" dataDxfId="267"/>
    <tableColumn id="13" xr3:uid="{83880E56-1497-4302-8CA7-1D39E0DC1A97}" name="8" dataDxfId="266"/>
    <tableColumn id="14" xr3:uid="{BE01EA14-2F15-437D-A238-21FF4B75A0DE}" name="9" dataDxfId="265"/>
    <tableColumn id="15" xr3:uid="{EB92F6CE-8ACE-4537-AECA-46B61474948E}" name="10" dataDxfId="264"/>
    <tableColumn id="16" xr3:uid="{6D6490DB-3DEB-438C-AB40-C97EC626F0BE}" name="11" dataDxfId="263"/>
    <tableColumn id="17" xr3:uid="{0392FF10-F85D-41D2-8460-C3A186218696}" name="12" dataDxfId="2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1"/>
    <tableColumn id="19" xr3:uid="{3D252296-5BDD-4576-BACF-EBAA4EDD5204}" name="23" dataDxfId="260"/>
    <tableColumn id="20" xr3:uid="{23EB3C4F-7D5A-4D3B-8B24-D8DE6128BA5F}" name="24" dataDxfId="259"/>
    <tableColumn id="21" xr3:uid="{129CAF30-1851-4238-9880-454B24575BB9}" name="25" dataDxfId="258"/>
    <tableColumn id="22" xr3:uid="{72C02609-42DC-4EDE-B4E1-44D533A24355}" name="26" dataDxfId="257"/>
    <tableColumn id="23" xr3:uid="{9123D15C-9492-4356-8328-1BE17F140523}" name="27" dataDxfId="256"/>
    <tableColumn id="24" xr3:uid="{9D5D7ED1-F248-4C81-8326-BBA9C067C915}" name="28" dataDxfId="255"/>
    <tableColumn id="25" xr3:uid="{AF14494A-3DA5-4A85-BD20-353698E70147}" name="29" dataDxfId="254"/>
    <tableColumn id="26" xr3:uid="{B48EAE26-54B8-4E0C-A4A1-6956DA0D148E}" name="30" dataDxfId="253"/>
    <tableColumn id="27" xr3:uid="{85AC05C5-FE82-41A6-837C-F1F547FD8C2F}" name="31" dataDxfId="252"/>
    <tableColumn id="3" xr3:uid="{1CA2638D-96F9-4A0C-980A-6DAE6545AFFA}" name="CARTERA" dataDxfId="2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0" tableBorderDxfId="2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8">
      <calculatedColumnFormula>DATA_NOVIEMBRE_2025[[#This Row],[RECUPERO]]/DATA_NOVIEMBRE_2025[[#This Row],[META]]</calculatedColumnFormula>
    </tableColumn>
    <tableColumn id="3" xr3:uid="{855F5F44-294A-4871-9840-A24614956994}" name="CLASIFICACIÓN" dataDxfId="247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6"/>
    <tableColumn id="6" xr3:uid="{C0A22187-40B7-435A-ABDA-27944F0D7030}" name="RECUPERO" dataDxfId="245">
      <calculatedColumnFormula>SUM(DATA_NOVIEMBRE_2025[[#This Row],[1]:[31]])</calculatedColumnFormula>
    </tableColumn>
    <tableColumn id="7" xr3:uid="{72E7F13E-9273-4AED-98D2-5508FB4A326C}" name="META" dataDxfId="244"/>
    <tableColumn id="30" xr3:uid="{CFEB99FE-9EED-4763-A696-5BC3DA916AC5}" name="ASER_"/>
    <tableColumn id="8" xr3:uid="{00AE5065-FE4D-45E6-A294-E826836A1E33}" name="1" dataDxfId="243"/>
    <tableColumn id="9" xr3:uid="{EF6C35AD-ACD8-4C7F-8937-91D53147656D}" name="2" dataDxfId="242"/>
    <tableColumn id="10" xr3:uid="{CF32F196-CA95-4750-A946-3E0AC1A85184}" name="3" dataDxfId="241"/>
    <tableColumn id="11" xr3:uid="{9F563EAD-A249-4851-B979-F5575DE957AB}" name="4" dataDxfId="240"/>
    <tableColumn id="12" xr3:uid="{D6A6323F-D160-499D-BD7C-7C323AE07CB0}" name="5" dataDxfId="2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38"/>
    <tableColumn id="14" xr3:uid="{46BCBBD6-EB67-46A1-A356-989FA4845EF7}" name="17" dataDxfId="237"/>
    <tableColumn id="15" xr3:uid="{B50A5F7B-5C7E-48C1-80DA-278B6510B811}" name="18" dataDxfId="236"/>
    <tableColumn id="16" xr3:uid="{05796B28-1DD1-422E-9658-78C2FB73FD83}" name="19" dataDxfId="235"/>
    <tableColumn id="17" xr3:uid="{DB0D6520-FFC2-440C-B97F-9604384ED84D}" name="20" dataDxfId="234"/>
    <tableColumn id="18" xr3:uid="{50423629-1D31-4CC8-B9D0-046394DFED68}" name="21" dataDxfId="233"/>
    <tableColumn id="19" xr3:uid="{80B70DB0-A059-4A28-A799-0529D6BF1263}" name="22" dataDxfId="232"/>
    <tableColumn id="20" xr3:uid="{CE0AE96C-2D78-4B18-ADD7-C86E26CE69AB}" name="23" dataDxfId="231"/>
    <tableColumn id="21" xr3:uid="{D6CA8ADF-F50B-4822-B7AD-A49AC8CD28E8}" name="24" dataDxfId="230"/>
    <tableColumn id="22" xr3:uid="{8D2522DF-F1BC-4031-89AD-8B4B3515396A}" name="25" dataDxfId="229"/>
    <tableColumn id="23" xr3:uid="{293ABA54-17AB-40AD-A5F9-E0308A358390}" name="26" dataDxfId="228"/>
    <tableColumn id="24" xr3:uid="{099B62F0-F67D-4CF2-8C6A-AD383B297F15}" name="27" dataDxfId="227"/>
    <tableColumn id="25" xr3:uid="{104E6C24-1381-41DA-BF76-0DD6D49DF0C1}" name="28" dataDxfId="226"/>
    <tableColumn id="26" xr3:uid="{095F601D-F187-4396-A356-C09936718FF5}" name="29" dataDxfId="225"/>
    <tableColumn id="27" xr3:uid="{4F9FCA77-406D-4319-913A-82D308726F04}" name="30" dataDxfId="224"/>
    <tableColumn id="28" xr3:uid="{5825F9EE-936A-4C38-B210-9DA3DA553F75}" name="31" dataDxfId="223"/>
    <tableColumn id="1" xr3:uid="{D8CEB774-F634-4903-AC1C-0BF18BDD3A03}" name="CARTERA ASESOR" dataDxfId="2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1"/>
    <tableColumn id="2" xr3:uid="{7E004A30-FB94-4ABB-88FD-3005F8FA00C6}" name="ASESOR_CRR" dataDxfId="2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9"/>
    <tableColumn id="7" xr3:uid="{AA9D9715-8EBE-4ECB-8BB4-3F41AF689173}" name="SUPER2" dataDxfId="218"/>
    <tableColumn id="5" xr3:uid="{DDD5C800-04E2-4D8A-8C83-C410D5DF7F70}" name="ASESOR" dataDxfId="217"/>
    <tableColumn id="6" xr3:uid="{88DDFA81-E306-4531-9C28-1EEEFB91AC37}" name="RECUPERO" dataDxfId="216">
      <calculatedColumnFormula>VLOOKUP(D1_NOVIEMBRE_2025[[#This Row],[ASESOR]],$F$70:$G$130,2,0)</calculatedColumnFormula>
    </tableColumn>
    <tableColumn id="9" xr3:uid="{B4E0C179-9219-4DFF-AA71-3C7E15DC0CCB}" name="DNI" dataDxfId="215"/>
    <tableColumn id="10" xr3:uid="{A57DDDED-46A0-4CB6-B58A-B5F5FD8B6714}" name="FECHA DE INGRESO" dataDxfId="214"/>
    <tableColumn id="8" xr3:uid="{6D0B725E-AD90-4FB1-ACD9-0C7E61DBD30D}" name="ESTADO" dataDxfId="2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2" dataDxfId="2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0"/>
    <tableColumn id="2" xr3:uid="{39564DF7-490C-4B42-BA0D-A0C7965369AD}" name="RECUPERO SUPERVISOR" dataDxfId="209">
      <calculatedColumnFormula>MAX(DITE_NOVIEMBRE_2025[[#This Row],[1]:[31]])</calculatedColumnFormula>
    </tableColumn>
    <tableColumn id="3" xr3:uid="{714DADEA-706C-4919-B3C2-F0BF1111E161}" name="ALCANCE SUPERVISOR" dataDxfId="208">
      <calculatedColumnFormula>DITE_NOVIEMBRE_2025[[#This Row],[RECUPERO SUPERVISOR]]/DITE_NOVIEMBRE_2025[[#This Row],[META SUPER]]</calculatedColumnFormula>
    </tableColumn>
    <tableColumn id="1" xr3:uid="{9452BB90-F5DE-4B57-AF8A-BBAB41BDA625}" name="SUPER" dataDxfId="207"/>
    <tableColumn id="6" xr3:uid="{87C598B5-62D4-4EE7-861E-EEAA52C00585}" name="1" dataDxfId="206"/>
    <tableColumn id="7" xr3:uid="{633891A0-1EBF-4F76-A7F4-F66318664C43}" name="2" dataDxfId="205"/>
    <tableColumn id="8" xr3:uid="{0592F328-9F13-4B6C-80C9-E9F1845891CB}" name="3" dataDxfId="204"/>
    <tableColumn id="9" xr3:uid="{AE7882D8-BBFD-45AE-B2CB-28F66322BAEE}" name="4" dataDxfId="203"/>
    <tableColumn id="10" xr3:uid="{05F48497-7C3E-4EF2-8908-E3DDE502B309}" name="5" dataDxfId="202"/>
    <tableColumn id="11" xr3:uid="{BD05847D-8156-476D-9D43-53BF9B333675}" name="6" dataDxfId="201"/>
    <tableColumn id="12" xr3:uid="{407098C8-B89E-46C0-9B9A-DA4AD2929032}" name="7" dataDxfId="200"/>
    <tableColumn id="13" xr3:uid="{91FC56B9-68A8-46E6-AF86-C055E5241ADE}" name="8" dataDxfId="1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198"/>
    <tableColumn id="15" xr3:uid="{6D9CB553-B7A7-4211-8DDF-E67D0F75BD0A}" name="20" dataDxfId="197"/>
    <tableColumn id="16" xr3:uid="{C060B537-6CE4-430B-8A22-7A540BACE464}" name="21" dataDxfId="196"/>
    <tableColumn id="17" xr3:uid="{4C8D59DE-F0E8-4B3F-8552-A394ADA4C013}" name="22" dataDxfId="195"/>
    <tableColumn id="18" xr3:uid="{3AB7DFB9-4558-4621-AB3C-3891ECC67DB4}" name="23" dataDxfId="194"/>
    <tableColumn id="19" xr3:uid="{ECC2D027-50E3-4374-BA37-6384A463E763}" name="24" dataDxfId="193"/>
    <tableColumn id="20" xr3:uid="{03C4446D-2883-4E24-87C6-489668916C57}" name="25" dataDxfId="192"/>
    <tableColumn id="21" xr3:uid="{1D103BD3-6849-47BB-B1AD-9FF31C3432E4}" name="26" dataDxfId="191"/>
    <tableColumn id="22" xr3:uid="{E2A6B954-BE7E-4918-9A92-245143E3726C}" name="27" dataDxfId="190"/>
    <tableColumn id="23" xr3:uid="{3BE5D700-08A4-480A-8651-AFBBD596763A}" name="28" dataDxfId="189"/>
    <tableColumn id="24" xr3:uid="{16A1ECF5-0D22-4B11-B95E-D5BF2A42B1A3}" name="29" dataDxfId="188"/>
    <tableColumn id="25" xr3:uid="{AACA19B9-FD00-4B90-8B58-181F058F24E3}" name="30" dataDxfId="187"/>
    <tableColumn id="26" xr3:uid="{2DE2D547-EE6E-49C4-858B-C4D674245BFC}" name="31" dataDxfId="186"/>
    <tableColumn id="4" xr3:uid="{9AD4619F-F825-4B54-8AE2-92E8B9E9E57F}" name="CARTERA" dataDxfId="18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4" tableBorderDxfId="18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2">
      <calculatedColumnFormula>DATA_DICIEMBRE_2025[[#This Row],[RECUPERO]]/DATA_DICIEMBRE_2025[[#This Row],[META]]</calculatedColumnFormula>
    </tableColumn>
    <tableColumn id="2" xr3:uid="{B5D97F6A-AE7C-4FC3-8428-5737699DFEB1}" name="CLASIFICACIÓN" dataDxfId="181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0"/>
    <tableColumn id="1" xr3:uid="{47FCFB9B-5515-45CC-BFF9-2785144AD854}" name="RECUPERO" dataDxfId="179">
      <calculatedColumnFormula>SUM(DATA_DICIEMBRE_2025[[#This Row],[1]:[31]])</calculatedColumnFormula>
    </tableColumn>
    <tableColumn id="6" xr3:uid="{ED7BE75E-3624-4159-BFE7-645CEA862C3E}" name="META" dataDxfId="178"/>
    <tableColumn id="7" xr3:uid="{AD05A858-B012-4836-80E5-BF630A338442}" name="ASER_" dataDxfId="177"/>
    <tableColumn id="4" xr3:uid="{6792E8BB-5B6A-4E20-BC71-7F342FD1DE33}" name="1" dataDxfId="176"/>
    <tableColumn id="8" xr3:uid="{AFF95CFC-A6A6-4F82-9A47-D8F9735B080F}" name="2" dataDxfId="175"/>
    <tableColumn id="9" xr3:uid="{3EE2031A-4396-4C20-9B21-B423FD7A4983}" name="3" dataDxfId="174"/>
    <tableColumn id="10" xr3:uid="{98A61AE3-7932-414B-AE75-E4B9F37090B7}" name="4" dataDxfId="173"/>
    <tableColumn id="11" xr3:uid="{2B37FA03-0832-40E1-966B-188EC131A687}" name="5" dataDxfId="172"/>
    <tableColumn id="12" xr3:uid="{9A4E011C-C4A7-4F49-AD1B-BB28BEA4BF8C}" name="6" dataDxfId="171"/>
    <tableColumn id="13" xr3:uid="{EFB94F58-F00C-45C8-B4D0-E0C1802DF92E}" name="7" dataDxfId="170"/>
    <tableColumn id="14" xr3:uid="{F8800705-9DF6-4EEA-8D67-8321AE1E80D1}" name="8" dataDxfId="169"/>
    <tableColumn id="15" xr3:uid="{7B6D79FE-5D1B-462C-8037-0CACAB6F3911}" name="9" dataDxfId="168"/>
    <tableColumn id="16" xr3:uid="{E0E24420-1BF8-4BED-A5CC-D5EF1C7DF685}" name="10" dataDxfId="16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66"/>
    <tableColumn id="18" xr3:uid="{388429A9-C1D2-4EE1-BB12-A7C9C48AA9F0}" name="23" dataDxfId="165"/>
    <tableColumn id="19" xr3:uid="{6D1522B5-D820-4F42-ADD5-A6062E68E06A}" name="24" dataDxfId="164"/>
    <tableColumn id="20" xr3:uid="{A78EF6CB-6A5A-488F-8EC5-34C0267191BD}" name="25" dataDxfId="163"/>
    <tableColumn id="21" xr3:uid="{0817989E-B5E4-435D-99FF-C9E1A1D429CD}" name="26" dataDxfId="162"/>
    <tableColumn id="22" xr3:uid="{5AE7BF00-6E17-4434-AFC3-A082971963E9}" name="27" dataDxfId="161"/>
    <tableColumn id="23" xr3:uid="{AC4528BB-516C-4650-8587-2267B9400C8D}" name="28" dataDxfId="160"/>
    <tableColumn id="24" xr3:uid="{AB7921F2-B36A-4ABC-9DBC-BB0EC20ACC62}" name="29" dataDxfId="159"/>
    <tableColumn id="25" xr3:uid="{5D1446EA-3DB7-4807-AE25-EB2149040D6D}" name="30" dataDxfId="158"/>
    <tableColumn id="26" xr3:uid="{B5F2A170-57DC-49D6-9752-24386332D295}" name="31" dataDxfId="157"/>
    <tableColumn id="27" xr3:uid="{D1831881-0F77-44D4-82FA-57779D5E74BA}" name="CARTERA ASESOR" dataDxfId="156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5">
  <autoFilter ref="A2:J53" xr:uid="{0A33CB5E-7EB5-4C86-9959-A823C2BDBBB9}"/>
  <tableColumns count="10">
    <tableColumn id="1" xr3:uid="{51989F96-0689-4D57-8685-B8A3DF492A97}" name="SUPER" dataDxfId="154"/>
    <tableColumn id="2" xr3:uid="{C1D8B208-A530-42D3-A6B3-202247844AC6}" name="ASESOR_CRR" dataDxfId="153"/>
    <tableColumn id="5" xr3:uid="{0E2E2A96-2FDE-425E-A454-24F26F26F817}" name="META" dataDxfId="152">
      <calculatedColumnFormula>VLOOKUP(D1_DICIEMBRE_2025[[#This Row],[SUPER]],DATA_DICIEMBRE_2025[[SUPERVISOR]:[META]],3,0)</calculatedColumnFormula>
    </tableColumn>
    <tableColumn id="6" xr3:uid="{99265ED5-3CFF-4A20-97B4-3560EE99C717}" name="ALCANCE" dataDxfId="151">
      <calculatedColumnFormula>D1_DICIEMBRE_2025[[#This Row],[RECUPERO]]/D1_DICIEMBRE_2025[[#This Row],[META]]</calculatedColumnFormula>
    </tableColumn>
    <tableColumn id="7" xr3:uid="{374D40BE-0CEA-496A-A350-4762CACC979E}" name="SUPER2" dataDxfId="150"/>
    <tableColumn id="3" xr3:uid="{CE2FC99C-C2FA-4CF8-B4D5-38DB34F6C4C0}" name="ASESOR"/>
    <tableColumn id="4" xr3:uid="{1034AC9B-8A72-4332-A474-8471A1B8C391}" name="RECUPERO" dataDxfId="149"/>
    <tableColumn id="8" xr3:uid="{51D1D4C9-F574-4F9F-BB5F-619CFC8367F6}" name="DNI" dataDxfId="148"/>
    <tableColumn id="9" xr3:uid="{1F94989E-BD68-4711-BF6F-AABBC6D00AD3}" name="FECHA DE INGRESO" dataDxfId="147"/>
    <tableColumn id="10" xr3:uid="{26BBC886-44C6-4729-85D8-0B926A843BA1}" name="ESTADO" dataDxfId="14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45" dataDxfId="143" headerRowBorderDxfId="144" tableBorderDxfId="142" totalsRowBorderDxfId="14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0"/>
    <tableColumn id="3" xr3:uid="{DED03312-7BDA-4CEA-9273-AA5DB2237A5F}" name="RECUPERO SUPERVISOR" dataDxfId="139">
      <calculatedColumnFormula>MAX(DITE_DICIEMBRE_2025[[#This Row],[1]:[31]])</calculatedColumnFormula>
    </tableColumn>
    <tableColumn id="4" xr3:uid="{5A956735-F760-4B1F-B874-402D928B71EA}" name="ALCANCE SUPERVISOR" dataDxfId="138">
      <calculatedColumnFormula>DITE_DICIEMBRE_2025[[#This Row],[RECUPERO SUPERVISOR]]/AZ9</calculatedColumnFormula>
    </tableColumn>
    <tableColumn id="1" xr3:uid="{ED2A948C-9442-4C47-9BE9-277A3D6239D3}" name="SUPER" dataDxfId="137"/>
    <tableColumn id="6" xr3:uid="{6E784300-7704-4F45-8E90-F7C2D4F71F66}" name="1" dataDxfId="136"/>
    <tableColumn id="7" xr3:uid="{EA789C05-CA47-4D66-B493-7D6222022389}" name="2" dataDxfId="135"/>
    <tableColumn id="36" xr3:uid="{E83A454A-CB07-409E-B2F9-FEFD108C0456}" name="3" dataDxfId="134"/>
    <tableColumn id="8" xr3:uid="{4ACB3C1D-600B-4503-9368-987BC1B3B0EA}" name="4" dataDxfId="133"/>
    <tableColumn id="9" xr3:uid="{B5C8B277-5A83-47A1-95FD-A620D749E785}" name="5" dataDxfId="132"/>
    <tableColumn id="10" xr3:uid="{FB101921-E892-41E0-B8B7-4141F51A83BB}" name="6" dataDxfId="131"/>
    <tableColumn id="11" xr3:uid="{C777EEA2-F048-439C-9EA1-0C4C731AA6E9}" name="7" dataDxfId="130"/>
    <tableColumn id="12" xr3:uid="{7AA80CD7-0570-4507-8C49-9CF331F01C83}" name="8" dataDxfId="129"/>
    <tableColumn id="13" xr3:uid="{F115F6D4-E69D-46D7-AD4B-F13AFDF74268}" name="9" dataDxfId="128"/>
    <tableColumn id="14" xr3:uid="{393E1035-13E1-4131-B853-53B4CA536CF0}" name="10" dataDxfId="127"/>
    <tableColumn id="15" xr3:uid="{7FF1CB48-1402-460C-BDDE-C67F81F66807}" name="11" dataDxfId="126"/>
    <tableColumn id="32" xr3:uid="{8F13018F-0746-40A8-8063-7F1351A273EA}" name="12" dataDxfId="125"/>
    <tableColumn id="33" xr3:uid="{5FD9BED8-7FEA-4B06-9B27-A0BFD046EB49}" name="13" dataDxfId="124"/>
    <tableColumn id="35" xr3:uid="{8D88E3F7-E581-49D0-B55A-812661F85CB6}" name="14" dataDxfId="123"/>
    <tableColumn id="34" xr3:uid="{98E6CACB-4217-4732-B54A-899D22A2EAF6}" name="15" dataDxfId="122"/>
    <tableColumn id="29" xr3:uid="{7C19F65B-AFA4-4BDB-849B-78B44514C8F1}" name="16" dataDxfId="121"/>
    <tableColumn id="30" xr3:uid="{5B8DAC84-4B56-4ED2-BCA8-C8513518494E}" name="17" dataDxfId="120"/>
    <tableColumn id="31" xr3:uid="{6135134A-5BCC-4221-AD87-B5C8D80AB6D3}" name="18" dataDxfId="119"/>
    <tableColumn id="26" xr3:uid="{2569A07A-57D5-45E4-94CF-9442436AFDAE}" name="19" dataDxfId="118"/>
    <tableColumn id="27" xr3:uid="{828CBD1E-742A-4B46-99B1-A5B0163441D5}" name="20" dataDxfId="117"/>
    <tableColumn id="28" xr3:uid="{773F208D-F15B-4823-A2FA-144A370D1B7A}" name="21" dataDxfId="116"/>
    <tableColumn id="16" xr3:uid="{419173FA-3C44-4167-9CA2-3C07CF180C9B}" name="22" dataDxfId="115"/>
    <tableColumn id="17" xr3:uid="{A8A10E2B-AFD7-46D0-8149-9A05D1EC2C03}" name="23" dataDxfId="114"/>
    <tableColumn id="18" xr3:uid="{CF29209E-568F-4788-AE4E-864CF179A3F5}" name="24" dataDxfId="113"/>
    <tableColumn id="19" xr3:uid="{C33D5154-B635-4235-8170-2F374C119543}" name="25" dataDxfId="112"/>
    <tableColumn id="20" xr3:uid="{70E870EC-47B5-4461-AC8F-7662212D49E0}" name="26" dataDxfId="111"/>
    <tableColumn id="21" xr3:uid="{2215DAF3-2DFC-47A4-940A-DC348054A7EB}" name="27" dataDxfId="110"/>
    <tableColumn id="22" xr3:uid="{BE707551-BD9D-4E46-9F38-1BF8DA272627}" name="28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536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536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536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536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536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536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536</v>
      </c>
      <c r="K54" s="59"/>
      <c r="L54" s="59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576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536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572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536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536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536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536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536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573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572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572</v>
      </c>
      <c r="G74">
        <v>12973</v>
      </c>
      <c r="H74" t="s">
        <v>574</v>
      </c>
      <c r="I74" s="59">
        <v>44716</v>
      </c>
      <c r="J74" s="59" t="s">
        <v>536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573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573</v>
      </c>
      <c r="G75">
        <v>3270</v>
      </c>
      <c r="H75" t="s">
        <v>575</v>
      </c>
      <c r="I75" s="59">
        <v>45343</v>
      </c>
      <c r="J75" s="59" t="s">
        <v>536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576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576</v>
      </c>
      <c r="G76">
        <v>2025</v>
      </c>
      <c r="H76" t="s">
        <v>577</v>
      </c>
      <c r="I76" s="59">
        <v>45131</v>
      </c>
      <c r="J76" s="59" t="s">
        <v>536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Y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536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536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536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topLeftCell="AU1"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536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536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450</v>
      </c>
      <c r="I75" s="59">
        <v>45323</v>
      </c>
      <c r="J75" t="s">
        <v>536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464</v>
      </c>
      <c r="I76" s="59">
        <v>45671</v>
      </c>
      <c r="J76" t="s">
        <v>536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444</v>
      </c>
      <c r="I77" s="59">
        <v>44510</v>
      </c>
      <c r="J77" t="s">
        <v>536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423</v>
      </c>
      <c r="I78" s="59">
        <v>45668</v>
      </c>
      <c r="J78" t="s">
        <v>536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453</v>
      </c>
      <c r="I79" s="59">
        <v>45082</v>
      </c>
      <c r="J79" t="s">
        <v>536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A21" sqref="BA2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536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536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536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536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536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536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536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536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536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536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536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536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536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536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536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536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536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536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536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536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536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536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536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536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536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536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536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536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536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536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536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536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536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536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536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536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536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536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536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536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536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536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536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536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536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536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536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536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536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536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536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536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536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536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536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536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I71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535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535</v>
      </c>
      <c r="L4" s="59"/>
    </row>
    <row r="5" spans="1:87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535</v>
      </c>
      <c r="L5" s="59"/>
    </row>
    <row r="6" spans="1:87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535</v>
      </c>
      <c r="L6" s="59"/>
    </row>
    <row r="7" spans="1:87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535</v>
      </c>
      <c r="L7" s="59"/>
    </row>
    <row r="8" spans="1:87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535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535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472</v>
      </c>
      <c r="I11" s="59">
        <v>44111</v>
      </c>
      <c r="J11" t="s">
        <v>536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461</v>
      </c>
      <c r="I12" s="59">
        <v>45334</v>
      </c>
      <c r="J12" t="s">
        <v>536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469</v>
      </c>
      <c r="I13" s="59">
        <v>45299</v>
      </c>
      <c r="J13" t="s">
        <v>536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418</v>
      </c>
      <c r="I14" s="59">
        <v>44259</v>
      </c>
      <c r="J14" t="s">
        <v>536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473</v>
      </c>
      <c r="I15" s="59">
        <v>44820</v>
      </c>
      <c r="J15" t="s">
        <v>536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443</v>
      </c>
      <c r="I16" s="59">
        <v>44687</v>
      </c>
      <c r="J16" t="s">
        <v>536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439</v>
      </c>
      <c r="I17" s="59">
        <v>45675</v>
      </c>
      <c r="J17" t="s">
        <v>536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505</v>
      </c>
      <c r="I18" s="59">
        <v>45845</v>
      </c>
      <c r="J18" t="s">
        <v>536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475</v>
      </c>
      <c r="I19" s="59">
        <v>45399</v>
      </c>
      <c r="J19" t="s">
        <v>536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508</v>
      </c>
      <c r="I20" s="59">
        <v>45875</v>
      </c>
      <c r="J20" t="s">
        <v>536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536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536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536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536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536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536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536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536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536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536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536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536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536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536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536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536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536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536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536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536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536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536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536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536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536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536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536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536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536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536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536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536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536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536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536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536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536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536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536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536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536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536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536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536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536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536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536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536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536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536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536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536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536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536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536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536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536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536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536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536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536</v>
      </c>
    </row>
    <row r="91" spans="1:50" x14ac:dyDescent="0.25">
      <c r="A91" t="s">
        <v>8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536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M1" zoomScale="70" zoomScaleNormal="70" workbookViewId="0">
      <selection activeCell="S15" sqref="S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536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536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536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536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536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536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536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536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536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536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536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536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536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536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536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536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536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536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536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536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536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536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536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536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536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38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536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536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536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536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536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536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536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536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536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I16" sqref="I16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7" width="13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1.5184583333333332</v>
      </c>
      <c r="E6" s="36" t="str">
        <f>IFERROR(VLOOKUP(D1_ENERO_2026[[#This Row],[ASESOR_CRR]],PLANTILLA_ACTUAL[],2,0),"")</f>
        <v>MELINA</v>
      </c>
      <c r="F6" s="35" t="s">
        <v>59</v>
      </c>
      <c r="G6" s="37">
        <v>72886</v>
      </c>
      <c r="H6" s="35" t="str">
        <f>VLOOKUP(D1_ENERO_2026[[#This Row],[ASESOR_CRR]],DIM!$C:$E,2,0)</f>
        <v>60870839</v>
      </c>
      <c r="I6" s="68">
        <f>VLOOKUP(D1_ENERO_2026[[#This Row],[ASESOR_CRR]],DIM!$C:$E,3,0)</f>
        <v>45344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1.2647291666666667</v>
      </c>
      <c r="E7" s="36" t="str">
        <f>IFERROR(VLOOKUP(D1_ENERO_2026[[#This Row],[ASESOR_CRR]],PLANTILLA_ACTUAL[],2,0),"")</f>
        <v>MELINA</v>
      </c>
      <c r="F7" s="35" t="s">
        <v>60</v>
      </c>
      <c r="G7" s="37">
        <v>60707</v>
      </c>
      <c r="H7" s="35" t="str">
        <f>VLOOKUP(D1_ENERO_2026[[#This Row],[ASESOR_CRR]],DIM!$C:$E,2,0)</f>
        <v>72839865</v>
      </c>
      <c r="I7" s="68">
        <f>VLOOKUP(D1_ENERO_2026[[#This Row],[ASESOR_CRR]],DIM!$C:$E,3,0)</f>
        <v>45854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1.0761875000000001</v>
      </c>
      <c r="E8" s="36" t="str">
        <f>IFERROR(VLOOKUP(D1_ENERO_2026[[#This Row],[ASESOR_CRR]],PLANTILLA_ACTUAL[],2,0),"")</f>
        <v>MELINA</v>
      </c>
      <c r="F8" s="35" t="s">
        <v>75</v>
      </c>
      <c r="G8" s="37">
        <v>51657</v>
      </c>
      <c r="H8" s="35" t="str">
        <f>VLOOKUP(D1_ENERO_2026[[#This Row],[ASESOR_CRR]],DIM!$C:$E,2,0)</f>
        <v>71264767</v>
      </c>
      <c r="I8" s="68">
        <f>VLOOKUP(D1_ENERO_2026[[#This Row],[ASESOR_CRR]],DIM!$C:$E,3,0)</f>
        <v>44714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0.82914583333333336</v>
      </c>
      <c r="E9" s="36" t="str">
        <f>IFERROR(VLOOKUP(D1_ENERO_2026[[#This Row],[ASESOR_CRR]],PLANTILLA_ACTUAL[],2,0),"")</f>
        <v>MELINA</v>
      </c>
      <c r="F9" s="35" t="s">
        <v>10</v>
      </c>
      <c r="G9" s="37">
        <v>39799</v>
      </c>
      <c r="H9" s="35" t="str">
        <f>VLOOKUP(D1_ENERO_2026[[#This Row],[ASESOR_CRR]],DIM!$C:$E,2,0)</f>
        <v>40980108</v>
      </c>
      <c r="I9" s="68">
        <f>VLOOKUP(D1_ENERO_2026[[#This Row],[ASESOR_CRR]],DIM!$C:$E,3,0)</f>
        <v>44704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1.4046932515337422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&gt;100%</v>
      </c>
      <c r="O9" t="str">
        <f>IFERROR(VLOOKUP(DATA_ENERO_2026[[#This Row],[ASER_]],$B:$G,4,0),"")</f>
        <v>JORGE</v>
      </c>
      <c r="P9">
        <f>IF(DATA_ENERO_2026[[#This Row],[SUPERVISOR]]="","",VLOOKUP(DATA_ENERO_2026[[#This Row],[ASER_]],$B:$G,6,0))</f>
        <v>45793</v>
      </c>
      <c r="Q9">
        <f>VLOOKUP(DATA_ENERO_2026[[#This Row],[ASER_]],D1_ENERO_2026[[ASESOR_CRR]:[META]],2,0)</f>
        <v>32600</v>
      </c>
      <c r="R9" t="s">
        <v>38</v>
      </c>
      <c r="S9">
        <v>0</v>
      </c>
      <c r="T9">
        <v>0</v>
      </c>
      <c r="U9">
        <v>0</v>
      </c>
      <c r="V9">
        <v>0</v>
      </c>
      <c r="W9">
        <v>0</v>
      </c>
      <c r="X9">
        <v>8573</v>
      </c>
      <c r="Y9">
        <v>18000</v>
      </c>
      <c r="Z9">
        <v>0</v>
      </c>
      <c r="AA9">
        <v>910</v>
      </c>
      <c r="AB9">
        <v>6200</v>
      </c>
      <c r="AC9">
        <v>700</v>
      </c>
      <c r="AD9">
        <v>1000</v>
      </c>
      <c r="AE9">
        <v>300</v>
      </c>
      <c r="AF9">
        <v>260</v>
      </c>
      <c r="AG9">
        <v>8200</v>
      </c>
      <c r="AH9">
        <v>1650</v>
      </c>
      <c r="AI9">
        <v>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357286</v>
      </c>
      <c r="AS9" s="17">
        <f>IFERROR(DITE_ENERO_2026[[#This Row],[RECUPERO SUPERVISOR]]/DITE_ENERO_2026[[#This Row],[META SUPER]],"")</f>
        <v>0.82766017577753992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0.63322916666666662</v>
      </c>
      <c r="E10" s="36" t="str">
        <f>IFERROR(VLOOKUP(D1_ENERO_2026[[#This Row],[ASESOR_CRR]],PLANTILLA_ACTUAL[],2,0),"")</f>
        <v>MELINA</v>
      </c>
      <c r="F10" s="35" t="s">
        <v>12</v>
      </c>
      <c r="G10" s="37">
        <v>30395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0.91920245398773004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&gt;70%</v>
      </c>
      <c r="O10" t="str">
        <f>IFERROR(VLOOKUP(DATA_ENERO_2026[[#This Row],[ASER_]],$B:$G,4,0),"")</f>
        <v>JORGE</v>
      </c>
      <c r="P10">
        <f>IF(DATA_ENERO_2026[[#This Row],[SUPERVISOR]]="","",VLOOKUP(DATA_ENERO_2026[[#This Row],[ASER_]],$B:$G,6,0))</f>
        <v>29966</v>
      </c>
      <c r="Q10">
        <f>VLOOKUP(DATA_ENERO_2026[[#This Row],[ASER_]],D1_ENERO_2026[[ASESOR_CRR]:[META]],2,0)</f>
        <v>32600</v>
      </c>
      <c r="R10" t="s">
        <v>68</v>
      </c>
      <c r="S10">
        <v>0</v>
      </c>
      <c r="T10">
        <v>0</v>
      </c>
      <c r="U10">
        <v>0</v>
      </c>
      <c r="V10">
        <v>0</v>
      </c>
      <c r="W10">
        <v>6000</v>
      </c>
      <c r="X10">
        <v>0</v>
      </c>
      <c r="Y10">
        <v>1400</v>
      </c>
      <c r="Z10">
        <v>3250</v>
      </c>
      <c r="AA10">
        <v>0</v>
      </c>
      <c r="AB10">
        <v>3000</v>
      </c>
      <c r="AC10">
        <v>1716</v>
      </c>
      <c r="AD10">
        <v>7400</v>
      </c>
      <c r="AE10">
        <v>0</v>
      </c>
      <c r="AF10">
        <v>0</v>
      </c>
      <c r="AG10">
        <v>4200</v>
      </c>
      <c r="AH10">
        <v>0</v>
      </c>
      <c r="AI10">
        <v>3000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330983</v>
      </c>
      <c r="AS10" s="18">
        <f>IFERROR(DITE_ENERO_2026[[#This Row],[RECUPERO SUPERVISOR]]/DITE_ENERO_2026[[#This Row],[META SUPER]],"")</f>
        <v>0.76672874940349611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0.55114583333333333</v>
      </c>
      <c r="E11" s="36" t="str">
        <f>IFERROR(VLOOKUP(D1_ENERO_2026[[#This Row],[ASESOR_CRR]],PLANTILLA_ACTUAL[],2,0),"")</f>
        <v>MELINA</v>
      </c>
      <c r="F11" s="35" t="s">
        <v>18</v>
      </c>
      <c r="G11" s="37">
        <v>26455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0.59567177914110436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&gt;40%</v>
      </c>
      <c r="O11" t="str">
        <f>IFERROR(VLOOKUP(DATA_ENERO_2026[[#This Row],[ASER_]],$B:$G,4,0),"")</f>
        <v>JORGE</v>
      </c>
      <c r="P11">
        <f>IF(DATA_ENERO_2026[[#This Row],[SUPERVISOR]]="","",VLOOKUP(DATA_ENERO_2026[[#This Row],[ASER_]],$B:$G,6,0))</f>
        <v>19418.900000000001</v>
      </c>
      <c r="Q11">
        <f>VLOOKUP(DATA_ENERO_2026[[#This Row],[ASER_]],D1_ENERO_2026[[ASESOR_CRR]:[META]],2,0)</f>
        <v>32600</v>
      </c>
      <c r="R11" t="s">
        <v>29</v>
      </c>
      <c r="S11">
        <v>1108</v>
      </c>
      <c r="T11">
        <v>0</v>
      </c>
      <c r="U11">
        <v>250</v>
      </c>
      <c r="V11">
        <v>380</v>
      </c>
      <c r="W11">
        <v>0</v>
      </c>
      <c r="X11">
        <v>1650</v>
      </c>
      <c r="Y11">
        <v>0</v>
      </c>
      <c r="Z11">
        <v>0</v>
      </c>
      <c r="AA11">
        <v>3815</v>
      </c>
      <c r="AB11">
        <v>1000</v>
      </c>
      <c r="AC11">
        <v>5364.5</v>
      </c>
      <c r="AD11">
        <v>0</v>
      </c>
      <c r="AE11">
        <v>519</v>
      </c>
      <c r="AF11">
        <v>637</v>
      </c>
      <c r="AG11">
        <v>250</v>
      </c>
      <c r="AH11">
        <v>1180</v>
      </c>
      <c r="AI11">
        <v>3265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250615.03</v>
      </c>
      <c r="AS11" s="17">
        <f>IFERROR(DITE_ENERO_2026[[#This Row],[RECUPERO SUPERVISOR]]/DITE_ENERO_2026[[#This Row],[META SUPER]],"")</f>
        <v>0.85240308152783917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0.40135416666666668</v>
      </c>
      <c r="E12" s="36" t="str">
        <f>IFERROR(VLOOKUP(D1_ENERO_2026[[#This Row],[ASESOR_CRR]],PLANTILLA_ACTUAL[],2,0),"")</f>
        <v>MELINA</v>
      </c>
      <c r="F12" s="35" t="s">
        <v>122</v>
      </c>
      <c r="G12" s="37">
        <v>19265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0.87166042944785282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&gt;70%</v>
      </c>
      <c r="O12" t="str">
        <f>IFERROR(VLOOKUP(DATA_ENERO_2026[[#This Row],[ASER_]],$B:$G,4,0),"")</f>
        <v>JORGE</v>
      </c>
      <c r="P12">
        <f>IF(DATA_ENERO_2026[[#This Row],[SUPERVISOR]]="","",VLOOKUP(DATA_ENERO_2026[[#This Row],[ASER_]],$B:$G,6,0))</f>
        <v>28416.13</v>
      </c>
      <c r="Q12">
        <f>VLOOKUP(DATA_ENERO_2026[[#This Row],[ASER_]],D1_ENERO_2026[[ASESOR_CRR]:[META]],2,0)</f>
        <v>32600</v>
      </c>
      <c r="R12" t="s">
        <v>42</v>
      </c>
      <c r="S12">
        <v>0</v>
      </c>
      <c r="T12">
        <v>1650</v>
      </c>
      <c r="U12">
        <v>0</v>
      </c>
      <c r="V12">
        <v>1825</v>
      </c>
      <c r="W12">
        <v>0</v>
      </c>
      <c r="X12">
        <v>0</v>
      </c>
      <c r="Y12">
        <v>0</v>
      </c>
      <c r="Z12">
        <v>5000</v>
      </c>
      <c r="AA12">
        <v>4631.13</v>
      </c>
      <c r="AB12">
        <v>125</v>
      </c>
      <c r="AC12">
        <v>1215</v>
      </c>
      <c r="AD12">
        <v>0</v>
      </c>
      <c r="AE12">
        <v>0</v>
      </c>
      <c r="AF12">
        <v>3860</v>
      </c>
      <c r="AG12">
        <v>5200</v>
      </c>
      <c r="AH12">
        <v>0</v>
      </c>
      <c r="AI12">
        <v>4910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250659</v>
      </c>
      <c r="AS12" s="18">
        <f>IFERROR(DITE_ENERO_2026[[#This Row],[RECUPERO SUPERVISOR]]/DITE_ENERO_2026[[#This Row],[META SUPER]],"")</f>
        <v>0.99794962854435576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0.38456249999999997</v>
      </c>
      <c r="E13" s="36" t="str">
        <f>IFERROR(VLOOKUP(D1_ENERO_2026[[#This Row],[ASESOR_CRR]],PLANTILLA_ACTUAL[],2,0),"")</f>
        <v>MELINA</v>
      </c>
      <c r="F13" s="35" t="s">
        <v>208</v>
      </c>
      <c r="G13" s="37">
        <v>18459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0.21904907975460122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&gt;0%</v>
      </c>
      <c r="O13" t="str">
        <f>IFERROR(VLOOKUP(DATA_ENERO_2026[[#This Row],[ASER_]],$B:$G,4,0),"")</f>
        <v>JORGE</v>
      </c>
      <c r="P13">
        <f>IF(DATA_ENERO_2026[[#This Row],[SUPERVISOR]]="","",VLOOKUP(DATA_ENERO_2026[[#This Row],[ASER_]],$B:$G,6,0))</f>
        <v>7141</v>
      </c>
      <c r="Q13">
        <f>VLOOKUP(DATA_ENERO_2026[[#This Row],[ASER_]],D1_ENERO_2026[[ASESOR_CRR]:[META]],2,0)</f>
        <v>32600</v>
      </c>
      <c r="R13" t="s">
        <v>15</v>
      </c>
      <c r="S13">
        <v>0</v>
      </c>
      <c r="T13">
        <v>0</v>
      </c>
      <c r="U13">
        <v>0</v>
      </c>
      <c r="V13">
        <v>0</v>
      </c>
      <c r="W13">
        <v>351</v>
      </c>
      <c r="X13">
        <v>340</v>
      </c>
      <c r="Y13">
        <v>0</v>
      </c>
      <c r="Z13">
        <v>3130</v>
      </c>
      <c r="AA13">
        <v>0</v>
      </c>
      <c r="AB13">
        <v>3000</v>
      </c>
      <c r="AC13">
        <v>0</v>
      </c>
      <c r="AD13">
        <v>0</v>
      </c>
      <c r="AE13">
        <v>0</v>
      </c>
      <c r="AF13">
        <v>0</v>
      </c>
      <c r="AG13">
        <v>320</v>
      </c>
      <c r="AH13">
        <v>0</v>
      </c>
      <c r="AI13">
        <v>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256078</v>
      </c>
      <c r="AS13" s="17">
        <f>IFERROR(DITE_ENERO_2026[[#This Row],[RECUPERO SUPERVISOR]]/DITE_ENERO_2026[[#This Row],[META SUPER]],"")</f>
        <v>0.86197459969099544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0.23666666666666666</v>
      </c>
      <c r="E14" s="36" t="str">
        <f>IFERROR(VLOOKUP(D1_ENERO_2026[[#This Row],[ASESOR_CRR]],PLANTILLA_ACTUAL[],2,0),"")</f>
        <v>MELINA</v>
      </c>
      <c r="F14" s="35" t="s">
        <v>72</v>
      </c>
      <c r="G14" s="37">
        <v>11360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1.5793865030674847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t="str">
        <f>IFERROR(VLOOKUP(DATA_ENERO_2026[[#This Row],[ASER_]],$B:$G,4,0),"")</f>
        <v>JORGE</v>
      </c>
      <c r="P14">
        <f>IF(DATA_ENERO_2026[[#This Row],[SUPERVISOR]]="","",VLOOKUP(DATA_ENERO_2026[[#This Row],[ASER_]],$B:$G,6,0))</f>
        <v>51488</v>
      </c>
      <c r="Q14">
        <f>VLOOKUP(DATA_ENERO_2026[[#This Row],[ASER_]],D1_ENERO_2026[[ASESOR_CRR]:[META]],2,0)</f>
        <v>32600</v>
      </c>
      <c r="R14" t="s">
        <v>25</v>
      </c>
      <c r="S14">
        <v>0</v>
      </c>
      <c r="T14">
        <v>458</v>
      </c>
      <c r="U14">
        <v>0</v>
      </c>
      <c r="V14">
        <v>0</v>
      </c>
      <c r="W14">
        <v>10500</v>
      </c>
      <c r="X14">
        <v>0</v>
      </c>
      <c r="Y14">
        <v>2500</v>
      </c>
      <c r="Z14">
        <v>4780</v>
      </c>
      <c r="AA14">
        <v>10000</v>
      </c>
      <c r="AB14">
        <v>0</v>
      </c>
      <c r="AC14">
        <v>2250</v>
      </c>
      <c r="AD14">
        <v>0</v>
      </c>
      <c r="AE14">
        <v>0</v>
      </c>
      <c r="AF14">
        <v>10000</v>
      </c>
      <c r="AG14">
        <v>11000</v>
      </c>
      <c r="AH14">
        <v>0</v>
      </c>
      <c r="AI14">
        <v>0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1.4754121863799283</v>
      </c>
      <c r="E15" s="36" t="str">
        <f>IFERROR(VLOOKUP(D1_ENERO_2026[[#This Row],[ASESOR_CRR]],PLANTILLA_ACTUAL[],2,0),"")</f>
        <v>KENNETH</v>
      </c>
      <c r="F15" s="35" t="s">
        <v>81</v>
      </c>
      <c r="G15" s="37">
        <v>41164</v>
      </c>
      <c r="H15" s="35" t="str">
        <f>VLOOKUP(D1_ENERO_2026[[#This Row],[ASESOR_CRR]],DIM!$C:$E,2,0)</f>
        <v>72716299</v>
      </c>
      <c r="I15" s="68">
        <f>VLOOKUP(D1_ENERO_2026[[#This Row],[ASESOR_CRR]],DIM!$C:$E,3,0)</f>
        <v>45511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1.0384969325153375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t="str">
        <f>IFERROR(VLOOKUP(DATA_ENERO_2026[[#This Row],[ASER_]],$B:$G,4,0),"")</f>
        <v>JORGE</v>
      </c>
      <c r="P15">
        <f>IF(DATA_ENERO_2026[[#This Row],[SUPERVISOR]]="","",VLOOKUP(DATA_ENERO_2026[[#This Row],[ASER_]],$B:$G,6,0))</f>
        <v>33855</v>
      </c>
      <c r="Q15">
        <f>VLOOKUP(DATA_ENERO_2026[[#This Row],[ASER_]],D1_ENERO_2026[[ASESOR_CRR]:[META]],2,0)</f>
        <v>32600</v>
      </c>
      <c r="R15" t="s">
        <v>76</v>
      </c>
      <c r="S15">
        <v>0</v>
      </c>
      <c r="T15">
        <v>8000</v>
      </c>
      <c r="U15">
        <v>0</v>
      </c>
      <c r="V15">
        <v>800</v>
      </c>
      <c r="W15">
        <v>0</v>
      </c>
      <c r="X15">
        <v>4000</v>
      </c>
      <c r="Y15">
        <v>4200</v>
      </c>
      <c r="Z15">
        <v>8050</v>
      </c>
      <c r="AA15">
        <v>0</v>
      </c>
      <c r="AB15">
        <v>5105</v>
      </c>
      <c r="AC15">
        <v>250</v>
      </c>
      <c r="AD15">
        <v>450</v>
      </c>
      <c r="AE15">
        <v>450</v>
      </c>
      <c r="AF15">
        <v>2000</v>
      </c>
      <c r="AG15">
        <v>300</v>
      </c>
      <c r="AH15">
        <v>250</v>
      </c>
      <c r="AI15">
        <v>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16" s="37">
        <f>IF(D1_ENERO_2026[[#This Row],[RECUPERO]]="","",VLOOKUP($M$3&amp;$N$3&amp;D1_ENERO_2026[[#This Row],[SUPER]],TablaMeta[],6,0))</f>
        <v>27900</v>
      </c>
      <c r="D16" s="36">
        <f>IFERROR(D1_ENERO_2026[[#This Row],[RECUPERO]]/VLOOKUP($M$3&amp;$N$3&amp;D1_ENERO_2026[[#This Row],[SUPER]],TablaMeta[],6,0),"")</f>
        <v>1.4117562724014336</v>
      </c>
      <c r="E16" s="36" t="str">
        <f>IFERROR(VLOOKUP(D1_ENERO_2026[[#This Row],[ASESOR_CRR]],PLANTILLA_ACTUAL[],2,0),"")</f>
        <v>KENNETH</v>
      </c>
      <c r="F16" s="35" t="s">
        <v>34</v>
      </c>
      <c r="G16" s="37">
        <v>39388</v>
      </c>
      <c r="H16" s="35" t="str">
        <f>VLOOKUP(D1_ENERO_2026[[#This Row],[ASESOR_CRR]],DIM!$C:$E,2,0)</f>
        <v>76824571</v>
      </c>
      <c r="I16" s="68">
        <f>VLOOKUP(D1_ENERO_2026[[#This Row],[ASESOR_CRR]],DIM!$C:$E,3,0)</f>
        <v>45173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0.6115644171779141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&gt;40%</v>
      </c>
      <c r="O16" t="str">
        <f>IFERROR(VLOOKUP(DATA_ENERO_2026[[#This Row],[ASER_]],$B:$G,4,0),"")</f>
        <v>JORGE</v>
      </c>
      <c r="P16">
        <f>IF(DATA_ENERO_2026[[#This Row],[SUPERVISOR]]="","",VLOOKUP(DATA_ENERO_2026[[#This Row],[ASER_]],$B:$G,6,0))</f>
        <v>19937</v>
      </c>
      <c r="Q16">
        <f>VLOOKUP(DATA_ENERO_2026[[#This Row],[ASER_]],D1_ENERO_2026[[ASESOR_CRR]:[META]],2,0)</f>
        <v>32600</v>
      </c>
      <c r="R16" t="s">
        <v>79</v>
      </c>
      <c r="S16">
        <v>0</v>
      </c>
      <c r="T16">
        <v>0</v>
      </c>
      <c r="U16">
        <v>400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250</v>
      </c>
      <c r="AD16">
        <v>3500</v>
      </c>
      <c r="AE16">
        <v>0</v>
      </c>
      <c r="AF16">
        <v>7150</v>
      </c>
      <c r="AG16">
        <v>5637</v>
      </c>
      <c r="AH16">
        <v>3000</v>
      </c>
      <c r="AI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17" s="37">
        <f>IF(D1_ENERO_2026[[#This Row],[RECUPERO]]="","",VLOOKUP($M$3&amp;$N$3&amp;D1_ENERO_2026[[#This Row],[SUPER]],TablaMeta[],6,0))</f>
        <v>27900</v>
      </c>
      <c r="D17" s="36">
        <f>IFERROR(D1_ENERO_2026[[#This Row],[RECUPERO]]/VLOOKUP($M$3&amp;$N$3&amp;D1_ENERO_2026[[#This Row],[SUPER]],TablaMeta[],6,0),"")</f>
        <v>1.2525089605734767</v>
      </c>
      <c r="E17" s="36" t="str">
        <f>IFERROR(VLOOKUP(D1_ENERO_2026[[#This Row],[ASESOR_CRR]],PLANTILLA_ACTUAL[],2,0),"")</f>
        <v>KENNETH</v>
      </c>
      <c r="F17" s="35" t="s">
        <v>19</v>
      </c>
      <c r="G17" s="37">
        <v>34945</v>
      </c>
      <c r="H17" s="35" t="str">
        <f>VLOOKUP(D1_ENERO_2026[[#This Row],[ASESOR_CRR]],DIM!$C:$E,2,0)</f>
        <v>76656128</v>
      </c>
      <c r="I17" s="68">
        <f>VLOOKUP(D1_ENERO_2026[[#This Row],[ASESOR_CRR]],DIM!$C:$E,3,0)</f>
        <v>44671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0.40184049079754602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JORGE</v>
      </c>
      <c r="P17">
        <f>IF(DATA_ENERO_2026[[#This Row],[SUPERVISOR]]="","",VLOOKUP(DATA_ENERO_2026[[#This Row],[ASER_]],$B:$G,6,0))</f>
        <v>13100</v>
      </c>
      <c r="Q17">
        <f>VLOOKUP(DATA_ENERO_2026[[#This Row],[ASER_]],D1_ENERO_2026[[ASESOR_CRR]:[META]],2,0)</f>
        <v>32600</v>
      </c>
      <c r="R17" t="s">
        <v>78</v>
      </c>
      <c r="S17">
        <v>500</v>
      </c>
      <c r="T17">
        <v>0</v>
      </c>
      <c r="U17">
        <v>0</v>
      </c>
      <c r="V17">
        <v>0</v>
      </c>
      <c r="W17">
        <v>0</v>
      </c>
      <c r="X17">
        <v>1640</v>
      </c>
      <c r="Y17">
        <v>450</v>
      </c>
      <c r="Z17">
        <v>0</v>
      </c>
      <c r="AA17">
        <v>3500</v>
      </c>
      <c r="AB17">
        <v>2000</v>
      </c>
      <c r="AC17">
        <v>0</v>
      </c>
      <c r="AD17">
        <v>4810</v>
      </c>
      <c r="AE17">
        <v>0</v>
      </c>
      <c r="AF17">
        <v>0</v>
      </c>
      <c r="AG17">
        <v>0</v>
      </c>
      <c r="AH17">
        <v>200</v>
      </c>
      <c r="AI17">
        <v>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8" s="37">
        <f>IF(D1_ENERO_2026[[#This Row],[RECUPERO]]="","",VLOOKUP($M$3&amp;$N$3&amp;D1_ENERO_2026[[#This Row],[SUPER]],TablaMeta[],6,0))</f>
        <v>27900</v>
      </c>
      <c r="D18" s="36">
        <f>IFERROR(D1_ENERO_2026[[#This Row],[RECUPERO]]/VLOOKUP($M$3&amp;$N$3&amp;D1_ENERO_2026[[#This Row],[SUPER]],TablaMeta[],6,0),"")</f>
        <v>1.226989247311828</v>
      </c>
      <c r="E18" s="36" t="str">
        <f>IFERROR(VLOOKUP(D1_ENERO_2026[[#This Row],[ASESOR_CRR]],PLANTILLA_ACTUAL[],2,0),"")</f>
        <v>KENNETH</v>
      </c>
      <c r="F18" t="s">
        <v>50</v>
      </c>
      <c r="G18" s="3">
        <v>34233</v>
      </c>
      <c r="H18" t="str">
        <f>VLOOKUP(D1_ENERO_2026[[#This Row],[ASESOR_CRR]],DIM!$C:$E,2,0)</f>
        <v>72733809</v>
      </c>
      <c r="I18" s="59">
        <f>VLOOKUP(D1_ENERO_2026[[#This Row],[ASESOR_CRR]],DIM!$C:$E,3,0)</f>
        <v>45789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0.30971428571428572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&gt;0%</v>
      </c>
      <c r="O18" t="str">
        <f>IFERROR(VLOOKUP(DATA_ENERO_2026[[#This Row],[ASER_]],$B:$G,4,0),"")</f>
        <v>JOHAN</v>
      </c>
      <c r="P18">
        <f>IF(DATA_ENERO_2026[[#This Row],[SUPERVISOR]]="","",VLOOKUP(DATA_ENERO_2026[[#This Row],[ASER_]],$B:$G,6,0))</f>
        <v>7588</v>
      </c>
      <c r="Q18">
        <f>VLOOKUP(DATA_ENERO_2026[[#This Row],[ASER_]],D1_ENERO_2026[[ASESOR_CRR]:[META]],2,0)</f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O18" t="str">
        <f>VLOOKUP($M$3&amp;$N$3&amp;DATA_ENERO_2026[[#This Row],[SUPERVISOR]],TablaMeta[],7,0)</f>
        <v>S2-3-4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9" s="37">
        <f>IF(D1_ENERO_2026[[#This Row],[RECUPERO]]="","",VLOOKUP($M$3&amp;$N$3&amp;D1_ENERO_2026[[#This Row],[SUPER]],TablaMeta[],6,0))</f>
        <v>27900</v>
      </c>
      <c r="D19" s="36">
        <f>IFERROR(D1_ENERO_2026[[#This Row],[RECUPERO]]/VLOOKUP($M$3&amp;$N$3&amp;D1_ENERO_2026[[#This Row],[SUPER]],TablaMeta[],6,0),"")</f>
        <v>0.8725806451612903</v>
      </c>
      <c r="E19" s="36" t="str">
        <f>IFERROR(VLOOKUP(D1_ENERO_2026[[#This Row],[ASESOR_CRR]],PLANTILLA_ACTUAL[],2,0),"")</f>
        <v>KENNETH</v>
      </c>
      <c r="F19" t="s">
        <v>11</v>
      </c>
      <c r="G19" s="3">
        <v>24345</v>
      </c>
      <c r="H19" t="str">
        <f>VLOOKUP(D1_ENERO_2026[[#This Row],[ASESOR_CRR]],DIM!$C:$E,2,0)</f>
        <v>45139159</v>
      </c>
      <c r="I19" s="59">
        <f>VLOOKUP(D1_ENERO_2026[[#This Row],[ASESOR_CRR]],DIM!$C:$E,3,0)</f>
        <v>45369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1.5695102040816327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&gt;100%</v>
      </c>
      <c r="O19" t="str">
        <f>IFERROR(VLOOKUP(DATA_ENERO_2026[[#This Row],[ASER_]],$B:$G,4,0),"")</f>
        <v>JOHAN</v>
      </c>
      <c r="P19">
        <f>IF(DATA_ENERO_2026[[#This Row],[SUPERVISOR]]="","",VLOOKUP(DATA_ENERO_2026[[#This Row],[ASER_]],$B:$G,6,0))</f>
        <v>38453</v>
      </c>
      <c r="Q19">
        <f>VLOOKUP(DATA_ENERO_2026[[#This Row],[ASER_]],D1_ENERO_2026[[ASESOR_CRR]:[META]],2,0)</f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O19" t="str">
        <f>VLOOKUP($M$3&amp;$N$3&amp;DATA_ENERO_2026[[#This Row],[SUPERVISOR]],TablaMeta[],7,0)</f>
        <v>S2-3-4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0" s="37">
        <f>IF(D1_ENERO_2026[[#This Row],[RECUPERO]]="","",VLOOKUP($M$3&amp;$N$3&amp;D1_ENERO_2026[[#This Row],[SUPER]],TablaMeta[],6,0))</f>
        <v>27900</v>
      </c>
      <c r="D20" s="36">
        <f>IFERROR(D1_ENERO_2026[[#This Row],[RECUPERO]]/VLOOKUP($M$3&amp;$N$3&amp;D1_ENERO_2026[[#This Row],[SUPER]],TablaMeta[],6,0),"")</f>
        <v>0.80304659498207887</v>
      </c>
      <c r="E20" s="36" t="str">
        <f>IFERROR(VLOOKUP(D1_ENERO_2026[[#This Row],[ASESOR_CRR]],PLANTILLA_ACTUAL[],2,0),"")</f>
        <v>KENNETH</v>
      </c>
      <c r="F20" t="s">
        <v>105</v>
      </c>
      <c r="G20" s="3">
        <v>22405</v>
      </c>
      <c r="H20" t="str">
        <f>VLOOKUP(D1_ENERO_2026[[#This Row],[ASESOR_CRR]],DIM!$C:$E,2,0)</f>
        <v>48344037</v>
      </c>
      <c r="I20" s="59">
        <f>VLOOKUP(D1_ENERO_2026[[#This Row],[ASESOR_CRR]],DIM!$C:$E,3,0)</f>
        <v>46027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0.90244897959183679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&gt;70%</v>
      </c>
      <c r="O20" t="str">
        <f>IFERROR(VLOOKUP(DATA_ENERO_2026[[#This Row],[ASER_]],$B:$G,4,0),"")</f>
        <v>JOHAN</v>
      </c>
      <c r="P20">
        <f>IF(DATA_ENERO_2026[[#This Row],[SUPERVISOR]]="","",VLOOKUP(DATA_ENERO_2026[[#This Row],[ASER_]],$B:$G,6,0))</f>
        <v>22110</v>
      </c>
      <c r="Q20">
        <f>VLOOKUP(DATA_ENERO_2026[[#This Row],[ASER_]],D1_ENERO_2026[[ASESOR_CRR]:[META]],2,0)</f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1000</v>
      </c>
      <c r="AF20">
        <v>1660</v>
      </c>
      <c r="AG20">
        <v>1000</v>
      </c>
      <c r="AH20">
        <v>0</v>
      </c>
      <c r="AI20">
        <v>0</v>
      </c>
      <c r="AO20" t="str">
        <f>VLOOKUP($M$3&amp;$N$3&amp;DATA_ENERO_2026[[#This Row],[SUPERVISOR]],TablaMeta[],7,0)</f>
        <v>S2-3-4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21" s="37">
        <f>IF(D1_ENERO_2026[[#This Row],[RECUPERO]]="","",VLOOKUP($M$3&amp;$N$3&amp;D1_ENERO_2026[[#This Row],[SUPER]],TablaMeta[],6,0))</f>
        <v>27900</v>
      </c>
      <c r="D21" s="36">
        <f>IFERROR(D1_ENERO_2026[[#This Row],[RECUPERO]]/VLOOKUP($M$3&amp;$N$3&amp;D1_ENERO_2026[[#This Row],[SUPER]],TablaMeta[],6,0),"")</f>
        <v>0.72329749103942653</v>
      </c>
      <c r="E21" s="36" t="str">
        <f>IFERROR(VLOOKUP(D1_ENERO_2026[[#This Row],[ASESOR_CRR]],PLANTILLA_ACTUAL[],2,0),"")</f>
        <v>KENNETH</v>
      </c>
      <c r="F21" t="s">
        <v>80</v>
      </c>
      <c r="G21" s="3">
        <v>20180</v>
      </c>
      <c r="H21" t="str">
        <f>VLOOKUP(D1_ENERO_2026[[#This Row],[ASESOR_CRR]],DIM!$C:$E,2,0)</f>
        <v>45084594</v>
      </c>
      <c r="I21" s="59">
        <f>VLOOKUP(D1_ENERO_2026[[#This Row],[ASESOR_CRR]],DIM!$C:$E,3,0)</f>
        <v>45281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0.84787755102040818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&gt;70%</v>
      </c>
      <c r="O21" t="str">
        <f>IFERROR(VLOOKUP(DATA_ENERO_2026[[#This Row],[ASER_]],$B:$G,4,0),"")</f>
        <v>JOHAN</v>
      </c>
      <c r="P21">
        <f>IF(DATA_ENERO_2026[[#This Row],[SUPERVISOR]]="","",VLOOKUP(DATA_ENERO_2026[[#This Row],[ASER_]],$B:$G,6,0))</f>
        <v>20773</v>
      </c>
      <c r="Q21">
        <f>VLOOKUP(DATA_ENERO_2026[[#This Row],[ASER_]],D1_ENERO_2026[[ASESOR_CRR]:[META]],2,0)</f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O21" t="str">
        <f>VLOOKUP($M$3&amp;$N$3&amp;DATA_ENERO_2026[[#This Row],[SUPERVISOR]],TablaMeta[],7,0)</f>
        <v>S2-3-4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2" s="37">
        <f>IF(D1_ENERO_2026[[#This Row],[RECUPERO]]="","",VLOOKUP($M$3&amp;$N$3&amp;D1_ENERO_2026[[#This Row],[SUPER]],TablaMeta[],6,0))</f>
        <v>27900</v>
      </c>
      <c r="D22" s="36">
        <f>IFERROR(D1_ENERO_2026[[#This Row],[RECUPERO]]/VLOOKUP($M$3&amp;$N$3&amp;D1_ENERO_2026[[#This Row],[SUPER]],TablaMeta[],6,0),"")</f>
        <v>0.65817204301075272</v>
      </c>
      <c r="E22" s="36" t="str">
        <f>IFERROR(VLOOKUP(D1_ENERO_2026[[#This Row],[ASESOR_CRR]],PLANTILLA_ACTUAL[],2,0),"")</f>
        <v>KENNETH</v>
      </c>
      <c r="F22" t="s">
        <v>26</v>
      </c>
      <c r="G22" s="3">
        <v>18363</v>
      </c>
      <c r="H22" t="str">
        <f>VLOOKUP(D1_ENERO_2026[[#This Row],[ASESOR_CRR]],DIM!$C:$E,2,0)</f>
        <v>41005089</v>
      </c>
      <c r="I22" s="59">
        <f>VLOOKUP(D1_ENERO_2026[[#This Row],[ASESOR_CRR]],DIM!$C:$E,3,0)</f>
        <v>44257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0.87081632653061225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&gt;70%</v>
      </c>
      <c r="O22" t="str">
        <f>IFERROR(VLOOKUP(DATA_ENERO_2026[[#This Row],[ASER_]],$B:$G,4,0),"")</f>
        <v>JOHAN</v>
      </c>
      <c r="P22">
        <f>IF(DATA_ENERO_2026[[#This Row],[SUPERVISOR]]="","",VLOOKUP(DATA_ENERO_2026[[#This Row],[ASER_]],$B:$G,6,0))</f>
        <v>21335</v>
      </c>
      <c r="Q22">
        <f>VLOOKUP(DATA_ENERO_2026[[#This Row],[ASER_]],D1_ENERO_2026[[ASESOR_CRR]:[META]],2,0)</f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O22" t="str">
        <f>VLOOKUP($M$3&amp;$N$3&amp;DATA_ENERO_2026[[#This Row],[SUPERVISOR]],TablaMeta[],7,0)</f>
        <v>S2-3-4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23" s="37">
        <f>IF(D1_ENERO_2026[[#This Row],[RECUPERO]]="","",VLOOKUP($M$3&amp;$N$3&amp;D1_ENERO_2026[[#This Row],[SUPER]],TablaMeta[],6,0))</f>
        <v>27900</v>
      </c>
      <c r="D23" s="36">
        <f>IFERROR(D1_ENERO_2026[[#This Row],[RECUPERO]]/VLOOKUP($M$3&amp;$N$3&amp;D1_ENERO_2026[[#This Row],[SUPER]],TablaMeta[],6,0),"")</f>
        <v>0.26530465949820786</v>
      </c>
      <c r="E23" s="36" t="str">
        <f>IFERROR(VLOOKUP(D1_ENERO_2026[[#This Row],[ASESOR_CRR]],PLANTILLA_ACTUAL[],2,0),"")</f>
        <v>KENNETH</v>
      </c>
      <c r="F23" t="s">
        <v>35</v>
      </c>
      <c r="G23" s="3">
        <v>7402</v>
      </c>
      <c r="H23" t="str">
        <f>VLOOKUP(D1_ENERO_2026[[#This Row],[ASESOR_CRR]],DIM!$C:$E,2,0)</f>
        <v>10491198</v>
      </c>
      <c r="I23" s="59">
        <f>VLOOKUP(D1_ENERO_2026[[#This Row],[ASESOR_CRR]],DIM!$C:$E,3,0)</f>
        <v>44746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1.7473877551020409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t="str">
        <f>IFERROR(VLOOKUP(DATA_ENERO_2026[[#This Row],[ASER_]],$B:$G,4,0),"")</f>
        <v>JOHAN</v>
      </c>
      <c r="P23">
        <f>IF(DATA_ENERO_2026[[#This Row],[SUPERVISOR]]="","",VLOOKUP(DATA_ENERO_2026[[#This Row],[ASER_]],$B:$G,6,0))</f>
        <v>42811</v>
      </c>
      <c r="Q23">
        <f>VLOOKUP(DATA_ENERO_2026[[#This Row],[ASER_]],D1_ENERO_2026[[ASESOR_CRR]:[META]],2,0)</f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O23" t="str">
        <f>VLOOKUP($M$3&amp;$N$3&amp;DATA_ENERO_2026[[#This Row],[SUPERVISOR]],TablaMeta[],7,0)</f>
        <v>S2-3-4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1.5555555555555555E-2</v>
      </c>
      <c r="E24" s="36" t="str">
        <f>IFERROR(VLOOKUP(D1_ENERO_2026[[#This Row],[ASESOR_CRR]],PLANTILLA_ACTUAL[],2,0),"")</f>
        <v>KENNETH</v>
      </c>
      <c r="F24" t="s">
        <v>37</v>
      </c>
      <c r="G24" s="3">
        <v>434</v>
      </c>
      <c r="H24" t="str">
        <f>VLOOKUP(D1_ENERO_2026[[#This Row],[ASESOR_CRR]],DIM!$C:$E,2,0)</f>
        <v>70988976</v>
      </c>
      <c r="I24" s="59">
        <f>VLOOKUP(D1_ENERO_2026[[#This Row],[ASESOR_CRR]],DIM!$C:$E,3,0)</f>
        <v>45112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0.16632653061224489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&gt;0%</v>
      </c>
      <c r="O24" t="str">
        <f>IFERROR(VLOOKUP(DATA_ENERO_2026[[#This Row],[ASER_]],$B:$G,4,0),"")</f>
        <v>JOHAN</v>
      </c>
      <c r="P24">
        <f>IF(DATA_ENERO_2026[[#This Row],[SUPERVISOR]]="","",VLOOKUP(DATA_ENERO_2026[[#This Row],[ASER_]],$B:$G,6,0))</f>
        <v>4075</v>
      </c>
      <c r="Q24">
        <f>VLOOKUP(DATA_ENERO_2026[[#This Row],[ASER_]],D1_ENERO_2026[[ASESOR_CRR]:[META]],2,0)</f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O24" t="str">
        <f>VLOOKUP($M$3&amp;$N$3&amp;DATA_ENERO_2026[[#This Row],[SUPERVISOR]],TablaMeta[],7,0)</f>
        <v>S2-3-4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1.7473877551020409</v>
      </c>
      <c r="E25" s="36" t="str">
        <f>IFERROR(VLOOKUP(D1_ENERO_2026[[#This Row],[ASESOR_CRR]],PLANTILLA_ACTUAL[],2,0),"")</f>
        <v>JOHAN</v>
      </c>
      <c r="F25" t="s">
        <v>58</v>
      </c>
      <c r="G25" s="3">
        <v>42811</v>
      </c>
      <c r="H25" t="str">
        <f>VLOOKUP(D1_ENERO_2026[[#This Row],[ASESOR_CRR]],DIM!$C:$E,2,0)</f>
        <v>72519113</v>
      </c>
      <c r="I25" s="59">
        <f>VLOOKUP(D1_ENERO_2026[[#This Row],[ASESOR_CRR]],DIM!$C:$E,3,0)</f>
        <v>43119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0.58922448979591835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t="str">
        <f>IFERROR(VLOOKUP(DATA_ENERO_2026[[#This Row],[ASER_]],$B:$G,4,0),"")</f>
        <v>JOHAN</v>
      </c>
      <c r="P25">
        <f>IF(DATA_ENERO_2026[[#This Row],[SUPERVISOR]]="","",VLOOKUP(DATA_ENERO_2026[[#This Row],[ASER_]],$B:$G,6,0))</f>
        <v>14436</v>
      </c>
      <c r="Q25">
        <f>VLOOKUP(DATA_ENERO_2026[[#This Row],[ASER_]],D1_ENERO_2026[[ASESOR_CRR]:[META]],2,0)</f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O25" t="str">
        <f>VLOOKUP($M$3&amp;$N$3&amp;DATA_ENERO_2026[[#This Row],[SUPERVISOR]],TablaMeta[],7,0)</f>
        <v>S2-3-4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1.5695102040816327</v>
      </c>
      <c r="E26" s="36" t="str">
        <f>IFERROR(VLOOKUP(D1_ENERO_2026[[#This Row],[ASESOR_CRR]],PLANTILLA_ACTUAL[],2,0),"")</f>
        <v>JOHAN</v>
      </c>
      <c r="F26" t="s">
        <v>77</v>
      </c>
      <c r="G26" s="3">
        <v>38453</v>
      </c>
      <c r="H26" t="str">
        <f>VLOOKUP(D1_ENERO_2026[[#This Row],[ASESOR_CRR]],DIM!$C:$E,2,0)</f>
        <v>42251780</v>
      </c>
      <c r="I26" s="59">
        <f>VLOOKUP(D1_ENERO_2026[[#This Row],[ASESOR_CRR]],DIM!$C:$E,3,0)</f>
        <v>44838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0.51224489795918371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&gt;40%</v>
      </c>
      <c r="O26" t="str">
        <f>IFERROR(VLOOKUP(DATA_ENERO_2026[[#This Row],[ASER_]],$B:$G,4,0),"")</f>
        <v>JOHAN</v>
      </c>
      <c r="P26">
        <f>IF(DATA_ENERO_2026[[#This Row],[SUPERVISOR]]="","",VLOOKUP(DATA_ENERO_2026[[#This Row],[ASER_]],$B:$G,6,0))</f>
        <v>12550</v>
      </c>
      <c r="Q26">
        <f>VLOOKUP(DATA_ENERO_2026[[#This Row],[ASER_]],D1_ENERO_2026[[ASESOR_CRR]:[META]],2,0)</f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O26" t="str">
        <f>VLOOKUP($M$3&amp;$N$3&amp;DATA_ENERO_2026[[#This Row],[SUPERVISOR]],TablaMeta[],7,0)</f>
        <v>S2-3-4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0.89612244897959181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t="str">
        <f>IFERROR(VLOOKUP(DATA_ENERO_2026[[#This Row],[ASER_]],$B:$G,4,0),"")</f>
        <v>JOHAN</v>
      </c>
      <c r="P27">
        <f>IF(DATA_ENERO_2026[[#This Row],[SUPERVISOR]]="","",VLOOKUP(DATA_ENERO_2026[[#This Row],[ASER_]],$B:$G,6,0))</f>
        <v>21955</v>
      </c>
      <c r="Q27">
        <f>VLOOKUP(DATA_ENERO_2026[[#This Row],[ASER_]],D1_ENERO_2026[[ASESOR_CRR]:[META]],2,0)</f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0.89612244897959181</v>
      </c>
      <c r="E28" s="36" t="str">
        <f>IFERROR(VLOOKUP(D1_ENERO_2026[[#This Row],[ASESOR_CRR]],PLANTILLA_ACTUAL[],2,0),"")</f>
        <v>JOHAN</v>
      </c>
      <c r="F28" t="s">
        <v>206</v>
      </c>
      <c r="G28" s="3">
        <v>21955</v>
      </c>
      <c r="H28" t="str">
        <f>VLOOKUP(D1_ENERO_2026[[#This Row],[ASESOR_CRR]],DIM!$C:$E,2,0)</f>
        <v>46994661</v>
      </c>
      <c r="I28" s="59">
        <f>VLOOKUP(D1_ENERO_2026[[#This Row],[ASESOR_CRR]],DIM!$C:$E,3,0)</f>
        <v>45992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0.81224489795918364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&gt;70%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19900</v>
      </c>
      <c r="Q28">
        <f>VLOOKUP(DATA_ENERO_2026[[#This Row],[ASER_]],D1_ENERO_2026[[ASESOR_CRR]:[META]],2,0)</f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0.87081632653061225</v>
      </c>
      <c r="E29" s="36" t="str">
        <f>IFERROR(VLOOKUP(D1_ENERO_2026[[#This Row],[ASESOR_CRR]],PLANTILLA_ACTUAL[],2,0),"")</f>
        <v>JOHAN</v>
      </c>
      <c r="F29" t="s">
        <v>97</v>
      </c>
      <c r="G29" s="3">
        <v>21335</v>
      </c>
      <c r="H29" t="str">
        <f>VLOOKUP(D1_ENERO_2026[[#This Row],[ASESOR_CRR]],DIM!$C:$E,2,0)</f>
        <v>74602206</v>
      </c>
      <c r="I29" s="59">
        <f>VLOOKUP(D1_ENERO_2026[[#This Row],[ASESOR_CRR]],DIM!$C:$E,3,0)</f>
        <v>45884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0.60375510204081628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&gt;40%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14792</v>
      </c>
      <c r="Q29">
        <f>VLOOKUP(DATA_ENERO_2026[[#This Row],[ASER_]],D1_ENERO_2026[[ASESOR_CRR]:[META]],2,0)</f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0.84787755102040818</v>
      </c>
      <c r="E30" s="36" t="str">
        <f>IFERROR(VLOOKUP(D1_ENERO_2026[[#This Row],[ASESOR_CRR]],PLANTILLA_ACTUAL[],2,0),"")</f>
        <v>JOHAN</v>
      </c>
      <c r="F30" t="s">
        <v>51</v>
      </c>
      <c r="G30" s="3">
        <v>20773</v>
      </c>
      <c r="H30" t="str">
        <f>VLOOKUP(D1_ENERO_2026[[#This Row],[ASESOR_CRR]],DIM!$C:$E,2,0)</f>
        <v>76089925</v>
      </c>
      <c r="I30" s="59">
        <f>VLOOKUP(D1_ENERO_2026[[#This Row],[ASESOR_CRR]],DIM!$C:$E,3,0)</f>
        <v>45678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0.28163265306122448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6900</v>
      </c>
      <c r="Q30">
        <f>VLOOKUP(DATA_ENERO_2026[[#This Row],[ASER_]],D1_ENERO_2026[[ASESOR_CRR]:[META]],2,0)</f>
        <v>24500</v>
      </c>
      <c r="R30" t="s">
        <v>527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0.81224489795918364</v>
      </c>
      <c r="E31" s="36" t="str">
        <f>IFERROR(VLOOKUP(D1_ENERO_2026[[#This Row],[ASESOR_CRR]],PLANTILLA_ACTUAL[],2,0),"")</f>
        <v>JOHAN</v>
      </c>
      <c r="F31" t="s">
        <v>109</v>
      </c>
      <c r="G31" s="3">
        <v>19900</v>
      </c>
      <c r="H31" t="str">
        <f>VLOOKUP(D1_ENERO_2026[[#This Row],[ASESOR_CRR]],DIM!$C:$E,2,0)</f>
        <v>74626735</v>
      </c>
      <c r="I31" s="59">
        <f>VLOOKUP(D1_ENERO_2026[[#This Row],[ASESOR_CRR]],DIM!$C:$E,3,0)</f>
        <v>46024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9.7959183673469383E-2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2400</v>
      </c>
      <c r="Q31">
        <f>VLOOKUP(DATA_ENERO_2026[[#This Row],[ASER_]],D1_ENERO_2026[[ASESOR_CRR]:[META]],2,0)</f>
        <v>24500</v>
      </c>
      <c r="R31" t="s">
        <v>404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0.60375510204081628</v>
      </c>
      <c r="E32" s="36" t="str">
        <f>IFERROR(VLOOKUP(D1_ENERO_2026[[#This Row],[ASESOR_CRR]],PLANTILLA_ACTUAL[],2,0),"")</f>
        <v>JOHAN</v>
      </c>
      <c r="F32" t="s">
        <v>209</v>
      </c>
      <c r="G32" s="3">
        <v>14792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0.72329749103942653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t="str">
        <f>IFERROR(VLOOKUP(DATA_ENERO_2026[[#This Row],[ASER_]],$B:$G,4,0),"")</f>
        <v>KENNETH</v>
      </c>
      <c r="P32">
        <f>IF(DATA_ENERO_2026[[#This Row],[SUPERVISOR]]="","",VLOOKUP(DATA_ENERO_2026[[#This Row],[ASER_]],$B:$G,6,0))</f>
        <v>20180</v>
      </c>
      <c r="Q32">
        <f>VLOOKUP(DATA_ENERO_2026[[#This Row],[ASER_]],D1_ENERO_2026[[ASESOR_CRR]:[META]],2,0)</f>
        <v>27900</v>
      </c>
      <c r="R32" t="s">
        <v>80</v>
      </c>
      <c r="S32">
        <v>3000</v>
      </c>
      <c r="T32">
        <v>0</v>
      </c>
      <c r="U32">
        <v>8300</v>
      </c>
      <c r="V32">
        <v>0</v>
      </c>
      <c r="W32">
        <v>0</v>
      </c>
      <c r="X32">
        <v>0</v>
      </c>
      <c r="Y32">
        <v>4200</v>
      </c>
      <c r="Z32">
        <v>3710</v>
      </c>
      <c r="AA32">
        <v>0</v>
      </c>
      <c r="AB32">
        <v>700</v>
      </c>
      <c r="AC32">
        <v>270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O32" t="str">
        <f>VLOOKUP($M$3&amp;$N$3&amp;DATA_ENERO_2026[[#This Row],[SUPERVISOR]],TablaMeta[],7,0)</f>
        <v>S0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0.58922448979591835</v>
      </c>
      <c r="E33" s="36" t="str">
        <f>IFERROR(VLOOKUP(D1_ENERO_2026[[#This Row],[ASESOR_CRR]],PLANTILLA_ACTUAL[],2,0),"")</f>
        <v>JOHAN</v>
      </c>
      <c r="F33" t="s">
        <v>41</v>
      </c>
      <c r="G33" s="3">
        <v>14436</v>
      </c>
      <c r="H33" t="str">
        <f>VLOOKUP(D1_ENERO_2026[[#This Row],[ASESOR_CRR]],DIM!$C:$E,2,0)</f>
        <v>46461021</v>
      </c>
      <c r="I33" s="59">
        <f>VLOOKUP(D1_ENERO_2026[[#This Row],[ASESOR_CRR]],DIM!$C:$E,3,0)</f>
        <v>45302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1.5555555555555555E-2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KENNETH</v>
      </c>
      <c r="P33">
        <f>IF(DATA_ENERO_2026[[#This Row],[SUPERVISOR]]="","",VLOOKUP(DATA_ENERO_2026[[#This Row],[ASER_]],$B:$G,6,0))</f>
        <v>434</v>
      </c>
      <c r="Q33">
        <f>VLOOKUP(DATA_ENERO_2026[[#This Row],[ASER_]],D1_ENERO_2026[[ASESOR_CRR]:[META]],2,0)</f>
        <v>27900</v>
      </c>
      <c r="R33" t="s">
        <v>37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148</v>
      </c>
      <c r="AA33">
        <v>286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O33" t="str">
        <f>VLOOKUP($M$3&amp;$N$3&amp;DATA_ENERO_2026[[#This Row],[SUPERVISOR]],TablaMeta[],7,0)</f>
        <v>S0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0.51224489795918371</v>
      </c>
      <c r="E34" s="36" t="str">
        <f>IFERROR(VLOOKUP(D1_ENERO_2026[[#This Row],[ASESOR_CRR]],PLANTILLA_ACTUAL[],2,0),"")</f>
        <v>JOHAN</v>
      </c>
      <c r="F34" t="s">
        <v>73</v>
      </c>
      <c r="G34" s="3">
        <v>12550</v>
      </c>
      <c r="H34" t="str">
        <f>VLOOKUP(D1_ENERO_2026[[#This Row],[ASESOR_CRR]],DIM!$C:$E,2,0)</f>
        <v>40318129</v>
      </c>
      <c r="I34" s="59">
        <f>VLOOKUP(D1_ENERO_2026[[#This Row],[ASESOR_CRR]],DIM!$C:$E,3,0)</f>
        <v>45141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1.4117562724014336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&gt;100%</v>
      </c>
      <c r="O34" t="str">
        <f>IFERROR(VLOOKUP(DATA_ENERO_2026[[#This Row],[ASER_]],$B:$G,4,0),"")</f>
        <v>KENNETH</v>
      </c>
      <c r="P34">
        <f>IF(DATA_ENERO_2026[[#This Row],[SUPERVISOR]]="","",VLOOKUP(DATA_ENERO_2026[[#This Row],[ASER_]],$B:$G,6,0))</f>
        <v>39388</v>
      </c>
      <c r="Q34">
        <f>VLOOKUP(DATA_ENERO_2026[[#This Row],[ASER_]],D1_ENERO_2026[[ASESOR_CRR]:[META]],2,0)</f>
        <v>27900</v>
      </c>
      <c r="R34" t="s">
        <v>34</v>
      </c>
      <c r="S34">
        <v>500</v>
      </c>
      <c r="T34">
        <v>5500</v>
      </c>
      <c r="U34">
        <v>8500</v>
      </c>
      <c r="V34">
        <v>3313</v>
      </c>
      <c r="W34">
        <v>0</v>
      </c>
      <c r="X34">
        <v>0</v>
      </c>
      <c r="Y34">
        <v>0</v>
      </c>
      <c r="Z34">
        <v>500</v>
      </c>
      <c r="AA34">
        <v>4500</v>
      </c>
      <c r="AB34">
        <v>575</v>
      </c>
      <c r="AC34">
        <v>0</v>
      </c>
      <c r="AD34">
        <v>8300</v>
      </c>
      <c r="AE34">
        <v>200</v>
      </c>
      <c r="AF34">
        <v>5000</v>
      </c>
      <c r="AG34">
        <v>500</v>
      </c>
      <c r="AH34">
        <v>2000</v>
      </c>
      <c r="AI34">
        <v>0</v>
      </c>
      <c r="AO34" t="str">
        <f>VLOOKUP($M$3&amp;$N$3&amp;DATA_ENERO_2026[[#This Row],[SUPERVISOR]],TablaMeta[],7,0)</f>
        <v>S0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0.30971428571428572</v>
      </c>
      <c r="E35" s="36" t="str">
        <f>IFERROR(VLOOKUP(D1_ENERO_2026[[#This Row],[ASESOR_CRR]],PLANTILLA_ACTUAL[],2,0),"")</f>
        <v>JOHAN</v>
      </c>
      <c r="F35" t="s">
        <v>40</v>
      </c>
      <c r="G35" s="3">
        <v>7588</v>
      </c>
      <c r="H35" t="str">
        <f>VLOOKUP(D1_ENERO_2026[[#This Row],[ASESOR_CRR]],DIM!$C:$E,2,0)</f>
        <v>60976055</v>
      </c>
      <c r="I35" s="59">
        <f>VLOOKUP(D1_ENERO_2026[[#This Row],[ASESOR_CRR]],DIM!$C:$E,3,0)</f>
        <v>45433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0.26530465949820786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&gt;0%</v>
      </c>
      <c r="O35" t="str">
        <f>IFERROR(VLOOKUP(DATA_ENERO_2026[[#This Row],[ASER_]],$B:$G,4,0),"")</f>
        <v>KENNETH</v>
      </c>
      <c r="P35">
        <f>IF(DATA_ENERO_2026[[#This Row],[SUPERVISOR]]="","",VLOOKUP(DATA_ENERO_2026[[#This Row],[ASER_]],$B:$G,6,0))</f>
        <v>7402</v>
      </c>
      <c r="Q35">
        <f>VLOOKUP(DATA_ENERO_2026[[#This Row],[ASER_]],D1_ENERO_2026[[ASESOR_CRR]:[META]],2,0)</f>
        <v>27900</v>
      </c>
      <c r="R35" t="s">
        <v>35</v>
      </c>
      <c r="S35">
        <v>0</v>
      </c>
      <c r="T35">
        <v>800</v>
      </c>
      <c r="U35">
        <v>350</v>
      </c>
      <c r="V35">
        <v>0</v>
      </c>
      <c r="W35">
        <v>0</v>
      </c>
      <c r="X35">
        <v>257</v>
      </c>
      <c r="Y35">
        <v>370</v>
      </c>
      <c r="Z35">
        <v>500</v>
      </c>
      <c r="AA35">
        <v>115</v>
      </c>
      <c r="AB35">
        <v>0</v>
      </c>
      <c r="AC35">
        <v>0</v>
      </c>
      <c r="AD35">
        <v>0</v>
      </c>
      <c r="AE35">
        <v>0</v>
      </c>
      <c r="AF35">
        <v>50</v>
      </c>
      <c r="AG35">
        <v>3960</v>
      </c>
      <c r="AH35">
        <v>0</v>
      </c>
      <c r="AI35">
        <v>1000</v>
      </c>
      <c r="AO35" t="str">
        <f>VLOOKUP($M$3&amp;$N$3&amp;DATA_ENERO_2026[[#This Row],[SUPERVISOR]],TablaMeta[],7,0)</f>
        <v>S0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0.28163265306122448</v>
      </c>
      <c r="E36" s="36" t="str">
        <f>IFERROR(VLOOKUP(D1_ENERO_2026[[#This Row],[ASESOR_CRR]],PLANTILLA_ACTUAL[],2,0),"")</f>
        <v>JOHAN</v>
      </c>
      <c r="F36" t="s">
        <v>527</v>
      </c>
      <c r="G36" s="3">
        <v>6900</v>
      </c>
      <c r="H36" t="str">
        <f>VLOOKUP(D1_ENERO_2026[[#This Row],[ASESOR_CRR]],DIM!$C:$E,2,0)</f>
        <v>09668687</v>
      </c>
      <c r="I36" s="59">
        <f>VLOOKUP(D1_ENERO_2026[[#This Row],[ASESOR_CRR]],DIM!$C:$E,3,0)</f>
        <v>46041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1.2525089605734767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&gt;100%</v>
      </c>
      <c r="O36" t="str">
        <f>IFERROR(VLOOKUP(DATA_ENERO_2026[[#This Row],[ASER_]],$B:$G,4,0),"")</f>
        <v>KENNETH</v>
      </c>
      <c r="P36">
        <f>IF(DATA_ENERO_2026[[#This Row],[SUPERVISOR]]="","",VLOOKUP(DATA_ENERO_2026[[#This Row],[ASER_]],$B:$G,6,0))</f>
        <v>34945</v>
      </c>
      <c r="Q36">
        <f>VLOOKUP(DATA_ENERO_2026[[#This Row],[ASER_]],D1_ENERO_2026[[ASESOR_CRR]:[META]],2,0)</f>
        <v>27900</v>
      </c>
      <c r="R36" t="s">
        <v>19</v>
      </c>
      <c r="S36">
        <v>0</v>
      </c>
      <c r="T36">
        <v>0</v>
      </c>
      <c r="U36">
        <v>0</v>
      </c>
      <c r="V36">
        <v>3200</v>
      </c>
      <c r="W36">
        <v>500</v>
      </c>
      <c r="X36">
        <v>2000</v>
      </c>
      <c r="Y36">
        <v>7000</v>
      </c>
      <c r="Z36">
        <v>5000</v>
      </c>
      <c r="AA36">
        <v>3250</v>
      </c>
      <c r="AB36">
        <v>0</v>
      </c>
      <c r="AC36">
        <v>2495</v>
      </c>
      <c r="AD36">
        <v>250</v>
      </c>
      <c r="AE36">
        <v>3000</v>
      </c>
      <c r="AF36">
        <v>8000</v>
      </c>
      <c r="AG36">
        <v>250</v>
      </c>
      <c r="AH36">
        <v>0</v>
      </c>
      <c r="AI36">
        <v>0</v>
      </c>
      <c r="AO36" t="str">
        <f>VLOOKUP($M$3&amp;$N$3&amp;DATA_ENERO_2026[[#This Row],[SUPERVISOR]],TablaMeta[],7,0)</f>
        <v>S0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0.16632653061224489</v>
      </c>
      <c r="E37" s="36" t="str">
        <f>IFERROR(VLOOKUP(D1_ENERO_2026[[#This Row],[ASESOR_CRR]],PLANTILLA_ACTUAL[],2,0),"")</f>
        <v>JOHAN</v>
      </c>
      <c r="F37" t="s">
        <v>55</v>
      </c>
      <c r="G37" s="3">
        <v>4075</v>
      </c>
      <c r="H37" t="str">
        <f>VLOOKUP(D1_ENERO_2026[[#This Row],[ASESOR_CRR]],DIM!$C:$E,2,0)</f>
        <v>45119892</v>
      </c>
      <c r="I37" s="59">
        <f>VLOOKUP(D1_ENERO_2026[[#This Row],[ASESOR_CRR]],DIM!$C:$E,3,0)</f>
        <v>45813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1.4754121863799283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&gt;100%</v>
      </c>
      <c r="O37" t="str">
        <f>IFERROR(VLOOKUP(DATA_ENERO_2026[[#This Row],[ASER_]],$B:$G,4,0),"")</f>
        <v>KENNETH</v>
      </c>
      <c r="P37">
        <f>IF(DATA_ENERO_2026[[#This Row],[SUPERVISOR]]="","",VLOOKUP(DATA_ENERO_2026[[#This Row],[ASER_]],$B:$G,6,0))</f>
        <v>41164</v>
      </c>
      <c r="Q37">
        <f>VLOOKUP(DATA_ENERO_2026[[#This Row],[ASER_]],D1_ENERO_2026[[ASESOR_CRR]:[META]],2,0)</f>
        <v>27900</v>
      </c>
      <c r="R37" t="s">
        <v>81</v>
      </c>
      <c r="S37">
        <v>0</v>
      </c>
      <c r="T37">
        <v>0</v>
      </c>
      <c r="U37">
        <v>0</v>
      </c>
      <c r="V37">
        <v>0</v>
      </c>
      <c r="W37">
        <v>0</v>
      </c>
      <c r="X37">
        <v>28574</v>
      </c>
      <c r="Y37">
        <v>0</v>
      </c>
      <c r="Z37">
        <v>3925</v>
      </c>
      <c r="AA37">
        <v>0</v>
      </c>
      <c r="AB37">
        <v>500</v>
      </c>
      <c r="AC37">
        <v>1400</v>
      </c>
      <c r="AD37">
        <v>0</v>
      </c>
      <c r="AE37">
        <v>93</v>
      </c>
      <c r="AF37">
        <v>172</v>
      </c>
      <c r="AG37">
        <v>2500</v>
      </c>
      <c r="AH37">
        <v>0</v>
      </c>
      <c r="AI37">
        <v>4000</v>
      </c>
      <c r="AO37" t="str">
        <f>VLOOKUP($M$3&amp;$N$3&amp;DATA_ENERO_2026[[#This Row],[SUPERVISOR]],TablaMeta[],7,0)</f>
        <v>S0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9.7959183673469383E-2</v>
      </c>
      <c r="E38" s="36" t="str">
        <f>IFERROR(VLOOKUP(D1_ENERO_2026[[#This Row],[ASESOR_CRR]],PLANTILLA_ACTUAL[],2,0),"")</f>
        <v>JOHAN</v>
      </c>
      <c r="F38" t="s">
        <v>533</v>
      </c>
      <c r="G38" s="3">
        <v>2400</v>
      </c>
      <c r="H38" t="str">
        <f>VLOOKUP(D1_ENERO_2026[[#This Row],[ASESOR_CRR]],DIM!$C:$E,2,0)</f>
        <v>44883074</v>
      </c>
      <c r="I38" s="59">
        <f>VLOOKUP(D1_ENERO_2026[[#This Row],[ASESOR_CRR]],DIM!$C:$E,3,0)</f>
        <v>46038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1.226989247311828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t="str">
        <f>IFERROR(VLOOKUP(DATA_ENERO_2026[[#This Row],[ASER_]],$B:$G,4,0),"")</f>
        <v>KENNETH</v>
      </c>
      <c r="P38">
        <f>IF(DATA_ENERO_2026[[#This Row],[SUPERVISOR]]="","",VLOOKUP(DATA_ENERO_2026[[#This Row],[ASER_]],$B:$G,6,0))</f>
        <v>34233</v>
      </c>
      <c r="Q38">
        <f>VLOOKUP(DATA_ENERO_2026[[#This Row],[ASER_]],D1_ENERO_2026[[ASESOR_CRR]:[META]],2,0)</f>
        <v>27900</v>
      </c>
      <c r="R38" t="s">
        <v>50</v>
      </c>
      <c r="S38">
        <v>13500</v>
      </c>
      <c r="T38">
        <v>350</v>
      </c>
      <c r="U38">
        <v>0</v>
      </c>
      <c r="V38">
        <v>0</v>
      </c>
      <c r="W38">
        <v>0</v>
      </c>
      <c r="X38">
        <v>0</v>
      </c>
      <c r="Y38">
        <v>8485</v>
      </c>
      <c r="Z38">
        <v>6750</v>
      </c>
      <c r="AA38">
        <v>4500</v>
      </c>
      <c r="AB38">
        <v>648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O38" t="str">
        <f>VLOOKUP($M$3&amp;$N$3&amp;DATA_ENERO_2026[[#This Row],[SUPERVISOR]],TablaMeta[],7,0)</f>
        <v>S0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0.80304659498207887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&gt;70%</v>
      </c>
      <c r="O39" t="str">
        <f>IFERROR(VLOOKUP(DATA_ENERO_2026[[#This Row],[ASER_]],$B:$G,4,0),"")</f>
        <v>KENNETH</v>
      </c>
      <c r="P39">
        <f>IF(DATA_ENERO_2026[[#This Row],[SUPERVISOR]]="","",VLOOKUP(DATA_ENERO_2026[[#This Row],[ASER_]],$B:$G,6,0))</f>
        <v>22405</v>
      </c>
      <c r="Q39">
        <f>VLOOKUP(DATA_ENERO_2026[[#This Row],[ASER_]],D1_ENERO_2026[[ASESOR_CRR]:[META]],2,0)</f>
        <v>27900</v>
      </c>
      <c r="R39" t="s">
        <v>105</v>
      </c>
      <c r="U39">
        <v>0</v>
      </c>
      <c r="V39">
        <v>0</v>
      </c>
      <c r="W39">
        <v>20000</v>
      </c>
      <c r="X39">
        <v>600</v>
      </c>
      <c r="Y39">
        <v>0</v>
      </c>
      <c r="Z39">
        <v>0</v>
      </c>
      <c r="AA39">
        <v>0</v>
      </c>
      <c r="AB39">
        <v>605</v>
      </c>
      <c r="AC39">
        <v>0</v>
      </c>
      <c r="AD39">
        <v>1000</v>
      </c>
      <c r="AE39">
        <v>0</v>
      </c>
      <c r="AF39">
        <v>0</v>
      </c>
      <c r="AG39">
        <v>0</v>
      </c>
      <c r="AH39">
        <v>0</v>
      </c>
      <c r="AI39">
        <v>200</v>
      </c>
      <c r="AO39" t="str">
        <f>VLOOKUP($M$3&amp;$N$3&amp;DATA_ENERO_2026[[#This Row],[SUPERVISOR]],TablaMeta[],7,0)</f>
        <v>S0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1.4046932515337422</v>
      </c>
      <c r="E40" s="36" t="str">
        <f>IFERROR(VLOOKUP(D1_ENERO_2026[[#This Row],[ASESOR_CRR]],PLANTILLA_ACTUAL[],2,0),"")</f>
        <v>JORGE</v>
      </c>
      <c r="F40" t="s">
        <v>38</v>
      </c>
      <c r="G40" s="3">
        <v>45793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0.65817204301075272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&gt;40%</v>
      </c>
      <c r="O40" t="str">
        <f>IFERROR(VLOOKUP(DATA_ENERO_2026[[#This Row],[ASER_]],$B:$G,4,0),"")</f>
        <v>KENNETH</v>
      </c>
      <c r="P40">
        <f>IF(DATA_ENERO_2026[[#This Row],[SUPERVISOR]]="","",VLOOKUP(DATA_ENERO_2026[[#This Row],[ASER_]],$B:$G,6,0))</f>
        <v>18363</v>
      </c>
      <c r="Q40">
        <f>VLOOKUP(DATA_ENERO_2026[[#This Row],[ASER_]],D1_ENERO_2026[[ASESOR_CRR]:[META]],2,0)</f>
        <v>27900</v>
      </c>
      <c r="R40" t="s">
        <v>26</v>
      </c>
      <c r="S40">
        <v>1500</v>
      </c>
      <c r="T40">
        <v>0</v>
      </c>
      <c r="U40">
        <v>3500</v>
      </c>
      <c r="V40">
        <v>950</v>
      </c>
      <c r="W40">
        <v>0</v>
      </c>
      <c r="X40">
        <v>0</v>
      </c>
      <c r="Y40">
        <v>0</v>
      </c>
      <c r="Z40">
        <v>0</v>
      </c>
      <c r="AA40">
        <v>0</v>
      </c>
      <c r="AB40">
        <v>1263</v>
      </c>
      <c r="AC40">
        <v>2000</v>
      </c>
      <c r="AD40">
        <v>0</v>
      </c>
      <c r="AE40">
        <v>0</v>
      </c>
      <c r="AF40">
        <v>5850</v>
      </c>
      <c r="AG40">
        <v>3300</v>
      </c>
      <c r="AH40">
        <v>0</v>
      </c>
      <c r="AI40">
        <v>0</v>
      </c>
      <c r="AO40" t="str">
        <f>VLOOKUP($M$3&amp;$N$3&amp;DATA_ENERO_2026[[#This Row],[SUPERVISOR]],TablaMeta[],7,0)</f>
        <v>S0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1.0384969325153375</v>
      </c>
      <c r="E41" s="36" t="str">
        <f>IFERROR(VLOOKUP(D1_ENERO_2026[[#This Row],[ASESOR_CRR]],PLANTILLA_ACTUAL[],2,0),"")</f>
        <v>JORGE</v>
      </c>
      <c r="F41" t="s">
        <v>76</v>
      </c>
      <c r="G41" s="3">
        <v>33855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0.8725806451612903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KENNETH</v>
      </c>
      <c r="P41">
        <f>IF(DATA_ENERO_2026[[#This Row],[SUPERVISOR]]="","",VLOOKUP(DATA_ENERO_2026[[#This Row],[ASER_]],$B:$G,6,0))</f>
        <v>24345</v>
      </c>
      <c r="Q41">
        <f>VLOOKUP(DATA_ENERO_2026[[#This Row],[ASER_]],D1_ENERO_2026[[ASESOR_CRR]:[META]],2,0)</f>
        <v>27900</v>
      </c>
      <c r="R41" t="s">
        <v>11</v>
      </c>
      <c r="S41" s="46">
        <v>3300</v>
      </c>
      <c r="T41">
        <v>1500</v>
      </c>
      <c r="U41">
        <v>0</v>
      </c>
      <c r="V41">
        <v>0</v>
      </c>
      <c r="W41">
        <v>675</v>
      </c>
      <c r="X41">
        <v>0</v>
      </c>
      <c r="Y41">
        <v>0</v>
      </c>
      <c r="Z41">
        <v>0</v>
      </c>
      <c r="AA41">
        <v>13500</v>
      </c>
      <c r="AB41">
        <v>2150</v>
      </c>
      <c r="AC41">
        <v>1720</v>
      </c>
      <c r="AD41">
        <v>0</v>
      </c>
      <c r="AE41">
        <v>0</v>
      </c>
      <c r="AF41">
        <v>500</v>
      </c>
      <c r="AG41">
        <v>0</v>
      </c>
      <c r="AH41">
        <v>1000</v>
      </c>
      <c r="AI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0.91920245398773004</v>
      </c>
      <c r="E42" s="36" t="str">
        <f>IFERROR(VLOOKUP(D1_ENERO_2026[[#This Row],[ASESOR_CRR]],PLANTILLA_ACTUAL[],2,0),"")</f>
        <v>JORGE</v>
      </c>
      <c r="F42" t="s">
        <v>68</v>
      </c>
      <c r="G42" s="3">
        <v>29966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0.55114583333333333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&gt;40%</v>
      </c>
      <c r="O42" t="str">
        <f>IFERROR(VLOOKUP(DATA_ENERO_2026[[#This Row],[ASER_]],$B:$G,4,0),"")</f>
        <v>MELINA</v>
      </c>
      <c r="P42">
        <f>IF(DATA_ENERO_2026[[#This Row],[SUPERVISOR]]="","",VLOOKUP(DATA_ENERO_2026[[#This Row],[ASER_]],$B:$G,6,0))</f>
        <v>26455</v>
      </c>
      <c r="Q42">
        <f>VLOOKUP(DATA_ENERO_2026[[#This Row],[ASER_]],D1_ENERO_2026[[ASESOR_CRR]:[META]],2,0)</f>
        <v>48000</v>
      </c>
      <c r="R42" t="s">
        <v>18</v>
      </c>
      <c r="S42" s="46">
        <v>0</v>
      </c>
      <c r="T42">
        <v>0</v>
      </c>
      <c r="U42">
        <v>1700</v>
      </c>
      <c r="V42">
        <v>2000</v>
      </c>
      <c r="W42">
        <v>2500</v>
      </c>
      <c r="X42">
        <v>0</v>
      </c>
      <c r="Y42">
        <v>0</v>
      </c>
      <c r="Z42">
        <v>600</v>
      </c>
      <c r="AA42">
        <v>0</v>
      </c>
      <c r="AB42">
        <v>1000</v>
      </c>
      <c r="AC42">
        <v>6550</v>
      </c>
      <c r="AD42">
        <v>2000</v>
      </c>
      <c r="AE42">
        <v>0</v>
      </c>
      <c r="AF42">
        <v>5350</v>
      </c>
      <c r="AG42">
        <v>3055</v>
      </c>
      <c r="AH42">
        <v>0</v>
      </c>
      <c r="AI42">
        <v>1700</v>
      </c>
      <c r="AO42" t="str">
        <f>VLOOKUP($M$3&amp;$N$3&amp;DATA_ENERO_2026[[#This Row],[SUPERVISOR]],TablaMeta[],7,0)</f>
        <v>S1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0.87166042944785282</v>
      </c>
      <c r="E43" s="36" t="str">
        <f>IFERROR(VLOOKUP(D1_ENERO_2026[[#This Row],[ASESOR_CRR]],PLANTILLA_ACTUAL[],2,0),"")</f>
        <v>JORGE</v>
      </c>
      <c r="F43" t="s">
        <v>42</v>
      </c>
      <c r="G43" s="3">
        <v>28416.13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1.2647291666666667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t="str">
        <f>IFERROR(VLOOKUP(DATA_ENERO_2026[[#This Row],[ASER_]],$B:$G,4,0),"")</f>
        <v>MELINA</v>
      </c>
      <c r="P43">
        <f>IF(DATA_ENERO_2026[[#This Row],[SUPERVISOR]]="","",VLOOKUP(DATA_ENERO_2026[[#This Row],[ASER_]],$B:$G,6,0))</f>
        <v>60707</v>
      </c>
      <c r="Q43">
        <f>VLOOKUP(DATA_ENERO_2026[[#This Row],[ASER_]],D1_ENERO_2026[[ASESOR_CRR]:[META]],2,0)</f>
        <v>48000</v>
      </c>
      <c r="R43" t="s">
        <v>60</v>
      </c>
      <c r="S43">
        <v>4000</v>
      </c>
      <c r="T43">
        <v>600</v>
      </c>
      <c r="U43">
        <v>3400</v>
      </c>
      <c r="V43">
        <v>2500</v>
      </c>
      <c r="W43">
        <v>0</v>
      </c>
      <c r="X43">
        <v>0</v>
      </c>
      <c r="Y43">
        <v>0</v>
      </c>
      <c r="Z43">
        <v>2500</v>
      </c>
      <c r="AA43">
        <v>3800</v>
      </c>
      <c r="AB43">
        <v>0</v>
      </c>
      <c r="AC43">
        <v>26801</v>
      </c>
      <c r="AD43">
        <v>956</v>
      </c>
      <c r="AE43">
        <v>0</v>
      </c>
      <c r="AF43">
        <v>9100</v>
      </c>
      <c r="AG43">
        <v>5300</v>
      </c>
      <c r="AH43">
        <v>0</v>
      </c>
      <c r="AI43">
        <v>1750</v>
      </c>
      <c r="AO43" t="str">
        <f>VLOOKUP($M$3&amp;$N$3&amp;DATA_ENERO_2026[[#This Row],[SUPERVISOR]],TablaMeta[],7,0)</f>
        <v>S1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0.6115644171779141</v>
      </c>
      <c r="E44" s="36" t="str">
        <f>IFERROR(VLOOKUP(D1_ENERO_2026[[#This Row],[ASESOR_CRR]],PLANTILLA_ACTUAL[],2,0),"")</f>
        <v>JORGE</v>
      </c>
      <c r="F44" t="s">
        <v>79</v>
      </c>
      <c r="G44" s="3">
        <v>19937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0.23666666666666666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MELINA</v>
      </c>
      <c r="P44">
        <f>IF(DATA_ENERO_2026[[#This Row],[SUPERVISOR]]="","",VLOOKUP(DATA_ENERO_2026[[#This Row],[ASER_]],$B:$G,6,0))</f>
        <v>11360</v>
      </c>
      <c r="Q44">
        <f>VLOOKUP(DATA_ENERO_2026[[#This Row],[ASER_]],D1_ENERO_2026[[ASESOR_CRR]:[META]],2,0)</f>
        <v>48000</v>
      </c>
      <c r="R44" t="s">
        <v>72</v>
      </c>
      <c r="S44">
        <v>3160</v>
      </c>
      <c r="T44">
        <v>0</v>
      </c>
      <c r="U44">
        <v>2000</v>
      </c>
      <c r="V44">
        <v>0</v>
      </c>
      <c r="W44">
        <v>0</v>
      </c>
      <c r="X44">
        <v>0</v>
      </c>
      <c r="Y44">
        <v>250</v>
      </c>
      <c r="Z44">
        <v>0</v>
      </c>
      <c r="AA44">
        <v>0</v>
      </c>
      <c r="AB44">
        <v>800</v>
      </c>
      <c r="AC44">
        <v>0</v>
      </c>
      <c r="AD44">
        <v>200</v>
      </c>
      <c r="AE44">
        <v>500</v>
      </c>
      <c r="AF44">
        <v>2000</v>
      </c>
      <c r="AG44">
        <v>600</v>
      </c>
      <c r="AH44">
        <v>0</v>
      </c>
      <c r="AI44">
        <v>1850</v>
      </c>
      <c r="AO44" t="str">
        <f>VLOOKUP($M$3&amp;$N$3&amp;DATA_ENERO_2026[[#This Row],[SUPERVISOR]],TablaMeta[],7,0)</f>
        <v>S1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0.59567177914110436</v>
      </c>
      <c r="E45" s="36" t="str">
        <f>IFERROR(VLOOKUP(D1_ENERO_2026[[#This Row],[ASESOR_CRR]],PLANTILLA_ACTUAL[],2,0),"")</f>
        <v>JORGE</v>
      </c>
      <c r="F45" t="s">
        <v>29</v>
      </c>
      <c r="G45" s="3">
        <v>19418.900000000001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0.63322916666666662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t="str">
        <f>IFERROR(VLOOKUP(DATA_ENERO_2026[[#This Row],[ASER_]],$B:$G,4,0),"")</f>
        <v>MELINA</v>
      </c>
      <c r="P45">
        <f>IF(DATA_ENERO_2026[[#This Row],[SUPERVISOR]]="","",VLOOKUP(DATA_ENERO_2026[[#This Row],[ASER_]],$B:$G,6,0))</f>
        <v>30395</v>
      </c>
      <c r="Q45">
        <f>VLOOKUP(DATA_ENERO_2026[[#This Row],[ASER_]],D1_ENERO_2026[[ASESOR_CRR]:[META]],2,0)</f>
        <v>48000</v>
      </c>
      <c r="R45" t="s">
        <v>12</v>
      </c>
      <c r="S45">
        <v>1700</v>
      </c>
      <c r="T45">
        <v>3230</v>
      </c>
      <c r="U45">
        <v>0</v>
      </c>
      <c r="V45">
        <v>6700</v>
      </c>
      <c r="W45">
        <v>2800</v>
      </c>
      <c r="X45">
        <v>750</v>
      </c>
      <c r="Y45">
        <v>0</v>
      </c>
      <c r="Z45">
        <v>6500</v>
      </c>
      <c r="AA45">
        <v>0</v>
      </c>
      <c r="AB45">
        <v>2500</v>
      </c>
      <c r="AC45">
        <v>750</v>
      </c>
      <c r="AD45">
        <v>0</v>
      </c>
      <c r="AE45">
        <v>0</v>
      </c>
      <c r="AF45">
        <v>315</v>
      </c>
      <c r="AG45">
        <v>0</v>
      </c>
      <c r="AH45">
        <v>5000</v>
      </c>
      <c r="AI45">
        <v>150</v>
      </c>
      <c r="AO45" t="str">
        <f>VLOOKUP($M$3&amp;$N$3&amp;DATA_ENERO_2026[[#This Row],[SUPERVISOR]],TablaMeta[],7,0)</f>
        <v>S1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0.40184049079754602</v>
      </c>
      <c r="E46" s="36" t="str">
        <f>IFERROR(VLOOKUP(D1_ENERO_2026[[#This Row],[ASESOR_CRR]],PLANTILLA_ACTUAL[],2,0),"")</f>
        <v>JORGE</v>
      </c>
      <c r="F46" t="s">
        <v>78</v>
      </c>
      <c r="G46" s="3">
        <v>13100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0.40135416666666668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&gt;40%</v>
      </c>
      <c r="O46" t="str">
        <f>IFERROR(VLOOKUP(DATA_ENERO_2026[[#This Row],[ASER_]],$B:$G,4,0),"")</f>
        <v>MELINA</v>
      </c>
      <c r="P46">
        <f>IF(DATA_ENERO_2026[[#This Row],[SUPERVISOR]]="","",VLOOKUP(DATA_ENERO_2026[[#This Row],[ASER_]],$B:$G,6,0))</f>
        <v>19265</v>
      </c>
      <c r="Q46">
        <f>VLOOKUP(DATA_ENERO_2026[[#This Row],[ASER_]],D1_ENERO_2026[[ASESOR_CRR]:[META]],2,0)</f>
        <v>48000</v>
      </c>
      <c r="R46" t="s">
        <v>122</v>
      </c>
      <c r="S46">
        <v>1030</v>
      </c>
      <c r="T46">
        <v>10000</v>
      </c>
      <c r="U46">
        <v>500</v>
      </c>
      <c r="V46">
        <v>0</v>
      </c>
      <c r="W46">
        <v>0</v>
      </c>
      <c r="X46">
        <v>5300</v>
      </c>
      <c r="Y46">
        <v>0</v>
      </c>
      <c r="Z46">
        <v>0</v>
      </c>
      <c r="AA46">
        <v>0</v>
      </c>
      <c r="AB46">
        <v>1900</v>
      </c>
      <c r="AC46">
        <v>0</v>
      </c>
      <c r="AD46">
        <v>0</v>
      </c>
      <c r="AE46">
        <v>535</v>
      </c>
      <c r="AF46">
        <v>0</v>
      </c>
      <c r="AG46">
        <v>0</v>
      </c>
      <c r="AH46">
        <v>0</v>
      </c>
      <c r="AI46">
        <v>0</v>
      </c>
      <c r="AO46" t="str">
        <f>VLOOKUP($M$3&amp;$N$3&amp;DATA_ENERO_2026[[#This Row],[SUPERVISOR]],TablaMeta[],7,0)</f>
        <v>S1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1.0761875000000001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MELINA</v>
      </c>
      <c r="P47">
        <f>IF(DATA_ENERO_2026[[#This Row],[SUPERVISOR]]="","",VLOOKUP(DATA_ENERO_2026[[#This Row],[ASER_]],$B:$G,6,0))</f>
        <v>51657</v>
      </c>
      <c r="Q47">
        <f>VLOOKUP(DATA_ENERO_2026[[#This Row],[ASER_]],D1_ENERO_2026[[ASESOR_CRR]:[META]],2,0)</f>
        <v>48000</v>
      </c>
      <c r="R47" t="s">
        <v>75</v>
      </c>
      <c r="S47">
        <v>0</v>
      </c>
      <c r="T47">
        <v>3500</v>
      </c>
      <c r="U47" s="46">
        <v>0</v>
      </c>
      <c r="V47">
        <v>0</v>
      </c>
      <c r="W47">
        <v>0</v>
      </c>
      <c r="X47">
        <v>10000</v>
      </c>
      <c r="Y47">
        <v>800</v>
      </c>
      <c r="Z47">
        <v>0</v>
      </c>
      <c r="AA47">
        <v>2000</v>
      </c>
      <c r="AB47">
        <v>3500</v>
      </c>
      <c r="AC47">
        <v>5600</v>
      </c>
      <c r="AD47">
        <v>5500</v>
      </c>
      <c r="AE47">
        <v>0</v>
      </c>
      <c r="AF47">
        <v>5520</v>
      </c>
      <c r="AG47">
        <v>1500</v>
      </c>
      <c r="AH47">
        <v>9137</v>
      </c>
      <c r="AI47">
        <v>4600</v>
      </c>
      <c r="AO47" t="str">
        <f>VLOOKUP($M$3&amp;$N$3&amp;DATA_ENERO_2026[[#This Row],[SUPERVISOR]],TablaMeta[],7,0)</f>
        <v>S1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1.7793749999999999</v>
      </c>
      <c r="E48" s="36" t="str">
        <f>IFERROR(VLOOKUP(D1_ENERO_2026[[#This Row],[ASESOR_CRR]],PLANTILLA_ACTUAL[],2,0),"")</f>
        <v>SANDY</v>
      </c>
      <c r="F48" t="s">
        <v>32</v>
      </c>
      <c r="G48" s="3">
        <v>85410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0.38456249999999997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&gt;0%</v>
      </c>
      <c r="O48" t="str">
        <f>IFERROR(VLOOKUP(DATA_ENERO_2026[[#This Row],[ASER_]],$B:$G,4,0),"")</f>
        <v>MELINA</v>
      </c>
      <c r="P48">
        <f>IF(DATA_ENERO_2026[[#This Row],[SUPERVISOR]]="","",VLOOKUP(DATA_ENERO_2026[[#This Row],[ASER_]],$B:$G,6,0))</f>
        <v>18459</v>
      </c>
      <c r="Q48">
        <f>VLOOKUP(DATA_ENERO_2026[[#This Row],[ASER_]],D1_ENERO_2026[[ASESOR_CRR]:[META]],2,0)</f>
        <v>48000</v>
      </c>
      <c r="R48" t="s">
        <v>208</v>
      </c>
      <c r="S48">
        <v>0</v>
      </c>
      <c r="T48">
        <v>750</v>
      </c>
      <c r="U48">
        <v>0</v>
      </c>
      <c r="V48">
        <v>0</v>
      </c>
      <c r="W48">
        <v>0</v>
      </c>
      <c r="X48">
        <v>4400</v>
      </c>
      <c r="Y48">
        <v>0</v>
      </c>
      <c r="Z48">
        <v>300</v>
      </c>
      <c r="AA48">
        <v>0</v>
      </c>
      <c r="AB48">
        <v>5000</v>
      </c>
      <c r="AC48">
        <v>700</v>
      </c>
      <c r="AD48">
        <v>1090</v>
      </c>
      <c r="AE48">
        <v>219</v>
      </c>
      <c r="AF48">
        <v>2000</v>
      </c>
      <c r="AG48">
        <v>4000</v>
      </c>
      <c r="AH48">
        <v>0</v>
      </c>
      <c r="AI48">
        <v>0</v>
      </c>
      <c r="AO48" t="str">
        <f>VLOOKUP($M$3&amp;$N$3&amp;DATA_ENERO_2026[[#This Row],[SUPERVISOR]],TablaMeta[],7,0)</f>
        <v>S1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1.1112500000000001</v>
      </c>
      <c r="E49" s="36" t="str">
        <f>IFERROR(VLOOKUP(D1_ENERO_2026[[#This Row],[ASESOR_CRR]],PLANTILLA_ACTUAL[],2,0),"")</f>
        <v>SANDY</v>
      </c>
      <c r="F49" t="s">
        <v>96</v>
      </c>
      <c r="G49" s="3">
        <v>53340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1.5184583333333332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&gt;100%</v>
      </c>
      <c r="O49" t="str">
        <f>IFERROR(VLOOKUP(DATA_ENERO_2026[[#This Row],[ASER_]],$B:$G,4,0),"")</f>
        <v>MELINA</v>
      </c>
      <c r="P49">
        <f>IF(DATA_ENERO_2026[[#This Row],[SUPERVISOR]]="","",VLOOKUP(DATA_ENERO_2026[[#This Row],[ASER_]],$B:$G,6,0))</f>
        <v>72886</v>
      </c>
      <c r="Q49">
        <f>VLOOKUP(DATA_ENERO_2026[[#This Row],[ASER_]],D1_ENERO_2026[[ASESOR_CRR]:[META]],2,0)</f>
        <v>48000</v>
      </c>
      <c r="R49" t="s">
        <v>59</v>
      </c>
      <c r="S49">
        <v>10000</v>
      </c>
      <c r="T49">
        <v>2700</v>
      </c>
      <c r="U49">
        <v>1650</v>
      </c>
      <c r="V49">
        <v>0</v>
      </c>
      <c r="W49">
        <v>0</v>
      </c>
      <c r="X49">
        <v>10596</v>
      </c>
      <c r="Y49">
        <v>1000</v>
      </c>
      <c r="Z49">
        <v>0</v>
      </c>
      <c r="AA49">
        <v>0</v>
      </c>
      <c r="AB49">
        <v>5200</v>
      </c>
      <c r="AC49">
        <v>2500</v>
      </c>
      <c r="AD49">
        <v>0</v>
      </c>
      <c r="AE49">
        <v>11400</v>
      </c>
      <c r="AF49">
        <v>0</v>
      </c>
      <c r="AG49">
        <v>4000</v>
      </c>
      <c r="AH49">
        <v>11500</v>
      </c>
      <c r="AI49">
        <v>12340</v>
      </c>
      <c r="AO49" t="str">
        <f>VLOOKUP($M$3&amp;$N$3&amp;DATA_ENERO_2026[[#This Row],[SUPERVISOR]],TablaMeta[],7,0)</f>
        <v>S1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1.1008541666666667</v>
      </c>
      <c r="E50" s="36" t="str">
        <f>IFERROR(VLOOKUP(D1_ENERO_2026[[#This Row],[ASESOR_CRR]],PLANTILLA_ACTUAL[],2,0),"")</f>
        <v>SANDY</v>
      </c>
      <c r="F50" t="s">
        <v>23</v>
      </c>
      <c r="G50" s="3">
        <v>52841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0.82914583333333336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t="str">
        <f>IFERROR(VLOOKUP(DATA_ENERO_2026[[#This Row],[ASER_]],$B:$G,4,0),"")</f>
        <v>MELINA</v>
      </c>
      <c r="P50">
        <f>IF(DATA_ENERO_2026[[#This Row],[SUPERVISOR]]="","",VLOOKUP(DATA_ENERO_2026[[#This Row],[ASER_]],$B:$G,6,0))</f>
        <v>39799</v>
      </c>
      <c r="Q50">
        <f>VLOOKUP(DATA_ENERO_2026[[#This Row],[ASER_]],D1_ENERO_2026[[ASESOR_CRR]:[META]],2,0)</f>
        <v>48000</v>
      </c>
      <c r="R50" t="s">
        <v>10</v>
      </c>
      <c r="S50">
        <v>700</v>
      </c>
      <c r="T50">
        <v>8751</v>
      </c>
      <c r="U50">
        <v>0</v>
      </c>
      <c r="V50">
        <v>7000</v>
      </c>
      <c r="W50">
        <v>0</v>
      </c>
      <c r="X50">
        <v>1300</v>
      </c>
      <c r="Y50">
        <v>16100</v>
      </c>
      <c r="Z50">
        <v>0</v>
      </c>
      <c r="AA50">
        <v>0</v>
      </c>
      <c r="AB50">
        <v>2000</v>
      </c>
      <c r="AC50">
        <v>360</v>
      </c>
      <c r="AD50">
        <v>0</v>
      </c>
      <c r="AE50">
        <v>0</v>
      </c>
      <c r="AF50">
        <v>700</v>
      </c>
      <c r="AG50">
        <v>2200</v>
      </c>
      <c r="AH50">
        <v>688</v>
      </c>
      <c r="AI50">
        <v>0</v>
      </c>
      <c r="AO50" t="str">
        <f>VLOOKUP($M$3&amp;$N$3&amp;DATA_ENERO_2026[[#This Row],[SUPERVISOR]],TablaMeta[],7,0)</f>
        <v>S1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0.74589583333333331</v>
      </c>
      <c r="E51" s="36" t="str">
        <f>IFERROR(VLOOKUP(D1_ENERO_2026[[#This Row],[ASESOR_CRR]],PLANTILLA_ACTUAL[],2,0),"")</f>
        <v>SANDY</v>
      </c>
      <c r="F51" t="s">
        <v>31</v>
      </c>
      <c r="G51" s="3">
        <v>35803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0.74589583333333331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&gt;70%</v>
      </c>
      <c r="O51" t="str">
        <f>IFERROR(VLOOKUP(DATA_ENERO_2026[[#This Row],[ASER_]],$B:$G,4,0),"")</f>
        <v>SANDY</v>
      </c>
      <c r="P51">
        <f>IF(DATA_ENERO_2026[[#This Row],[SUPERVISOR]]="","",VLOOKUP(DATA_ENERO_2026[[#This Row],[ASER_]],$B:$G,6,0))</f>
        <v>35803</v>
      </c>
      <c r="Q51">
        <f>VLOOKUP(DATA_ENERO_2026[[#This Row],[ASER_]],D1_ENERO_2026[[ASESOR_CRR]:[META]],2,0)</f>
        <v>48000</v>
      </c>
      <c r="R51" t="s">
        <v>31</v>
      </c>
      <c r="S51">
        <v>2000</v>
      </c>
      <c r="T51">
        <v>6300</v>
      </c>
      <c r="U51">
        <v>0</v>
      </c>
      <c r="V51">
        <v>0</v>
      </c>
      <c r="W51">
        <v>0</v>
      </c>
      <c r="X51">
        <v>11500</v>
      </c>
      <c r="Y51">
        <v>0</v>
      </c>
      <c r="Z51">
        <v>1500</v>
      </c>
      <c r="AA51">
        <v>2220</v>
      </c>
      <c r="AB51">
        <v>3000</v>
      </c>
      <c r="AC51">
        <v>0</v>
      </c>
      <c r="AD51">
        <v>0</v>
      </c>
      <c r="AE51">
        <v>0</v>
      </c>
      <c r="AF51">
        <v>0</v>
      </c>
      <c r="AG51">
        <v>7225</v>
      </c>
      <c r="AH51">
        <v>1558</v>
      </c>
      <c r="AI51">
        <v>2000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0.74479166666666663</v>
      </c>
      <c r="E52" s="36" t="str">
        <f>IFERROR(VLOOKUP(D1_ENERO_2026[[#This Row],[ASESOR_CRR]],PLANTILLA_ACTUAL[],2,0),"")</f>
        <v>SANDY</v>
      </c>
      <c r="F52" t="s">
        <v>13</v>
      </c>
      <c r="G52" s="3">
        <v>35750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1.1008541666666667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SANDY</v>
      </c>
      <c r="P52">
        <f>IF(DATA_ENERO_2026[[#This Row],[SUPERVISOR]]="","",VLOOKUP(DATA_ENERO_2026[[#This Row],[ASER_]],$B:$G,6,0))</f>
        <v>52841</v>
      </c>
      <c r="Q52">
        <f>VLOOKUP(DATA_ENERO_2026[[#This Row],[ASER_]],D1_ENERO_2026[[ASESOR_CRR]:[META]],2,0)</f>
        <v>48000</v>
      </c>
      <c r="R52" t="s">
        <v>23</v>
      </c>
      <c r="S52">
        <v>1700</v>
      </c>
      <c r="T52">
        <v>3578</v>
      </c>
      <c r="U52">
        <v>830</v>
      </c>
      <c r="V52">
        <v>2200</v>
      </c>
      <c r="W52">
        <v>0</v>
      </c>
      <c r="X52">
        <v>580</v>
      </c>
      <c r="Y52">
        <v>10850</v>
      </c>
      <c r="Z52">
        <v>1000</v>
      </c>
      <c r="AA52">
        <v>0</v>
      </c>
      <c r="AB52">
        <v>700</v>
      </c>
      <c r="AC52">
        <v>8374</v>
      </c>
      <c r="AD52">
        <v>1323</v>
      </c>
      <c r="AE52">
        <v>1200</v>
      </c>
      <c r="AF52">
        <v>2925</v>
      </c>
      <c r="AG52">
        <v>5031</v>
      </c>
      <c r="AH52">
        <v>9550</v>
      </c>
      <c r="AI52">
        <v>3300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0.63547916666666671</v>
      </c>
      <c r="E53" s="36" t="str">
        <f>IFERROR(VLOOKUP(D1_ENERO_2026[[#This Row],[ASESOR_CRR]],PLANTILLA_ACTUAL[],2,0),"")</f>
        <v>SANDY</v>
      </c>
      <c r="F53" t="s">
        <v>17</v>
      </c>
      <c r="G53" s="3">
        <v>30503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1.7793749999999999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&gt;100%</v>
      </c>
      <c r="O53" s="58" t="str">
        <f>IFERROR(VLOOKUP(DATA_ENERO_2026[[#This Row],[ASER_]],$B:$G,4,0),"")</f>
        <v>SANDY</v>
      </c>
      <c r="P53">
        <f>IF(DATA_ENERO_2026[[#This Row],[SUPERVISOR]]="","",VLOOKUP(DATA_ENERO_2026[[#This Row],[ASER_]],$B:$G,6,0))</f>
        <v>85410</v>
      </c>
      <c r="Q53">
        <f>VLOOKUP(DATA_ENERO_2026[[#This Row],[ASER_]],D1_ENERO_2026[[ASESOR_CRR]:[META]],2,0)</f>
        <v>48000</v>
      </c>
      <c r="R53" t="s">
        <v>32</v>
      </c>
      <c r="S53">
        <v>877</v>
      </c>
      <c r="T53">
        <v>600</v>
      </c>
      <c r="U53">
        <v>3233</v>
      </c>
      <c r="V53">
        <v>1800</v>
      </c>
      <c r="W53">
        <v>0</v>
      </c>
      <c r="X53">
        <v>7000</v>
      </c>
      <c r="Y53">
        <v>0</v>
      </c>
      <c r="Z53">
        <v>8350</v>
      </c>
      <c r="AA53">
        <v>0</v>
      </c>
      <c r="AB53">
        <v>710</v>
      </c>
      <c r="AC53">
        <v>30500</v>
      </c>
      <c r="AD53">
        <v>3400</v>
      </c>
      <c r="AE53">
        <v>150</v>
      </c>
      <c r="AF53">
        <v>2525</v>
      </c>
      <c r="AG53">
        <v>600</v>
      </c>
      <c r="AH53">
        <v>25065</v>
      </c>
      <c r="AI53">
        <v>600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0.53781250000000003</v>
      </c>
      <c r="E54" s="36" t="str">
        <f>IFERROR(VLOOKUP(D1_ENERO_2026[[#This Row],[ASESOR_CRR]],PLANTILLA_ACTUAL[],2,0),"")</f>
        <v>SANDY</v>
      </c>
      <c r="F54" t="s">
        <v>24</v>
      </c>
      <c r="G54" s="3">
        <v>25815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0.48979166666666668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SANDY</v>
      </c>
      <c r="P54">
        <f>IF(DATA_ENERO_2026[[#This Row],[SUPERVISOR]]="","",VLOOKUP(DATA_ENERO_2026[[#This Row],[ASER_]],$B:$G,6,0))</f>
        <v>23510</v>
      </c>
      <c r="Q54">
        <f>VLOOKUP(DATA_ENERO_2026[[#This Row],[ASER_]],D1_ENERO_2026[[ASESOR_CRR]:[META]],2,0)</f>
        <v>48000</v>
      </c>
      <c r="R54" t="s">
        <v>65</v>
      </c>
      <c r="S54">
        <v>700</v>
      </c>
      <c r="T54">
        <v>281</v>
      </c>
      <c r="U54">
        <v>0</v>
      </c>
      <c r="V54">
        <v>0</v>
      </c>
      <c r="W54">
        <v>0</v>
      </c>
      <c r="X54">
        <v>2300</v>
      </c>
      <c r="Y54">
        <v>1000</v>
      </c>
      <c r="Z54">
        <v>1000</v>
      </c>
      <c r="AA54">
        <v>4700</v>
      </c>
      <c r="AB54">
        <v>3000</v>
      </c>
      <c r="AC54">
        <v>0</v>
      </c>
      <c r="AD54">
        <v>0</v>
      </c>
      <c r="AE54">
        <v>2700</v>
      </c>
      <c r="AF54">
        <v>5500</v>
      </c>
      <c r="AG54">
        <v>2000</v>
      </c>
      <c r="AH54">
        <v>0</v>
      </c>
      <c r="AI54">
        <v>329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0.48979166666666668</v>
      </c>
      <c r="E55" s="36" t="str">
        <f>IFERROR(VLOOKUP(D1_ENERO_2026[[#This Row],[ASESOR_CRR]],PLANTILLA_ACTUAL[],2,0),"")</f>
        <v>SANDY</v>
      </c>
      <c r="F55" t="s">
        <v>65</v>
      </c>
      <c r="G55" s="3">
        <v>23510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0.63547916666666671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SANDY</v>
      </c>
      <c r="P55">
        <f>IF(DATA_ENERO_2026[[#This Row],[SUPERVISOR]]="","",VLOOKUP(DATA_ENERO_2026[[#This Row],[ASER_]],$B:$G,6,0))</f>
        <v>30503</v>
      </c>
      <c r="Q55">
        <f>VLOOKUP(DATA_ENERO_2026[[#This Row],[ASER_]],D1_ENERO_2026[[ASESOR_CRR]:[META]],2,0)</f>
        <v>48000</v>
      </c>
      <c r="R55" t="s">
        <v>17</v>
      </c>
      <c r="S55">
        <v>636</v>
      </c>
      <c r="T55">
        <v>0</v>
      </c>
      <c r="U55">
        <v>4000</v>
      </c>
      <c r="V55">
        <v>4200</v>
      </c>
      <c r="W55">
        <v>0</v>
      </c>
      <c r="X55">
        <v>0</v>
      </c>
      <c r="Y55">
        <v>461</v>
      </c>
      <c r="Z55">
        <v>13000</v>
      </c>
      <c r="AA55">
        <v>0</v>
      </c>
      <c r="AB55">
        <v>0</v>
      </c>
      <c r="AC55">
        <v>0</v>
      </c>
      <c r="AD55">
        <v>656</v>
      </c>
      <c r="AE55">
        <v>5450</v>
      </c>
      <c r="AF55">
        <v>0</v>
      </c>
      <c r="AG55">
        <v>0</v>
      </c>
      <c r="AH55">
        <v>320</v>
      </c>
      <c r="AI55">
        <v>1780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0.29083333333333333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&gt;0%</v>
      </c>
      <c r="O56" s="58" t="str">
        <f>IFERROR(VLOOKUP(DATA_ENERO_2026[[#This Row],[ASER_]],$B:$G,4,0),"")</f>
        <v>SANDY</v>
      </c>
      <c r="P56">
        <f>IF(DATA_ENERO_2026[[#This Row],[SUPERVISOR]]="","",VLOOKUP(DATA_ENERO_2026[[#This Row],[ASER_]],$B:$G,6,0))</f>
        <v>13960</v>
      </c>
      <c r="Q56">
        <f>VLOOKUP(DATA_ENERO_2026[[#This Row],[ASER_]],D1_ENERO_2026[[ASESOR_CRR]:[META]],2,0)</f>
        <v>48000</v>
      </c>
      <c r="R56" t="s">
        <v>33</v>
      </c>
      <c r="S56">
        <v>335</v>
      </c>
      <c r="T56">
        <v>0</v>
      </c>
      <c r="U56">
        <v>7300</v>
      </c>
      <c r="V56">
        <v>0</v>
      </c>
      <c r="W56">
        <v>300</v>
      </c>
      <c r="X56">
        <v>225</v>
      </c>
      <c r="Y56">
        <v>0</v>
      </c>
      <c r="Z56">
        <v>0</v>
      </c>
      <c r="AA56">
        <v>2000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3800</v>
      </c>
      <c r="AH56">
        <v>0</v>
      </c>
      <c r="AI56">
        <v>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0.74479166666666663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&gt;70%</v>
      </c>
      <c r="O57" s="5" t="str">
        <f>IFERROR(VLOOKUP(DATA_ENERO_2026[[#This Row],[ASER_]],$B:$G,4,0),"")</f>
        <v>SANDY</v>
      </c>
      <c r="P57">
        <f>IF(DATA_ENERO_2026[[#This Row],[SUPERVISOR]]="","",VLOOKUP(DATA_ENERO_2026[[#This Row],[ASER_]],$B:$G,6,0))</f>
        <v>35750</v>
      </c>
      <c r="Q57">
        <f>VLOOKUP(DATA_ENERO_2026[[#This Row],[ASER_]],D1_ENERO_2026[[ASESOR_CRR]:[META]],2,0)</f>
        <v>48000</v>
      </c>
      <c r="R57" t="s">
        <v>13</v>
      </c>
      <c r="S57">
        <v>0</v>
      </c>
      <c r="T57">
        <v>700</v>
      </c>
      <c r="U57">
        <v>2000</v>
      </c>
      <c r="V57">
        <v>3000</v>
      </c>
      <c r="W57">
        <v>0</v>
      </c>
      <c r="X57">
        <v>2500</v>
      </c>
      <c r="Y57">
        <v>0</v>
      </c>
      <c r="Z57">
        <v>5000</v>
      </c>
      <c r="AA57">
        <v>700</v>
      </c>
      <c r="AB57">
        <v>2500</v>
      </c>
      <c r="AC57">
        <v>1000</v>
      </c>
      <c r="AD57">
        <v>2500</v>
      </c>
      <c r="AE57">
        <v>0</v>
      </c>
      <c r="AF57">
        <v>7000</v>
      </c>
      <c r="AG57">
        <v>5000</v>
      </c>
      <c r="AH57">
        <v>0</v>
      </c>
      <c r="AI57">
        <v>3500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1.1112500000000001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&gt;100%</v>
      </c>
      <c r="O58" s="5" t="str">
        <f>IFERROR(VLOOKUP(DATA_ENERO_2026[[#This Row],[ASER_]],$B:$G,4,0),"")</f>
        <v>SANDY</v>
      </c>
      <c r="P58">
        <f>IF(DATA_ENERO_2026[[#This Row],[SUPERVISOR]]="","",VLOOKUP(DATA_ENERO_2026[[#This Row],[ASER_]],$B:$G,6,0))</f>
        <v>53340</v>
      </c>
      <c r="Q58">
        <f>VLOOKUP(DATA_ENERO_2026[[#This Row],[ASER_]],D1_ENERO_2026[[ASESOR_CRR]:[META]],2,0)</f>
        <v>48000</v>
      </c>
      <c r="R58" t="s">
        <v>96</v>
      </c>
      <c r="S58">
        <v>0</v>
      </c>
      <c r="T58">
        <v>0</v>
      </c>
      <c r="U58">
        <v>0</v>
      </c>
      <c r="V58">
        <v>0</v>
      </c>
      <c r="W58">
        <v>2100</v>
      </c>
      <c r="X58">
        <v>23800</v>
      </c>
      <c r="Y58">
        <v>1200</v>
      </c>
      <c r="Z58">
        <v>6820</v>
      </c>
      <c r="AA58">
        <v>0</v>
      </c>
      <c r="AB58">
        <v>10890</v>
      </c>
      <c r="AC58">
        <v>0</v>
      </c>
      <c r="AD58">
        <v>0</v>
      </c>
      <c r="AE58">
        <v>0</v>
      </c>
      <c r="AF58">
        <v>7000</v>
      </c>
      <c r="AG58">
        <v>750</v>
      </c>
      <c r="AH58">
        <v>0</v>
      </c>
      <c r="AI58">
        <v>750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0.53781250000000003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" t="str">
        <f>IFERROR(VLOOKUP(DATA_ENERO_2026[[#This Row],[ASER_]],$B:$G,4,0),"")</f>
        <v>SANDY</v>
      </c>
      <c r="P59">
        <f>IF(DATA_ENERO_2026[[#This Row],[SUPERVISOR]]="","",VLOOKUP(DATA_ENERO_2026[[#This Row],[ASER_]],$B:$G,6,0))</f>
        <v>25815</v>
      </c>
      <c r="Q59">
        <f>VLOOKUP(DATA_ENERO_2026[[#This Row],[ASER_]],D1_ENERO_2026[[ASESOR_CRR]:[META]],2,0)</f>
        <v>48000</v>
      </c>
      <c r="R59" t="s">
        <v>24</v>
      </c>
      <c r="S59">
        <v>0</v>
      </c>
      <c r="T59">
        <v>2850</v>
      </c>
      <c r="U59">
        <v>0</v>
      </c>
      <c r="V59">
        <v>3300</v>
      </c>
      <c r="W59">
        <v>200</v>
      </c>
      <c r="X59">
        <v>100</v>
      </c>
      <c r="Y59">
        <v>0</v>
      </c>
      <c r="Z59">
        <v>7435</v>
      </c>
      <c r="AA59">
        <v>3000</v>
      </c>
      <c r="AB59">
        <v>5900</v>
      </c>
      <c r="AC59">
        <v>250</v>
      </c>
      <c r="AD59">
        <v>0</v>
      </c>
      <c r="AE59">
        <v>600</v>
      </c>
      <c r="AF59">
        <v>500</v>
      </c>
      <c r="AG59">
        <v>0</v>
      </c>
      <c r="AH59">
        <v>0</v>
      </c>
      <c r="AI59">
        <v>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56" workbookViewId="0">
      <selection activeCell="A68" sqref="A2:A105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C44" sqref="C44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46038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90" zoomScale="85" zoomScaleNormal="85" workbookViewId="0">
      <selection activeCell="A91" sqref="A9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7588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21335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14436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13100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26455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60707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35803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23510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30503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38453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42811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20773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28416.13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19418.900000000001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24345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72886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30395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39799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35750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53340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85410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2026-01-27T19:46:25Z</dcterms:modified>
</cp:coreProperties>
</file>