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8718F2C-38D9-4109-B3EF-F1BCADAB1C93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/>
  <c r="K59" i="17" s="1" a="1"/>
  <c r="K59" i="17" s="1"/>
  <c r="H59" i="17" a="1"/>
  <c r="H59" i="17" s="1"/>
  <c r="I59" i="17" a="1"/>
  <c r="I59" i="17" s="1"/>
  <c r="J59" i="17" a="1"/>
  <c r="J59" i="17" s="1"/>
  <c r="B58" i="17" a="1"/>
  <c r="B58" i="17" s="1"/>
  <c r="K58" i="17" s="1" a="1"/>
  <c r="K58" i="17" s="1"/>
  <c r="B57" i="17" a="1"/>
  <c r="B57" i="17" s="1"/>
  <c r="A59" i="17" l="1" a="1"/>
  <c r="A59" i="17" s="1"/>
  <c r="C59" i="17" s="1" a="1"/>
  <c r="C59" i="17" s="1"/>
  <c r="D59" i="17" s="1"/>
  <c r="A58" i="17" a="1"/>
  <c r="A58" i="17" s="1"/>
  <c r="C58" i="17" s="1" a="1"/>
  <c r="C58" i="17" s="1"/>
  <c r="D58" i="17" s="1"/>
  <c r="J58" i="17" a="1"/>
  <c r="J58" i="17" s="1"/>
  <c r="I58" i="17" a="1"/>
  <c r="I58" i="17" s="1"/>
  <c r="H58" i="17" a="1"/>
  <c r="H58" i="17" s="1"/>
  <c r="K57" i="17" a="1"/>
  <c r="K57" i="17" s="1"/>
  <c r="A57" i="17" a="1"/>
  <c r="A57" i="17" s="1"/>
  <c r="H57" i="17" a="1"/>
  <c r="H57" i="17" s="1"/>
  <c r="I57" i="17" a="1"/>
  <c r="I57" i="17" s="1"/>
  <c r="J57" i="17" a="1"/>
  <c r="J57" i="17" s="1"/>
  <c r="E59" i="17" l="1"/>
  <c r="E58" i="17"/>
  <c r="C57" i="17" a="1"/>
  <c r="C57" i="17" s="1"/>
  <c r="D57" i="17" s="1"/>
  <c r="E57" i="17"/>
  <c r="B56" i="17" l="1" a="1"/>
  <c r="B56" i="17" s="1"/>
  <c r="A56" i="17" l="1" a="1"/>
  <c r="A56" i="17" s="1"/>
  <c r="E56" i="17" s="1"/>
  <c r="H56" i="17" a="1"/>
  <c r="H56" i="17" s="1"/>
  <c r="I56" i="17" a="1"/>
  <c r="I56" i="17" s="1"/>
  <c r="J56" i="17" a="1"/>
  <c r="J56" i="17" s="1"/>
  <c r="K56" i="17" a="1"/>
  <c r="K56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K49" i="17" a="1"/>
  <c r="K49" i="17" s="1"/>
  <c r="J49" i="17" a="1"/>
  <c r="J49" i="17" s="1"/>
  <c r="H49" i="17" a="1"/>
  <c r="H49" i="17" s="1"/>
  <c r="I49" i="17" a="1"/>
  <c r="I49" i="17" s="1"/>
  <c r="K48" i="17" a="1"/>
  <c r="K48" i="17" s="1"/>
  <c r="H48" i="17" a="1"/>
  <c r="H48" i="17" s="1"/>
  <c r="I48" i="17" a="1"/>
  <c r="I48" i="17" s="1"/>
  <c r="J48" i="17" a="1"/>
  <c r="J48" i="17" s="1"/>
  <c r="I45" i="17" a="1"/>
  <c r="I45" i="17" s="1"/>
  <c r="H45" i="17" a="1"/>
  <c r="H45" i="17" s="1"/>
  <c r="J45" i="17" a="1"/>
  <c r="J45" i="17" s="1"/>
  <c r="K45" i="17" a="1"/>
  <c r="K45" i="17" s="1"/>
  <c r="J44" i="17" a="1"/>
  <c r="J44" i="17" s="1"/>
  <c r="I44" i="17" a="1"/>
  <c r="I44" i="17" s="1"/>
  <c r="K44" i="17" a="1"/>
  <c r="K44" i="17" s="1"/>
  <c r="H44" i="17" a="1"/>
  <c r="H44" i="17" s="1"/>
  <c r="K43" i="17" a="1"/>
  <c r="K43" i="17" s="1"/>
  <c r="J43" i="17" a="1"/>
  <c r="J43" i="17" s="1"/>
  <c r="H43" i="17" a="1"/>
  <c r="H43" i="17" s="1"/>
  <c r="I43" i="17" a="1"/>
  <c r="I43" i="17" s="1"/>
  <c r="K42" i="17" a="1"/>
  <c r="K42" i="17" s="1"/>
  <c r="H42" i="17" a="1"/>
  <c r="H42" i="17" s="1"/>
  <c r="I42" i="17" a="1"/>
  <c r="I42" i="17" s="1"/>
  <c r="J42" i="17" a="1"/>
  <c r="J42" i="17" s="1"/>
  <c r="H41" i="17" a="1"/>
  <c r="H41" i="17" s="1"/>
  <c r="I41" i="17" a="1"/>
  <c r="I41" i="17" s="1"/>
  <c r="J41" i="17" a="1"/>
  <c r="J41" i="17" s="1"/>
  <c r="K41" i="17" a="1"/>
  <c r="K41" i="17" s="1"/>
  <c r="H40" i="17" a="1"/>
  <c r="H40" i="17" s="1"/>
  <c r="I40" i="17" a="1"/>
  <c r="I40" i="17" s="1"/>
  <c r="J40" i="17" a="1"/>
  <c r="J40" i="17" s="1"/>
  <c r="K40" i="17" a="1"/>
  <c r="K40" i="17" s="1"/>
  <c r="P40" i="17"/>
  <c r="P46" i="17"/>
  <c r="P45" i="17"/>
  <c r="P41" i="17"/>
  <c r="P47" i="17"/>
  <c r="P42" i="17"/>
  <c r="P48" i="17"/>
  <c r="P43" i="17"/>
  <c r="P49" i="17"/>
  <c r="P44" i="17"/>
  <c r="H47" i="17" a="1"/>
  <c r="H47" i="17" s="1"/>
  <c r="I47" i="17" a="1"/>
  <c r="I47" i="17" s="1"/>
  <c r="J47" i="17" a="1"/>
  <c r="J47" i="17" s="1"/>
  <c r="K47" i="17" a="1"/>
  <c r="K47" i="17" s="1"/>
  <c r="H46" i="17" a="1"/>
  <c r="H46" i="17" s="1"/>
  <c r="I46" i="17" a="1"/>
  <c r="I46" i="17" s="1"/>
  <c r="J46" i="17" a="1"/>
  <c r="J46" i="17" s="1"/>
  <c r="K46" i="17" a="1"/>
  <c r="K46" i="17" s="1"/>
  <c r="P60" i="17"/>
  <c r="P59" i="17"/>
  <c r="C56" i="17" a="1"/>
  <c r="C56" i="17" s="1"/>
  <c r="D56" i="17" s="1"/>
  <c r="P58" i="17"/>
  <c r="P57" i="17"/>
  <c r="A55" i="17" a="1"/>
  <c r="A55" i="17" s="1"/>
  <c r="J55" i="17" a="1"/>
  <c r="J55" i="17" s="1"/>
  <c r="H55" i="17" a="1"/>
  <c r="H55" i="17" s="1"/>
  <c r="I55" i="17" a="1"/>
  <c r="I55" i="17" s="1"/>
  <c r="K55" i="17" a="1"/>
  <c r="K55" i="17" s="1"/>
  <c r="H54" i="17" a="1"/>
  <c r="H54" i="17" s="1"/>
  <c r="P56" i="17"/>
  <c r="K54" i="17" a="1"/>
  <c r="K54" i="17" s="1"/>
  <c r="J54" i="17" a="1"/>
  <c r="J54" i="17" s="1"/>
  <c r="A54" i="17" a="1"/>
  <c r="A54" i="17" s="1"/>
  <c r="I54" i="17" a="1"/>
  <c r="I54" i="17" s="1"/>
  <c r="A53" i="17" a="1"/>
  <c r="A53" i="17" s="1"/>
  <c r="E53" i="17" s="1"/>
  <c r="H53" i="17" a="1"/>
  <c r="H53" i="17" s="1"/>
  <c r="I53" i="17" a="1"/>
  <c r="I53" i="17" s="1"/>
  <c r="K53" i="17" a="1"/>
  <c r="K53" i="17" s="1"/>
  <c r="J53" i="17" a="1"/>
  <c r="J53" i="17" s="1"/>
  <c r="P55" i="17"/>
  <c r="A52" i="17" a="1"/>
  <c r="A52" i="17" s="1"/>
  <c r="J52" i="17" a="1"/>
  <c r="J52" i="17" s="1"/>
  <c r="H52" i="17" a="1"/>
  <c r="H52" i="17" s="1"/>
  <c r="I52" i="17" a="1"/>
  <c r="I52" i="17" s="1"/>
  <c r="K52" i="17" a="1"/>
  <c r="K52" i="17" s="1"/>
  <c r="P54" i="17"/>
  <c r="P53" i="17"/>
  <c r="A51" i="17" a="1"/>
  <c r="A51" i="17" s="1"/>
  <c r="E51" i="17" s="1"/>
  <c r="H51" i="17" a="1"/>
  <c r="H51" i="17" s="1"/>
  <c r="I51" i="17" a="1"/>
  <c r="I51" i="17" s="1"/>
  <c r="K51" i="17" a="1"/>
  <c r="K51" i="17" s="1"/>
  <c r="J51" i="17" a="1"/>
  <c r="J51" i="17" s="1"/>
  <c r="A50" i="17" a="1"/>
  <c r="A50" i="17" s="1"/>
  <c r="E50" i="17" s="1"/>
  <c r="H50" i="17" a="1"/>
  <c r="H50" i="17" s="1"/>
  <c r="I50" i="17" a="1"/>
  <c r="I50" i="17" s="1"/>
  <c r="P52" i="17"/>
  <c r="K50" i="17" a="1"/>
  <c r="K50" i="17" s="1"/>
  <c r="J50" i="17" a="1"/>
  <c r="J50" i="17" s="1"/>
  <c r="P51" i="17"/>
  <c r="A49" i="17" a="1"/>
  <c r="A4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6" i="17" a="1"/>
  <c r="A46" i="17" s="1"/>
  <c r="H34" i="17" a="1"/>
  <c r="H34" i="17" s="1"/>
  <c r="K34" i="17" a="1"/>
  <c r="K34" i="17" s="1"/>
  <c r="A34" i="17" a="1"/>
  <c r="A34" i="17" s="1"/>
  <c r="I34" i="17" a="1"/>
  <c r="I34" i="17" s="1"/>
  <c r="J34" i="17" a="1"/>
  <c r="J34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5" i="17" a="1"/>
  <c r="A45" i="17" s="1"/>
  <c r="A33" i="17" a="1"/>
  <c r="A33" i="17" s="1"/>
  <c r="H33" i="17" a="1"/>
  <c r="H33" i="17" s="1"/>
  <c r="I33" i="17" a="1"/>
  <c r="I33" i="17" s="1"/>
  <c r="J33" i="17" a="1"/>
  <c r="J33" i="17" s="1"/>
  <c r="K33" i="17" a="1"/>
  <c r="K33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4" i="17" a="1"/>
  <c r="A44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43" i="17" a="1"/>
  <c r="A43" i="17" s="1"/>
  <c r="K32" i="17" a="1"/>
  <c r="K32" i="17" s="1"/>
  <c r="J32" i="17" a="1"/>
  <c r="J32" i="17" s="1"/>
  <c r="A32" i="17" a="1"/>
  <c r="A32" i="17" s="1"/>
  <c r="H32" i="17" a="1"/>
  <c r="H32" i="17" s="1"/>
  <c r="I32" i="17" a="1"/>
  <c r="I32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A42" i="17" a="1"/>
  <c r="A42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41" i="17" a="1"/>
  <c r="A41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40" i="17" a="1"/>
  <c r="A40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9" i="17" a="1"/>
  <c r="I39" i="17" s="1"/>
  <c r="J39" i="17" a="1"/>
  <c r="J39" i="17" s="1"/>
  <c r="A39" i="17" a="1"/>
  <c r="A39" i="17" s="1"/>
  <c r="K39" i="17" a="1"/>
  <c r="K39" i="17" s="1"/>
  <c r="H39" i="17" a="1"/>
  <c r="H3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38" i="17" a="1"/>
  <c r="I38" i="17" s="1"/>
  <c r="J38" i="17" a="1"/>
  <c r="J38" i="17" s="1"/>
  <c r="A38" i="17" a="1"/>
  <c r="A38" i="17" s="1"/>
  <c r="K38" i="17" a="1"/>
  <c r="K38" i="17" s="1"/>
  <c r="H38" i="17" a="1"/>
  <c r="H3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8" i="17" a="1"/>
  <c r="A48" i="17" s="1"/>
  <c r="A37" i="17" a="1"/>
  <c r="A37" i="17" s="1"/>
  <c r="J37" i="17" a="1"/>
  <c r="J37" i="17" s="1"/>
  <c r="K37" i="17" a="1"/>
  <c r="K37" i="17" s="1"/>
  <c r="I37" i="17" a="1"/>
  <c r="I37" i="17" s="1"/>
  <c r="H37" i="17" a="1"/>
  <c r="H37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7" i="17" a="1"/>
  <c r="A47" i="17" s="1"/>
  <c r="A36" i="17" a="1"/>
  <c r="A36" i="17" s="1"/>
  <c r="K36" i="17" a="1"/>
  <c r="K36" i="17" s="1"/>
  <c r="J36" i="17" a="1"/>
  <c r="J36" i="17" s="1"/>
  <c r="I36" i="17" a="1"/>
  <c r="I36" i="17" s="1"/>
  <c r="H36" i="17" a="1"/>
  <c r="H36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5" i="17" a="1"/>
  <c r="K35" i="17" s="1"/>
  <c r="A35" i="17" a="1"/>
  <c r="A35" i="17" s="1"/>
  <c r="H35" i="17" a="1"/>
  <c r="H35" i="17" s="1"/>
  <c r="I35" i="17" a="1"/>
  <c r="I35" i="17" s="1"/>
  <c r="J35" i="17" a="1"/>
  <c r="J35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0" i="17"/>
  <c r="P27" i="17"/>
  <c r="P26" i="17"/>
  <c r="P25" i="17"/>
  <c r="P17" i="17"/>
  <c r="P36" i="17"/>
  <c r="P35" i="17"/>
  <c r="P16" i="17"/>
  <c r="P15" i="17"/>
  <c r="P32" i="17"/>
  <c r="P22" i="17"/>
  <c r="P12" i="17"/>
  <c r="P21" i="17"/>
  <c r="P20" i="17"/>
  <c r="P10" i="17"/>
  <c r="P29" i="17"/>
  <c r="P19" i="17"/>
  <c r="P9" i="17"/>
  <c r="P39" i="17"/>
  <c r="P18" i="17"/>
  <c r="P38" i="17"/>
  <c r="P28" i="17"/>
  <c r="P34" i="17"/>
  <c r="P24" i="17"/>
  <c r="P14" i="17"/>
  <c r="P33" i="17"/>
  <c r="P23" i="17"/>
  <c r="P13" i="17"/>
  <c r="P31" i="17"/>
  <c r="P11" i="17"/>
  <c r="P30" i="17"/>
  <c r="P37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5" i="17" l="1" a="1"/>
  <c r="C55" i="17" s="1"/>
  <c r="D55" i="17" s="1"/>
  <c r="E55" i="17"/>
  <c r="C54" i="17" a="1"/>
  <c r="C54" i="17" s="1"/>
  <c r="E54" i="17"/>
  <c r="C53" i="17" a="1"/>
  <c r="C53" i="17" s="1"/>
  <c r="D53" i="17" s="1"/>
  <c r="E52" i="17"/>
  <c r="C52" i="17" a="1"/>
  <c r="C52" i="17" s="1"/>
  <c r="D52" i="17" s="1"/>
  <c r="E18" i="17"/>
  <c r="O42" i="17" s="1"/>
  <c r="E49" i="17"/>
  <c r="E17" i="17"/>
  <c r="E19" i="17"/>
  <c r="O49" i="17" s="1"/>
  <c r="E44" i="17"/>
  <c r="E46" i="17"/>
  <c r="E48" i="17"/>
  <c r="E47" i="17"/>
  <c r="E4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49" i="17" s="1" a="1"/>
  <c r="C49" i="17" s="1"/>
  <c r="A6" i="22"/>
  <c r="A5" i="22"/>
  <c r="A4" i="22"/>
  <c r="A3" i="22"/>
  <c r="A2" i="22"/>
  <c r="C24" i="17" s="1" a="1"/>
  <c r="C24" i="17" s="1"/>
  <c r="Q48" i="17" s="1"/>
  <c r="M48" i="17" s="1"/>
  <c r="N48" i="17" s="1" a="1"/>
  <c r="N4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4" i="17" l="1"/>
  <c r="C41" i="17" a="1"/>
  <c r="C41" i="17" s="1"/>
  <c r="C38" i="17" a="1"/>
  <c r="C38" i="17" s="1"/>
  <c r="C25" i="17" a="1"/>
  <c r="C25" i="17" s="1"/>
  <c r="Q43" i="17" s="1"/>
  <c r="M43" i="17" s="1"/>
  <c r="N43" i="17" s="1" a="1"/>
  <c r="N43" i="17" s="1"/>
  <c r="C26" i="17" a="1"/>
  <c r="C26" i="17" s="1"/>
  <c r="C11" i="17" a="1"/>
  <c r="C11" i="17" s="1"/>
  <c r="C34" i="17" a="1"/>
  <c r="C34" i="17" s="1"/>
  <c r="C5" i="17" a="1"/>
  <c r="C5" i="17" s="1"/>
  <c r="C4" i="17" a="1"/>
  <c r="C4" i="17" s="1"/>
  <c r="C45" i="17" a="1"/>
  <c r="C45" i="17" s="1"/>
  <c r="C23" i="17" a="1"/>
  <c r="C23" i="17" s="1"/>
  <c r="Q41" i="17" s="1"/>
  <c r="M41" i="17" s="1"/>
  <c r="N41" i="17" s="1" a="1"/>
  <c r="N41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4" i="17" a="1"/>
  <c r="C44" i="17" s="1"/>
  <c r="D44" i="17" s="1"/>
  <c r="C50" i="17" a="1"/>
  <c r="C50" i="17" s="1"/>
  <c r="D50" i="17" s="1"/>
  <c r="C32" i="17" a="1"/>
  <c r="C32" i="17" s="1"/>
  <c r="C7" i="17" a="1"/>
  <c r="C7" i="17" s="1"/>
  <c r="C12" i="17" a="1"/>
  <c r="C12" i="17" s="1"/>
  <c r="Q60" i="17" s="1"/>
  <c r="M60" i="17" s="1"/>
  <c r="N60" i="17" s="1" a="1"/>
  <c r="N60" i="17" s="1"/>
  <c r="C18" i="17" a="1"/>
  <c r="C18" i="17" s="1"/>
  <c r="C37" i="17" a="1"/>
  <c r="C37" i="17" s="1"/>
  <c r="C29" i="17" a="1"/>
  <c r="C29" i="17" s="1"/>
  <c r="C13" i="17" a="1"/>
  <c r="C13" i="17" s="1"/>
  <c r="C27" i="17" a="1"/>
  <c r="C27" i="17" s="1"/>
  <c r="Q40" i="17" s="1"/>
  <c r="M40" i="17" s="1"/>
  <c r="N40" i="17" s="1" a="1"/>
  <c r="N40" i="17" s="1"/>
  <c r="C48" i="17" a="1"/>
  <c r="C48" i="17" s="1"/>
  <c r="D48" i="17" s="1"/>
  <c r="C40" i="17" a="1"/>
  <c r="C40" i="17" s="1"/>
  <c r="D40" i="17" s="1"/>
  <c r="C47" i="17" a="1"/>
  <c r="C47" i="17" s="1"/>
  <c r="C17" i="17" a="1"/>
  <c r="C17" i="17" s="1"/>
  <c r="D17" i="17" s="1"/>
  <c r="C35" i="17" a="1"/>
  <c r="C35" i="17" s="1"/>
  <c r="C20" i="17" a="1"/>
  <c r="C20" i="17" s="1"/>
  <c r="Q47" i="17" s="1"/>
  <c r="M47" i="17" s="1"/>
  <c r="N47" i="17" s="1" a="1"/>
  <c r="N47" i="17" s="1"/>
  <c r="C30" i="17" a="1"/>
  <c r="C30" i="17" s="1"/>
  <c r="C28" i="17" a="1"/>
  <c r="C28" i="17" s="1"/>
  <c r="Q45" i="17" s="1"/>
  <c r="M45" i="17" s="1"/>
  <c r="N45" i="17" s="1" a="1"/>
  <c r="N45" i="17" s="1"/>
  <c r="C43" i="17" a="1"/>
  <c r="C43" i="17" s="1"/>
  <c r="D43" i="17" s="1"/>
  <c r="C21" i="17" a="1"/>
  <c r="C21" i="17" s="1"/>
  <c r="Q46" i="17" s="1"/>
  <c r="M46" i="17" s="1"/>
  <c r="N46" i="17" s="1" a="1"/>
  <c r="N46" i="17" s="1"/>
  <c r="C8" i="17" a="1"/>
  <c r="C8" i="17" s="1"/>
  <c r="C14" i="17" a="1"/>
  <c r="C14" i="17" s="1"/>
  <c r="C15" i="17" a="1"/>
  <c r="C15" i="17" s="1"/>
  <c r="C36" i="17" a="1"/>
  <c r="C36" i="17" s="1"/>
  <c r="C22" i="17" a="1"/>
  <c r="C22" i="17" s="1"/>
  <c r="Q44" i="17" s="1"/>
  <c r="M44" i="17" s="1"/>
  <c r="N44" i="17" s="1" a="1"/>
  <c r="N44" i="17" s="1"/>
  <c r="C39" i="17" a="1"/>
  <c r="C39" i="17" s="1"/>
  <c r="AQ11" i="17"/>
  <c r="AQ12" i="17"/>
  <c r="AQ13" i="17"/>
  <c r="AQ9" i="17"/>
  <c r="AQ10" i="17"/>
  <c r="C42" i="17" a="1"/>
  <c r="C42" i="17" s="1"/>
  <c r="D42" i="17" s="1"/>
  <c r="C46" i="17" a="1"/>
  <c r="C46" i="17" s="1"/>
  <c r="C6" i="17" a="1"/>
  <c r="C6" i="17" s="1"/>
  <c r="C33" i="17" a="1"/>
  <c r="C33" i="17" s="1"/>
  <c r="C16" i="17" a="1"/>
  <c r="C16" i="17" s="1"/>
  <c r="C51" i="17" a="1"/>
  <c r="C51" i="17" s="1"/>
  <c r="D51" i="17" s="1"/>
  <c r="D49" i="17"/>
  <c r="E43" i="17"/>
  <c r="E40" i="17"/>
  <c r="E42" i="17"/>
  <c r="E41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8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7" i="17"/>
  <c r="E7" i="17"/>
  <c r="E36" i="17"/>
  <c r="E35" i="17"/>
  <c r="E3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19" i="17" l="1"/>
  <c r="Q49" i="17"/>
  <c r="M49" i="17" s="1"/>
  <c r="N49" i="17" s="1" a="1"/>
  <c r="N49" i="17" s="1"/>
  <c r="O61" i="17"/>
  <c r="AO61" i="17" s="1"/>
  <c r="Q59" i="17"/>
  <c r="M59" i="17" s="1"/>
  <c r="N59" i="17" s="1" a="1"/>
  <c r="N59" i="17" s="1"/>
  <c r="Q61" i="17"/>
  <c r="M61" i="17" s="1"/>
  <c r="N61" i="17" s="1" a="1"/>
  <c r="N61" i="17" s="1"/>
  <c r="D18" i="17"/>
  <c r="Q42" i="17"/>
  <c r="M42" i="17" s="1"/>
  <c r="N42" i="17" s="1" a="1"/>
  <c r="N42" i="17" s="1"/>
  <c r="O55" i="17"/>
  <c r="AO55" i="17" s="1"/>
  <c r="Q57" i="17"/>
  <c r="M57" i="17" s="1"/>
  <c r="N57" i="17" s="1" a="1"/>
  <c r="N57" i="17" s="1"/>
  <c r="D45" i="17"/>
  <c r="Q58" i="17"/>
  <c r="M58" i="17" s="1"/>
  <c r="N58" i="17" s="1" a="1"/>
  <c r="N58" i="17" s="1"/>
  <c r="Q56" i="17"/>
  <c r="M56" i="17" s="1"/>
  <c r="N56" i="17" s="1" a="1"/>
  <c r="N56" i="17" s="1"/>
  <c r="Q54" i="17"/>
  <c r="M54" i="17" s="1"/>
  <c r="N54" i="17" s="1" a="1"/>
  <c r="N54" i="17" s="1"/>
  <c r="D46" i="17"/>
  <c r="Q55" i="17"/>
  <c r="M55" i="17" s="1"/>
  <c r="N55" i="17" s="1" a="1"/>
  <c r="N55" i="17" s="1"/>
  <c r="Q53" i="17"/>
  <c r="M53" i="17" s="1"/>
  <c r="N53" i="17" s="1" a="1"/>
  <c r="N53" i="17" s="1"/>
  <c r="D47" i="17"/>
  <c r="D41" i="17"/>
  <c r="Q51" i="17"/>
  <c r="M51" i="17" s="1"/>
  <c r="N51" i="17" s="1" a="1"/>
  <c r="N51" i="17" s="1"/>
  <c r="E34" i="17"/>
  <c r="D34" i="17"/>
  <c r="E15" i="17"/>
  <c r="D15" i="17"/>
  <c r="E27" i="17"/>
  <c r="O40" i="17" s="1"/>
  <c r="D27" i="17"/>
  <c r="E16" i="17"/>
  <c r="D16" i="17"/>
  <c r="E21" i="17"/>
  <c r="O46" i="17" s="1"/>
  <c r="D21" i="17"/>
  <c r="E31" i="17"/>
  <c r="D31" i="17"/>
  <c r="E24" i="17"/>
  <c r="O48" i="17" s="1"/>
  <c r="D24" i="17"/>
  <c r="E29" i="17"/>
  <c r="D29" i="17"/>
  <c r="E20" i="17"/>
  <c r="O47" i="17" s="1"/>
  <c r="D20" i="17"/>
  <c r="E28" i="17"/>
  <c r="O45" i="17" s="1"/>
  <c r="D28" i="17"/>
  <c r="E23" i="17"/>
  <c r="O41" i="17" s="1"/>
  <c r="E22" i="17"/>
  <c r="O44" i="17" s="1"/>
  <c r="D22" i="17"/>
  <c r="E30" i="17"/>
  <c r="D30" i="17"/>
  <c r="E13" i="17"/>
  <c r="O50" i="17" s="1"/>
  <c r="AO50" i="17" s="1"/>
  <c r="D13" i="17"/>
  <c r="E25" i="17"/>
  <c r="O43" i="17" s="1"/>
  <c r="D25" i="17"/>
  <c r="E33" i="17"/>
  <c r="O53" i="17"/>
  <c r="AO53" i="17" s="1"/>
  <c r="E14" i="17"/>
  <c r="D14" i="17"/>
  <c r="E10" i="17"/>
  <c r="O56" i="17" s="1"/>
  <c r="AO56" i="17" s="1"/>
  <c r="D10" i="17"/>
  <c r="E12" i="17"/>
  <c r="O60" i="17" s="1"/>
  <c r="AO60" i="17" s="1"/>
  <c r="D12" i="17"/>
  <c r="E11" i="17"/>
  <c r="O58" i="17" s="1"/>
  <c r="AO58" i="17" s="1"/>
  <c r="D11" i="17"/>
  <c r="E26" i="17"/>
  <c r="D26" i="17"/>
  <c r="E32" i="17"/>
  <c r="D32" i="17"/>
  <c r="O57" i="17"/>
  <c r="AO57" i="17" s="1"/>
  <c r="D7" i="17"/>
  <c r="D9" i="17"/>
  <c r="D8" i="17"/>
  <c r="D38" i="17"/>
  <c r="D37" i="17"/>
  <c r="D39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54" i="17" l="1"/>
  <c r="AO54" i="17" s="1"/>
  <c r="O59" i="17"/>
  <c r="AO59" i="17" s="1"/>
  <c r="O18" i="17"/>
  <c r="AO18" i="17" s="1"/>
  <c r="O10" i="17"/>
  <c r="AO10" i="17" s="1"/>
  <c r="O38" i="17"/>
  <c r="AO38" i="17" s="1"/>
  <c r="O37" i="17"/>
  <c r="AO37" i="17" s="1"/>
  <c r="AO49" i="17"/>
  <c r="AO48" i="17"/>
  <c r="AO42" i="17"/>
  <c r="O39" i="17"/>
  <c r="AO39" i="17" s="1"/>
  <c r="O16" i="17"/>
  <c r="AO16" i="17" s="1"/>
  <c r="O51" i="17"/>
  <c r="AO51" i="17" s="1"/>
  <c r="O14" i="17"/>
  <c r="AO14" i="17" s="1"/>
  <c r="O11" i="17"/>
  <c r="AO11" i="17" s="1"/>
  <c r="AO46" i="17"/>
  <c r="O32" i="17"/>
  <c r="AO32" i="17" s="1"/>
  <c r="AO41" i="17"/>
  <c r="O52" i="17"/>
  <c r="AO52" i="17" s="1"/>
  <c r="O35" i="17"/>
  <c r="AO35" i="17" s="1"/>
  <c r="Q52" i="17"/>
  <c r="M52" i="17" s="1"/>
  <c r="N52" i="17" s="1" a="1"/>
  <c r="N52" i="17" s="1"/>
  <c r="AO43" i="17"/>
  <c r="O15" i="17"/>
  <c r="AO15" i="17" s="1"/>
  <c r="O21" i="17"/>
  <c r="AO21" i="17" s="1"/>
  <c r="AO47" i="17"/>
  <c r="O13" i="17"/>
  <c r="AO13" i="17" s="1"/>
  <c r="O25" i="17"/>
  <c r="AO25" i="17" s="1"/>
  <c r="O22" i="17"/>
  <c r="AO22" i="17" s="1"/>
  <c r="O19" i="17"/>
  <c r="AO19" i="17" s="1"/>
  <c r="O12" i="17"/>
  <c r="AO12" i="17" s="1"/>
  <c r="O20" i="17"/>
  <c r="AO20" i="17" s="1"/>
  <c r="O24" i="17"/>
  <c r="AO24" i="17" s="1"/>
  <c r="O34" i="17"/>
  <c r="AO34" i="17" s="1"/>
  <c r="O36" i="17"/>
  <c r="AO36" i="17" s="1"/>
  <c r="O17" i="17"/>
  <c r="AO17" i="17" s="1"/>
  <c r="O23" i="17"/>
  <c r="AO23" i="17" s="1"/>
  <c r="AO45" i="17"/>
  <c r="O26" i="17"/>
  <c r="AO26" i="17" s="1"/>
  <c r="AO44" i="17"/>
  <c r="O33" i="17"/>
  <c r="AO33" i="17" s="1"/>
  <c r="O28" i="17"/>
  <c r="AO28" i="17" s="1"/>
  <c r="O30" i="17"/>
  <c r="AO30" i="17" s="1"/>
  <c r="O27" i="17"/>
  <c r="AO27" i="17" s="1"/>
  <c r="O29" i="17"/>
  <c r="AO29" i="17" s="1"/>
  <c r="O9" i="17"/>
  <c r="AO9" i="17" s="1"/>
  <c r="O31" i="17"/>
  <c r="AO31" i="17" s="1"/>
  <c r="AO40" i="17"/>
  <c r="Q50" i="17"/>
  <c r="M50" i="17" s="1"/>
  <c r="N50" i="17" s="1" a="1"/>
  <c r="N50" i="17" s="1"/>
  <c r="Q39" i="17"/>
  <c r="M39" i="17" s="1"/>
  <c r="N39" i="17" s="1" a="1"/>
  <c r="N39" i="17" s="1"/>
  <c r="D23" i="17"/>
  <c r="D33" i="17"/>
  <c r="D35" i="17"/>
  <c r="D36" i="17"/>
  <c r="Q26" i="17"/>
  <c r="M26" i="17" s="1"/>
  <c r="N26" i="17" s="1" a="1"/>
  <c r="N26" i="17" s="1"/>
  <c r="Q21" i="17"/>
  <c r="M21" i="17" s="1"/>
  <c r="N21" i="17" s="1" a="1"/>
  <c r="N21" i="17" s="1"/>
  <c r="Q23" i="17"/>
  <c r="M23" i="17" s="1"/>
  <c r="N23" i="17" s="1" a="1"/>
  <c r="N23" i="17" s="1"/>
  <c r="Q38" i="17"/>
  <c r="M38" i="17" s="1"/>
  <c r="N38" i="17" s="1" a="1"/>
  <c r="N38" i="17" s="1"/>
  <c r="Q10" i="17"/>
  <c r="M10" i="17" s="1"/>
  <c r="N10" i="17" s="1" a="1"/>
  <c r="N10" i="17" s="1"/>
  <c r="Q9" i="17"/>
  <c r="M9" i="17" s="1"/>
  <c r="N9" i="17" s="1" a="1"/>
  <c r="N9" i="17" s="1"/>
  <c r="Q22" i="17"/>
  <c r="M22" i="17" s="1"/>
  <c r="N22" i="17" s="1" a="1"/>
  <c r="N22" i="17" s="1"/>
  <c r="Q31" i="17"/>
  <c r="M31" i="17" s="1"/>
  <c r="N31" i="17" s="1" a="1"/>
  <c r="N31" i="17" s="1"/>
  <c r="Q30" i="17"/>
  <c r="M30" i="17" s="1"/>
  <c r="N30" i="17" s="1" a="1"/>
  <c r="N30" i="17" s="1"/>
  <c r="Q29" i="17"/>
  <c r="M29" i="17" s="1"/>
  <c r="N29" i="17" s="1" a="1"/>
  <c r="N29" i="17" s="1"/>
  <c r="Q25" i="17"/>
  <c r="M25" i="17" s="1"/>
  <c r="N25" i="17" s="1" a="1"/>
  <c r="N25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6" i="17"/>
  <c r="M36" i="17" s="1"/>
  <c r="N36" i="17" s="1" a="1"/>
  <c r="N36" i="17" s="1"/>
  <c r="Q15" i="17"/>
  <c r="M15" i="17" s="1"/>
  <c r="N15" i="17" s="1" a="1"/>
  <c r="N15" i="17" s="1"/>
  <c r="Q28" i="17"/>
  <c r="M28" i="17" s="1"/>
  <c r="N28" i="17" s="1" a="1"/>
  <c r="N28" i="17" s="1"/>
  <c r="Q27" i="17"/>
  <c r="M27" i="17" s="1"/>
  <c r="N27" i="17" s="1" a="1"/>
  <c r="N27" i="17" s="1"/>
  <c r="Q20" i="17"/>
  <c r="M20" i="17" s="1"/>
  <c r="N20" i="17" s="1" a="1"/>
  <c r="N20" i="17" s="1"/>
  <c r="Q24" i="17"/>
  <c r="M24" i="17" s="1"/>
  <c r="N24" i="17" s="1" a="1"/>
  <c r="N24" i="17" s="1"/>
  <c r="Q32" i="17"/>
  <c r="M32" i="17" s="1"/>
  <c r="N32" i="17" s="1" a="1"/>
  <c r="N32" i="17" s="1"/>
  <c r="Q35" i="17"/>
  <c r="M35" i="17" s="1"/>
  <c r="N35" i="17" s="1" a="1"/>
  <c r="N35" i="17" s="1"/>
  <c r="Q37" i="17"/>
  <c r="M37" i="17" s="1"/>
  <c r="N37" i="17" s="1" a="1"/>
  <c r="N37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34" i="17"/>
  <c r="M34" i="17" s="1"/>
  <c r="N34" i="17" s="1" a="1"/>
  <c r="N34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<sst xmlns="http://schemas.openxmlformats.org/spreadsheetml/2006/main" count="14325" uniqueCount="615">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</sst>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O3" zoomScale="70" zoomScaleNormal="70" workbookViewId="0">
      <selection activeCell="BE26" sqref="BE25:BE26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0.89812499999999995</v>
      </c>
      <c r="E7" s="35" t="str">
        <f>D1_MARZO_2026[[#This Row],[SUPER]]</f>
        <v>LEONOR</v>
      </c>
      <c r="F7" s="34" t="s">
        <v>511</v>
      </c>
      <c r="G7" s="36">
        <v>14370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0.75593750000000004</v>
      </c>
      <c r="E8" s="35" t="str">
        <f>D1_MARZO_2026[[#This Row],[SUPER]]</f>
        <v>LEONOR</v>
      </c>
      <c r="F8" s="34" t="s">
        <v>41</v>
      </c>
      <c r="G8" s="36">
        <v>12095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0.39187499999999997</v>
      </c>
      <c r="E9" s="35" t="str">
        <f>D1_MARZO_2026[[#This Row],[SUPER]]</f>
        <v>LEONOR</v>
      </c>
      <c r="F9" s="34" t="s">
        <v>581</v>
      </c>
      <c r="G9" s="36">
        <v>6270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0.3049825581395349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KENNETH</v>
      </c>
      <c r="P9" s="6">
        <f>VLOOKUP(DATA_MARZO_2026[[#This Row],[ASER_]],D1_MARZO_2026[[ASESOR_CRR]:[RECUPERO]],6,0)</f>
        <v>26228.5</v>
      </c>
      <c r="Q9" s="6">
        <f>VLOOKUP(DATA_MARZO_2026[[#This Row],[ASER_]],D1_MARZO_2026[[ASESOR_CRR]:[META]],2,0)</f>
        <v>86000</v>
      </c>
      <c r="R9" t="s">
        <v>37</v>
      </c>
      <c r="S9">
        <v>266.5</v>
      </c>
      <c r="T9">
        <v>1000</v>
      </c>
      <c r="U9">
        <v>150</v>
      </c>
      <c r="V9">
        <v>3300</v>
      </c>
      <c r="W9">
        <v>0</v>
      </c>
      <c r="X9">
        <v>200</v>
      </c>
      <c r="Y9">
        <v>100</v>
      </c>
      <c r="Z9">
        <v>0</v>
      </c>
      <c r="AA9">
        <v>3800</v>
      </c>
      <c r="AB9">
        <v>500</v>
      </c>
      <c r="AC9">
        <v>2300</v>
      </c>
      <c r="AD9">
        <v>5150</v>
      </c>
      <c r="AE9">
        <v>0</v>
      </c>
      <c r="AF9">
        <v>0</v>
      </c>
      <c r="AG9">
        <v>3022</v>
      </c>
      <c r="AH9">
        <v>0</v>
      </c>
      <c r="AI9">
        <v>0</v>
      </c>
      <c r="AJ9">
        <v>3440</v>
      </c>
      <c r="AK9">
        <v>3000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536418</v>
      </c>
      <c r="AS9" s="16">
        <f>IFERROR(DITE_MARZO_2026[[#This Row],[RECUPERO SUPERVISOR]]/DITE_MARZO_2026[[#This Row],[META SUPER]],"")</f>
        <v>1.06347529049308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0.41375000000000001</v>
      </c>
      <c r="E10" s="35" t="str">
        <f>D1_MARZO_2026[[#This Row],[SUPER]]</f>
        <v>LEONOR</v>
      </c>
      <c r="F10" s="34" t="s">
        <v>565</v>
      </c>
      <c r="G10" s="36">
        <v>6620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0.54598837209302331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KENNETH</v>
      </c>
      <c r="P10" s="6">
        <f>VLOOKUP(DATA_MARZO_2026[[#This Row],[ASER_]],D1_MARZO_2026[[ASESOR_CRR]:[RECUPERO]],6,0)</f>
        <v>46955</v>
      </c>
      <c r="Q10" s="6">
        <f>VLOOKUP(DATA_MARZO_2026[[#This Row],[ASER_]],D1_MARZO_2026[[ASESOR_CRR]:[META]],2,0)</f>
        <v>86000</v>
      </c>
      <c r="R10" t="s">
        <v>35</v>
      </c>
      <c r="S10">
        <v>1500</v>
      </c>
      <c r="T10">
        <v>2950</v>
      </c>
      <c r="U10">
        <v>500</v>
      </c>
      <c r="V10">
        <v>1350</v>
      </c>
      <c r="W10">
        <v>325</v>
      </c>
      <c r="X10">
        <v>4000</v>
      </c>
      <c r="Y10">
        <v>8600</v>
      </c>
      <c r="Z10">
        <v>350</v>
      </c>
      <c r="AA10">
        <v>0</v>
      </c>
      <c r="AB10">
        <v>960</v>
      </c>
      <c r="AC10">
        <v>10100</v>
      </c>
      <c r="AD10">
        <v>10000</v>
      </c>
      <c r="AE10">
        <v>0</v>
      </c>
      <c r="AF10">
        <v>2500</v>
      </c>
      <c r="AG10">
        <v>1500</v>
      </c>
      <c r="AH10">
        <v>1820</v>
      </c>
      <c r="AI10">
        <v>0</v>
      </c>
      <c r="AJ10">
        <v>500</v>
      </c>
      <c r="AK10">
        <v>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339356</v>
      </c>
      <c r="AS10" s="17">
        <f>IFERROR(DITE_MARZO_2026[[#This Row],[RECUPERO SUPERVISOR]]/DITE_MARZO_2026[[#This Row],[META SUPER]],"")</f>
        <v>0.72701331031040251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0.18287500000000001</v>
      </c>
      <c r="E11" s="35" t="str">
        <f>D1_MARZO_2026[[#This Row],[SUPER]]</f>
        <v>LEONOR</v>
      </c>
      <c r="F11" t="s">
        <v>573</v>
      </c>
      <c r="G11" s="3">
        <v>2926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0.96395348837209305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KENNETH</v>
      </c>
      <c r="P11" s="6">
        <f>VLOOKUP(DATA_MARZO_2026[[#This Row],[ASER_]],D1_MARZO_2026[[ASESOR_CRR]:[RECUPERO]],6,0)</f>
        <v>82900</v>
      </c>
      <c r="Q11" s="6">
        <f>VLOOKUP(DATA_MARZO_2026[[#This Row],[ASER_]],D1_MARZO_2026[[ASESOR_CRR]:[META]],2,0)</f>
        <v>86000</v>
      </c>
      <c r="R11" t="s">
        <v>97</v>
      </c>
      <c r="S11">
        <v>300</v>
      </c>
      <c r="T11">
        <v>450</v>
      </c>
      <c r="U11">
        <v>895</v>
      </c>
      <c r="V11">
        <v>4500</v>
      </c>
      <c r="W11">
        <v>4800</v>
      </c>
      <c r="X11">
        <v>0</v>
      </c>
      <c r="Y11">
        <v>420</v>
      </c>
      <c r="Z11">
        <v>0</v>
      </c>
      <c r="AA11">
        <v>5500</v>
      </c>
      <c r="AB11">
        <v>295</v>
      </c>
      <c r="AC11">
        <v>800</v>
      </c>
      <c r="AD11">
        <v>14760</v>
      </c>
      <c r="AE11">
        <v>14700</v>
      </c>
      <c r="AF11">
        <v>5270</v>
      </c>
      <c r="AG11">
        <v>18855</v>
      </c>
      <c r="AH11">
        <v>1000</v>
      </c>
      <c r="AI11">
        <v>5350</v>
      </c>
      <c r="AJ11">
        <v>805</v>
      </c>
      <c r="AK11">
        <v>4200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318566.5</v>
      </c>
      <c r="AS11" s="16">
        <f>IFERROR(DITE_MARZO_2026[[#This Row],[RECUPERO SUPERVISOR]]/DITE_MARZO_2026[[#This Row],[META SUPER]],"")</f>
        <v>0.52238146383857931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0.14531250000000001</v>
      </c>
      <c r="E12" s="35" t="str">
        <f>D1_MARZO_2026[[#This Row],[SUPER]]</f>
        <v>LEONOR</v>
      </c>
      <c r="F12" t="s">
        <v>582</v>
      </c>
      <c r="G12" s="3">
        <v>2325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0.43040983606557376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KENNETH</v>
      </c>
      <c r="P12" s="6">
        <f>VLOOKUP(DATA_MARZO_2026[[#This Row],[ASER_]],D1_MARZO_2026[[ASESOR_CRR]:[RECUPERO]],6,0)</f>
        <v>13127.5</v>
      </c>
      <c r="Q12" s="6">
        <f>VLOOKUP(DATA_MARZO_2026[[#This Row],[ASER_]],D1_MARZO_2026[[ASESOR_CRR]:[META]],2,0)</f>
        <v>30500</v>
      </c>
      <c r="R12" t="s">
        <v>105</v>
      </c>
      <c r="S12">
        <v>0</v>
      </c>
      <c r="T12">
        <v>0</v>
      </c>
      <c r="U12">
        <v>1200</v>
      </c>
      <c r="V12">
        <v>252.5</v>
      </c>
      <c r="W12">
        <v>0</v>
      </c>
      <c r="X12">
        <v>0</v>
      </c>
      <c r="Y12">
        <v>0</v>
      </c>
      <c r="Z12">
        <v>0</v>
      </c>
      <c r="AA12">
        <v>605</v>
      </c>
      <c r="AB12">
        <v>550</v>
      </c>
      <c r="AC12">
        <v>420</v>
      </c>
      <c r="AD12">
        <v>0</v>
      </c>
      <c r="AE12">
        <v>6500</v>
      </c>
      <c r="AF12">
        <v>0</v>
      </c>
      <c r="AG12">
        <v>1000</v>
      </c>
      <c r="AH12">
        <v>2600</v>
      </c>
      <c r="AI12">
        <v>0</v>
      </c>
      <c r="AJ12">
        <v>0</v>
      </c>
      <c r="AK12">
        <v>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371896</v>
      </c>
      <c r="AS12" s="17">
        <f>IFERROR(DITE_MARZO_2026[[#This Row],[RECUPERO SUPERVISOR]]/DITE_MARZO_2026[[#This Row],[META SUPER]],"")</f>
        <v>0.60983052792968595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0.90737142857142861</v>
      </c>
      <c r="E13" s="35" t="str">
        <f>D1_MARZO_2026[[#This Row],[SUPER]]</f>
        <v>LEONOR</v>
      </c>
      <c r="F13" t="s">
        <v>51</v>
      </c>
      <c r="G13" s="3">
        <v>31758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0.53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KENNETH</v>
      </c>
      <c r="P13" s="6">
        <f>VLOOKUP(DATA_MARZO_2026[[#This Row],[ASER_]],D1_MARZO_2026[[ASESOR_CRR]:[RECUPERO]],6,0)</f>
        <v>16165</v>
      </c>
      <c r="Q13" s="6">
        <f>VLOOKUP(DATA_MARZO_2026[[#This Row],[ASER_]],D1_MARZO_2026[[ASESOR_CRR]:[META]],2,0)</f>
        <v>30500</v>
      </c>
      <c r="R13" t="s">
        <v>81</v>
      </c>
      <c r="S13" s="47">
        <v>509</v>
      </c>
      <c r="T13">
        <v>0</v>
      </c>
      <c r="U13">
        <v>345</v>
      </c>
      <c r="V13">
        <v>1100</v>
      </c>
      <c r="W13">
        <v>3650</v>
      </c>
      <c r="X13">
        <v>0</v>
      </c>
      <c r="Y13">
        <v>0</v>
      </c>
      <c r="Z13">
        <v>2200</v>
      </c>
      <c r="AA13">
        <v>526</v>
      </c>
      <c r="AB13">
        <v>180</v>
      </c>
      <c r="AC13">
        <v>210</v>
      </c>
      <c r="AD13">
        <v>0</v>
      </c>
      <c r="AE13">
        <v>645</v>
      </c>
      <c r="AF13">
        <v>100</v>
      </c>
      <c r="AG13">
        <v>200</v>
      </c>
      <c r="AH13">
        <v>0</v>
      </c>
      <c r="AI13">
        <v>4500</v>
      </c>
      <c r="AJ13">
        <v>2000</v>
      </c>
      <c r="AK13">
        <v>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180067</v>
      </c>
      <c r="AS13" s="16">
        <f>IFERROR(DITE_MARZO_2026[[#This Row],[RECUPERO SUPERVISOR]]/DITE_MARZO_2026[[#This Row],[META SUPER]],"")</f>
        <v>0.67117053315839692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0.70294285714285709</v>
      </c>
      <c r="E14" s="35" t="str">
        <f>D1_MARZO_2026[[#This Row],[SUPER]]</f>
        <v>LEONOR</v>
      </c>
      <c r="F14" t="s">
        <v>77</v>
      </c>
      <c r="G14" s="3">
        <v>24603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1.3427868852459017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KENNETH</v>
      </c>
      <c r="P14" s="6">
        <f>VLOOKUP(DATA_MARZO_2026[[#This Row],[ASER_]],D1_MARZO_2026[[ASESOR_CRR]:[RECUPERO]],6,0)</f>
        <v>40955</v>
      </c>
      <c r="Q14" s="6">
        <f>VLOOKUP(DATA_MARZO_2026[[#This Row],[ASER_]],D1_MARZO_2026[[ASESOR_CRR]:[META]],2,0)</f>
        <v>30500</v>
      </c>
      <c r="R14" t="s">
        <v>19</v>
      </c>
      <c r="S14" s="47">
        <v>0</v>
      </c>
      <c r="T14">
        <v>0</v>
      </c>
      <c r="U14">
        <v>0</v>
      </c>
      <c r="V14">
        <v>200</v>
      </c>
      <c r="W14">
        <v>0</v>
      </c>
      <c r="X14">
        <v>0</v>
      </c>
      <c r="Y14">
        <v>0</v>
      </c>
      <c r="Z14">
        <v>1000</v>
      </c>
      <c r="AA14">
        <v>4000</v>
      </c>
      <c r="AB14">
        <v>10400</v>
      </c>
      <c r="AC14">
        <v>0</v>
      </c>
      <c r="AD14">
        <v>3800</v>
      </c>
      <c r="AE14">
        <v>0</v>
      </c>
      <c r="AF14">
        <v>3000</v>
      </c>
      <c r="AG14">
        <v>1875</v>
      </c>
      <c r="AH14">
        <v>2500</v>
      </c>
      <c r="AI14">
        <v>380</v>
      </c>
      <c r="AJ14">
        <v>9500</v>
      </c>
      <c r="AK14">
        <v>4300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0.52771428571428569</v>
      </c>
      <c r="E15" s="35" t="str">
        <f>D1_MARZO_2026[[#This Row],[SUPER]]</f>
        <v>LEONOR</v>
      </c>
      <c r="F15" t="s">
        <v>73</v>
      </c>
      <c r="G15" s="3">
        <v>18470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0.87691803278688529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IFERROR(VLOOKUP(DATA_MARZO_2026[[#This Row],[ASER_]],$B:$G,4,0),"")</f>
        <v>KENNETH</v>
      </c>
      <c r="P15" s="6">
        <f>VLOOKUP(DATA_MARZO_2026[[#This Row],[ASER_]],D1_MARZO_2026[[ASESOR_CRR]:[RECUPERO]],6,0)</f>
        <v>26746</v>
      </c>
      <c r="Q15" s="6">
        <f>VLOOKUP(DATA_MARZO_2026[[#This Row],[ASER_]],D1_MARZO_2026[[ASESOR_CRR]:[META]],2,0)</f>
        <v>30500</v>
      </c>
      <c r="R15" t="s">
        <v>50</v>
      </c>
      <c r="S15" s="47">
        <v>0</v>
      </c>
      <c r="T15">
        <v>0</v>
      </c>
      <c r="U15">
        <v>300</v>
      </c>
      <c r="V15">
        <v>0</v>
      </c>
      <c r="W15">
        <v>120</v>
      </c>
      <c r="X15">
        <v>6700</v>
      </c>
      <c r="Y15">
        <v>2601</v>
      </c>
      <c r="Z15">
        <v>7600</v>
      </c>
      <c r="AA15">
        <v>0</v>
      </c>
      <c r="AB15">
        <v>0</v>
      </c>
      <c r="AC15">
        <v>1345</v>
      </c>
      <c r="AD15">
        <v>0</v>
      </c>
      <c r="AE15">
        <v>900</v>
      </c>
      <c r="AF15">
        <v>3500</v>
      </c>
      <c r="AG15">
        <v>0</v>
      </c>
      <c r="AH15">
        <v>360</v>
      </c>
      <c r="AI15">
        <v>2820</v>
      </c>
      <c r="AJ15">
        <v>500</v>
      </c>
      <c r="AK15">
        <v>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0.52728571428571425</v>
      </c>
      <c r="E16" s="35" t="str">
        <f>D1_MARZO_2026[[#This Row],[SUPER]]</f>
        <v>LEONOR</v>
      </c>
      <c r="F16" t="s">
        <v>49</v>
      </c>
      <c r="G16" s="3">
        <v>18455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0.57924590163934431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IFERROR(VLOOKUP(DATA_MARZO_2026[[#This Row],[ASER_]],$B:$G,4,0),"")</f>
        <v>KENNETH</v>
      </c>
      <c r="P16" s="6">
        <f>VLOOKUP(DATA_MARZO_2026[[#This Row],[ASER_]],D1_MARZO_2026[[ASESOR_CRR]:[RECUPERO]],6,0)</f>
        <v>17667</v>
      </c>
      <c r="Q16" s="6">
        <f>VLOOKUP(DATA_MARZO_2026[[#This Row],[ASER_]],D1_MARZO_2026[[ASESOR_CRR]:[META]],2,0)</f>
        <v>30500</v>
      </c>
      <c r="R16" t="s">
        <v>11</v>
      </c>
      <c r="S16">
        <v>0</v>
      </c>
      <c r="T16">
        <v>150</v>
      </c>
      <c r="U16">
        <v>0</v>
      </c>
      <c r="V16">
        <v>300</v>
      </c>
      <c r="W16">
        <v>246</v>
      </c>
      <c r="X16">
        <v>5578</v>
      </c>
      <c r="Y16">
        <v>250</v>
      </c>
      <c r="Z16">
        <v>1000</v>
      </c>
      <c r="AA16">
        <v>0</v>
      </c>
      <c r="AB16">
        <v>0</v>
      </c>
      <c r="AC16">
        <v>113</v>
      </c>
      <c r="AD16">
        <v>700</v>
      </c>
      <c r="AE16">
        <v>1200</v>
      </c>
      <c r="AF16">
        <v>0</v>
      </c>
      <c r="AG16">
        <v>230</v>
      </c>
      <c r="AH16">
        <v>950</v>
      </c>
      <c r="AI16">
        <v>1250</v>
      </c>
      <c r="AJ16">
        <v>1500</v>
      </c>
      <c r="AK16">
        <v>4200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0.49657142857142855</v>
      </c>
      <c r="E17" s="35" t="str">
        <f>D1_MARZO_2026[[#This Row],[SUPER]]</f>
        <v>LEONOR</v>
      </c>
      <c r="F17" t="s">
        <v>48</v>
      </c>
      <c r="G17" s="3">
        <v>17380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0.71449180327868855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KENNETH</v>
      </c>
      <c r="P17" s="6">
        <f>VLOOKUP(DATA_MARZO_2026[[#This Row],[ASER_]],D1_MARZO_2026[[ASESOR_CRR]:[RECUPERO]],6,0)</f>
        <v>21792</v>
      </c>
      <c r="Q17" s="6">
        <f>VLOOKUP(DATA_MARZO_2026[[#This Row],[ASER_]],D1_MARZO_2026[[ASESOR_CRR]:[META]],2,0)</f>
        <v>30500</v>
      </c>
      <c r="R17" t="s">
        <v>80</v>
      </c>
      <c r="S17" s="45">
        <v>0</v>
      </c>
      <c r="T17">
        <v>1000</v>
      </c>
      <c r="U17">
        <v>0</v>
      </c>
      <c r="V17">
        <v>860</v>
      </c>
      <c r="W17">
        <v>5000</v>
      </c>
      <c r="X17">
        <v>550</v>
      </c>
      <c r="Y17">
        <v>5000</v>
      </c>
      <c r="Z17">
        <v>0</v>
      </c>
      <c r="AA17">
        <v>0</v>
      </c>
      <c r="AB17">
        <v>4000</v>
      </c>
      <c r="AC17">
        <v>400</v>
      </c>
      <c r="AD17">
        <v>0</v>
      </c>
      <c r="AE17">
        <v>550</v>
      </c>
      <c r="AF17">
        <v>0</v>
      </c>
      <c r="AG17">
        <v>932</v>
      </c>
      <c r="AH17">
        <v>2500</v>
      </c>
      <c r="AI17">
        <v>0</v>
      </c>
      <c r="AJ17">
        <v>1000</v>
      </c>
      <c r="AK17">
        <v>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18" s="34" cm="1">
        <f t="array" ref="C18">_xlfn.XLOOKUP(1,(TablaMeta[CONCAT]=$M$3&amp;$N$3&amp;D1_MARZO_2026[[#This Row],[SUPER]])*(TablaMeta[SEGG]=D1_MARZO_2026[[#This Row],[SEGMENTO]]),TablaMeta[Meta_Asesor])</f>
        <v>56000</v>
      </c>
      <c r="D18" s="35">
        <f>IF(D1_MARZO_2026[[#This Row],[RECUPERO]]="VACACIONES","VACACIONES",IFERROR(D1_MARZO_2026[[#This Row],[RECUPERO]]/D1_MARZO_2026[[#This Row],[META]],""))</f>
        <v>1.1341133928571427</v>
      </c>
      <c r="E18" s="35" t="str">
        <f>D1_MARZO_2026[[#This Row],[SUPER]]</f>
        <v>JORGE</v>
      </c>
      <c r="F18" t="s">
        <v>23</v>
      </c>
      <c r="G18" s="3">
        <v>63510.35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1.0349180327868852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IFERROR(VLOOKUP(DATA_MARZO_2026[[#This Row],[ASER_]],$B:$G,4,0),"")</f>
        <v>KENNETH</v>
      </c>
      <c r="P18" s="6">
        <f>VLOOKUP(DATA_MARZO_2026[[#This Row],[ASER_]],D1_MARZO_2026[[ASESOR_CRR]:[RECUPERO]],6,0)</f>
        <v>31565</v>
      </c>
      <c r="Q18" s="6">
        <f>VLOOKUP(DATA_MARZO_2026[[#This Row],[ASER_]],D1_MARZO_2026[[ASESOR_CRR]:[META]],2,0)</f>
        <v>30500</v>
      </c>
      <c r="R18" t="s">
        <v>34</v>
      </c>
      <c r="S18">
        <v>0</v>
      </c>
      <c r="T18">
        <v>1250</v>
      </c>
      <c r="U18">
        <v>1450</v>
      </c>
      <c r="V18">
        <v>0</v>
      </c>
      <c r="W18">
        <v>500</v>
      </c>
      <c r="X18">
        <v>1500</v>
      </c>
      <c r="Y18">
        <v>1100</v>
      </c>
      <c r="Z18">
        <v>8000</v>
      </c>
      <c r="AA18">
        <v>500</v>
      </c>
      <c r="AB18">
        <v>2625</v>
      </c>
      <c r="AC18">
        <v>0</v>
      </c>
      <c r="AD18">
        <v>4100</v>
      </c>
      <c r="AE18">
        <v>140</v>
      </c>
      <c r="AF18">
        <v>0</v>
      </c>
      <c r="AG18">
        <v>900</v>
      </c>
      <c r="AH18">
        <v>4500</v>
      </c>
      <c r="AI18">
        <v>0</v>
      </c>
      <c r="AJ18">
        <v>2500</v>
      </c>
      <c r="AK18">
        <v>2500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19" s="34" cm="1">
        <f t="array" ref="C19">_xlfn.XLOOKUP(1,(TablaMeta[CONCAT]=$M$3&amp;$N$3&amp;D1_MARZO_2026[[#This Row],[SUPER]])*(TablaMeta[SEGG]=D1_MARZO_2026[[#This Row],[SEGMENTO]]),TablaMeta[Meta_Asesor])</f>
        <v>56000</v>
      </c>
      <c r="D19" s="35">
        <f>IF(D1_MARZO_2026[[#This Row],[RECUPERO]]="VACACIONES","VACACIONES",IFERROR(D1_MARZO_2026[[#This Row],[RECUPERO]]/D1_MARZO_2026[[#This Row],[META]],""))</f>
        <v>1.0630357142857143</v>
      </c>
      <c r="E19" s="35" t="str">
        <f>D1_MARZO_2026[[#This Row],[SUPER]]</f>
        <v>JORGE</v>
      </c>
      <c r="F19" t="s">
        <v>22</v>
      </c>
      <c r="G19" s="3">
        <v>59530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1.1087692307692307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IFERROR(VLOOKUP(DATA_MARZO_2026[[#This Row],[ASER_]],$B:$G,4,0),"")</f>
        <v>SANDY</v>
      </c>
      <c r="P19" s="6">
        <f>VLOOKUP(DATA_MARZO_2026[[#This Row],[ASER_]],D1_MARZO_2026[[ASESOR_CRR]:[RECUPERO]],6,0)</f>
        <v>36035</v>
      </c>
      <c r="Q19" s="6">
        <f>VLOOKUP(DATA_MARZO_2026[[#This Row],[ASER_]],D1_MARZO_2026[[ASESOR_CRR]:[META]],2,0)</f>
        <v>32500</v>
      </c>
      <c r="R19" t="s">
        <v>96</v>
      </c>
      <c r="S19">
        <v>4400</v>
      </c>
      <c r="T19">
        <v>1970</v>
      </c>
      <c r="U19">
        <v>0</v>
      </c>
      <c r="V19">
        <v>0</v>
      </c>
      <c r="W19">
        <v>1480</v>
      </c>
      <c r="X19">
        <v>19000</v>
      </c>
      <c r="Y19">
        <v>0</v>
      </c>
      <c r="Z19">
        <v>1000</v>
      </c>
      <c r="AA19">
        <v>0</v>
      </c>
      <c r="AB19">
        <v>0</v>
      </c>
      <c r="AC19">
        <v>0</v>
      </c>
      <c r="AD19">
        <v>0</v>
      </c>
      <c r="AE19">
        <v>1500</v>
      </c>
      <c r="AF19">
        <v>0</v>
      </c>
      <c r="AG19">
        <v>1285</v>
      </c>
      <c r="AH19">
        <v>4200</v>
      </c>
      <c r="AI19">
        <v>1200</v>
      </c>
      <c r="AJ19">
        <v>0</v>
      </c>
      <c r="AK19">
        <v>0</v>
      </c>
      <c r="AO19" s="55" t="str">
        <f>VLOOKUP($M$3&amp;$N$3&amp;DATA_MARZO_2026[[#This Row],[SUPERVISOR]],TablaMeta[],7,0)</f>
        <v>S0 - IBK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20" s="34" cm="1">
        <f t="array" ref="C20">_xlfn.XLOOKUP(1,(TablaMeta[CONCAT]=$M$3&amp;$N$3&amp;D1_MARZO_2026[[#This Row],[SUPER]])*(TablaMeta[SEGG]=D1_MARZO_2026[[#This Row],[SEGMENTO]]),TablaMeta[Meta_Asesor])</f>
        <v>56000</v>
      </c>
      <c r="D20" s="35">
        <f>IF(D1_MARZO_2026[[#This Row],[RECUPERO]]="VACACIONES","VACACIONES",IFERROR(D1_MARZO_2026[[#This Row],[RECUPERO]]/D1_MARZO_2026[[#This Row],[META]],""))</f>
        <v>0.72267857142857139</v>
      </c>
      <c r="E20" s="35" t="str">
        <f>D1_MARZO_2026[[#This Row],[SUPER]]</f>
        <v>JORGE</v>
      </c>
      <c r="F20" t="s">
        <v>13</v>
      </c>
      <c r="G20" s="3">
        <v>40470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2.391230769230769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77715</v>
      </c>
      <c r="Q20" s="6">
        <f>VLOOKUP(DATA_MARZO_2026[[#This Row],[ASER_]],D1_MARZO_2026[[ASESOR_CRR]:[META]],2,0)</f>
        <v>32500</v>
      </c>
      <c r="R20" t="s">
        <v>79</v>
      </c>
      <c r="S20">
        <v>1100</v>
      </c>
      <c r="T20">
        <v>270</v>
      </c>
      <c r="U20">
        <v>1100</v>
      </c>
      <c r="V20">
        <v>12000</v>
      </c>
      <c r="W20">
        <v>0</v>
      </c>
      <c r="X20">
        <v>5000</v>
      </c>
      <c r="Y20">
        <v>0</v>
      </c>
      <c r="Z20">
        <v>0</v>
      </c>
      <c r="AA20">
        <v>0</v>
      </c>
      <c r="AB20">
        <v>9100</v>
      </c>
      <c r="AC20">
        <v>12105</v>
      </c>
      <c r="AD20">
        <v>1200</v>
      </c>
      <c r="AE20">
        <v>9000</v>
      </c>
      <c r="AF20">
        <v>170</v>
      </c>
      <c r="AG20">
        <v>10970</v>
      </c>
      <c r="AH20">
        <v>0</v>
      </c>
      <c r="AI20">
        <v>0</v>
      </c>
      <c r="AJ20">
        <v>13000</v>
      </c>
      <c r="AK20">
        <v>2700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21" s="34" cm="1">
        <f t="array" ref="C21">_xlfn.XLOOKUP(1,(TablaMeta[CONCAT]=$M$3&amp;$N$3&amp;D1_MARZO_2026[[#This Row],[SUPER]])*(TablaMeta[SEGG]=D1_MARZO_2026[[#This Row],[SEGMENTO]]),TablaMeta[Meta_Asesor])</f>
        <v>56000</v>
      </c>
      <c r="D21" s="35">
        <f>IF(D1_MARZO_2026[[#This Row],[RECUPERO]]="VACACIONES","VACACIONES",IFERROR(D1_MARZO_2026[[#This Row],[RECUPERO]]/D1_MARZO_2026[[#This Row],[META]],""))</f>
        <v>0.58153571428571427</v>
      </c>
      <c r="E21" s="35" t="str">
        <f>D1_MARZO_2026[[#This Row],[SUPER]]</f>
        <v>JORGE</v>
      </c>
      <c r="F21" t="s">
        <v>24</v>
      </c>
      <c r="G21" s="3">
        <v>32566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1.0941353846153847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35559.4</v>
      </c>
      <c r="Q21" s="6">
        <f>VLOOKUP(DATA_MARZO_2026[[#This Row],[ASER_]],D1_MARZO_2026[[ASESOR_CRR]:[META]],2,0)</f>
        <v>32500</v>
      </c>
      <c r="R21" t="s">
        <v>29</v>
      </c>
      <c r="S21">
        <v>383.4</v>
      </c>
      <c r="T21">
        <v>500</v>
      </c>
      <c r="U21">
        <v>0</v>
      </c>
      <c r="V21">
        <v>1778</v>
      </c>
      <c r="W21">
        <v>1220</v>
      </c>
      <c r="X21">
        <v>0</v>
      </c>
      <c r="Y21">
        <v>0</v>
      </c>
      <c r="Z21">
        <v>200</v>
      </c>
      <c r="AA21">
        <v>23145</v>
      </c>
      <c r="AB21">
        <v>0</v>
      </c>
      <c r="AC21">
        <v>2848</v>
      </c>
      <c r="AD21">
        <v>0</v>
      </c>
      <c r="AE21">
        <v>310</v>
      </c>
      <c r="AF21">
        <v>0</v>
      </c>
      <c r="AG21">
        <v>1102</v>
      </c>
      <c r="AH21">
        <v>1800</v>
      </c>
      <c r="AI21">
        <v>845</v>
      </c>
      <c r="AJ21">
        <v>1050</v>
      </c>
      <c r="AK21">
        <v>453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22" s="34" cm="1">
        <f t="array" ref="C22">_xlfn.XLOOKUP(1,(TablaMeta[CONCAT]=$M$3&amp;$N$3&amp;D1_MARZO_2026[[#This Row],[SUPER]])*(TablaMeta[SEGG]=D1_MARZO_2026[[#This Row],[SEGMENTO]]),TablaMeta[Meta_Asesor])</f>
        <v>56000</v>
      </c>
      <c r="D22" s="35">
        <f>IF(D1_MARZO_2026[[#This Row],[RECUPERO]]="VACACIONES","VACACIONES",IFERROR(D1_MARZO_2026[[#This Row],[RECUPERO]]/D1_MARZO_2026[[#This Row],[META]],""))</f>
        <v>0.56508928571428574</v>
      </c>
      <c r="E22" s="35" t="str">
        <f>D1_MARZO_2026[[#This Row],[SUPER]]</f>
        <v>JORGE</v>
      </c>
      <c r="F22" t="s">
        <v>15</v>
      </c>
      <c r="G22" s="3">
        <v>31645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1.3237341538461538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43021.36</v>
      </c>
      <c r="Q22" s="6">
        <f>VLOOKUP(DATA_MARZO_2026[[#This Row],[ASER_]],D1_MARZO_2026[[ASESOR_CRR]:[META]],2,0)</f>
        <v>32500</v>
      </c>
      <c r="R22" t="s">
        <v>68</v>
      </c>
      <c r="S22">
        <v>0</v>
      </c>
      <c r="T22">
        <v>1200</v>
      </c>
      <c r="U22">
        <v>5000</v>
      </c>
      <c r="V22">
        <v>8783.36</v>
      </c>
      <c r="W22">
        <v>0</v>
      </c>
      <c r="X22">
        <v>0</v>
      </c>
      <c r="Y22">
        <v>0</v>
      </c>
      <c r="Z22">
        <v>2010</v>
      </c>
      <c r="AA22">
        <v>0</v>
      </c>
      <c r="AB22">
        <v>2628</v>
      </c>
      <c r="AC22">
        <v>0</v>
      </c>
      <c r="AD22">
        <v>0</v>
      </c>
      <c r="AE22">
        <v>0</v>
      </c>
      <c r="AF22">
        <v>0</v>
      </c>
      <c r="AG22">
        <v>300</v>
      </c>
      <c r="AH22">
        <v>0</v>
      </c>
      <c r="AI22">
        <v>647.36</v>
      </c>
      <c r="AJ22">
        <v>12450</v>
      </c>
      <c r="AK22">
        <v>10000.36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23" s="34" cm="1">
        <f t="array" ref="C23">_xlfn.XLOOKUP(1,(TablaMeta[CONCAT]=$M$3&amp;$N$3&amp;D1_MARZO_2026[[#This Row],[SUPER]])*(TablaMeta[SEGG]=D1_MARZO_2026[[#This Row],[SEGMENTO]]),TablaMeta[Meta_Asesor])</f>
        <v>56000</v>
      </c>
      <c r="D23" s="35">
        <f>IF(D1_MARZO_2026[[#This Row],[RECUPERO]]="VACACIONES","VACACIONES",IFERROR(D1_MARZO_2026[[#This Row],[RECUPERO]]/D1_MARZO_2026[[#This Row],[META]],""))</f>
        <v>0.41016071428571427</v>
      </c>
      <c r="E23" s="35" t="str">
        <f>D1_MARZO_2026[[#This Row],[SUPER]]</f>
        <v>JORGE</v>
      </c>
      <c r="F23" t="s">
        <v>392</v>
      </c>
      <c r="G23" s="3">
        <v>22969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0.66738461538461535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21690</v>
      </c>
      <c r="Q23" s="6">
        <f>VLOOKUP(DATA_MARZO_2026[[#This Row],[ASER_]],D1_MARZO_2026[[ASESOR_CRR]:[META]],2,0)</f>
        <v>32500</v>
      </c>
      <c r="R23" t="s">
        <v>174</v>
      </c>
      <c r="S23">
        <v>0</v>
      </c>
      <c r="T23">
        <v>0</v>
      </c>
      <c r="U23">
        <v>0</v>
      </c>
      <c r="V23">
        <v>200</v>
      </c>
      <c r="W23">
        <v>0</v>
      </c>
      <c r="X23">
        <v>350</v>
      </c>
      <c r="Y23">
        <v>4000</v>
      </c>
      <c r="Z23">
        <v>110</v>
      </c>
      <c r="AA23">
        <v>380</v>
      </c>
      <c r="AB23">
        <v>200</v>
      </c>
      <c r="AC23">
        <v>5000</v>
      </c>
      <c r="AD23">
        <v>6800</v>
      </c>
      <c r="AE23">
        <v>0</v>
      </c>
      <c r="AF23">
        <v>0</v>
      </c>
      <c r="AG23">
        <v>3450</v>
      </c>
      <c r="AH23">
        <v>0</v>
      </c>
      <c r="AI23">
        <v>0</v>
      </c>
      <c r="AJ23">
        <v>1200</v>
      </c>
      <c r="AK23">
        <v>0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24" s="34" cm="1">
        <f t="array" ref="C24">_xlfn.XLOOKUP(1,(TablaMeta[CONCAT]=$M$3&amp;$N$3&amp;D1_MARZO_2026[[#This Row],[SUPER]])*(TablaMeta[SEGG]=D1_MARZO_2026[[#This Row],[SEGMENTO]]),TablaMeta[Meta_Asesor])</f>
        <v>56000</v>
      </c>
      <c r="D24" s="35">
        <f>IF(D1_MARZO_2026[[#This Row],[RECUPERO]]="VACACIONES","VACACIONES",IFERROR(D1_MARZO_2026[[#This Row],[RECUPERO]]/D1_MARZO_2026[[#This Row],[META]],""))</f>
        <v>0.40125</v>
      </c>
      <c r="E24" s="35" t="str">
        <f>D1_MARZO_2026[[#This Row],[SUPER]]</f>
        <v>JORGE</v>
      </c>
      <c r="F24" t="s">
        <v>25</v>
      </c>
      <c r="G24" s="3">
        <v>22470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1.4733538461538462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47884</v>
      </c>
      <c r="Q24" s="6">
        <f>VLOOKUP(DATA_MARZO_2026[[#This Row],[ASER_]],D1_MARZO_2026[[ASESOR_CRR]:[META]],2,0)</f>
        <v>32500</v>
      </c>
      <c r="R24" t="s">
        <v>32</v>
      </c>
      <c r="S24">
        <v>0</v>
      </c>
      <c r="T24">
        <v>7500</v>
      </c>
      <c r="U24">
        <v>0</v>
      </c>
      <c r="V24">
        <v>0</v>
      </c>
      <c r="W24">
        <v>2912</v>
      </c>
      <c r="X24">
        <v>1542</v>
      </c>
      <c r="Y24">
        <v>0</v>
      </c>
      <c r="Z24">
        <v>750</v>
      </c>
      <c r="AA24">
        <v>11150</v>
      </c>
      <c r="AB24">
        <v>210</v>
      </c>
      <c r="AC24">
        <v>210</v>
      </c>
      <c r="AD24">
        <v>0</v>
      </c>
      <c r="AE24">
        <v>15450</v>
      </c>
      <c r="AF24">
        <v>0</v>
      </c>
      <c r="AG24">
        <v>3280</v>
      </c>
      <c r="AH24">
        <v>0</v>
      </c>
      <c r="AI24">
        <v>3000</v>
      </c>
      <c r="AJ24">
        <v>1880</v>
      </c>
      <c r="AK24">
        <v>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25" s="34" cm="1">
        <f t="array" ref="C25">_xlfn.XLOOKUP(1,(TablaMeta[CONCAT]=$M$3&amp;$N$3&amp;D1_MARZO_2026[[#This Row],[SUPER]])*(TablaMeta[SEGG]=D1_MARZO_2026[[#This Row],[SEGMENTO]]),TablaMeta[Meta_Asesor])</f>
        <v>56000</v>
      </c>
      <c r="D25" s="35">
        <f>IF(D1_MARZO_2026[[#This Row],[RECUPERO]]="VACACIONES","VACACIONES",IFERROR(D1_MARZO_2026[[#This Row],[RECUPERO]]/D1_MARZO_2026[[#This Row],[META]],""))</f>
        <v>0.31710714285714287</v>
      </c>
      <c r="E25" s="35" t="str">
        <f>D1_MARZO_2026[[#This Row],[SUPER]]</f>
        <v>JORGE</v>
      </c>
      <c r="F25" t="s">
        <v>65</v>
      </c>
      <c r="G25" s="3">
        <v>17758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0.49221538461538461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15997</v>
      </c>
      <c r="Q25" s="6">
        <f>VLOOKUP(DATA_MARZO_2026[[#This Row],[ASER_]],D1_MARZO_2026[[ASESOR_CRR]:[META]],2,0)</f>
        <v>32500</v>
      </c>
      <c r="R25" t="s">
        <v>509</v>
      </c>
      <c r="S25">
        <v>0</v>
      </c>
      <c r="T25">
        <v>0</v>
      </c>
      <c r="U25">
        <v>10300</v>
      </c>
      <c r="V25">
        <v>0</v>
      </c>
      <c r="W25">
        <v>0</v>
      </c>
      <c r="X25">
        <v>0</v>
      </c>
      <c r="Y25">
        <v>900</v>
      </c>
      <c r="Z25">
        <v>2000</v>
      </c>
      <c r="AA25">
        <v>0</v>
      </c>
      <c r="AB25">
        <v>0</v>
      </c>
      <c r="AC25">
        <v>0</v>
      </c>
      <c r="AD25">
        <v>1000</v>
      </c>
      <c r="AE25">
        <v>0</v>
      </c>
      <c r="AF25">
        <v>300</v>
      </c>
      <c r="AG25">
        <v>500</v>
      </c>
      <c r="AH25">
        <v>0</v>
      </c>
      <c r="AI25">
        <v>0</v>
      </c>
      <c r="AJ25">
        <v>400</v>
      </c>
      <c r="AK25">
        <v>597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26" s="34" cm="1">
        <f t="array" ref="C26">_xlfn.XLOOKUP(1,(TablaMeta[CONCAT]=$M$3&amp;$N$3&amp;D1_MARZO_2026[[#This Row],[SUPER]])*(TablaMeta[SEGG]=D1_MARZO_2026[[#This Row],[SEGMENTO]]),TablaMeta[Meta_Asesor])</f>
        <v>56000</v>
      </c>
      <c r="D26" s="35">
        <f>IF(D1_MARZO_2026[[#This Row],[RECUPERO]]="VACACIONES","VACACIONES",IFERROR(D1_MARZO_2026[[#This Row],[RECUPERO]]/D1_MARZO_2026[[#This Row],[META]],""))</f>
        <v>0.26452946428571428</v>
      </c>
      <c r="E26" s="35" t="str">
        <f>D1_MARZO_2026[[#This Row],[SUPER]]</f>
        <v>JORGE</v>
      </c>
      <c r="F26" t="s">
        <v>580</v>
      </c>
      <c r="G26" s="3">
        <v>14813.65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1.0055002127659576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94517.02</v>
      </c>
      <c r="Q26" s="6">
        <f>VLOOKUP(DATA_MARZO_2026[[#This Row],[ASER_]],D1_MARZO_2026[[ASESOR_CRR]:[META]],2,0)</f>
        <v>94000</v>
      </c>
      <c r="R26" t="s">
        <v>38</v>
      </c>
      <c r="S26" s="45">
        <v>200</v>
      </c>
      <c r="T26">
        <v>6484.86</v>
      </c>
      <c r="U26">
        <v>7300</v>
      </c>
      <c r="V26">
        <v>10150</v>
      </c>
      <c r="W26">
        <v>6377</v>
      </c>
      <c r="X26">
        <v>11957.74</v>
      </c>
      <c r="Y26">
        <v>1030</v>
      </c>
      <c r="Z26">
        <v>2100</v>
      </c>
      <c r="AA26">
        <v>2500</v>
      </c>
      <c r="AB26">
        <v>537.76</v>
      </c>
      <c r="AC26">
        <v>1300</v>
      </c>
      <c r="AD26">
        <v>3700</v>
      </c>
      <c r="AE26">
        <v>5780</v>
      </c>
      <c r="AF26">
        <v>13000</v>
      </c>
      <c r="AG26">
        <v>8450</v>
      </c>
      <c r="AH26">
        <v>4300</v>
      </c>
      <c r="AI26">
        <v>6400</v>
      </c>
      <c r="AJ26">
        <v>750</v>
      </c>
      <c r="AK26">
        <v>2500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27" s="34" cm="1">
        <f t="array" ref="C27">_xlfn.XLOOKUP(1,(TablaMeta[CONCAT]=$M$3&amp;$N$3&amp;D1_MARZO_2026[[#This Row],[SUPER]])*(TablaMeta[SEGG]=D1_MARZO_2026[[#This Row],[SEGMENTO]]),TablaMeta[Meta_Asesor])</f>
        <v>56000</v>
      </c>
      <c r="D27" s="35">
        <f>IF(D1_MARZO_2026[[#This Row],[RECUPERO]]="VACACIONES","VACACIONES",IFERROR(D1_MARZO_2026[[#This Row],[RECUPERO]]/D1_MARZO_2026[[#This Row],[META]],""))</f>
        <v>0.16071428571428573</v>
      </c>
      <c r="E27" s="35" t="str">
        <f>D1_MARZO_2026[[#This Row],[SUPER]]</f>
        <v>JORGE</v>
      </c>
      <c r="F27" t="s">
        <v>207</v>
      </c>
      <c r="G27" s="3">
        <v>9000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1.0349787234042553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97288</v>
      </c>
      <c r="Q27" s="6">
        <f>VLOOKUP(DATA_MARZO_2026[[#This Row],[ASER_]],D1_MARZO_2026[[ASESOR_CRR]:[META]],2,0)</f>
        <v>94000</v>
      </c>
      <c r="R27" t="s">
        <v>76</v>
      </c>
      <c r="S27" s="45">
        <v>0</v>
      </c>
      <c r="T27">
        <v>3450</v>
      </c>
      <c r="U27">
        <v>8660.16</v>
      </c>
      <c r="V27">
        <v>16000</v>
      </c>
      <c r="W27">
        <v>0</v>
      </c>
      <c r="X27">
        <v>20000</v>
      </c>
      <c r="Y27">
        <v>4463</v>
      </c>
      <c r="Z27">
        <v>3500</v>
      </c>
      <c r="AA27">
        <v>0</v>
      </c>
      <c r="AB27">
        <v>0</v>
      </c>
      <c r="AC27">
        <v>1000</v>
      </c>
      <c r="AD27">
        <v>8515</v>
      </c>
      <c r="AE27">
        <v>0</v>
      </c>
      <c r="AF27">
        <v>4000</v>
      </c>
      <c r="AG27">
        <v>400</v>
      </c>
      <c r="AH27">
        <v>8500</v>
      </c>
      <c r="AI27">
        <v>1000</v>
      </c>
      <c r="AJ27">
        <v>8999.82</v>
      </c>
      <c r="AK27">
        <v>8800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6.3116071428571424E-2</v>
      </c>
      <c r="E28" s="35" t="str">
        <f>D1_MARZO_2026[[#This Row],[SUPER]]</f>
        <v>JORGE</v>
      </c>
      <c r="F28" t="s">
        <v>17</v>
      </c>
      <c r="G28" s="3">
        <v>3534.5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0.70969159574468077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66711.009999999995</v>
      </c>
      <c r="Q28" s="6">
        <f>VLOOKUP(DATA_MARZO_2026[[#This Row],[ASER_]],D1_MARZO_2026[[ASESOR_CRR]:[META]],2,0)</f>
        <v>94000</v>
      </c>
      <c r="R28" t="s">
        <v>78</v>
      </c>
      <c r="S28">
        <v>0</v>
      </c>
      <c r="T28">
        <v>6000</v>
      </c>
      <c r="U28">
        <v>8600</v>
      </c>
      <c r="V28">
        <v>0</v>
      </c>
      <c r="W28">
        <v>2495</v>
      </c>
      <c r="X28">
        <v>10750</v>
      </c>
      <c r="Y28">
        <v>0</v>
      </c>
      <c r="Z28">
        <v>496</v>
      </c>
      <c r="AA28">
        <v>1800</v>
      </c>
      <c r="AB28">
        <v>0</v>
      </c>
      <c r="AC28">
        <v>2800</v>
      </c>
      <c r="AD28">
        <v>17350.099999999999</v>
      </c>
      <c r="AE28">
        <v>9000</v>
      </c>
      <c r="AF28">
        <v>0</v>
      </c>
      <c r="AG28">
        <v>800</v>
      </c>
      <c r="AH28">
        <v>1820</v>
      </c>
      <c r="AI28">
        <v>500</v>
      </c>
      <c r="AJ28">
        <v>4000</v>
      </c>
      <c r="AK28">
        <v>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1.1295178571428572</v>
      </c>
      <c r="E29" s="35" t="str">
        <f>D1_MARZO_2026[[#This Row],[SUPER]]</f>
        <v>JOHAN</v>
      </c>
      <c r="F29" t="s">
        <v>61</v>
      </c>
      <c r="G29" s="3">
        <v>63253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0.7048214285714286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39470</v>
      </c>
      <c r="Q29" s="6">
        <f>VLOOKUP(DATA_MARZO_2026[[#This Row],[ASER_]],D1_MARZO_2026[[ASESOR_CRR]:[META]],2,0)</f>
        <v>56000</v>
      </c>
      <c r="R29" t="s">
        <v>59</v>
      </c>
      <c r="S29">
        <v>3500</v>
      </c>
      <c r="T29">
        <v>0</v>
      </c>
      <c r="U29">
        <v>1000</v>
      </c>
      <c r="V29">
        <v>0</v>
      </c>
      <c r="W29">
        <v>0</v>
      </c>
      <c r="X29">
        <v>5500</v>
      </c>
      <c r="Y29">
        <v>0</v>
      </c>
      <c r="Z29">
        <v>0</v>
      </c>
      <c r="AA29">
        <v>4500</v>
      </c>
      <c r="AB29">
        <v>0</v>
      </c>
      <c r="AC29">
        <v>200</v>
      </c>
      <c r="AD29">
        <v>2200</v>
      </c>
      <c r="AE29">
        <v>8000</v>
      </c>
      <c r="AF29">
        <v>1860</v>
      </c>
      <c r="AG29">
        <v>3600</v>
      </c>
      <c r="AH29">
        <v>5470</v>
      </c>
      <c r="AI29">
        <v>2140</v>
      </c>
      <c r="AJ29">
        <v>0</v>
      </c>
      <c r="AK29">
        <v>1500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0.8763035714285714</v>
      </c>
      <c r="E30" s="35" t="str">
        <f>D1_MARZO_2026[[#This Row],[SUPER]]</f>
        <v>JOHAN</v>
      </c>
      <c r="F30" t="s">
        <v>60</v>
      </c>
      <c r="G30" s="3">
        <v>49073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0.8763035714285714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49073</v>
      </c>
      <c r="Q30" s="6">
        <f>VLOOKUP(DATA_MARZO_2026[[#This Row],[ASER_]],D1_MARZO_2026[[ASESOR_CRR]:[META]],2,0)</f>
        <v>56000</v>
      </c>
      <c r="R30" t="s">
        <v>60</v>
      </c>
      <c r="S30">
        <v>1377</v>
      </c>
      <c r="T30">
        <v>1370</v>
      </c>
      <c r="U30" s="45">
        <v>0</v>
      </c>
      <c r="V30">
        <v>1900</v>
      </c>
      <c r="W30">
        <v>3200</v>
      </c>
      <c r="X30">
        <v>0</v>
      </c>
      <c r="Y30">
        <v>3600</v>
      </c>
      <c r="Z30">
        <v>0</v>
      </c>
      <c r="AA30">
        <v>0</v>
      </c>
      <c r="AB30">
        <v>3300</v>
      </c>
      <c r="AC30">
        <v>0</v>
      </c>
      <c r="AD30">
        <v>7400</v>
      </c>
      <c r="AE30">
        <v>4800</v>
      </c>
      <c r="AF30">
        <v>0</v>
      </c>
      <c r="AG30">
        <v>21426</v>
      </c>
      <c r="AH30">
        <v>0</v>
      </c>
      <c r="AI30">
        <v>0</v>
      </c>
      <c r="AJ30">
        <v>700</v>
      </c>
      <c r="AK30">
        <v>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0.7048214285714286</v>
      </c>
      <c r="E31" s="35" t="str">
        <f>D1_MARZO_2026[[#This Row],[SUPER]]</f>
        <v>JOHAN</v>
      </c>
      <c r="F31" t="s">
        <v>59</v>
      </c>
      <c r="G31" s="3">
        <v>39470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0.66603571428571429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JOHAN</v>
      </c>
      <c r="P31" s="6">
        <f>VLOOKUP(DATA_MARZO_2026[[#This Row],[ASER_]],D1_MARZO_2026[[ASESOR_CRR]:[RECUPERO]],6,0)</f>
        <v>37298</v>
      </c>
      <c r="Q31" s="6">
        <f>VLOOKUP(DATA_MARZO_2026[[#This Row],[ASER_]],D1_MARZO_2026[[ASESOR_CRR]:[META]],2,0)</f>
        <v>56000</v>
      </c>
      <c r="R31" t="s">
        <v>75</v>
      </c>
      <c r="S31">
        <v>0</v>
      </c>
      <c r="T31">
        <v>2000</v>
      </c>
      <c r="U31">
        <v>0</v>
      </c>
      <c r="V31">
        <v>0</v>
      </c>
      <c r="W31">
        <v>500</v>
      </c>
      <c r="X31">
        <v>4200</v>
      </c>
      <c r="Y31">
        <v>0</v>
      </c>
      <c r="Z31">
        <v>0</v>
      </c>
      <c r="AA31">
        <v>115</v>
      </c>
      <c r="AB31">
        <v>12000</v>
      </c>
      <c r="AC31">
        <v>11750</v>
      </c>
      <c r="AD31">
        <v>2140</v>
      </c>
      <c r="AE31">
        <v>0</v>
      </c>
      <c r="AF31">
        <v>0</v>
      </c>
      <c r="AG31">
        <v>1750</v>
      </c>
      <c r="AH31">
        <v>0</v>
      </c>
      <c r="AI31">
        <v>281</v>
      </c>
      <c r="AJ31">
        <v>0</v>
      </c>
      <c r="AK31">
        <v>2562</v>
      </c>
      <c r="AO31" s="55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0.6875</v>
      </c>
      <c r="E32" s="35" t="str">
        <f>D1_MARZO_2026[[#This Row],[SUPER]]</f>
        <v>JOHAN</v>
      </c>
      <c r="F32" t="s">
        <v>18</v>
      </c>
      <c r="G32" s="3">
        <v>38500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0.65335714285714286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36588</v>
      </c>
      <c r="Q32" s="6">
        <f>VLOOKUP(DATA_MARZO_2026[[#This Row],[ASER_]],D1_MARZO_2026[[ASESOR_CRR]:[META]],2,0)</f>
        <v>56000</v>
      </c>
      <c r="R32" t="s">
        <v>72</v>
      </c>
      <c r="S32">
        <v>0</v>
      </c>
      <c r="T32">
        <v>3000</v>
      </c>
      <c r="U32">
        <v>1000</v>
      </c>
      <c r="V32">
        <v>0</v>
      </c>
      <c r="W32">
        <v>0</v>
      </c>
      <c r="X32">
        <v>0</v>
      </c>
      <c r="Y32">
        <v>0</v>
      </c>
      <c r="Z32">
        <v>300</v>
      </c>
      <c r="AA32">
        <v>2600</v>
      </c>
      <c r="AB32">
        <v>1000</v>
      </c>
      <c r="AC32">
        <v>12000</v>
      </c>
      <c r="AD32">
        <v>5000</v>
      </c>
      <c r="AE32">
        <v>0</v>
      </c>
      <c r="AF32">
        <v>6000</v>
      </c>
      <c r="AG32">
        <v>0</v>
      </c>
      <c r="AH32">
        <v>0</v>
      </c>
      <c r="AI32">
        <v>2688</v>
      </c>
      <c r="AJ32">
        <v>0</v>
      </c>
      <c r="AK32">
        <v>3000</v>
      </c>
      <c r="AO32" s="55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0.66603571428571429</v>
      </c>
      <c r="E33" s="35" t="str">
        <f>D1_MARZO_2026[[#This Row],[SUPER]]</f>
        <v>JOHAN</v>
      </c>
      <c r="F33" t="s">
        <v>75</v>
      </c>
      <c r="G33" s="3">
        <v>37298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0.42103571428571429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23578</v>
      </c>
      <c r="Q33" s="6">
        <f>VLOOKUP(DATA_MARZO_2026[[#This Row],[ASER_]],D1_MARZO_2026[[ASESOR_CRR]:[META]],2,0)</f>
        <v>56000</v>
      </c>
      <c r="R33" t="s">
        <v>12</v>
      </c>
      <c r="S33">
        <v>0</v>
      </c>
      <c r="T33">
        <v>0</v>
      </c>
      <c r="U33">
        <v>3800</v>
      </c>
      <c r="V33">
        <v>0</v>
      </c>
      <c r="W33">
        <v>3500</v>
      </c>
      <c r="X33">
        <v>0</v>
      </c>
      <c r="Y33">
        <v>0</v>
      </c>
      <c r="Z33">
        <v>1500</v>
      </c>
      <c r="AA33">
        <v>0</v>
      </c>
      <c r="AB33">
        <v>0</v>
      </c>
      <c r="AC33">
        <v>3000</v>
      </c>
      <c r="AD33">
        <v>3078</v>
      </c>
      <c r="AE33">
        <v>1850</v>
      </c>
      <c r="AF33">
        <v>500</v>
      </c>
      <c r="AG33">
        <v>350</v>
      </c>
      <c r="AH33">
        <v>0</v>
      </c>
      <c r="AI33">
        <v>0</v>
      </c>
      <c r="AJ33">
        <v>3500</v>
      </c>
      <c r="AK33">
        <v>2500</v>
      </c>
      <c r="AO33" s="55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0.65589285714285717</v>
      </c>
      <c r="E34" s="35" t="str">
        <f>D1_MARZO_2026[[#This Row],[SUPER]]</f>
        <v>JOHAN</v>
      </c>
      <c r="F34" t="s">
        <v>122</v>
      </c>
      <c r="G34" s="3">
        <v>36730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0.6875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38500</v>
      </c>
      <c r="Q34" s="6">
        <f>VLOOKUP(DATA_MARZO_2026[[#This Row],[ASER_]],D1_MARZO_2026[[ASESOR_CRR]:[META]],2,0)</f>
        <v>56000</v>
      </c>
      <c r="R34" t="s">
        <v>18</v>
      </c>
      <c r="S34">
        <v>0</v>
      </c>
      <c r="T34">
        <v>0</v>
      </c>
      <c r="U34">
        <v>0</v>
      </c>
      <c r="V34">
        <v>4900</v>
      </c>
      <c r="W34">
        <v>0</v>
      </c>
      <c r="X34">
        <v>0</v>
      </c>
      <c r="Y34">
        <v>8000</v>
      </c>
      <c r="Z34">
        <v>0</v>
      </c>
      <c r="AA34">
        <v>0</v>
      </c>
      <c r="AB34">
        <v>2000</v>
      </c>
      <c r="AC34">
        <v>0</v>
      </c>
      <c r="AD34">
        <v>0</v>
      </c>
      <c r="AE34">
        <v>0</v>
      </c>
      <c r="AF34">
        <v>0</v>
      </c>
      <c r="AG34">
        <v>16600</v>
      </c>
      <c r="AH34">
        <v>3000</v>
      </c>
      <c r="AI34">
        <v>4000</v>
      </c>
      <c r="AJ34">
        <v>0</v>
      </c>
      <c r="AK34">
        <v>0</v>
      </c>
      <c r="AO34" s="55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0.65335714285714286</v>
      </c>
      <c r="E35" s="35" t="str">
        <f>D1_MARZO_2026[[#This Row],[SUPER]]</f>
        <v>JOHAN</v>
      </c>
      <c r="F35" t="s">
        <v>72</v>
      </c>
      <c r="G35" s="3">
        <v>36588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0.65589285714285717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36730</v>
      </c>
      <c r="Q35" s="6">
        <f>VLOOKUP(DATA_MARZO_2026[[#This Row],[ASER_]],D1_MARZO_2026[[ASESOR_CRR]:[META]],2,0)</f>
        <v>56000</v>
      </c>
      <c r="R35" t="s">
        <v>122</v>
      </c>
      <c r="S35">
        <v>0</v>
      </c>
      <c r="T35">
        <v>630</v>
      </c>
      <c r="U35">
        <v>0</v>
      </c>
      <c r="V35">
        <v>0</v>
      </c>
      <c r="W35">
        <v>0</v>
      </c>
      <c r="X35">
        <v>0</v>
      </c>
      <c r="Y35">
        <v>0</v>
      </c>
      <c r="Z35">
        <v>4500</v>
      </c>
      <c r="AA35">
        <v>6500</v>
      </c>
      <c r="AB35">
        <v>0</v>
      </c>
      <c r="AC35">
        <v>8000</v>
      </c>
      <c r="AD35">
        <v>0</v>
      </c>
      <c r="AE35">
        <v>2300</v>
      </c>
      <c r="AF35">
        <v>0</v>
      </c>
      <c r="AG35">
        <v>5600</v>
      </c>
      <c r="AH35">
        <v>9200</v>
      </c>
      <c r="AI35">
        <v>0</v>
      </c>
      <c r="AJ35">
        <v>0</v>
      </c>
      <c r="AK35">
        <v>0</v>
      </c>
      <c r="AO35" s="5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0.42103571428571429</v>
      </c>
      <c r="E36" s="35" t="str">
        <f>D1_MARZO_2026[[#This Row],[SUPER]]</f>
        <v>JOHAN</v>
      </c>
      <c r="F36" t="s">
        <v>12</v>
      </c>
      <c r="G36" s="3">
        <v>23578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0.33600000000000002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18816</v>
      </c>
      <c r="Q36" s="6">
        <f>VLOOKUP(DATA_MARZO_2026[[#This Row],[ASER_]],D1_MARZO_2026[[ASESOR_CRR]:[META]],2,0)</f>
        <v>56000</v>
      </c>
      <c r="R36" t="s">
        <v>206</v>
      </c>
      <c r="S36">
        <v>6000</v>
      </c>
      <c r="T36">
        <v>0</v>
      </c>
      <c r="U36">
        <v>0</v>
      </c>
      <c r="V36">
        <v>470</v>
      </c>
      <c r="W36">
        <v>5800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3050</v>
      </c>
      <c r="AD36">
        <v>0</v>
      </c>
      <c r="AE36">
        <v>2527</v>
      </c>
      <c r="AF36">
        <v>0</v>
      </c>
      <c r="AG36">
        <v>219</v>
      </c>
      <c r="AH36">
        <v>550</v>
      </c>
      <c r="AI36">
        <v>0</v>
      </c>
      <c r="AJ36">
        <v>200</v>
      </c>
      <c r="AK36">
        <v>0</v>
      </c>
      <c r="AO36" s="55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0.33600000000000002</v>
      </c>
      <c r="E37" s="35" t="str">
        <f>D1_MARZO_2026[[#This Row],[SUPER]]</f>
        <v>JOHAN</v>
      </c>
      <c r="F37" t="s">
        <v>206</v>
      </c>
      <c r="G37" s="3">
        <v>18816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0.22517857142857142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12610</v>
      </c>
      <c r="Q37" s="6">
        <f>VLOOKUP(DATA_MARZO_2026[[#This Row],[ASER_]],D1_MARZO_2026[[ASESOR_CRR]:[META]],2,0)</f>
        <v>56000</v>
      </c>
      <c r="R37" t="s">
        <v>109</v>
      </c>
      <c r="S37">
        <v>0</v>
      </c>
      <c r="T37">
        <v>1000</v>
      </c>
      <c r="U37">
        <v>0</v>
      </c>
      <c r="V37">
        <v>0</v>
      </c>
      <c r="W37">
        <v>0</v>
      </c>
      <c r="X37">
        <v>0</v>
      </c>
      <c r="Y37">
        <v>610</v>
      </c>
      <c r="Z37">
        <v>0</v>
      </c>
      <c r="AA37">
        <v>0</v>
      </c>
      <c r="AB37">
        <v>0</v>
      </c>
      <c r="AC37">
        <v>375</v>
      </c>
      <c r="AD37">
        <v>8000</v>
      </c>
      <c r="AE37">
        <v>0</v>
      </c>
      <c r="AF37">
        <v>0</v>
      </c>
      <c r="AG37">
        <v>1400</v>
      </c>
      <c r="AH37">
        <v>0</v>
      </c>
      <c r="AI37">
        <v>0</v>
      </c>
      <c r="AJ37">
        <v>375</v>
      </c>
      <c r="AK37">
        <v>850</v>
      </c>
      <c r="AO37" s="55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0.27892857142857141</v>
      </c>
      <c r="E38" s="35" t="str">
        <f>D1_MARZO_2026[[#This Row],[SUPER]]</f>
        <v>JOHAN</v>
      </c>
      <c r="F38" t="s">
        <v>85</v>
      </c>
      <c r="G38" s="3">
        <v>15620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1.1295178571428572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63253</v>
      </c>
      <c r="Q38" s="6">
        <f>VLOOKUP(DATA_MARZO_2026[[#This Row],[ASER_]],D1_MARZO_2026[[ASESOR_CRR]:[META]],2,0)</f>
        <v>56000</v>
      </c>
      <c r="R38" t="s">
        <v>61</v>
      </c>
      <c r="S38">
        <v>6550</v>
      </c>
      <c r="T38">
        <v>438</v>
      </c>
      <c r="U38">
        <v>0</v>
      </c>
      <c r="V38">
        <v>1065</v>
      </c>
      <c r="W38">
        <v>0</v>
      </c>
      <c r="X38">
        <v>600</v>
      </c>
      <c r="Y38">
        <v>5800</v>
      </c>
      <c r="Z38">
        <v>1900</v>
      </c>
      <c r="AA38">
        <v>3500</v>
      </c>
      <c r="AB38">
        <v>2000</v>
      </c>
      <c r="AC38">
        <v>0</v>
      </c>
      <c r="AD38">
        <v>0</v>
      </c>
      <c r="AE38">
        <v>18200</v>
      </c>
      <c r="AF38">
        <v>700</v>
      </c>
      <c r="AG38">
        <v>22500</v>
      </c>
      <c r="AH38">
        <v>0</v>
      </c>
      <c r="AI38">
        <v>0</v>
      </c>
      <c r="AJ38">
        <v>0</v>
      </c>
      <c r="AK38">
        <v>0</v>
      </c>
      <c r="AO38" s="55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0.22517857142857142</v>
      </c>
      <c r="E39" s="35" t="str">
        <f>D1_MARZO_2026[[#This Row],[SUPER]]</f>
        <v>JOHAN</v>
      </c>
      <c r="F39" t="s">
        <v>109</v>
      </c>
      <c r="G39" s="3">
        <v>12610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0.27892857142857141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15620</v>
      </c>
      <c r="Q39" s="6">
        <f>VLOOKUP(DATA_MARZO_2026[[#This Row],[ASER_]],D1_MARZO_2026[[ASESOR_CRR]:[META]],2,0)</f>
        <v>56000</v>
      </c>
      <c r="R39" t="s">
        <v>85</v>
      </c>
      <c r="S39">
        <v>4000</v>
      </c>
      <c r="T39">
        <v>0</v>
      </c>
      <c r="U39">
        <v>0</v>
      </c>
      <c r="V39">
        <v>315</v>
      </c>
      <c r="W39">
        <v>1000</v>
      </c>
      <c r="X39">
        <v>1135</v>
      </c>
      <c r="Y39">
        <v>0</v>
      </c>
      <c r="Z39">
        <v>0</v>
      </c>
      <c r="AA39">
        <v>0</v>
      </c>
      <c r="AB39" s="6">
        <v>0</v>
      </c>
      <c r="AC39" s="6">
        <v>0</v>
      </c>
      <c r="AD39" s="6">
        <v>0</v>
      </c>
      <c r="AE39" s="6">
        <v>320</v>
      </c>
      <c r="AF39" s="6">
        <v>0</v>
      </c>
      <c r="AG39" s="6">
        <v>0</v>
      </c>
      <c r="AH39" s="6">
        <v>0</v>
      </c>
      <c r="AI39">
        <v>8500</v>
      </c>
      <c r="AJ39">
        <v>350</v>
      </c>
      <c r="AK39">
        <v>0</v>
      </c>
      <c r="AO39" s="55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40" s="34" cm="1">
        <f t="array" ref="C40">_xlfn.XLOOKUP(1,(TablaMeta[CONCAT]=$M$3&amp;$N$3&amp;D1_MARZO_2026[[#This Row],[SUPER]])*(TablaMeta[SEGG]=D1_MARZO_2026[[#This Row],[SEGMENTO]]),TablaMeta[Meta_Asesor])</f>
        <v>32500</v>
      </c>
      <c r="D40" s="35">
        <f>IF(D1_MARZO_2026[[#This Row],[RECUPERO]]="VACACIONES","VACACIONES",IFERROR(D1_MARZO_2026[[#This Row],[RECUPERO]]/D1_MARZO_2026[[#This Row],[META]],""))</f>
        <v>2.391230769230769</v>
      </c>
      <c r="E40" s="35" t="str">
        <f>D1_MARZO_2026[[#This Row],[SUPER]]</f>
        <v>SANDY</v>
      </c>
      <c r="F40" t="s">
        <v>79</v>
      </c>
      <c r="G40" s="3">
        <v>77715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0" s="56"/>
      <c r="M40" s="5">
        <f>DATA_MARZO_2026[[#This Row],[RECUPERO]]/DATA_MARZO_2026[[#This Row],[META]]</f>
        <v>0.16071428571428573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9000</v>
      </c>
      <c r="Q40" s="6">
        <f>VLOOKUP(DATA_MARZO_2026[[#This Row],[ASER_]],D1_MARZO_2026[[ASESOR_CRR]:[META]],2,0)</f>
        <v>56000</v>
      </c>
      <c r="R40" t="s">
        <v>207</v>
      </c>
      <c r="S40">
        <v>0</v>
      </c>
      <c r="T40">
        <v>0</v>
      </c>
      <c r="U40">
        <v>0</v>
      </c>
      <c r="V40">
        <v>0</v>
      </c>
      <c r="W40">
        <v>0</v>
      </c>
      <c r="X40">
        <v>7000</v>
      </c>
      <c r="Y40">
        <v>0</v>
      </c>
      <c r="Z40">
        <v>0</v>
      </c>
      <c r="AA40">
        <v>950</v>
      </c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>
        <v>0</v>
      </c>
      <c r="AJ40">
        <v>0</v>
      </c>
      <c r="AK40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41" s="34" cm="1">
        <f t="array" ref="C41">_xlfn.XLOOKUP(1,(TablaMeta[CONCAT]=$M$3&amp;$N$3&amp;D1_MARZO_2026[[#This Row],[SUPER]])*(TablaMeta[SEGG]=D1_MARZO_2026[[#This Row],[SEGMENTO]]),TablaMeta[Meta_Asesor])</f>
        <v>32500</v>
      </c>
      <c r="D41" s="35">
        <f>IF(D1_MARZO_2026[[#This Row],[RECUPERO]]="VACACIONES","VACACIONES",IFERROR(D1_MARZO_2026[[#This Row],[RECUPERO]]/D1_MARZO_2026[[#This Row],[META]],""))</f>
        <v>1.4733538461538462</v>
      </c>
      <c r="E41" s="35" t="str">
        <f>D1_MARZO_2026[[#This Row],[SUPER]]</f>
        <v>SANDY</v>
      </c>
      <c r="F41" t="s">
        <v>32</v>
      </c>
      <c r="G41" s="3">
        <v>47884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1" s="56"/>
      <c r="M41" s="5">
        <f>DATA_MARZO_2026[[#This Row],[RECUPERO]]/DATA_MARZO_2026[[#This Row],[META]]</f>
        <v>0.41016071428571427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22969</v>
      </c>
      <c r="Q41" s="6">
        <f>VLOOKUP(DATA_MARZO_2026[[#This Row],[ASER_]],D1_MARZO_2026[[ASESOR_CRR]:[META]],2,0)</f>
        <v>56000</v>
      </c>
      <c r="R41" t="s">
        <v>392</v>
      </c>
      <c r="S41">
        <v>0</v>
      </c>
      <c r="T41">
        <v>0</v>
      </c>
      <c r="U41">
        <v>2708</v>
      </c>
      <c r="V41">
        <v>0</v>
      </c>
      <c r="W41">
        <v>600</v>
      </c>
      <c r="X41">
        <v>0</v>
      </c>
      <c r="Y41">
        <v>600</v>
      </c>
      <c r="Z41">
        <v>0</v>
      </c>
      <c r="AA41">
        <v>4000</v>
      </c>
      <c r="AB41" s="6">
        <v>2300</v>
      </c>
      <c r="AC41" s="6">
        <v>220</v>
      </c>
      <c r="AD41" s="6">
        <v>0</v>
      </c>
      <c r="AE41" s="6">
        <v>6700</v>
      </c>
      <c r="AF41" s="6">
        <v>0</v>
      </c>
      <c r="AG41" s="6">
        <v>3500</v>
      </c>
      <c r="AH41" s="6">
        <v>0</v>
      </c>
      <c r="AI41">
        <v>0</v>
      </c>
      <c r="AJ41">
        <v>0</v>
      </c>
      <c r="AK41">
        <v>2000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42" s="34" cm="1">
        <f t="array" ref="C42">_xlfn.XLOOKUP(1,(TablaMeta[CONCAT]=$M$3&amp;$N$3&amp;D1_MARZO_2026[[#This Row],[SUPER]])*(TablaMeta[SEGG]=D1_MARZO_2026[[#This Row],[SEGMENTO]]),TablaMeta[Meta_Asesor])</f>
        <v>32500</v>
      </c>
      <c r="D42" s="35">
        <f>IF(D1_MARZO_2026[[#This Row],[RECUPERO]]="VACACIONES","VACACIONES",IFERROR(D1_MARZO_2026[[#This Row],[RECUPERO]]/D1_MARZO_2026[[#This Row],[META]],""))</f>
        <v>1.3237341538461538</v>
      </c>
      <c r="E42" s="35" t="str">
        <f>D1_MARZO_2026[[#This Row],[SUPER]]</f>
        <v>SANDY</v>
      </c>
      <c r="F42" t="s">
        <v>68</v>
      </c>
      <c r="G42" s="3">
        <v>43021.36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2" s="56"/>
      <c r="M42" s="5">
        <f>DATA_MARZO_2026[[#This Row],[RECUPERO]]/DATA_MARZO_2026[[#This Row],[META]]</f>
        <v>1.1341133928571427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63510.35</v>
      </c>
      <c r="Q42" s="6">
        <f>VLOOKUP(DATA_MARZO_2026[[#This Row],[ASER_]],D1_MARZO_2026[[ASESOR_CRR]:[META]],2,0)</f>
        <v>56000</v>
      </c>
      <c r="R42" t="s">
        <v>23</v>
      </c>
      <c r="S42">
        <v>420</v>
      </c>
      <c r="T42">
        <v>3105</v>
      </c>
      <c r="U42">
        <v>4500</v>
      </c>
      <c r="V42">
        <v>20933</v>
      </c>
      <c r="W42" s="5">
        <v>200</v>
      </c>
      <c r="X42" s="6">
        <v>3290</v>
      </c>
      <c r="Y42" s="6">
        <v>268</v>
      </c>
      <c r="Z42" s="6">
        <v>7800</v>
      </c>
      <c r="AA42" s="6">
        <v>500</v>
      </c>
      <c r="AB42" s="6">
        <v>0</v>
      </c>
      <c r="AC42" s="6">
        <v>950</v>
      </c>
      <c r="AD42" s="6">
        <v>2700</v>
      </c>
      <c r="AE42" s="6">
        <v>650</v>
      </c>
      <c r="AF42" s="6">
        <v>5000</v>
      </c>
      <c r="AG42" s="6">
        <v>2475</v>
      </c>
      <c r="AH42" s="6">
        <v>3053</v>
      </c>
      <c r="AI42" s="6">
        <v>7000</v>
      </c>
      <c r="AJ42" s="6">
        <v>0</v>
      </c>
      <c r="AK42" s="6">
        <v>500</v>
      </c>
      <c r="AL42" s="6"/>
      <c r="AM42" s="6"/>
      <c r="AN42" s="6"/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43" s="34" cm="1">
        <f t="array" ref="C43">_xlfn.XLOOKUP(1,(TablaMeta[CONCAT]=$M$3&amp;$N$3&amp;D1_MARZO_2026[[#This Row],[SUPER]])*(TablaMeta[SEGG]=D1_MARZO_2026[[#This Row],[SEGMENTO]]),TablaMeta[Meta_Asesor])</f>
        <v>32500</v>
      </c>
      <c r="D43" s="35">
        <f>IF(D1_MARZO_2026[[#This Row],[RECUPERO]]="VACACIONES","VACACIONES",IFERROR(D1_MARZO_2026[[#This Row],[RECUPERO]]/D1_MARZO_2026[[#This Row],[META]],""))</f>
        <v>1.1087692307692307</v>
      </c>
      <c r="E43" s="35" t="str">
        <f>D1_MARZO_2026[[#This Row],[SUPER]]</f>
        <v>SANDY</v>
      </c>
      <c r="F43" t="s">
        <v>96</v>
      </c>
      <c r="G43" s="3">
        <v>36035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3" s="56"/>
      <c r="M43" s="5">
        <f>DATA_MARZO_2026[[#This Row],[RECUPERO]]/DATA_MARZO_2026[[#This Row],[META]]</f>
        <v>0.31710714285714287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17758</v>
      </c>
      <c r="Q43" s="6">
        <f>VLOOKUP(DATA_MARZO_2026[[#This Row],[ASER_]],D1_MARZO_2026[[ASESOR_CRR]:[META]],2,0)</f>
        <v>56000</v>
      </c>
      <c r="R43" t="s">
        <v>65</v>
      </c>
      <c r="S43">
        <v>700</v>
      </c>
      <c r="T43">
        <v>0</v>
      </c>
      <c r="U43">
        <v>0</v>
      </c>
      <c r="V43">
        <v>1000</v>
      </c>
      <c r="W43" s="5">
        <v>0</v>
      </c>
      <c r="X43" s="6">
        <v>0</v>
      </c>
      <c r="Y43" s="6">
        <v>2308</v>
      </c>
      <c r="Z43" s="6">
        <v>0</v>
      </c>
      <c r="AA43" s="6">
        <v>0</v>
      </c>
      <c r="AB43" s="6">
        <v>0</v>
      </c>
      <c r="AC43" s="6">
        <v>0</v>
      </c>
      <c r="AD43" s="6">
        <v>2500</v>
      </c>
      <c r="AE43" s="6">
        <v>0</v>
      </c>
      <c r="AF43" s="6">
        <v>0</v>
      </c>
      <c r="AG43" s="6">
        <v>2750</v>
      </c>
      <c r="AH43" s="6">
        <v>7000</v>
      </c>
      <c r="AI43" s="6">
        <v>0</v>
      </c>
      <c r="AJ43" s="6">
        <v>350</v>
      </c>
      <c r="AK43" s="6">
        <v>800</v>
      </c>
      <c r="AL43" s="6"/>
      <c r="AM43" s="6"/>
      <c r="AN43" s="6"/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44" s="34" cm="1">
        <f t="array" ref="C44">_xlfn.XLOOKUP(1,(TablaMeta[CONCAT]=$M$3&amp;$N$3&amp;D1_MARZO_2026[[#This Row],[SUPER]])*(TablaMeta[SEGG]=D1_MARZO_2026[[#This Row],[SEGMENTO]]),TablaMeta[Meta_Asesor])</f>
        <v>32500</v>
      </c>
      <c r="D44" s="35">
        <f>IF(D1_MARZO_2026[[#This Row],[RECUPERO]]="VACACIONES","VACACIONES",IFERROR(D1_MARZO_2026[[#This Row],[RECUPERO]]/D1_MARZO_2026[[#This Row],[META]],""))</f>
        <v>1.0941353846153847</v>
      </c>
      <c r="E44" s="35" t="str">
        <f>D1_MARZO_2026[[#This Row],[SUPER]]</f>
        <v>SANDY</v>
      </c>
      <c r="F44" t="s">
        <v>29</v>
      </c>
      <c r="G44" s="3">
        <v>35559.4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4" s="56"/>
      <c r="M44" s="5">
        <f>DATA_MARZO_2026[[#This Row],[RECUPERO]]/DATA_MARZO_2026[[#This Row],[META]]</f>
        <v>0.56508928571428574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31645</v>
      </c>
      <c r="Q44" s="6">
        <f>VLOOKUP(DATA_MARZO_2026[[#This Row],[ASER_]],D1_MARZO_2026[[ASESOR_CRR]:[META]],2,0)</f>
        <v>56000</v>
      </c>
      <c r="R44" t="s">
        <v>15</v>
      </c>
      <c r="S44">
        <v>3400</v>
      </c>
      <c r="T44">
        <v>5600</v>
      </c>
      <c r="U44">
        <v>0</v>
      </c>
      <c r="V44">
        <v>0</v>
      </c>
      <c r="W44" s="5">
        <v>0</v>
      </c>
      <c r="X44" s="6">
        <v>720</v>
      </c>
      <c r="Y44" s="6">
        <v>0</v>
      </c>
      <c r="Z44" s="6">
        <v>0</v>
      </c>
      <c r="AA44" s="6">
        <v>0</v>
      </c>
      <c r="AB44" s="6">
        <v>500</v>
      </c>
      <c r="AC44" s="6">
        <v>15600</v>
      </c>
      <c r="AD44" s="6">
        <v>0</v>
      </c>
      <c r="AE44" s="6">
        <v>0</v>
      </c>
      <c r="AF44" s="6">
        <v>325</v>
      </c>
      <c r="AG44" s="6">
        <v>0</v>
      </c>
      <c r="AH44" s="6">
        <v>5500</v>
      </c>
      <c r="AI44" s="6">
        <v>0</v>
      </c>
      <c r="AJ44" s="6">
        <v>0</v>
      </c>
      <c r="AK44" s="6">
        <v>0</v>
      </c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45" s="34" cm="1">
        <f t="array" ref="C45">_xlfn.XLOOKUP(1,(TablaMeta[CONCAT]=$M$3&amp;$N$3&amp;D1_MARZO_2026[[#This Row],[SUPER]])*(TablaMeta[SEGG]=D1_MARZO_2026[[#This Row],[SEGMENTO]]),TablaMeta[Meta_Asesor])</f>
        <v>32500</v>
      </c>
      <c r="D45" s="35">
        <f>IF(D1_MARZO_2026[[#This Row],[RECUPERO]]="VACACIONES","VACACIONES",IFERROR(D1_MARZO_2026[[#This Row],[RECUPERO]]/D1_MARZO_2026[[#This Row],[META]],""))</f>
        <v>0.66738461538461535</v>
      </c>
      <c r="E45" s="35" t="str">
        <f>D1_MARZO_2026[[#This Row],[SUPER]]</f>
        <v>SANDY</v>
      </c>
      <c r="F45" t="s">
        <v>174</v>
      </c>
      <c r="G45" s="3">
        <v>21690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5" s="56"/>
      <c r="M45" s="5">
        <f>DATA_MARZO_2026[[#This Row],[RECUPERO]]/DATA_MARZO_2026[[#This Row],[META]]</f>
        <v>6.3116071428571424E-2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3534.5</v>
      </c>
      <c r="Q45" s="6">
        <f>VLOOKUP(DATA_MARZO_2026[[#This Row],[ASER_]],D1_MARZO_2026[[ASESOR_CRR]:[META]],2,0)</f>
        <v>56000</v>
      </c>
      <c r="R45" t="s">
        <v>17</v>
      </c>
      <c r="S45">
        <v>636</v>
      </c>
      <c r="T45">
        <v>0</v>
      </c>
      <c r="U45">
        <v>0</v>
      </c>
      <c r="V45">
        <v>0</v>
      </c>
      <c r="W45" s="5">
        <v>0</v>
      </c>
      <c r="X45" s="6">
        <v>0</v>
      </c>
      <c r="Y45" s="6">
        <v>0</v>
      </c>
      <c r="Z45" s="6">
        <v>0</v>
      </c>
      <c r="AA45" s="6">
        <v>0</v>
      </c>
      <c r="AB45" s="6">
        <v>1156</v>
      </c>
      <c r="AC45" s="6">
        <v>0</v>
      </c>
      <c r="AD45" s="6">
        <v>0</v>
      </c>
      <c r="AE45" s="6">
        <v>0</v>
      </c>
      <c r="AF45" s="6">
        <v>1142.5</v>
      </c>
      <c r="AG45" s="6">
        <v>0</v>
      </c>
      <c r="AH45" s="6">
        <v>0</v>
      </c>
      <c r="AI45" s="6">
        <v>0</v>
      </c>
      <c r="AJ45" s="6">
        <v>600</v>
      </c>
      <c r="AK45" s="6">
        <v>0</v>
      </c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46" s="34" cm="1">
        <f t="array" ref="C46">_xlfn.XLOOKUP(1,(TablaMeta[CONCAT]=$M$3&amp;$N$3&amp;D1_MARZO_2026[[#This Row],[SUPER]])*(TablaMeta[SEGG]=D1_MARZO_2026[[#This Row],[SEGMENTO]]),TablaMeta[Meta_Asesor])</f>
        <v>32500</v>
      </c>
      <c r="D46" s="35">
        <f>IF(D1_MARZO_2026[[#This Row],[RECUPERO]]="VACACIONES","VACACIONES",IFERROR(D1_MARZO_2026[[#This Row],[RECUPERO]]/D1_MARZO_2026[[#This Row],[META]],""))</f>
        <v>0.49221538461538461</v>
      </c>
      <c r="E46" s="35" t="str">
        <f>D1_MARZO_2026[[#This Row],[SUPER]]</f>
        <v>SANDY</v>
      </c>
      <c r="F46" t="s">
        <v>509</v>
      </c>
      <c r="G46" s="3">
        <v>15997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6" s="56"/>
      <c r="M46" s="5">
        <f>DATA_MARZO_2026[[#This Row],[RECUPERO]]/DATA_MARZO_2026[[#This Row],[META]]</f>
        <v>0.58153571428571427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32566</v>
      </c>
      <c r="Q46" s="6">
        <f>VLOOKUP(DATA_MARZO_2026[[#This Row],[ASER_]],D1_MARZO_2026[[ASESOR_CRR]:[META]],2,0)</f>
        <v>56000</v>
      </c>
      <c r="R46" t="s">
        <v>24</v>
      </c>
      <c r="S46">
        <v>361</v>
      </c>
      <c r="T46">
        <v>0</v>
      </c>
      <c r="U46">
        <v>0</v>
      </c>
      <c r="V46">
        <v>400</v>
      </c>
      <c r="W46" s="5">
        <v>265</v>
      </c>
      <c r="X46" s="6">
        <v>2000</v>
      </c>
      <c r="Y46" s="6">
        <v>4200</v>
      </c>
      <c r="Z46" s="6">
        <v>0</v>
      </c>
      <c r="AA46" s="6">
        <v>0</v>
      </c>
      <c r="AB46" s="6">
        <v>210</v>
      </c>
      <c r="AC46" s="6">
        <v>4000</v>
      </c>
      <c r="AD46" s="6">
        <v>1500</v>
      </c>
      <c r="AE46" s="6">
        <v>600</v>
      </c>
      <c r="AF46" s="6">
        <v>5780</v>
      </c>
      <c r="AG46" s="6">
        <v>150</v>
      </c>
      <c r="AH46" s="6">
        <v>4700</v>
      </c>
      <c r="AI46" s="6">
        <v>7500</v>
      </c>
      <c r="AJ46" s="6">
        <v>600</v>
      </c>
      <c r="AK46" s="6">
        <v>0</v>
      </c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94000</v>
      </c>
      <c r="D47" s="35">
        <f>IF(D1_MARZO_2026[[#This Row],[RECUPERO]]="VACACIONES","VACACIONES",IFERROR(D1_MARZO_2026[[#This Row],[RECUPERO]]/D1_MARZO_2026[[#This Row],[META]],""))</f>
        <v>1.0349787234042553</v>
      </c>
      <c r="E47" s="35" t="str">
        <f>D1_MARZO_2026[[#This Row],[SUPER]]</f>
        <v>SANDY</v>
      </c>
      <c r="F47" t="s">
        <v>76</v>
      </c>
      <c r="G47" s="3">
        <v>97288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7" s="56"/>
      <c r="M47" s="5">
        <f>DATA_MARZO_2026[[#This Row],[RECUPERO]]/DATA_MARZO_2026[[#This Row],[META]]</f>
        <v>0.72267857142857139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40470</v>
      </c>
      <c r="Q47" s="6">
        <f>VLOOKUP(DATA_MARZO_2026[[#This Row],[ASER_]],D1_MARZO_2026[[ASESOR_CRR]:[META]],2,0)</f>
        <v>56000</v>
      </c>
      <c r="R47" t="s">
        <v>13</v>
      </c>
      <c r="S47">
        <v>0</v>
      </c>
      <c r="T47">
        <v>0</v>
      </c>
      <c r="U47">
        <v>10000</v>
      </c>
      <c r="V47">
        <v>270</v>
      </c>
      <c r="W47" s="5">
        <v>400</v>
      </c>
      <c r="X47" s="6">
        <v>700</v>
      </c>
      <c r="Y47" s="6">
        <v>0</v>
      </c>
      <c r="Z47" s="6">
        <v>0</v>
      </c>
      <c r="AA47" s="6">
        <v>0</v>
      </c>
      <c r="AB47" s="6">
        <v>1500</v>
      </c>
      <c r="AC47" s="6">
        <v>1000</v>
      </c>
      <c r="AD47" s="6">
        <v>5000</v>
      </c>
      <c r="AE47" s="6">
        <v>8800</v>
      </c>
      <c r="AF47" s="6">
        <v>0</v>
      </c>
      <c r="AG47" s="6">
        <v>0</v>
      </c>
      <c r="AH47" s="6">
        <v>1100</v>
      </c>
      <c r="AI47" s="6">
        <v>0</v>
      </c>
      <c r="AJ47" s="6">
        <v>9500</v>
      </c>
      <c r="AK47" s="6">
        <v>2200</v>
      </c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48" s="34" cm="1">
        <f t="array" ref="C48">_xlfn.XLOOKUP(1,(TablaMeta[CONCAT]=$M$3&amp;$N$3&amp;D1_MARZO_2026[[#This Row],[SUPER]])*(TablaMeta[SEGG]=D1_MARZO_2026[[#This Row],[SEGMENTO]]),TablaMeta[Meta_Asesor])</f>
        <v>94000</v>
      </c>
      <c r="D48" s="35">
        <f>IF(D1_MARZO_2026[[#This Row],[RECUPERO]]="VACACIONES","VACACIONES",IFERROR(D1_MARZO_2026[[#This Row],[RECUPERO]]/D1_MARZO_2026[[#This Row],[META]],""))</f>
        <v>1.0055002127659576</v>
      </c>
      <c r="E48" s="35" t="str">
        <f>D1_MARZO_2026[[#This Row],[SUPER]]</f>
        <v>SANDY</v>
      </c>
      <c r="F48" t="s">
        <v>38</v>
      </c>
      <c r="G48" s="3">
        <v>94517.02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8" s="56"/>
      <c r="M48" s="5">
        <f>DATA_MARZO_2026[[#This Row],[RECUPERO]]/DATA_MARZO_2026[[#This Row],[META]]</f>
        <v>0.40125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22470</v>
      </c>
      <c r="Q48" s="6">
        <f>VLOOKUP(DATA_MARZO_2026[[#This Row],[ASER_]],D1_MARZO_2026[[ASESOR_CRR]:[META]],2,0)</f>
        <v>56000</v>
      </c>
      <c r="R48" t="s">
        <v>25</v>
      </c>
      <c r="S48">
        <v>0</v>
      </c>
      <c r="T48">
        <v>0</v>
      </c>
      <c r="U48">
        <v>0</v>
      </c>
      <c r="V48">
        <v>280</v>
      </c>
      <c r="W48" s="5">
        <v>0</v>
      </c>
      <c r="X48" s="6">
        <v>0</v>
      </c>
      <c r="Y48" s="6">
        <v>2500</v>
      </c>
      <c r="Z48" s="6">
        <v>0</v>
      </c>
      <c r="AA48" s="6">
        <v>0</v>
      </c>
      <c r="AB48" s="6">
        <v>9500</v>
      </c>
      <c r="AC48" s="6">
        <v>0</v>
      </c>
      <c r="AD48" s="6">
        <v>0</v>
      </c>
      <c r="AE48" s="6">
        <v>2850</v>
      </c>
      <c r="AF48" s="6">
        <v>2150</v>
      </c>
      <c r="AG48" s="6">
        <v>600</v>
      </c>
      <c r="AH48" s="6">
        <v>4200</v>
      </c>
      <c r="AI48" s="6">
        <v>0</v>
      </c>
      <c r="AJ48" s="6">
        <v>390</v>
      </c>
      <c r="AK48" s="6">
        <v>0</v>
      </c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49" s="34" cm="1">
        <f t="array" ref="C49">_xlfn.XLOOKUP(1,(TablaMeta[CONCAT]=$M$3&amp;$N$3&amp;D1_MARZO_2026[[#This Row],[SUPER]])*(TablaMeta[SEGG]=D1_MARZO_2026[[#This Row],[SEGMENTO]]),TablaMeta[Meta_Asesor])</f>
        <v>94000</v>
      </c>
      <c r="D49" s="35">
        <f>IF(D1_MARZO_2026[[#This Row],[RECUPERO]]="VACACIONES","VACACIONES",IFERROR(D1_MARZO_2026[[#This Row],[RECUPERO]]/D1_MARZO_2026[[#This Row],[META]],""))</f>
        <v>0.70969159574468077</v>
      </c>
      <c r="E49" s="35" t="str">
        <f>D1_MARZO_2026[[#This Row],[SUPER]]</f>
        <v>SANDY</v>
      </c>
      <c r="F49" t="s">
        <v>78</v>
      </c>
      <c r="G49" s="3">
        <v>66711.009999999995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9" s="56"/>
      <c r="M49" s="5">
        <f>DATA_MARZO_2026[[#This Row],[RECUPERO]]/DATA_MARZO_2026[[#This Row],[META]]</f>
        <v>1.0630357142857143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59530</v>
      </c>
      <c r="Q49" s="6">
        <f>VLOOKUP(DATA_MARZO_2026[[#This Row],[ASER_]],D1_MARZO_2026[[ASESOR_CRR]:[META]],2,0)</f>
        <v>56000</v>
      </c>
      <c r="R49" t="s">
        <v>22</v>
      </c>
      <c r="S49">
        <v>0</v>
      </c>
      <c r="T49">
        <v>12500</v>
      </c>
      <c r="U49">
        <v>0</v>
      </c>
      <c r="V49">
        <v>3000</v>
      </c>
      <c r="W49">
        <v>4750</v>
      </c>
      <c r="X49" s="5">
        <v>1000</v>
      </c>
      <c r="Y49" s="6">
        <v>1000</v>
      </c>
      <c r="Z49" s="6">
        <v>0</v>
      </c>
      <c r="AA49" s="6">
        <v>0</v>
      </c>
      <c r="AB49" s="6">
        <v>9000</v>
      </c>
      <c r="AC49" s="6">
        <v>0</v>
      </c>
      <c r="AD49" s="6">
        <v>20000</v>
      </c>
      <c r="AE49" s="6">
        <v>0</v>
      </c>
      <c r="AF49" s="6">
        <v>0</v>
      </c>
      <c r="AG49" s="6">
        <v>0</v>
      </c>
      <c r="AH49" s="6">
        <v>1000</v>
      </c>
      <c r="AI49" s="6">
        <v>5080</v>
      </c>
      <c r="AJ49" s="6">
        <v>0</v>
      </c>
      <c r="AK49" s="6">
        <v>1800</v>
      </c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50" s="34" cm="1">
        <f t="array" ref="C50">_xlfn.XLOOKUP(1,(TablaMeta[CONCAT]=$M$3&amp;$N$3&amp;D1_MARZO_2026[[#This Row],[SUPER]])*(TablaMeta[SEGG]=D1_MARZO_2026[[#This Row],[SEGMENTO]]),TablaMeta[Meta_Asesor])</f>
        <v>86000</v>
      </c>
      <c r="D50" s="35">
        <f>IF(D1_MARZO_2026[[#This Row],[RECUPERO]]="VACACIONES","VACACIONES",IFERROR(D1_MARZO_2026[[#This Row],[RECUPERO]]/D1_MARZO_2026[[#This Row],[META]],""))</f>
        <v>0.96395348837209305</v>
      </c>
      <c r="E50" s="35" t="str">
        <f>D1_MARZO_2026[[#This Row],[SUPER]]</f>
        <v>KENNETH</v>
      </c>
      <c r="F50" t="s">
        <v>97</v>
      </c>
      <c r="G50" s="3">
        <v>82900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0" s="56"/>
      <c r="M50" s="5">
        <f>DATA_MARZO_2026[[#This Row],[RECUPERO]]/DATA_MARZO_2026[[#This Row],[META]]</f>
        <v>0.26452946428571428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14813.65</v>
      </c>
      <c r="Q50" s="6">
        <f>VLOOKUP(DATA_MARZO_2026[[#This Row],[ASER_]],D1_MARZO_2026[[ASESOR_CRR]:[META]],2,0)</f>
        <v>56000</v>
      </c>
      <c r="R50" t="s">
        <v>580</v>
      </c>
      <c r="S50">
        <v>0</v>
      </c>
      <c r="T50">
        <v>0</v>
      </c>
      <c r="U50">
        <v>0</v>
      </c>
      <c r="V50">
        <v>0</v>
      </c>
      <c r="W50">
        <v>0</v>
      </c>
      <c r="X50" s="5">
        <v>321.64999999999998</v>
      </c>
      <c r="Y50" s="6">
        <v>0</v>
      </c>
      <c r="Z50" s="6">
        <v>2900</v>
      </c>
      <c r="AA50" s="6">
        <v>142</v>
      </c>
      <c r="AB50" s="6">
        <v>0</v>
      </c>
      <c r="AC50" s="6">
        <v>450</v>
      </c>
      <c r="AD50" s="6">
        <v>0</v>
      </c>
      <c r="AE50" s="6">
        <v>3500</v>
      </c>
      <c r="AF50" s="6">
        <v>0</v>
      </c>
      <c r="AG50" s="6">
        <v>1200</v>
      </c>
      <c r="AH50" s="6">
        <v>0</v>
      </c>
      <c r="AI50" s="6">
        <v>5500</v>
      </c>
      <c r="AJ50" s="6">
        <v>0</v>
      </c>
      <c r="AK50" s="6">
        <v>750</v>
      </c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51" s="34" cm="1">
        <f t="array" ref="C51">_xlfn.XLOOKUP(1,(TablaMeta[CONCAT]=$M$3&amp;$N$3&amp;D1_MARZO_2026[[#This Row],[SUPER]])*(TablaMeta[SEGG]=D1_MARZO_2026[[#This Row],[SEGMENTO]]),TablaMeta[Meta_Asesor])</f>
        <v>86000</v>
      </c>
      <c r="D51" s="35">
        <f>IF(D1_MARZO_2026[[#This Row],[RECUPERO]]="VACACIONES","VACACIONES",IFERROR(D1_MARZO_2026[[#This Row],[RECUPERO]]/D1_MARZO_2026[[#This Row],[META]],""))</f>
        <v>0.54598837209302331</v>
      </c>
      <c r="E51" s="35" t="str">
        <f>D1_MARZO_2026[[#This Row],[SUPER]]</f>
        <v>KENNETH</v>
      </c>
      <c r="F51" t="s">
        <v>35</v>
      </c>
      <c r="G51" s="3">
        <v>46955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1" s="56"/>
      <c r="M51" s="5">
        <f>DATA_MARZO_2026[[#This Row],[RECUPERO]]/DATA_MARZO_2026[[#This Row],[META]]</f>
        <v>0.70294285714285709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24603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>
        <v>5168</v>
      </c>
      <c r="AG51" s="6">
        <v>330</v>
      </c>
      <c r="AH51" s="6">
        <v>0</v>
      </c>
      <c r="AI51" s="6">
        <v>364</v>
      </c>
      <c r="AJ51" s="6">
        <v>3000</v>
      </c>
      <c r="AK51" s="6">
        <v>2000</v>
      </c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52" s="34" cm="1">
        <f t="array" ref="C52">_xlfn.XLOOKUP(1,(TablaMeta[CONCAT]=$M$3&amp;$N$3&amp;D1_MARZO_2026[[#This Row],[SUPER]])*(TablaMeta[SEGG]=D1_MARZO_2026[[#This Row],[SEGMENTO]]),TablaMeta[Meta_Asesor])</f>
        <v>86000</v>
      </c>
      <c r="D52" s="35">
        <f>IF(D1_MARZO_2026[[#This Row],[RECUPERO]]="VACACIONES","VACACIONES",IFERROR(D1_MARZO_2026[[#This Row],[RECUPERO]]/D1_MARZO_2026[[#This Row],[META]],""))</f>
        <v>0.3049825581395349</v>
      </c>
      <c r="E52" s="35" t="str">
        <f>D1_MARZO_2026[[#This Row],[SUPER]]</f>
        <v>KENNETH</v>
      </c>
      <c r="F52" t="s">
        <v>37</v>
      </c>
      <c r="G52" s="3">
        <v>26228.5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2" s="56"/>
      <c r="M52" s="5">
        <f>DATA_MARZO_2026[[#This Row],[RECUPERO]]/DATA_MARZO_2026[[#This Row],[META]]</f>
        <v>0.52771428571428569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18470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>
        <v>3500</v>
      </c>
      <c r="AG52" s="6">
        <v>2830</v>
      </c>
      <c r="AH52" s="6">
        <v>277</v>
      </c>
      <c r="AI52" s="6">
        <v>2500</v>
      </c>
      <c r="AJ52" s="6">
        <v>1500</v>
      </c>
      <c r="AK52" s="6">
        <v>0</v>
      </c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53" s="34" cm="1">
        <f t="array" ref="C53">_xlfn.XLOOKUP(1,(TablaMeta[CONCAT]=$M$3&amp;$N$3&amp;D1_MARZO_2026[[#This Row],[SUPER]])*(TablaMeta[SEGG]=D1_MARZO_2026[[#This Row],[SEGMENTO]]),TablaMeta[Meta_Asesor])</f>
        <v>30500</v>
      </c>
      <c r="D53" s="35">
        <f>IF(D1_MARZO_2026[[#This Row],[RECUPERO]]="VACACIONES","VACACIONES",IFERROR(D1_MARZO_2026[[#This Row],[RECUPERO]]/D1_MARZO_2026[[#This Row],[META]],""))</f>
        <v>1.3427868852459017</v>
      </c>
      <c r="E53" s="35" t="str">
        <f>D1_MARZO_2026[[#This Row],[SUPER]]</f>
        <v>KENNETH</v>
      </c>
      <c r="F53" t="s">
        <v>19</v>
      </c>
      <c r="G53" s="3">
        <v>40955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0.49657142857142855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17380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>
        <v>0</v>
      </c>
      <c r="AG53" s="6">
        <v>1300</v>
      </c>
      <c r="AH53" s="6">
        <v>0</v>
      </c>
      <c r="AI53" s="6">
        <v>1000</v>
      </c>
      <c r="AJ53" s="6">
        <v>800</v>
      </c>
      <c r="AK53" s="6">
        <v>0</v>
      </c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54" s="34" cm="1">
        <f t="array" ref="C54">_xlfn.XLOOKUP(1,(TablaMeta[CONCAT]=$M$3&amp;$N$3&amp;D1_MARZO_2026[[#This Row],[SUPER]])*(TablaMeta[SEGG]=D1_MARZO_2026[[#This Row],[SEGMENTO]]),TablaMeta[Meta_Asesor])</f>
        <v>30500</v>
      </c>
      <c r="D54" s="35">
        <f>IF(D1_MARZO_2026[[#This Row],[RECUPERO]]="VACACIONES","VACACIONES",IFERROR(D1_MARZO_2026[[#This Row],[RECUPERO]]/D1_MARZO_2026[[#This Row],[META]],""))</f>
        <v>1.0349180327868852</v>
      </c>
      <c r="E54" s="35" t="str">
        <f>D1_MARZO_2026[[#This Row],[SUPER]]</f>
        <v>KENNETH</v>
      </c>
      <c r="F54" t="s">
        <v>34</v>
      </c>
      <c r="G54" s="3">
        <v>31565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0.90737142857142861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31758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>
        <v>0</v>
      </c>
      <c r="AG54" s="6">
        <v>500</v>
      </c>
      <c r="AH54" s="6">
        <v>0</v>
      </c>
      <c r="AI54" s="6">
        <v>3850</v>
      </c>
      <c r="AJ54" s="6">
        <v>1300</v>
      </c>
      <c r="AK54" s="6">
        <v>135</v>
      </c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55" s="34" cm="1">
        <f t="array" ref="C55">_xlfn.XLOOKUP(1,(TablaMeta[CONCAT]=$M$3&amp;$N$3&amp;D1_MARZO_2026[[#This Row],[SUPER]])*(TablaMeta[SEGG]=D1_MARZO_2026[[#This Row],[SEGMENTO]]),TablaMeta[Meta_Asesor])</f>
        <v>30500</v>
      </c>
      <c r="D55" s="35">
        <f>IF(D1_MARZO_2026[[#This Row],[RECUPERO]]="VACACIONES","VACACIONES",IFERROR(D1_MARZO_2026[[#This Row],[RECUPERO]]/D1_MARZO_2026[[#This Row],[META]],""))</f>
        <v>0.87691803278688529</v>
      </c>
      <c r="E55" s="35" t="str">
        <f>D1_MARZO_2026[[#This Row],[SUPER]]</f>
        <v>KENNETH</v>
      </c>
      <c r="F55" t="s">
        <v>50</v>
      </c>
      <c r="G55" s="3">
        <v>26746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0.52728571428571425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18455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>
        <v>1105</v>
      </c>
      <c r="AG55" s="6">
        <v>5500</v>
      </c>
      <c r="AH55" s="6">
        <v>2000</v>
      </c>
      <c r="AI55" s="6">
        <v>0</v>
      </c>
      <c r="AJ55" s="6">
        <v>0</v>
      </c>
      <c r="AK55" s="6">
        <v>1500</v>
      </c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56" s="34" cm="1">
        <f t="array" ref="C56">_xlfn.XLOOKUP(1,(TablaMeta[CONCAT]=$M$3&amp;$N$3&amp;D1_MARZO_2026[[#This Row],[SUPER]])*(TablaMeta[SEGG]=D1_MARZO_2026[[#This Row],[SEGMENTO]]),TablaMeta[Meta_Asesor])</f>
        <v>30500</v>
      </c>
      <c r="D56" s="35">
        <f>IF(D1_MARZO_2026[[#This Row],[RECUPERO]]="VACACIONES","VACACIONES",IFERROR(D1_MARZO_2026[[#This Row],[RECUPERO]]/D1_MARZO_2026[[#This Row],[META]],""))</f>
        <v>0.71449180327868855</v>
      </c>
      <c r="E56" s="35" t="str">
        <f>D1_MARZO_2026[[#This Row],[SUPER]]</f>
        <v>KENNETH</v>
      </c>
      <c r="F56" t="s">
        <v>80</v>
      </c>
      <c r="G56" s="3">
        <v>21792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0.89812499999999995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14370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>
        <v>0</v>
      </c>
      <c r="AG56" s="6">
        <v>350</v>
      </c>
      <c r="AH56" s="6">
        <v>400</v>
      </c>
      <c r="AI56" s="6">
        <v>0</v>
      </c>
      <c r="AJ56" s="6">
        <v>200</v>
      </c>
      <c r="AK56" s="6">
        <v>1715</v>
      </c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57" s="34" cm="1">
        <f t="array" ref="C57">_xlfn.XLOOKUP(1,(TablaMeta[CONCAT]=$M$3&amp;$N$3&amp;D1_MARZO_2026[[#This Row],[SUPER]])*(TablaMeta[SEGG]=D1_MARZO_2026[[#This Row],[SEGMENTO]]),TablaMeta[Meta_Asesor])</f>
        <v>30500</v>
      </c>
      <c r="D57" s="35">
        <f>IF(D1_MARZO_2026[[#This Row],[RECUPERO]]="VACACIONES","VACACIONES",IFERROR(D1_MARZO_2026[[#This Row],[RECUPERO]]/D1_MARZO_2026[[#This Row],[META]],""))</f>
        <v>0.57924590163934431</v>
      </c>
      <c r="E57" s="35" t="str">
        <f>D1_MARZO_2026[[#This Row],[SUPER]]</f>
        <v>KENNETH</v>
      </c>
      <c r="F57" t="s">
        <v>11</v>
      </c>
      <c r="G57" s="3">
        <v>17667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7" s="5">
        <f>DATA_MARZO_2026[[#This Row],[RECUPERO]]/DATA_MARZO_2026[[#This Row],[META]]</f>
        <v>0.75593750000000004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12095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250</v>
      </c>
      <c r="AI57" s="6">
        <v>2800</v>
      </c>
      <c r="AJ57" s="6">
        <v>2000</v>
      </c>
      <c r="AK57" s="6">
        <v>0</v>
      </c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58" s="34" cm="1">
        <f t="array" ref="C58">_xlfn.XLOOKUP(1,(TablaMeta[CONCAT]=$M$3&amp;$N$3&amp;D1_MARZO_2026[[#This Row],[SUPER]])*(TablaMeta[SEGG]=D1_MARZO_2026[[#This Row],[SEGMENTO]]),TablaMeta[Meta_Asesor])</f>
        <v>30500</v>
      </c>
      <c r="D58" s="35">
        <f>IF(D1_MARZO_2026[[#This Row],[RECUPERO]]="VACACIONES","VACACIONES",IFERROR(D1_MARZO_2026[[#This Row],[RECUPERO]]/D1_MARZO_2026[[#This Row],[META]],""))</f>
        <v>0.53</v>
      </c>
      <c r="E58" s="35" t="str">
        <f>D1_MARZO_2026[[#This Row],[SUPER]]</f>
        <v>KENNETH</v>
      </c>
      <c r="F58" t="s">
        <v>81</v>
      </c>
      <c r="G58" s="3">
        <v>16165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8" s="5">
        <f>DATA_MARZO_2026[[#This Row],[RECUPERO]]/DATA_MARZO_2026[[#This Row],[META]]</f>
        <v>0.41375000000000001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6620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3000</v>
      </c>
      <c r="AG58" s="6">
        <v>0</v>
      </c>
      <c r="AH58" s="6">
        <v>0</v>
      </c>
      <c r="AI58" s="6">
        <v>0</v>
      </c>
      <c r="AJ58" s="6">
        <v>200</v>
      </c>
      <c r="AK58" s="6">
        <v>1500</v>
      </c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59" s="81" cm="1">
        <f t="array" ref="C59">_xlfn.XLOOKUP(1,(TablaMeta[CONCAT]=$M$3&amp;$N$3&amp;D1_MARZO_2026[[#This Row],[SUPER]])*(TablaMeta[SEGG]=D1_MARZO_2026[[#This Row],[SEGMENTO]]),TablaMeta[Meta_Asesor])</f>
        <v>30500</v>
      </c>
      <c r="D59" s="82">
        <f>IF(D1_MARZO_2026[[#This Row],[RECUPERO]]="VACACIONES","VACACIONES",IFERROR(D1_MARZO_2026[[#This Row],[RECUPERO]]/D1_MARZO_2026[[#This Row],[META]],""))</f>
        <v>0.43040983606557376</v>
      </c>
      <c r="E59" s="35" t="str">
        <f>D1_MARZO_2026[[#This Row],[SUPER]]</f>
        <v>KENNETH</v>
      </c>
      <c r="F59" t="s">
        <v>105</v>
      </c>
      <c r="G59" s="3">
        <v>13127.5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9" s="5">
        <f>DATA_MARZO_2026[[#This Row],[RECUPERO]]/DATA_MARZO_2026[[#This Row],[META]]</f>
        <v>0.18287500000000001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2926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>
        <v>50</v>
      </c>
      <c r="AG59" s="6">
        <v>0</v>
      </c>
      <c r="AH59" s="6">
        <v>0</v>
      </c>
      <c r="AI59" s="6">
        <v>0</v>
      </c>
      <c r="AJ59" s="6">
        <v>350</v>
      </c>
      <c r="AK59" s="6">
        <v>0</v>
      </c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0.14531250000000001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2325</v>
      </c>
      <c r="Q60" s="6">
        <f>VLOOKUP(DATA_MARZO_2026[[#This Row],[ASER_]],D1_MARZO_2026[[ASESOR_CRR]:[META]],2,0)</f>
        <v>16000</v>
      </c>
      <c r="R60" t="s">
        <v>582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>
        <v>600</v>
      </c>
      <c r="AG60" s="6">
        <v>0</v>
      </c>
      <c r="AH60" s="6">
        <v>230</v>
      </c>
      <c r="AI60" s="6">
        <v>130</v>
      </c>
      <c r="AJ60" s="6">
        <v>0</v>
      </c>
      <c r="AK60" s="6">
        <v>0</v>
      </c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84">
        <f>DATA_MARZO_2026[[#This Row],[RECUPERO]]/DATA_MARZO_2026[[#This Row],[META]]</f>
        <v>0.39187499999999997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LEONOR</v>
      </c>
      <c r="P61" s="86">
        <f>VLOOKUP(DATA_MARZO_2026[[#This Row],[ASER_]],D1_MARZO_2026[[ASESOR_CRR]:[RECUPERO]],6,0)</f>
        <v>6270</v>
      </c>
      <c r="Q61" s="86">
        <f>VLOOKUP(DATA_MARZO_2026[[#This Row],[ASER_]],D1_MARZO_2026[[ASESOR_CRR]:[META]],2,0)</f>
        <v>16000</v>
      </c>
      <c r="R61" s="83" t="s">
        <v>581</v>
      </c>
      <c r="S61" s="83">
        <v>0</v>
      </c>
      <c r="T61" s="83">
        <v>0</v>
      </c>
      <c r="U61" s="83">
        <v>0</v>
      </c>
      <c r="V61" s="83">
        <v>0</v>
      </c>
      <c r="W61" s="83">
        <v>0</v>
      </c>
      <c r="X61" s="84">
        <v>0</v>
      </c>
      <c r="Y61" s="86">
        <v>2000</v>
      </c>
      <c r="Z61" s="86">
        <v>120</v>
      </c>
      <c r="AA61" s="86">
        <v>300</v>
      </c>
      <c r="AB61" s="6">
        <v>450</v>
      </c>
      <c r="AC61" s="6">
        <v>0</v>
      </c>
      <c r="AD61" s="6">
        <v>3000</v>
      </c>
      <c r="AE61" s="6">
        <v>0</v>
      </c>
      <c r="AF61" s="6">
        <v>400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86"/>
      <c r="AM61" s="86"/>
      <c r="AN61" s="86"/>
      <c r="AO61" s="85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40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2026-03-27T12:55:23Z</dcterms:modified>
</cp:coreProperties>
</file>