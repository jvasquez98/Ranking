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3350180-9A3A-4430-888D-B178B695A2B0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externalReferences>
    <externalReference r:id="rId18"/>
  </externalReference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8" l="1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P11" i="13"/>
  <c r="M11" i="13" s="1"/>
  <c r="N11" i="13" s="1" a="1"/>
  <c r="N11" i="13" s="1"/>
  <c r="P12" i="13"/>
  <c r="M12" i="13" s="1"/>
  <c r="N12" i="13" s="1" a="1"/>
  <c r="N12" i="13" s="1"/>
  <c r="P13" i="13"/>
  <c r="P14" i="13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P20" i="13"/>
  <c r="P21" i="13"/>
  <c r="M21" i="13" s="1"/>
  <c r="N21" i="13" s="1" a="1"/>
  <c r="N21" i="13" s="1"/>
  <c r="P22" i="13"/>
  <c r="P23" i="13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P35" i="13"/>
  <c r="P36" i="13"/>
  <c r="M36" i="13" s="1"/>
  <c r="N36" i="13" s="1" a="1"/>
  <c r="N36" i="13" s="1"/>
  <c r="P37" i="13"/>
  <c r="P38" i="13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P47" i="13"/>
  <c r="P48" i="13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P59" i="13"/>
  <c r="P60" i="13"/>
  <c r="P61" i="13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P71" i="13"/>
  <c r="P72" i="13"/>
  <c r="M72" i="13" s="1"/>
  <c r="N72" i="13" s="1" a="1"/>
  <c r="N72" i="13" s="1"/>
  <c r="P73" i="13"/>
  <c r="M73" i="13" s="1"/>
  <c r="N73" i="13" s="1" a="1"/>
  <c r="N73" i="13" s="1"/>
  <c r="P74" i="13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14" i="13"/>
  <c r="N14" i="13" s="1" a="1"/>
  <c r="N14" i="13" s="1"/>
  <c r="M15" i="13"/>
  <c r="N15" i="13" s="1" a="1"/>
  <c r="N15" i="13" s="1"/>
  <c r="M17" i="13"/>
  <c r="N17" i="13" s="1" a="1"/>
  <c r="N17" i="13" s="1"/>
  <c r="M19" i="13"/>
  <c r="N19" i="13" s="1" a="1"/>
  <c r="N19" i="13" s="1"/>
  <c r="M20" i="13"/>
  <c r="N20" i="13" s="1" a="1"/>
  <c r="N20" i="13" s="1"/>
  <c r="M23" i="13"/>
  <c r="N23" i="13" s="1" a="1"/>
  <c r="N23" i="13" s="1"/>
  <c r="B78" i="13"/>
  <c r="B79" i="13"/>
  <c r="A78" i="13"/>
  <c r="C78" i="13" s="1"/>
  <c r="D78" i="13" s="1"/>
  <c r="A79" i="13"/>
  <c r="C79" i="13" s="1"/>
  <c r="D79" i="13" s="1"/>
  <c r="M74" i="13"/>
  <c r="N74" i="13" s="1" a="1"/>
  <c r="N74" i="13" s="1"/>
  <c r="B76" i="13"/>
  <c r="B77" i="13"/>
  <c r="A77" i="13"/>
  <c r="C77" i="13"/>
  <c r="M60" i="13"/>
  <c r="N60" i="13" s="1" a="1"/>
  <c r="N60" i="13" s="1"/>
  <c r="A76" i="13"/>
  <c r="C76" i="13" s="1"/>
  <c r="D76" i="13" s="1"/>
  <c r="M47" i="13"/>
  <c r="N47" i="13" s="1" a="1"/>
  <c r="N47" i="13" s="1"/>
  <c r="B75" i="13"/>
  <c r="C75" i="13"/>
  <c r="D75" i="13" s="1"/>
  <c r="M13" i="13"/>
  <c r="N13" i="13" s="1" a="1"/>
  <c r="N13" i="13" s="1"/>
  <c r="M59" i="13"/>
  <c r="N59" i="13" s="1" a="1"/>
  <c r="N59" i="13" s="1"/>
  <c r="M70" i="13"/>
  <c r="N70" i="13" s="1" a="1"/>
  <c r="N70" i="13" s="1"/>
  <c r="M49" i="13"/>
  <c r="N49" i="13" s="1" a="1"/>
  <c r="N49" i="13" s="1"/>
  <c r="M58" i="13"/>
  <c r="N58" i="13" s="1" a="1"/>
  <c r="N58" i="13" s="1"/>
  <c r="M71" i="13"/>
  <c r="N71" i="13" s="1" a="1"/>
  <c r="N71" i="13" s="1"/>
  <c r="M22" i="13"/>
  <c r="N22" i="13" s="1" a="1"/>
  <c r="N22" i="13" s="1"/>
  <c r="M35" i="13"/>
  <c r="N35" i="13" s="1" a="1"/>
  <c r="N35" i="13" s="1"/>
  <c r="M37" i="13"/>
  <c r="N37" i="13" s="1" a="1"/>
  <c r="N37" i="13" s="1"/>
  <c r="M46" i="13"/>
  <c r="N46" i="13" s="1" a="1"/>
  <c r="N46" i="13" s="1"/>
  <c r="M61" i="13"/>
  <c r="N61" i="13" s="1" a="1"/>
  <c r="N61" i="13" s="1"/>
  <c r="M10" i="13"/>
  <c r="N10" i="13" s="1" a="1"/>
  <c r="N10" i="13" s="1"/>
  <c r="M34" i="13"/>
  <c r="N34" i="13" s="1" a="1"/>
  <c r="N34" i="13" s="1"/>
  <c r="M38" i="13"/>
  <c r="N38" i="13" s="1" a="1"/>
  <c r="N38" i="13" s="1"/>
  <c r="M82" i="13"/>
  <c r="N82" i="13" s="1" a="1"/>
  <c r="N82" i="13" s="1"/>
  <c r="M9" i="13"/>
  <c r="N9" i="13" s="1" a="1"/>
  <c r="N9" i="13" s="1"/>
  <c r="M48" i="13"/>
  <c r="N48" i="13" s="1" a="1"/>
  <c r="N48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Z15" i="18" s="1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6" i="17" l="1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D41" i="17"/>
  <c r="BQ13" i="17"/>
  <c r="AR13" i="17" s="1"/>
  <c r="AS13" i="17" s="1"/>
  <c r="CI11" i="18"/>
  <c r="AZ14" i="18"/>
  <c r="BB14" i="18" s="1"/>
  <c r="BQ12" i="17"/>
  <c r="AR12" i="17" s="1"/>
  <c r="CI10" i="18"/>
  <c r="BB15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M50" i="17" s="1"/>
  <c r="N50" i="17" s="1" a="1"/>
  <c r="N50" i="17" s="1"/>
  <c r="BB16" i="18"/>
  <c r="AQ13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O22" i="17" s="1"/>
  <c r="E42" i="17"/>
  <c r="O55" i="17" s="1"/>
  <c r="C11" i="17"/>
  <c r="C9" i="17"/>
  <c r="Q50" i="17" s="1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O9" i="17" s="1"/>
  <c r="AO9" i="17" s="1"/>
  <c r="I24" i="17"/>
  <c r="H24" i="17"/>
  <c r="A24" i="17"/>
  <c r="J24" i="17"/>
  <c r="E24" i="17"/>
  <c r="O11" i="17" s="1"/>
  <c r="AO11" i="17" s="1"/>
  <c r="I10" i="17"/>
  <c r="J10" i="17"/>
  <c r="H10" i="17"/>
  <c r="E10" i="17"/>
  <c r="O24" i="17" s="1"/>
  <c r="A10" i="17"/>
  <c r="J13" i="17"/>
  <c r="I13" i="17"/>
  <c r="H13" i="17"/>
  <c r="E13" i="17"/>
  <c r="O18" i="17" s="1"/>
  <c r="A13" i="17"/>
  <c r="J30" i="17"/>
  <c r="E30" i="17"/>
  <c r="O21" i="17" s="1"/>
  <c r="A30" i="17"/>
  <c r="I30" i="17"/>
  <c r="H30" i="17"/>
  <c r="J33" i="17"/>
  <c r="I33" i="17"/>
  <c r="H33" i="17"/>
  <c r="E33" i="17"/>
  <c r="O33" i="17" s="1"/>
  <c r="A33" i="17"/>
  <c r="A35" i="17"/>
  <c r="J35" i="17"/>
  <c r="I35" i="17"/>
  <c r="E35" i="17"/>
  <c r="D2" i="29" s="1"/>
  <c r="H35" i="17"/>
  <c r="J43" i="17"/>
  <c r="I43" i="17"/>
  <c r="E43" i="17"/>
  <c r="D18" i="29" s="1"/>
  <c r="A43" i="17"/>
  <c r="H43" i="17"/>
  <c r="J51" i="17"/>
  <c r="I51" i="17"/>
  <c r="H51" i="17"/>
  <c r="A51" i="17"/>
  <c r="E51" i="17"/>
  <c r="O44" i="17" s="1"/>
  <c r="AO44" i="17" s="1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D28" i="29" s="1"/>
  <c r="E32" i="17"/>
  <c r="O36" i="17" s="1"/>
  <c r="J32" i="17"/>
  <c r="I32" i="17"/>
  <c r="H32" i="17"/>
  <c r="A32" i="17"/>
  <c r="J37" i="17"/>
  <c r="I37" i="17"/>
  <c r="H37" i="17"/>
  <c r="E37" i="17"/>
  <c r="O57" i="17" s="1"/>
  <c r="A37" i="17"/>
  <c r="J8" i="17"/>
  <c r="I8" i="17"/>
  <c r="H8" i="17"/>
  <c r="E8" i="17"/>
  <c r="O26" i="17" s="1"/>
  <c r="AO26" i="17" s="1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O37" i="17" s="1"/>
  <c r="J53" i="17"/>
  <c r="I53" i="17"/>
  <c r="A53" i="17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O51" i="17" s="1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O39" i="17" s="1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O25" i="17" s="1"/>
  <c r="I16" i="17"/>
  <c r="A16" i="17"/>
  <c r="E17" i="17"/>
  <c r="O10" i="17" s="1"/>
  <c r="AO10" i="17" s="1"/>
  <c r="E38" i="17"/>
  <c r="I46" i="17"/>
  <c r="A49" i="17"/>
  <c r="J49" i="17"/>
  <c r="I49" i="17"/>
  <c r="H49" i="17"/>
  <c r="E50" i="17"/>
  <c r="O48" i="17" s="1"/>
  <c r="E12" i="17"/>
  <c r="O46" i="17" s="1"/>
  <c r="I17" i="17"/>
  <c r="E27" i="17"/>
  <c r="O29" i="17" s="1"/>
  <c r="AO29" i="17" s="1"/>
  <c r="H12" i="17"/>
  <c r="J17" i="17"/>
  <c r="H27" i="17"/>
  <c r="E41" i="17"/>
  <c r="J48" i="17"/>
  <c r="I48" i="17"/>
  <c r="E6" i="17"/>
  <c r="I12" i="17"/>
  <c r="E16" i="17"/>
  <c r="E26" i="17"/>
  <c r="O35" i="17" s="1"/>
  <c r="AO35" i="17" s="1"/>
  <c r="I27" i="17"/>
  <c r="H41" i="17"/>
  <c r="E49" i="17"/>
  <c r="D29" i="29" s="1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0" i="17"/>
  <c r="AO50" i="17" s="1"/>
  <c r="O43" i="17"/>
  <c r="H3" i="17"/>
  <c r="E18" i="29"/>
  <c r="O54" i="17"/>
  <c r="O47" i="17"/>
  <c r="AO47" i="17" s="1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D20" i="29" l="1"/>
  <c r="O34" i="17"/>
  <c r="O28" i="17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M59" i="17" s="1"/>
  <c r="N59" i="17" s="1" a="1"/>
  <c r="N59" i="17" s="1"/>
  <c r="C54" i="17"/>
  <c r="Q59" i="17" s="1"/>
  <c r="D53" i="17"/>
  <c r="C53" i="17"/>
  <c r="O16" i="17"/>
  <c r="P16" i="17" s="1"/>
  <c r="D51" i="17"/>
  <c r="M44" i="17" s="1"/>
  <c r="N44" i="17" s="1" a="1"/>
  <c r="N44" i="17" s="1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M16" i="17" s="1"/>
  <c r="N16" i="17" s="1" a="1"/>
  <c r="N16" i="17" s="1"/>
  <c r="C44" i="17"/>
  <c r="Q16" i="17" s="1"/>
  <c r="D47" i="17"/>
  <c r="M13" i="17" s="1"/>
  <c r="N13" i="17" s="1" a="1"/>
  <c r="N13" i="17" s="1"/>
  <c r="C47" i="17"/>
  <c r="Q13" i="17" s="1"/>
  <c r="D40" i="17"/>
  <c r="C40" i="17"/>
  <c r="C12" i="17"/>
  <c r="Q46" i="17" s="1"/>
  <c r="D42" i="17"/>
  <c r="C42" i="17"/>
  <c r="D39" i="17"/>
  <c r="M53" i="17" s="1"/>
  <c r="N53" i="17" s="1" a="1"/>
  <c r="N53" i="17" s="1"/>
  <c r="C39" i="17"/>
  <c r="Q53" i="17" s="1"/>
  <c r="D45" i="17"/>
  <c r="M11" i="17" s="1"/>
  <c r="N11" i="17" s="1" a="1"/>
  <c r="N11" i="17" s="1"/>
  <c r="C45" i="17"/>
  <c r="P29" i="17"/>
  <c r="D43" i="17"/>
  <c r="M12" i="17" s="1"/>
  <c r="N12" i="17" s="1" a="1"/>
  <c r="N12" i="17" s="1"/>
  <c r="C43" i="17"/>
  <c r="Q12" i="17" s="1"/>
  <c r="D46" i="17"/>
  <c r="C46" i="17"/>
  <c r="P14" i="17"/>
  <c r="C14" i="17"/>
  <c r="D37" i="17"/>
  <c r="C37" i="17"/>
  <c r="D27" i="17"/>
  <c r="M20" i="17" s="1"/>
  <c r="N20" i="17" s="1" a="1"/>
  <c r="N20" i="17" s="1"/>
  <c r="C27" i="17"/>
  <c r="Q20" i="17" s="1"/>
  <c r="D28" i="17"/>
  <c r="M27" i="17" s="1"/>
  <c r="N27" i="17" s="1" a="1"/>
  <c r="N27" i="17" s="1"/>
  <c r="C28" i="17"/>
  <c r="Q27" i="17" s="1"/>
  <c r="D25" i="17"/>
  <c r="M23" i="17" s="1"/>
  <c r="N23" i="17" s="1" a="1"/>
  <c r="N23" i="17" s="1"/>
  <c r="C25" i="17"/>
  <c r="Q23" i="17" s="1"/>
  <c r="D30" i="17"/>
  <c r="M21" i="17" s="1"/>
  <c r="N21" i="17" s="1" a="1"/>
  <c r="N21" i="17" s="1"/>
  <c r="C30" i="17"/>
  <c r="D26" i="17"/>
  <c r="C26" i="17"/>
  <c r="D34" i="17"/>
  <c r="C34" i="17"/>
  <c r="D33" i="17"/>
  <c r="M25" i="17" s="1"/>
  <c r="N25" i="17" s="1" a="1"/>
  <c r="N25" i="17" s="1"/>
  <c r="C33" i="17"/>
  <c r="Q25" i="17" s="1"/>
  <c r="D29" i="17"/>
  <c r="M22" i="17" s="1"/>
  <c r="N22" i="17" s="1" a="1"/>
  <c r="N22" i="17" s="1"/>
  <c r="C29" i="17"/>
  <c r="Q22" i="17" s="1"/>
  <c r="D38" i="17"/>
  <c r="M31" i="17" s="1"/>
  <c r="N31" i="17" s="1" a="1"/>
  <c r="N31" i="17" s="1"/>
  <c r="C38" i="17"/>
  <c r="Q31" i="17" s="1"/>
  <c r="D36" i="17"/>
  <c r="C36" i="17"/>
  <c r="D32" i="17"/>
  <c r="C32" i="17"/>
  <c r="D31" i="17"/>
  <c r="C31" i="17"/>
  <c r="P58" i="17"/>
  <c r="D35" i="17"/>
  <c r="C35" i="17"/>
  <c r="D15" i="17"/>
  <c r="M37" i="17" s="1"/>
  <c r="N37" i="17" s="1" a="1"/>
  <c r="N37" i="17" s="1"/>
  <c r="C15" i="17"/>
  <c r="Q37" i="17" s="1"/>
  <c r="P53" i="17"/>
  <c r="D23" i="17"/>
  <c r="C23" i="17"/>
  <c r="D24" i="17"/>
  <c r="C24" i="17"/>
  <c r="D20" i="17"/>
  <c r="C20" i="17"/>
  <c r="D22" i="17"/>
  <c r="C22" i="17"/>
  <c r="Q40" i="17" s="1"/>
  <c r="D18" i="17"/>
  <c r="M38" i="17" s="1"/>
  <c r="N38" i="17" s="1" a="1"/>
  <c r="N38" i="17" s="1"/>
  <c r="C18" i="17"/>
  <c r="Q38" i="17" s="1"/>
  <c r="D19" i="17"/>
  <c r="M41" i="17" s="1"/>
  <c r="N41" i="17" s="1" a="1"/>
  <c r="N41" i="17" s="1"/>
  <c r="C19" i="17"/>
  <c r="Q41" i="17" s="1"/>
  <c r="D21" i="17"/>
  <c r="M32" i="17" s="1"/>
  <c r="N32" i="17" s="1" a="1"/>
  <c r="N32" i="17" s="1"/>
  <c r="C21" i="17"/>
  <c r="Q32" i="17" s="1"/>
  <c r="D16" i="17"/>
  <c r="C16" i="17"/>
  <c r="D17" i="17"/>
  <c r="M36" i="17" s="1"/>
  <c r="N36" i="17" s="1" a="1"/>
  <c r="N36" i="17" s="1"/>
  <c r="C17" i="17"/>
  <c r="Q36" i="17" s="1"/>
  <c r="P50" i="17"/>
  <c r="P38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D7" i="17"/>
  <c r="M43" i="17" s="1"/>
  <c r="N43" i="17" s="1" a="1"/>
  <c r="N43" i="17" s="1"/>
  <c r="C7" i="17"/>
  <c r="Q43" i="17" s="1"/>
  <c r="P21" i="17"/>
  <c r="AO21" i="17"/>
  <c r="P47" i="17"/>
  <c r="P28" i="17"/>
  <c r="AO28" i="17"/>
  <c r="P18" i="17"/>
  <c r="AO18" i="17"/>
  <c r="P44" i="17"/>
  <c r="P9" i="17"/>
  <c r="P55" i="17"/>
  <c r="AO55" i="17"/>
  <c r="P35" i="17"/>
  <c r="P48" i="17"/>
  <c r="AO48" i="17"/>
  <c r="P49" i="17"/>
  <c r="AO49" i="17"/>
  <c r="P25" i="17"/>
  <c r="AO25" i="17"/>
  <c r="P39" i="17"/>
  <c r="AO39" i="17"/>
  <c r="AO27" i="17"/>
  <c r="P46" i="17"/>
  <c r="AO46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43" i="17"/>
  <c r="AO43" i="17"/>
  <c r="P26" i="17"/>
  <c r="P19" i="17"/>
  <c r="AO19" i="17"/>
  <c r="P11" i="17"/>
  <c r="P23" i="17"/>
  <c r="P24" i="17"/>
  <c r="AO24" i="17"/>
  <c r="P40" i="17"/>
  <c r="AO40" i="17"/>
  <c r="P57" i="17"/>
  <c r="AO57" i="17"/>
  <c r="Q11" i="17" l="1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<sst xmlns="http://schemas.openxmlformats.org/spreadsheetml/2006/main" count="10227" uniqueCount="577">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</sst>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INFORMACION%20SUPERVISORES\BD%20ASIGNACION\ASIGNACION%202025\BD_ASIGNACION%20-%20MARZO%20-%202025.xlsx" TargetMode="External"/><Relationship Id="rId1" Type="http://schemas.openxmlformats.org/officeDocument/2006/relationships/externalLinkPath" Target="file:///Y:\INFORMACION%20SUPERVISORES\BD%20ASIGNACION\ASIGNACION%202025\BD_ASIGNACION%20-%20MARZO%20-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BD- MARZO 2025"/>
      <sheetName val="INTERNO"/>
      <sheetName val="EXTERNO"/>
      <sheetName val="TOTAL - MELITA"/>
      <sheetName val="RESUMEN J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>
      <calculatedColumnFormula>VLOOKUP(DATA_MARZO_2025[[#This Row],[ASER_]],[1]Hoja1!$A$6:$AH$76,34,0)</calculatedColumnFormula>
    </tableColumn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8" dataDxfId="27">
  <autoFilter ref="A1:F55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>
      <calculatedColumnFormula>PLANTILLA_ACTUAL[[#This Row],[ASESOR]]</calculatedColumnFormula>
    </tableColumn>
    <tableColumn id="4" xr3:uid="{014C9F4C-C2F1-4CF8-BCC7-D113C12A1316}" name="DNI" dataDxfId="23"/>
    <tableColumn id="5" xr3:uid="{8A032F20-8CA2-40BD-8E54-462A8D907821}" name="FECHA DE INGRES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0" headerRowBorderDxfId="19" tableBorderDxfId="18" totalsRowBorderDxfId="17">
  <autoFilter ref="A1:G183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9"/>
    <tableColumn id="1" xr3:uid="{A623E76D-4FA0-4B02-8A90-7970B94DF34B}" name="ASESOR" dataDxfId="8"/>
    <tableColumn id="2" xr3:uid="{9E723AA3-04D3-429E-B399-716F0DC3F71B}" name="DNI" dataDxfId="7">
      <calculatedColumnFormula>VLOOKUP(Tabla31[[#This Row],[ASESOR]],DIM!$A:$D,4,0)</calculatedColumnFormula>
    </tableColumn>
    <tableColumn id="5" xr3:uid="{92D90274-A82D-4355-9559-8897FF3C2E5E}" name="EQUIPO" dataDxfId="6">
      <calculatedColumnFormula>VLOOKUP(Tabla31[[#This Row],[ASESOR]],ENERO_2026!$B:$E,4,0)</calculatedColumnFormula>
    </tableColumn>
    <tableColumn id="4" xr3:uid="{6C714FD8-5FBA-40C9-B203-737ABF147461}" name="RECUPERO" dataDxfId="5">
      <calculatedColumnFormula>VLOOKUP(Tabla31[[#This Row],[ASESOR]],ENERO_2026!B:G,6,0)</calculatedColumnFormula>
    </tableColumn>
    <tableColumn id="6" xr3:uid="{6F1879E2-7433-4097-83E7-004BFF482A1A}" name="MONTO" dataDxfId="4"/>
    <tableColumn id="7" xr3:uid="{3479ECBD-4505-4CB0-83C8-6F46A3C0F87C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Y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topLeftCell="AU1"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A21" sqref="BA2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I71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M1" zoomScale="70" zoomScaleNormal="70" workbookViewId="0">
      <selection activeCell="S15" sqref="S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38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zoomScale="70" zoomScaleNormal="70" workbookViewId="0">
      <selection activeCell="H12" sqref="H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6" s="37">
        <f>IF(D1_ENERO_2026[[#This Row],[RECUPERO]]="","",VLOOKUP($M$3&amp;$N$3&amp;D1_ENERO_2026[[#This Row],[SUPER]],TablaMeta[],6,0))</f>
        <v>27900</v>
      </c>
      <c r="D6" s="36">
        <f>IFERROR(D1_ENERO_2026[[#This Row],[RECUPERO]]/VLOOKUP($M$3&amp;$N$3&amp;D1_ENERO_2026[[#This Row],[SUPER]],TablaMeta[],6,0),"")</f>
        <v>1.4754121863799283</v>
      </c>
      <c r="E6" s="36" t="str">
        <f>IFERROR(VLOOKUP(D1_ENERO_2026[[#This Row],[ASESOR_CRR]],PLANTILLA_ACTUAL[],2,0),"")</f>
        <v>KENNETH</v>
      </c>
      <c r="F6" s="35" t="s">
        <v>81</v>
      </c>
      <c r="G6" s="37">
        <v>41164</v>
      </c>
      <c r="H6" s="35" t="str">
        <f>VLOOKUP(D1_ENERO_2026[[#This Row],[ASESOR_CRR]],DIM!$C:$E,2,0)</f>
        <v>72716299</v>
      </c>
      <c r="I6" s="68">
        <f>VLOOKUP(D1_ENERO_2026[[#This Row],[ASESOR_CRR]],DIM!$C:$E,3,0)</f>
        <v>45511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7" s="37">
        <f>IF(D1_ENERO_2026[[#This Row],[RECUPERO]]="","",VLOOKUP($M$3&amp;$N$3&amp;D1_ENERO_2026[[#This Row],[SUPER]],TablaMeta[],6,0))</f>
        <v>27900</v>
      </c>
      <c r="D7" s="36">
        <f>IFERROR(D1_ENERO_2026[[#This Row],[RECUPERO]]/VLOOKUP($M$3&amp;$N$3&amp;D1_ENERO_2026[[#This Row],[SUPER]],TablaMeta[],6,0),"")</f>
        <v>1.4117562724014336</v>
      </c>
      <c r="E7" s="36" t="str">
        <f>IFERROR(VLOOKUP(D1_ENERO_2026[[#This Row],[ASESOR_CRR]],PLANTILLA_ACTUAL[],2,0),"")</f>
        <v>KENNETH</v>
      </c>
      <c r="F7" s="35" t="s">
        <v>34</v>
      </c>
      <c r="G7" s="37">
        <v>39388</v>
      </c>
      <c r="H7" s="35" t="str">
        <f>VLOOKUP(D1_ENERO_2026[[#This Row],[ASESOR_CRR]],DIM!$C:$E,2,0)</f>
        <v>76824571</v>
      </c>
      <c r="I7" s="68">
        <f>VLOOKUP(D1_ENERO_2026[[#This Row],[ASESOR_CRR]],DIM!$C:$E,3,0)</f>
        <v>45173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8" s="37">
        <f>IF(D1_ENERO_2026[[#This Row],[RECUPERO]]="","",VLOOKUP($M$3&amp;$N$3&amp;D1_ENERO_2026[[#This Row],[SUPER]],TablaMeta[],6,0))</f>
        <v>27900</v>
      </c>
      <c r="D8" s="36">
        <f>IFERROR(D1_ENERO_2026[[#This Row],[RECUPERO]]/VLOOKUP($M$3&amp;$N$3&amp;D1_ENERO_2026[[#This Row],[SUPER]],TablaMeta[],6,0),"")</f>
        <v>1.26831541218638</v>
      </c>
      <c r="E8" s="36" t="str">
        <f>IFERROR(VLOOKUP(D1_ENERO_2026[[#This Row],[ASESOR_CRR]],PLANTILLA_ACTUAL[],2,0),"")</f>
        <v>KENNETH</v>
      </c>
      <c r="F8" s="35" t="s">
        <v>26</v>
      </c>
      <c r="G8" s="37">
        <v>35386</v>
      </c>
      <c r="H8" s="35" t="str">
        <f>VLOOKUP(D1_ENERO_2026[[#This Row],[ASESOR_CRR]],DIM!$C:$E,2,0)</f>
        <v>41005089</v>
      </c>
      <c r="I8" s="68">
        <f>VLOOKUP(D1_ENERO_2026[[#This Row],[ASESOR_CRR]],DIM!$C:$E,3,0)</f>
        <v>44257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9" s="37">
        <f>IF(D1_ENERO_2026[[#This Row],[RECUPERO]]="","",VLOOKUP($M$3&amp;$N$3&amp;D1_ENERO_2026[[#This Row],[SUPER]],TablaMeta[],6,0))</f>
        <v>27900</v>
      </c>
      <c r="D9" s="36">
        <f>IFERROR(D1_ENERO_2026[[#This Row],[RECUPERO]]/VLOOKUP($M$3&amp;$N$3&amp;D1_ENERO_2026[[#This Row],[SUPER]],TablaMeta[],6,0),"")</f>
        <v>1.2525089605734767</v>
      </c>
      <c r="E9" s="36" t="str">
        <f>IFERROR(VLOOKUP(D1_ENERO_2026[[#This Row],[ASESOR_CRR]],PLANTILLA_ACTUAL[],2,0),"")</f>
        <v>KENNETH</v>
      </c>
      <c r="F9" s="35" t="s">
        <v>19</v>
      </c>
      <c r="G9" s="37">
        <v>34945</v>
      </c>
      <c r="H9" s="35" t="str">
        <f>VLOOKUP(D1_ENERO_2026[[#This Row],[ASESOR_CRR]],DIM!$C:$E,2,0)</f>
        <v>76656128</v>
      </c>
      <c r="I9" s="68">
        <f>VLOOKUP(D1_ENERO_2026[[#This Row],[ASESOR_CRR]],DIM!$C:$E,3,0)</f>
        <v>44671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0.58239583333333333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s="58" t="str">
        <f>IFERROR(VLOOKUP(DATA_ENERO_2026[[#This Row],[ASER_]],$B:$G,4,0),"")</f>
        <v>MELINA</v>
      </c>
      <c r="P9" s="6">
        <f>IF(DATA_ENERO_2026[[#This Row],[SUPERVISOR]]="","",VLOOKUP(DATA_ENERO_2026[[#This Row],[ASER_]],$B:$G,6,0))</f>
        <v>27955</v>
      </c>
      <c r="Q9" s="6">
        <f>VLOOKUP(DATA_ENERO_2026[[#This Row],[ASER_]],D1_ENERO_2026[[ASESOR_CRR]:[META]],2,0)</f>
        <v>48000</v>
      </c>
      <c r="R9" t="s">
        <v>18</v>
      </c>
      <c r="S9">
        <v>0</v>
      </c>
      <c r="T9">
        <v>0</v>
      </c>
      <c r="U9">
        <v>1700</v>
      </c>
      <c r="V9">
        <v>2000</v>
      </c>
      <c r="W9">
        <v>2500</v>
      </c>
      <c r="X9">
        <v>0</v>
      </c>
      <c r="Y9">
        <v>0</v>
      </c>
      <c r="Z9">
        <v>600</v>
      </c>
      <c r="AA9">
        <v>0</v>
      </c>
      <c r="AB9">
        <v>1000</v>
      </c>
      <c r="AC9">
        <v>6550</v>
      </c>
      <c r="AD9">
        <v>2000</v>
      </c>
      <c r="AE9">
        <v>0</v>
      </c>
      <c r="AF9">
        <v>5350</v>
      </c>
      <c r="AG9">
        <v>3055</v>
      </c>
      <c r="AH9">
        <v>0</v>
      </c>
      <c r="AI9">
        <v>1700</v>
      </c>
      <c r="AJ9">
        <v>1500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379486</v>
      </c>
      <c r="AS9" s="17">
        <f>IFERROR(DITE_ENERO_2026[[#This Row],[RECUPERO SUPERVISOR]]/DITE_ENERO_2026[[#This Row],[META SUPER]],"")</f>
        <v>0.87908692046460124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0" s="37">
        <f>IF(D1_ENERO_2026[[#This Row],[RECUPERO]]="","",VLOOKUP($M$3&amp;$N$3&amp;D1_ENERO_2026[[#This Row],[SUPER]],TablaMeta[],6,0))</f>
        <v>27900</v>
      </c>
      <c r="D10" s="36">
        <f>IFERROR(D1_ENERO_2026[[#This Row],[RECUPERO]]/VLOOKUP($M$3&amp;$N$3&amp;D1_ENERO_2026[[#This Row],[SUPER]],TablaMeta[],6,0),"")</f>
        <v>1.226989247311828</v>
      </c>
      <c r="E10" s="36" t="str">
        <f>IFERROR(VLOOKUP(D1_ENERO_2026[[#This Row],[ASESOR_CRR]],PLANTILLA_ACTUAL[],2,0),"")</f>
        <v>KENNETH</v>
      </c>
      <c r="F10" s="35" t="s">
        <v>50</v>
      </c>
      <c r="G10" s="37">
        <v>34233</v>
      </c>
      <c r="H10" s="35" t="str">
        <f>VLOOKUP(D1_ENERO_2026[[#This Row],[ASESOR_CRR]],DIM!$C:$E,2,0)</f>
        <v>72733809</v>
      </c>
      <c r="I10" s="68">
        <f>VLOOKUP(D1_ENERO_2026[[#This Row],[ASESOR_CRR]],DIM!$C:$E,3,0)</f>
        <v>45789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1.2647291666666667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&gt;100%</v>
      </c>
      <c r="O10" s="58" t="str">
        <f>IFERROR(VLOOKUP(DATA_ENERO_2026[[#This Row],[ASER_]],$B:$G,4,0),"")</f>
        <v>MELINA</v>
      </c>
      <c r="P10" s="6">
        <f>IF(DATA_ENERO_2026[[#This Row],[SUPERVISOR]]="","",VLOOKUP(DATA_ENERO_2026[[#This Row],[ASER_]],$B:$G,6,0))</f>
        <v>60707</v>
      </c>
      <c r="Q10" s="6">
        <f>VLOOKUP(DATA_ENERO_2026[[#This Row],[ASER_]],D1_ENERO_2026[[ASESOR_CRR]:[META]],2,0)</f>
        <v>48000</v>
      </c>
      <c r="R10" t="s">
        <v>60</v>
      </c>
      <c r="S10">
        <v>4000</v>
      </c>
      <c r="T10">
        <v>600</v>
      </c>
      <c r="U10">
        <v>3400</v>
      </c>
      <c r="V10">
        <v>2500</v>
      </c>
      <c r="W10">
        <v>0</v>
      </c>
      <c r="X10">
        <v>0</v>
      </c>
      <c r="Y10">
        <v>0</v>
      </c>
      <c r="Z10">
        <v>2500</v>
      </c>
      <c r="AA10">
        <v>3800</v>
      </c>
      <c r="AB10">
        <v>0</v>
      </c>
      <c r="AC10">
        <v>26801</v>
      </c>
      <c r="AD10">
        <v>956</v>
      </c>
      <c r="AE10">
        <v>0</v>
      </c>
      <c r="AF10">
        <v>9100</v>
      </c>
      <c r="AG10">
        <v>5300</v>
      </c>
      <c r="AH10">
        <v>0</v>
      </c>
      <c r="AI10">
        <v>1750</v>
      </c>
      <c r="AJ10">
        <v>0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338913</v>
      </c>
      <c r="AS10" s="18">
        <f>IFERROR(DITE_ENERO_2026[[#This Row],[RECUPERO SUPERVISOR]]/DITE_ENERO_2026[[#This Row],[META SUPER]],"")</f>
        <v>0.78509875324891931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11" s="37">
        <f>IF(D1_ENERO_2026[[#This Row],[RECUPERO]]="","",VLOOKUP($M$3&amp;$N$3&amp;D1_ENERO_2026[[#This Row],[SUPER]],TablaMeta[],6,0))</f>
        <v>27900</v>
      </c>
      <c r="D11" s="36">
        <f>IFERROR(D1_ENERO_2026[[#This Row],[RECUPERO]]/VLOOKUP($M$3&amp;$N$3&amp;D1_ENERO_2026[[#This Row],[SUPER]],TablaMeta[],6,0),"")</f>
        <v>1.1614695340501793</v>
      </c>
      <c r="E11" s="36" t="str">
        <f>IFERROR(VLOOKUP(D1_ENERO_2026[[#This Row],[ASESOR_CRR]],PLANTILLA_ACTUAL[],2,0),"")</f>
        <v>KENNETH</v>
      </c>
      <c r="F11" s="35" t="s">
        <v>105</v>
      </c>
      <c r="G11" s="37">
        <v>32405</v>
      </c>
      <c r="H11" s="35" t="str">
        <f>VLOOKUP(D1_ENERO_2026[[#This Row],[ASESOR_CRR]],DIM!$C:$E,2,0)</f>
        <v>48344037</v>
      </c>
      <c r="I11" s="68">
        <f>VLOOKUP(D1_ENERO_2026[[#This Row],[ASESOR_CRR]],DIM!$C:$E,3,0)</f>
        <v>46027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0.23666666666666666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&gt;0%</v>
      </c>
      <c r="O11" s="58" t="str">
        <f>IFERROR(VLOOKUP(DATA_ENERO_2026[[#This Row],[ASER_]],$B:$G,4,0),"")</f>
        <v>MELINA</v>
      </c>
      <c r="P11" s="6">
        <f>IF(DATA_ENERO_2026[[#This Row],[SUPERVISOR]]="","",VLOOKUP(DATA_ENERO_2026[[#This Row],[ASER_]],$B:$G,6,0))</f>
        <v>11360</v>
      </c>
      <c r="Q11" s="6">
        <f>VLOOKUP(DATA_ENERO_2026[[#This Row],[ASER_]],D1_ENERO_2026[[ASESOR_CRR]:[META]],2,0)</f>
        <v>48000</v>
      </c>
      <c r="R11" t="s">
        <v>72</v>
      </c>
      <c r="S11">
        <v>3160</v>
      </c>
      <c r="T11">
        <v>0</v>
      </c>
      <c r="U11">
        <v>2000</v>
      </c>
      <c r="V11">
        <v>0</v>
      </c>
      <c r="W11">
        <v>0</v>
      </c>
      <c r="X11">
        <v>0</v>
      </c>
      <c r="Y11">
        <v>250</v>
      </c>
      <c r="Z11">
        <v>0</v>
      </c>
      <c r="AA11">
        <v>0</v>
      </c>
      <c r="AB11">
        <v>800</v>
      </c>
      <c r="AC11">
        <v>0</v>
      </c>
      <c r="AD11">
        <v>200</v>
      </c>
      <c r="AE11">
        <v>500</v>
      </c>
      <c r="AF11">
        <v>2000</v>
      </c>
      <c r="AG11">
        <v>600</v>
      </c>
      <c r="AH11">
        <v>0</v>
      </c>
      <c r="AI11">
        <v>1850</v>
      </c>
      <c r="AJ11">
        <v>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279328.03000000003</v>
      </c>
      <c r="AS11" s="17">
        <f>IFERROR(DITE_ENERO_2026[[#This Row],[RECUPERO SUPERVISOR]]/DITE_ENERO_2026[[#This Row],[META SUPER]],"")</f>
        <v>0.95006302506717466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2" s="37">
        <f>IF(D1_ENERO_2026[[#This Row],[RECUPERO]]="","",VLOOKUP($M$3&amp;$N$3&amp;D1_ENERO_2026[[#This Row],[SUPER]],TablaMeta[],6,0))</f>
        <v>27900</v>
      </c>
      <c r="D12" s="36">
        <f>IFERROR(D1_ENERO_2026[[#This Row],[RECUPERO]]/VLOOKUP($M$3&amp;$N$3&amp;D1_ENERO_2026[[#This Row],[SUPER]],TablaMeta[],6,0),"")</f>
        <v>0.99982078853046596</v>
      </c>
      <c r="E12" s="36" t="str">
        <f>IFERROR(VLOOKUP(D1_ENERO_2026[[#This Row],[ASESOR_CRR]],PLANTILLA_ACTUAL[],2,0),"")</f>
        <v>KENNETH</v>
      </c>
      <c r="F12" s="35" t="s">
        <v>11</v>
      </c>
      <c r="G12" s="37">
        <v>27895</v>
      </c>
      <c r="H12" s="35" t="str">
        <f>VLOOKUP(D1_ENERO_2026[[#This Row],[ASESOR_CRR]],DIM!$C:$E,2,0)</f>
        <v>45139159</v>
      </c>
      <c r="I12" s="68">
        <f>VLOOKUP(D1_ENERO_2026[[#This Row],[ASESOR_CRR]],DIM!$C:$E,3,0)</f>
        <v>45369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0.63322916666666662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s="58" t="str">
        <f>IFERROR(VLOOKUP(DATA_ENERO_2026[[#This Row],[ASER_]],$B:$G,4,0),"")</f>
        <v>MELINA</v>
      </c>
      <c r="P12" s="6">
        <f>IF(DATA_ENERO_2026[[#This Row],[SUPERVISOR]]="","",VLOOKUP(DATA_ENERO_2026[[#This Row],[ASER_]],$B:$G,6,0))</f>
        <v>30395</v>
      </c>
      <c r="Q12" s="6">
        <f>VLOOKUP(DATA_ENERO_2026[[#This Row],[ASER_]],D1_ENERO_2026[[ASESOR_CRR]:[META]],2,0)</f>
        <v>48000</v>
      </c>
      <c r="R12" t="s">
        <v>12</v>
      </c>
      <c r="S12">
        <v>1700</v>
      </c>
      <c r="T12">
        <v>3230</v>
      </c>
      <c r="U12">
        <v>0</v>
      </c>
      <c r="V12">
        <v>6700</v>
      </c>
      <c r="W12">
        <v>2800</v>
      </c>
      <c r="X12">
        <v>750</v>
      </c>
      <c r="Y12">
        <v>0</v>
      </c>
      <c r="Z12">
        <v>6500</v>
      </c>
      <c r="AA12">
        <v>0</v>
      </c>
      <c r="AB12">
        <v>2500</v>
      </c>
      <c r="AC12">
        <v>750</v>
      </c>
      <c r="AD12">
        <v>0</v>
      </c>
      <c r="AE12">
        <v>0</v>
      </c>
      <c r="AF12">
        <v>315</v>
      </c>
      <c r="AG12">
        <v>0</v>
      </c>
      <c r="AH12">
        <v>5000</v>
      </c>
      <c r="AI12">
        <v>150</v>
      </c>
      <c r="AJ12">
        <v>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276432</v>
      </c>
      <c r="AS12" s="18">
        <f>IFERROR(DITE_ENERO_2026[[#This Row],[RECUPERO SUPERVISOR]]/DITE_ENERO_2026[[#This Row],[META SUPER]],"")</f>
        <v>1.1005597713139099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KENNETH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13" s="37">
        <f>IF(D1_ENERO_2026[[#This Row],[RECUPERO]]="","",VLOOKUP($M$3&amp;$N$3&amp;D1_ENERO_2026[[#This Row],[SUPER]],TablaMeta[],6,0))</f>
        <v>27900</v>
      </c>
      <c r="D13" s="36">
        <f>IFERROR(D1_ENERO_2026[[#This Row],[RECUPERO]]/VLOOKUP($M$3&amp;$N$3&amp;D1_ENERO_2026[[#This Row],[SUPER]],TablaMeta[],6,0),"")</f>
        <v>0.72329749103942653</v>
      </c>
      <c r="E13" s="36" t="str">
        <f>IFERROR(VLOOKUP(D1_ENERO_2026[[#This Row],[ASESOR_CRR]],PLANTILLA_ACTUAL[],2,0),"")</f>
        <v>KENNETH</v>
      </c>
      <c r="F13" s="35" t="s">
        <v>80</v>
      </c>
      <c r="G13" s="37">
        <v>20180</v>
      </c>
      <c r="H13" s="35" t="str">
        <f>VLOOKUP(D1_ENERO_2026[[#This Row],[ASESOR_CRR]],DIM!$C:$E,2,0)</f>
        <v>45084594</v>
      </c>
      <c r="I13" s="68">
        <f>VLOOKUP(D1_ENERO_2026[[#This Row],[ASESOR_CRR]],DIM!$C:$E,3,0)</f>
        <v>45281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0.40135416666666668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s="58" t="str">
        <f>IFERROR(VLOOKUP(DATA_ENERO_2026[[#This Row],[ASER_]],$B:$G,4,0),"")</f>
        <v>MELINA</v>
      </c>
      <c r="P13" s="6">
        <f>IF(DATA_ENERO_2026[[#This Row],[SUPERVISOR]]="","",VLOOKUP(DATA_ENERO_2026[[#This Row],[ASER_]],$B:$G,6,0))</f>
        <v>19265</v>
      </c>
      <c r="Q13" s="6">
        <f>VLOOKUP(DATA_ENERO_2026[[#This Row],[ASER_]],D1_ENERO_2026[[ASESOR_CRR]:[META]],2,0)</f>
        <v>48000</v>
      </c>
      <c r="R13" t="s">
        <v>122</v>
      </c>
      <c r="S13">
        <v>1030</v>
      </c>
      <c r="T13">
        <v>10000</v>
      </c>
      <c r="U13">
        <v>500</v>
      </c>
      <c r="V13">
        <v>0</v>
      </c>
      <c r="W13">
        <v>0</v>
      </c>
      <c r="X13">
        <v>5300</v>
      </c>
      <c r="Y13">
        <v>0</v>
      </c>
      <c r="Z13">
        <v>0</v>
      </c>
      <c r="AA13">
        <v>0</v>
      </c>
      <c r="AB13">
        <v>1900</v>
      </c>
      <c r="AC13">
        <v>0</v>
      </c>
      <c r="AD13">
        <v>0</v>
      </c>
      <c r="AE13">
        <v>535</v>
      </c>
      <c r="AF13">
        <v>0</v>
      </c>
      <c r="AG13">
        <v>0</v>
      </c>
      <c r="AH13">
        <v>0</v>
      </c>
      <c r="AI13">
        <v>0</v>
      </c>
      <c r="AJ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271178</v>
      </c>
      <c r="AS13" s="17">
        <f>IFERROR(DITE_ENERO_2026[[#This Row],[RECUPERO SUPERVISOR]]/DITE_ENERO_2026[[#This Row],[META SUPER]],"")</f>
        <v>0.91280214620156652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KENNETH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14" s="37">
        <f>IF(D1_ENERO_2026[[#This Row],[RECUPERO]]="","",VLOOKUP($M$3&amp;$N$3&amp;D1_ENERO_2026[[#This Row],[SUPER]],TablaMeta[],6,0))</f>
        <v>27900</v>
      </c>
      <c r="D14" s="36">
        <f>IFERROR(D1_ENERO_2026[[#This Row],[RECUPERO]]/VLOOKUP($M$3&amp;$N$3&amp;D1_ENERO_2026[[#This Row],[SUPER]],TablaMeta[],6,0),"")</f>
        <v>0.26530465949820786</v>
      </c>
      <c r="E14" s="36" t="str">
        <f>IFERROR(VLOOKUP(D1_ENERO_2026[[#This Row],[ASESOR_CRR]],PLANTILLA_ACTUAL[],2,0),"")</f>
        <v>KENNETH</v>
      </c>
      <c r="F14" s="35" t="s">
        <v>35</v>
      </c>
      <c r="G14" s="37">
        <v>7402</v>
      </c>
      <c r="H14" s="35" t="str">
        <f>VLOOKUP(D1_ENERO_2026[[#This Row],[ASESOR_CRR]],DIM!$C:$E,2,0)</f>
        <v>10491198</v>
      </c>
      <c r="I14" s="68">
        <f>VLOOKUP(D1_ENERO_2026[[#This Row],[ASESOR_CRR]],DIM!$C:$E,3,0)</f>
        <v>44746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1.1684791666666667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s="58" t="str">
        <f>IFERROR(VLOOKUP(DATA_ENERO_2026[[#This Row],[ASER_]],$B:$G,4,0),"")</f>
        <v>MELINA</v>
      </c>
      <c r="P14" s="6">
        <f>IF(DATA_ENERO_2026[[#This Row],[SUPERVISOR]]="","",VLOOKUP(DATA_ENERO_2026[[#This Row],[ASER_]],$B:$G,6,0))</f>
        <v>56087</v>
      </c>
      <c r="Q14" s="6">
        <f>VLOOKUP(DATA_ENERO_2026[[#This Row],[ASER_]],D1_ENERO_2026[[ASESOR_CRR]:[META]],2,0)</f>
        <v>48000</v>
      </c>
      <c r="R14" t="s">
        <v>75</v>
      </c>
      <c r="S14">
        <v>0</v>
      </c>
      <c r="T14">
        <v>3500</v>
      </c>
      <c r="U14">
        <v>0</v>
      </c>
      <c r="V14">
        <v>0</v>
      </c>
      <c r="W14">
        <v>0</v>
      </c>
      <c r="X14">
        <v>10000</v>
      </c>
      <c r="Y14">
        <v>800</v>
      </c>
      <c r="Z14">
        <v>0</v>
      </c>
      <c r="AA14">
        <v>2000</v>
      </c>
      <c r="AB14">
        <v>3500</v>
      </c>
      <c r="AC14">
        <v>5600</v>
      </c>
      <c r="AD14">
        <v>5500</v>
      </c>
      <c r="AE14">
        <v>0</v>
      </c>
      <c r="AF14">
        <v>5520</v>
      </c>
      <c r="AG14">
        <v>1500</v>
      </c>
      <c r="AH14">
        <v>9137</v>
      </c>
      <c r="AI14">
        <v>4600</v>
      </c>
      <c r="AJ14">
        <v>4430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0.12308243727598567</v>
      </c>
      <c r="E15" s="36" t="str">
        <f>IFERROR(VLOOKUP(D1_ENERO_2026[[#This Row],[ASESOR_CRR]],PLANTILLA_ACTUAL[],2,0),"")</f>
        <v>KENNETH</v>
      </c>
      <c r="F15" s="35" t="s">
        <v>37</v>
      </c>
      <c r="G15" s="37">
        <v>3434</v>
      </c>
      <c r="H15" s="35" t="str">
        <f>VLOOKUP(D1_ENERO_2026[[#This Row],[ASESOR_CRR]],DIM!$C:$E,2,0)</f>
        <v>70988976</v>
      </c>
      <c r="I15" s="68">
        <f>VLOOKUP(D1_ENERO_2026[[#This Row],[ASESOR_CRR]],DIM!$C:$E,3,0)</f>
        <v>45112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0.38456249999999997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&gt;0%</v>
      </c>
      <c r="O15" s="58" t="str">
        <f>IFERROR(VLOOKUP(DATA_ENERO_2026[[#This Row],[ASER_]],$B:$G,4,0),"")</f>
        <v>MELINA</v>
      </c>
      <c r="P15" s="6">
        <f>IF(DATA_ENERO_2026[[#This Row],[SUPERVISOR]]="","",VLOOKUP(DATA_ENERO_2026[[#This Row],[ASER_]],$B:$G,6,0))</f>
        <v>18459</v>
      </c>
      <c r="Q15" s="6">
        <f>VLOOKUP(DATA_ENERO_2026[[#This Row],[ASER_]],D1_ENERO_2026[[ASESOR_CRR]:[META]],2,0)</f>
        <v>48000</v>
      </c>
      <c r="R15" t="s">
        <v>208</v>
      </c>
      <c r="S15">
        <v>0</v>
      </c>
      <c r="T15">
        <v>750</v>
      </c>
      <c r="U15">
        <v>0</v>
      </c>
      <c r="V15">
        <v>0</v>
      </c>
      <c r="W15">
        <v>0</v>
      </c>
      <c r="X15">
        <v>4400</v>
      </c>
      <c r="Y15">
        <v>0</v>
      </c>
      <c r="Z15">
        <v>300</v>
      </c>
      <c r="AA15">
        <v>0</v>
      </c>
      <c r="AB15">
        <v>5000</v>
      </c>
      <c r="AC15">
        <v>700</v>
      </c>
      <c r="AD15">
        <v>1090</v>
      </c>
      <c r="AE15">
        <v>219</v>
      </c>
      <c r="AF15">
        <v>2000</v>
      </c>
      <c r="AG15">
        <v>4000</v>
      </c>
      <c r="AH15">
        <v>0</v>
      </c>
      <c r="AI15">
        <v>0</v>
      </c>
      <c r="AJ15">
        <v>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1.560125</v>
      </c>
      <c r="E16" s="36" t="str">
        <f>IFERROR(VLOOKUP(D1_ENERO_2026[[#This Row],[ASESOR_CRR]],PLANTILLA_ACTUAL[],2,0),"")</f>
        <v>MELINA</v>
      </c>
      <c r="F16" s="35" t="s">
        <v>59</v>
      </c>
      <c r="G16" s="37">
        <v>74886</v>
      </c>
      <c r="H16" s="35" t="str">
        <f>VLOOKUP(D1_ENERO_2026[[#This Row],[ASESOR_CRR]],DIM!$C:$E,2,0)</f>
        <v>60870839</v>
      </c>
      <c r="I16" s="68">
        <f>VLOOKUP(D1_ENERO_2026[[#This Row],[ASESOR_CRR]],DIM!$C:$E,3,0)</f>
        <v>45344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1.560125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MELINA</v>
      </c>
      <c r="P16" s="6">
        <f>IF(DATA_ENERO_2026[[#This Row],[SUPERVISOR]]="","",VLOOKUP(DATA_ENERO_2026[[#This Row],[ASER_]],$B:$G,6,0))</f>
        <v>74886</v>
      </c>
      <c r="Q16" s="6">
        <f>VLOOKUP(DATA_ENERO_2026[[#This Row],[ASER_]],D1_ENERO_2026[[ASESOR_CRR]:[META]],2,0)</f>
        <v>48000</v>
      </c>
      <c r="R16" t="s">
        <v>59</v>
      </c>
      <c r="S16">
        <v>10000</v>
      </c>
      <c r="T16">
        <v>2700</v>
      </c>
      <c r="U16">
        <v>1650</v>
      </c>
      <c r="V16">
        <v>0</v>
      </c>
      <c r="W16">
        <v>0</v>
      </c>
      <c r="X16">
        <v>10596</v>
      </c>
      <c r="Y16">
        <v>1000</v>
      </c>
      <c r="Z16">
        <v>0</v>
      </c>
      <c r="AA16">
        <v>0</v>
      </c>
      <c r="AB16">
        <v>5200</v>
      </c>
      <c r="AC16">
        <v>2500</v>
      </c>
      <c r="AD16">
        <v>0</v>
      </c>
      <c r="AE16">
        <v>11400</v>
      </c>
      <c r="AF16">
        <v>0</v>
      </c>
      <c r="AG16">
        <v>4000</v>
      </c>
      <c r="AH16">
        <v>11500</v>
      </c>
      <c r="AI16">
        <v>12340</v>
      </c>
      <c r="AJ16">
        <v>2000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1.2647291666666667</v>
      </c>
      <c r="E17" s="36" t="str">
        <f>IFERROR(VLOOKUP(D1_ENERO_2026[[#This Row],[ASESOR_CRR]],PLANTILLA_ACTUAL[],2,0),"")</f>
        <v>MELINA</v>
      </c>
      <c r="F17" s="35" t="s">
        <v>60</v>
      </c>
      <c r="G17" s="37">
        <v>60707</v>
      </c>
      <c r="H17" s="35" t="str">
        <f>VLOOKUP(D1_ENERO_2026[[#This Row],[ASESOR_CRR]],DIM!$C:$E,2,0)</f>
        <v>72839865</v>
      </c>
      <c r="I17" s="68">
        <f>VLOOKUP(D1_ENERO_2026[[#This Row],[ASESOR_CRR]],DIM!$C:$E,3,0)</f>
        <v>45854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0.82914583333333336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&gt;70%</v>
      </c>
      <c r="O17" s="58" t="str">
        <f>IFERROR(VLOOKUP(DATA_ENERO_2026[[#This Row],[ASER_]],$B:$G,4,0),"")</f>
        <v>MELINA</v>
      </c>
      <c r="P17" s="6">
        <f>IF(DATA_ENERO_2026[[#This Row],[SUPERVISOR]]="","",VLOOKUP(DATA_ENERO_2026[[#This Row],[ASER_]],$B:$G,6,0))</f>
        <v>39799</v>
      </c>
      <c r="Q17" s="6">
        <f>VLOOKUP(DATA_ENERO_2026[[#This Row],[ASER_]],D1_ENERO_2026[[ASESOR_CRR]:[META]],2,0)</f>
        <v>48000</v>
      </c>
      <c r="R17" t="s">
        <v>10</v>
      </c>
      <c r="S17">
        <v>700</v>
      </c>
      <c r="T17">
        <v>8751</v>
      </c>
      <c r="U17">
        <v>0</v>
      </c>
      <c r="V17">
        <v>7000</v>
      </c>
      <c r="W17">
        <v>0</v>
      </c>
      <c r="X17">
        <v>1300</v>
      </c>
      <c r="Y17">
        <v>16100</v>
      </c>
      <c r="Z17">
        <v>0</v>
      </c>
      <c r="AA17">
        <v>0</v>
      </c>
      <c r="AB17">
        <v>2000</v>
      </c>
      <c r="AC17">
        <v>360</v>
      </c>
      <c r="AD17">
        <v>0</v>
      </c>
      <c r="AE17">
        <v>0</v>
      </c>
      <c r="AF17">
        <v>700</v>
      </c>
      <c r="AG17">
        <v>2200</v>
      </c>
      <c r="AH17">
        <v>688</v>
      </c>
      <c r="AI17">
        <v>0</v>
      </c>
      <c r="AJ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1.1684791666666667</v>
      </c>
      <c r="E18" s="36" t="str">
        <f>IFERROR(VLOOKUP(D1_ENERO_2026[[#This Row],[ASESOR_CRR]],PLANTILLA_ACTUAL[],2,0),"")</f>
        <v>MELINA</v>
      </c>
      <c r="F18" t="s">
        <v>75</v>
      </c>
      <c r="G18" s="3">
        <v>56087</v>
      </c>
      <c r="H18" t="str">
        <f>VLOOKUP(D1_ENERO_2026[[#This Row],[ASESOR_CRR]],DIM!$C:$E,2,0)</f>
        <v>71264767</v>
      </c>
      <c r="I18" s="59">
        <f>VLOOKUP(D1_ENERO_2026[[#This Row],[ASESOR_CRR]],DIM!$C:$E,3,0)</f>
        <v>44714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0.72329749103942653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s="58" t="str">
        <f>IFERROR(VLOOKUP(DATA_ENERO_2026[[#This Row],[ASER_]],$B:$G,4,0),"")</f>
        <v>KENNETH</v>
      </c>
      <c r="P18" s="6">
        <f>IF(DATA_ENERO_2026[[#This Row],[SUPERVISOR]]="","",VLOOKUP(DATA_ENERO_2026[[#This Row],[ASER_]],$B:$G,6,0))</f>
        <v>20180</v>
      </c>
      <c r="Q18" s="6">
        <f>VLOOKUP(DATA_ENERO_2026[[#This Row],[ASER_]],D1_ENERO_2026[[ASESOR_CRR]:[META]],2,0)</f>
        <v>27900</v>
      </c>
      <c r="R18" t="s">
        <v>80</v>
      </c>
      <c r="S18">
        <v>3000</v>
      </c>
      <c r="T18">
        <v>0</v>
      </c>
      <c r="U18">
        <v>8300</v>
      </c>
      <c r="V18">
        <v>0</v>
      </c>
      <c r="W18">
        <v>0</v>
      </c>
      <c r="X18">
        <v>0</v>
      </c>
      <c r="Y18">
        <v>4200</v>
      </c>
      <c r="Z18">
        <v>3710</v>
      </c>
      <c r="AA18">
        <v>0</v>
      </c>
      <c r="AB18">
        <v>700</v>
      </c>
      <c r="AC18">
        <v>270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0.82914583333333336</v>
      </c>
      <c r="E19" s="36" t="str">
        <f>IFERROR(VLOOKUP(D1_ENERO_2026[[#This Row],[ASESOR_CRR]],PLANTILLA_ACTUAL[],2,0),"")</f>
        <v>MELINA</v>
      </c>
      <c r="F19" t="s">
        <v>10</v>
      </c>
      <c r="G19" s="3">
        <v>39799</v>
      </c>
      <c r="H19" t="str">
        <f>VLOOKUP(D1_ENERO_2026[[#This Row],[ASESOR_CRR]],DIM!$C:$E,2,0)</f>
        <v>40980108</v>
      </c>
      <c r="I19" s="59">
        <f>VLOOKUP(D1_ENERO_2026[[#This Row],[ASESOR_CRR]],DIM!$C:$E,3,0)</f>
        <v>44704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0.12308243727598567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&gt;0%</v>
      </c>
      <c r="O19" s="58" t="str">
        <f>IFERROR(VLOOKUP(DATA_ENERO_2026[[#This Row],[ASER_]],$B:$G,4,0),"")</f>
        <v>KENNETH</v>
      </c>
      <c r="P19" s="6">
        <f>IF(DATA_ENERO_2026[[#This Row],[SUPERVISOR]]="","",VLOOKUP(DATA_ENERO_2026[[#This Row],[ASER_]],$B:$G,6,0))</f>
        <v>3434</v>
      </c>
      <c r="Q19" s="6">
        <f>VLOOKUP(DATA_ENERO_2026[[#This Row],[ASER_]],D1_ENERO_2026[[ASESOR_CRR]:[META]],2,0)</f>
        <v>27900</v>
      </c>
      <c r="R19" t="s">
        <v>37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148</v>
      </c>
      <c r="AA19">
        <v>286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3000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0.63322916666666662</v>
      </c>
      <c r="E20" s="36" t="str">
        <f>IFERROR(VLOOKUP(D1_ENERO_2026[[#This Row],[ASESOR_CRR]],PLANTILLA_ACTUAL[],2,0),"")</f>
        <v>MELINA</v>
      </c>
      <c r="F20" t="s">
        <v>12</v>
      </c>
      <c r="G20" s="3">
        <v>30395</v>
      </c>
      <c r="H20" t="str">
        <f>VLOOKUP(D1_ENERO_2026[[#This Row],[ASESOR_CRR]],DIM!$C:$E,2,0)</f>
        <v>45262585</v>
      </c>
      <c r="I20" s="59">
        <f>VLOOKUP(D1_ENERO_2026[[#This Row],[ASESOR_CRR]],DIM!$C:$E,3,0)</f>
        <v>44868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1.4117562724014336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KENNETH</v>
      </c>
      <c r="P20" s="6">
        <f>IF(DATA_ENERO_2026[[#This Row],[SUPERVISOR]]="","",VLOOKUP(DATA_ENERO_2026[[#This Row],[ASER_]],$B:$G,6,0))</f>
        <v>39388</v>
      </c>
      <c r="Q20" s="6">
        <f>VLOOKUP(DATA_ENERO_2026[[#This Row],[ASER_]],D1_ENERO_2026[[ASESOR_CRR]:[META]],2,0)</f>
        <v>27900</v>
      </c>
      <c r="R20" t="s">
        <v>34</v>
      </c>
      <c r="S20">
        <v>500</v>
      </c>
      <c r="T20">
        <v>5500</v>
      </c>
      <c r="U20">
        <v>8500</v>
      </c>
      <c r="V20">
        <v>3313</v>
      </c>
      <c r="W20">
        <v>0</v>
      </c>
      <c r="X20">
        <v>0</v>
      </c>
      <c r="Y20">
        <v>0</v>
      </c>
      <c r="Z20">
        <v>500</v>
      </c>
      <c r="AA20">
        <v>4500</v>
      </c>
      <c r="AB20">
        <v>575</v>
      </c>
      <c r="AC20">
        <v>0</v>
      </c>
      <c r="AD20">
        <v>8300</v>
      </c>
      <c r="AE20">
        <v>200</v>
      </c>
      <c r="AF20">
        <v>5000</v>
      </c>
      <c r="AG20">
        <v>500</v>
      </c>
      <c r="AH20">
        <v>2000</v>
      </c>
      <c r="AI20">
        <v>0</v>
      </c>
      <c r="AJ20">
        <v>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0.58239583333333333</v>
      </c>
      <c r="E21" s="36" t="str">
        <f>IFERROR(VLOOKUP(D1_ENERO_2026[[#This Row],[ASESOR_CRR]],PLANTILLA_ACTUAL[],2,0),"")</f>
        <v>MELINA</v>
      </c>
      <c r="F21" t="s">
        <v>18</v>
      </c>
      <c r="G21" s="3">
        <v>27955</v>
      </c>
      <c r="H21" t="str">
        <f>VLOOKUP(D1_ENERO_2026[[#This Row],[ASESOR_CRR]],DIM!$C:$E,2,0)</f>
        <v>76214436</v>
      </c>
      <c r="I21" s="59">
        <f>VLOOKUP(D1_ENERO_2026[[#This Row],[ASESOR_CRR]],DIM!$C:$E,3,0)</f>
        <v>45132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0.26530465949820786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s="58" t="str">
        <f>IFERROR(VLOOKUP(DATA_ENERO_2026[[#This Row],[ASER_]],$B:$G,4,0),"")</f>
        <v>KENNETH</v>
      </c>
      <c r="P21" s="6">
        <f>IF(DATA_ENERO_2026[[#This Row],[SUPERVISOR]]="","",VLOOKUP(DATA_ENERO_2026[[#This Row],[ASER_]],$B:$G,6,0))</f>
        <v>7402</v>
      </c>
      <c r="Q21" s="6">
        <f>VLOOKUP(DATA_ENERO_2026[[#This Row],[ASER_]],D1_ENERO_2026[[ASESOR_CRR]:[META]],2,0)</f>
        <v>27900</v>
      </c>
      <c r="R21" t="s">
        <v>35</v>
      </c>
      <c r="S21">
        <v>0</v>
      </c>
      <c r="T21">
        <v>800</v>
      </c>
      <c r="U21">
        <v>350</v>
      </c>
      <c r="V21">
        <v>0</v>
      </c>
      <c r="W21">
        <v>0</v>
      </c>
      <c r="X21">
        <v>257</v>
      </c>
      <c r="Y21">
        <v>370</v>
      </c>
      <c r="Z21">
        <v>500</v>
      </c>
      <c r="AA21">
        <v>115</v>
      </c>
      <c r="AB21">
        <v>0</v>
      </c>
      <c r="AC21">
        <v>0</v>
      </c>
      <c r="AD21">
        <v>0</v>
      </c>
      <c r="AE21">
        <v>0</v>
      </c>
      <c r="AF21">
        <v>50</v>
      </c>
      <c r="AG21">
        <v>3960</v>
      </c>
      <c r="AH21">
        <v>0</v>
      </c>
      <c r="AI21">
        <v>1000</v>
      </c>
      <c r="AJ21">
        <v>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0.40135416666666668</v>
      </c>
      <c r="E22" s="36" t="str">
        <f>IFERROR(VLOOKUP(D1_ENERO_2026[[#This Row],[ASESOR_CRR]],PLANTILLA_ACTUAL[],2,0),"")</f>
        <v>MELINA</v>
      </c>
      <c r="F22" t="s">
        <v>122</v>
      </c>
      <c r="G22" s="3">
        <v>19265</v>
      </c>
      <c r="H22" t="str">
        <f>VLOOKUP(D1_ENERO_2026[[#This Row],[ASESOR_CRR]],DIM!$C:$E,2,0)</f>
        <v>76586998</v>
      </c>
      <c r="I22" s="59">
        <f>VLOOKUP(D1_ENERO_2026[[#This Row],[ASESOR_CRR]],DIM!$C:$E,3,0)</f>
        <v>45971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1.2525089605734767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&gt;100%</v>
      </c>
      <c r="O22" s="58" t="str">
        <f>IFERROR(VLOOKUP(DATA_ENERO_2026[[#This Row],[ASER_]],$B:$G,4,0),"")</f>
        <v>KENNETH</v>
      </c>
      <c r="P22" s="6">
        <f>IF(DATA_ENERO_2026[[#This Row],[SUPERVISOR]]="","",VLOOKUP(DATA_ENERO_2026[[#This Row],[ASER_]],$B:$G,6,0))</f>
        <v>34945</v>
      </c>
      <c r="Q22" s="6">
        <f>VLOOKUP(DATA_ENERO_2026[[#This Row],[ASER_]],D1_ENERO_2026[[ASESOR_CRR]:[META]],2,0)</f>
        <v>27900</v>
      </c>
      <c r="R22" t="s">
        <v>19</v>
      </c>
      <c r="S22">
        <v>0</v>
      </c>
      <c r="T22">
        <v>0</v>
      </c>
      <c r="U22">
        <v>0</v>
      </c>
      <c r="V22">
        <v>3200</v>
      </c>
      <c r="W22">
        <v>500</v>
      </c>
      <c r="X22">
        <v>2000</v>
      </c>
      <c r="Y22">
        <v>7000</v>
      </c>
      <c r="Z22">
        <v>5000</v>
      </c>
      <c r="AA22">
        <v>3250</v>
      </c>
      <c r="AB22">
        <v>0</v>
      </c>
      <c r="AC22">
        <v>2495</v>
      </c>
      <c r="AD22">
        <v>250</v>
      </c>
      <c r="AE22">
        <v>3000</v>
      </c>
      <c r="AF22">
        <v>8000</v>
      </c>
      <c r="AG22">
        <v>250</v>
      </c>
      <c r="AH22">
        <v>0</v>
      </c>
      <c r="AI22">
        <v>0</v>
      </c>
      <c r="AJ22">
        <v>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0.38456249999999997</v>
      </c>
      <c r="E23" s="36" t="str">
        <f>IFERROR(VLOOKUP(D1_ENERO_2026[[#This Row],[ASESOR_CRR]],PLANTILLA_ACTUAL[],2,0),"")</f>
        <v>MELINA</v>
      </c>
      <c r="F23" t="s">
        <v>208</v>
      </c>
      <c r="G23" s="3">
        <v>18459</v>
      </c>
      <c r="H23" t="str">
        <f>VLOOKUP(D1_ENERO_2026[[#This Row],[ASESOR_CRR]],DIM!$C:$E,2,0)</f>
        <v>47497410</v>
      </c>
      <c r="I23" s="59">
        <f>VLOOKUP(D1_ENERO_2026[[#This Row],[ASESOR_CRR]],DIM!$C:$E,3,0)</f>
        <v>46024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1.4754121863799283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s="58" t="str">
        <f>IFERROR(VLOOKUP(DATA_ENERO_2026[[#This Row],[ASER_]],$B:$G,4,0),"")</f>
        <v>KENNETH</v>
      </c>
      <c r="P23" s="6">
        <f>IF(DATA_ENERO_2026[[#This Row],[SUPERVISOR]]="","",VLOOKUP(DATA_ENERO_2026[[#This Row],[ASER_]],$B:$G,6,0))</f>
        <v>41164</v>
      </c>
      <c r="Q23" s="6">
        <f>VLOOKUP(DATA_ENERO_2026[[#This Row],[ASER_]],D1_ENERO_2026[[ASESOR_CRR]:[META]],2,0)</f>
        <v>27900</v>
      </c>
      <c r="R23" t="s">
        <v>81</v>
      </c>
      <c r="S23">
        <v>0</v>
      </c>
      <c r="T23">
        <v>0</v>
      </c>
      <c r="U23">
        <v>0</v>
      </c>
      <c r="V23">
        <v>0</v>
      </c>
      <c r="W23">
        <v>0</v>
      </c>
      <c r="X23">
        <v>28574</v>
      </c>
      <c r="Y23">
        <v>0</v>
      </c>
      <c r="Z23">
        <v>3925</v>
      </c>
      <c r="AA23">
        <v>0</v>
      </c>
      <c r="AB23">
        <v>500</v>
      </c>
      <c r="AC23">
        <v>1400</v>
      </c>
      <c r="AD23">
        <v>0</v>
      </c>
      <c r="AE23">
        <v>93</v>
      </c>
      <c r="AF23">
        <v>172</v>
      </c>
      <c r="AG23">
        <v>2500</v>
      </c>
      <c r="AH23">
        <v>0</v>
      </c>
      <c r="AI23">
        <v>4000</v>
      </c>
      <c r="AJ23">
        <v>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4" s="37">
        <f>IF(D1_ENERO_2026[[#This Row],[RECUPERO]]="","",VLOOKUP($M$3&amp;$N$3&amp;D1_ENERO_2026[[#This Row],[SUPER]],TablaMeta[],6,0))</f>
        <v>48000</v>
      </c>
      <c r="D24" s="36">
        <f>IFERROR(D1_ENERO_2026[[#This Row],[RECUPERO]]/VLOOKUP($M$3&amp;$N$3&amp;D1_ENERO_2026[[#This Row],[SUPER]],TablaMeta[],6,0),"")</f>
        <v>0.23666666666666666</v>
      </c>
      <c r="E24" s="36" t="str">
        <f>IFERROR(VLOOKUP(D1_ENERO_2026[[#This Row],[ASESOR_CRR]],PLANTILLA_ACTUAL[],2,0),"")</f>
        <v>MELINA</v>
      </c>
      <c r="F24" t="s">
        <v>72</v>
      </c>
      <c r="G24" s="3">
        <v>11360</v>
      </c>
      <c r="H24" t="str">
        <f>VLOOKUP(D1_ENERO_2026[[#This Row],[ASESOR_CRR]],DIM!$C:$E,2,0)</f>
        <v>47690367</v>
      </c>
      <c r="I24" s="59">
        <f>VLOOKUP(D1_ENERO_2026[[#This Row],[ASESOR_CRR]],DIM!$C:$E,3,0)</f>
        <v>45691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1.226989247311828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s="58" t="str">
        <f>IFERROR(VLOOKUP(DATA_ENERO_2026[[#This Row],[ASER_]],$B:$G,4,0),"")</f>
        <v>KENNETH</v>
      </c>
      <c r="P24" s="6">
        <f>IF(DATA_ENERO_2026[[#This Row],[SUPERVISOR]]="","",VLOOKUP(DATA_ENERO_2026[[#This Row],[ASER_]],$B:$G,6,0))</f>
        <v>34233</v>
      </c>
      <c r="Q24" s="6">
        <f>VLOOKUP(DATA_ENERO_2026[[#This Row],[ASER_]],D1_ENERO_2026[[ASESOR_CRR]:[META]],2,0)</f>
        <v>27900</v>
      </c>
      <c r="R24" t="s">
        <v>50</v>
      </c>
      <c r="S24">
        <v>13500</v>
      </c>
      <c r="T24">
        <v>350</v>
      </c>
      <c r="U24">
        <v>0</v>
      </c>
      <c r="V24">
        <v>0</v>
      </c>
      <c r="W24">
        <v>0</v>
      </c>
      <c r="X24">
        <v>0</v>
      </c>
      <c r="Y24">
        <v>8485</v>
      </c>
      <c r="Z24">
        <v>6750</v>
      </c>
      <c r="AA24">
        <v>4500</v>
      </c>
      <c r="AB24">
        <v>648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SANDY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25" s="37">
        <f>IF(D1_ENERO_2026[[#This Row],[RECUPERO]]="","",VLOOKUP($M$3&amp;$N$3&amp;D1_ENERO_2026[[#This Row],[SUPER]],TablaMeta[],6,0))</f>
        <v>48000</v>
      </c>
      <c r="D25" s="36">
        <f>IFERROR(D1_ENERO_2026[[#This Row],[RECUPERO]]/VLOOKUP($M$3&amp;$N$3&amp;D1_ENERO_2026[[#This Row],[SUPER]],TablaMeta[],6,0),"")</f>
        <v>1.7793749999999999</v>
      </c>
      <c r="E25" s="36" t="str">
        <f>IFERROR(VLOOKUP(D1_ENERO_2026[[#This Row],[ASESOR_CRR]],PLANTILLA_ACTUAL[],2,0),"")</f>
        <v>SANDY</v>
      </c>
      <c r="F25" t="s">
        <v>32</v>
      </c>
      <c r="G25" s="3">
        <v>85410</v>
      </c>
      <c r="H25" t="str">
        <f>VLOOKUP(D1_ENERO_2026[[#This Row],[ASESOR_CRR]],DIM!$C:$E,2,0)</f>
        <v>48584670</v>
      </c>
      <c r="I25" s="59">
        <f>VLOOKUP(D1_ENERO_2026[[#This Row],[ASESOR_CRR]],DIM!$C:$E,3,0)</f>
        <v>45526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1.1614695340501793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&gt;100%</v>
      </c>
      <c r="O25" s="58" t="str">
        <f>IFERROR(VLOOKUP(DATA_ENERO_2026[[#This Row],[ASER_]],$B:$G,4,0),"")</f>
        <v>KENNETH</v>
      </c>
      <c r="P25" s="6">
        <f>IF(DATA_ENERO_2026[[#This Row],[SUPERVISOR]]="","",VLOOKUP(DATA_ENERO_2026[[#This Row],[ASER_]],$B:$G,6,0))</f>
        <v>32405</v>
      </c>
      <c r="Q25" s="6">
        <f>VLOOKUP(DATA_ENERO_2026[[#This Row],[ASER_]],D1_ENERO_2026[[ASESOR_CRR]:[META]],2,0)</f>
        <v>27900</v>
      </c>
      <c r="R25" t="s">
        <v>105</v>
      </c>
      <c r="U25">
        <v>0</v>
      </c>
      <c r="V25">
        <v>0</v>
      </c>
      <c r="W25">
        <v>20000</v>
      </c>
      <c r="X25">
        <v>600</v>
      </c>
      <c r="Y25">
        <v>0</v>
      </c>
      <c r="Z25">
        <v>0</v>
      </c>
      <c r="AA25">
        <v>0</v>
      </c>
      <c r="AB25">
        <v>605</v>
      </c>
      <c r="AC25">
        <v>0</v>
      </c>
      <c r="AD25">
        <v>1000</v>
      </c>
      <c r="AE25">
        <v>0</v>
      </c>
      <c r="AF25">
        <v>0</v>
      </c>
      <c r="AG25">
        <v>0</v>
      </c>
      <c r="AH25">
        <v>0</v>
      </c>
      <c r="AI25">
        <v>200</v>
      </c>
      <c r="AJ25">
        <v>10000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SANDY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26" s="37">
        <f>IF(D1_ENERO_2026[[#This Row],[RECUPERO]]="","",VLOOKUP($M$3&amp;$N$3&amp;D1_ENERO_2026[[#This Row],[SUPER]],TablaMeta[],6,0))</f>
        <v>48000</v>
      </c>
      <c r="D26" s="36">
        <f>IFERROR(D1_ENERO_2026[[#This Row],[RECUPERO]]/VLOOKUP($M$3&amp;$N$3&amp;D1_ENERO_2026[[#This Row],[SUPER]],TablaMeta[],6,0),"")</f>
        <v>1.1633333333333333</v>
      </c>
      <c r="E26" s="36" t="str">
        <f>IFERROR(VLOOKUP(D1_ENERO_2026[[#This Row],[ASESOR_CRR]],PLANTILLA_ACTUAL[],2,0),"")</f>
        <v>SANDY</v>
      </c>
      <c r="F26" t="s">
        <v>96</v>
      </c>
      <c r="G26" s="3">
        <v>55840</v>
      </c>
      <c r="H26" t="str">
        <f>VLOOKUP(D1_ENERO_2026[[#This Row],[ASESOR_CRR]],DIM!$C:$E,2,0)</f>
        <v>46793103</v>
      </c>
      <c r="I26" s="59">
        <f>VLOOKUP(D1_ENERO_2026[[#This Row],[ASESOR_CRR]],DIM!$C:$E,3,0)</f>
        <v>45882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1.26831541218638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s="58" t="str">
        <f>IFERROR(VLOOKUP(DATA_ENERO_2026[[#This Row],[ASER_]],$B:$G,4,0),"")</f>
        <v>KENNETH</v>
      </c>
      <c r="P26" s="6">
        <f>IF(DATA_ENERO_2026[[#This Row],[SUPERVISOR]]="","",VLOOKUP(DATA_ENERO_2026[[#This Row],[ASER_]],$B:$G,6,0))</f>
        <v>35386</v>
      </c>
      <c r="Q26" s="6">
        <f>VLOOKUP(DATA_ENERO_2026[[#This Row],[ASER_]],D1_ENERO_2026[[ASESOR_CRR]:[META]],2,0)</f>
        <v>27900</v>
      </c>
      <c r="R26" t="s">
        <v>26</v>
      </c>
      <c r="S26">
        <v>1500</v>
      </c>
      <c r="T26">
        <v>0</v>
      </c>
      <c r="U26">
        <v>3500</v>
      </c>
      <c r="V26">
        <v>950</v>
      </c>
      <c r="W26">
        <v>0</v>
      </c>
      <c r="X26">
        <v>0</v>
      </c>
      <c r="Y26">
        <v>0</v>
      </c>
      <c r="Z26">
        <v>0</v>
      </c>
      <c r="AA26">
        <v>0</v>
      </c>
      <c r="AB26">
        <v>1263</v>
      </c>
      <c r="AC26">
        <v>2000</v>
      </c>
      <c r="AD26">
        <v>0</v>
      </c>
      <c r="AE26">
        <v>0</v>
      </c>
      <c r="AF26">
        <v>5850</v>
      </c>
      <c r="AG26">
        <v>3300</v>
      </c>
      <c r="AH26">
        <v>0</v>
      </c>
      <c r="AI26">
        <v>0</v>
      </c>
      <c r="AJ26">
        <v>17023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SANDY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27" s="37">
        <f>IF(D1_ENERO_2026[[#This Row],[RECUPERO]]="","",VLOOKUP($M$3&amp;$N$3&amp;D1_ENERO_2026[[#This Row],[SUPER]],TablaMeta[],6,0))</f>
        <v>48000</v>
      </c>
      <c r="D27" s="36">
        <f>IFERROR(D1_ENERO_2026[[#This Row],[RECUPERO]]/VLOOKUP($M$3&amp;$N$3&amp;D1_ENERO_2026[[#This Row],[SUPER]],TablaMeta[],6,0),"")</f>
        <v>1.1081458333333334</v>
      </c>
      <c r="E27" s="36" t="str">
        <f>IFERROR(VLOOKUP(D1_ENERO_2026[[#This Row],[ASESOR_CRR]],PLANTILLA_ACTUAL[],2,0),"")</f>
        <v>SANDY</v>
      </c>
      <c r="F27" t="s">
        <v>23</v>
      </c>
      <c r="G27" s="3">
        <v>53191</v>
      </c>
      <c r="H27" t="str">
        <f>VLOOKUP(D1_ENERO_2026[[#This Row],[ASESOR_CRR]],DIM!$C:$E,2,0)</f>
        <v>72413556</v>
      </c>
      <c r="I27" s="59">
        <f>VLOOKUP(D1_ENERO_2026[[#This Row],[ASESOR_CRR]],DIM!$C:$E,3,0)</f>
        <v>44109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0.99982078853046596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s="58" t="str">
        <f>IFERROR(VLOOKUP(DATA_ENERO_2026[[#This Row],[ASER_]],$B:$G,4,0),"")</f>
        <v>KENNETH</v>
      </c>
      <c r="P27" s="6">
        <f>IF(DATA_ENERO_2026[[#This Row],[SUPERVISOR]]="","",VLOOKUP(DATA_ENERO_2026[[#This Row],[ASER_]],$B:$G,6,0))</f>
        <v>27895</v>
      </c>
      <c r="Q27" s="6">
        <f>VLOOKUP(DATA_ENERO_2026[[#This Row],[ASER_]],D1_ENERO_2026[[ASESOR_CRR]:[META]],2,0)</f>
        <v>27900</v>
      </c>
      <c r="R27" t="s">
        <v>11</v>
      </c>
      <c r="S27" s="46">
        <v>3300</v>
      </c>
      <c r="T27">
        <v>1500</v>
      </c>
      <c r="U27">
        <v>0</v>
      </c>
      <c r="V27">
        <v>0</v>
      </c>
      <c r="W27">
        <v>675</v>
      </c>
      <c r="X27">
        <v>0</v>
      </c>
      <c r="Y27">
        <v>0</v>
      </c>
      <c r="Z27">
        <v>0</v>
      </c>
      <c r="AA27">
        <v>13500</v>
      </c>
      <c r="AB27">
        <v>2150</v>
      </c>
      <c r="AC27">
        <v>1720</v>
      </c>
      <c r="AD27">
        <v>0</v>
      </c>
      <c r="AE27">
        <v>0</v>
      </c>
      <c r="AF27">
        <v>500</v>
      </c>
      <c r="AG27">
        <v>0</v>
      </c>
      <c r="AH27">
        <v>1000</v>
      </c>
      <c r="AI27">
        <v>0</v>
      </c>
      <c r="AJ27">
        <v>3550</v>
      </c>
      <c r="AO27" t="str">
        <f>VLOOKUP($M$3&amp;$N$3&amp;DATA_ENERO_2026[[#This Row],[SUPERVISOR]],TablaMeta[],7,0)</f>
        <v>S0</v>
      </c>
    </row>
    <row r="28" spans="1:68" x14ac:dyDescent="0.25">
      <c r="A28" s="35" t="str">
        <f>IFERROR(VLOOKUP(D1_ENERO_2026[[#This Row],[ASESOR_CRR]],PLANTILLA_ACTUAL[],2,0),"")</f>
        <v>SANDY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28" s="37">
        <f>IF(D1_ENERO_2026[[#This Row],[RECUPERO]]="","",VLOOKUP($M$3&amp;$N$3&amp;D1_ENERO_2026[[#This Row],[SUPER]],TablaMeta[],6,0))</f>
        <v>48000</v>
      </c>
      <c r="D28" s="36">
        <f>IFERROR(D1_ENERO_2026[[#This Row],[RECUPERO]]/VLOOKUP($M$3&amp;$N$3&amp;D1_ENERO_2026[[#This Row],[SUPER]],TablaMeta[],6,0),"")</f>
        <v>0.88131250000000005</v>
      </c>
      <c r="E28" s="36" t="str">
        <f>IFERROR(VLOOKUP(D1_ENERO_2026[[#This Row],[ASESOR_CRR]],PLANTILLA_ACTUAL[],2,0),"")</f>
        <v>SANDY</v>
      </c>
      <c r="F28" t="s">
        <v>31</v>
      </c>
      <c r="G28" s="3">
        <v>42303</v>
      </c>
      <c r="H28" t="str">
        <f>VLOOKUP(D1_ENERO_2026[[#This Row],[ASESOR_CRR]],DIM!$C:$E,2,0)</f>
        <v>75882265</v>
      </c>
      <c r="I28" s="59">
        <f>VLOOKUP(D1_ENERO_2026[[#This Row],[ASESOR_CRR]],DIM!$C:$E,3,0)</f>
        <v>45334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0.88131250000000005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s="58" t="str">
        <f>IFERROR(VLOOKUP(DATA_ENERO_2026[[#This Row],[ASER_]],$B:$G,4,0),"")</f>
        <v>SANDY</v>
      </c>
      <c r="P28" s="6">
        <f>IF(DATA_ENERO_2026[[#This Row],[SUPERVISOR]]="","",VLOOKUP(DATA_ENERO_2026[[#This Row],[ASER_]],$B:$G,6,0))</f>
        <v>42303</v>
      </c>
      <c r="Q28" s="6">
        <f>VLOOKUP(DATA_ENERO_2026[[#This Row],[ASER_]],D1_ENERO_2026[[ASESOR_CRR]:[META]],2,0)</f>
        <v>48000</v>
      </c>
      <c r="R28" t="s">
        <v>31</v>
      </c>
      <c r="S28" s="46">
        <v>2000</v>
      </c>
      <c r="T28">
        <v>6300</v>
      </c>
      <c r="U28">
        <v>0</v>
      </c>
      <c r="V28">
        <v>0</v>
      </c>
      <c r="W28">
        <v>0</v>
      </c>
      <c r="X28">
        <v>11500</v>
      </c>
      <c r="Y28">
        <v>0</v>
      </c>
      <c r="Z28">
        <v>1500</v>
      </c>
      <c r="AA28">
        <v>2220</v>
      </c>
      <c r="AB28">
        <v>3000</v>
      </c>
      <c r="AC28">
        <v>0</v>
      </c>
      <c r="AD28">
        <v>0</v>
      </c>
      <c r="AE28">
        <v>0</v>
      </c>
      <c r="AF28">
        <v>0</v>
      </c>
      <c r="AG28">
        <v>7225</v>
      </c>
      <c r="AH28">
        <v>1558</v>
      </c>
      <c r="AI28">
        <v>2500</v>
      </c>
      <c r="AJ28">
        <v>4000</v>
      </c>
      <c r="AO28" t="str">
        <f>VLOOKUP($M$3&amp;$N$3&amp;DATA_ENERO_2026[[#This Row],[SUPERVISOR]],TablaMeta[],7,0)</f>
        <v>S1</v>
      </c>
    </row>
    <row r="29" spans="1:68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29" s="37">
        <f>IF(D1_ENERO_2026[[#This Row],[RECUPERO]]="","",VLOOKUP($M$3&amp;$N$3&amp;D1_ENERO_2026[[#This Row],[SUPER]],TablaMeta[],6,0))</f>
        <v>48000</v>
      </c>
      <c r="D29" s="36">
        <f>IFERROR(D1_ENERO_2026[[#This Row],[RECUPERO]]/VLOOKUP($M$3&amp;$N$3&amp;D1_ENERO_2026[[#This Row],[SUPER]],TablaMeta[],6,0),"")</f>
        <v>0.75</v>
      </c>
      <c r="E29" s="36" t="str">
        <f>IFERROR(VLOOKUP(D1_ENERO_2026[[#This Row],[ASESOR_CRR]],PLANTILLA_ACTUAL[],2,0),"")</f>
        <v>SANDY</v>
      </c>
      <c r="F29" t="s">
        <v>13</v>
      </c>
      <c r="G29" s="3">
        <v>36000</v>
      </c>
      <c r="H29" t="str">
        <f>VLOOKUP(D1_ENERO_2026[[#This Row],[ASESOR_CRR]],DIM!$C:$E,2,0)</f>
        <v>72512391</v>
      </c>
      <c r="I29" s="59">
        <f>VLOOKUP(D1_ENERO_2026[[#This Row],[ASESOR_CRR]],DIM!$C:$E,3,0)</f>
        <v>44809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1.1081458333333334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SANDY</v>
      </c>
      <c r="P29" s="6">
        <f>IF(DATA_ENERO_2026[[#This Row],[SUPERVISOR]]="","",VLOOKUP(DATA_ENERO_2026[[#This Row],[ASER_]],$B:$G,6,0))</f>
        <v>53191</v>
      </c>
      <c r="Q29" s="6">
        <f>VLOOKUP(DATA_ENERO_2026[[#This Row],[ASER_]],D1_ENERO_2026[[ASESOR_CRR]:[META]],2,0)</f>
        <v>48000</v>
      </c>
      <c r="R29" t="s">
        <v>23</v>
      </c>
      <c r="S29" s="46">
        <v>1700</v>
      </c>
      <c r="T29">
        <v>3578</v>
      </c>
      <c r="U29">
        <v>830</v>
      </c>
      <c r="V29">
        <v>2200</v>
      </c>
      <c r="W29">
        <v>0</v>
      </c>
      <c r="X29">
        <v>580</v>
      </c>
      <c r="Y29">
        <v>10850</v>
      </c>
      <c r="Z29">
        <v>1000</v>
      </c>
      <c r="AA29">
        <v>0</v>
      </c>
      <c r="AB29">
        <v>700</v>
      </c>
      <c r="AC29">
        <v>8374</v>
      </c>
      <c r="AD29">
        <v>1323</v>
      </c>
      <c r="AE29">
        <v>1200</v>
      </c>
      <c r="AF29">
        <v>2925</v>
      </c>
      <c r="AG29">
        <v>5031</v>
      </c>
      <c r="AH29">
        <v>9550</v>
      </c>
      <c r="AI29">
        <v>3300</v>
      </c>
      <c r="AJ29">
        <v>350</v>
      </c>
      <c r="AO29" t="str">
        <f>VLOOKUP($M$3&amp;$N$3&amp;DATA_ENERO_2026[[#This Row],[SUPERVISOR]],TablaMeta[],7,0)</f>
        <v>S1</v>
      </c>
    </row>
    <row r="30" spans="1:68" x14ac:dyDescent="0.25">
      <c r="A30" s="35" t="str">
        <f>IFERROR(VLOOKUP(D1_ENERO_2026[[#This Row],[ASESOR_CRR]],PLANTILLA_ACTUAL[],2,0),"")</f>
        <v>SANDY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30" s="37">
        <f>IF(D1_ENERO_2026[[#This Row],[RECUPERO]]="","",VLOOKUP($M$3&amp;$N$3&amp;D1_ENERO_2026[[#This Row],[SUPER]],TablaMeta[],6,0))</f>
        <v>48000</v>
      </c>
      <c r="D30" s="36">
        <f>IFERROR(D1_ENERO_2026[[#This Row],[RECUPERO]]/VLOOKUP($M$3&amp;$N$3&amp;D1_ENERO_2026[[#This Row],[SUPER]],TablaMeta[],6,0),"")</f>
        <v>0.70839583333333334</v>
      </c>
      <c r="E30" s="36" t="str">
        <f>IFERROR(VLOOKUP(D1_ENERO_2026[[#This Row],[ASESOR_CRR]],PLANTILLA_ACTUAL[],2,0),"")</f>
        <v>SANDY</v>
      </c>
      <c r="F30" t="s">
        <v>17</v>
      </c>
      <c r="G30" s="3">
        <v>34003</v>
      </c>
      <c r="H30" t="str">
        <f>VLOOKUP(D1_ENERO_2026[[#This Row],[ASESOR_CRR]],DIM!$C:$E,2,0)</f>
        <v>70876605</v>
      </c>
      <c r="I30" s="59">
        <f>VLOOKUP(D1_ENERO_2026[[#This Row],[ASESOR_CRR]],DIM!$C:$E,3,0)</f>
        <v>44886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1.7793749999999999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&gt;100%</v>
      </c>
      <c r="O30" s="58" t="str">
        <f>IFERROR(VLOOKUP(DATA_ENERO_2026[[#This Row],[ASER_]],$B:$G,4,0),"")</f>
        <v>SANDY</v>
      </c>
      <c r="P30" s="6">
        <f>IF(DATA_ENERO_2026[[#This Row],[SUPERVISOR]]="","",VLOOKUP(DATA_ENERO_2026[[#This Row],[ASER_]],$B:$G,6,0))</f>
        <v>85410</v>
      </c>
      <c r="Q30" s="6">
        <f>VLOOKUP(DATA_ENERO_2026[[#This Row],[ASER_]],D1_ENERO_2026[[ASESOR_CRR]:[META]],2,0)</f>
        <v>48000</v>
      </c>
      <c r="R30" t="s">
        <v>32</v>
      </c>
      <c r="S30" s="46">
        <v>877</v>
      </c>
      <c r="T30">
        <v>600</v>
      </c>
      <c r="U30">
        <v>3233</v>
      </c>
      <c r="V30">
        <v>1800</v>
      </c>
      <c r="W30">
        <v>0</v>
      </c>
      <c r="X30">
        <v>7000</v>
      </c>
      <c r="Y30">
        <v>0</v>
      </c>
      <c r="Z30">
        <v>8350</v>
      </c>
      <c r="AA30">
        <v>0</v>
      </c>
      <c r="AB30">
        <v>710</v>
      </c>
      <c r="AC30">
        <v>30500</v>
      </c>
      <c r="AD30">
        <v>3400</v>
      </c>
      <c r="AE30">
        <v>150</v>
      </c>
      <c r="AF30">
        <v>2525</v>
      </c>
      <c r="AG30">
        <v>600</v>
      </c>
      <c r="AH30">
        <v>25065</v>
      </c>
      <c r="AI30">
        <v>600</v>
      </c>
      <c r="AJ30">
        <v>0</v>
      </c>
      <c r="AO30" t="str">
        <f>VLOOKUP($M$3&amp;$N$3&amp;DATA_ENERO_2026[[#This Row],[SUPERVISOR]],TablaMeta[],7,0)</f>
        <v>S1</v>
      </c>
    </row>
    <row r="31" spans="1:68" x14ac:dyDescent="0.25">
      <c r="A31" s="35" t="str">
        <f>IFERROR(VLOOKUP(D1_ENERO_2026[[#This Row],[ASESOR_CRR]],PLANTILLA_ACTUAL[],2,0),"")</f>
        <v>SANDY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31" s="37">
        <f>IF(D1_ENERO_2026[[#This Row],[RECUPERO]]="","",VLOOKUP($M$3&amp;$N$3&amp;D1_ENERO_2026[[#This Row],[SUPER]],TablaMeta[],6,0))</f>
        <v>48000</v>
      </c>
      <c r="D31" s="36">
        <f>IFERROR(D1_ENERO_2026[[#This Row],[RECUPERO]]/VLOOKUP($M$3&amp;$N$3&amp;D1_ENERO_2026[[#This Row],[SUPER]],TablaMeta[],6,0),"")</f>
        <v>0.58250000000000002</v>
      </c>
      <c r="E31" s="36" t="str">
        <f>IFERROR(VLOOKUP(D1_ENERO_2026[[#This Row],[ASESOR_CRR]],PLANTILLA_ACTUAL[],2,0),"")</f>
        <v>SANDY</v>
      </c>
      <c r="F31" t="s">
        <v>65</v>
      </c>
      <c r="G31" s="3">
        <v>27960</v>
      </c>
      <c r="H31" t="str">
        <f>VLOOKUP(D1_ENERO_2026[[#This Row],[ASESOR_CRR]],DIM!$C:$E,2,0)</f>
        <v>47659267</v>
      </c>
      <c r="I31" s="59">
        <f>VLOOKUP(D1_ENERO_2026[[#This Row],[ASESOR_CRR]],DIM!$C:$E,3,0)</f>
        <v>45019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0.58250000000000002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&gt;40%</v>
      </c>
      <c r="O31" s="58" t="str">
        <f>IFERROR(VLOOKUP(DATA_ENERO_2026[[#This Row],[ASER_]],$B:$G,4,0),"")</f>
        <v>SANDY</v>
      </c>
      <c r="P31" s="6">
        <f>IF(DATA_ENERO_2026[[#This Row],[SUPERVISOR]]="","",VLOOKUP(DATA_ENERO_2026[[#This Row],[ASER_]],$B:$G,6,0))</f>
        <v>27960</v>
      </c>
      <c r="Q31" s="6">
        <f>VLOOKUP(DATA_ENERO_2026[[#This Row],[ASER_]],D1_ENERO_2026[[ASESOR_CRR]:[META]],2,0)</f>
        <v>48000</v>
      </c>
      <c r="R31" t="s">
        <v>65</v>
      </c>
      <c r="S31" s="46">
        <v>700</v>
      </c>
      <c r="T31">
        <v>281</v>
      </c>
      <c r="U31">
        <v>0</v>
      </c>
      <c r="V31">
        <v>0</v>
      </c>
      <c r="W31">
        <v>0</v>
      </c>
      <c r="X31">
        <v>2300</v>
      </c>
      <c r="Y31">
        <v>1000</v>
      </c>
      <c r="Z31">
        <v>1000</v>
      </c>
      <c r="AA31">
        <v>4700</v>
      </c>
      <c r="AB31">
        <v>3000</v>
      </c>
      <c r="AC31">
        <v>0</v>
      </c>
      <c r="AD31">
        <v>0</v>
      </c>
      <c r="AE31">
        <v>2700</v>
      </c>
      <c r="AF31">
        <v>5500</v>
      </c>
      <c r="AG31">
        <v>2000</v>
      </c>
      <c r="AH31">
        <v>0</v>
      </c>
      <c r="AI31">
        <v>329</v>
      </c>
      <c r="AJ31">
        <v>4450</v>
      </c>
      <c r="AO31" t="str">
        <f>VLOOKUP($M$3&amp;$N$3&amp;DATA_ENERO_2026[[#This Row],[SUPERVISOR]],TablaMeta[],7,0)</f>
        <v>S1</v>
      </c>
    </row>
    <row r="32" spans="1:68" x14ac:dyDescent="0.25">
      <c r="A32" s="35" t="str">
        <f>IFERROR(VLOOKUP(D1_ENERO_2026[[#This Row],[ASESOR_CRR]],PLANTILLA_ACTUAL[],2,0),"")</f>
        <v>SANDY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32" s="37">
        <f>IF(D1_ENERO_2026[[#This Row],[RECUPERO]]="","",VLOOKUP($M$3&amp;$N$3&amp;D1_ENERO_2026[[#This Row],[SUPER]],TablaMeta[],6,0))</f>
        <v>48000</v>
      </c>
      <c r="D32" s="36">
        <f>IFERROR(D1_ENERO_2026[[#This Row],[RECUPERO]]/VLOOKUP($M$3&amp;$N$3&amp;D1_ENERO_2026[[#This Row],[SUPER]],TablaMeta[],6,0),"")</f>
        <v>0.57947916666666666</v>
      </c>
      <c r="E32" s="36" t="str">
        <f>IFERROR(VLOOKUP(D1_ENERO_2026[[#This Row],[ASESOR_CRR]],PLANTILLA_ACTUAL[],2,0),"")</f>
        <v>SANDY</v>
      </c>
      <c r="F32" t="s">
        <v>24</v>
      </c>
      <c r="G32" s="3">
        <v>27815</v>
      </c>
      <c r="H32" t="str">
        <f>VLOOKUP(D1_ENERO_2026[[#This Row],[ASESOR_CRR]],DIM!$C:$E,2,0)</f>
        <v>43614775</v>
      </c>
      <c r="I32" s="59">
        <f>VLOOKUP(D1_ENERO_2026[[#This Row],[ASESOR_CRR]],DIM!$C:$E,3,0)</f>
        <v>45334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0.70839583333333334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s="58" t="str">
        <f>IFERROR(VLOOKUP(DATA_ENERO_2026[[#This Row],[ASER_]],$B:$G,4,0),"")</f>
        <v>SANDY</v>
      </c>
      <c r="P32" s="6">
        <f>IF(DATA_ENERO_2026[[#This Row],[SUPERVISOR]]="","",VLOOKUP(DATA_ENERO_2026[[#This Row],[ASER_]],$B:$G,6,0))</f>
        <v>34003</v>
      </c>
      <c r="Q32" s="6">
        <f>VLOOKUP(DATA_ENERO_2026[[#This Row],[ASER_]],D1_ENERO_2026[[ASESOR_CRR]:[META]],2,0)</f>
        <v>48000</v>
      </c>
      <c r="R32" t="s">
        <v>17</v>
      </c>
      <c r="S32">
        <v>636</v>
      </c>
      <c r="T32">
        <v>0</v>
      </c>
      <c r="U32">
        <v>4000</v>
      </c>
      <c r="V32">
        <v>4200</v>
      </c>
      <c r="W32">
        <v>0</v>
      </c>
      <c r="X32">
        <v>0</v>
      </c>
      <c r="Y32">
        <v>461</v>
      </c>
      <c r="Z32">
        <v>13000</v>
      </c>
      <c r="AA32">
        <v>0</v>
      </c>
      <c r="AB32">
        <v>0</v>
      </c>
      <c r="AC32">
        <v>0</v>
      </c>
      <c r="AD32">
        <v>656</v>
      </c>
      <c r="AE32">
        <v>5450</v>
      </c>
      <c r="AF32">
        <v>0</v>
      </c>
      <c r="AG32">
        <v>0</v>
      </c>
      <c r="AH32">
        <v>320</v>
      </c>
      <c r="AI32">
        <v>1780</v>
      </c>
      <c r="AJ32">
        <v>3500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SANDY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33" s="37">
        <f>IF(D1_ENERO_2026[[#This Row],[RECUPERO]]="","",VLOOKUP($M$3&amp;$N$3&amp;D1_ENERO_2026[[#This Row],[SUPER]],TablaMeta[],6,0))</f>
        <v>48000</v>
      </c>
      <c r="D33" s="36">
        <f>IFERROR(D1_ENERO_2026[[#This Row],[RECUPERO]]/VLOOKUP($M$3&amp;$N$3&amp;D1_ENERO_2026[[#This Row],[SUPER]],TablaMeta[],6,0),"")</f>
        <v>0.34291666666666665</v>
      </c>
      <c r="E33" s="36" t="str">
        <f>IFERROR(VLOOKUP(D1_ENERO_2026[[#This Row],[ASESOR_CRR]],PLANTILLA_ACTUAL[],2,0),"")</f>
        <v>SANDY</v>
      </c>
      <c r="F33" t="s">
        <v>33</v>
      </c>
      <c r="G33" s="3">
        <v>16460</v>
      </c>
      <c r="H33" t="str">
        <f>VLOOKUP(D1_ENERO_2026[[#This Row],[ASESOR_CRR]],DIM!$C:$E,2,0)</f>
        <v>80689573</v>
      </c>
      <c r="I33" s="59">
        <f>VLOOKUP(D1_ENERO_2026[[#This Row],[ASESOR_CRR]],DIM!$C:$E,3,0)</f>
        <v>44867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0.34291666666666665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s="58" t="str">
        <f>IFERROR(VLOOKUP(DATA_ENERO_2026[[#This Row],[ASER_]],$B:$G,4,0),"")</f>
        <v>SANDY</v>
      </c>
      <c r="P33" s="6">
        <f>IF(DATA_ENERO_2026[[#This Row],[SUPERVISOR]]="","",VLOOKUP(DATA_ENERO_2026[[#This Row],[ASER_]],$B:$G,6,0))</f>
        <v>16460</v>
      </c>
      <c r="Q33" s="6">
        <f>VLOOKUP(DATA_ENERO_2026[[#This Row],[ASER_]],D1_ENERO_2026[[ASESOR_CRR]:[META]],2,0)</f>
        <v>48000</v>
      </c>
      <c r="R33" t="s">
        <v>33</v>
      </c>
      <c r="S33">
        <v>335</v>
      </c>
      <c r="T33">
        <v>0</v>
      </c>
      <c r="U33">
        <v>7300</v>
      </c>
      <c r="V33">
        <v>0</v>
      </c>
      <c r="W33">
        <v>300</v>
      </c>
      <c r="X33">
        <v>225</v>
      </c>
      <c r="Y33">
        <v>0</v>
      </c>
      <c r="Z33">
        <v>0</v>
      </c>
      <c r="AA33">
        <v>2000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3800</v>
      </c>
      <c r="AH33">
        <v>0</v>
      </c>
      <c r="AI33">
        <v>0</v>
      </c>
      <c r="AJ33">
        <v>2500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4" s="37">
        <f>IF(D1_ENERO_2026[[#This Row],[RECUPERO]]="","",VLOOKUP($M$3&amp;$N$3&amp;D1_ENERO_2026[[#This Row],[SUPER]],TablaMeta[],6,0))</f>
        <v>32600</v>
      </c>
      <c r="D34" s="36">
        <f>IFERROR(D1_ENERO_2026[[#This Row],[RECUPERO]]/VLOOKUP($M$3&amp;$N$3&amp;D1_ENERO_2026[[#This Row],[SUPER]],TablaMeta[],6,0),"")</f>
        <v>1.5916564417177914</v>
      </c>
      <c r="E34" s="36" t="str">
        <f>IFERROR(VLOOKUP(D1_ENERO_2026[[#This Row],[ASESOR_CRR]],PLANTILLA_ACTUAL[],2,0),"")</f>
        <v>JORGE</v>
      </c>
      <c r="F34" t="s">
        <v>25</v>
      </c>
      <c r="G34" s="3">
        <v>51888</v>
      </c>
      <c r="H34" t="str">
        <f>VLOOKUP(D1_ENERO_2026[[#This Row],[ASESOR_CRR]],DIM!$C:$E,2,0)</f>
        <v>72373931</v>
      </c>
      <c r="I34" s="59">
        <f>VLOOKUP(D1_ENERO_2026[[#This Row],[ASESOR_CRR]],DIM!$C:$E,3,0)</f>
        <v>44818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0.75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&gt;70%</v>
      </c>
      <c r="O34" s="58" t="str">
        <f>IFERROR(VLOOKUP(DATA_ENERO_2026[[#This Row],[ASER_]],$B:$G,4,0),"")</f>
        <v>SANDY</v>
      </c>
      <c r="P34" s="6">
        <f>IF(DATA_ENERO_2026[[#This Row],[SUPERVISOR]]="","",VLOOKUP(DATA_ENERO_2026[[#This Row],[ASER_]],$B:$G,6,0))</f>
        <v>36000</v>
      </c>
      <c r="Q34" s="6">
        <f>VLOOKUP(DATA_ENERO_2026[[#This Row],[ASER_]],D1_ENERO_2026[[ASESOR_CRR]:[META]],2,0)</f>
        <v>48000</v>
      </c>
      <c r="R34" t="s">
        <v>13</v>
      </c>
      <c r="S34">
        <v>0</v>
      </c>
      <c r="T34">
        <v>700</v>
      </c>
      <c r="U34">
        <v>2000</v>
      </c>
      <c r="V34">
        <v>3000</v>
      </c>
      <c r="W34">
        <v>0</v>
      </c>
      <c r="X34">
        <v>2500</v>
      </c>
      <c r="Y34">
        <v>0</v>
      </c>
      <c r="Z34">
        <v>5000</v>
      </c>
      <c r="AA34">
        <v>700</v>
      </c>
      <c r="AB34">
        <v>2500</v>
      </c>
      <c r="AC34">
        <v>1000</v>
      </c>
      <c r="AD34">
        <v>2500</v>
      </c>
      <c r="AE34">
        <v>0</v>
      </c>
      <c r="AF34">
        <v>7000</v>
      </c>
      <c r="AG34">
        <v>5000</v>
      </c>
      <c r="AH34">
        <v>0</v>
      </c>
      <c r="AI34">
        <v>3500</v>
      </c>
      <c r="AJ34">
        <v>250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35" s="37">
        <f>IF(D1_ENERO_2026[[#This Row],[RECUPERO]]="","",VLOOKUP($M$3&amp;$N$3&amp;D1_ENERO_2026[[#This Row],[SUPER]],TablaMeta[],6,0))</f>
        <v>32600</v>
      </c>
      <c r="D35" s="36">
        <f>IFERROR(D1_ENERO_2026[[#This Row],[RECUPERO]]/VLOOKUP($M$3&amp;$N$3&amp;D1_ENERO_2026[[#This Row],[SUPER]],TablaMeta[],6,0),"")</f>
        <v>1.5449693251533743</v>
      </c>
      <c r="E35" s="36" t="str">
        <f>IFERROR(VLOOKUP(D1_ENERO_2026[[#This Row],[ASESOR_CRR]],PLANTILLA_ACTUAL[],2,0),"")</f>
        <v>JORGE</v>
      </c>
      <c r="F35" t="s">
        <v>68</v>
      </c>
      <c r="G35" s="3">
        <v>50366</v>
      </c>
      <c r="H35" t="str">
        <f>VLOOKUP(D1_ENERO_2026[[#This Row],[ASESOR_CRR]],DIM!$C:$E,2,0)</f>
        <v>73257316</v>
      </c>
      <c r="I35" s="59">
        <f>VLOOKUP(D1_ENERO_2026[[#This Row],[ASESOR_CRR]],DIM!$C:$E,3,0)</f>
        <v>45363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1.1633333333333333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SANDY</v>
      </c>
      <c r="P35" s="6">
        <f>IF(DATA_ENERO_2026[[#This Row],[SUPERVISOR]]="","",VLOOKUP(DATA_ENERO_2026[[#This Row],[ASER_]],$B:$G,6,0))</f>
        <v>55840</v>
      </c>
      <c r="Q35" s="6">
        <f>VLOOKUP(DATA_ENERO_2026[[#This Row],[ASER_]],D1_ENERO_2026[[ASESOR_CRR]:[META]],2,0)</f>
        <v>48000</v>
      </c>
      <c r="R35" t="s">
        <v>96</v>
      </c>
      <c r="S35">
        <v>0</v>
      </c>
      <c r="T35">
        <v>0</v>
      </c>
      <c r="U35">
        <v>0</v>
      </c>
      <c r="V35">
        <v>0</v>
      </c>
      <c r="W35">
        <v>2100</v>
      </c>
      <c r="X35">
        <v>23800</v>
      </c>
      <c r="Y35">
        <v>1200</v>
      </c>
      <c r="Z35">
        <v>6820</v>
      </c>
      <c r="AA35">
        <v>0</v>
      </c>
      <c r="AB35">
        <v>10890</v>
      </c>
      <c r="AC35">
        <v>0</v>
      </c>
      <c r="AD35">
        <v>0</v>
      </c>
      <c r="AE35">
        <v>0</v>
      </c>
      <c r="AF35">
        <v>7000</v>
      </c>
      <c r="AG35">
        <v>750</v>
      </c>
      <c r="AH35">
        <v>0</v>
      </c>
      <c r="AI35">
        <v>750</v>
      </c>
      <c r="AJ35">
        <v>2500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36" s="37">
        <f>IF(D1_ENERO_2026[[#This Row],[RECUPERO]]="","",VLOOKUP($M$3&amp;$N$3&amp;D1_ENERO_2026[[#This Row],[SUPER]],TablaMeta[],6,0))</f>
        <v>32600</v>
      </c>
      <c r="D36" s="36">
        <f>IFERROR(D1_ENERO_2026[[#This Row],[RECUPERO]]/VLOOKUP($M$3&amp;$N$3&amp;D1_ENERO_2026[[#This Row],[SUPER]],TablaMeta[],6,0),"")</f>
        <v>1.4844478527607361</v>
      </c>
      <c r="E36" s="36" t="str">
        <f>IFERROR(VLOOKUP(D1_ENERO_2026[[#This Row],[ASESOR_CRR]],PLANTILLA_ACTUAL[],2,0),"")</f>
        <v>JORGE</v>
      </c>
      <c r="F36" t="s">
        <v>38</v>
      </c>
      <c r="G36" s="3">
        <v>48393</v>
      </c>
      <c r="H36" t="str">
        <f>VLOOKUP(D1_ENERO_2026[[#This Row],[ASESOR_CRR]],DIM!$C:$E,2,0)</f>
        <v>47411966</v>
      </c>
      <c r="I36" s="59">
        <f>VLOOKUP(D1_ENERO_2026[[#This Row],[ASESOR_CRR]],DIM!$C:$E,3,0)</f>
        <v>45800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0.57947916666666666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s="58" t="str">
        <f>IFERROR(VLOOKUP(DATA_ENERO_2026[[#This Row],[ASER_]],$B:$G,4,0),"")</f>
        <v>SANDY</v>
      </c>
      <c r="P36" s="6">
        <f>IF(DATA_ENERO_2026[[#This Row],[SUPERVISOR]]="","",VLOOKUP(DATA_ENERO_2026[[#This Row],[ASER_]],$B:$G,6,0))</f>
        <v>27815</v>
      </c>
      <c r="Q36" s="6">
        <f>VLOOKUP(DATA_ENERO_2026[[#This Row],[ASER_]],D1_ENERO_2026[[ASESOR_CRR]:[META]],2,0)</f>
        <v>48000</v>
      </c>
      <c r="R36" t="s">
        <v>24</v>
      </c>
      <c r="S36">
        <v>0</v>
      </c>
      <c r="T36">
        <v>2850</v>
      </c>
      <c r="U36">
        <v>0</v>
      </c>
      <c r="V36">
        <v>3300</v>
      </c>
      <c r="W36">
        <v>200</v>
      </c>
      <c r="X36">
        <v>100</v>
      </c>
      <c r="Y36">
        <v>0</v>
      </c>
      <c r="Z36">
        <v>7435</v>
      </c>
      <c r="AA36">
        <v>3000</v>
      </c>
      <c r="AB36">
        <v>5900</v>
      </c>
      <c r="AC36">
        <v>250</v>
      </c>
      <c r="AD36">
        <v>0</v>
      </c>
      <c r="AE36">
        <v>600</v>
      </c>
      <c r="AF36">
        <v>500</v>
      </c>
      <c r="AG36">
        <v>0</v>
      </c>
      <c r="AH36">
        <v>0</v>
      </c>
      <c r="AI36">
        <v>0</v>
      </c>
      <c r="AJ36">
        <v>2000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37" s="37">
        <f>IF(D1_ENERO_2026[[#This Row],[RECUPERO]]="","",VLOOKUP($M$3&amp;$N$3&amp;D1_ENERO_2026[[#This Row],[SUPER]],TablaMeta[],6,0))</f>
        <v>32600</v>
      </c>
      <c r="D37" s="36">
        <f>IFERROR(D1_ENERO_2026[[#This Row],[RECUPERO]]/VLOOKUP($M$3&amp;$N$3&amp;D1_ENERO_2026[[#This Row],[SUPER]],TablaMeta[],6,0),"")</f>
        <v>1.0384969325153375</v>
      </c>
      <c r="E37" s="36" t="str">
        <f>IFERROR(VLOOKUP(D1_ENERO_2026[[#This Row],[ASESOR_CRR]],PLANTILLA_ACTUAL[],2,0),"")</f>
        <v>JORGE</v>
      </c>
      <c r="F37" t="s">
        <v>76</v>
      </c>
      <c r="G37" s="3">
        <v>33855</v>
      </c>
      <c r="H37" t="str">
        <f>VLOOKUP(D1_ENERO_2026[[#This Row],[ASESOR_CRR]],DIM!$C:$E,2,0)</f>
        <v>60914051</v>
      </c>
      <c r="I37" s="59">
        <f>VLOOKUP(D1_ENERO_2026[[#This Row],[ASESOR_CRR]],DIM!$C:$E,3,0)</f>
        <v>44817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0.34848979591836737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&gt;0%</v>
      </c>
      <c r="O37" s="58" t="str">
        <f>IFERROR(VLOOKUP(DATA_ENERO_2026[[#This Row],[ASER_]],$B:$G,4,0),"")</f>
        <v>JOHAN</v>
      </c>
      <c r="P37" s="6">
        <f>IF(DATA_ENERO_2026[[#This Row],[SUPERVISOR]]="","",VLOOKUP(DATA_ENERO_2026[[#This Row],[ASER_]],$B:$G,6,0))</f>
        <v>8538</v>
      </c>
      <c r="Q37" s="6">
        <f>VLOOKUP(DATA_ENERO_2026[[#This Row],[ASER_]],D1_ENERO_2026[[ASESOR_CRR]:[META]],2,0)</f>
        <v>24500</v>
      </c>
      <c r="R37" t="s">
        <v>40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600</v>
      </c>
      <c r="Z37">
        <v>200</v>
      </c>
      <c r="AA37">
        <v>0</v>
      </c>
      <c r="AB37">
        <v>2050</v>
      </c>
      <c r="AC37">
        <v>238</v>
      </c>
      <c r="AD37">
        <v>0</v>
      </c>
      <c r="AE37">
        <v>0</v>
      </c>
      <c r="AF37">
        <v>700</v>
      </c>
      <c r="AG37">
        <v>800</v>
      </c>
      <c r="AH37">
        <v>2000</v>
      </c>
      <c r="AI37">
        <v>0</v>
      </c>
      <c r="AJ37">
        <v>950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38" s="37">
        <f>IF(D1_ENERO_2026[[#This Row],[RECUPERO]]="","",VLOOKUP($M$3&amp;$N$3&amp;D1_ENERO_2026[[#This Row],[SUPER]],TablaMeta[],6,0))</f>
        <v>32600</v>
      </c>
      <c r="D38" s="36">
        <f>IFERROR(D1_ENERO_2026[[#This Row],[RECUPERO]]/VLOOKUP($M$3&amp;$N$3&amp;D1_ENERO_2026[[#This Row],[SUPER]],TablaMeta[],6,0),"")</f>
        <v>0.87877699386503072</v>
      </c>
      <c r="E38" s="36" t="str">
        <f>IFERROR(VLOOKUP(D1_ENERO_2026[[#This Row],[ASESOR_CRR]],PLANTILLA_ACTUAL[],2,0),"")</f>
        <v>JORGE</v>
      </c>
      <c r="F38" t="s">
        <v>42</v>
      </c>
      <c r="G38" s="3">
        <v>28648.13</v>
      </c>
      <c r="H38" t="str">
        <f>VLOOKUP(D1_ENERO_2026[[#This Row],[ASESOR_CRR]],DIM!$C:$E,2,0)</f>
        <v>73725129</v>
      </c>
      <c r="I38" s="59">
        <f>VLOOKUP(D1_ENERO_2026[[#This Row],[ASESOR_CRR]],DIM!$C:$E,3,0)</f>
        <v>45398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1.5695102040816327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s="58" t="str">
        <f>IFERROR(VLOOKUP(DATA_ENERO_2026[[#This Row],[ASER_]],$B:$G,4,0),"")</f>
        <v>JOHAN</v>
      </c>
      <c r="P38" s="6">
        <f>IF(DATA_ENERO_2026[[#This Row],[SUPERVISOR]]="","",VLOOKUP(DATA_ENERO_2026[[#This Row],[ASER_]],$B:$G,6,0))</f>
        <v>38453</v>
      </c>
      <c r="Q38" s="6">
        <f>VLOOKUP(DATA_ENERO_2026[[#This Row],[ASER_]],D1_ENERO_2026[[ASESOR_CRR]:[META]],2,0)</f>
        <v>24500</v>
      </c>
      <c r="R38" t="s">
        <v>77</v>
      </c>
      <c r="S38">
        <v>200</v>
      </c>
      <c r="T38">
        <v>4150</v>
      </c>
      <c r="U38">
        <v>3000</v>
      </c>
      <c r="V38">
        <v>3500</v>
      </c>
      <c r="W38">
        <v>0</v>
      </c>
      <c r="X38">
        <v>400</v>
      </c>
      <c r="Y38">
        <v>1222</v>
      </c>
      <c r="Z38">
        <v>300</v>
      </c>
      <c r="AA38">
        <v>0</v>
      </c>
      <c r="AB38">
        <v>15700</v>
      </c>
      <c r="AC38">
        <v>481</v>
      </c>
      <c r="AD38">
        <v>5000</v>
      </c>
      <c r="AE38">
        <v>0</v>
      </c>
      <c r="AF38">
        <v>0</v>
      </c>
      <c r="AG38">
        <v>0</v>
      </c>
      <c r="AH38">
        <v>0</v>
      </c>
      <c r="AI38">
        <v>4500</v>
      </c>
      <c r="AJ38">
        <v>0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0.67235889570552154</v>
      </c>
      <c r="E39" s="36" t="str">
        <f>IFERROR(VLOOKUP(D1_ENERO_2026[[#This Row],[ASESOR_CRR]],PLANTILLA_ACTUAL[],2,0),"")</f>
        <v>JORGE</v>
      </c>
      <c r="F39" t="s">
        <v>29</v>
      </c>
      <c r="G39" s="3">
        <v>21918.9</v>
      </c>
      <c r="H39" t="str">
        <f>VLOOKUP(D1_ENERO_2026[[#This Row],[ASESOR_CRR]],DIM!$C:$E,2,0)</f>
        <v>72758956</v>
      </c>
      <c r="I39" s="59">
        <f>VLOOKUP(D1_ENERO_2026[[#This Row],[ASESOR_CRR]],DIM!$C:$E,3,0)</f>
        <v>44685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0.97183673469387755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s="58" t="str">
        <f>IFERROR(VLOOKUP(DATA_ENERO_2026[[#This Row],[ASER_]],$B:$G,4,0),"")</f>
        <v>JOHAN</v>
      </c>
      <c r="P39" s="6">
        <f>IF(DATA_ENERO_2026[[#This Row],[SUPERVISOR]]="","",VLOOKUP(DATA_ENERO_2026[[#This Row],[ASER_]],$B:$G,6,0))</f>
        <v>23810</v>
      </c>
      <c r="Q39" s="6">
        <f>VLOOKUP(DATA_ENERO_2026[[#This Row],[ASER_]],D1_ENERO_2026[[ASESOR_CRR]:[META]],2,0)</f>
        <v>24500</v>
      </c>
      <c r="R39" t="s">
        <v>48</v>
      </c>
      <c r="S39">
        <v>200</v>
      </c>
      <c r="T39">
        <v>4100</v>
      </c>
      <c r="U39">
        <v>1500</v>
      </c>
      <c r="V39">
        <v>6000</v>
      </c>
      <c r="W39">
        <v>3000</v>
      </c>
      <c r="X39">
        <v>1000</v>
      </c>
      <c r="Y39">
        <v>0</v>
      </c>
      <c r="Z39">
        <v>0</v>
      </c>
      <c r="AA39">
        <v>0</v>
      </c>
      <c r="AB39">
        <v>0</v>
      </c>
      <c r="AC39">
        <v>2650</v>
      </c>
      <c r="AD39">
        <v>0</v>
      </c>
      <c r="AE39">
        <v>1000</v>
      </c>
      <c r="AF39">
        <v>1660</v>
      </c>
      <c r="AG39">
        <v>1000</v>
      </c>
      <c r="AH39">
        <v>0</v>
      </c>
      <c r="AI39">
        <v>0</v>
      </c>
      <c r="AJ39">
        <v>1700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0.6115644171779141</v>
      </c>
      <c r="E40" s="36" t="str">
        <f>IFERROR(VLOOKUP(D1_ENERO_2026[[#This Row],[ASESOR_CRR]],PLANTILLA_ACTUAL[],2,0),"")</f>
        <v>JORGE</v>
      </c>
      <c r="F40" t="s">
        <v>79</v>
      </c>
      <c r="G40" s="3">
        <v>19937</v>
      </c>
      <c r="H40" t="str">
        <f>VLOOKUP(D1_ENERO_2026[[#This Row],[ASESOR_CRR]],DIM!$C:$E,2,0)</f>
        <v>71262377</v>
      </c>
      <c r="I40" s="59">
        <f>VLOOKUP(D1_ENERO_2026[[#This Row],[ASESOR_CRR]],DIM!$C:$E,3,0)</f>
        <v>45145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0.92951020408163265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&gt;70%</v>
      </c>
      <c r="O40" s="58" t="str">
        <f>IFERROR(VLOOKUP(DATA_ENERO_2026[[#This Row],[ASER_]],$B:$G,4,0),"")</f>
        <v>JOHAN</v>
      </c>
      <c r="P40" s="6">
        <f>IF(DATA_ENERO_2026[[#This Row],[SUPERVISOR]]="","",VLOOKUP(DATA_ENERO_2026[[#This Row],[ASER_]],$B:$G,6,0))</f>
        <v>22773</v>
      </c>
      <c r="Q40" s="6">
        <f>VLOOKUP(DATA_ENERO_2026[[#This Row],[ASER_]],D1_ENERO_2026[[ASESOR_CRR]:[META]],2,0)</f>
        <v>24500</v>
      </c>
      <c r="R40" t="s">
        <v>51</v>
      </c>
      <c r="S40">
        <v>0</v>
      </c>
      <c r="T40">
        <v>400</v>
      </c>
      <c r="U40">
        <v>0</v>
      </c>
      <c r="V40">
        <v>0</v>
      </c>
      <c r="W40">
        <v>0</v>
      </c>
      <c r="X40">
        <v>4000</v>
      </c>
      <c r="Y40">
        <v>2500</v>
      </c>
      <c r="Z40">
        <v>0</v>
      </c>
      <c r="AA40">
        <v>0</v>
      </c>
      <c r="AB40">
        <v>273</v>
      </c>
      <c r="AC40">
        <v>0</v>
      </c>
      <c r="AD40">
        <v>500</v>
      </c>
      <c r="AE40">
        <v>300</v>
      </c>
      <c r="AF40">
        <v>10000</v>
      </c>
      <c r="AG40">
        <v>1300</v>
      </c>
      <c r="AH40">
        <v>1500</v>
      </c>
      <c r="AI40">
        <v>0</v>
      </c>
      <c r="AJ40">
        <v>2000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0.41104294478527609</v>
      </c>
      <c r="E41" s="36" t="str">
        <f>IFERROR(VLOOKUP(D1_ENERO_2026[[#This Row],[ASESOR_CRR]],PLANTILLA_ACTUAL[],2,0),"")</f>
        <v>JORGE</v>
      </c>
      <c r="F41" t="s">
        <v>78</v>
      </c>
      <c r="G41" s="3">
        <v>13400</v>
      </c>
      <c r="H41" t="str">
        <f>VLOOKUP(D1_ENERO_2026[[#This Row],[ASESOR_CRR]],DIM!$C:$E,2,0)</f>
        <v>10706451</v>
      </c>
      <c r="I41" s="59">
        <f>VLOOKUP(D1_ENERO_2026[[#This Row],[ASESOR_CRR]],DIM!$C:$E,3,0)</f>
        <v>44943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0.9810204081632653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s="58" t="str">
        <f>IFERROR(VLOOKUP(DATA_ENERO_2026[[#This Row],[ASER_]],$B:$G,4,0),"")</f>
        <v>JOHAN</v>
      </c>
      <c r="P41" s="6">
        <f>IF(DATA_ENERO_2026[[#This Row],[SUPERVISOR]]="","",VLOOKUP(DATA_ENERO_2026[[#This Row],[ASER_]],$B:$G,6,0))</f>
        <v>24035</v>
      </c>
      <c r="Q41" s="6">
        <f>VLOOKUP(DATA_ENERO_2026[[#This Row],[ASER_]],D1_ENERO_2026[[ASESOR_CRR]:[META]],2,0)</f>
        <v>24500</v>
      </c>
      <c r="R41" t="s">
        <v>97</v>
      </c>
      <c r="S41" s="46">
        <v>0</v>
      </c>
      <c r="T41">
        <v>0</v>
      </c>
      <c r="U41">
        <v>5900</v>
      </c>
      <c r="V41">
        <v>400</v>
      </c>
      <c r="W41">
        <v>0</v>
      </c>
      <c r="X41">
        <v>2067</v>
      </c>
      <c r="Y41">
        <v>500</v>
      </c>
      <c r="Z41">
        <v>0</v>
      </c>
      <c r="AA41">
        <v>6100</v>
      </c>
      <c r="AB41">
        <v>0</v>
      </c>
      <c r="AC41">
        <v>3718</v>
      </c>
      <c r="AD41">
        <v>700</v>
      </c>
      <c r="AE41">
        <v>500</v>
      </c>
      <c r="AF41">
        <v>0</v>
      </c>
      <c r="AG41">
        <v>600</v>
      </c>
      <c r="AH41">
        <v>850</v>
      </c>
      <c r="AI41">
        <v>0</v>
      </c>
      <c r="AJ41">
        <v>2700</v>
      </c>
      <c r="AO41" t="str">
        <f>VLOOKUP($M$3&amp;$N$3&amp;DATA_ENERO_2026[[#This Row],[SUPERVISOR]],TablaMeta[],7,0)</f>
        <v>S2-3-4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0.33503067484662574</v>
      </c>
      <c r="E42" s="36" t="str">
        <f>IFERROR(VLOOKUP(D1_ENERO_2026[[#This Row],[ASESOR_CRR]],PLANTILLA_ACTUAL[],2,0),"")</f>
        <v>JORGE</v>
      </c>
      <c r="F42" t="s">
        <v>15</v>
      </c>
      <c r="G42" s="3">
        <v>10922</v>
      </c>
      <c r="H42" t="str">
        <f>VLOOKUP(D1_ENERO_2026[[#This Row],[ASESOR_CRR]],DIM!$C:$E,2,0)</f>
        <v>47587400</v>
      </c>
      <c r="I42" s="59">
        <f>VLOOKUP(D1_ENERO_2026[[#This Row],[ASESOR_CRR]],DIM!$C:$E,3,0)</f>
        <v>44733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1.8335102040816327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s="58" t="str">
        <f>IFERROR(VLOOKUP(DATA_ENERO_2026[[#This Row],[ASER_]],$B:$G,4,0),"")</f>
        <v>JOHAN</v>
      </c>
      <c r="P42" s="6">
        <f>IF(DATA_ENERO_2026[[#This Row],[SUPERVISOR]]="","",VLOOKUP(DATA_ENERO_2026[[#This Row],[ASER_]],$B:$G,6,0))</f>
        <v>44921</v>
      </c>
      <c r="Q42" s="6">
        <f>VLOOKUP(DATA_ENERO_2026[[#This Row],[ASER_]],D1_ENERO_2026[[ASESOR_CRR]:[META]],2,0)</f>
        <v>24500</v>
      </c>
      <c r="R42" t="s">
        <v>58</v>
      </c>
      <c r="S42" s="46">
        <v>1000</v>
      </c>
      <c r="T42">
        <v>0</v>
      </c>
      <c r="U42">
        <v>1650</v>
      </c>
      <c r="V42">
        <v>205</v>
      </c>
      <c r="W42">
        <v>11100</v>
      </c>
      <c r="X42">
        <v>0</v>
      </c>
      <c r="Y42">
        <v>500</v>
      </c>
      <c r="Z42">
        <v>0</v>
      </c>
      <c r="AA42">
        <v>2850</v>
      </c>
      <c r="AB42">
        <v>300</v>
      </c>
      <c r="AC42">
        <v>7000</v>
      </c>
      <c r="AD42">
        <v>706</v>
      </c>
      <c r="AE42">
        <v>150</v>
      </c>
      <c r="AF42">
        <v>1750</v>
      </c>
      <c r="AG42">
        <v>1600</v>
      </c>
      <c r="AH42">
        <v>5500</v>
      </c>
      <c r="AI42">
        <v>8500</v>
      </c>
      <c r="AJ42">
        <v>2110</v>
      </c>
      <c r="AO42" t="str">
        <f>VLOOKUP($M$3&amp;$N$3&amp;DATA_ENERO_2026[[#This Row],[SUPERVISOR]],TablaMeta[],7,0)</f>
        <v>S2-3-4</v>
      </c>
    </row>
    <row r="43" spans="1:41" x14ac:dyDescent="0.25">
      <c r="A43" s="35" t="str">
        <f>IFERROR(VLOOKUP(D1_ENERO_2026[[#This Row],[ASESOR_CRR]],PLANTILLA_ACTUAL[],2,0),"")</f>
        <v>JOHAN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43" s="37">
        <f>IF(D1_ENERO_2026[[#This Row],[RECUPERO]]="","",VLOOKUP($M$3&amp;$N$3&amp;D1_ENERO_2026[[#This Row],[SUPER]],TablaMeta[],6,0))</f>
        <v>24500</v>
      </c>
      <c r="D43" s="36">
        <f>IFERROR(D1_ENERO_2026[[#This Row],[RECUPERO]]/VLOOKUP($M$3&amp;$N$3&amp;D1_ENERO_2026[[#This Row],[SUPER]],TablaMeta[],6,0),"")</f>
        <v>1.8335102040816327</v>
      </c>
      <c r="E43" s="36" t="str">
        <f>IFERROR(VLOOKUP(D1_ENERO_2026[[#This Row],[ASESOR_CRR]],PLANTILLA_ACTUAL[],2,0),"")</f>
        <v>JOHAN</v>
      </c>
      <c r="F43" t="s">
        <v>58</v>
      </c>
      <c r="G43" s="3">
        <v>44921</v>
      </c>
      <c r="H43" t="str">
        <f>VLOOKUP(D1_ENERO_2026[[#This Row],[ASESOR_CRR]],DIM!$C:$E,2,0)</f>
        <v>72519113</v>
      </c>
      <c r="I43" s="59">
        <f>VLOOKUP(D1_ENERO_2026[[#This Row],[ASESOR_CRR]],DIM!$C:$E,3,0)</f>
        <v>43119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0.16632653061224489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&gt;0%</v>
      </c>
      <c r="O43" s="58" t="str">
        <f>IFERROR(VLOOKUP(DATA_ENERO_2026[[#This Row],[ASER_]],$B:$G,4,0),"")</f>
        <v>JOHAN</v>
      </c>
      <c r="P43" s="6">
        <f>IF(DATA_ENERO_2026[[#This Row],[SUPERVISOR]]="","",VLOOKUP(DATA_ENERO_2026[[#This Row],[ASER_]],$B:$G,6,0))</f>
        <v>4075</v>
      </c>
      <c r="Q43" s="6">
        <f>VLOOKUP(DATA_ENERO_2026[[#This Row],[ASER_]],D1_ENERO_2026[[ASESOR_CRR]:[META]],2,0)</f>
        <v>24500</v>
      </c>
      <c r="R43" t="s">
        <v>55</v>
      </c>
      <c r="S43">
        <v>310</v>
      </c>
      <c r="T43">
        <v>280</v>
      </c>
      <c r="U43">
        <v>735</v>
      </c>
      <c r="V43">
        <v>500</v>
      </c>
      <c r="W43">
        <v>0</v>
      </c>
      <c r="X43">
        <v>0</v>
      </c>
      <c r="Y43">
        <v>0</v>
      </c>
      <c r="Z43">
        <v>0</v>
      </c>
      <c r="AA43">
        <v>2250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O43" t="str">
        <f>VLOOKUP($M$3&amp;$N$3&amp;DATA_ENERO_2026[[#This Row],[SUPERVISOR]],TablaMeta[],7,0)</f>
        <v>S2-3-4</v>
      </c>
    </row>
    <row r="44" spans="1:41" x14ac:dyDescent="0.25">
      <c r="A44" s="35" t="str">
        <f>IFERROR(VLOOKUP(D1_ENERO_2026[[#This Row],[ASESOR_CRR]],PLANTILLA_ACTUAL[],2,0),"")</f>
        <v>JOHAN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44" s="37">
        <f>IF(D1_ENERO_2026[[#This Row],[RECUPERO]]="","",VLOOKUP($M$3&amp;$N$3&amp;D1_ENERO_2026[[#This Row],[SUPER]],TablaMeta[],6,0))</f>
        <v>24500</v>
      </c>
      <c r="D44" s="36">
        <f>IFERROR(D1_ENERO_2026[[#This Row],[RECUPERO]]/VLOOKUP($M$3&amp;$N$3&amp;D1_ENERO_2026[[#This Row],[SUPER]],TablaMeta[],6,0),"")</f>
        <v>1.5695102040816327</v>
      </c>
      <c r="E44" s="36" t="str">
        <f>IFERROR(VLOOKUP(D1_ENERO_2026[[#This Row],[ASESOR_CRR]],PLANTILLA_ACTUAL[],2,0),"")</f>
        <v>JOHAN</v>
      </c>
      <c r="F44" t="s">
        <v>77</v>
      </c>
      <c r="G44" s="3">
        <v>38453</v>
      </c>
      <c r="H44" t="str">
        <f>VLOOKUP(D1_ENERO_2026[[#This Row],[ASESOR_CRR]],DIM!$C:$E,2,0)</f>
        <v>42251780</v>
      </c>
      <c r="I44" s="59">
        <f>VLOOKUP(D1_ENERO_2026[[#This Row],[ASESOR_CRR]],DIM!$C:$E,3,0)</f>
        <v>44838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0.58922448979591835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JOHAN</v>
      </c>
      <c r="P44" s="6">
        <f>IF(DATA_ENERO_2026[[#This Row],[SUPERVISOR]]="","",VLOOKUP(DATA_ENERO_2026[[#This Row],[ASER_]],$B:$G,6,0))</f>
        <v>14436</v>
      </c>
      <c r="Q44" s="6">
        <f>VLOOKUP(DATA_ENERO_2026[[#This Row],[ASER_]],D1_ENERO_2026[[ASESOR_CRR]:[META]],2,0)</f>
        <v>24500</v>
      </c>
      <c r="R44" t="s">
        <v>41</v>
      </c>
      <c r="S44">
        <v>0</v>
      </c>
      <c r="T44">
        <v>1486</v>
      </c>
      <c r="U44">
        <v>0</v>
      </c>
      <c r="V44">
        <v>0</v>
      </c>
      <c r="W44">
        <v>0</v>
      </c>
      <c r="X44">
        <v>200</v>
      </c>
      <c r="Y44">
        <v>2300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10450</v>
      </c>
      <c r="AJ44">
        <v>0</v>
      </c>
      <c r="AO44" t="str">
        <f>VLOOKUP($M$3&amp;$N$3&amp;DATA_ENERO_2026[[#This Row],[SUPERVISOR]],TablaMeta[],7,0)</f>
        <v>S2-3-4</v>
      </c>
    </row>
    <row r="45" spans="1:41" x14ac:dyDescent="0.25">
      <c r="A45" s="35" t="str">
        <f>IFERROR(VLOOKUP(D1_ENERO_2026[[#This Row],[ASESOR_CRR]],PLANTILLA_ACTUAL[],2,0),"")</f>
        <v>JOHAN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45" s="37">
        <f>IF(D1_ENERO_2026[[#This Row],[RECUPERO]]="","",VLOOKUP($M$3&amp;$N$3&amp;D1_ENERO_2026[[#This Row],[SUPER]],TablaMeta[],6,0))</f>
        <v>24500</v>
      </c>
      <c r="D45" s="36">
        <f>IFERROR(D1_ENERO_2026[[#This Row],[RECUPERO]]/VLOOKUP($M$3&amp;$N$3&amp;D1_ENERO_2026[[#This Row],[SUPER]],TablaMeta[],6,0),"")</f>
        <v>0.9810204081632653</v>
      </c>
      <c r="E45" s="36" t="str">
        <f>IFERROR(VLOOKUP(D1_ENERO_2026[[#This Row],[ASESOR_CRR]],PLANTILLA_ACTUAL[],2,0),"")</f>
        <v>JOHAN</v>
      </c>
      <c r="F45" t="s">
        <v>97</v>
      </c>
      <c r="G45" s="3">
        <v>24035</v>
      </c>
      <c r="H45" t="str">
        <f>VLOOKUP(D1_ENERO_2026[[#This Row],[ASESOR_CRR]],DIM!$C:$E,2,0)</f>
        <v>74602206</v>
      </c>
      <c r="I45" s="59">
        <f>VLOOKUP(D1_ENERO_2026[[#This Row],[ASESOR_CRR]],DIM!$C:$E,3,0)</f>
        <v>45884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0.51224489795918371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s="58" t="str">
        <f>IFERROR(VLOOKUP(DATA_ENERO_2026[[#This Row],[ASER_]],$B:$G,4,0),"")</f>
        <v>JOHAN</v>
      </c>
      <c r="P45" s="6">
        <f>IF(DATA_ENERO_2026[[#This Row],[SUPERVISOR]]="","",VLOOKUP(DATA_ENERO_2026[[#This Row],[ASER_]],$B:$G,6,0))</f>
        <v>12550</v>
      </c>
      <c r="Q45" s="6">
        <f>VLOOKUP(DATA_ENERO_2026[[#This Row],[ASER_]],D1_ENERO_2026[[ASESOR_CRR]:[META]],2,0)</f>
        <v>24500</v>
      </c>
      <c r="R45" t="s">
        <v>73</v>
      </c>
      <c r="S45">
        <v>0</v>
      </c>
      <c r="T45">
        <v>600</v>
      </c>
      <c r="U45">
        <v>0</v>
      </c>
      <c r="V45">
        <v>0</v>
      </c>
      <c r="W45">
        <v>0</v>
      </c>
      <c r="X45">
        <v>2500</v>
      </c>
      <c r="Y45">
        <v>1500</v>
      </c>
      <c r="Z45">
        <v>0</v>
      </c>
      <c r="AA45">
        <v>0</v>
      </c>
      <c r="AB45">
        <v>3200</v>
      </c>
      <c r="AC45">
        <v>1600</v>
      </c>
      <c r="AD45">
        <v>250</v>
      </c>
      <c r="AE45">
        <v>0</v>
      </c>
      <c r="AF45">
        <v>600</v>
      </c>
      <c r="AG45">
        <v>2000</v>
      </c>
      <c r="AH45">
        <v>300</v>
      </c>
      <c r="AI45">
        <v>0</v>
      </c>
      <c r="AJ45">
        <v>0</v>
      </c>
      <c r="AO45" t="str">
        <f>VLOOKUP($M$3&amp;$N$3&amp;DATA_ENERO_2026[[#This Row],[SUPERVISOR]],TablaMeta[],7,0)</f>
        <v>S2-3-4</v>
      </c>
    </row>
    <row r="46" spans="1:41" x14ac:dyDescent="0.25">
      <c r="A46" s="35" t="str">
        <f>IFERROR(VLOOKUP(D1_ENERO_2026[[#This Row],[ASESOR_CRR]],PLANTILLA_ACTUAL[],2,0),"")</f>
        <v>JOHAN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46" s="37">
        <f>IF(D1_ENERO_2026[[#This Row],[RECUPERO]]="","",VLOOKUP($M$3&amp;$N$3&amp;D1_ENERO_2026[[#This Row],[SUPER]],TablaMeta[],6,0))</f>
        <v>24500</v>
      </c>
      <c r="D46" s="36">
        <f>IFERROR(D1_ENERO_2026[[#This Row],[RECUPERO]]/VLOOKUP($M$3&amp;$N$3&amp;D1_ENERO_2026[[#This Row],[SUPER]],TablaMeta[],6,0),"")</f>
        <v>0.97775510204081628</v>
      </c>
      <c r="E46" s="36" t="str">
        <f>IFERROR(VLOOKUP(D1_ENERO_2026[[#This Row],[ASESOR_CRR]],PLANTILLA_ACTUAL[],2,0),"")</f>
        <v>JOHAN</v>
      </c>
      <c r="F46" t="s">
        <v>206</v>
      </c>
      <c r="G46" s="3">
        <v>23955</v>
      </c>
      <c r="H46" t="str">
        <f>VLOOKUP(D1_ENERO_2026[[#This Row],[ASESOR_CRR]],DIM!$C:$E,2,0)</f>
        <v>46994661</v>
      </c>
      <c r="I46" s="59">
        <f>VLOOKUP(D1_ENERO_2026[[#This Row],[ASESOR_CRR]],DIM!$C:$E,3,0)</f>
        <v>45992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0.97775510204081628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&gt;70%</v>
      </c>
      <c r="O46" s="58" t="str">
        <f>IFERROR(VLOOKUP(DATA_ENERO_2026[[#This Row],[ASER_]],$B:$G,4,0),"")</f>
        <v>JOHAN</v>
      </c>
      <c r="P46" s="6">
        <f>IF(DATA_ENERO_2026[[#This Row],[SUPERVISOR]]="","",VLOOKUP(DATA_ENERO_2026[[#This Row],[ASER_]],$B:$G,6,0))</f>
        <v>23955</v>
      </c>
      <c r="Q46" s="6">
        <f>VLOOKUP(DATA_ENERO_2026[[#This Row],[ASER_]],D1_ENERO_2026[[ASESOR_CRR]:[META]],2,0)</f>
        <v>24500</v>
      </c>
      <c r="R46" t="s">
        <v>174</v>
      </c>
      <c r="S46">
        <v>0</v>
      </c>
      <c r="T46">
        <v>800</v>
      </c>
      <c r="U46">
        <v>1000</v>
      </c>
      <c r="V46">
        <v>0</v>
      </c>
      <c r="W46">
        <v>1500</v>
      </c>
      <c r="X46">
        <v>700</v>
      </c>
      <c r="Y46">
        <v>1000</v>
      </c>
      <c r="Z46">
        <v>500</v>
      </c>
      <c r="AA46">
        <v>0</v>
      </c>
      <c r="AB46">
        <v>5000</v>
      </c>
      <c r="AC46">
        <v>1395</v>
      </c>
      <c r="AD46">
        <v>0</v>
      </c>
      <c r="AE46">
        <v>3500</v>
      </c>
      <c r="AF46">
        <v>0</v>
      </c>
      <c r="AG46">
        <v>230</v>
      </c>
      <c r="AH46">
        <v>0</v>
      </c>
      <c r="AI46">
        <v>6330</v>
      </c>
      <c r="AJ46">
        <v>2000</v>
      </c>
      <c r="AO46" t="str">
        <f>VLOOKUP($M$3&amp;$N$3&amp;DATA_ENERO_2026[[#This Row],[SUPERVISOR]],TablaMeta[],7,0)</f>
        <v>S2-3-4</v>
      </c>
    </row>
    <row r="47" spans="1:41" x14ac:dyDescent="0.25">
      <c r="A47" s="35" t="str">
        <f>IFERROR(VLOOKUP(D1_ENERO_2026[[#This Row],[ASESOR_CRR]],PLANTILLA_ACTUAL[],2,0),"")</f>
        <v>JOHAN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47" s="37">
        <f>IF(D1_ENERO_2026[[#This Row],[RECUPERO]]="","",VLOOKUP($M$3&amp;$N$3&amp;D1_ENERO_2026[[#This Row],[SUPER]],TablaMeta[],6,0))</f>
        <v>24500</v>
      </c>
      <c r="D47" s="36">
        <f>IFERROR(D1_ENERO_2026[[#This Row],[RECUPERO]]/VLOOKUP($M$3&amp;$N$3&amp;D1_ENERO_2026[[#This Row],[SUPER]],TablaMeta[],6,0),"")</f>
        <v>0.97183673469387755</v>
      </c>
      <c r="E47" s="36" t="str">
        <f>IFERROR(VLOOKUP(D1_ENERO_2026[[#This Row],[ASESOR_CRR]],PLANTILLA_ACTUAL[],2,0),"")</f>
        <v>JOHAN</v>
      </c>
      <c r="F47" t="s">
        <v>48</v>
      </c>
      <c r="G47" s="3">
        <v>23810</v>
      </c>
      <c r="H47" t="str">
        <f>VLOOKUP(D1_ENERO_2026[[#This Row],[ASESOR_CRR]],DIM!$C:$E,2,0)</f>
        <v>43307898</v>
      </c>
      <c r="I47" s="59">
        <f>VLOOKUP(D1_ENERO_2026[[#This Row],[ASESOR_CRR]],DIM!$C:$E,3,0)</f>
        <v>44746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0.94857142857142862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&gt;70%</v>
      </c>
      <c r="O47" s="58" t="str">
        <f>IFERROR(VLOOKUP(DATA_ENERO_2026[[#This Row],[ASER_]],$B:$G,4,0),"")</f>
        <v>JOHAN</v>
      </c>
      <c r="P47" s="6">
        <f>IF(DATA_ENERO_2026[[#This Row],[SUPERVISOR]]="","",VLOOKUP(DATA_ENERO_2026[[#This Row],[ASER_]],$B:$G,6,0))</f>
        <v>23240</v>
      </c>
      <c r="Q47" s="6">
        <f>VLOOKUP(DATA_ENERO_2026[[#This Row],[ASER_]],D1_ENERO_2026[[ASESOR_CRR]:[META]],2,0)</f>
        <v>24500</v>
      </c>
      <c r="R47" t="s">
        <v>109</v>
      </c>
      <c r="S47">
        <v>0</v>
      </c>
      <c r="T47">
        <v>1200</v>
      </c>
      <c r="U47" s="46">
        <v>2000</v>
      </c>
      <c r="V47">
        <v>4000</v>
      </c>
      <c r="W47">
        <v>0</v>
      </c>
      <c r="X47">
        <v>0</v>
      </c>
      <c r="Y47">
        <v>3000</v>
      </c>
      <c r="Z47">
        <v>1000</v>
      </c>
      <c r="AA47">
        <v>3000</v>
      </c>
      <c r="AB47">
        <v>200</v>
      </c>
      <c r="AC47">
        <v>0</v>
      </c>
      <c r="AD47">
        <v>0</v>
      </c>
      <c r="AE47">
        <v>1000</v>
      </c>
      <c r="AF47">
        <v>3000</v>
      </c>
      <c r="AG47">
        <v>0</v>
      </c>
      <c r="AH47">
        <v>0</v>
      </c>
      <c r="AI47">
        <v>1500</v>
      </c>
      <c r="AJ47">
        <v>3340</v>
      </c>
      <c r="AO47" t="str">
        <f>VLOOKUP($M$3&amp;$N$3&amp;DATA_ENERO_2026[[#This Row],[SUPERVISOR]],TablaMeta[],7,0)</f>
        <v>S2-3-4</v>
      </c>
    </row>
    <row r="48" spans="1:41" x14ac:dyDescent="0.25">
      <c r="A48" s="35" t="str">
        <f>IFERROR(VLOOKUP(D1_ENERO_2026[[#This Row],[ASESOR_CRR]],PLANTILLA_ACTUAL[],2,0),"")</f>
        <v>JOHAN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48" s="37">
        <f>IF(D1_ENERO_2026[[#This Row],[RECUPERO]]="","",VLOOKUP($M$3&amp;$N$3&amp;D1_ENERO_2026[[#This Row],[SUPER]],TablaMeta[],6,0))</f>
        <v>24500</v>
      </c>
      <c r="D48" s="36">
        <f>IFERROR(D1_ENERO_2026[[#This Row],[RECUPERO]]/VLOOKUP($M$3&amp;$N$3&amp;D1_ENERO_2026[[#This Row],[SUPER]],TablaMeta[],6,0),"")</f>
        <v>0.94857142857142862</v>
      </c>
      <c r="E48" s="36" t="str">
        <f>IFERROR(VLOOKUP(D1_ENERO_2026[[#This Row],[ASESOR_CRR]],PLANTILLA_ACTUAL[],2,0),"")</f>
        <v>JOHAN</v>
      </c>
      <c r="F48" t="s">
        <v>109</v>
      </c>
      <c r="G48" s="3">
        <v>23240</v>
      </c>
      <c r="H48" t="str">
        <f>VLOOKUP(D1_ENERO_2026[[#This Row],[ASESOR_CRR]],DIM!$C:$E,2,0)</f>
        <v>74626735</v>
      </c>
      <c r="I48" s="59">
        <f>VLOOKUP(D1_ENERO_2026[[#This Row],[ASESOR_CRR]],DIM!$C:$E,3,0)</f>
        <v>46024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0.61599999999999999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&gt;40%</v>
      </c>
      <c r="O48" s="58" t="str">
        <f>IFERROR(VLOOKUP(DATA_ENERO_2026[[#This Row],[ASER_]],$B:$G,4,0),"")</f>
        <v>JOHAN</v>
      </c>
      <c r="P48" s="6">
        <f>IF(DATA_ENERO_2026[[#This Row],[SUPERVISOR]]="","",VLOOKUP(DATA_ENERO_2026[[#This Row],[ASER_]],$B:$G,6,0))</f>
        <v>15092</v>
      </c>
      <c r="Q48" s="6">
        <f>VLOOKUP(DATA_ENERO_2026[[#This Row],[ASER_]],D1_ENERO_2026[[ASESOR_CRR]:[META]],2,0)</f>
        <v>24500</v>
      </c>
      <c r="R48" t="s">
        <v>209</v>
      </c>
      <c r="S48">
        <v>0</v>
      </c>
      <c r="T48">
        <v>0</v>
      </c>
      <c r="U48">
        <v>0</v>
      </c>
      <c r="V48">
        <v>4000</v>
      </c>
      <c r="W48">
        <v>0</v>
      </c>
      <c r="X48">
        <v>0</v>
      </c>
      <c r="Y48">
        <v>0</v>
      </c>
      <c r="Z48">
        <v>1300</v>
      </c>
      <c r="AA48">
        <v>150</v>
      </c>
      <c r="AB48">
        <v>5920</v>
      </c>
      <c r="AC48">
        <v>1000</v>
      </c>
      <c r="AD48">
        <v>1150</v>
      </c>
      <c r="AE48">
        <v>0</v>
      </c>
      <c r="AF48">
        <v>220</v>
      </c>
      <c r="AG48">
        <v>552</v>
      </c>
      <c r="AH48">
        <v>0</v>
      </c>
      <c r="AI48">
        <v>500</v>
      </c>
      <c r="AJ48">
        <v>300</v>
      </c>
      <c r="AO48" t="str">
        <f>VLOOKUP($M$3&amp;$N$3&amp;DATA_ENERO_2026[[#This Row],[SUPERVISOR]],TablaMeta[],7,0)</f>
        <v>S2-3-4</v>
      </c>
    </row>
    <row r="49" spans="1:41" x14ac:dyDescent="0.25">
      <c r="A49" s="35" t="str">
        <f>IFERROR(VLOOKUP(D1_ENERO_2026[[#This Row],[ASESOR_CRR]],PLANTILLA_ACTUAL[],2,0),"")</f>
        <v>JOHAN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49" s="37">
        <f>IF(D1_ENERO_2026[[#This Row],[RECUPERO]]="","",VLOOKUP($M$3&amp;$N$3&amp;D1_ENERO_2026[[#This Row],[SUPER]],TablaMeta[],6,0))</f>
        <v>24500</v>
      </c>
      <c r="D49" s="36">
        <f>IFERROR(D1_ENERO_2026[[#This Row],[RECUPERO]]/VLOOKUP($M$3&amp;$N$3&amp;D1_ENERO_2026[[#This Row],[SUPER]],TablaMeta[],6,0),"")</f>
        <v>0.92951020408163265</v>
      </c>
      <c r="E49" s="36" t="str">
        <f>IFERROR(VLOOKUP(D1_ENERO_2026[[#This Row],[ASESOR_CRR]],PLANTILLA_ACTUAL[],2,0),"")</f>
        <v>JOHAN</v>
      </c>
      <c r="F49" t="s">
        <v>51</v>
      </c>
      <c r="G49" s="3">
        <v>22773</v>
      </c>
      <c r="H49" t="str">
        <f>VLOOKUP(D1_ENERO_2026[[#This Row],[ASESOR_CRR]],DIM!$C:$E,2,0)</f>
        <v>76089925</v>
      </c>
      <c r="I49" s="59">
        <f>VLOOKUP(D1_ENERO_2026[[#This Row],[ASESOR_CRR]],DIM!$C:$E,3,0)</f>
        <v>45678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0.28163265306122448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&gt;0%</v>
      </c>
      <c r="O49" s="58" t="str">
        <f>IFERROR(VLOOKUP(DATA_ENERO_2026[[#This Row],[ASER_]],$B:$G,4,0),"")</f>
        <v>JOHAN</v>
      </c>
      <c r="P49" s="6">
        <f>IF(DATA_ENERO_2026[[#This Row],[SUPERVISOR]]="","",VLOOKUP(DATA_ENERO_2026[[#This Row],[ASER_]],$B:$G,6,0))</f>
        <v>6900</v>
      </c>
      <c r="Q49" s="6">
        <f>VLOOKUP(DATA_ENERO_2026[[#This Row],[ASER_]],D1_ENERO_2026[[ASESOR_CRR]:[META]],2,0)</f>
        <v>24500</v>
      </c>
      <c r="R49" t="s">
        <v>527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3300</v>
      </c>
      <c r="AG49">
        <v>0</v>
      </c>
      <c r="AH49">
        <v>2700</v>
      </c>
      <c r="AI49">
        <v>900</v>
      </c>
      <c r="AJ49">
        <v>0</v>
      </c>
      <c r="AO49" t="str">
        <f>VLOOKUP($M$3&amp;$N$3&amp;DATA_ENERO_2026[[#This Row],[SUPERVISOR]],TablaMeta[],7,0)</f>
        <v>S2-3-4</v>
      </c>
    </row>
    <row r="50" spans="1:41" x14ac:dyDescent="0.25">
      <c r="A50" s="35" t="str">
        <f>IFERROR(VLOOKUP(D1_ENERO_2026[[#This Row],[ASESOR_CRR]],PLANTILLA_ACTUAL[],2,0),"")</f>
        <v>JOHAN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50" s="37">
        <f>IF(D1_ENERO_2026[[#This Row],[RECUPERO]]="","",VLOOKUP($M$3&amp;$N$3&amp;D1_ENERO_2026[[#This Row],[SUPER]],TablaMeta[],6,0))</f>
        <v>24500</v>
      </c>
      <c r="D50" s="36">
        <f>IFERROR(D1_ENERO_2026[[#This Row],[RECUPERO]]/VLOOKUP($M$3&amp;$N$3&amp;D1_ENERO_2026[[#This Row],[SUPER]],TablaMeta[],6,0),"")</f>
        <v>0.61599999999999999</v>
      </c>
      <c r="E50" s="36" t="str">
        <f>IFERROR(VLOOKUP(D1_ENERO_2026[[#This Row],[ASESOR_CRR]],PLANTILLA_ACTUAL[],2,0),"")</f>
        <v>JOHAN</v>
      </c>
      <c r="F50" t="s">
        <v>209</v>
      </c>
      <c r="G50" s="3">
        <v>15092</v>
      </c>
      <c r="H50" t="str">
        <f>VLOOKUP(D1_ENERO_2026[[#This Row],[ASESOR_CRR]],DIM!$C:$E,2,0)</f>
        <v>75069320</v>
      </c>
      <c r="I50" s="59">
        <f>VLOOKUP(D1_ENERO_2026[[#This Row],[ASESOR_CRR]],DIM!$C:$E,3,0)</f>
        <v>46029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9.7959183673469383E-2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&gt;0%</v>
      </c>
      <c r="O50" s="58" t="str">
        <f>IFERROR(VLOOKUP(DATA_ENERO_2026[[#This Row],[ASER_]],$B:$G,4,0),"")</f>
        <v>JOHAN</v>
      </c>
      <c r="P50" s="6">
        <f>IF(DATA_ENERO_2026[[#This Row],[SUPERVISOR]]="","",VLOOKUP(DATA_ENERO_2026[[#This Row],[ASER_]],$B:$G,6,0))</f>
        <v>2400</v>
      </c>
      <c r="Q50" s="6">
        <f>VLOOKUP(DATA_ENERO_2026[[#This Row],[ASER_]],D1_ENERO_2026[[ASESOR_CRR]:[META]],2,0)</f>
        <v>24500</v>
      </c>
      <c r="R50" t="s">
        <v>404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1900</v>
      </c>
      <c r="AF50">
        <v>0</v>
      </c>
      <c r="AG50">
        <v>0</v>
      </c>
      <c r="AH50">
        <v>0</v>
      </c>
      <c r="AI50">
        <v>500</v>
      </c>
      <c r="AJ50">
        <v>0</v>
      </c>
      <c r="AO50" t="str">
        <f>VLOOKUP($M$3&amp;$N$3&amp;DATA_ENERO_2026[[#This Row],[SUPERVISOR]],TablaMeta[],7,0)</f>
        <v>S2-3-4</v>
      </c>
    </row>
    <row r="51" spans="1:41" x14ac:dyDescent="0.25">
      <c r="A51" s="35" t="str">
        <f>IFERROR(VLOOKUP(D1_ENERO_2026[[#This Row],[ASESOR_CRR]],PLANTILLA_ACTUAL[],2,0),"")</f>
        <v>JOHAN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51" s="37">
        <f>IF(D1_ENERO_2026[[#This Row],[RECUPERO]]="","",VLOOKUP($M$3&amp;$N$3&amp;D1_ENERO_2026[[#This Row],[SUPER]],TablaMeta[],6,0))</f>
        <v>24500</v>
      </c>
      <c r="D51" s="36">
        <f>IFERROR(D1_ENERO_2026[[#This Row],[RECUPERO]]/VLOOKUP($M$3&amp;$N$3&amp;D1_ENERO_2026[[#This Row],[SUPER]],TablaMeta[],6,0),"")</f>
        <v>0.58922448979591835</v>
      </c>
      <c r="E51" s="36" t="str">
        <f>IFERROR(VLOOKUP(D1_ENERO_2026[[#This Row],[ASESOR_CRR]],PLANTILLA_ACTUAL[],2,0),"")</f>
        <v>JOHAN</v>
      </c>
      <c r="F51" t="s">
        <v>41</v>
      </c>
      <c r="G51" s="3">
        <v>14436</v>
      </c>
      <c r="H51" t="str">
        <f>VLOOKUP(D1_ENERO_2026[[#This Row],[ASESOR_CRR]],DIM!$C:$E,2,0)</f>
        <v>46461021</v>
      </c>
      <c r="I51" s="59">
        <f>VLOOKUP(D1_ENERO_2026[[#This Row],[ASESOR_CRR]],DIM!$C:$E,3,0)</f>
        <v>45302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1.4844478527607361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JORGE</v>
      </c>
      <c r="P51" s="6">
        <f>IF(DATA_ENERO_2026[[#This Row],[SUPERVISOR]]="","",VLOOKUP(DATA_ENERO_2026[[#This Row],[ASER_]],$B:$G,6,0))</f>
        <v>48393</v>
      </c>
      <c r="Q51" s="6">
        <f>VLOOKUP(DATA_ENERO_2026[[#This Row],[ASER_]],D1_ENERO_2026[[ASESOR_CRR]:[META]],2,0)</f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O51" t="str">
        <f>VLOOKUP($M$3&amp;$N$3&amp;DATA_ENERO_2026[[#This Row],[SUPERVISOR]],TablaMeta[],7,0)</f>
        <v>S0</v>
      </c>
    </row>
    <row r="52" spans="1:41" x14ac:dyDescent="0.25">
      <c r="A52" s="35" t="str">
        <f>IFERROR(VLOOKUP(D1_ENERO_2026[[#This Row],[ASESOR_CRR]],PLANTILLA_ACTUAL[],2,0),"")</f>
        <v>JOHAN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52" s="37">
        <f>IF(D1_ENERO_2026[[#This Row],[RECUPERO]]="","",VLOOKUP($M$3&amp;$N$3&amp;D1_ENERO_2026[[#This Row],[SUPER]],TablaMeta[],6,0))</f>
        <v>24500</v>
      </c>
      <c r="D52" s="36">
        <f>IFERROR(D1_ENERO_2026[[#This Row],[RECUPERO]]/VLOOKUP($M$3&amp;$N$3&amp;D1_ENERO_2026[[#This Row],[SUPER]],TablaMeta[],6,0),"")</f>
        <v>0.51224489795918371</v>
      </c>
      <c r="E52" s="36" t="str">
        <f>IFERROR(VLOOKUP(D1_ENERO_2026[[#This Row],[ASESOR_CRR]],PLANTILLA_ACTUAL[],2,0),"")</f>
        <v>JOHAN</v>
      </c>
      <c r="F52" t="s">
        <v>73</v>
      </c>
      <c r="G52" s="3">
        <v>12550</v>
      </c>
      <c r="H52" t="str">
        <f>VLOOKUP(D1_ENERO_2026[[#This Row],[ASESOR_CRR]],DIM!$C:$E,2,0)</f>
        <v>40318129</v>
      </c>
      <c r="I52" s="59">
        <f>VLOOKUP(D1_ENERO_2026[[#This Row],[ASESOR_CRR]],DIM!$C:$E,3,0)</f>
        <v>45141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1.5449693251533743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s="58" t="str">
        <f>IFERROR(VLOOKUP(DATA_ENERO_2026[[#This Row],[ASER_]],$B:$G,4,0),"")</f>
        <v>JORGE</v>
      </c>
      <c r="P52" s="6">
        <f>IF(DATA_ENERO_2026[[#This Row],[SUPERVISOR]]="","",VLOOKUP(DATA_ENERO_2026[[#This Row],[ASER_]],$B:$G,6,0))</f>
        <v>50366</v>
      </c>
      <c r="Q52" s="6">
        <f>VLOOKUP(DATA_ENERO_2026[[#This Row],[ASER_]],D1_ENERO_2026[[ASESOR_CRR]:[META]],2,0)</f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O52" t="str">
        <f>VLOOKUP($M$3&amp;$N$3&amp;DATA_ENERO_2026[[#This Row],[SUPERVISOR]],TablaMeta[],7,0)</f>
        <v>S0</v>
      </c>
    </row>
    <row r="53" spans="1:41" x14ac:dyDescent="0.25">
      <c r="A53" s="35" t="str">
        <f>IFERROR(VLOOKUP(D1_ENERO_2026[[#This Row],[ASESOR_CRR]],PLANTILLA_ACTUAL[],2,0),"")</f>
        <v>JOHAN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53" s="37">
        <f>IF(D1_ENERO_2026[[#This Row],[RECUPERO]]="","",VLOOKUP($M$3&amp;$N$3&amp;D1_ENERO_2026[[#This Row],[SUPER]],TablaMeta[],6,0))</f>
        <v>24500</v>
      </c>
      <c r="D53" s="36">
        <f>IFERROR(D1_ENERO_2026[[#This Row],[RECUPERO]]/VLOOKUP($M$3&amp;$N$3&amp;D1_ENERO_2026[[#This Row],[SUPER]],TablaMeta[],6,0),"")</f>
        <v>0.34848979591836737</v>
      </c>
      <c r="E53" s="36" t="str">
        <f>IFERROR(VLOOKUP(D1_ENERO_2026[[#This Row],[ASESOR_CRR]],PLANTILLA_ACTUAL[],2,0),"")</f>
        <v>JOHAN</v>
      </c>
      <c r="F53" t="s">
        <v>40</v>
      </c>
      <c r="G53" s="3">
        <v>8538</v>
      </c>
      <c r="H53" t="str">
        <f>VLOOKUP(D1_ENERO_2026[[#This Row],[ASESOR_CRR]],DIM!$C:$E,2,0)</f>
        <v>60976055</v>
      </c>
      <c r="I53" s="59">
        <f>VLOOKUP(D1_ENERO_2026[[#This Row],[ASESOR_CRR]],DIM!$C:$E,3,0)</f>
        <v>45433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0.67235889570552154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&gt;40%</v>
      </c>
      <c r="O53" s="58" t="str">
        <f>IFERROR(VLOOKUP(DATA_ENERO_2026[[#This Row],[ASER_]],$B:$G,4,0),"")</f>
        <v>JORGE</v>
      </c>
      <c r="P53" s="6">
        <f>IF(DATA_ENERO_2026[[#This Row],[SUPERVISOR]]="","",VLOOKUP(DATA_ENERO_2026[[#This Row],[ASER_]],$B:$G,6,0))</f>
        <v>21918.9</v>
      </c>
      <c r="Q53" s="6">
        <f>VLOOKUP(DATA_ENERO_2026[[#This Row],[ASER_]],D1_ENERO_2026[[ASESOR_CRR]:[META]],2,0)</f>
        <v>32600</v>
      </c>
      <c r="R53" t="s">
        <v>29</v>
      </c>
      <c r="S53">
        <v>1108</v>
      </c>
      <c r="T53">
        <v>0</v>
      </c>
      <c r="U53">
        <v>250</v>
      </c>
      <c r="V53">
        <v>380</v>
      </c>
      <c r="W53">
        <v>0</v>
      </c>
      <c r="X53">
        <v>1650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O53" t="str">
        <f>VLOOKUP($M$3&amp;$N$3&amp;DATA_ENERO_2026[[#This Row],[SUPERVISOR]],TablaMeta[],7,0)</f>
        <v>S0</v>
      </c>
    </row>
    <row r="54" spans="1:41" x14ac:dyDescent="0.25">
      <c r="A54" s="35" t="str">
        <f>IFERROR(VLOOKUP(D1_ENERO_2026[[#This Row],[ASESOR_CRR]],PLANTILLA_ACTUAL[],2,0),"")</f>
        <v>JOHAN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54" s="37">
        <f>IF(D1_ENERO_2026[[#This Row],[RECUPERO]]="","",VLOOKUP($M$3&amp;$N$3&amp;D1_ENERO_2026[[#This Row],[SUPER]],TablaMeta[],6,0))</f>
        <v>24500</v>
      </c>
      <c r="D54" s="36">
        <f>IFERROR(D1_ENERO_2026[[#This Row],[RECUPERO]]/VLOOKUP($M$3&amp;$N$3&amp;D1_ENERO_2026[[#This Row],[SUPER]],TablaMeta[],6,0),"")</f>
        <v>0.28163265306122448</v>
      </c>
      <c r="E54" s="36" t="str">
        <f>IFERROR(VLOOKUP(D1_ENERO_2026[[#This Row],[ASESOR_CRR]],PLANTILLA_ACTUAL[],2,0),"")</f>
        <v>JOHAN</v>
      </c>
      <c r="F54" t="s">
        <v>527</v>
      </c>
      <c r="G54" s="3">
        <v>6900</v>
      </c>
      <c r="H54" t="str">
        <f>VLOOKUP(D1_ENERO_2026[[#This Row],[ASESOR_CRR]],DIM!$C:$E,2,0)</f>
        <v>09668687</v>
      </c>
      <c r="I54" s="59">
        <f>VLOOKUP(D1_ENERO_2026[[#This Row],[ASESOR_CRR]],DIM!$C:$E,3,0)</f>
        <v>46041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0.87877699386503072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&gt;70%</v>
      </c>
      <c r="O54" s="58" t="str">
        <f>IFERROR(VLOOKUP(DATA_ENERO_2026[[#This Row],[ASER_]],$B:$G,4,0),"")</f>
        <v>JORGE</v>
      </c>
      <c r="P54" s="6">
        <f>IF(DATA_ENERO_2026[[#This Row],[SUPERVISOR]]="","",VLOOKUP(DATA_ENERO_2026[[#This Row],[ASER_]],$B:$G,6,0))</f>
        <v>28648.13</v>
      </c>
      <c r="Q54" s="6">
        <f>VLOOKUP(DATA_ENERO_2026[[#This Row],[ASER_]],D1_ENERO_2026[[ASESOR_CRR]:[META]],2,0)</f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O54" t="str">
        <f>VLOOKUP($M$3&amp;$N$3&amp;DATA_ENERO_2026[[#This Row],[SUPERVISOR]],TablaMeta[],7,0)</f>
        <v>S0</v>
      </c>
    </row>
    <row r="55" spans="1:41" x14ac:dyDescent="0.25">
      <c r="A55" s="35" t="str">
        <f>IFERROR(VLOOKUP(D1_ENERO_2026[[#This Row],[ASESOR_CRR]],PLANTILLA_ACTUAL[],2,0),"")</f>
        <v>JOHAN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55" s="37">
        <f>IF(D1_ENERO_2026[[#This Row],[RECUPERO]]="","",VLOOKUP($M$3&amp;$N$3&amp;D1_ENERO_2026[[#This Row],[SUPER]],TablaMeta[],6,0))</f>
        <v>24500</v>
      </c>
      <c r="D55" s="36">
        <f>IFERROR(D1_ENERO_2026[[#This Row],[RECUPERO]]/VLOOKUP($M$3&amp;$N$3&amp;D1_ENERO_2026[[#This Row],[SUPER]],TablaMeta[],6,0),"")</f>
        <v>0.16632653061224489</v>
      </c>
      <c r="E55" s="36" t="str">
        <f>IFERROR(VLOOKUP(D1_ENERO_2026[[#This Row],[ASESOR_CRR]],PLANTILLA_ACTUAL[],2,0),"")</f>
        <v>JOHAN</v>
      </c>
      <c r="F55" t="s">
        <v>55</v>
      </c>
      <c r="G55" s="3">
        <v>4075</v>
      </c>
      <c r="H55" t="str">
        <f>VLOOKUP(D1_ENERO_2026[[#This Row],[ASESOR_CRR]],DIM!$C:$E,2,0)</f>
        <v>45119892</v>
      </c>
      <c r="I55" s="59">
        <f>VLOOKUP(D1_ENERO_2026[[#This Row],[ASESOR_CRR]],DIM!$C:$E,3,0)</f>
        <v>45813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0.33503067484662574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&gt;0%</v>
      </c>
      <c r="O55" s="58" t="str">
        <f>IFERROR(VLOOKUP(DATA_ENERO_2026[[#This Row],[ASER_]],$B:$G,4,0),"")</f>
        <v>JORGE</v>
      </c>
      <c r="P55" s="6">
        <f>IF(DATA_ENERO_2026[[#This Row],[SUPERVISOR]]="","",VLOOKUP(DATA_ENERO_2026[[#This Row],[ASER_]],$B:$G,6,0))</f>
        <v>10922</v>
      </c>
      <c r="Q55" s="6">
        <f>VLOOKUP(DATA_ENERO_2026[[#This Row],[ASER_]],D1_ENERO_2026[[ASESOR_CRR]:[META]],2,0)</f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O55" t="str">
        <f>VLOOKUP($M$3&amp;$N$3&amp;DATA_ENERO_2026[[#This Row],[SUPERVISOR]],TablaMeta[],7,0)</f>
        <v>S0</v>
      </c>
    </row>
    <row r="56" spans="1:41" x14ac:dyDescent="0.25">
      <c r="A56" s="35" t="str">
        <f>IFERROR(VLOOKUP(D1_ENERO_2026[[#This Row],[ASESOR_CRR]],PLANTILLA_ACTUAL[],2,0),"")</f>
        <v>JOHAN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56" s="37">
        <f>IF(D1_ENERO_2026[[#This Row],[RECUPERO]]="","",VLOOKUP($M$3&amp;$N$3&amp;D1_ENERO_2026[[#This Row],[SUPER]],TablaMeta[],6,0))</f>
        <v>24500</v>
      </c>
      <c r="D56" s="36">
        <f>IFERROR(D1_ENERO_2026[[#This Row],[RECUPERO]]/VLOOKUP($M$3&amp;$N$3&amp;D1_ENERO_2026[[#This Row],[SUPER]],TablaMeta[],6,0),"")</f>
        <v>9.7959183673469383E-2</v>
      </c>
      <c r="E56" s="36" t="str">
        <f>IFERROR(VLOOKUP(D1_ENERO_2026[[#This Row],[ASESOR_CRR]],PLANTILLA_ACTUAL[],2,0),"")</f>
        <v>JOHAN</v>
      </c>
      <c r="F56" t="s">
        <v>404</v>
      </c>
      <c r="G56" s="3">
        <v>2400</v>
      </c>
      <c r="H56" t="str">
        <f>VLOOKUP(D1_ENERO_2026[[#This Row],[ASESOR_CRR]],DIM!$C:$E,2,0)</f>
        <v>44883074</v>
      </c>
      <c r="I56" s="59">
        <f>VLOOKUP(D1_ENERO_2026[[#This Row],[ASESOR_CRR]],DIM!$C:$E,3,0)</f>
        <v>46038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1.5916564417177914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&gt;100%</v>
      </c>
      <c r="O56" s="58" t="str">
        <f>IFERROR(VLOOKUP(DATA_ENERO_2026[[#This Row],[ASER_]],$B:$G,4,0),"")</f>
        <v>JORGE</v>
      </c>
      <c r="P56" s="6">
        <f>IF(DATA_ENERO_2026[[#This Row],[SUPERVISOR]]="","",VLOOKUP(DATA_ENERO_2026[[#This Row],[ASER_]],$B:$G,6,0))</f>
        <v>51888</v>
      </c>
      <c r="Q56" s="6">
        <f>VLOOKUP(DATA_ENERO_2026[[#This Row],[ASER_]],D1_ENERO_2026[[ASESOR_CRR]:[META]],2,0)</f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O56" t="str">
        <f>VLOOKUP($M$3&amp;$N$3&amp;DATA_ENERO_2026[[#This Row],[SUPERVISOR]],TablaMeta[],7,0)</f>
        <v>S0</v>
      </c>
    </row>
    <row r="57" spans="1:41" x14ac:dyDescent="0.25">
      <c r="H57"/>
      <c r="M57" s="5">
        <f>IF(DATA_ENERO_2026[[#This Row],[ASER_]]="","",VLOOKUP(DATA_ENERO_2026[[#This Row],[ASER_]],$B:$G,3,0))</f>
        <v>1.0384969325153375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&gt;100%</v>
      </c>
      <c r="O57" s="58" t="str">
        <f>IFERROR(VLOOKUP(DATA_ENERO_2026[[#This Row],[ASER_]],$B:$G,4,0),"")</f>
        <v>JORGE</v>
      </c>
      <c r="P57" s="6">
        <f>IF(DATA_ENERO_2026[[#This Row],[SUPERVISOR]]="","",VLOOKUP(DATA_ENERO_2026[[#This Row],[ASER_]],$B:$G,6,0))</f>
        <v>33855</v>
      </c>
      <c r="Q57" s="6">
        <f>VLOOKUP(DATA_ENERO_2026[[#This Row],[ASER_]],D1_ENERO_2026[[ASESOR_CRR]:[META]],2,0)</f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O57" t="str">
        <f>VLOOKUP($M$3&amp;$N$3&amp;DATA_ENERO_2026[[#This Row],[SUPERVISOR]],TablaMeta[],7,0)</f>
        <v>S0</v>
      </c>
    </row>
    <row r="58" spans="1:41" x14ac:dyDescent="0.25">
      <c r="H58"/>
      <c r="M58" s="5">
        <f>IF(DATA_ENERO_2026[[#This Row],[ASER_]]="","",VLOOKUP(DATA_ENERO_2026[[#This Row],[ASER_]],$B:$G,3,0))</f>
        <v>0.6115644171779141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&gt;40%</v>
      </c>
      <c r="O58" s="58" t="str">
        <f>IFERROR(VLOOKUP(DATA_ENERO_2026[[#This Row],[ASER_]],$B:$G,4,0),"")</f>
        <v>JORGE</v>
      </c>
      <c r="P58" s="6">
        <f>IF(DATA_ENERO_2026[[#This Row],[SUPERVISOR]]="","",VLOOKUP(DATA_ENERO_2026[[#This Row],[ASER_]],$B:$G,6,0))</f>
        <v>19937</v>
      </c>
      <c r="Q58" s="6">
        <f>VLOOKUP(DATA_ENERO_2026[[#This Row],[ASER_]],D1_ENERO_2026[[ASESOR_CRR]:[META]],2,0)</f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O58" t="str">
        <f>VLOOKUP($M$3&amp;$N$3&amp;DATA_ENERO_2026[[#This Row],[SUPERVISOR]],TablaMeta[],7,0)</f>
        <v>S0</v>
      </c>
    </row>
    <row r="59" spans="1:41" x14ac:dyDescent="0.25">
      <c r="H59"/>
      <c r="M59" s="5">
        <f>IF(DATA_ENERO_2026[[#This Row],[ASER_]]="","",VLOOKUP(DATA_ENERO_2026[[#This Row],[ASER_]],$B:$G,3,0))</f>
        <v>0.41104294478527609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8" t="str">
        <f>IFERROR(VLOOKUP(DATA_ENERO_2026[[#This Row],[ASER_]],$B:$G,4,0),"")</f>
        <v>JORGE</v>
      </c>
      <c r="P59" s="6">
        <f>IF(DATA_ENERO_2026[[#This Row],[SUPERVISOR]]="","",VLOOKUP(DATA_ENERO_2026[[#This Row],[ASER_]],$B:$G,6,0))</f>
        <v>13400</v>
      </c>
      <c r="Q59" s="6">
        <f>VLOOKUP(DATA_ENERO_2026[[#This Row],[ASER_]],D1_ENERO_2026[[ASESOR_CRR]:[META]],2,0)</f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O59" t="str">
        <f>VLOOKUP($M$3&amp;$N$3&amp;DATA_ENERO_2026[[#This Row],[SUPERVISOR]],TablaMeta[],7,0)</f>
        <v>S0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1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abSelected="1"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90" zoomScale="85" zoomScaleNormal="85" workbookViewId="0">
      <selection activeCell="A91" sqref="A9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8538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23810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24035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13400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3434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27955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42303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27960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34003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44921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22773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28648.13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21918.9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27895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74886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36000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55840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85410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16460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2026-01-28T17:51:15Z</dcterms:modified>
</cp:coreProperties>
</file>