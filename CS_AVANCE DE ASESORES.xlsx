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B69885D-864E-49DB-BCE3-58F1ADC265CE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7" i="21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9" i="18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11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9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E56" i="17"/>
  <c r="A55" i="17"/>
  <c r="C55" i="17" s="1"/>
  <c r="E55" i="17"/>
  <c r="E54" i="17"/>
  <c r="D54" i="17" l="1"/>
  <c r="C54" i="17"/>
  <c r="D55" i="17"/>
  <c r="D56" i="17"/>
  <c r="E53" i="17"/>
  <c r="A53" i="17" l="1"/>
  <c r="D53" i="17" l="1"/>
  <c r="C53" i="17"/>
  <c r="A179" i="22"/>
  <c r="A180" i="22"/>
  <c r="A181" i="22"/>
  <c r="A182" i="22"/>
  <c r="A183" i="22"/>
  <c r="C53" i="20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O59" i="17" l="1"/>
  <c r="P59" i="17" s="1"/>
  <c r="O58" i="17"/>
  <c r="P58" i="17" s="1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AO59" i="17" l="1"/>
  <c r="AO58" i="17"/>
  <c r="D13" i="29"/>
  <c r="H3" i="17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D8" i="17"/>
  <c r="C8" i="17"/>
  <c r="D9" i="17"/>
  <c r="C9" i="17"/>
  <c r="D10" i="17"/>
  <c r="C10" i="17"/>
  <c r="Q54" i="17" s="1"/>
  <c r="D11" i="17"/>
  <c r="C11" i="17"/>
  <c r="D12" i="17"/>
  <c r="C12" i="17"/>
  <c r="D13" i="17"/>
  <c r="C13" i="17"/>
  <c r="D14" i="17"/>
  <c r="C14" i="17"/>
  <c r="D15" i="17"/>
  <c r="C15" i="17"/>
  <c r="D16" i="17"/>
  <c r="C16" i="17"/>
  <c r="D17" i="17"/>
  <c r="C17" i="17"/>
  <c r="D18" i="17"/>
  <c r="C18" i="17"/>
  <c r="D19" i="17"/>
  <c r="C19" i="17"/>
  <c r="D20" i="17"/>
  <c r="C20" i="17"/>
  <c r="D21" i="17"/>
  <c r="C21" i="17"/>
  <c r="D22" i="17"/>
  <c r="C22" i="17"/>
  <c r="D23" i="17"/>
  <c r="C23" i="17"/>
  <c r="D24" i="17"/>
  <c r="C24" i="17"/>
  <c r="D25" i="17"/>
  <c r="C25" i="17"/>
  <c r="D26" i="17"/>
  <c r="C26" i="17"/>
  <c r="D27" i="17"/>
  <c r="C27" i="17"/>
  <c r="D28" i="17"/>
  <c r="C28" i="17"/>
  <c r="D29" i="17"/>
  <c r="C29" i="17"/>
  <c r="D30" i="17"/>
  <c r="C30" i="17"/>
  <c r="D31" i="17"/>
  <c r="C31" i="17"/>
  <c r="D32" i="17"/>
  <c r="C32" i="17"/>
  <c r="D33" i="17"/>
  <c r="C33" i="17"/>
  <c r="D34" i="17"/>
  <c r="C34" i="17"/>
  <c r="D35" i="17"/>
  <c r="C35" i="17"/>
  <c r="D36" i="17"/>
  <c r="C36" i="17"/>
  <c r="D37" i="17"/>
  <c r="C37" i="17"/>
  <c r="D38" i="17"/>
  <c r="C38" i="17"/>
  <c r="D39" i="17"/>
  <c r="C39" i="17"/>
  <c r="D40" i="17"/>
  <c r="C40" i="17"/>
  <c r="D41" i="17"/>
  <c r="C41" i="17"/>
  <c r="D42" i="17"/>
  <c r="C42" i="17"/>
  <c r="D43" i="17"/>
  <c r="C43" i="17"/>
  <c r="D44" i="17"/>
  <c r="C44" i="17"/>
  <c r="D45" i="17"/>
  <c r="C45" i="17"/>
  <c r="D46" i="17"/>
  <c r="C46" i="17"/>
  <c r="D47" i="17"/>
  <c r="C47" i="17"/>
  <c r="D48" i="17"/>
  <c r="C48" i="17"/>
  <c r="Q13" i="17" s="1"/>
  <c r="D49" i="17"/>
  <c r="C49" i="17"/>
  <c r="D50" i="17"/>
  <c r="C50" i="17"/>
  <c r="D51" i="17"/>
  <c r="C51" i="17"/>
  <c r="D52" i="17"/>
  <c r="C52" i="17"/>
  <c r="O54" i="17"/>
  <c r="A6" i="17"/>
  <c r="Q35" i="17" l="1"/>
  <c r="Q31" i="17"/>
  <c r="Q32" i="17"/>
  <c r="Q28" i="17"/>
  <c r="Q36" i="17"/>
  <c r="Q50" i="17"/>
  <c r="Q21" i="17"/>
  <c r="Q16" i="17"/>
  <c r="Q25" i="17"/>
  <c r="Q24" i="17"/>
  <c r="Q11" i="17"/>
  <c r="Q27" i="17"/>
  <c r="Q26" i="17"/>
  <c r="Q18" i="17"/>
  <c r="Q33" i="17"/>
  <c r="Q29" i="17"/>
  <c r="Q42" i="17"/>
  <c r="Q34" i="17"/>
  <c r="Q30" i="17"/>
  <c r="M59" i="17"/>
  <c r="N59" i="17" s="1" a="1"/>
  <c r="N59" i="17" s="1"/>
  <c r="Q53" i="17"/>
  <c r="Q59" i="17"/>
  <c r="Q55" i="17"/>
  <c r="Q43" i="17"/>
  <c r="Q58" i="17"/>
  <c r="Q51" i="17"/>
  <c r="Q57" i="17"/>
  <c r="M58" i="17"/>
  <c r="N58" i="17" s="1" a="1"/>
  <c r="N58" i="17" s="1"/>
  <c r="Q41" i="17"/>
  <c r="Q39" i="17"/>
  <c r="Q49" i="17"/>
  <c r="Q38" i="17"/>
  <c r="Q44" i="17"/>
  <c r="Q40" i="17"/>
  <c r="Q47" i="17"/>
  <c r="Q37" i="17"/>
  <c r="Q10" i="17"/>
  <c r="Q45" i="17"/>
  <c r="Q12" i="17"/>
  <c r="Q46" i="17"/>
  <c r="Q9" i="17"/>
  <c r="Q48" i="17"/>
  <c r="Q17" i="17"/>
  <c r="Q14" i="17"/>
  <c r="Q15" i="17"/>
  <c r="Q22" i="17"/>
  <c r="Q23" i="17"/>
  <c r="Q19" i="17"/>
  <c r="P54" i="17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Q52" i="17" l="1"/>
  <c r="M52" i="17"/>
  <c r="N52" i="17" s="1" a="1"/>
  <c r="N52" i="17" s="1"/>
  <c r="M20" i="17"/>
  <c r="N20" i="17" s="1" a="1"/>
  <c r="N20" i="17" s="1"/>
  <c r="Q20" i="17"/>
  <c r="P57" i="17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14" i="18"/>
  <c r="AR13" i="18"/>
  <c r="AR9" i="18"/>
  <c r="AR15" i="18"/>
  <c r="AR11" i="18"/>
  <c r="AR12" i="18"/>
  <c r="AR16" i="18"/>
  <c r="AR10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<sst xmlns="http://schemas.openxmlformats.org/spreadsheetml/2006/main" count="10847" uniqueCount="572">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</sst>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</cellXfs>
  <cellStyles count="2">
    <cellStyle name="Normal" xfId="0" builtinId="0"/>
    <cellStyle name="Porcentaje" xfId="1" builtinId="5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S79" totalsRowShown="0" headerRowDxfId="740" headerRowBorderDxfId="739" tableBorderDxfId="738">
  <autoFilter ref="M8:S79" xr:uid="{F9313B9F-39C6-4A12-8F5B-FED5B42DCC51}"/>
  <tableColumns count="7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/>
    <tableColumn id="7" xr3:uid="{B938E452-5678-4623-B9AD-47B290EB3B56}" name="META" dataDxfId="733"/>
    <tableColumn id="5" xr3:uid="{A39094CA-883F-4450-A53A-370F0AE54B0C}" name="ASER_" dataDxfId="732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U8:AU15" totalsRowShown="0" headerRowDxfId="730" dataDxfId="728" headerRowBorderDxfId="729" tableBorderDxfId="727" totalsRowBorderDxfId="726">
  <autoFilter ref="U8:AU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509"/>
    <tableColumn id="9" xr3:uid="{0CBCBA61-9BA1-4E3D-B6CE-38E6C9A1078C}" name="FECHA DE INGRESO" dataDxfId="508"/>
    <tableColumn id="10" xr3:uid="{3A23F58F-8B92-4D7C-82D9-23C8B3B51E6F}" name="ESTADO" dataDxfId="50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6" headerRowBorderDxfId="505" tableBorderDxfId="504">
  <autoFilter ref="M8:S83" xr:uid="{97B1AEE0-937A-4085-8A6E-FCEB23E4FC30}"/>
  <tableColumns count="7">
    <tableColumn id="2" xr3:uid="{1850D85D-70AA-4C8C-B259-0C0B744B6CE0}" name="AL_AC" dataDxfId="503"/>
    <tableColumn id="3" xr3:uid="{78E201C6-658E-4437-AC52-3D0E669D8389}" name="CLASIFICACIÓN" dataDxfId="502"/>
    <tableColumn id="1" xr3:uid="{C1D03C86-C680-4F57-A317-59AA1FC8881C}" name="SUPERVISOR" dataDxfId="501"/>
    <tableColumn id="6" xr3:uid="{3AD4A449-DB0B-4879-AD61-28FA40E45717}" name="RECUPERO" dataDxfId="500"/>
    <tableColumn id="7" xr3:uid="{2BD9FB92-38FC-44A8-B5F2-890569E48C37}" name="META" dataDxfId="499"/>
    <tableColumn id="5" xr3:uid="{9812F1F1-AB5A-41A6-A84D-86B290FCB7E7}" name="ASER_" dataDxfId="498"/>
    <tableColumn id="4" xr3:uid="{DAFD2DC8-78EF-4D1C-8D8A-59717D153EC7}" name="CARTERA ASESOR" dataDxfId="49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6" dataDxfId="494" headerRowBorderDxfId="495" tableBorderDxfId="493" totalsRowBorderDxfId="492">
  <autoFilter ref="U8:AT16" xr:uid="{9512D78B-B0C0-473E-AE3C-7C31C89EE38A}"/>
  <tableColumns count="26">
    <tableColumn id="5" xr3:uid="{2E4B2724-B4DE-4C03-B5C0-3E36829C3373}" name="META SUPER" dataDxfId="491"/>
    <tableColumn id="1" xr3:uid="{1A75BF93-811F-4AFA-86B4-9AD496200913}" name="RECUPERO SUPERVISOR" dataDxfId="490"/>
    <tableColumn id="2" xr3:uid="{60B107BC-0938-4363-BE59-47C4E7777D14}" name="ALCANCE SUPERVISOR" dataDxfId="489"/>
    <tableColumn id="4" xr3:uid="{846684E8-1F2C-4021-AB12-AFBE9E56FAA4}" name="SUPER" dataDxfId="488"/>
    <tableColumn id="6" xr3:uid="{A217DEAD-ACD7-4C63-A622-E2E01ECF328C}" name="2" dataDxfId="487"/>
    <tableColumn id="7" xr3:uid="{5CA18C0A-7D47-455B-B153-EFA8D01D32D6}" name="3" dataDxfId="486"/>
    <tableColumn id="8" xr3:uid="{3CBBE086-E28B-4224-AF45-5A4E7A009E3F}" name="4" dataDxfId="485"/>
    <tableColumn id="9" xr3:uid="{4B327145-F7C9-4ABC-A911-6EB2E553C986}" name="5" dataDxfId="484"/>
    <tableColumn id="10" xr3:uid="{C644450F-2149-4D87-8E04-D3DD6B99C066}" name="6" dataDxfId="483"/>
    <tableColumn id="11" xr3:uid="{92D6DA00-2083-479D-96F6-4B48312C9C12}" name="9" dataDxfId="482"/>
    <tableColumn id="12" xr3:uid="{2EC613D6-BDCD-416F-817F-42C8018B90FE}" name="10" dataDxfId="481"/>
    <tableColumn id="13" xr3:uid="{B55C5834-2D46-4D83-8429-14D18D9B95EF}" name="11" dataDxfId="480"/>
    <tableColumn id="14" xr3:uid="{5C6DF4C8-EDC0-4827-AA8B-9C2B7202A4DA}" name="12" dataDxfId="479"/>
    <tableColumn id="15" xr3:uid="{764D7AA1-F3E2-4E06-A4A9-952B47F95E76}" name="13" dataDxfId="478"/>
    <tableColumn id="16" xr3:uid="{6D896E44-118D-4124-BF4A-2E06B8568517}" name="16" dataDxfId="477"/>
    <tableColumn id="17" xr3:uid="{BE609D90-F294-44A1-B944-804292CC8FAC}" name="17" dataDxfId="476"/>
    <tableColumn id="18" xr3:uid="{E97C32F3-7B30-46E7-B4CD-72B412E48E28}" name="18" dataDxfId="475"/>
    <tableColumn id="19" xr3:uid="{FD784BF8-211E-4275-A9B4-168979C2AFD1}" name="19" dataDxfId="474"/>
    <tableColumn id="20" xr3:uid="{766DA9FA-C407-4AC5-BFFB-BF6A1B6D5B26}" name="20" dataDxfId="473"/>
    <tableColumn id="21" xr3:uid="{CD1B765C-53CF-4C5C-A708-487BC53AF68A}" name="23" dataDxfId="472"/>
    <tableColumn id="22" xr3:uid="{2800A805-A560-4CF0-B47E-4486A92755E4}" name="24" dataDxfId="471"/>
    <tableColumn id="23" xr3:uid="{7067EFFA-F2EA-4FFF-A281-8E3E0E718C87}" name="25" dataDxfId="470"/>
    <tableColumn id="24" xr3:uid="{BB01C4B5-FEB4-44E1-BF58-4C9BF81261B1}" name="26" dataDxfId="469"/>
    <tableColumn id="25" xr3:uid="{2116D7DE-6632-4314-9539-6B4BA9407512}" name="27" dataDxfId="468"/>
    <tableColumn id="26" xr3:uid="{B0D188FD-F41F-4C43-A42F-87048D9F3347}" name="30" dataDxfId="467"/>
    <tableColumn id="3" xr3:uid="{153A774F-FA3D-4DE9-A743-A193E9EC2BE7}" name="CARTERA" dataDxfId="4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5" headerRowBorderDxfId="464" tableBorderDxfId="463">
  <autoFilter ref="M8:S91" xr:uid="{13D0755C-A8D1-41FD-8722-0AA4CD765999}"/>
  <tableColumns count="7">
    <tableColumn id="2" xr3:uid="{72C3FA18-E65D-4943-AF0A-CD7AC5502A56}" name="AL_AC" dataDxfId="462"/>
    <tableColumn id="3" xr3:uid="{1754C817-3C23-490F-BEA3-3ACD2AC34A65}" name="CLASIFICACIÓN" dataDxfId="461"/>
    <tableColumn id="5" xr3:uid="{635B51D1-72B4-46A4-B795-4985950C2B5D}" name="SUPERVISOR" dataDxfId="460"/>
    <tableColumn id="6" xr3:uid="{BCDF5A35-E274-481A-8FAA-7585E0413D78}" name="RECUPERO" dataDxfId="459"/>
    <tableColumn id="7" xr3:uid="{8DE1FEE0-51D3-4EA8-A46E-89BEBA12056E}" name="META" dataDxfId="458"/>
    <tableColumn id="1" xr3:uid="{3C41F150-757E-4673-8594-D891B2820E33}" name="ASER_" dataDxfId="457"/>
    <tableColumn id="4" xr3:uid="{D825C99F-7926-4ACD-95E4-AD5D163C481B}" name="CARTERA ASESOR" dataDxfId="4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4" headerRowBorderDxfId="455" tableBorderDxfId="453">
  <autoFilter ref="A2:J85" xr:uid="{F460AB3C-55A7-4610-B74D-44400B82E396}"/>
  <tableColumns count="10">
    <tableColumn id="1" xr3:uid="{174E92CC-5FBB-42E6-ABBA-A2148115201A}" name="SUPER" dataDxfId="452"/>
    <tableColumn id="6" xr3:uid="{D87E1435-21B2-485D-8BCD-1C27FC523EEA}" name="ASESOR_CRR" dataDxfId="451"/>
    <tableColumn id="2" xr3:uid="{FC570054-965C-4F29-B04A-C58608AEAECA}" name="META" dataDxfId="450">
      <calculatedColumnFormula>VLOOKUP(D1_JULIO_2025[[#This Row],[SUPER]],DATA_JULIO_2025[[SUPERVISOR]:[META]],3,0)</calculatedColumnFormula>
    </tableColumn>
    <tableColumn id="3" xr3:uid="{CF023A93-4AFB-4349-9235-179A60BC2249}" name="ALCANCE" dataDxfId="449"/>
    <tableColumn id="7" xr3:uid="{59576C9E-00A8-419A-8EFC-86D74D6B4B3F}" name="SUPER2" dataDxfId="448"/>
    <tableColumn id="4" xr3:uid="{6F567985-92B6-498E-BDE9-81AA438ECD22}" name="ASESOR" dataDxfId="447"/>
    <tableColumn id="5" xr3:uid="{2DFC340F-6B74-4E64-B475-782D4A5F8B3E}" name="RECUPERO" dataDxfId="446"/>
    <tableColumn id="8" xr3:uid="{D42D0BDD-24C5-4390-9867-D5F3D45952CE}" name="DNI" dataDxfId="445"/>
    <tableColumn id="9" xr3:uid="{A9555617-B6CF-4123-9AD8-5E9DB6528E74}" name="FECHA DE INGRESO" dataDxfId="444"/>
    <tableColumn id="10" xr3:uid="{1C792B0A-E0F3-406D-8123-75E932FC95A1}" name="ESTADO" dataDxfId="44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2" dataDxfId="440" headerRowBorderDxfId="441" tableBorderDxfId="439" totalsRowBorderDxfId="438">
  <autoFilter ref="U8:AS16" xr:uid="{1FBB17F4-7F2F-4438-9C76-1C20A2CD5EED}"/>
  <tableColumns count="25">
    <tableColumn id="5" xr3:uid="{054DF3D6-44FE-4EF9-8B28-32077473621F}" name="META SUPER" dataDxfId="437"/>
    <tableColumn id="1" xr3:uid="{4CE2BFB4-C324-4ECE-B3B7-77A433373BEC}" name="RECUPERO SUPERVISOR" dataDxfId="436"/>
    <tableColumn id="2" xr3:uid="{76C6BCA1-6820-46A6-B790-01B3E88F6266}" name="ALCANCE SUPERVISOR" dataDxfId="435"/>
    <tableColumn id="4" xr3:uid="{FE9C5289-6F21-4D71-92B6-F36B6C9748E7}" name="SUPER" dataDxfId="434"/>
    <tableColumn id="6" xr3:uid="{A5188244-D142-4196-92CC-15B237C3E734}" name="1" dataDxfId="433"/>
    <tableColumn id="7" xr3:uid="{9754BD88-AFD1-4BCB-AF69-DA7B55E3A053}" name="2" dataDxfId="432"/>
    <tableColumn id="8" xr3:uid="{851C8CA8-D257-4BFB-B6BE-D82354200CA7}" name="3" dataDxfId="431"/>
    <tableColumn id="9" xr3:uid="{AE769B63-903F-46E5-A3F0-8DA27C689974}" name="4" dataDxfId="430"/>
    <tableColumn id="10" xr3:uid="{D09A5961-EE10-491A-BFFE-C5ABD80598A8}" name="7" dataDxfId="429"/>
    <tableColumn id="11" xr3:uid="{EC4AF483-303E-4488-AFA2-DD9A058F071A}" name="8" dataDxfId="428"/>
    <tableColumn id="12" xr3:uid="{E0699685-C582-4C4A-A838-E66961F44487}" name="9" dataDxfId="427"/>
    <tableColumn id="13" xr3:uid="{377D024A-00DD-4A77-A549-5C6BEBE894D0}" name="10" dataDxfId="426"/>
    <tableColumn id="14" xr3:uid="{8FABF999-C8BA-4B7D-980A-2659F766178B}" name="11" dataDxfId="425"/>
    <tableColumn id="15" xr3:uid="{06AC6AD7-A191-47DD-AE3F-9A0525AF8DD6}" name="14" dataDxfId="424"/>
    <tableColumn id="16" xr3:uid="{BB465107-63D7-443B-8989-EF197F62D322}" name="15" dataDxfId="423"/>
    <tableColumn id="17" xr3:uid="{3DFE5CBD-1315-4CBA-A14E-1763583D7BEC}" name="16" dataDxfId="422"/>
    <tableColumn id="18" xr3:uid="{5DB3135E-36A1-4F0D-890E-50AC461B96C4}" name="17" dataDxfId="421"/>
    <tableColumn id="19" xr3:uid="{57CA79FE-F6A3-4697-8926-36322AD1BC6C}" name="18" dataDxfId="420"/>
    <tableColumn id="20" xr3:uid="{A99C4302-A806-4344-ABAF-AF753E7EF30D}" name="21" dataDxfId="419"/>
    <tableColumn id="21" xr3:uid="{D1C3F20A-0988-4CC4-8D06-ED3EE15A7AB1}" name="22" dataDxfId="418"/>
    <tableColumn id="22" xr3:uid="{ECEC5739-F3E4-44C4-9408-4DAA6DE5069C}" name="24" dataDxfId="417"/>
    <tableColumn id="23" xr3:uid="{CD77FB96-6C17-47A0-82BA-2ABEA1725A41}" name="25" dataDxfId="416"/>
    <tableColumn id="24" xr3:uid="{87D0EFA1-B9FB-444F-B737-EE4C1B838FBC}" name="30" dataDxfId="415"/>
    <tableColumn id="25" xr3:uid="{BF0F5A29-80D1-482F-9C53-48E4478A5F1D}" name="31" dataDxfId="414"/>
    <tableColumn id="3" xr3:uid="{51B2E01F-098B-4EAB-AB37-99A7A456DDF6}" name="CARTERA" dataDxfId="41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0" totalsRowShown="0" dataDxfId="411" headerRowBorderDxfId="412" tableBorderDxfId="410">
  <autoFilter ref="A2:J90" xr:uid="{816CEBCE-101B-42C2-A45C-8113A647428A}"/>
  <tableColumns count="10">
    <tableColumn id="1" xr3:uid="{596664E6-24CF-4AF3-A84D-121AC4745B4C}" name="SUPER" dataDxfId="409"/>
    <tableColumn id="6" xr3:uid="{CA4B13E9-2CAB-42E2-A028-4DFB844CF726}" name="ASESOR_CRR" dataDxfId="408"/>
    <tableColumn id="2" xr3:uid="{B3C2F90C-6F59-4998-9F82-960596BF09D8}" name="META" dataDxfId="407">
      <calculatedColumnFormula>VLOOKUP(D1_AGOSTO_2025[[#This Row],[SUPER]],DATA_AGOSTO_2025[[SUPERVISOR]:[META]],3,0)</calculatedColumnFormula>
    </tableColumn>
    <tableColumn id="3" xr3:uid="{6CE379C4-19C8-4C90-81DB-EA83E873B03A}" name="ALCANCE" dataDxfId="406"/>
    <tableColumn id="7" xr3:uid="{28AC502F-3113-4B59-AA88-4F9E0E7D938B}" name="SUPER2" dataDxfId="405"/>
    <tableColumn id="4" xr3:uid="{9AE19661-0B03-4D03-9661-4B81FCE456D3}" name="ASESOR" dataDxfId="404"/>
    <tableColumn id="5" xr3:uid="{9CCAC285-FD2E-415B-BE6E-AD7E20CECF29}" name="RECUPERO" dataDxfId="403"/>
    <tableColumn id="8" xr3:uid="{043E81D5-B688-480A-9A28-C451E6CC8ACE}" name="DNI" dataDxfId="402"/>
    <tableColumn id="9" xr3:uid="{1F9CE105-EFA8-4FFE-9C5C-0AB581B961DE}" name="FECHA DE INGRESO" dataDxfId="401"/>
    <tableColumn id="10" xr3:uid="{6CA7DA08-8CCF-441D-AE86-422E2259780A}" name="ESTADO" dataDxfId="4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399" headerRowBorderDxfId="398" tableBorderDxfId="397">
  <autoFilter ref="M8:S88" xr:uid="{DB356FA9-1639-4BCD-8041-CDF840B60928}"/>
  <tableColumns count="7">
    <tableColumn id="2" xr3:uid="{1BEFB030-F8FC-467E-8D03-CF9E8433E11F}" name="AL_AC" dataDxfId="396"/>
    <tableColumn id="3" xr3:uid="{88C3CECE-F881-4C05-BA2B-95B253894A39}" name="CLASIFICACIÓN" dataDxfId="395"/>
    <tableColumn id="1" xr3:uid="{F581F4DA-B6F3-4641-93F9-FB4CABD3B045}" name="SUPERVISOR" dataDxfId="394"/>
    <tableColumn id="6" xr3:uid="{40820BC6-7E2D-416A-AC23-B4520FC0957D}" name="RECUPERO" dataDxfId="393"/>
    <tableColumn id="7" xr3:uid="{F7BC8835-EC2E-4047-8AE9-C742ABE03445}" name="META" dataDxfId="392"/>
    <tableColumn id="5" xr3:uid="{22298E20-98EB-421A-8978-F019348D2A10}" name="ASER_" dataDxfId="391"/>
    <tableColumn id="4" xr3:uid="{F509A7E9-F54E-4D91-BB48-3E4B1A6507B7}" name="CARTERA ASESOR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89" dataDxfId="387" headerRowBorderDxfId="388" tableBorderDxfId="386" totalsRowBorderDxfId="385">
  <autoFilter ref="U8:AS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" dataDxfId="380"/>
    <tableColumn id="7" xr3:uid="{61649C96-BFE5-4D18-BCE1-727E2E74D883}" name="4" dataDxfId="379"/>
    <tableColumn id="8" xr3:uid="{3D095B63-6086-4E9E-85B2-511507890CD8}" name="5" dataDxfId="378"/>
    <tableColumn id="9" xr3:uid="{36CD21E6-51F3-49C9-8448-36B269029EF6}" name="7" dataDxfId="377"/>
    <tableColumn id="10" xr3:uid="{D4DBAD01-5AE1-474A-AF64-A98DFD56153A}" name="8" dataDxfId="376"/>
    <tableColumn id="11" xr3:uid="{FDF3CA30-E7DF-4684-9747-03744CC16AAE}" name="11" dataDxfId="375"/>
    <tableColumn id="12" xr3:uid="{0D320307-8BC6-475A-9E12-91C32320EC74}" name="12" dataDxfId="374"/>
    <tableColumn id="13" xr3:uid="{55EA3D15-E74B-4AB3-B0D5-B387C3EAAB83}" name="13" dataDxfId="373"/>
    <tableColumn id="14" xr3:uid="{507E3CA9-692F-4A2D-BA96-B401D04EEDD0}" name="14" dataDxfId="372"/>
    <tableColumn id="15" xr3:uid="{E5F719C0-0646-408A-976E-C57966E876F4}" name="15" dataDxfId="371"/>
    <tableColumn id="16" xr3:uid="{8AC2AE0D-50EC-4387-A0A4-A1F2DF092A3C}" name="18" dataDxfId="370"/>
    <tableColumn id="17" xr3:uid="{7B1EE470-E258-4B37-BEC3-E798950632D8}" name="19" dataDxfId="369"/>
    <tableColumn id="18" xr3:uid="{F77C3800-E94B-4C32-A796-122D364094EA}" name="20" dataDxfId="368"/>
    <tableColumn id="19" xr3:uid="{0DA4161D-30F3-4E97-BCBB-4C1E891B36FB}" name="21" dataDxfId="367"/>
    <tableColumn id="20" xr3:uid="{94B916D9-415F-4F66-A6C0-0EE398A152E9}" name="22" dataDxfId="366"/>
    <tableColumn id="21" xr3:uid="{D814BC25-89A4-4A6B-B889-6BF06DD3D2EC}" name="25" dataDxfId="365"/>
    <tableColumn id="22" xr3:uid="{7DEFEDE7-498F-4CCF-A7C2-F63ACE1BA092}" name="26" dataDxfId="364"/>
    <tableColumn id="23" xr3:uid="{CA36A7C5-BBBD-47FB-AAB4-1F5CBDA1EE93}" name="27" dataDxfId="363"/>
    <tableColumn id="24" xr3:uid="{958DFD93-9566-47EC-807E-E21861CB1F39}" name="28" dataDxfId="362"/>
    <tableColumn id="25" xr3:uid="{C690FBB6-6A9F-4B4D-AEF8-49C27DFF4FCF}" name="29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349"/>
    <tableColumn id="9" xr3:uid="{17EC964E-623C-4526-9375-D1DFD0BBB147}" name="FECHA DE INGRESO" dataDxfId="34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7" headerRowBorderDxfId="346" tableBorderDxfId="345">
  <autoFilter ref="J8:O86" xr:uid="{91775BD2-E36D-479B-95DE-48127C3410BC}"/>
  <tableColumns count="6">
    <tableColumn id="2" xr3:uid="{033A6CF7-EC22-4EEE-8FF0-8C343161421D}" name="AL_AC" dataDxfId="344"/>
    <tableColumn id="3" xr3:uid="{2234E43A-FB04-4BD5-A5FB-BE681630D39D}" name="CLASIFICACIÓN" dataDxfId="343"/>
    <tableColumn id="1" xr3:uid="{E68E03C4-584B-48EC-AA41-D10E171DF6E2}" name="SUPERVISOR" dataDxfId="342"/>
    <tableColumn id="6" xr3:uid="{8FEE60A3-7153-47ED-82A3-25E3E95BD5B9}" name="RECUPERO" dataDxfId="341"/>
    <tableColumn id="5" xr3:uid="{96DEFE26-B796-4F9F-BB26-62A9B1295009}" name="META" dataDxfId="340"/>
    <tableColumn id="4" xr3:uid="{98491906-C3E6-4CCF-96D0-36184A648156}" name="ASER_" dataDxfId="33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8" dataDxfId="336" headerRowBorderDxfId="337" tableBorderDxfId="335" totalsRowBorderDxfId="334">
  <autoFilter ref="Q8:AQ16" xr:uid="{B03330B9-97D2-48C8-8B43-740321917DA5}"/>
  <tableColumns count="27">
    <tableColumn id="5" xr3:uid="{4E3B6BB8-3B21-487C-8667-D21D7F0B0DDF}" name="META SUPER" dataDxfId="333"/>
    <tableColumn id="1" xr3:uid="{C390EAAF-612A-443A-A32B-07A66CB5EF93}" name="RECUPERO SUPERVISOR" dataDxfId="332"/>
    <tableColumn id="2" xr3:uid="{BF66D468-0BA9-433F-A558-DB3EB49638C0}" name="ALCANCE SUPERVISOR" dataDxfId="331"/>
    <tableColumn id="4" xr3:uid="{833C2FF4-09CC-46A1-B127-078899129ED2}" name="SUPER" dataDxfId="330"/>
    <tableColumn id="6" xr3:uid="{7268ABE3-61CC-4084-9F8D-F9F866838337}" name="1-Set" dataDxfId="329"/>
    <tableColumn id="7" xr3:uid="{934984E8-2516-4844-B21B-29330A07EEE9}" name="2-Set" dataDxfId="328"/>
    <tableColumn id="8" xr3:uid="{5F8B97B9-8D43-4455-9D8F-E58FD0EDAC17}" name="3-Set" dataDxfId="327"/>
    <tableColumn id="9" xr3:uid="{85D24C9E-9252-4D30-9E54-18DBF77A6C70}" name="4-Set" dataDxfId="326"/>
    <tableColumn id="10" xr3:uid="{5A78F08C-1794-450A-88A4-F02CE65D2409}" name="5-Set" dataDxfId="325"/>
    <tableColumn id="11" xr3:uid="{C9868C58-D704-4A31-95DB-6D8FBCC63D90}" name="8-Set" dataDxfId="324"/>
    <tableColumn id="12" xr3:uid="{5A69AB6F-1CBE-456F-9AB1-9CFA02551564}" name="9-Set" dataDxfId="323"/>
    <tableColumn id="13" xr3:uid="{2FB09AC7-C3A6-45CD-8892-0B683DF946C3}" name="10-Set" dataDxfId="322"/>
    <tableColumn id="14" xr3:uid="{B8720ED9-AC2B-41EC-BFA3-A12BF9C966CC}" name="11-Set" dataDxfId="321"/>
    <tableColumn id="15" xr3:uid="{31CBBA73-A7BD-468C-BD0B-435687D2ACAD}" name="12-Set" dataDxfId="320"/>
    <tableColumn id="16" xr3:uid="{02C13EA1-381F-4C2D-B917-AF0FF1A9F773}" name="15-Set" dataDxfId="319"/>
    <tableColumn id="17" xr3:uid="{E6B04D90-5126-40CD-BDA1-E2B120BAD73C}" name="16-Set" dataDxfId="318"/>
    <tableColumn id="18" xr3:uid="{7CB5014E-CB0D-4F8A-A9D7-BD9A166A1B37}" name="17-Set" dataDxfId="317"/>
    <tableColumn id="19" xr3:uid="{040ABF10-1BFC-447A-AE21-D052CBC2ED82}" name="18-Set" dataDxfId="316"/>
    <tableColumn id="20" xr3:uid="{44DFBCB9-0C1E-48F5-ACC2-AC0990D1520D}" name="19-Set" dataDxfId="315"/>
    <tableColumn id="21" xr3:uid="{AFFC2ABC-F24F-4F16-B5DD-03747097DBCC}" name="22-Set" dataDxfId="314"/>
    <tableColumn id="22" xr3:uid="{E8A652BF-A601-498B-965E-DF95F032A19E}" name="23-Set" dataDxfId="313"/>
    <tableColumn id="23" xr3:uid="{E1A1F3EC-A932-4B54-BD80-6B3004BAC18C}" name="24-Set" dataDxfId="312"/>
    <tableColumn id="24" xr3:uid="{7F5C1B88-4DF8-4775-AEFB-F5F5D12AD778}" name="25-Set" dataDxfId="311"/>
    <tableColumn id="25" xr3:uid="{B40C371A-A255-4AD7-B43D-47350B1FF421}" name="26-Set" dataDxfId="310"/>
    <tableColumn id="26" xr3:uid="{AFFE8D31-2DD6-4039-8ED5-AD63D5758F88}" name="29-Set" dataDxfId="309"/>
    <tableColumn id="27" xr3:uid="{041693B7-E11C-4B55-8C93-8CFB39922E84}" name="30-Set" dataDxfId="308"/>
    <tableColumn id="3" xr3:uid="{1DAB60E5-FA3D-4422-89D0-AD46643BF45E}" name="CARTERA" dataDxfId="30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8" totalsRowShown="0">
  <autoFilter ref="A2:J78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06"/>
    <tableColumn id="5" xr3:uid="{2D06A3B4-3271-49A3-9C7C-FFC311CAB0D8}" name="ASESOR"/>
    <tableColumn id="6" xr3:uid="{7C83291E-5126-4377-B991-EBB23328360F}" name="RECUPERO"/>
    <tableColumn id="8" xr3:uid="{7F2D2756-92A6-4522-A15C-2F10A82AAD95}" name="DNI" dataDxfId="305"/>
    <tableColumn id="9" xr3:uid="{B01E98C6-A76C-417B-B7FA-B0F1C8C2C7C6}" name="FECHA DE INGRESO" dataDxfId="304"/>
    <tableColumn id="10" xr3:uid="{DEB6156D-2B0C-4157-8EE4-0EE1578CCF4A}" name="ESTADO" dataDxfId="30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02" tableBorderDxfId="301">
  <autoFilter ref="M8:AO78" xr:uid="{9F0A99F2-3C50-482B-B8B8-6D475831019E}"/>
  <tableColumns count="29">
    <tableColumn id="2" xr3:uid="{FD017399-1781-4BF7-BF22-C61DBDB7CC6F}" name="AL_AC" dataDxfId="300"/>
    <tableColumn id="3" xr3:uid="{EE681579-D463-48E9-A57F-B73D04925E37}" name="CLASIFICACIÓN" dataDxfId="299"/>
    <tableColumn id="1" xr3:uid="{DDD85E5B-35ED-4EC0-8A85-7316C4176729}" name="SUPERVISOR" dataDxfId="298"/>
    <tableColumn id="6" xr3:uid="{3B45E8CF-4BCD-492C-B1A3-3E157855AA4E}" name="RECUPERO" dataDxfId="297"/>
    <tableColumn id="7" xr3:uid="{2D762908-0860-493B-A482-9514EAD41E9B}" name="META" dataDxfId="296"/>
    <tableColumn id="4" xr3:uid="{B03F71B4-D73E-47CB-8F19-B1EBCB980D51}" name="ASER_" dataDxfId="295"/>
    <tableColumn id="8" xr3:uid="{DADEF8E1-B4EF-4A54-BDEA-772F65B2659B}" name="1" dataDxfId="294"/>
    <tableColumn id="9" xr3:uid="{09759773-B387-4885-980B-3377FCF2784C}" name="2" dataDxfId="293"/>
    <tableColumn id="10" xr3:uid="{0BEF3C74-7822-4935-9DEF-DBB8EF94B2E8}" name="3" dataDxfId="292"/>
    <tableColumn id="11" xr3:uid="{AB623BA8-8BC3-4899-82B4-0D2F75C64AC1}" name="6" dataDxfId="291"/>
    <tableColumn id="12" xr3:uid="{F3FF380C-FA1C-400D-953D-2426EC1D78FF}" name="7" dataDxfId="290"/>
    <tableColumn id="13" xr3:uid="{513A526B-B8DC-4F0A-BB71-A3C5DCBEE598}" name="9" dataDxfId="289"/>
    <tableColumn id="14" xr3:uid="{FE79AC7F-62E7-4115-BE1B-AAF936521653}" name="10" dataDxfId="288"/>
    <tableColumn id="15" xr3:uid="{68C170E4-F271-468B-91F8-3408D287CC52}" name="13" dataDxfId="287"/>
    <tableColumn id="16" xr3:uid="{AD7DCB27-1227-49CE-B962-67316F312A49}" name="14" dataDxfId="286"/>
    <tableColumn id="17" xr3:uid="{A28A426F-20DF-4E28-817D-D45F6DE67B10}" name="15" dataDxfId="285"/>
    <tableColumn id="18" xr3:uid="{E8A185AF-1E28-4F0F-9855-74F54DBD006B}" name="16" dataDxfId="284"/>
    <tableColumn id="19" xr3:uid="{63732328-29EA-40C6-ACD8-4B4DD4B4CF86}" name="17" dataDxfId="283"/>
    <tableColumn id="20" xr3:uid="{310FCF67-D23C-4020-A281-2A5E20DFB23F}" name="20" dataDxfId="282"/>
    <tableColumn id="21" xr3:uid="{C17C4587-18F5-4FBD-868F-EBEC86A07A20}" name="21" dataDxfId="281"/>
    <tableColumn id="22" xr3:uid="{A943FEC5-F867-455B-820F-28C4395DB276}" name="22" dataDxfId="280"/>
    <tableColumn id="23" xr3:uid="{A8FFD2FC-7F1E-4386-AF41-D5EEEF19CDD0}" name="23" dataDxfId="279"/>
    <tableColumn id="24" xr3:uid="{ADF6FE87-D285-4286-AA45-3909EFB078E5}" name="24" dataDxfId="278"/>
    <tableColumn id="25" xr3:uid="{2F0BE83F-F151-4F99-839F-143CA77B5B85}" name="27" dataDxfId="277"/>
    <tableColumn id="26" xr3:uid="{380107E6-E719-4EEB-80BE-3FC920AAB0D8}" name="28" dataDxfId="276"/>
    <tableColumn id="27" xr3:uid="{E4578405-DBB6-4571-976F-D9686E90472D}" name="29" dataDxfId="275"/>
    <tableColumn id="28" xr3:uid="{C03A0B6A-D740-474A-B5C0-16AD1C50D0EF}" name="30" dataDxfId="274"/>
    <tableColumn id="29" xr3:uid="{ABC45238-95B8-44E1-B32D-323E0E09BD1E}" name="31" dataDxfId="273"/>
    <tableColumn id="5" xr3:uid="{DFC53255-43CA-45C9-9269-4215B54AB062}" name="CARTERA ASESOR" dataDxfId="272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71" dataDxfId="269" headerRowBorderDxfId="270" tableBorderDxfId="268" totalsRowBorderDxfId="267">
  <autoFilter ref="AQ8:BQ16" xr:uid="{5954078F-00B5-453B-BA4F-96D1B0651C11}"/>
  <tableColumns count="27">
    <tableColumn id="5" xr3:uid="{FF5E1E87-686F-47B4-BFF5-1EFD8B824238}" name="META SUPER" dataDxfId="266">
      <calculatedColumnFormula>VLOOKUP($M$3&amp;$N$3&amp;DITE_OCTUBRE_2025[[#This Row],[SUPER]],TablaMeta[],5,0)</calculatedColumnFormula>
    </tableColumn>
    <tableColumn id="1" xr3:uid="{2B34CFC4-0C9F-41CE-999A-2588C7446A9F}" name="RECUPERO SUPERVISOR" dataDxfId="265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3"/>
    <tableColumn id="6" xr3:uid="{949DC2F4-4585-4646-A396-157D2DF8052D}" name="1" dataDxfId="262"/>
    <tableColumn id="7" xr3:uid="{97391D14-7779-42A7-9DB8-C0989C430B43}" name="2" dataDxfId="261"/>
    <tableColumn id="8" xr3:uid="{6354D769-4310-45AC-8145-E44CED72B4A9}" name="3" dataDxfId="260"/>
    <tableColumn id="9" xr3:uid="{4656D04C-0F05-4626-AF66-C82B40AEFAD8}" name="6" dataDxfId="259"/>
    <tableColumn id="10" xr3:uid="{7D1ED70B-0155-4C0E-8A2F-37B332A6F313}" name="7" dataDxfId="258"/>
    <tableColumn id="11" xr3:uid="{0111FAC8-499F-4CC3-8375-0BF99A4C35FA}" name="9" dataDxfId="257"/>
    <tableColumn id="12" xr3:uid="{C0C00B80-78A4-43E2-93D4-3EE00B3626FF}" name="10" dataDxfId="256"/>
    <tableColumn id="13" xr3:uid="{83880E56-1497-4302-8CA7-1D39E0DC1A97}" name="13" dataDxfId="255"/>
    <tableColumn id="14" xr3:uid="{BE01EA14-2F15-437D-A238-21FF4B75A0DE}" name="14" dataDxfId="254"/>
    <tableColumn id="15" xr3:uid="{EB92F6CE-8ACE-4537-AECA-46B61474948E}" name="15" dataDxfId="253"/>
    <tableColumn id="16" xr3:uid="{6D6490DB-3DEB-438C-AB40-C97EC626F0BE}" name="16" dataDxfId="252"/>
    <tableColumn id="17" xr3:uid="{0392FF10-F85D-41D2-8460-C3A186218696}" name="17" dataDxfId="251"/>
    <tableColumn id="18" xr3:uid="{A5448450-2F70-4B3F-AA25-3C4713BF2DE8}" name="20" dataDxfId="250"/>
    <tableColumn id="19" xr3:uid="{3D252296-5BDD-4576-BACF-EBAA4EDD5204}" name="21" dataDxfId="249"/>
    <tableColumn id="20" xr3:uid="{23EB3C4F-7D5A-4D3B-8B24-D8DE6128BA5F}" name="22" dataDxfId="248"/>
    <tableColumn id="21" xr3:uid="{129CAF30-1851-4238-9880-454B24575BB9}" name="23" dataDxfId="247"/>
    <tableColumn id="22" xr3:uid="{72C02609-42DC-4EDE-B4E1-44D533A24355}" name="24" dataDxfId="246"/>
    <tableColumn id="23" xr3:uid="{9123D15C-9492-4356-8328-1BE17F140523}" name="27" dataDxfId="245"/>
    <tableColumn id="24" xr3:uid="{9D5D7ED1-F248-4C81-8326-BBA9C067C915}" name="28" dataDxfId="244"/>
    <tableColumn id="25" xr3:uid="{AF14494A-3DA5-4A85-BD20-353698E70147}" name="29" dataDxfId="243"/>
    <tableColumn id="26" xr3:uid="{B48EAE26-54B8-4E0C-A4A1-6956DA0D148E}" name="30" dataDxfId="242"/>
    <tableColumn id="27" xr3:uid="{85AC05C5-FE82-41A6-837C-F1F547FD8C2F}" name="31" dataDxfId="241"/>
    <tableColumn id="3" xr3:uid="{1CA2638D-96F9-4A0C-980A-6DAE6545AFFA}" name="CARTERA" dataDxfId="2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39" tableBorderDxfId="238">
  <autoFilter ref="M8:AN68" xr:uid="{DAB8FAFE-224D-43C2-8CC5-F1C1350990D2}"/>
  <tableColumns count="28">
    <tableColumn id="2" xr3:uid="{47BD346F-18D2-49E6-8AEE-939CBC049365}" name="AL_AC" dataDxfId="237"/>
    <tableColumn id="3" xr3:uid="{855F5F44-294A-4871-9840-A24614956994}" name="CLASIFICACIÓN" dataDxfId="236"/>
    <tableColumn id="5" xr3:uid="{9D944B93-5BF5-4B70-A89F-707C3D5946DA}" name="SUPERVISOR" dataDxfId="235"/>
    <tableColumn id="6" xr3:uid="{C0A22187-40B7-435A-ABDA-27944F0D7030}" name="RECUPERO" dataDxfId="234"/>
    <tableColumn id="7" xr3:uid="{72E7F13E-9273-4AED-98D2-5508FB4A326C}" name="META" dataDxfId="233"/>
    <tableColumn id="30" xr3:uid="{CFEB99FE-9EED-4763-A696-5BC3DA916AC5}" name="ASER_"/>
    <tableColumn id="8" xr3:uid="{00AE5065-FE4D-45E6-A294-E826836A1E33}" name="3" dataDxfId="232"/>
    <tableColumn id="9" xr3:uid="{EF6C35AD-ACD8-4C7F-8937-91D53147656D}" name="4" dataDxfId="231"/>
    <tableColumn id="10" xr3:uid="{CF32F196-CA95-4750-A946-3E0AC1A85184}" name="5" dataDxfId="230"/>
    <tableColumn id="11" xr3:uid="{9F563EAD-A249-4851-B979-F5575DE957AB}" name="6" dataDxfId="229"/>
    <tableColumn id="12" xr3:uid="{D6A6323F-D160-499D-BD7C-7C323AE07CB0}" name="7" dataDxfId="228"/>
    <tableColumn id="13" xr3:uid="{D8839D7F-77FA-4448-ADBC-6D52D4F61BF2}" name="10" dataDxfId="227"/>
    <tableColumn id="14" xr3:uid="{46BCBBD6-EB67-46A1-A356-989FA4845EF7}" name="11" dataDxfId="226"/>
    <tableColumn id="15" xr3:uid="{B50A5F7B-5C7E-48C1-80DA-278B6510B811}" name="12" dataDxfId="225"/>
    <tableColumn id="16" xr3:uid="{05796B28-1DD1-422E-9658-78C2FB73FD83}" name="13" dataDxfId="224"/>
    <tableColumn id="17" xr3:uid="{DB0D6520-FFC2-440C-B97F-9604384ED84D}" name="14" dataDxfId="223"/>
    <tableColumn id="18" xr3:uid="{50423629-1D31-4CC8-B9D0-046394DFED68}" name="17" dataDxfId="222"/>
    <tableColumn id="19" xr3:uid="{80B70DB0-A059-4A28-A799-0529D6BF1263}" name="18" dataDxfId="221"/>
    <tableColumn id="20" xr3:uid="{CE0AE96C-2D78-4B18-ADD7-C86E26CE69AB}" name="19" dataDxfId="220"/>
    <tableColumn id="21" xr3:uid="{D6CA8ADF-F50B-4822-B7AD-A49AC8CD28E8}" name="20" dataDxfId="219"/>
    <tableColumn id="22" xr3:uid="{8D2522DF-F1BC-4031-89AD-8B4B3515396A}" name="21" dataDxfId="218"/>
    <tableColumn id="23" xr3:uid="{293ABA54-17AB-40AD-A5F9-E0308A358390}" name="24" dataDxfId="217"/>
    <tableColumn id="24" xr3:uid="{099B62F0-F67D-4CF2-8C6A-AD383B297F15}" name="25" dataDxfId="216"/>
    <tableColumn id="25" xr3:uid="{104E6C24-1381-41DA-BF76-0DD6D49DF0C1}" name="26" dataDxfId="215"/>
    <tableColumn id="26" xr3:uid="{095F601D-F187-4396-A356-C09936718FF5}" name="27" dataDxfId="214"/>
    <tableColumn id="27" xr3:uid="{4F9FCA77-406D-4319-913A-82D308726F04}" name="28" dataDxfId="213"/>
    <tableColumn id="28" xr3:uid="{5825F9EE-936A-4C38-B210-9DA3DA553F75}" name="29" dataDxfId="212"/>
    <tableColumn id="1" xr3:uid="{D8CEB774-F634-4903-AC1C-0BF18BDD3A03}" name="CARTERA ASESOR" dataDxfId="21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10"/>
    <tableColumn id="2" xr3:uid="{7E004A30-FB94-4ABB-88FD-3005F8FA00C6}" name="ASESOR_CRR" dataDxfId="2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8"/>
    <tableColumn id="7" xr3:uid="{AA9D9715-8EBE-4ECB-8BB4-3F41AF689173}" name="SUPER2" dataDxfId="207"/>
    <tableColumn id="5" xr3:uid="{DDD5C800-04E2-4D8A-8C83-C410D5DF7F70}" name="ASESOR" dataDxfId="206"/>
    <tableColumn id="6" xr3:uid="{88DDFA81-E306-4531-9C28-1EEEFB91AC37}" name="RECUPERO" dataDxfId="205"/>
    <tableColumn id="9" xr3:uid="{B4E0C179-9219-4DFF-AA71-3C7E15DC0CCB}" name="DNI" dataDxfId="204"/>
    <tableColumn id="10" xr3:uid="{A57DDDED-46A0-4CB6-B58A-B5F5FD8B6714}" name="FECHA DE INGRESO" dataDxfId="203"/>
    <tableColumn id="8" xr3:uid="{6D0B725E-AD90-4FB1-ACD9-0C7E61DBD30D}" name="ESTADO" dataDxfId="20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01" dataDxfId="200">
  <autoFilter ref="AP8:BO14" xr:uid="{EBC613B8-DDA0-40C2-A4A1-8722CD61E9A4}"/>
  <tableColumns count="26">
    <tableColumn id="5" xr3:uid="{074B6FAA-838C-491D-A02E-1DD85446A037}" name="META SUPER" dataDxfId="199"/>
    <tableColumn id="2" xr3:uid="{39564DF7-490C-4B42-BA0D-A0C7965369AD}" name="RECUPERO SUPERVISOR" dataDxfId="198"/>
    <tableColumn id="3" xr3:uid="{714DADEA-706C-4919-B3C2-F0BF1111E161}" name="ALCANCE SUPERVISOR" dataDxfId="197"/>
    <tableColumn id="1" xr3:uid="{9452BB90-F5DE-4B57-AF8A-BBAB41BDA625}" name="SUPER" dataDxfId="196"/>
    <tableColumn id="6" xr3:uid="{87C598B5-62D4-4EE7-861E-EEAA52C00585}" name="3" dataDxfId="195"/>
    <tableColumn id="7" xr3:uid="{633891A0-1EBF-4F76-A7F4-F66318664C43}" name="4" dataDxfId="194"/>
    <tableColumn id="8" xr3:uid="{0592F328-9F13-4B6C-80C9-E9F1845891CB}" name="5" dataDxfId="193"/>
    <tableColumn id="9" xr3:uid="{AE7882D8-BBFD-45AE-B2CB-28F66322BAEE}" name="6" dataDxfId="192"/>
    <tableColumn id="10" xr3:uid="{05F48497-7C3E-4EF2-8908-E3DDE502B309}" name="7" dataDxfId="191"/>
    <tableColumn id="11" xr3:uid="{BD05847D-8156-476D-9D43-53BF9B333675}" name="10" dataDxfId="190"/>
    <tableColumn id="12" xr3:uid="{407098C8-B89E-46C0-9B9A-DA4AD2929032}" name="11" dataDxfId="189"/>
    <tableColumn id="13" xr3:uid="{91FC56B9-68A8-46E6-AF86-C055E5241ADE}" name="12" dataDxfId="188"/>
    <tableColumn id="14" xr3:uid="{E1FFC0DE-105F-4D85-B671-ACC24555978C}" name="13" dataDxfId="187"/>
    <tableColumn id="15" xr3:uid="{6D9CB553-B7A7-4211-8DDF-E67D0F75BD0A}" name="14" dataDxfId="186"/>
    <tableColumn id="16" xr3:uid="{C060B537-6CE4-430B-8A22-7A540BACE464}" name="17" dataDxfId="185"/>
    <tableColumn id="17" xr3:uid="{4C8D59DE-F0E8-4B3F-8552-A394ADA4C013}" name="18" dataDxfId="184"/>
    <tableColumn id="18" xr3:uid="{3AB7DFB9-4558-4621-AB3C-3891ECC67DB4}" name="19" dataDxfId="183"/>
    <tableColumn id="19" xr3:uid="{ECC2D027-50E3-4374-BA37-6384A463E763}" name="20" dataDxfId="182"/>
    <tableColumn id="20" xr3:uid="{03C4446D-2883-4E24-87C6-489668916C57}" name="21" dataDxfId="181"/>
    <tableColumn id="21" xr3:uid="{1D103BD3-6849-47BB-B1AD-9FF31C3432E4}" name="24" dataDxfId="180"/>
    <tableColumn id="22" xr3:uid="{E2A6B954-BE7E-4918-9A92-245143E3726C}" name="25" dataDxfId="179"/>
    <tableColumn id="23" xr3:uid="{3BE5D700-08A4-480A-8651-AFBBD596763A}" name="26" dataDxfId="178"/>
    <tableColumn id="24" xr3:uid="{16A1ECF5-0D22-4B11-B95E-D5BF2A42B1A3}" name="27" dataDxfId="177"/>
    <tableColumn id="25" xr3:uid="{AACA19B9-FD00-4B90-8B58-181F058F24E3}" name="28" dataDxfId="176"/>
    <tableColumn id="26" xr3:uid="{2DE2D547-EE6E-49C4-858B-C4D674245BFC}" name="29" dataDxfId="175"/>
    <tableColumn id="4" xr3:uid="{9AD4619F-F825-4B54-8AE2-92E8B9E9E57F}" name="CARTERA" dataDxfId="1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73" tableBorderDxfId="172">
  <autoFilter ref="M8:AM59" xr:uid="{90FB4C0E-F2DE-4EDC-B1EC-681DEA1C3B06}"/>
  <tableColumns count="27">
    <tableColumn id="5" xr3:uid="{B4C25367-266D-4CFD-B126-E990F1B705B9}" name="AL_AC" dataDxfId="171"/>
    <tableColumn id="2" xr3:uid="{B5D97F6A-AE7C-4FC3-8428-5737699DFEB1}" name="CLASIFICACIÓN" dataDxfId="170"/>
    <tableColumn id="3" xr3:uid="{BB03A19C-EA5E-4A7C-9910-2B74FE663EFC}" name="SUPERVISOR" dataDxfId="169"/>
    <tableColumn id="1" xr3:uid="{47FCFB9B-5515-45CC-BFF9-2785144AD854}" name="RECUPERO" dataDxfId="168"/>
    <tableColumn id="6" xr3:uid="{ED7BE75E-3624-4159-BFE7-645CEA862C3E}" name="META" dataDxfId="167"/>
    <tableColumn id="7" xr3:uid="{AD05A858-B012-4836-80E5-BF630A338442}" name="ASER_" dataDxfId="166"/>
    <tableColumn id="4" xr3:uid="{6792E8BB-5B6A-4E20-BC71-7F342FD1DE33}" name="1" dataDxfId="165"/>
    <tableColumn id="8" xr3:uid="{AFF95CFC-A6A6-4F82-9A47-D8F9735B080F}" name="2" dataDxfId="164"/>
    <tableColumn id="9" xr3:uid="{3EE2031A-4396-4C20-9B21-B423FD7A4983}" name="3" dataDxfId="163"/>
    <tableColumn id="10" xr3:uid="{98A61AE3-7932-414B-AE75-E4B9F37090B7}" name="4" dataDxfId="162"/>
    <tableColumn id="11" xr3:uid="{2B37FA03-0832-40E1-966B-188EC131A687}" name="5" dataDxfId="161"/>
    <tableColumn id="12" xr3:uid="{9A4E011C-C4A7-4F49-AD1B-BB28BEA4BF8C}" name="10" dataDxfId="160"/>
    <tableColumn id="13" xr3:uid="{EFB94F58-F00C-45C8-B4D0-E0C1802DF92E}" name="11" dataDxfId="159"/>
    <tableColumn id="14" xr3:uid="{F8800705-9DF6-4EEA-8D67-8321AE1E80D1}" name="12" dataDxfId="158"/>
    <tableColumn id="15" xr3:uid="{7B6D79FE-5D1B-462C-8037-0CACAB6F3911}" name="15" dataDxfId="157"/>
    <tableColumn id="16" xr3:uid="{E0E24420-1BF8-4BED-A5CC-D5EF1C7DF685}" name="16" dataDxfId="156"/>
    <tableColumn id="17" xr3:uid="{871FA82C-5019-42EF-A529-D11DB848F55F}" name="17" dataDxfId="155"/>
    <tableColumn id="18" xr3:uid="{388429A9-C1D2-4EE1-BB12-A7C9C48AA9F0}" name="18" dataDxfId="154"/>
    <tableColumn id="19" xr3:uid="{6D1522B5-D820-4F42-ADD5-A6062E68E06A}" name="19" dataDxfId="153"/>
    <tableColumn id="20" xr3:uid="{A78EF6CB-6A5A-488F-8EC5-34C0267191BD}" name="22" dataDxfId="152"/>
    <tableColumn id="21" xr3:uid="{0817989E-B5E4-435D-99FF-C9E1A1D429CD}" name="23" dataDxfId="151"/>
    <tableColumn id="22" xr3:uid="{5AE7BF00-6E17-4434-AFC3-A082971963E9}" name="24" dataDxfId="150"/>
    <tableColumn id="23" xr3:uid="{AC4528BB-516C-4650-8587-2267B9400C8D}" name="26" dataDxfId="149"/>
    <tableColumn id="24" xr3:uid="{AB7921F2-B36A-4ABC-9DBC-BB0EC20ACC62}" name="29" dataDxfId="148"/>
    <tableColumn id="25" xr3:uid="{5D1446EA-3DB7-4807-AE25-EB2149040D6D}" name="30" dataDxfId="147"/>
    <tableColumn id="26" xr3:uid="{B5F2A170-57DC-49D6-9752-24386332D295}" name="31" dataDxfId="146"/>
    <tableColumn id="27" xr3:uid="{D1831881-0F77-44D4-82FA-57779D5E74BA}" name="CARTERA ASESOR" dataDxfId="145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44">
  <autoFilter ref="A2:J53" xr:uid="{0A33CB5E-7EB5-4C86-9959-A823C2BDBBB9}"/>
  <tableColumns count="10">
    <tableColumn id="1" xr3:uid="{51989F96-0689-4D57-8685-B8A3DF492A97}" name="SUPER" dataDxfId="143"/>
    <tableColumn id="2" xr3:uid="{C1D8B208-A530-42D3-A6B3-202247844AC6}" name="ASESOR_CRR" dataDxfId="142"/>
    <tableColumn id="5" xr3:uid="{0E2E2A96-2FDE-425E-A454-24F26F26F817}" name="META" dataDxfId="141">
      <calculatedColumnFormula>VLOOKUP(D1_DICIEMBRE_2025[[#This Row],[SUPER]],DATA_DICIEMBRE_2025[[SUPERVISOR]:[META]],3,0)</calculatedColumnFormula>
    </tableColumn>
    <tableColumn id="6" xr3:uid="{99265ED5-3CFF-4A20-97B4-3560EE99C717}" name="ALCANCE" dataDxfId="140"/>
    <tableColumn id="7" xr3:uid="{374D40BE-0CEA-496A-A350-4762CACC979E}" name="SUPER2" dataDxfId="139"/>
    <tableColumn id="3" xr3:uid="{CE2FC99C-C2FA-4CF8-B4D5-38DB34F6C4C0}" name="ASESOR"/>
    <tableColumn id="4" xr3:uid="{1034AC9B-8A72-4332-A474-8471A1B8C391}" name="RECUPERO" dataDxfId="138"/>
    <tableColumn id="8" xr3:uid="{51D1D4C9-F574-4F9F-BB5F-619CFC8367F6}" name="DNI" dataDxfId="137"/>
    <tableColumn id="9" xr3:uid="{1F94989E-BD68-4711-BF6F-AABBC6D00AD3}" name="FECHA DE INGRESO" dataDxfId="136"/>
    <tableColumn id="10" xr3:uid="{26BBC886-44C6-4729-85D8-0B926A843BA1}" name="ESTADO" dataDxfId="13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34" dataDxfId="132" headerRowBorderDxfId="133" tableBorderDxfId="131" totalsRowBorderDxfId="130">
  <autoFilter ref="AO8:BM13" xr:uid="{85547817-F0EB-410B-A548-9876F8A51100}"/>
  <tableColumns count="25">
    <tableColumn id="2" xr3:uid="{68E67A80-18A4-4734-A9E7-E6917BDD1EDB}" name="META SUPER" dataDxfId="129"/>
    <tableColumn id="3" xr3:uid="{DED03312-7BDA-4CEA-9273-AA5DB2237A5F}" name="RECUPERO SUPERVISOR" dataDxfId="128"/>
    <tableColumn id="4" xr3:uid="{5A956735-F760-4B1F-B874-402D928B71EA}" name="ALCANCE SUPERVISOR" dataDxfId="127"/>
    <tableColumn id="1" xr3:uid="{ED2A948C-9442-4C47-9BE9-277A3D6239D3}" name="SUPER" dataDxfId="126"/>
    <tableColumn id="6" xr3:uid="{6E784300-7704-4F45-8E90-F7C2D4F71F66}" name="1" dataDxfId="125"/>
    <tableColumn id="7" xr3:uid="{EA789C05-CA47-4D66-B493-7D6222022389}" name="2" dataDxfId="124"/>
    <tableColumn id="8" xr3:uid="{4ACB3C1D-600B-4503-9368-987BC1B3B0EA}" name="3" dataDxfId="123"/>
    <tableColumn id="9" xr3:uid="{B5C8B277-5A83-47A1-95FD-A620D749E785}" name="4" dataDxfId="122"/>
    <tableColumn id="10" xr3:uid="{FB101921-E892-41E0-B8B7-4141F51A83BB}" name="5" dataDxfId="121"/>
    <tableColumn id="11" xr3:uid="{C777EEA2-F048-439C-9EA1-0C4C731AA6E9}" name="10" dataDxfId="120"/>
    <tableColumn id="12" xr3:uid="{7AA80CD7-0570-4507-8C49-9CF331F01C83}" name="11" dataDxfId="119"/>
    <tableColumn id="13" xr3:uid="{F115F6D4-E69D-46D7-AD4B-F13AFDF74268}" name="12" dataDxfId="118"/>
    <tableColumn id="14" xr3:uid="{393E1035-13E1-4131-B853-53B4CA536CF0}" name="15" dataDxfId="117"/>
    <tableColumn id="15" xr3:uid="{7FF1CB48-1402-460C-BDDE-C67F81F66807}" name="16" dataDxfId="116"/>
    <tableColumn id="16" xr3:uid="{419173FA-3C44-4167-9CA2-3C07CF180C9B}" name="17" dataDxfId="115"/>
    <tableColumn id="17" xr3:uid="{A8A10E2B-AFD7-46D0-8149-9A05D1EC2C03}" name="18" dataDxfId="114"/>
    <tableColumn id="18" xr3:uid="{CF29209E-568F-4788-AE4E-864CF179A3F5}" name="19" dataDxfId="113"/>
    <tableColumn id="19" xr3:uid="{C33D5154-B635-4235-8170-2F374C119543}" name="22" dataDxfId="112"/>
    <tableColumn id="20" xr3:uid="{70E870EC-47B5-4461-AC8F-7662212D49E0}" name="23" dataDxfId="111"/>
    <tableColumn id="21" xr3:uid="{2215DAF3-2DFC-47A4-940A-DC348054A7EB}" name="24" dataDxfId="110"/>
    <tableColumn id="22" xr3:uid="{BE707551-BD9D-4E46-9F38-1BF8DA272627}" name="26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U79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47" x14ac:dyDescent="0.25">
      <c r="L1" s="59"/>
    </row>
    <row r="2" spans="1:4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7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47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47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47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47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47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561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562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563</v>
      </c>
      <c r="AP8" s="41" t="s">
        <v>555</v>
      </c>
      <c r="AQ8" s="41" t="s">
        <v>556</v>
      </c>
      <c r="AR8" s="41" t="s">
        <v>557</v>
      </c>
      <c r="AS8" s="41" t="s">
        <v>558</v>
      </c>
      <c r="AT8" s="41" t="s">
        <v>559</v>
      </c>
      <c r="AU8" s="19" t="s">
        <v>134</v>
      </c>
    </row>
    <row r="9" spans="1:47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 t="s">
        <v>150</v>
      </c>
      <c r="U9">
        <v>439600</v>
      </c>
      <c r="V9" s="12">
        <v>333983</v>
      </c>
      <c r="W9" s="18">
        <v>0.75974294813466792</v>
      </c>
      <c r="X9" t="s">
        <v>7</v>
      </c>
      <c r="Y9">
        <v>17780</v>
      </c>
      <c r="Z9">
        <v>41149</v>
      </c>
      <c r="AA9">
        <v>46521</v>
      </c>
      <c r="AB9">
        <v>54654</v>
      </c>
      <c r="AC9">
        <v>68554</v>
      </c>
      <c r="AD9">
        <v>102944</v>
      </c>
      <c r="AE9">
        <v>110774</v>
      </c>
      <c r="AF9">
        <v>117274</v>
      </c>
      <c r="AG9">
        <v>125224</v>
      </c>
      <c r="AH9">
        <v>148641</v>
      </c>
      <c r="AI9">
        <v>153134</v>
      </c>
      <c r="AJ9">
        <v>154908</v>
      </c>
      <c r="AK9">
        <v>170808</v>
      </c>
      <c r="AL9">
        <v>189515</v>
      </c>
      <c r="AM9">
        <v>195540</v>
      </c>
      <c r="AN9">
        <v>207618</v>
      </c>
      <c r="AO9">
        <v>234205</v>
      </c>
      <c r="AP9">
        <v>247830</v>
      </c>
      <c r="AQ9">
        <v>256605</v>
      </c>
      <c r="AR9">
        <v>264389</v>
      </c>
      <c r="AS9">
        <v>300652</v>
      </c>
      <c r="AT9">
        <v>333983</v>
      </c>
      <c r="AU9" s="12" t="s">
        <v>150</v>
      </c>
    </row>
    <row r="10" spans="1:47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 t="s">
        <v>150</v>
      </c>
      <c r="U10">
        <v>439600</v>
      </c>
      <c r="V10" s="12">
        <v>442473</v>
      </c>
      <c r="W10" s="18">
        <v>1.0065354868061875</v>
      </c>
      <c r="X10" t="s">
        <v>4</v>
      </c>
      <c r="Y10">
        <v>4876</v>
      </c>
      <c r="Z10">
        <v>25471</v>
      </c>
      <c r="AA10">
        <v>28471</v>
      </c>
      <c r="AB10">
        <v>43461</v>
      </c>
      <c r="AC10">
        <v>52136</v>
      </c>
      <c r="AD10">
        <v>56986</v>
      </c>
      <c r="AE10">
        <v>98523</v>
      </c>
      <c r="AF10">
        <v>114672</v>
      </c>
      <c r="AG10">
        <v>149531</v>
      </c>
      <c r="AH10">
        <v>168047</v>
      </c>
      <c r="AI10">
        <v>178578</v>
      </c>
      <c r="AJ10">
        <v>200528</v>
      </c>
      <c r="AK10">
        <v>220440</v>
      </c>
      <c r="AL10">
        <v>247852</v>
      </c>
      <c r="AM10">
        <v>255392</v>
      </c>
      <c r="AN10">
        <v>283392</v>
      </c>
      <c r="AO10">
        <v>314127</v>
      </c>
      <c r="AP10">
        <v>333972</v>
      </c>
      <c r="AQ10">
        <v>340037</v>
      </c>
      <c r="AR10">
        <v>354217</v>
      </c>
      <c r="AS10">
        <v>388073</v>
      </c>
      <c r="AT10">
        <v>442473</v>
      </c>
      <c r="AU10" s="12" t="s">
        <v>150</v>
      </c>
    </row>
    <row r="11" spans="1:47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 t="s">
        <v>150</v>
      </c>
      <c r="U11">
        <v>439600</v>
      </c>
      <c r="V11" s="12">
        <v>470426</v>
      </c>
      <c r="W11" s="18">
        <v>1.070122838944495</v>
      </c>
      <c r="X11" t="s">
        <v>5</v>
      </c>
      <c r="Y11">
        <v>4181</v>
      </c>
      <c r="Z11">
        <v>31923</v>
      </c>
      <c r="AA11">
        <v>37723</v>
      </c>
      <c r="AB11">
        <v>54723</v>
      </c>
      <c r="AC11">
        <v>81256</v>
      </c>
      <c r="AD11">
        <v>86611</v>
      </c>
      <c r="AE11">
        <v>90171</v>
      </c>
      <c r="AF11">
        <v>94871</v>
      </c>
      <c r="AG11">
        <v>102871</v>
      </c>
      <c r="AH11">
        <v>109403</v>
      </c>
      <c r="AI11">
        <v>137844</v>
      </c>
      <c r="AJ11">
        <v>145413</v>
      </c>
      <c r="AK11">
        <v>151963</v>
      </c>
      <c r="AL11">
        <v>168450</v>
      </c>
      <c r="AM11">
        <v>181871</v>
      </c>
      <c r="AN11">
        <v>219230</v>
      </c>
      <c r="AO11">
        <v>270130</v>
      </c>
      <c r="AP11">
        <v>284748</v>
      </c>
      <c r="AQ11">
        <v>330478</v>
      </c>
      <c r="AR11">
        <v>373561</v>
      </c>
      <c r="AS11">
        <v>402445</v>
      </c>
      <c r="AT11">
        <v>470426</v>
      </c>
      <c r="AU11" s="12" t="s">
        <v>150</v>
      </c>
    </row>
    <row r="12" spans="1:47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 t="s">
        <v>150</v>
      </c>
      <c r="U12">
        <v>174200</v>
      </c>
      <c r="V12" s="12">
        <v>145607</v>
      </c>
      <c r="W12" s="18">
        <v>0.83586107921928821</v>
      </c>
      <c r="X12" t="s">
        <v>2</v>
      </c>
      <c r="Y12">
        <v>4800</v>
      </c>
      <c r="Z12">
        <v>7690</v>
      </c>
      <c r="AA12">
        <v>11776</v>
      </c>
      <c r="AB12">
        <v>18956</v>
      </c>
      <c r="AC12">
        <v>23304</v>
      </c>
      <c r="AD12">
        <v>27554</v>
      </c>
      <c r="AE12">
        <v>34945</v>
      </c>
      <c r="AF12">
        <v>36260</v>
      </c>
      <c r="AG12">
        <v>41505</v>
      </c>
      <c r="AH12">
        <v>44501</v>
      </c>
      <c r="AI12">
        <v>49857</v>
      </c>
      <c r="AJ12">
        <v>52119</v>
      </c>
      <c r="AK12">
        <v>58019</v>
      </c>
      <c r="AL12">
        <v>61599</v>
      </c>
      <c r="AM12">
        <v>63689</v>
      </c>
      <c r="AN12">
        <v>70399</v>
      </c>
      <c r="AO12">
        <v>73933</v>
      </c>
      <c r="AP12">
        <v>90279</v>
      </c>
      <c r="AQ12">
        <v>97032</v>
      </c>
      <c r="AR12">
        <v>108007</v>
      </c>
      <c r="AS12">
        <v>117222</v>
      </c>
      <c r="AT12">
        <v>145607</v>
      </c>
      <c r="AU12" s="12" t="s">
        <v>151</v>
      </c>
    </row>
    <row r="13" spans="1:47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 t="s">
        <v>150</v>
      </c>
      <c r="U13">
        <v>108600</v>
      </c>
      <c r="V13" s="12">
        <v>123405</v>
      </c>
      <c r="W13" s="18">
        <v>1.1363259668508288</v>
      </c>
      <c r="X13" t="s">
        <v>115</v>
      </c>
      <c r="Y13">
        <v>1937</v>
      </c>
      <c r="Z13">
        <v>6058</v>
      </c>
      <c r="AA13">
        <v>11310</v>
      </c>
      <c r="AB13">
        <v>13085</v>
      </c>
      <c r="AC13">
        <v>15730</v>
      </c>
      <c r="AD13">
        <v>23190</v>
      </c>
      <c r="AE13">
        <v>26697</v>
      </c>
      <c r="AF13">
        <v>31579</v>
      </c>
      <c r="AG13">
        <v>35853</v>
      </c>
      <c r="AH13">
        <v>42280</v>
      </c>
      <c r="AI13">
        <v>49131</v>
      </c>
      <c r="AJ13">
        <v>53133</v>
      </c>
      <c r="AK13">
        <v>58315</v>
      </c>
      <c r="AL13">
        <v>66507</v>
      </c>
      <c r="AM13">
        <v>69465</v>
      </c>
      <c r="AN13">
        <v>76511</v>
      </c>
      <c r="AO13">
        <v>85040</v>
      </c>
      <c r="AP13">
        <v>91780</v>
      </c>
      <c r="AQ13">
        <v>101072</v>
      </c>
      <c r="AR13">
        <v>103946</v>
      </c>
      <c r="AS13">
        <v>114832</v>
      </c>
      <c r="AT13">
        <v>123405</v>
      </c>
      <c r="AU13" s="12" t="s">
        <v>151</v>
      </c>
    </row>
    <row r="14" spans="1:47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 t="s">
        <v>150</v>
      </c>
      <c r="U14">
        <v>209900</v>
      </c>
      <c r="V14" s="12">
        <v>225629</v>
      </c>
      <c r="W14" s="18">
        <v>1.0749356836588853</v>
      </c>
      <c r="X14" t="s">
        <v>6</v>
      </c>
      <c r="Y14">
        <v>4700</v>
      </c>
      <c r="Z14">
        <v>14400</v>
      </c>
      <c r="AA14">
        <v>21600</v>
      </c>
      <c r="AB14">
        <v>29082</v>
      </c>
      <c r="AC14">
        <v>45481</v>
      </c>
      <c r="AD14">
        <v>63089</v>
      </c>
      <c r="AE14">
        <v>64139</v>
      </c>
      <c r="AF14">
        <v>70186</v>
      </c>
      <c r="AG14">
        <v>71536</v>
      </c>
      <c r="AH14">
        <v>85961</v>
      </c>
      <c r="AI14">
        <v>93111</v>
      </c>
      <c r="AJ14">
        <v>95211</v>
      </c>
      <c r="AK14">
        <v>100611</v>
      </c>
      <c r="AL14">
        <v>114811</v>
      </c>
      <c r="AM14">
        <v>144281</v>
      </c>
      <c r="AN14">
        <v>150531</v>
      </c>
      <c r="AO14">
        <v>152499</v>
      </c>
      <c r="AP14">
        <v>168999</v>
      </c>
      <c r="AQ14">
        <v>180179</v>
      </c>
      <c r="AR14">
        <v>181129</v>
      </c>
      <c r="AS14">
        <v>200489</v>
      </c>
      <c r="AT14">
        <v>225629</v>
      </c>
      <c r="AU14" s="12" t="s">
        <v>152</v>
      </c>
    </row>
    <row r="15" spans="1:47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 t="s">
        <v>150</v>
      </c>
      <c r="U15">
        <v>200500</v>
      </c>
      <c r="V15" s="12">
        <v>146522</v>
      </c>
      <c r="W15" s="18">
        <v>0.73078304239401493</v>
      </c>
      <c r="X15" t="s">
        <v>9</v>
      </c>
      <c r="Y15">
        <v>5596</v>
      </c>
      <c r="Z15">
        <v>7944</v>
      </c>
      <c r="AA15">
        <v>10464</v>
      </c>
      <c r="AB15">
        <v>13664</v>
      </c>
      <c r="AC15">
        <v>18359</v>
      </c>
      <c r="AD15">
        <v>21789</v>
      </c>
      <c r="AE15">
        <v>29089</v>
      </c>
      <c r="AF15">
        <v>31914</v>
      </c>
      <c r="AG15">
        <v>42751</v>
      </c>
      <c r="AH15">
        <v>47131</v>
      </c>
      <c r="AI15">
        <v>50204</v>
      </c>
      <c r="AJ15">
        <v>56854</v>
      </c>
      <c r="AK15">
        <v>67954</v>
      </c>
      <c r="AL15">
        <v>71914</v>
      </c>
      <c r="AM15">
        <v>79844</v>
      </c>
      <c r="AN15">
        <v>83394</v>
      </c>
      <c r="AO15">
        <v>88419</v>
      </c>
      <c r="AP15">
        <v>101904</v>
      </c>
      <c r="AQ15">
        <v>106056</v>
      </c>
      <c r="AR15">
        <v>109526</v>
      </c>
      <c r="AS15">
        <v>132936</v>
      </c>
      <c r="AT15">
        <v>146522</v>
      </c>
      <c r="AU15" s="12" t="s">
        <v>153</v>
      </c>
    </row>
    <row r="16" spans="1:47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 t="s">
        <v>150</v>
      </c>
    </row>
    <row r="17" spans="1:19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 t="s">
        <v>151</v>
      </c>
    </row>
    <row r="18" spans="1:19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 t="s">
        <v>151</v>
      </c>
    </row>
    <row r="19" spans="1:19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 t="s">
        <v>151</v>
      </c>
    </row>
    <row r="20" spans="1:19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 t="s">
        <v>151</v>
      </c>
    </row>
    <row r="21" spans="1:19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 t="s">
        <v>151</v>
      </c>
    </row>
    <row r="22" spans="1:19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 t="s">
        <v>151</v>
      </c>
    </row>
    <row r="23" spans="1:19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 t="s">
        <v>151</v>
      </c>
    </row>
    <row r="24" spans="1:19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 t="s">
        <v>151</v>
      </c>
    </row>
    <row r="25" spans="1:19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 t="s">
        <v>151</v>
      </c>
    </row>
    <row r="26" spans="1:19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 t="s">
        <v>151</v>
      </c>
    </row>
    <row r="27" spans="1:19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 t="s">
        <v>151</v>
      </c>
    </row>
    <row r="28" spans="1:19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 t="s">
        <v>152</v>
      </c>
    </row>
    <row r="29" spans="1:19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 t="s">
        <v>152</v>
      </c>
    </row>
    <row r="30" spans="1:19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 t="s">
        <v>152</v>
      </c>
    </row>
    <row r="31" spans="1:19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 t="s">
        <v>152</v>
      </c>
    </row>
    <row r="32" spans="1:19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 t="s">
        <v>152</v>
      </c>
    </row>
    <row r="33" spans="1:19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 t="s">
        <v>152</v>
      </c>
    </row>
    <row r="34" spans="1:19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 t="s">
        <v>152</v>
      </c>
    </row>
    <row r="35" spans="1:19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 t="s">
        <v>152</v>
      </c>
    </row>
    <row r="36" spans="1:19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 t="s">
        <v>152</v>
      </c>
    </row>
    <row r="37" spans="1:19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 t="s">
        <v>152</v>
      </c>
    </row>
    <row r="38" spans="1:19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 t="s">
        <v>152</v>
      </c>
    </row>
    <row r="39" spans="1:19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 t="s">
        <v>153</v>
      </c>
    </row>
    <row r="40" spans="1:19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 t="s">
        <v>153</v>
      </c>
    </row>
    <row r="41" spans="1:19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 t="s">
        <v>153</v>
      </c>
    </row>
    <row r="42" spans="1:19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 t="s">
        <v>153</v>
      </c>
    </row>
    <row r="43" spans="1:19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 t="s">
        <v>153</v>
      </c>
    </row>
    <row r="44" spans="1:19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 t="s">
        <v>153</v>
      </c>
    </row>
    <row r="45" spans="1:19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 t="s">
        <v>153</v>
      </c>
    </row>
    <row r="46" spans="1:19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 t="s">
        <v>153</v>
      </c>
    </row>
    <row r="47" spans="1:19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 t="s">
        <v>153</v>
      </c>
    </row>
    <row r="48" spans="1:19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 t="s">
        <v>153</v>
      </c>
    </row>
    <row r="49" spans="1:19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 t="s">
        <v>153</v>
      </c>
    </row>
    <row r="50" spans="1:19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 t="s">
        <v>153</v>
      </c>
    </row>
    <row r="51" spans="1:19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 t="s">
        <v>153</v>
      </c>
    </row>
    <row r="52" spans="1:19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 t="s">
        <v>150</v>
      </c>
    </row>
    <row r="53" spans="1:19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 t="s">
        <v>150</v>
      </c>
    </row>
    <row r="54" spans="1:19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 t="s">
        <v>150</v>
      </c>
    </row>
    <row r="55" spans="1:19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 t="s">
        <v>150</v>
      </c>
    </row>
    <row r="56" spans="1:19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 t="s">
        <v>150</v>
      </c>
    </row>
    <row r="57" spans="1:19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 t="s">
        <v>150</v>
      </c>
    </row>
    <row r="58" spans="1:19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 t="s">
        <v>150</v>
      </c>
    </row>
    <row r="59" spans="1:19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 t="s">
        <v>150</v>
      </c>
    </row>
    <row r="60" spans="1:19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 t="s">
        <v>150</v>
      </c>
    </row>
    <row r="61" spans="1:19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 t="s">
        <v>151</v>
      </c>
    </row>
    <row r="62" spans="1:19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 t="s">
        <v>151</v>
      </c>
    </row>
    <row r="63" spans="1:19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 t="s">
        <v>151</v>
      </c>
    </row>
    <row r="64" spans="1:19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 t="s">
        <v>151</v>
      </c>
    </row>
    <row r="65" spans="1:19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 t="s">
        <v>151</v>
      </c>
    </row>
    <row r="66" spans="1:19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 t="s">
        <v>151</v>
      </c>
    </row>
    <row r="67" spans="1:19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 t="s">
        <v>151</v>
      </c>
    </row>
    <row r="68" spans="1:19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 t="s">
        <v>151</v>
      </c>
    </row>
    <row r="69" spans="1:19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 t="s">
        <v>151</v>
      </c>
    </row>
    <row r="70" spans="1:19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 t="s">
        <v>151</v>
      </c>
    </row>
    <row r="71" spans="1:19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 t="s">
        <v>150</v>
      </c>
    </row>
    <row r="72" spans="1:19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 t="s">
        <v>150</v>
      </c>
    </row>
    <row r="73" spans="1:19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 t="s">
        <v>150</v>
      </c>
    </row>
    <row r="74" spans="1:19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 t="s">
        <v>150</v>
      </c>
    </row>
    <row r="75" spans="1:19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 t="s">
        <v>150</v>
      </c>
    </row>
    <row r="76" spans="1:19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 t="s">
        <v>150</v>
      </c>
    </row>
    <row r="77" spans="1:19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 t="s">
        <v>150</v>
      </c>
    </row>
    <row r="78" spans="1:19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 t="s">
        <v>150</v>
      </c>
    </row>
    <row r="79" spans="1:19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 t="s">
        <v>150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D19" sqref="D19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46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46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46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46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v>1.2638</v>
      </c>
      <c r="E9" t="s">
        <v>3</v>
      </c>
      <c r="F9" t="s">
        <v>23</v>
      </c>
      <c r="G9">
        <v>82199</v>
      </c>
      <c r="H9" t="s">
        <v>472</v>
      </c>
      <c r="I9" s="59">
        <v>44111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v>0.65742800000000001</v>
      </c>
      <c r="E10" t="s">
        <v>3</v>
      </c>
      <c r="F10" t="s">
        <v>22</v>
      </c>
      <c r="G10">
        <v>43932.800000000003</v>
      </c>
      <c r="H10" t="s">
        <v>469</v>
      </c>
      <c r="I10" s="59">
        <v>45299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v>0.64621538461538464</v>
      </c>
      <c r="E11" t="s">
        <v>3</v>
      </c>
      <c r="F11" t="s">
        <v>26</v>
      </c>
      <c r="G11">
        <v>42604</v>
      </c>
      <c r="H11" t="s">
        <v>418</v>
      </c>
      <c r="I11" s="59">
        <v>44259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v>0.61939999999999995</v>
      </c>
      <c r="E12" t="s">
        <v>3</v>
      </c>
      <c r="F12" t="s">
        <v>25</v>
      </c>
      <c r="G12">
        <v>41621</v>
      </c>
      <c r="H12" t="s">
        <v>473</v>
      </c>
      <c r="I12" s="59">
        <v>44820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v>0.54459999999999997</v>
      </c>
      <c r="E14" t="s">
        <v>3</v>
      </c>
      <c r="F14" t="s">
        <v>109</v>
      </c>
      <c r="G14">
        <v>35399</v>
      </c>
      <c r="H14" t="s">
        <v>449</v>
      </c>
      <c r="I14" s="59">
        <v>45334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v>0.3330769230769231</v>
      </c>
      <c r="E15" t="s">
        <v>3</v>
      </c>
      <c r="F15" t="s">
        <v>107</v>
      </c>
      <c r="G15">
        <v>21650</v>
      </c>
      <c r="H15" t="s">
        <v>485</v>
      </c>
      <c r="I15" s="59">
        <v>45727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v>0.15150769230769232</v>
      </c>
      <c r="E17" t="s">
        <v>3</v>
      </c>
      <c r="F17" t="s">
        <v>53</v>
      </c>
      <c r="G17">
        <v>9848</v>
      </c>
      <c r="H17" t="s">
        <v>484</v>
      </c>
      <c r="I17" s="59">
        <v>45727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v>0.3861230769230769</v>
      </c>
      <c r="E23" t="s">
        <v>4</v>
      </c>
      <c r="F23" t="s">
        <v>62</v>
      </c>
      <c r="G23">
        <v>25098</v>
      </c>
      <c r="H23" t="s">
        <v>413</v>
      </c>
      <c r="I23" s="59">
        <v>45334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v>0.11984615384615385</v>
      </c>
      <c r="E26" t="s">
        <v>4</v>
      </c>
      <c r="F26" t="s">
        <v>82</v>
      </c>
      <c r="G26">
        <v>7790</v>
      </c>
      <c r="H26" t="s">
        <v>492</v>
      </c>
      <c r="I26" s="59">
        <v>45798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v>1.07595</v>
      </c>
      <c r="E27" t="s">
        <v>2</v>
      </c>
      <c r="F27" t="s">
        <v>13</v>
      </c>
      <c r="G27">
        <v>70211.75</v>
      </c>
      <c r="H27" t="s">
        <v>409</v>
      </c>
      <c r="I27" s="59">
        <v>44811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v>0.85598461538461534</v>
      </c>
      <c r="E29" t="s">
        <v>2</v>
      </c>
      <c r="F29" t="s">
        <v>10</v>
      </c>
      <c r="G29">
        <v>55689</v>
      </c>
      <c r="H29" t="s">
        <v>476</v>
      </c>
      <c r="I29" s="59">
        <v>44706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v>0.82065573770491806</v>
      </c>
      <c r="E43" t="s">
        <v>6</v>
      </c>
      <c r="F43" t="s">
        <v>50</v>
      </c>
      <c r="G43">
        <v>24980</v>
      </c>
      <c r="H43" t="s">
        <v>429</v>
      </c>
      <c r="I43" s="59">
        <v>45523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v>0.44668852459016395</v>
      </c>
      <c r="E46" t="s">
        <v>6</v>
      </c>
      <c r="F46" t="s">
        <v>19</v>
      </c>
      <c r="G46">
        <v>13629</v>
      </c>
      <c r="H46" t="s">
        <v>426</v>
      </c>
      <c r="I46" s="59">
        <v>44673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v>0.37245901639344264</v>
      </c>
      <c r="E49" t="s">
        <v>6</v>
      </c>
      <c r="F49" t="s">
        <v>37</v>
      </c>
      <c r="G49">
        <v>11510</v>
      </c>
      <c r="H49" t="s">
        <v>427</v>
      </c>
      <c r="I49" s="59">
        <v>43132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v>1.6403333333333334</v>
      </c>
      <c r="E64" t="s">
        <v>8</v>
      </c>
      <c r="F64" t="s">
        <v>24</v>
      </c>
      <c r="G64">
        <v>24480</v>
      </c>
      <c r="H64" t="s">
        <v>461</v>
      </c>
      <c r="I64" s="59">
        <v>45334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v>0.86429999999999996</v>
      </c>
      <c r="E65" t="s">
        <v>8</v>
      </c>
      <c r="F65" t="s">
        <v>14</v>
      </c>
      <c r="G65">
        <v>12964.5</v>
      </c>
      <c r="H65" t="s">
        <v>459</v>
      </c>
      <c r="I65" s="59">
        <v>45133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v>0.79286666666666672</v>
      </c>
      <c r="E66" t="s">
        <v>8</v>
      </c>
      <c r="F66" t="s">
        <v>41</v>
      </c>
      <c r="G66">
        <v>11793</v>
      </c>
      <c r="H66" t="s">
        <v>414</v>
      </c>
      <c r="I66" s="59">
        <v>45304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v>0.77326666666666666</v>
      </c>
      <c r="E68" t="s">
        <v>8</v>
      </c>
      <c r="F68" t="s">
        <v>83</v>
      </c>
      <c r="G68">
        <v>11599</v>
      </c>
      <c r="H68" t="s">
        <v>462</v>
      </c>
      <c r="I68" s="59">
        <v>44937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v>0.50206666666666666</v>
      </c>
      <c r="E69" t="s">
        <v>8</v>
      </c>
      <c r="F69" t="s">
        <v>40</v>
      </c>
      <c r="G69">
        <v>7411</v>
      </c>
      <c r="H69" t="s">
        <v>451</v>
      </c>
      <c r="I69" s="59">
        <v>45429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v>0.46814666666666666</v>
      </c>
      <c r="E70" t="s">
        <v>8</v>
      </c>
      <c r="F70" t="s">
        <v>42</v>
      </c>
      <c r="G70">
        <v>7022</v>
      </c>
      <c r="H70" t="s">
        <v>442</v>
      </c>
      <c r="I70" s="59">
        <v>45399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v>0.26166666666666666</v>
      </c>
      <c r="E72" t="s">
        <v>8</v>
      </c>
      <c r="F72" t="s">
        <v>48</v>
      </c>
      <c r="G72">
        <v>3665</v>
      </c>
      <c r="H72" t="s">
        <v>448</v>
      </c>
      <c r="I72" s="59">
        <v>44748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v>1.0038733333333334</v>
      </c>
      <c r="E74" t="s">
        <v>9</v>
      </c>
      <c r="F74" t="s">
        <v>15</v>
      </c>
      <c r="G74">
        <v>14773.1</v>
      </c>
      <c r="H74" t="s">
        <v>437</v>
      </c>
      <c r="I74" s="59">
        <v>44735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v>1.0196000000000001</v>
      </c>
      <c r="E75" t="s">
        <v>9</v>
      </c>
      <c r="F75" t="s">
        <v>78</v>
      </c>
      <c r="G75">
        <v>14391.5</v>
      </c>
      <c r="H75" t="s">
        <v>424</v>
      </c>
      <c r="I75" s="59">
        <v>44945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v>0.5633800000000001</v>
      </c>
      <c r="E76" t="s">
        <v>9</v>
      </c>
      <c r="F76" t="s">
        <v>32</v>
      </c>
      <c r="G76">
        <v>7990.7</v>
      </c>
      <c r="H76" t="s">
        <v>417</v>
      </c>
      <c r="I76" s="59">
        <v>45530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v>0.47986666666666666</v>
      </c>
      <c r="E77" t="s">
        <v>9</v>
      </c>
      <c r="F77" t="s">
        <v>73</v>
      </c>
      <c r="G77">
        <v>7098</v>
      </c>
      <c r="H77" t="s">
        <v>447</v>
      </c>
      <c r="I77" s="59">
        <v>45145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v>0.35866666666666669</v>
      </c>
      <c r="E79" t="s">
        <v>9</v>
      </c>
      <c r="F79" t="s">
        <v>104</v>
      </c>
      <c r="G79">
        <v>5380</v>
      </c>
      <c r="H79" t="s">
        <v>483</v>
      </c>
      <c r="I79" s="59">
        <v>44104</v>
      </c>
      <c r="J79" t="s">
        <v>536</v>
      </c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:19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:19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:19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>
      <selection activeCell="D3" sqref="D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90"/>
  <sheetViews>
    <sheetView zoomScale="70" zoomScaleNormal="70" workbookViewId="0">
      <selection activeCell="A3" sqref="A3:J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45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45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45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45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v>1.1826666666666668</v>
      </c>
      <c r="E11" t="s">
        <v>125</v>
      </c>
      <c r="F11" t="s">
        <v>23</v>
      </c>
      <c r="G11">
        <v>85152</v>
      </c>
      <c r="H11" t="s">
        <v>472</v>
      </c>
      <c r="I11" s="59">
        <v>44111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v>1.1328472222222221</v>
      </c>
      <c r="E12" t="s">
        <v>125</v>
      </c>
      <c r="F12" t="s">
        <v>24</v>
      </c>
      <c r="G12">
        <v>81565</v>
      </c>
      <c r="H12" t="s">
        <v>461</v>
      </c>
      <c r="I12" s="59">
        <v>45334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v>0.88745833333333335</v>
      </c>
      <c r="E13" t="s">
        <v>125</v>
      </c>
      <c r="F13" t="s">
        <v>22</v>
      </c>
      <c r="G13">
        <v>63897</v>
      </c>
      <c r="H13" t="s">
        <v>469</v>
      </c>
      <c r="I13" s="59">
        <v>45299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v>0.8042083333333333</v>
      </c>
      <c r="E14" t="s">
        <v>125</v>
      </c>
      <c r="F14" t="s">
        <v>26</v>
      </c>
      <c r="G14">
        <v>57903</v>
      </c>
      <c r="H14" t="s">
        <v>418</v>
      </c>
      <c r="I14" s="59">
        <v>44259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v>0.8040152777777777</v>
      </c>
      <c r="E15" t="s">
        <v>125</v>
      </c>
      <c r="F15" t="s">
        <v>25</v>
      </c>
      <c r="G15">
        <v>57889</v>
      </c>
      <c r="H15" t="s">
        <v>473</v>
      </c>
      <c r="I15" s="59">
        <v>44820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v>0.72978333333333334</v>
      </c>
      <c r="E16" t="s">
        <v>125</v>
      </c>
      <c r="F16" t="s">
        <v>29</v>
      </c>
      <c r="G16">
        <v>52544</v>
      </c>
      <c r="H16" t="s">
        <v>443</v>
      </c>
      <c r="I16" s="59">
        <v>44687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v>0.71969444444444441</v>
      </c>
      <c r="E17" t="s">
        <v>125</v>
      </c>
      <c r="F17" t="s">
        <v>27</v>
      </c>
      <c r="G17">
        <v>51818</v>
      </c>
      <c r="H17" t="s">
        <v>439</v>
      </c>
      <c r="I17" s="59">
        <v>45675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v>0.43569444444444444</v>
      </c>
      <c r="E18" t="s">
        <v>125</v>
      </c>
      <c r="F18" t="s">
        <v>28</v>
      </c>
      <c r="G18">
        <v>31370</v>
      </c>
      <c r="H18" t="s">
        <v>505</v>
      </c>
      <c r="I18" s="59">
        <v>45845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v>0.39784722222222224</v>
      </c>
      <c r="E19" t="s">
        <v>125</v>
      </c>
      <c r="F19" t="s">
        <v>30</v>
      </c>
      <c r="G19">
        <v>28645</v>
      </c>
      <c r="H19" t="s">
        <v>475</v>
      </c>
      <c r="I19" s="59">
        <v>45399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v>0.21458333333333332</v>
      </c>
      <c r="E20" t="s">
        <v>125</v>
      </c>
      <c r="F20" t="s">
        <v>102</v>
      </c>
      <c r="G20">
        <v>15450</v>
      </c>
      <c r="H20" t="s">
        <v>508</v>
      </c>
      <c r="I20" s="59">
        <v>45875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v>1.4371805555555555</v>
      </c>
      <c r="E21" t="s">
        <v>4</v>
      </c>
      <c r="F21" t="s">
        <v>59</v>
      </c>
      <c r="G21">
        <v>103477</v>
      </c>
      <c r="H21" t="s">
        <v>457</v>
      </c>
      <c r="I21" s="59">
        <v>45348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v>1.2103055555555555</v>
      </c>
      <c r="E22" t="s">
        <v>4</v>
      </c>
      <c r="F22" t="s">
        <v>57</v>
      </c>
      <c r="G22">
        <v>87142</v>
      </c>
      <c r="H22" t="s">
        <v>470</v>
      </c>
      <c r="I22" s="59">
        <v>45590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v>1.0319180555555556</v>
      </c>
      <c r="E23" t="s">
        <v>4</v>
      </c>
      <c r="F23" t="s">
        <v>60</v>
      </c>
      <c r="G23">
        <v>74298.100000000006</v>
      </c>
      <c r="H23" t="s">
        <v>450</v>
      </c>
      <c r="I23" s="59">
        <v>45323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v>0.85863888888888884</v>
      </c>
      <c r="E24" t="s">
        <v>4</v>
      </c>
      <c r="F24" t="s">
        <v>62</v>
      </c>
      <c r="G24">
        <v>61822</v>
      </c>
      <c r="H24" t="s">
        <v>413</v>
      </c>
      <c r="I24" s="59">
        <v>45334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v>0.81085416666666665</v>
      </c>
      <c r="E25" t="s">
        <v>4</v>
      </c>
      <c r="F25" t="s">
        <v>58</v>
      </c>
      <c r="G25">
        <v>58381.5</v>
      </c>
      <c r="H25" t="s">
        <v>468</v>
      </c>
      <c r="I25" s="59">
        <v>43035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v>0.74124999999999996</v>
      </c>
      <c r="E26" t="s">
        <v>4</v>
      </c>
      <c r="F26" t="s">
        <v>61</v>
      </c>
      <c r="G26">
        <v>53370</v>
      </c>
      <c r="H26" t="s">
        <v>438</v>
      </c>
      <c r="I26" s="59">
        <v>44909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v>0.52819444444444441</v>
      </c>
      <c r="E27" t="s">
        <v>4</v>
      </c>
      <c r="F27" t="s">
        <v>64</v>
      </c>
      <c r="G27">
        <v>38030</v>
      </c>
      <c r="H27" t="s">
        <v>482</v>
      </c>
      <c r="I27" s="59">
        <v>45700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v>0.36381944444444442</v>
      </c>
      <c r="E28" t="s">
        <v>4</v>
      </c>
      <c r="F28" t="s">
        <v>65</v>
      </c>
      <c r="G28">
        <v>26195</v>
      </c>
      <c r="H28" t="s">
        <v>465</v>
      </c>
      <c r="I28" s="59">
        <v>45021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v>0.1388888888888889</v>
      </c>
      <c r="E30" t="s">
        <v>4</v>
      </c>
      <c r="F30" t="s">
        <v>93</v>
      </c>
      <c r="G30">
        <v>10000</v>
      </c>
      <c r="H30" t="s">
        <v>509</v>
      </c>
      <c r="I30" s="59">
        <v>44644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v>0.65103703703703708</v>
      </c>
      <c r="E32" t="s">
        <v>2</v>
      </c>
      <c r="F32" t="s">
        <v>17</v>
      </c>
      <c r="G32">
        <v>35156</v>
      </c>
      <c r="H32" t="s">
        <v>412</v>
      </c>
      <c r="I32" s="59">
        <v>44888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v>0.57211111111111113</v>
      </c>
      <c r="E33" t="s">
        <v>2</v>
      </c>
      <c r="F33" t="s">
        <v>11</v>
      </c>
      <c r="G33">
        <v>30894</v>
      </c>
      <c r="H33" t="s">
        <v>456</v>
      </c>
      <c r="I33" s="59">
        <v>45371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v>0.54796296296296299</v>
      </c>
      <c r="E34" t="s">
        <v>2</v>
      </c>
      <c r="F34" t="s">
        <v>16</v>
      </c>
      <c r="G34">
        <v>29590</v>
      </c>
      <c r="H34" t="s">
        <v>415</v>
      </c>
      <c r="I34" s="59">
        <v>45334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v>0.71633333333333338</v>
      </c>
      <c r="E35" t="s">
        <v>2</v>
      </c>
      <c r="F35" t="s">
        <v>13</v>
      </c>
      <c r="G35">
        <v>20682</v>
      </c>
      <c r="H35" t="s">
        <v>409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v>0.36027777777777775</v>
      </c>
      <c r="E36" t="s">
        <v>2</v>
      </c>
      <c r="F36" t="s">
        <v>12</v>
      </c>
      <c r="G36">
        <v>19455</v>
      </c>
      <c r="H36" t="s">
        <v>416</v>
      </c>
      <c r="I36" s="59">
        <v>44870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v>0.34772222222222221</v>
      </c>
      <c r="E37" t="s">
        <v>2</v>
      </c>
      <c r="F37" t="s">
        <v>15</v>
      </c>
      <c r="G37">
        <v>18777</v>
      </c>
      <c r="H37" t="s">
        <v>437</v>
      </c>
      <c r="I37" s="59">
        <v>44735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v>0.19027777777777777</v>
      </c>
      <c r="E38" t="s">
        <v>2</v>
      </c>
      <c r="F38" t="s">
        <v>91</v>
      </c>
      <c r="G38">
        <v>10275</v>
      </c>
      <c r="H38" t="s">
        <v>510</v>
      </c>
      <c r="I38" s="59">
        <v>45882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v>0.15062962962962964</v>
      </c>
      <c r="E39" t="s">
        <v>2</v>
      </c>
      <c r="F39" t="s">
        <v>14</v>
      </c>
      <c r="G39">
        <v>8134</v>
      </c>
      <c r="H39" t="s">
        <v>459</v>
      </c>
      <c r="I39" s="59">
        <v>45133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v>0.72839814814814818</v>
      </c>
      <c r="E40" t="s">
        <v>5</v>
      </c>
      <c r="F40" t="s">
        <v>69</v>
      </c>
      <c r="G40">
        <v>39333.5</v>
      </c>
      <c r="H40" t="s">
        <v>406</v>
      </c>
      <c r="I40" s="59">
        <v>44461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v>0.68624074074074071</v>
      </c>
      <c r="E41" t="s">
        <v>5</v>
      </c>
      <c r="F41" t="s">
        <v>66</v>
      </c>
      <c r="G41">
        <v>37057</v>
      </c>
      <c r="H41" t="s">
        <v>410</v>
      </c>
      <c r="I41" s="59">
        <v>45457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v>0.59</v>
      </c>
      <c r="E42" t="s">
        <v>5</v>
      </c>
      <c r="F42" t="s">
        <v>70</v>
      </c>
      <c r="G42">
        <v>31860</v>
      </c>
      <c r="H42" t="s">
        <v>445</v>
      </c>
      <c r="I42" s="59">
        <v>44971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v>0.5502407407407407</v>
      </c>
      <c r="E43" t="s">
        <v>5</v>
      </c>
      <c r="F43" t="s">
        <v>67</v>
      </c>
      <c r="G43">
        <v>29713</v>
      </c>
      <c r="H43" t="s">
        <v>408</v>
      </c>
      <c r="I43" s="59">
        <v>44811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v>0.50892592592592589</v>
      </c>
      <c r="E44" t="s">
        <v>5</v>
      </c>
      <c r="F44" t="s">
        <v>68</v>
      </c>
      <c r="G44">
        <v>27482</v>
      </c>
      <c r="H44" t="s">
        <v>467</v>
      </c>
      <c r="I44" s="59">
        <v>45364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v>0.40081481481481479</v>
      </c>
      <c r="E45" t="s">
        <v>5</v>
      </c>
      <c r="F45" t="s">
        <v>71</v>
      </c>
      <c r="G45">
        <v>21644</v>
      </c>
      <c r="H45" t="s">
        <v>441</v>
      </c>
      <c r="I45" s="59">
        <v>45423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v>0.24317722222222221</v>
      </c>
      <c r="E46" t="s">
        <v>5</v>
      </c>
      <c r="F46" t="s">
        <v>72</v>
      </c>
      <c r="G46">
        <v>13131.57</v>
      </c>
      <c r="H46" t="s">
        <v>477</v>
      </c>
      <c r="I46" s="59">
        <v>45084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v>0.11453703703703703</v>
      </c>
      <c r="E47" t="s">
        <v>5</v>
      </c>
      <c r="F47" t="s">
        <v>73</v>
      </c>
      <c r="G47">
        <v>6185</v>
      </c>
      <c r="H47" t="s">
        <v>447</v>
      </c>
      <c r="I47" s="59">
        <v>45145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v>0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v>2.4919230769230771</v>
      </c>
      <c r="E49" t="s">
        <v>6</v>
      </c>
      <c r="F49" t="s">
        <v>31</v>
      </c>
      <c r="G49">
        <v>64790</v>
      </c>
      <c r="H49" t="s">
        <v>430</v>
      </c>
      <c r="I49" s="59">
        <v>45334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v>1.6965384615384616</v>
      </c>
      <c r="E51" t="s">
        <v>6</v>
      </c>
      <c r="F51" t="s">
        <v>37</v>
      </c>
      <c r="G51">
        <v>44110</v>
      </c>
      <c r="H51" t="s">
        <v>427</v>
      </c>
      <c r="I51" s="59">
        <v>43132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v>1.1698076923076923</v>
      </c>
      <c r="E52" t="s">
        <v>6</v>
      </c>
      <c r="F52" t="s">
        <v>35</v>
      </c>
      <c r="G52">
        <v>30415</v>
      </c>
      <c r="H52" t="s">
        <v>428</v>
      </c>
      <c r="I52" s="59">
        <v>44748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v>1.0065884615384615</v>
      </c>
      <c r="E53" t="s">
        <v>6</v>
      </c>
      <c r="F53" t="s">
        <v>32</v>
      </c>
      <c r="G53">
        <v>26171.3</v>
      </c>
      <c r="H53" t="s">
        <v>417</v>
      </c>
      <c r="I53" s="59">
        <v>45530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v>0.58169230769230773</v>
      </c>
      <c r="E54" t="s">
        <v>6</v>
      </c>
      <c r="F54" t="s">
        <v>40</v>
      </c>
      <c r="G54">
        <v>14624</v>
      </c>
      <c r="H54" t="s">
        <v>451</v>
      </c>
      <c r="I54" s="59">
        <v>45429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v>0.50853846153846149</v>
      </c>
      <c r="E55" t="s">
        <v>6</v>
      </c>
      <c r="F55" t="s">
        <v>38</v>
      </c>
      <c r="G55">
        <v>13222</v>
      </c>
      <c r="H55" t="s">
        <v>496</v>
      </c>
      <c r="I55" s="59">
        <v>45805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v>0.50292307692307692</v>
      </c>
      <c r="E56" t="s">
        <v>6</v>
      </c>
      <c r="F56" t="s">
        <v>33</v>
      </c>
      <c r="G56">
        <v>13076</v>
      </c>
      <c r="H56" t="s">
        <v>466</v>
      </c>
      <c r="I56" s="59">
        <v>44869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v>1.2227096774193549</v>
      </c>
      <c r="E60" t="s">
        <v>7</v>
      </c>
      <c r="F60" t="s">
        <v>19</v>
      </c>
      <c r="G60">
        <v>18950</v>
      </c>
      <c r="H60" t="s">
        <v>426</v>
      </c>
      <c r="I60" s="59">
        <v>44673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v>1.0103225806451612</v>
      </c>
      <c r="E61" t="s">
        <v>7</v>
      </c>
      <c r="F61" t="s">
        <v>18</v>
      </c>
      <c r="G61">
        <v>15660</v>
      </c>
      <c r="H61" t="s">
        <v>458</v>
      </c>
      <c r="I61" s="59">
        <v>45133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v>0.70012903225806455</v>
      </c>
      <c r="E62" t="s">
        <v>7</v>
      </c>
      <c r="F62" t="s">
        <v>105</v>
      </c>
      <c r="G62">
        <v>10852</v>
      </c>
      <c r="H62" t="s">
        <v>490</v>
      </c>
      <c r="I62" s="59">
        <v>44657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v>0.42645161290322581</v>
      </c>
      <c r="E63" t="s">
        <v>7</v>
      </c>
      <c r="F63" t="s">
        <v>21</v>
      </c>
      <c r="G63">
        <v>6610</v>
      </c>
      <c r="H63" t="s">
        <v>436</v>
      </c>
      <c r="I63" s="59">
        <v>44301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v>0.3496774193548387</v>
      </c>
      <c r="E64" t="s">
        <v>7</v>
      </c>
      <c r="F64" t="s">
        <v>107</v>
      </c>
      <c r="G64">
        <v>5420</v>
      </c>
      <c r="H64" t="s">
        <v>485</v>
      </c>
      <c r="I64" s="59">
        <v>45727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v>0.28006451612903227</v>
      </c>
      <c r="E65" t="s">
        <v>7</v>
      </c>
      <c r="F65" t="s">
        <v>103</v>
      </c>
      <c r="G65">
        <v>4341</v>
      </c>
      <c r="H65" t="s">
        <v>446</v>
      </c>
      <c r="I65" s="59">
        <v>45451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v>0.26838709677419353</v>
      </c>
      <c r="E66" t="s">
        <v>7</v>
      </c>
      <c r="F66" t="s">
        <v>20</v>
      </c>
      <c r="G66">
        <v>4160</v>
      </c>
      <c r="H66" t="s">
        <v>454</v>
      </c>
      <c r="I66" s="59">
        <v>45142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v>0.18258064516129033</v>
      </c>
      <c r="E67" t="s">
        <v>7</v>
      </c>
      <c r="F67" t="s">
        <v>110</v>
      </c>
      <c r="G67">
        <v>2830</v>
      </c>
      <c r="H67" t="s">
        <v>481</v>
      </c>
      <c r="I67" s="59">
        <v>44993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v>6.4516129032258063E-2</v>
      </c>
      <c r="E69" t="s">
        <v>7</v>
      </c>
      <c r="F69" t="s">
        <v>104</v>
      </c>
      <c r="G69">
        <v>1000</v>
      </c>
      <c r="H69" t="s">
        <v>483</v>
      </c>
      <c r="I69" s="59">
        <v>44104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v>0.92800000000000005</v>
      </c>
      <c r="E70" t="s">
        <v>8</v>
      </c>
      <c r="F70" t="s">
        <v>42</v>
      </c>
      <c r="G70">
        <v>13848</v>
      </c>
      <c r="H70" t="s">
        <v>442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v>0.85631250000000003</v>
      </c>
      <c r="E71" t="s">
        <v>8</v>
      </c>
      <c r="F71" t="s">
        <v>44</v>
      </c>
      <c r="G71">
        <v>13701</v>
      </c>
      <c r="H71" t="s">
        <v>494</v>
      </c>
      <c r="I71" s="59">
        <v>45804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v>0.85599999999999998</v>
      </c>
      <c r="E72" t="s">
        <v>8</v>
      </c>
      <c r="F72" t="s">
        <v>41</v>
      </c>
      <c r="G72">
        <v>13617</v>
      </c>
      <c r="H72" t="s">
        <v>414</v>
      </c>
      <c r="I72" s="59">
        <v>45304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v>0.78818750000000004</v>
      </c>
      <c r="E73" t="s">
        <v>8</v>
      </c>
      <c r="F73" t="s">
        <v>46</v>
      </c>
      <c r="G73">
        <v>12611</v>
      </c>
      <c r="H73" t="s">
        <v>421</v>
      </c>
      <c r="I73" s="59">
        <v>45344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v>0.70107874999999997</v>
      </c>
      <c r="E74" t="s">
        <v>8</v>
      </c>
      <c r="F74" t="s">
        <v>43</v>
      </c>
      <c r="G74">
        <v>11217.26</v>
      </c>
      <c r="H74" t="s">
        <v>498</v>
      </c>
      <c r="I74" s="59">
        <v>45793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v>0.66062500000000002</v>
      </c>
      <c r="E75" t="s">
        <v>8</v>
      </c>
      <c r="F75" t="s">
        <v>48</v>
      </c>
      <c r="G75">
        <v>10570</v>
      </c>
      <c r="H75" t="s">
        <v>448</v>
      </c>
      <c r="I75" s="59">
        <v>44748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v>0.56137499999999996</v>
      </c>
      <c r="E76" t="s">
        <v>8</v>
      </c>
      <c r="F76" t="s">
        <v>45</v>
      </c>
      <c r="G76">
        <v>8982</v>
      </c>
      <c r="H76" t="s">
        <v>503</v>
      </c>
      <c r="I76" s="59">
        <v>38525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v>0</v>
      </c>
      <c r="E77" t="s">
        <v>8</v>
      </c>
      <c r="F77" t="s">
        <v>97</v>
      </c>
      <c r="G77">
        <v>6388</v>
      </c>
      <c r="H77" t="s">
        <v>512</v>
      </c>
      <c r="I77" s="59">
        <v>45889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v>0.28125</v>
      </c>
      <c r="E78" t="s">
        <v>8</v>
      </c>
      <c r="F78" t="s">
        <v>92</v>
      </c>
      <c r="G78">
        <v>4500</v>
      </c>
      <c r="H78" t="s">
        <v>513</v>
      </c>
      <c r="I78" s="59">
        <v>45399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v>0.26250000000000001</v>
      </c>
      <c r="E79" t="s">
        <v>8</v>
      </c>
      <c r="F79" t="s">
        <v>98</v>
      </c>
      <c r="G79">
        <v>4200</v>
      </c>
      <c r="H79" t="s">
        <v>514</v>
      </c>
      <c r="I79" s="59">
        <v>45896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v>0.95628499999999994</v>
      </c>
      <c r="E81" t="s">
        <v>9</v>
      </c>
      <c r="F81" t="s">
        <v>50</v>
      </c>
      <c r="G81">
        <v>15300.56</v>
      </c>
      <c r="H81" t="s">
        <v>429</v>
      </c>
      <c r="I81" s="59">
        <v>45523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v>0.78743750000000001</v>
      </c>
      <c r="E82" t="s">
        <v>9</v>
      </c>
      <c r="F82" t="s">
        <v>49</v>
      </c>
      <c r="G82">
        <v>12599</v>
      </c>
      <c r="H82" t="s">
        <v>463</v>
      </c>
      <c r="I82" s="59">
        <v>42814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v>0.72962499999999997</v>
      </c>
      <c r="E83" t="s">
        <v>9</v>
      </c>
      <c r="F83" t="s">
        <v>51</v>
      </c>
      <c r="G83">
        <v>11674</v>
      </c>
      <c r="H83" t="s">
        <v>440</v>
      </c>
      <c r="I83" s="59">
        <v>45674</v>
      </c>
      <c r="J83" t="s">
        <v>536</v>
      </c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v>0.61562499999999998</v>
      </c>
      <c r="E84" t="s">
        <v>9</v>
      </c>
      <c r="F84" t="s">
        <v>52</v>
      </c>
      <c r="G84">
        <v>9850</v>
      </c>
      <c r="H84" t="s">
        <v>507</v>
      </c>
      <c r="I84" s="59">
        <v>45862</v>
      </c>
      <c r="J84" t="s">
        <v>536</v>
      </c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v>0.46249437500000001</v>
      </c>
      <c r="E85" t="s">
        <v>9</v>
      </c>
      <c r="F85" t="s">
        <v>53</v>
      </c>
      <c r="G85">
        <v>7399.91</v>
      </c>
      <c r="H85" t="s">
        <v>484</v>
      </c>
      <c r="I85" s="59">
        <v>45727</v>
      </c>
      <c r="J85" t="s">
        <v>536</v>
      </c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v>0.43093749999999997</v>
      </c>
      <c r="E86" t="s">
        <v>9</v>
      </c>
      <c r="F86" t="s">
        <v>55</v>
      </c>
      <c r="G86">
        <v>6895</v>
      </c>
      <c r="H86" t="s">
        <v>502</v>
      </c>
      <c r="I86" s="59">
        <v>45818</v>
      </c>
      <c r="J86" t="s">
        <v>536</v>
      </c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v>0.40094375000000004</v>
      </c>
      <c r="E87" t="s">
        <v>9</v>
      </c>
      <c r="F87" t="s">
        <v>54</v>
      </c>
      <c r="G87">
        <v>6415.1</v>
      </c>
      <c r="H87" t="s">
        <v>501</v>
      </c>
      <c r="I87" s="59">
        <v>45819</v>
      </c>
      <c r="J87" t="s">
        <v>536</v>
      </c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v>0.27625</v>
      </c>
      <c r="E88" t="s">
        <v>9</v>
      </c>
      <c r="F88" t="s">
        <v>101</v>
      </c>
      <c r="G88">
        <v>4420</v>
      </c>
      <c r="H88" t="s">
        <v>515</v>
      </c>
      <c r="I88" s="59">
        <v>45875</v>
      </c>
      <c r="J88" t="s">
        <v>536</v>
      </c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  <row r="89" spans="1:19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v>0.2235</v>
      </c>
      <c r="E89" t="s">
        <v>9</v>
      </c>
      <c r="F89" t="s">
        <v>56</v>
      </c>
      <c r="G89">
        <v>3576</v>
      </c>
      <c r="H89" t="s">
        <v>491</v>
      </c>
      <c r="I89" s="59">
        <v>45772</v>
      </c>
      <c r="J89" t="s">
        <v>536</v>
      </c>
    </row>
    <row r="90" spans="1:19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v>7.6624999999999999E-2</v>
      </c>
      <c r="E90" t="s">
        <v>9</v>
      </c>
      <c r="F90" t="s">
        <v>100</v>
      </c>
      <c r="G90">
        <v>1226</v>
      </c>
      <c r="H90" t="s">
        <v>516</v>
      </c>
      <c r="I90" s="59">
        <v>45895</v>
      </c>
      <c r="J90" t="s">
        <v>536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>
      <selection activeCell="G5" sqref="G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11.42578125" style="59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69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69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69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69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v>2.6484327272727275</v>
      </c>
      <c r="E9" t="s">
        <v>3</v>
      </c>
      <c r="F9" t="s">
        <v>23</v>
      </c>
      <c r="G9">
        <v>58265</v>
      </c>
      <c r="H9" t="s">
        <v>472</v>
      </c>
      <c r="I9" s="59">
        <v>44111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v>2.3106363636363638</v>
      </c>
      <c r="E19" t="s">
        <v>4</v>
      </c>
      <c r="F19" t="s">
        <v>40</v>
      </c>
      <c r="G19">
        <v>49284</v>
      </c>
      <c r="H19" t="s">
        <v>451</v>
      </c>
      <c r="I19" s="59">
        <v>45429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v>0.72113863636363629</v>
      </c>
      <c r="E22" t="s">
        <v>4</v>
      </c>
      <c r="F22" t="s">
        <v>55</v>
      </c>
      <c r="G22">
        <v>14814</v>
      </c>
      <c r="H22" t="s">
        <v>502</v>
      </c>
      <c r="I22" s="59">
        <v>45818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v>0.53572727272727272</v>
      </c>
      <c r="E23" t="s">
        <v>4</v>
      </c>
      <c r="F23" t="s">
        <v>71</v>
      </c>
      <c r="G23">
        <v>11786</v>
      </c>
      <c r="H23" t="s">
        <v>441</v>
      </c>
      <c r="I23" s="59">
        <v>45423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v>0.44704545454545452</v>
      </c>
      <c r="E25" t="s">
        <v>4</v>
      </c>
      <c r="F25" t="s">
        <v>92</v>
      </c>
      <c r="G25">
        <v>9835</v>
      </c>
      <c r="H25" t="s">
        <v>513</v>
      </c>
      <c r="I25" s="59">
        <v>45399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v>0.4249090909090909</v>
      </c>
      <c r="E26" t="s">
        <v>4</v>
      </c>
      <c r="F26" t="s">
        <v>114</v>
      </c>
      <c r="G26">
        <v>9348</v>
      </c>
      <c r="H26" t="s">
        <v>517</v>
      </c>
      <c r="I26" s="59">
        <v>45917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v>0.84499999999999997</v>
      </c>
      <c r="E48" t="s">
        <v>6</v>
      </c>
      <c r="F48" t="s">
        <v>67</v>
      </c>
      <c r="G48">
        <v>44785</v>
      </c>
      <c r="H48" t="s">
        <v>408</v>
      </c>
      <c r="I48" s="59">
        <v>44811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v>0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v>0.53179245283018872</v>
      </c>
      <c r="E55" t="s">
        <v>7</v>
      </c>
      <c r="F55" t="s">
        <v>21</v>
      </c>
      <c r="G55">
        <v>28185</v>
      </c>
      <c r="H55" t="s">
        <v>436</v>
      </c>
      <c r="I55" s="59">
        <v>44301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v>0.46154716981132077</v>
      </c>
      <c r="E56" t="s">
        <v>7</v>
      </c>
      <c r="F56" t="s">
        <v>11</v>
      </c>
      <c r="G56">
        <v>24962</v>
      </c>
      <c r="H56" t="s">
        <v>456</v>
      </c>
      <c r="I56" s="59">
        <v>45371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v>1.3420721428571429</v>
      </c>
      <c r="E62" t="s">
        <v>8</v>
      </c>
      <c r="F62" t="s">
        <v>81</v>
      </c>
      <c r="G62">
        <v>93850.05</v>
      </c>
      <c r="H62" t="s">
        <v>452</v>
      </c>
      <c r="I62" s="59">
        <v>45506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v>0.87085714285714289</v>
      </c>
      <c r="E64" t="s">
        <v>8</v>
      </c>
      <c r="F64" t="s">
        <v>10</v>
      </c>
      <c r="G64">
        <v>60760</v>
      </c>
      <c r="H64" t="s">
        <v>476</v>
      </c>
      <c r="I64" s="59">
        <v>44706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v>0.52096428571428577</v>
      </c>
      <c r="E67" t="s">
        <v>8</v>
      </c>
      <c r="F67" t="s">
        <v>25</v>
      </c>
      <c r="G67">
        <v>36071</v>
      </c>
      <c r="H67" t="s">
        <v>473</v>
      </c>
      <c r="I67" s="59">
        <v>44820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v>0.72826086956521741</v>
      </c>
      <c r="E74" t="s">
        <v>9</v>
      </c>
      <c r="F74" t="s">
        <v>51</v>
      </c>
      <c r="G74">
        <v>16965</v>
      </c>
      <c r="H74" t="s">
        <v>440</v>
      </c>
      <c r="I74" s="59">
        <v>45674</v>
      </c>
      <c r="J74" s="59" t="s">
        <v>536</v>
      </c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v>0.38526086956521738</v>
      </c>
      <c r="E76" t="s">
        <v>9</v>
      </c>
      <c r="F76" t="s">
        <v>54</v>
      </c>
      <c r="G76">
        <v>8861</v>
      </c>
      <c r="H76" t="s">
        <v>501</v>
      </c>
      <c r="I76" s="59">
        <v>45819</v>
      </c>
      <c r="J76" s="59" t="s">
        <v>536</v>
      </c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>
      <selection activeCell="I4" sqref="I4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6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6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6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6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v>0.57371428571428573</v>
      </c>
      <c r="E13" s="1" t="s">
        <v>5</v>
      </c>
      <c r="F13" t="s">
        <v>100</v>
      </c>
      <c r="G13">
        <v>8032</v>
      </c>
      <c r="H13" t="s">
        <v>516</v>
      </c>
      <c r="I13" s="59">
        <v>45895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v>1.357</v>
      </c>
      <c r="E17" s="1" t="s">
        <v>2</v>
      </c>
      <c r="F17" t="s">
        <v>68</v>
      </c>
      <c r="G17">
        <v>20390</v>
      </c>
      <c r="H17" t="s">
        <v>467</v>
      </c>
      <c r="I17" s="59">
        <v>45364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v>2.6283809523809523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v>0.58835714285714291</v>
      </c>
      <c r="E26" s="1" t="s">
        <v>7</v>
      </c>
      <c r="F26" t="s">
        <v>74</v>
      </c>
      <c r="G26">
        <v>8237</v>
      </c>
      <c r="H26" t="s">
        <v>422</v>
      </c>
      <c r="I26" s="59">
        <v>44470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v>1.3463488372093024</v>
      </c>
      <c r="E33" s="1" t="s">
        <v>6</v>
      </c>
      <c r="F33" t="s">
        <v>24</v>
      </c>
      <c r="G33">
        <v>57393</v>
      </c>
      <c r="H33" t="s">
        <v>461</v>
      </c>
      <c r="I33" s="59">
        <v>45334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v>0.93720930232558142</v>
      </c>
      <c r="E34" s="1" t="s">
        <v>6</v>
      </c>
      <c r="F34" t="s">
        <v>61</v>
      </c>
      <c r="G34">
        <v>39700</v>
      </c>
      <c r="H34" t="s">
        <v>438</v>
      </c>
      <c r="I34" s="59">
        <v>44909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v>2.7742499999999999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v>1.5856250000000001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v>1.1633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v>1.1536649999999999</v>
      </c>
      <c r="E39" s="1" t="s">
        <v>6</v>
      </c>
      <c r="F39" t="s">
        <v>26</v>
      </c>
      <c r="G39">
        <v>23073</v>
      </c>
      <c r="H39" t="s">
        <v>418</v>
      </c>
      <c r="I39" s="59">
        <v>44259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v>1.0549999999999999</v>
      </c>
      <c r="E40" s="1" t="s">
        <v>6</v>
      </c>
      <c r="F40" t="s">
        <v>81</v>
      </c>
      <c r="G40">
        <v>20840</v>
      </c>
      <c r="H40" t="s">
        <v>452</v>
      </c>
      <c r="I40" s="59">
        <v>45506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v>0.94614500000000012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v>0.72604999999999997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v>0.70425000000000004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v>0.30764999999999998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v>1.202883939038687</v>
      </c>
      <c r="E46" s="1" t="s">
        <v>4</v>
      </c>
      <c r="F46" t="s">
        <v>10</v>
      </c>
      <c r="G46">
        <v>49500</v>
      </c>
      <c r="H46" t="s">
        <v>476</v>
      </c>
      <c r="I46" s="59">
        <v>44706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v>1.0210550996483001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v>0.882883939038687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v>0.89381008206330603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v>0.65992966002344666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v>0.61287221570926143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v>0.44963636363636361</v>
      </c>
      <c r="E53" s="1" t="s">
        <v>4</v>
      </c>
      <c r="F53" t="s">
        <v>93</v>
      </c>
      <c r="G53">
        <v>24730</v>
      </c>
      <c r="H53" t="s">
        <v>509</v>
      </c>
      <c r="I53" s="59">
        <v>44644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v>0.33627198124267293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v>0.19856975381008207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v>1.4563657678780775</v>
      </c>
      <c r="E56" s="1" t="s">
        <v>3</v>
      </c>
      <c r="F56" t="s">
        <v>31</v>
      </c>
      <c r="G56">
        <v>62084</v>
      </c>
      <c r="H56" t="s">
        <v>430</v>
      </c>
      <c r="I56" s="59">
        <v>45334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v>1.4216178194607267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v>0.70996483001172328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v>0.65885111371629546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v>0.64370457209847598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v>0.46424384525205159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:4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v>0.37615474794841736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:4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v>0.36271981242672918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>
      <selection activeCell="D17" sqref="D17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J1" zoomScale="70" zoomScaleNormal="70" workbookViewId="0">
      <selection activeCell="BF3" sqref="BF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1.2282708333333334</v>
      </c>
      <c r="E6" s="36" t="str">
        <f>IFERROR(VLOOKUP(D1_ENERO_2026[[#This Row],[ASESOR_CRR]],PLANTILLA_ACTUAL[],2,0),"")</f>
        <v>MELINA</v>
      </c>
      <c r="F6" s="35" t="s">
        <v>60</v>
      </c>
      <c r="G6" s="37">
        <v>58957</v>
      </c>
      <c r="H6" s="35" t="str">
        <f>VLOOKUP(D1_ENERO_2026[[#This Row],[ASESOR_CRR]],DIM!$C:$E,2,0)</f>
        <v>72839865</v>
      </c>
      <c r="I6" s="68">
        <f>VLOOKUP(D1_ENERO_2026[[#This Row],[ASESOR_CRR]],DIM!$C:$E,3,0)</f>
        <v>45854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1.0217916666666667</v>
      </c>
      <c r="E7" s="36" t="str">
        <f>IFERROR(VLOOKUP(D1_ENERO_2026[[#This Row],[ASESOR_CRR]],PLANTILLA_ACTUAL[],2,0),"")</f>
        <v>MELINA</v>
      </c>
      <c r="F7" s="35" t="s">
        <v>59</v>
      </c>
      <c r="G7" s="37">
        <v>49046</v>
      </c>
      <c r="H7" s="35" t="str">
        <f>VLOOKUP(D1_ENERO_2026[[#This Row],[ASESOR_CRR]],DIM!$C:$E,2,0)</f>
        <v>60870839</v>
      </c>
      <c r="I7" s="68">
        <f>VLOOKUP(D1_ENERO_2026[[#This Row],[ASESOR_CRR]],DIM!$C:$E,3,0)</f>
        <v>45344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0.81481250000000005</v>
      </c>
      <c r="E8" s="36" t="str">
        <f>IFERROR(VLOOKUP(D1_ENERO_2026[[#This Row],[ASESOR_CRR]],PLANTILLA_ACTUAL[],2,0),"")</f>
        <v>MELINA</v>
      </c>
      <c r="F8" s="35" t="s">
        <v>10</v>
      </c>
      <c r="G8" s="37">
        <v>39111</v>
      </c>
      <c r="H8" s="35" t="str">
        <f>VLOOKUP(D1_ENERO_2026[[#This Row],[ASESOR_CRR]],DIM!$C:$E,2,0)</f>
        <v>40980108</v>
      </c>
      <c r="I8" s="68">
        <f>VLOOKUP(D1_ENERO_2026[[#This Row],[ASESOR_CRR]],DIM!$C:$E,3,0)</f>
        <v>44704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0.79</v>
      </c>
      <c r="E9" s="36" t="str">
        <f>IFERROR(VLOOKUP(D1_ENERO_2026[[#This Row],[ASESOR_CRR]],PLANTILLA_ACTUAL[],2,0),"")</f>
        <v>MELINA</v>
      </c>
      <c r="F9" s="35" t="s">
        <v>75</v>
      </c>
      <c r="G9" s="37">
        <v>37920</v>
      </c>
      <c r="H9" s="35" t="str">
        <f>VLOOKUP(D1_ENERO_2026[[#This Row],[ASESOR_CRR]],DIM!$C:$E,2,0)</f>
        <v>71264767</v>
      </c>
      <c r="I9" s="68">
        <f>VLOOKUP(D1_ENERO_2026[[#This Row],[ASESOR_CRR]],DIM!$C:$E,3,0)</f>
        <v>44714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0.67177083333333332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t="str">
        <f>IFERROR(VLOOKUP(DATA_ENERO_2026[[#This Row],[ASER_]],$B:$G,4,0),"")</f>
        <v>SANDY</v>
      </c>
      <c r="P9">
        <f>IF(DATA_ENERO_2026[[#This Row],[SUPERVISOR]]="","",VLOOKUP(DATA_ENERO_2026[[#This Row],[ASER_]],$B:$G,6,0))</f>
        <v>32245</v>
      </c>
      <c r="Q9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313819</v>
      </c>
      <c r="AS9" s="17">
        <f>IFERROR(DITE_ENERO_2026[[#This Row],[RECUPERO SUPERVISOR]]/DITE_ENERO_2026[[#This Row],[META SUPER]],"")</f>
        <v>0.72696799959229252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/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0.52593749999999995</v>
      </c>
      <c r="E10" s="36" t="str">
        <f>IFERROR(VLOOKUP(D1_ENERO_2026[[#This Row],[ASESOR_CRR]],PLANTILLA_ACTUAL[],2,0),"")</f>
        <v>MELINA</v>
      </c>
      <c r="F10" s="35" t="s">
        <v>12</v>
      </c>
      <c r="G10" s="37">
        <v>25245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0.83314583333333336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SANDY</v>
      </c>
      <c r="P10">
        <f>IF(DATA_ENERO_2026[[#This Row],[SUPERVISOR]]="","",VLOOKUP(DATA_ENERO_2026[[#This Row],[ASER_]],$B:$G,6,0))</f>
        <v>39991</v>
      </c>
      <c r="Q10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282268</v>
      </c>
      <c r="AS10" s="18">
        <f>IFERROR(DITE_ENERO_2026[[#This Row],[RECUPERO SUPERVISOR]]/DITE_ENERO_2026[[#This Row],[META SUPER]],"")</f>
        <v>0.65387947609582975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/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0.51572916666666668</v>
      </c>
      <c r="E11" s="36" t="str">
        <f>IFERROR(VLOOKUP(D1_ENERO_2026[[#This Row],[ASESOR_CRR]],PLANTILLA_ACTUAL[],2,0),"")</f>
        <v>MELINA</v>
      </c>
      <c r="F11" s="35" t="s">
        <v>18</v>
      </c>
      <c r="G11" s="37">
        <v>24755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1.2446874999999999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SANDY</v>
      </c>
      <c r="P11">
        <f>IF(DATA_ENERO_2026[[#This Row],[SUPERVISOR]]="","",VLOOKUP(DATA_ENERO_2026[[#This Row],[ASER_]],$B:$G,6,0))</f>
        <v>59745</v>
      </c>
      <c r="Q11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233160.03</v>
      </c>
      <c r="AS11" s="17">
        <f>IFERROR(DITE_ENERO_2026[[#This Row],[RECUPERO SUPERVISOR]]/DITE_ENERO_2026[[#This Row],[META SUPER]],"")</f>
        <v>0.79303435257304178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/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0.48293750000000002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t="str">
        <f>IFERROR(VLOOKUP(DATA_ENERO_2026[[#This Row],[ASER_]],$B:$G,4,0),"")</f>
        <v>SANDY</v>
      </c>
      <c r="P12">
        <f>IF(DATA_ENERO_2026[[#This Row],[SUPERVISOR]]="","",VLOOKUP(DATA_ENERO_2026[[#This Row],[ASER_]],$B:$G,6,0))</f>
        <v>23181</v>
      </c>
      <c r="Q12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241659</v>
      </c>
      <c r="AS12" s="18">
        <f>IFERROR(DITE_ENERO_2026[[#This Row],[RECUPERO SUPERVISOR]]/DITE_ENERO_2026[[#This Row],[META SUPER]],"")</f>
        <v>0.96211789436804762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/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0.59172916666666664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t="str">
        <f>IFERROR(VLOOKUP(DATA_ENERO_2026[[#This Row],[ASER_]],$B:$G,4,0),"")</f>
        <v>SANDY</v>
      </c>
      <c r="P13">
        <f>IF(DATA_ENERO_2026[[#This Row],[SUPERVISOR]]="","",VLOOKUP(DATA_ENERO_2026[[#This Row],[ASER_]],$B:$G,6,0))</f>
        <v>28403</v>
      </c>
      <c r="Q13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210048</v>
      </c>
      <c r="AS13" s="17">
        <f>IFERROR(DITE_ENERO_2026[[#This Row],[RECUPERO SUPERVISOR]]/DITE_ENERO_2026[[#This Row],[META SUPER]],"")</f>
        <v>0.70703473440082398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/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0.198125</v>
      </c>
      <c r="E14" s="36" t="str">
        <f>IFERROR(VLOOKUP(D1_ENERO_2026[[#This Row],[ASESOR_CRR]],PLANTILLA_ACTUAL[],2,0),"")</f>
        <v>MELINA</v>
      </c>
      <c r="F14" s="35" t="s">
        <v>72</v>
      </c>
      <c r="G14" s="37">
        <v>9510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0.29083333333333333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&gt;0%</v>
      </c>
      <c r="O14" t="str">
        <f>IFERROR(VLOOKUP(DATA_ENERO_2026[[#This Row],[ASER_]],$B:$G,4,0),"")</f>
        <v>SANDY</v>
      </c>
      <c r="P14">
        <f>IF(DATA_ENERO_2026[[#This Row],[SUPERVISOR]]="","",VLOOKUP(DATA_ENERO_2026[[#This Row],[ASER_]],$B:$G,6,0))</f>
        <v>13960</v>
      </c>
      <c r="Q14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1.3400716845878136</v>
      </c>
      <c r="E15" s="36" t="str">
        <f>IFERROR(VLOOKUP(D1_ENERO_2026[[#This Row],[ASESOR_CRR]],PLANTILLA_ACTUAL[],2,0),"")</f>
        <v>KENNETH</v>
      </c>
      <c r="F15" s="35" t="s">
        <v>34</v>
      </c>
      <c r="G15" s="37">
        <v>37388</v>
      </c>
      <c r="H15" s="35" t="str">
        <f>VLOOKUP(D1_ENERO_2026[[#This Row],[ASESOR_CRR]],DIM!$C:$E,2,0)</f>
        <v>76824571</v>
      </c>
      <c r="I15" s="68">
        <f>VLOOKUP(D1_ENERO_2026[[#This Row],[ASESOR_CRR]],DIM!$C:$E,3,0)</f>
        <v>45173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0.6645833333333333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&gt;40%</v>
      </c>
      <c r="O15" t="str">
        <f>IFERROR(VLOOKUP(DATA_ENERO_2026[[#This Row],[ASER_]],$B:$G,4,0),"")</f>
        <v>SANDY</v>
      </c>
      <c r="P15">
        <f>IF(DATA_ENERO_2026[[#This Row],[SUPERVISOR]]="","",VLOOKUP(DATA_ENERO_2026[[#This Row],[ASER_]],$B:$G,6,0))</f>
        <v>31900</v>
      </c>
      <c r="Q15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1.3320430107526882</v>
      </c>
      <c r="E16" s="36" t="str">
        <f>IFERROR(VLOOKUP(D1_ENERO_2026[[#This Row],[ASESOR_CRR]],PLANTILLA_ACTUAL[],2,0),"")</f>
        <v>KENNETH</v>
      </c>
      <c r="F16" s="35" t="s">
        <v>81</v>
      </c>
      <c r="G16" s="37">
        <v>37164</v>
      </c>
      <c r="H16" s="35" t="str">
        <f>VLOOKUP(D1_ENERO_2026[[#This Row],[ASESOR_CRR]],DIM!$C:$E,2,0)</f>
        <v>72716299</v>
      </c>
      <c r="I16" s="68">
        <f>VLOOKUP(D1_ENERO_2026[[#This Row],[ASESOR_CRR]],DIM!$C:$E,3,0)</f>
        <v>45511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1.0956250000000001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t="str">
        <f>IFERROR(VLOOKUP(DATA_ENERO_2026[[#This Row],[ASER_]],$B:$G,4,0),"")</f>
        <v>SANDY</v>
      </c>
      <c r="P16">
        <f>IF(DATA_ENERO_2026[[#This Row],[SUPERVISOR]]="","",VLOOKUP(DATA_ENERO_2026[[#This Row],[ASER_]],$B:$G,6,0))</f>
        <v>52590</v>
      </c>
      <c r="Q1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0.52114583333333331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SANDY</v>
      </c>
      <c r="P17">
        <f>IF(DATA_ENERO_2026[[#This Row],[SUPERVISOR]]="","",VLOOKUP(DATA_ENERO_2026[[#This Row],[ASER_]],$B:$G,6,0))</f>
        <v>25015</v>
      </c>
      <c r="Q17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1.3540797546012271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&gt;100%</v>
      </c>
      <c r="O18" t="str">
        <f>IFERROR(VLOOKUP(DATA_ENERO_2026[[#This Row],[ASER_]],$B:$G,4,0),"")</f>
        <v>JORGE</v>
      </c>
      <c r="P18">
        <f>IF(DATA_ENERO_2026[[#This Row],[SUPERVISOR]]="","",VLOOKUP(DATA_ENERO_2026[[#This Row],[ASER_]],$B:$G,6,0))</f>
        <v>44143</v>
      </c>
      <c r="Q18">
        <f>VLOOKUP(DATA_ENERO_2026[[#This Row],[ASER_]],D1_ENERO_2026[[ASESOR_CRR]:[META]],2,0)</f>
        <v>32600</v>
      </c>
      <c r="R18" t="s">
        <v>38</v>
      </c>
      <c r="S18">
        <v>0</v>
      </c>
      <c r="T18">
        <v>0</v>
      </c>
      <c r="U18">
        <v>0</v>
      </c>
      <c r="V18">
        <v>0</v>
      </c>
      <c r="W18">
        <v>0</v>
      </c>
      <c r="X18">
        <v>8573</v>
      </c>
      <c r="Y18">
        <v>18000</v>
      </c>
      <c r="Z18">
        <v>0</v>
      </c>
      <c r="AA18">
        <v>910</v>
      </c>
      <c r="AB18">
        <v>6200</v>
      </c>
      <c r="AC18">
        <v>700</v>
      </c>
      <c r="AD18">
        <v>1000</v>
      </c>
      <c r="AE18">
        <v>300</v>
      </c>
      <c r="AF18">
        <v>260</v>
      </c>
      <c r="AG18">
        <v>8200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0.83673835125448026</v>
      </c>
      <c r="E19" s="36" t="str">
        <f>IFERROR(VLOOKUP(D1_ENERO_2026[[#This Row],[ASESOR_CRR]],PLANTILLA_ACTUAL[],2,0),"")</f>
        <v>KENNETH</v>
      </c>
      <c r="F19" t="s">
        <v>11</v>
      </c>
      <c r="G19" s="3">
        <v>23345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0.8271779141104294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&gt;70%</v>
      </c>
      <c r="O19" t="str">
        <f>IFERROR(VLOOKUP(DATA_ENERO_2026[[#This Row],[ASER_]],$B:$G,4,0),"")</f>
        <v>JORGE</v>
      </c>
      <c r="P19">
        <f>IF(DATA_ENERO_2026[[#This Row],[SUPERVISOR]]="","",VLOOKUP(DATA_ENERO_2026[[#This Row],[ASER_]],$B:$G,6,0))</f>
        <v>26966</v>
      </c>
      <c r="Q19">
        <f>VLOOKUP(DATA_ENERO_2026[[#This Row],[ASER_]],D1_ENERO_2026[[ASESOR_CRR]:[META]],2,0)</f>
        <v>32600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6000</v>
      </c>
      <c r="X19">
        <v>0</v>
      </c>
      <c r="Y19">
        <v>1400</v>
      </c>
      <c r="Z19">
        <v>3250</v>
      </c>
      <c r="AA19">
        <v>0</v>
      </c>
      <c r="AB19">
        <v>3000</v>
      </c>
      <c r="AC19">
        <v>1716</v>
      </c>
      <c r="AD19">
        <v>7400</v>
      </c>
      <c r="AE19">
        <v>0</v>
      </c>
      <c r="AF19">
        <v>0</v>
      </c>
      <c r="AG19">
        <v>4200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0.7958781362007169</v>
      </c>
      <c r="E20" s="36" t="str">
        <f>IFERROR(VLOOKUP(D1_ENERO_2026[[#This Row],[ASESOR_CRR]],PLANTILLA_ACTUAL[],2,0),"")</f>
        <v>KENNETH</v>
      </c>
      <c r="F20" t="s">
        <v>105</v>
      </c>
      <c r="G20" s="3">
        <v>22205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0.45932208588957052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&gt;40%</v>
      </c>
      <c r="O20" t="str">
        <f>IFERROR(VLOOKUP(DATA_ENERO_2026[[#This Row],[ASER_]],$B:$G,4,0),"")</f>
        <v>JORGE</v>
      </c>
      <c r="P20">
        <f>IF(DATA_ENERO_2026[[#This Row],[SUPERVISOR]]="","",VLOOKUP(DATA_ENERO_2026[[#This Row],[ASER_]],$B:$G,6,0))</f>
        <v>14973.9</v>
      </c>
      <c r="Q20">
        <f>VLOOKUP(DATA_ENERO_2026[[#This Row],[ASER_]],D1_ENERO_2026[[ASESOR_CRR]:[META]],2,0)</f>
        <v>32600</v>
      </c>
      <c r="R20" t="s">
        <v>29</v>
      </c>
      <c r="S20">
        <v>1108</v>
      </c>
      <c r="T20">
        <v>0</v>
      </c>
      <c r="U20">
        <v>250</v>
      </c>
      <c r="V20">
        <v>380</v>
      </c>
      <c r="W20">
        <v>0</v>
      </c>
      <c r="X20">
        <v>1650</v>
      </c>
      <c r="Y20">
        <v>0</v>
      </c>
      <c r="Z20">
        <v>0</v>
      </c>
      <c r="AA20">
        <v>3815</v>
      </c>
      <c r="AB20">
        <v>1000</v>
      </c>
      <c r="AC20">
        <v>5364.5</v>
      </c>
      <c r="AD20">
        <v>0</v>
      </c>
      <c r="AE20">
        <v>519</v>
      </c>
      <c r="AF20">
        <v>637</v>
      </c>
      <c r="AG20">
        <v>250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0.72104693251533747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JORGE</v>
      </c>
      <c r="P21">
        <f>IF(DATA_ENERO_2026[[#This Row],[SUPERVISOR]]="","",VLOOKUP(DATA_ENERO_2026[[#This Row],[ASER_]],$B:$G,6,0))</f>
        <v>23506.13</v>
      </c>
      <c r="Q21">
        <f>VLOOKUP(DATA_ENERO_2026[[#This Row],[ASER_]],D1_ENERO_2026[[ASESOR_CRR]:[META]],2,0)</f>
        <v>32600</v>
      </c>
      <c r="R21" t="s">
        <v>42</v>
      </c>
      <c r="S21">
        <v>0</v>
      </c>
      <c r="T21">
        <v>1650</v>
      </c>
      <c r="U21">
        <v>0</v>
      </c>
      <c r="V21">
        <v>1825</v>
      </c>
      <c r="W21">
        <v>0</v>
      </c>
      <c r="X21">
        <v>0</v>
      </c>
      <c r="Y21">
        <v>0</v>
      </c>
      <c r="Z21">
        <v>5000</v>
      </c>
      <c r="AA21">
        <v>4631.13</v>
      </c>
      <c r="AB21">
        <v>125</v>
      </c>
      <c r="AC21">
        <v>1215</v>
      </c>
      <c r="AD21">
        <v>0</v>
      </c>
      <c r="AE21">
        <v>0</v>
      </c>
      <c r="AF21">
        <v>3860</v>
      </c>
      <c r="AG21">
        <v>5200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0.21904907975460122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&gt;0%</v>
      </c>
      <c r="O22" t="str">
        <f>IFERROR(VLOOKUP(DATA_ENERO_2026[[#This Row],[ASER_]],$B:$G,4,0),"")</f>
        <v>JORGE</v>
      </c>
      <c r="P22">
        <f>IF(DATA_ENERO_2026[[#This Row],[SUPERVISOR]]="","",VLOOKUP(DATA_ENERO_2026[[#This Row],[ASER_]],$B:$G,6,0))</f>
        <v>7141</v>
      </c>
      <c r="Q22">
        <f>VLOOKUP(DATA_ENERO_2026[[#This Row],[ASER_]],D1_ENERO_2026[[ASESOR_CRR]:[META]],2,0)</f>
        <v>32600</v>
      </c>
      <c r="R22" t="s">
        <v>15</v>
      </c>
      <c r="S22">
        <v>0</v>
      </c>
      <c r="T22">
        <v>0</v>
      </c>
      <c r="U22">
        <v>0</v>
      </c>
      <c r="V22">
        <v>0</v>
      </c>
      <c r="W22">
        <v>351</v>
      </c>
      <c r="X22">
        <v>340</v>
      </c>
      <c r="Y22">
        <v>0</v>
      </c>
      <c r="Z22">
        <v>3130</v>
      </c>
      <c r="AA22">
        <v>0</v>
      </c>
      <c r="AB22">
        <v>3000</v>
      </c>
      <c r="AC22">
        <v>0</v>
      </c>
      <c r="AD22">
        <v>0</v>
      </c>
      <c r="AE22">
        <v>0</v>
      </c>
      <c r="AF22">
        <v>0</v>
      </c>
      <c r="AG22">
        <v>320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0.22946236559139785</v>
      </c>
      <c r="E23" s="36" t="str">
        <f>IFERROR(VLOOKUP(D1_ENERO_2026[[#This Row],[ASESOR_CRR]],PLANTILLA_ACTUAL[],2,0),"")</f>
        <v>KENNETH</v>
      </c>
      <c r="F23" t="s">
        <v>35</v>
      </c>
      <c r="G23" s="3">
        <v>6402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1.5793865030674847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JORGE</v>
      </c>
      <c r="P23">
        <f>IF(DATA_ENERO_2026[[#This Row],[SUPERVISOR]]="","",VLOOKUP(DATA_ENERO_2026[[#This Row],[ASER_]],$B:$G,6,0))</f>
        <v>51488</v>
      </c>
      <c r="Q23">
        <f>VLOOKUP(DATA_ENERO_2026[[#This Row],[ASER_]],D1_ENERO_2026[[ASESOR_CRR]:[META]],2,0)</f>
        <v>32600</v>
      </c>
      <c r="R23" t="s">
        <v>25</v>
      </c>
      <c r="S23">
        <v>0</v>
      </c>
      <c r="T23">
        <v>458</v>
      </c>
      <c r="U23">
        <v>0</v>
      </c>
      <c r="V23">
        <v>0</v>
      </c>
      <c r="W23">
        <v>10500</v>
      </c>
      <c r="X23">
        <v>0</v>
      </c>
      <c r="Y23">
        <v>2500</v>
      </c>
      <c r="Z23">
        <v>4780</v>
      </c>
      <c r="AA23">
        <v>10000</v>
      </c>
      <c r="AB23">
        <v>0</v>
      </c>
      <c r="AC23">
        <v>2250</v>
      </c>
      <c r="AD23">
        <v>0</v>
      </c>
      <c r="AE23">
        <v>0</v>
      </c>
      <c r="AF23">
        <v>10000</v>
      </c>
      <c r="AG23">
        <v>11000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1.0308282208588957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t="str">
        <f>IFERROR(VLOOKUP(DATA_ENERO_2026[[#This Row],[ASER_]],$B:$G,4,0),"")</f>
        <v>JORGE</v>
      </c>
      <c r="P24">
        <f>IF(DATA_ENERO_2026[[#This Row],[SUPERVISOR]]="","",VLOOKUP(DATA_ENERO_2026[[#This Row],[ASER_]],$B:$G,6,0))</f>
        <v>33605</v>
      </c>
      <c r="Q24">
        <f>VLOOKUP(DATA_ENERO_2026[[#This Row],[ASER_]],D1_ENERO_2026[[ASESOR_CRR]:[META]],2,0)</f>
        <v>32600</v>
      </c>
      <c r="R24" t="s">
        <v>76</v>
      </c>
      <c r="S24">
        <v>0</v>
      </c>
      <c r="T24">
        <v>8000</v>
      </c>
      <c r="U24">
        <v>0</v>
      </c>
      <c r="V24">
        <v>800</v>
      </c>
      <c r="W24">
        <v>0</v>
      </c>
      <c r="X24">
        <v>4000</v>
      </c>
      <c r="Y24">
        <v>4200</v>
      </c>
      <c r="Z24">
        <v>8050</v>
      </c>
      <c r="AA24">
        <v>0</v>
      </c>
      <c r="AB24">
        <v>5105</v>
      </c>
      <c r="AC24">
        <v>250</v>
      </c>
      <c r="AD24">
        <v>450</v>
      </c>
      <c r="AE24">
        <v>450</v>
      </c>
      <c r="AF24">
        <v>2000</v>
      </c>
      <c r="AG24">
        <v>300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1.3858367346938776</v>
      </c>
      <c r="E25" s="36" t="str">
        <f>IFERROR(VLOOKUP(D1_ENERO_2026[[#This Row],[ASESOR_CRR]],PLANTILLA_ACTUAL[],2,0),"")</f>
        <v>JOHAN</v>
      </c>
      <c r="F25" t="s">
        <v>77</v>
      </c>
      <c r="G25" s="3">
        <v>33953</v>
      </c>
      <c r="H25" t="str">
        <f>VLOOKUP(D1_ENERO_2026[[#This Row],[ASESOR_CRR]],DIM!$C:$E,2,0)</f>
        <v>42251780</v>
      </c>
      <c r="I25" s="59">
        <f>VLOOKUP(D1_ENERO_2026[[#This Row],[ASESOR_CRR]],DIM!$C:$E,3,0)</f>
        <v>44838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0.51953987730061346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JORGE</v>
      </c>
      <c r="P25">
        <f>IF(DATA_ENERO_2026[[#This Row],[SUPERVISOR]]="","",VLOOKUP(DATA_ENERO_2026[[#This Row],[ASER_]],$B:$G,6,0))</f>
        <v>16937</v>
      </c>
      <c r="Q25">
        <f>VLOOKUP(DATA_ENERO_2026[[#This Row],[ASER_]],D1_ENERO_2026[[ASESOR_CRR]:[META]],2,0)</f>
        <v>32600</v>
      </c>
      <c r="R25" t="s">
        <v>79</v>
      </c>
      <c r="S25">
        <v>0</v>
      </c>
      <c r="T25">
        <v>0</v>
      </c>
      <c r="U25">
        <v>400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250</v>
      </c>
      <c r="AD25">
        <v>3500</v>
      </c>
      <c r="AE25">
        <v>0</v>
      </c>
      <c r="AF25">
        <v>7150</v>
      </c>
      <c r="AG25">
        <v>5637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1.1759591836734693</v>
      </c>
      <c r="E26" s="36" t="str">
        <f>IFERROR(VLOOKUP(D1_ENERO_2026[[#This Row],[ASESOR_CRR]],PLANTILLA_ACTUAL[],2,0),"")</f>
        <v>JOHAN</v>
      </c>
      <c r="F26" t="s">
        <v>58</v>
      </c>
      <c r="G26" s="3">
        <v>28811</v>
      </c>
      <c r="H26" t="str">
        <f>VLOOKUP(D1_ENERO_2026[[#This Row],[ASESOR_CRR]],DIM!$C:$E,2,0)</f>
        <v>72519113</v>
      </c>
      <c r="I26" s="59">
        <f>VLOOKUP(D1_ENERO_2026[[#This Row],[ASESOR_CRR]],DIM!$C:$E,3,0)</f>
        <v>43119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0.39570552147239263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&gt;0%</v>
      </c>
      <c r="O26" t="str">
        <f>IFERROR(VLOOKUP(DATA_ENERO_2026[[#This Row],[ASER_]],$B:$G,4,0),"")</f>
        <v>JORGE</v>
      </c>
      <c r="P26">
        <f>IF(DATA_ENERO_2026[[#This Row],[SUPERVISOR]]="","",VLOOKUP(DATA_ENERO_2026[[#This Row],[ASER_]],$B:$G,6,0))</f>
        <v>12900</v>
      </c>
      <c r="Q26">
        <f>VLOOKUP(DATA_ENERO_2026[[#This Row],[ASER_]],D1_ENERO_2026[[ASESOR_CRR]:[META]],2,0)</f>
        <v>32600</v>
      </c>
      <c r="R26" t="s">
        <v>78</v>
      </c>
      <c r="S26">
        <v>500</v>
      </c>
      <c r="T26">
        <v>0</v>
      </c>
      <c r="U26">
        <v>0</v>
      </c>
      <c r="V26">
        <v>0</v>
      </c>
      <c r="W26">
        <v>0</v>
      </c>
      <c r="X26">
        <v>1640</v>
      </c>
      <c r="Y26">
        <v>450</v>
      </c>
      <c r="Z26">
        <v>0</v>
      </c>
      <c r="AA26">
        <v>3500</v>
      </c>
      <c r="AB26">
        <v>2000</v>
      </c>
      <c r="AC26">
        <v>0</v>
      </c>
      <c r="AD26">
        <v>4810</v>
      </c>
      <c r="AE26">
        <v>0</v>
      </c>
      <c r="AF26">
        <v>0</v>
      </c>
      <c r="AG26">
        <v>0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0.22808163265306122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5588</v>
      </c>
      <c r="Q27">
        <f>VLOOKUP(DATA_ENERO_2026[[#This Row],[ASER_]],D1_ENERO_2026[[ASESOR_CRR]:[META]],2,0)</f>
        <v>24500</v>
      </c>
      <c r="R27" t="s">
        <v>40</v>
      </c>
      <c r="S27" s="46">
        <v>0</v>
      </c>
      <c r="T27">
        <v>0</v>
      </c>
      <c r="U27">
        <v>0</v>
      </c>
      <c r="V27">
        <v>0</v>
      </c>
      <c r="W27">
        <v>0</v>
      </c>
      <c r="X27">
        <v>1000</v>
      </c>
      <c r="Y27">
        <v>600</v>
      </c>
      <c r="Z27">
        <v>200</v>
      </c>
      <c r="AA27">
        <v>0</v>
      </c>
      <c r="AB27">
        <v>2050</v>
      </c>
      <c r="AC27">
        <v>238</v>
      </c>
      <c r="AD27">
        <v>0</v>
      </c>
      <c r="AE27">
        <v>0</v>
      </c>
      <c r="AF27">
        <v>700</v>
      </c>
      <c r="AG27">
        <v>800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0.83612244897959187</v>
      </c>
      <c r="E28" s="36" t="str">
        <f>IFERROR(VLOOKUP(D1_ENERO_2026[[#This Row],[ASESOR_CRR]],PLANTILLA_ACTUAL[],2,0),"")</f>
        <v>JOHAN</v>
      </c>
      <c r="F28" t="s">
        <v>97</v>
      </c>
      <c r="G28" s="3">
        <v>20485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1.3858367346938776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33953</v>
      </c>
      <c r="Q28">
        <f>VLOOKUP(DATA_ENERO_2026[[#This Row],[ASER_]],D1_ENERO_2026[[ASESOR_CRR]:[META]],2,0)</f>
        <v>24500</v>
      </c>
      <c r="R28" t="s">
        <v>77</v>
      </c>
      <c r="S28" s="46">
        <v>200</v>
      </c>
      <c r="T28">
        <v>4150</v>
      </c>
      <c r="U28">
        <v>3000</v>
      </c>
      <c r="V28">
        <v>3500</v>
      </c>
      <c r="W28">
        <v>0</v>
      </c>
      <c r="X28">
        <v>400</v>
      </c>
      <c r="Y28">
        <v>1222</v>
      </c>
      <c r="Z28">
        <v>300</v>
      </c>
      <c r="AA28">
        <v>0</v>
      </c>
      <c r="AB28">
        <v>15700</v>
      </c>
      <c r="AC28">
        <v>481</v>
      </c>
      <c r="AD28">
        <v>5000</v>
      </c>
      <c r="AE28">
        <v>0</v>
      </c>
      <c r="AF28">
        <v>0</v>
      </c>
      <c r="AG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0.78665306122448975</v>
      </c>
      <c r="E29" s="36" t="str">
        <f>IFERROR(VLOOKUP(D1_ENERO_2026[[#This Row],[ASESOR_CRR]],PLANTILLA_ACTUAL[],2,0),"")</f>
        <v>JOHAN</v>
      </c>
      <c r="F29" t="s">
        <v>51</v>
      </c>
      <c r="G29" s="3">
        <v>19273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0.90244897959183679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22110</v>
      </c>
      <c r="Q29">
        <f>VLOOKUP(DATA_ENERO_2026[[#This Row],[ASER_]],D1_ENERO_2026[[ASESOR_CRR]:[META]],2,0)</f>
        <v>24500</v>
      </c>
      <c r="R29" t="s">
        <v>48</v>
      </c>
      <c r="S29" s="46">
        <v>200</v>
      </c>
      <c r="T29">
        <v>4100</v>
      </c>
      <c r="U29">
        <v>1500</v>
      </c>
      <c r="V29">
        <v>6000</v>
      </c>
      <c r="W29">
        <v>3000</v>
      </c>
      <c r="X29">
        <v>1000</v>
      </c>
      <c r="Y29">
        <v>0</v>
      </c>
      <c r="Z29">
        <v>0</v>
      </c>
      <c r="AA29">
        <v>0</v>
      </c>
      <c r="AB29">
        <v>0</v>
      </c>
      <c r="AC29">
        <v>2650</v>
      </c>
      <c r="AD29">
        <v>0</v>
      </c>
      <c r="AE29">
        <v>1000</v>
      </c>
      <c r="AF29">
        <v>1660</v>
      </c>
      <c r="AG29">
        <v>1000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0.78665306122448975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19273</v>
      </c>
      <c r="Q30">
        <f>VLOOKUP(DATA_ENERO_2026[[#This Row],[ASER_]],D1_ENERO_2026[[ASESOR_CRR]:[META]],2,0)</f>
        <v>24500</v>
      </c>
      <c r="R30" t="s">
        <v>51</v>
      </c>
      <c r="S30" s="46">
        <v>0</v>
      </c>
      <c r="T30">
        <v>400</v>
      </c>
      <c r="U30">
        <v>0</v>
      </c>
      <c r="V30">
        <v>0</v>
      </c>
      <c r="W30">
        <v>0</v>
      </c>
      <c r="X30">
        <v>4000</v>
      </c>
      <c r="Y30">
        <v>2500</v>
      </c>
      <c r="Z30">
        <v>0</v>
      </c>
      <c r="AA30">
        <v>0</v>
      </c>
      <c r="AB30">
        <v>273</v>
      </c>
      <c r="AC30">
        <v>0</v>
      </c>
      <c r="AD30">
        <v>500</v>
      </c>
      <c r="AE30">
        <v>300</v>
      </c>
      <c r="AF30">
        <v>10000</v>
      </c>
      <c r="AG30">
        <v>1300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0.83612244897959187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20485</v>
      </c>
      <c r="Q31">
        <f>VLOOKUP(DATA_ENERO_2026[[#This Row],[ASER_]],D1_ENERO_2026[[ASESOR_CRR]:[META]],2,0)</f>
        <v>24500</v>
      </c>
      <c r="R31" t="s">
        <v>97</v>
      </c>
      <c r="S31" s="46">
        <v>0</v>
      </c>
      <c r="T31">
        <v>0</v>
      </c>
      <c r="U31">
        <v>5900</v>
      </c>
      <c r="V31">
        <v>400</v>
      </c>
      <c r="W31">
        <v>0</v>
      </c>
      <c r="X31">
        <v>2067</v>
      </c>
      <c r="Y31">
        <v>500</v>
      </c>
      <c r="Z31">
        <v>0</v>
      </c>
      <c r="AA31">
        <v>6100</v>
      </c>
      <c r="AB31">
        <v>0</v>
      </c>
      <c r="AC31">
        <v>3718</v>
      </c>
      <c r="AD31">
        <v>700</v>
      </c>
      <c r="AE31">
        <v>500</v>
      </c>
      <c r="AF31">
        <v>0</v>
      </c>
      <c r="AG31">
        <v>600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1.1759591836734693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28811</v>
      </c>
      <c r="Q32">
        <f>VLOOKUP(DATA_ENERO_2026[[#This Row],[ASER_]],D1_ENERO_2026[[ASESOR_CRR]:[META]],2,0)</f>
        <v>24500</v>
      </c>
      <c r="R32" t="s">
        <v>58</v>
      </c>
      <c r="S32">
        <v>1000</v>
      </c>
      <c r="T32">
        <v>0</v>
      </c>
      <c r="U32">
        <v>1650</v>
      </c>
      <c r="V32">
        <v>205</v>
      </c>
      <c r="W32">
        <v>11100</v>
      </c>
      <c r="X32">
        <v>0</v>
      </c>
      <c r="Y32">
        <v>500</v>
      </c>
      <c r="Z32">
        <v>0</v>
      </c>
      <c r="AA32">
        <v>2850</v>
      </c>
      <c r="AB32">
        <v>300</v>
      </c>
      <c r="AC32">
        <v>7000</v>
      </c>
      <c r="AD32">
        <v>706</v>
      </c>
      <c r="AE32">
        <v>150</v>
      </c>
      <c r="AF32">
        <v>1750</v>
      </c>
      <c r="AG32">
        <v>1600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</v>
      </c>
      <c r="E33" s="36" t="str">
        <f>IFERROR(VLOOKUP(D1_ENERO_2026[[#This Row],[ASESOR_CRR]],PLANTILLA_ACTUAL[],2,0),"")</f>
        <v>JOHAN</v>
      </c>
      <c r="F33" t="s">
        <v>73</v>
      </c>
      <c r="G33" s="3">
        <v>12250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0.16632653061224489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4075</v>
      </c>
      <c r="Q33">
        <f>VLOOKUP(DATA_ENERO_2026[[#This Row],[ASER_]],D1_ENERO_2026[[ASESOR_CRR]:[META]],2,0)</f>
        <v>24500</v>
      </c>
      <c r="R33" t="s">
        <v>55</v>
      </c>
      <c r="S33">
        <v>310</v>
      </c>
      <c r="T33">
        <v>280</v>
      </c>
      <c r="U33">
        <v>735</v>
      </c>
      <c r="V33">
        <v>500</v>
      </c>
      <c r="W33">
        <v>0</v>
      </c>
      <c r="X33">
        <v>0</v>
      </c>
      <c r="Y33">
        <v>0</v>
      </c>
      <c r="Z33">
        <v>0</v>
      </c>
      <c r="AA33">
        <v>2250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0.22808163265306122</v>
      </c>
      <c r="E34" s="36" t="str">
        <f>IFERROR(VLOOKUP(D1_ENERO_2026[[#This Row],[ASESOR_CRR]],PLANTILLA_ACTUAL[],2,0),"")</f>
        <v>JOHAN</v>
      </c>
      <c r="F34" t="s">
        <v>40</v>
      </c>
      <c r="G34" s="3">
        <v>5588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0.16269387755102041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3986</v>
      </c>
      <c r="Q34">
        <f>VLOOKUP(DATA_ENERO_2026[[#This Row],[ASER_]],D1_ENERO_2026[[ASESOR_CRR]:[META]],2,0)</f>
        <v>24500</v>
      </c>
      <c r="R34" t="s">
        <v>41</v>
      </c>
      <c r="S34">
        <v>0</v>
      </c>
      <c r="T34">
        <v>1486</v>
      </c>
      <c r="U34">
        <v>0</v>
      </c>
      <c r="V34">
        <v>0</v>
      </c>
      <c r="W34">
        <v>0</v>
      </c>
      <c r="X34">
        <v>200</v>
      </c>
      <c r="Y34">
        <v>2300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0.16632653061224489</v>
      </c>
      <c r="E35" s="36" t="str">
        <f>IFERROR(VLOOKUP(D1_ENERO_2026[[#This Row],[ASESOR_CRR]],PLANTILLA_ACTUAL[],2,0),"")</f>
        <v>JOHAN</v>
      </c>
      <c r="F35" t="s">
        <v>55</v>
      </c>
      <c r="G35" s="3">
        <v>4075</v>
      </c>
      <c r="H35" t="str">
        <f>VLOOKUP(D1_ENERO_2026[[#This Row],[ASESOR_CRR]],DIM!$C:$E,2,0)</f>
        <v>45119892</v>
      </c>
      <c r="I35" s="59">
        <f>VLOOKUP(D1_ENERO_2026[[#This Row],[ASESOR_CRR]],DIM!$C:$E,3,0)</f>
        <v>45813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0.5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&gt;40%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12250</v>
      </c>
      <c r="Q35">
        <f>VLOOKUP(DATA_ENERO_2026[[#This Row],[ASER_]],D1_ENERO_2026[[ASESOR_CRR]:[META]],2,0)</f>
        <v>24500</v>
      </c>
      <c r="R35" t="s">
        <v>73</v>
      </c>
      <c r="S35">
        <v>0</v>
      </c>
      <c r="T35">
        <v>600</v>
      </c>
      <c r="U35">
        <v>0</v>
      </c>
      <c r="V35">
        <v>0</v>
      </c>
      <c r="W35">
        <v>0</v>
      </c>
      <c r="X35">
        <v>2500</v>
      </c>
      <c r="Y35">
        <v>1500</v>
      </c>
      <c r="Z35">
        <v>0</v>
      </c>
      <c r="AA35">
        <v>0</v>
      </c>
      <c r="AB35">
        <v>3200</v>
      </c>
      <c r="AC35">
        <v>1600</v>
      </c>
      <c r="AD35">
        <v>250</v>
      </c>
      <c r="AE35">
        <v>0</v>
      </c>
      <c r="AF35">
        <v>600</v>
      </c>
      <c r="AG35">
        <v>2000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0.16269387755102041</v>
      </c>
      <c r="E36" s="36" t="str">
        <f>IFERROR(VLOOKUP(D1_ENERO_2026[[#This Row],[ASESOR_CRR]],PLANTILLA_ACTUAL[],2,0),"")</f>
        <v>JOHAN</v>
      </c>
      <c r="F36" t="s">
        <v>41</v>
      </c>
      <c r="G36" s="3">
        <v>3986</v>
      </c>
      <c r="H36" t="str">
        <f>VLOOKUP(D1_ENERO_2026[[#This Row],[ASESOR_CRR]],DIM!$C:$E,2,0)</f>
        <v>46461021</v>
      </c>
      <c r="I36" s="59">
        <f>VLOOKUP(D1_ENERO_2026[[#This Row],[ASESOR_CRR]],DIM!$C:$E,3,0)</f>
        <v>45302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0.63775510204081631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15625</v>
      </c>
      <c r="Q36">
        <f>VLOOKUP(DATA_ENERO_2026[[#This Row],[ASER_]],D1_ENERO_2026[[ASESOR_CRR]:[META]],2,0)</f>
        <v>24500</v>
      </c>
      <c r="R36" t="s">
        <v>174</v>
      </c>
      <c r="S36">
        <v>0</v>
      </c>
      <c r="T36">
        <v>800</v>
      </c>
      <c r="U36">
        <v>1000</v>
      </c>
      <c r="V36">
        <v>0</v>
      </c>
      <c r="W36">
        <v>1500</v>
      </c>
      <c r="X36">
        <v>700</v>
      </c>
      <c r="Y36">
        <v>1000</v>
      </c>
      <c r="Z36">
        <v>500</v>
      </c>
      <c r="AA36">
        <v>0</v>
      </c>
      <c r="AB36">
        <v>5000</v>
      </c>
      <c r="AC36">
        <v>1395</v>
      </c>
      <c r="AD36">
        <v>0</v>
      </c>
      <c r="AE36">
        <v>3500</v>
      </c>
      <c r="AF36">
        <v>0</v>
      </c>
      <c r="AG36">
        <v>230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0.13469387755102041</v>
      </c>
      <c r="E37" s="36" t="str">
        <f>IFERROR(VLOOKUP(D1_ENERO_2026[[#This Row],[ASESOR_CRR]],PLANTILLA_ACTUAL[],2,0),"")</f>
        <v>JOHAN</v>
      </c>
      <c r="F37" t="s">
        <v>527</v>
      </c>
      <c r="G37" s="3">
        <v>3300</v>
      </c>
      <c r="H37" t="str">
        <f>VLOOKUP(D1_ENERO_2026[[#This Row],[ASESOR_CRR]],DIM!$C:$E,2,0)</f>
        <v>09668687</v>
      </c>
      <c r="I37" s="59">
        <f>VLOOKUP(D1_ENERO_2026[[#This Row],[ASESOR_CRR]],DIM!$C:$E,3,0)</f>
        <v>45676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0.75102040816326532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18400</v>
      </c>
      <c r="Q37">
        <f>VLOOKUP(DATA_ENERO_2026[[#This Row],[ASER_]],D1_ENERO_2026[[ASESOR_CRR]:[META]],2,0)</f>
        <v>24500</v>
      </c>
      <c r="R37" t="s">
        <v>109</v>
      </c>
      <c r="S37">
        <v>0</v>
      </c>
      <c r="T37">
        <v>1200</v>
      </c>
      <c r="U37">
        <v>2000</v>
      </c>
      <c r="V37">
        <v>4000</v>
      </c>
      <c r="W37">
        <v>0</v>
      </c>
      <c r="X37">
        <v>0</v>
      </c>
      <c r="Y37">
        <v>3000</v>
      </c>
      <c r="Z37">
        <v>1000</v>
      </c>
      <c r="AA37">
        <v>3000</v>
      </c>
      <c r="AB37">
        <v>200</v>
      </c>
      <c r="AC37">
        <v>0</v>
      </c>
      <c r="AD37">
        <v>0</v>
      </c>
      <c r="AE37">
        <v>1000</v>
      </c>
      <c r="AF37">
        <v>3000</v>
      </c>
      <c r="AG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45673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0.58334693877551025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&gt;40%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14292</v>
      </c>
      <c r="Q38">
        <f>VLOOKUP(DATA_ENERO_2026[[#This Row],[ASER_]],D1_ENERO_2026[[ASESOR_CRR]:[META]],2,0)</f>
        <v>24500</v>
      </c>
      <c r="R38" t="s">
        <v>209</v>
      </c>
      <c r="S38">
        <v>0</v>
      </c>
      <c r="T38">
        <v>0</v>
      </c>
      <c r="U38">
        <v>0</v>
      </c>
      <c r="V38">
        <v>4000</v>
      </c>
      <c r="W38">
        <v>0</v>
      </c>
      <c r="X38">
        <v>0</v>
      </c>
      <c r="Y38">
        <v>0</v>
      </c>
      <c r="Z38">
        <v>1300</v>
      </c>
      <c r="AA38">
        <v>150</v>
      </c>
      <c r="AB38">
        <v>5920</v>
      </c>
      <c r="AC38">
        <v>1000</v>
      </c>
      <c r="AD38">
        <v>1150</v>
      </c>
      <c r="AE38">
        <v>0</v>
      </c>
      <c r="AF38">
        <v>220</v>
      </c>
      <c r="AG38">
        <v>552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0.13469387755102041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3300</v>
      </c>
      <c r="Q39">
        <f>VLOOKUP(DATA_ENERO_2026[[#This Row],[ASER_]],D1_ENERO_2026[[ASESOR_CRR]:[META]],2,0)</f>
        <v>24500</v>
      </c>
      <c r="R39" t="s">
        <v>527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3300</v>
      </c>
      <c r="AG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1.3540797546012271</v>
      </c>
      <c r="E40" s="36" t="str">
        <f>IFERROR(VLOOKUP(D1_ENERO_2026[[#This Row],[ASESOR_CRR]],PLANTILLA_ACTUAL[],2,0),"")</f>
        <v>JORGE</v>
      </c>
      <c r="F40" t="s">
        <v>38</v>
      </c>
      <c r="G40" s="3">
        <v>44143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7.7551020408163265E-2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1900</v>
      </c>
      <c r="Q40">
        <f>VLOOKUP(DATA_ENERO_2026[[#This Row],[ASER_]],D1_ENERO_2026[[ASESOR_CRR]:[META]],2,0)</f>
        <v>24500</v>
      </c>
      <c r="R40" t="s">
        <v>404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1900</v>
      </c>
      <c r="AF40">
        <v>0</v>
      </c>
      <c r="AG40">
        <v>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1.0308282208588957</v>
      </c>
      <c r="E41" s="36" t="str">
        <f>IFERROR(VLOOKUP(D1_ENERO_2026[[#This Row],[ASESOR_CRR]],PLANTILLA_ACTUAL[],2,0),"")</f>
        <v>JORGE</v>
      </c>
      <c r="F41" t="s">
        <v>76</v>
      </c>
      <c r="G41" s="3">
        <v>33605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0.72329749103942653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20180</v>
      </c>
      <c r="Q41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1.5555555555555555E-2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t="str">
        <f>IFERROR(VLOOKUP(DATA_ENERO_2026[[#This Row],[ASER_]],$B:$G,4,0),"")</f>
        <v>KENNETH</v>
      </c>
      <c r="P42">
        <f>IF(DATA_ENERO_2026[[#This Row],[SUPERVISOR]]="","",VLOOKUP(DATA_ENERO_2026[[#This Row],[ASER_]],$B:$G,6,0))</f>
        <v>434</v>
      </c>
      <c r="Q42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1.3400716845878136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KENNETH</v>
      </c>
      <c r="P43">
        <f>IF(DATA_ENERO_2026[[#This Row],[SUPERVISOR]]="","",VLOOKUP(DATA_ENERO_2026[[#This Row],[ASER_]],$B:$G,6,0))</f>
        <v>37388</v>
      </c>
      <c r="Q43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0.51953987730061346</v>
      </c>
      <c r="E44" s="36" t="str">
        <f>IFERROR(VLOOKUP(D1_ENERO_2026[[#This Row],[ASESOR_CRR]],PLANTILLA_ACTUAL[],2,0),"")</f>
        <v>JORGE</v>
      </c>
      <c r="F44" t="s">
        <v>79</v>
      </c>
      <c r="G44" s="3">
        <v>16937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0.22946236559139785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KENNETH</v>
      </c>
      <c r="P44">
        <f>IF(DATA_ENERO_2026[[#This Row],[SUPERVISOR]]="","",VLOOKUP(DATA_ENERO_2026[[#This Row],[ASER_]],$B:$G,6,0))</f>
        <v>6402</v>
      </c>
      <c r="Q44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0.45932208588957052</v>
      </c>
      <c r="E45" s="36" t="str">
        <f>IFERROR(VLOOKUP(D1_ENERO_2026[[#This Row],[ASESOR_CRR]],PLANTILLA_ACTUAL[],2,0),"")</f>
        <v>JORGE</v>
      </c>
      <c r="F45" t="s">
        <v>29</v>
      </c>
      <c r="G45" s="3">
        <v>14973.9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1.2525089605734767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t="str">
        <f>IFERROR(VLOOKUP(DATA_ENERO_2026[[#This Row],[ASER_]],$B:$G,4,0),"")</f>
        <v>KENNETH</v>
      </c>
      <c r="P45">
        <f>IF(DATA_ENERO_2026[[#This Row],[SUPERVISOR]]="","",VLOOKUP(DATA_ENERO_2026[[#This Row],[ASER_]],$B:$G,6,0))</f>
        <v>34945</v>
      </c>
      <c r="Q45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1.3320430107526882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t="str">
        <f>IFERROR(VLOOKUP(DATA_ENERO_2026[[#This Row],[ASER_]],$B:$G,4,0),"")</f>
        <v>KENNETH</v>
      </c>
      <c r="P46">
        <f>IF(DATA_ENERO_2026[[#This Row],[SUPERVISOR]]="","",VLOOKUP(DATA_ENERO_2026[[#This Row],[ASER_]],$B:$G,6,0))</f>
        <v>37164</v>
      </c>
      <c r="Q4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1.226989247311828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KENNETH</v>
      </c>
      <c r="P47">
        <f>IF(DATA_ENERO_2026[[#This Row],[SUPERVISOR]]="","",VLOOKUP(DATA_ENERO_2026[[#This Row],[ASER_]],$B:$G,6,0))</f>
        <v>34233</v>
      </c>
      <c r="Q47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1.2446874999999999</v>
      </c>
      <c r="E48" s="36" t="str">
        <f>IFERROR(VLOOKUP(D1_ENERO_2026[[#This Row],[ASESOR_CRR]],PLANTILLA_ACTUAL[],2,0),"")</f>
        <v>SANDY</v>
      </c>
      <c r="F48" t="s">
        <v>32</v>
      </c>
      <c r="G48" s="3">
        <v>59745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0.7958781362007169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&gt;70%</v>
      </c>
      <c r="O48" t="str">
        <f>IFERROR(VLOOKUP(DATA_ENERO_2026[[#This Row],[ASER_]],$B:$G,4,0),"")</f>
        <v>KENNETH</v>
      </c>
      <c r="P48">
        <f>IF(DATA_ENERO_2026[[#This Row],[SUPERVISOR]]="","",VLOOKUP(DATA_ENERO_2026[[#This Row],[ASER_]],$B:$G,6,0))</f>
        <v>22205</v>
      </c>
      <c r="Q48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0.65817204301075272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KENNETH</v>
      </c>
      <c r="P49">
        <f>IF(DATA_ENERO_2026[[#This Row],[SUPERVISOR]]="","",VLOOKUP(DATA_ENERO_2026[[#This Row],[ASER_]],$B:$G,6,0))</f>
        <v>18363</v>
      </c>
      <c r="Q49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0.83314583333333336</v>
      </c>
      <c r="E50" s="36" t="str">
        <f>IFERROR(VLOOKUP(D1_ENERO_2026[[#This Row],[ASESOR_CRR]],PLANTILLA_ACTUAL[],2,0),"")</f>
        <v>SANDY</v>
      </c>
      <c r="F50" t="s">
        <v>23</v>
      </c>
      <c r="G50" s="3">
        <v>39991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0.83673835125448026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KENNETH</v>
      </c>
      <c r="P50">
        <f>IF(DATA_ENERO_2026[[#This Row],[SUPERVISOR]]="","",VLOOKUP(DATA_ENERO_2026[[#This Row],[ASER_]],$B:$G,6,0))</f>
        <v>23345</v>
      </c>
      <c r="Q50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0.67177083333333332</v>
      </c>
      <c r="E51" s="36" t="str">
        <f>IFERROR(VLOOKUP(D1_ENERO_2026[[#This Row],[ASESOR_CRR]],PLANTILLA_ACTUAL[],2,0),"")</f>
        <v>SANDY</v>
      </c>
      <c r="F51" t="s">
        <v>31</v>
      </c>
      <c r="G51" s="3">
        <v>32245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0.51572916666666668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&gt;40%</v>
      </c>
      <c r="O51" t="str">
        <f>IFERROR(VLOOKUP(DATA_ENERO_2026[[#This Row],[ASER_]],$B:$G,4,0),"")</f>
        <v>MELINA</v>
      </c>
      <c r="P51">
        <f>IF(DATA_ENERO_2026[[#This Row],[SUPERVISOR]]="","",VLOOKUP(DATA_ENERO_2026[[#This Row],[ASER_]],$B:$G,6,0))</f>
        <v>24755</v>
      </c>
      <c r="Q51">
        <f>VLOOKUP(DATA_ENERO_2026[[#This Row],[ASER_]],D1_ENERO_2026[[ASESOR_CRR]:[META]],2,0)</f>
        <v>48000</v>
      </c>
      <c r="R51" t="s">
        <v>18</v>
      </c>
      <c r="S51">
        <v>0</v>
      </c>
      <c r="T51">
        <v>0</v>
      </c>
      <c r="U51">
        <v>1700</v>
      </c>
      <c r="V51">
        <v>2000</v>
      </c>
      <c r="W51">
        <v>2500</v>
      </c>
      <c r="X51">
        <v>0</v>
      </c>
      <c r="Y51">
        <v>0</v>
      </c>
      <c r="Z51">
        <v>600</v>
      </c>
      <c r="AA51">
        <v>0</v>
      </c>
      <c r="AB51">
        <v>1000</v>
      </c>
      <c r="AC51">
        <v>6550</v>
      </c>
      <c r="AD51">
        <v>2000</v>
      </c>
      <c r="AE51">
        <v>0</v>
      </c>
      <c r="AF51">
        <v>5350</v>
      </c>
      <c r="AG51">
        <v>3055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0.6645833333333333</v>
      </c>
      <c r="E52" s="36" t="str">
        <f>IFERROR(VLOOKUP(D1_ENERO_2026[[#This Row],[ASESOR_CRR]],PLANTILLA_ACTUAL[],2,0),"")</f>
        <v>SANDY</v>
      </c>
      <c r="F52" t="s">
        <v>13</v>
      </c>
      <c r="G52" s="3">
        <v>31900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1.2282708333333334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MELINA</v>
      </c>
      <c r="P52">
        <f>IF(DATA_ENERO_2026[[#This Row],[SUPERVISOR]]="","",VLOOKUP(DATA_ENERO_2026[[#This Row],[ASER_]],$B:$G,6,0))</f>
        <v>58957</v>
      </c>
      <c r="Q52">
        <f>VLOOKUP(DATA_ENERO_2026[[#This Row],[ASER_]],D1_ENERO_2026[[ASESOR_CRR]:[META]],2,0)</f>
        <v>48000</v>
      </c>
      <c r="R52" t="s">
        <v>60</v>
      </c>
      <c r="S52">
        <v>4000</v>
      </c>
      <c r="T52">
        <v>600</v>
      </c>
      <c r="U52">
        <v>3400</v>
      </c>
      <c r="V52">
        <v>2500</v>
      </c>
      <c r="W52">
        <v>0</v>
      </c>
      <c r="X52">
        <v>0</v>
      </c>
      <c r="Y52">
        <v>0</v>
      </c>
      <c r="Z52">
        <v>2500</v>
      </c>
      <c r="AA52">
        <v>3800</v>
      </c>
      <c r="AB52">
        <v>0</v>
      </c>
      <c r="AC52">
        <v>26801</v>
      </c>
      <c r="AD52">
        <v>956</v>
      </c>
      <c r="AE52">
        <v>0</v>
      </c>
      <c r="AF52">
        <v>9100</v>
      </c>
      <c r="AG52">
        <v>5300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0.59172916666666664</v>
      </c>
      <c r="E53" s="36" t="str">
        <f>IFERROR(VLOOKUP(D1_ENERO_2026[[#This Row],[ASESOR_CRR]],PLANTILLA_ACTUAL[],2,0),"")</f>
        <v>SANDY</v>
      </c>
      <c r="F53" t="s">
        <v>17</v>
      </c>
      <c r="G53" s="3">
        <v>28403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0.198125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&gt;0%</v>
      </c>
      <c r="O53" s="58" t="str">
        <f>IFERROR(VLOOKUP(DATA_ENERO_2026[[#This Row],[ASER_]],$B:$G,4,0),"")</f>
        <v>MELINA</v>
      </c>
      <c r="P53">
        <f>IF(DATA_ENERO_2026[[#This Row],[SUPERVISOR]]="","",VLOOKUP(DATA_ENERO_2026[[#This Row],[ASER_]],$B:$G,6,0))</f>
        <v>9510</v>
      </c>
      <c r="Q53">
        <f>VLOOKUP(DATA_ENERO_2026[[#This Row],[ASER_]],D1_ENERO_2026[[ASESOR_CRR]:[META]],2,0)</f>
        <v>48000</v>
      </c>
      <c r="R53" t="s">
        <v>72</v>
      </c>
      <c r="S53">
        <v>3160</v>
      </c>
      <c r="T53">
        <v>0</v>
      </c>
      <c r="U53">
        <v>2000</v>
      </c>
      <c r="V53">
        <v>0</v>
      </c>
      <c r="W53">
        <v>0</v>
      </c>
      <c r="X53">
        <v>0</v>
      </c>
      <c r="Y53">
        <v>250</v>
      </c>
      <c r="Z53">
        <v>0</v>
      </c>
      <c r="AA53">
        <v>0</v>
      </c>
      <c r="AB53">
        <v>800</v>
      </c>
      <c r="AC53">
        <v>0</v>
      </c>
      <c r="AD53">
        <v>200</v>
      </c>
      <c r="AE53">
        <v>500</v>
      </c>
      <c r="AF53">
        <v>2000</v>
      </c>
      <c r="AG53">
        <v>600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0.52593749999999995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MELINA</v>
      </c>
      <c r="P54">
        <f>IF(DATA_ENERO_2026[[#This Row],[SUPERVISOR]]="","",VLOOKUP(DATA_ENERO_2026[[#This Row],[ASER_]],$B:$G,6,0))</f>
        <v>25245</v>
      </c>
      <c r="Q54">
        <f>VLOOKUP(DATA_ENERO_2026[[#This Row],[ASER_]],D1_ENERO_2026[[ASESOR_CRR]:[META]],2,0)</f>
        <v>48000</v>
      </c>
      <c r="R54" t="s">
        <v>12</v>
      </c>
      <c r="S54">
        <v>1700</v>
      </c>
      <c r="T54">
        <v>3230</v>
      </c>
      <c r="U54">
        <v>0</v>
      </c>
      <c r="V54">
        <v>6700</v>
      </c>
      <c r="W54">
        <v>2800</v>
      </c>
      <c r="X54">
        <v>750</v>
      </c>
      <c r="Y54">
        <v>0</v>
      </c>
      <c r="Z54">
        <v>6500</v>
      </c>
      <c r="AA54">
        <v>0</v>
      </c>
      <c r="AB54">
        <v>2500</v>
      </c>
      <c r="AC54">
        <v>750</v>
      </c>
      <c r="AD54">
        <v>0</v>
      </c>
      <c r="AE54">
        <v>0</v>
      </c>
      <c r="AF54">
        <v>315</v>
      </c>
      <c r="AG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0.40135416666666668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MELINA</v>
      </c>
      <c r="P55">
        <f>IF(DATA_ENERO_2026[[#This Row],[SUPERVISOR]]="","",VLOOKUP(DATA_ENERO_2026[[#This Row],[ASER_]],$B:$G,6,0))</f>
        <v>19265</v>
      </c>
      <c r="Q55">
        <f>VLOOKUP(DATA_ENERO_2026[[#This Row],[ASER_]],D1_ENERO_2026[[ASESOR_CRR]:[META]],2,0)</f>
        <v>48000</v>
      </c>
      <c r="R55" t="s">
        <v>122</v>
      </c>
      <c r="S55">
        <v>1030</v>
      </c>
      <c r="T55">
        <v>10000</v>
      </c>
      <c r="U55">
        <v>500</v>
      </c>
      <c r="V55">
        <v>0</v>
      </c>
      <c r="W55">
        <v>0</v>
      </c>
      <c r="X55">
        <v>5300</v>
      </c>
      <c r="Y55">
        <v>0</v>
      </c>
      <c r="Z55">
        <v>0</v>
      </c>
      <c r="AA55">
        <v>0</v>
      </c>
      <c r="AB55">
        <v>1900</v>
      </c>
      <c r="AC55">
        <v>0</v>
      </c>
      <c r="AD55">
        <v>0</v>
      </c>
      <c r="AE55">
        <v>535</v>
      </c>
      <c r="AF55">
        <v>0</v>
      </c>
      <c r="AG55">
        <v>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0.79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MELINA</v>
      </c>
      <c r="P56">
        <f>IF(DATA_ENERO_2026[[#This Row],[SUPERVISOR]]="","",VLOOKUP(DATA_ENERO_2026[[#This Row],[ASER_]],$B:$G,6,0))</f>
        <v>37920</v>
      </c>
      <c r="Q56">
        <f>VLOOKUP(DATA_ENERO_2026[[#This Row],[ASER_]],D1_ENERO_2026[[ASESOR_CRR]:[META]],2,0)</f>
        <v>48000</v>
      </c>
      <c r="R56" t="s">
        <v>75</v>
      </c>
      <c r="S56">
        <v>0</v>
      </c>
      <c r="T56">
        <v>3500</v>
      </c>
      <c r="U56">
        <v>0</v>
      </c>
      <c r="V56">
        <v>0</v>
      </c>
      <c r="W56">
        <v>0</v>
      </c>
      <c r="X56">
        <v>10000</v>
      </c>
      <c r="Y56">
        <v>800</v>
      </c>
      <c r="Z56">
        <v>0</v>
      </c>
      <c r="AA56">
        <v>2000</v>
      </c>
      <c r="AB56">
        <v>3500</v>
      </c>
      <c r="AC56">
        <v>5600</v>
      </c>
      <c r="AD56">
        <v>5500</v>
      </c>
      <c r="AE56">
        <v>0</v>
      </c>
      <c r="AF56">
        <v>5520</v>
      </c>
      <c r="AG56">
        <v>1500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0.38456249999999997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&gt;0%</v>
      </c>
      <c r="O57" s="5" t="str">
        <f>IFERROR(VLOOKUP(DATA_ENERO_2026[[#This Row],[ASER_]],$B:$G,4,0),"")</f>
        <v>MELINA</v>
      </c>
      <c r="P57">
        <f>IF(DATA_ENERO_2026[[#This Row],[SUPERVISOR]]="","",VLOOKUP(DATA_ENERO_2026[[#This Row],[ASER_]],$B:$G,6,0))</f>
        <v>18459</v>
      </c>
      <c r="Q57">
        <f>VLOOKUP(DATA_ENERO_2026[[#This Row],[ASER_]],D1_ENERO_2026[[ASESOR_CRR]:[META]],2,0)</f>
        <v>48000</v>
      </c>
      <c r="R57" t="s">
        <v>208</v>
      </c>
      <c r="S57">
        <v>0</v>
      </c>
      <c r="T57">
        <v>750</v>
      </c>
      <c r="U57">
        <v>0</v>
      </c>
      <c r="V57">
        <v>0</v>
      </c>
      <c r="W57">
        <v>0</v>
      </c>
      <c r="X57">
        <v>4400</v>
      </c>
      <c r="Y57">
        <v>0</v>
      </c>
      <c r="Z57">
        <v>300</v>
      </c>
      <c r="AA57">
        <v>0</v>
      </c>
      <c r="AB57">
        <v>5000</v>
      </c>
      <c r="AC57">
        <v>700</v>
      </c>
      <c r="AD57">
        <v>1090</v>
      </c>
      <c r="AE57">
        <v>219</v>
      </c>
      <c r="AF57">
        <v>2000</v>
      </c>
      <c r="AG57">
        <v>4000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1.0217916666666667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MELINA</v>
      </c>
      <c r="P58">
        <f>IF(DATA_ENERO_2026[[#This Row],[SUPERVISOR]]="","",VLOOKUP(DATA_ENERO_2026[[#This Row],[ASER_]],$B:$G,6,0))</f>
        <v>49046</v>
      </c>
      <c r="Q58">
        <f>VLOOKUP(DATA_ENERO_2026[[#This Row],[ASER_]],D1_ENERO_2026[[ASESOR_CRR]:[META]],2,0)</f>
        <v>48000</v>
      </c>
      <c r="R58" t="s">
        <v>59</v>
      </c>
      <c r="S58">
        <v>10000</v>
      </c>
      <c r="T58">
        <v>2700</v>
      </c>
      <c r="U58">
        <v>1650</v>
      </c>
      <c r="V58">
        <v>0</v>
      </c>
      <c r="W58">
        <v>0</v>
      </c>
      <c r="X58">
        <v>10596</v>
      </c>
      <c r="Y58">
        <v>1000</v>
      </c>
      <c r="Z58">
        <v>0</v>
      </c>
      <c r="AA58">
        <v>0</v>
      </c>
      <c r="AB58">
        <v>5200</v>
      </c>
      <c r="AC58">
        <v>2500</v>
      </c>
      <c r="AD58">
        <v>0</v>
      </c>
      <c r="AE58">
        <v>11400</v>
      </c>
      <c r="AF58">
        <v>0</v>
      </c>
      <c r="AG58">
        <v>4000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0.81481250000000005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&gt;70%</v>
      </c>
      <c r="O59" s="5" t="str">
        <f>IFERROR(VLOOKUP(DATA_ENERO_2026[[#This Row],[ASER_]],$B:$G,4,0),"")</f>
        <v>MELINA</v>
      </c>
      <c r="P59">
        <f>IF(DATA_ENERO_2026[[#This Row],[SUPERVISOR]]="","",VLOOKUP(DATA_ENERO_2026[[#This Row],[ASER_]],$B:$G,6,0))</f>
        <v>39111</v>
      </c>
      <c r="Q59">
        <f>VLOOKUP(DATA_ENERO_2026[[#This Row],[ASER_]],D1_ENERO_2026[[ASESOR_CRR]:[META]],2,0)</f>
        <v>48000</v>
      </c>
      <c r="R59" t="s">
        <v>10</v>
      </c>
      <c r="S59">
        <v>700</v>
      </c>
      <c r="T59">
        <v>8751</v>
      </c>
      <c r="U59">
        <v>0</v>
      </c>
      <c r="V59">
        <v>7000</v>
      </c>
      <c r="W59">
        <v>0</v>
      </c>
      <c r="X59">
        <v>1300</v>
      </c>
      <c r="Y59">
        <v>16100</v>
      </c>
      <c r="Z59">
        <v>0</v>
      </c>
      <c r="AA59">
        <v>0</v>
      </c>
      <c r="AB59">
        <v>2000</v>
      </c>
      <c r="AC59">
        <v>360</v>
      </c>
      <c r="AD59">
        <v>0</v>
      </c>
      <c r="AE59">
        <v>0</v>
      </c>
      <c r="AF59">
        <v>700</v>
      </c>
      <c r="AG59">
        <v>2200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F1" sqref="F1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45673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45676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5588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20485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33605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16937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9510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24755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58957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32245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28811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19273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14973.9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49046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39111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31900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59745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2026-01-23T16:36:51Z</dcterms:modified>
</cp:coreProperties>
</file>