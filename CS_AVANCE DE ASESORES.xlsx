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E88882C-4D5E-41CC-B6F1-81077CC0D01E}" xr6:coauthVersionLast="47" xr6:coauthVersionMax="47" xr10:uidLastSave="{00000000-0000-0000-0000-000000000000}"/>
  <bookViews>
    <workbookView xWindow="-120" yWindow="-120" windowWidth="20730" windowHeight="11040" firstSheet="13" activeTab="14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</sheets>
  <definedNames>
    <definedName name="_xlnm._FilterDatabase" localSheetId="8" hidden="1">JULIO_2025!#REF!</definedName>
    <definedName name="DatosExternos_1" localSheetId="16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13" i="17" l="1"/>
  <c r="CI12" i="17"/>
  <c r="CI11" i="17"/>
  <c r="CI10" i="17"/>
  <c r="CI9" i="17"/>
  <c r="B58" i="17" a="1"/>
  <c r="B58" i="17" s="1"/>
  <c r="P59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F80" i="28"/>
  <c r="F68" i="28"/>
  <c r="F14" i="28"/>
  <c r="F28" i="28"/>
  <c r="F18" i="28"/>
  <c r="F41" i="28"/>
  <c r="F24" i="28"/>
  <c r="F100" i="28"/>
  <c r="F57" i="28"/>
  <c r="F93" i="28"/>
  <c r="F23" i="28"/>
  <c r="F5" i="28"/>
  <c r="F59" i="28"/>
  <c r="F87" i="28"/>
  <c r="F33" i="28"/>
  <c r="F46" i="28"/>
  <c r="F53" i="28"/>
  <c r="F12" i="28"/>
  <c r="F89" i="28"/>
  <c r="F67" i="28"/>
  <c r="F50" i="28"/>
  <c r="F19" i="28"/>
  <c r="F64" i="28"/>
  <c r="F6" i="28"/>
  <c r="F83" i="28"/>
  <c r="F8" i="28"/>
  <c r="F75" i="28"/>
  <c r="F16" i="28"/>
  <c r="F38" i="28"/>
  <c r="F106" i="28"/>
  <c r="F13" i="28"/>
  <c r="F96" i="28"/>
  <c r="F77" i="28"/>
  <c r="F62" i="28"/>
  <c r="F4" i="28"/>
  <c r="F40" i="28"/>
  <c r="F22" i="28"/>
  <c r="F66" i="28"/>
  <c r="F55" i="28"/>
  <c r="F69" i="28"/>
  <c r="F21" i="28"/>
  <c r="F85" i="28"/>
  <c r="F31" i="28"/>
  <c r="F51" i="28"/>
  <c r="F9" i="28"/>
  <c r="F44" i="28"/>
  <c r="F25" i="28"/>
  <c r="F49" i="28"/>
  <c r="F84" i="28"/>
  <c r="F82" i="28"/>
  <c r="F71" i="28"/>
  <c r="F98" i="28"/>
  <c r="F26" i="28"/>
  <c r="F102" i="28"/>
  <c r="F94" i="28"/>
  <c r="F73" i="28"/>
  <c r="F35" i="28"/>
  <c r="F45" i="28"/>
  <c r="F11" i="28"/>
  <c r="F78" i="28"/>
  <c r="F65" i="28"/>
  <c r="F63" i="28"/>
  <c r="F92" i="28"/>
  <c r="F3" i="28"/>
  <c r="F37" i="28"/>
  <c r="F81" i="28"/>
  <c r="F52" i="28"/>
  <c r="F34" i="28"/>
  <c r="F105" i="28"/>
  <c r="F97" i="28"/>
  <c r="F10" i="28"/>
  <c r="F88" i="28"/>
  <c r="F15" i="28"/>
  <c r="F20" i="28"/>
  <c r="F32" i="28"/>
  <c r="F48" i="28"/>
  <c r="F91" i="28"/>
  <c r="F74" i="28"/>
  <c r="F70" i="28"/>
  <c r="F95" i="28"/>
  <c r="F17" i="28"/>
  <c r="F72" i="28"/>
  <c r="F61" i="28"/>
  <c r="F76" i="28"/>
  <c r="F79" i="28"/>
  <c r="F101" i="28"/>
  <c r="F30" i="28"/>
  <c r="F29" i="28"/>
  <c r="F2" i="28"/>
  <c r="F27" i="28"/>
  <c r="F99" i="28"/>
  <c r="F47" i="28"/>
  <c r="F90" i="28"/>
  <c r="F36" i="28"/>
  <c r="F54" i="28"/>
  <c r="F86" i="28"/>
  <c r="F56" i="28"/>
  <c r="F39" i="28"/>
  <c r="F103" i="28"/>
  <c r="F42" i="28"/>
  <c r="F104" i="28"/>
  <c r="F60" i="28"/>
  <c r="F43" i="28"/>
  <c r="F7" i="28"/>
  <c r="F58" i="28"/>
  <c r="G80" i="28"/>
  <c r="G68" i="28"/>
  <c r="G14" i="28"/>
  <c r="G28" i="28"/>
  <c r="G18" i="28"/>
  <c r="G41" i="28"/>
  <c r="G24" i="28"/>
  <c r="G100" i="28"/>
  <c r="G57" i="28"/>
  <c r="G93" i="28"/>
  <c r="G23" i="28"/>
  <c r="G5" i="28"/>
  <c r="G59" i="28"/>
  <c r="G87" i="28"/>
  <c r="G33" i="28"/>
  <c r="G46" i="28"/>
  <c r="G53" i="28"/>
  <c r="G12" i="28"/>
  <c r="G89" i="28"/>
  <c r="G67" i="28"/>
  <c r="G50" i="28"/>
  <c r="G19" i="28"/>
  <c r="G64" i="28"/>
  <c r="G6" i="28"/>
  <c r="G83" i="28"/>
  <c r="G8" i="28"/>
  <c r="G75" i="28"/>
  <c r="G16" i="28"/>
  <c r="G38" i="28"/>
  <c r="G106" i="28"/>
  <c r="G13" i="28"/>
  <c r="G96" i="28"/>
  <c r="G77" i="28"/>
  <c r="G62" i="28"/>
  <c r="G4" i="28"/>
  <c r="G40" i="28"/>
  <c r="G22" i="28"/>
  <c r="G66" i="28"/>
  <c r="G55" i="28"/>
  <c r="G69" i="28"/>
  <c r="G21" i="28"/>
  <c r="G85" i="28"/>
  <c r="G31" i="28"/>
  <c r="G51" i="28"/>
  <c r="G9" i="28"/>
  <c r="G44" i="28"/>
  <c r="G25" i="28"/>
  <c r="G49" i="28"/>
  <c r="G84" i="28"/>
  <c r="G82" i="28"/>
  <c r="G71" i="28"/>
  <c r="G98" i="28"/>
  <c r="G26" i="28"/>
  <c r="G102" i="28"/>
  <c r="G94" i="28"/>
  <c r="G73" i="28"/>
  <c r="G35" i="28"/>
  <c r="G45" i="28"/>
  <c r="G11" i="28"/>
  <c r="G78" i="28"/>
  <c r="G65" i="28"/>
  <c r="G63" i="28"/>
  <c r="G92" i="28"/>
  <c r="G3" i="28"/>
  <c r="G37" i="28"/>
  <c r="G81" i="28"/>
  <c r="G52" i="28"/>
  <c r="G34" i="28"/>
  <c r="G105" i="28"/>
  <c r="G97" i="28"/>
  <c r="G10" i="28"/>
  <c r="G88" i="28"/>
  <c r="G15" i="28"/>
  <c r="G20" i="28"/>
  <c r="G32" i="28"/>
  <c r="G48" i="28"/>
  <c r="G91" i="28"/>
  <c r="G74" i="28"/>
  <c r="G70" i="28"/>
  <c r="G95" i="28"/>
  <c r="G17" i="28"/>
  <c r="G72" i="28"/>
  <c r="G61" i="28"/>
  <c r="G76" i="28"/>
  <c r="G79" i="28"/>
  <c r="G101" i="28"/>
  <c r="G30" i="28"/>
  <c r="G29" i="28"/>
  <c r="G2" i="28"/>
  <c r="G27" i="28"/>
  <c r="G99" i="28"/>
  <c r="G47" i="28"/>
  <c r="G90" i="28"/>
  <c r="G36" i="28"/>
  <c r="G54" i="28"/>
  <c r="G86" i="28"/>
  <c r="G56" i="28"/>
  <c r="G39" i="28"/>
  <c r="G103" i="28"/>
  <c r="G42" i="28"/>
  <c r="G104" i="28"/>
  <c r="G60" i="28"/>
  <c r="G43" i="28"/>
  <c r="G7" i="28"/>
  <c r="G58" i="28"/>
  <c r="B57" i="17" a="1"/>
  <c r="B57" i="17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C58" i="17" s="1"/>
  <c r="D58" i="17" s="1"/>
  <c r="E58" i="17"/>
  <c r="H58" i="17"/>
  <c r="I58" i="17"/>
  <c r="J58" i="17"/>
  <c r="A57" i="17"/>
  <c r="C57" i="17" s="1"/>
  <c r="D57" i="17" s="1"/>
  <c r="E57" i="17"/>
  <c r="J57" i="17"/>
  <c r="I57" i="17"/>
  <c r="H57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9" i="17" l="1"/>
  <c r="AX59" i="17" s="1"/>
  <c r="O56" i="17"/>
  <c r="AX56" i="17" s="1"/>
  <c r="C56" i="17"/>
  <c r="D56" i="17" s="1"/>
  <c r="C55" i="17"/>
  <c r="D55" i="17" s="1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O52" i="17" s="1"/>
  <c r="AX52" i="17" s="1"/>
  <c r="A53" i="17"/>
  <c r="C53" i="17" s="1"/>
  <c r="D53" i="17" s="1"/>
  <c r="J24" i="17"/>
  <c r="A9" i="17"/>
  <c r="C9" i="17" s="1"/>
  <c r="D9" i="17" s="1"/>
  <c r="H32" i="17"/>
  <c r="J3" i="17"/>
  <c r="AZ9" i="17"/>
  <c r="AZ15" i="18"/>
  <c r="BB15" i="18" s="1"/>
  <c r="A6" i="17"/>
  <c r="AZ11" i="18"/>
  <c r="BB11" i="18" s="1"/>
  <c r="AZ11" i="17"/>
  <c r="CI13" i="18"/>
  <c r="AZ13" i="17"/>
  <c r="BA11" i="17"/>
  <c r="AZ16" i="18"/>
  <c r="BB16" i="18" s="1"/>
  <c r="BA9" i="17"/>
  <c r="CI11" i="18"/>
  <c r="AZ14" i="18"/>
  <c r="BB14" i="18" s="1"/>
  <c r="BA10" i="17"/>
  <c r="CI10" i="18"/>
  <c r="CI15" i="18"/>
  <c r="BA13" i="17"/>
  <c r="CI16" i="18"/>
  <c r="CI9" i="18"/>
  <c r="AZ12" i="17"/>
  <c r="AZ12" i="18"/>
  <c r="BB12" i="18" s="1"/>
  <c r="CI14" i="18"/>
  <c r="AZ13" i="18"/>
  <c r="BB13" i="18" s="1"/>
  <c r="AZ9" i="18"/>
  <c r="BB9" i="18" s="1"/>
  <c r="AZ10" i="17"/>
  <c r="AZ10" i="18"/>
  <c r="BB10" i="18" s="1"/>
  <c r="CI12" i="18"/>
  <c r="BA12" i="17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40" i="17"/>
  <c r="O57" i="17" s="1"/>
  <c r="AX57" i="17" s="1"/>
  <c r="H9" i="17"/>
  <c r="I9" i="17"/>
  <c r="J9" i="17"/>
  <c r="A24" i="17"/>
  <c r="C24" i="17" s="1"/>
  <c r="D24" i="17" s="1"/>
  <c r="J4" i="17"/>
  <c r="I4" i="17"/>
  <c r="H4" i="17"/>
  <c r="E4" i="17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O53" i="17" s="1"/>
  <c r="AX53" i="17" s="1"/>
  <c r="I29" i="17"/>
  <c r="H29" i="17"/>
  <c r="J29" i="17"/>
  <c r="E29" i="17"/>
  <c r="O58" i="17" s="1"/>
  <c r="AX58" i="17" s="1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O47" i="17" s="1"/>
  <c r="AX47" i="17" s="1"/>
  <c r="H3" i="17"/>
  <c r="E3" i="17"/>
  <c r="H14" i="17"/>
  <c r="I15" i="17"/>
  <c r="H46" i="17"/>
  <c r="J53" i="17"/>
  <c r="I53" i="17"/>
  <c r="H53" i="17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51" i="17" l="1"/>
  <c r="AX51" i="17" s="1"/>
  <c r="O54" i="17"/>
  <c r="AX54" i="17" s="1"/>
  <c r="O48" i="17"/>
  <c r="AX48" i="17" s="1"/>
  <c r="O55" i="17"/>
  <c r="AX55" i="17" s="1"/>
  <c r="O49" i="17"/>
  <c r="AX49" i="17" s="1"/>
  <c r="Q59" i="17"/>
  <c r="M59" i="17" s="1"/>
  <c r="N59" i="17" s="1" a="1"/>
  <c r="N59" i="17" s="1"/>
  <c r="O50" i="17"/>
  <c r="AX50" i="17" s="1"/>
  <c r="Q58" i="17"/>
  <c r="M58" i="17" s="1"/>
  <c r="N58" i="17" s="1" a="1"/>
  <c r="N58" i="17" s="1"/>
  <c r="Q57" i="17"/>
  <c r="M57" i="17" s="1"/>
  <c r="N57" i="17" s="1" a="1"/>
  <c r="N57" i="17" s="1"/>
  <c r="Q53" i="17"/>
  <c r="M53" i="17" s="1"/>
  <c r="Q55" i="17"/>
  <c r="M55" i="17" s="1"/>
  <c r="N55" i="17" s="1" a="1"/>
  <c r="N55" i="17" s="1"/>
  <c r="Q54" i="17"/>
  <c r="M54" i="17" s="1"/>
  <c r="N54" i="17" s="1" a="1"/>
  <c r="N54" i="17" s="1"/>
  <c r="Q56" i="17"/>
  <c r="M56" i="17" s="1"/>
  <c r="Q52" i="17"/>
  <c r="M52" i="17" s="1"/>
  <c r="N52" i="17" s="1" a="1"/>
  <c r="N52" i="17" s="1"/>
  <c r="Q51" i="17"/>
  <c r="M51" i="17" s="1"/>
  <c r="N51" i="17" s="1" a="1"/>
  <c r="N51" i="17" s="1"/>
  <c r="Q50" i="17"/>
  <c r="M50" i="17" s="1"/>
  <c r="N50" i="17" s="1" a="1"/>
  <c r="N50" i="17" s="1"/>
  <c r="Q48" i="17"/>
  <c r="M48" i="17" s="1"/>
  <c r="N48" i="17" s="1" a="1"/>
  <c r="N48" i="17" s="1"/>
  <c r="D19" i="17"/>
  <c r="Q49" i="17"/>
  <c r="M49" i="17" s="1"/>
  <c r="D16" i="17"/>
  <c r="Q47" i="17"/>
  <c r="M47" i="17" s="1"/>
  <c r="BB11" i="17"/>
  <c r="O43" i="17"/>
  <c r="AX43" i="17" s="1"/>
  <c r="O42" i="17"/>
  <c r="AX42" i="17" s="1"/>
  <c r="O33" i="17"/>
  <c r="AX33" i="17" s="1"/>
  <c r="BB9" i="17"/>
  <c r="O38" i="17"/>
  <c r="AX38" i="17" s="1"/>
  <c r="O39" i="17"/>
  <c r="AX39" i="17" s="1"/>
  <c r="O23" i="17"/>
  <c r="AX23" i="17" s="1"/>
  <c r="O27" i="17"/>
  <c r="AX27" i="17" s="1"/>
  <c r="O37" i="17"/>
  <c r="AX37" i="17" s="1"/>
  <c r="O36" i="17"/>
  <c r="AX36" i="17" s="1"/>
  <c r="O26" i="17"/>
  <c r="AX26" i="17" s="1"/>
  <c r="O40" i="17"/>
  <c r="AX40" i="17" s="1"/>
  <c r="O44" i="17"/>
  <c r="AX44" i="17" s="1"/>
  <c r="O20" i="17"/>
  <c r="AX20" i="17" s="1"/>
  <c r="O29" i="17"/>
  <c r="AX29" i="17" s="1"/>
  <c r="O34" i="17"/>
  <c r="AX34" i="17" s="1"/>
  <c r="O25" i="17"/>
  <c r="AX25" i="17" s="1"/>
  <c r="O9" i="17"/>
  <c r="AX9" i="17" s="1"/>
  <c r="O10" i="17"/>
  <c r="AX10" i="17" s="1"/>
  <c r="O18" i="17"/>
  <c r="AX18" i="17" s="1"/>
  <c r="O16" i="17"/>
  <c r="AX16" i="17" s="1"/>
  <c r="O11" i="17"/>
  <c r="AX11" i="17" s="1"/>
  <c r="O19" i="17"/>
  <c r="AX19" i="17" s="1"/>
  <c r="O24" i="17"/>
  <c r="AX24" i="17" s="1"/>
  <c r="O22" i="17"/>
  <c r="AX22" i="17" s="1"/>
  <c r="O28" i="17"/>
  <c r="AX28" i="17" s="1"/>
  <c r="O30" i="17"/>
  <c r="AX30" i="17" s="1"/>
  <c r="O21" i="17"/>
  <c r="AX21" i="17" s="1"/>
  <c r="O46" i="17"/>
  <c r="AX46" i="17" s="1"/>
  <c r="O41" i="17"/>
  <c r="AX41" i="17" s="1"/>
  <c r="O45" i="17"/>
  <c r="AX45" i="17" s="1"/>
  <c r="O14" i="17"/>
  <c r="AX14" i="17" s="1"/>
  <c r="O17" i="17"/>
  <c r="AX17" i="17" s="1"/>
  <c r="O13" i="17"/>
  <c r="AX13" i="17" s="1"/>
  <c r="BB10" i="17"/>
  <c r="BB13" i="17"/>
  <c r="BB12" i="17"/>
  <c r="O35" i="17"/>
  <c r="AX35" i="17" s="1"/>
  <c r="O12" i="17"/>
  <c r="AX12" i="17" s="1"/>
  <c r="O15" i="17"/>
  <c r="AX15" i="17" s="1"/>
  <c r="O31" i="17"/>
  <c r="AX31" i="17" s="1"/>
  <c r="O32" i="17"/>
  <c r="AX32" i="17" s="1"/>
  <c r="N49" i="17" l="1" a="1"/>
  <c r="N49" i="17" s="1"/>
  <c r="N56" i="17" a="1"/>
  <c r="N56" i="17" s="1"/>
  <c r="N47" i="17" a="1"/>
  <c r="N47" i="17" s="1"/>
  <c r="N53" i="17" a="1"/>
  <c r="N53" i="17" s="1"/>
  <c r="Q31" i="17"/>
  <c r="M31" i="17" s="1"/>
  <c r="N31" i="17" s="1" a="1"/>
  <c r="N31" i="17" s="1"/>
  <c r="Q26" i="17"/>
  <c r="M26" i="17" s="1"/>
  <c r="N26" i="17" s="1" a="1"/>
  <c r="N26" i="17" s="1"/>
  <c r="Q28" i="17"/>
  <c r="M28" i="17" s="1"/>
  <c r="N28" i="17" s="1" a="1"/>
  <c r="N28" i="17" s="1"/>
  <c r="Q46" i="17"/>
  <c r="M46" i="17" s="1"/>
  <c r="N46" i="17" s="1" a="1"/>
  <c r="N46" i="17" s="1"/>
  <c r="Q13" i="17"/>
  <c r="M13" i="17" s="1"/>
  <c r="N13" i="17" s="1" a="1"/>
  <c r="N13" i="17" s="1"/>
  <c r="Q12" i="17"/>
  <c r="M12" i="17" s="1"/>
  <c r="N12" i="17" s="1" a="1"/>
  <c r="N12" i="17" s="1"/>
  <c r="Q27" i="17"/>
  <c r="M27" i="17" s="1"/>
  <c r="N27" i="17" s="1" a="1"/>
  <c r="N27" i="17" s="1"/>
  <c r="Q42" i="17"/>
  <c r="M42" i="17" s="1"/>
  <c r="N42" i="17" s="1" a="1"/>
  <c r="N42" i="17" s="1"/>
  <c r="Q38" i="17"/>
  <c r="M38" i="17" s="1"/>
  <c r="N38" i="17" s="1" a="1"/>
  <c r="N38" i="17" s="1"/>
  <c r="Q37" i="17"/>
  <c r="M37" i="17" s="1"/>
  <c r="N37" i="17" s="1" a="1"/>
  <c r="N37" i="17" s="1"/>
  <c r="Q36" i="17"/>
  <c r="M36" i="17" s="1"/>
  <c r="N36" i="17" s="1" a="1"/>
  <c r="N36" i="17" s="1"/>
  <c r="Q30" i="17"/>
  <c r="M30" i="17" s="1"/>
  <c r="N30" i="17" s="1" a="1"/>
  <c r="N30" i="17" s="1"/>
  <c r="Q33" i="17"/>
  <c r="M33" i="17" s="1"/>
  <c r="N33" i="17" s="1" a="1"/>
  <c r="N33" i="17" s="1"/>
  <c r="Q17" i="17"/>
  <c r="M17" i="17" s="1"/>
  <c r="N17" i="17" s="1" a="1"/>
  <c r="N17" i="17" s="1"/>
  <c r="Q16" i="17"/>
  <c r="M16" i="17" s="1"/>
  <c r="N16" i="17" s="1" a="1"/>
  <c r="N16" i="17" s="1"/>
  <c r="Q21" i="17"/>
  <c r="M21" i="17" s="1"/>
  <c r="N21" i="17" s="1" a="1"/>
  <c r="N21" i="17" s="1"/>
  <c r="Q19" i="17"/>
  <c r="M19" i="17" s="1"/>
  <c r="N19" i="17" s="1" a="1"/>
  <c r="N19" i="17" s="1"/>
  <c r="Q15" i="17"/>
  <c r="M15" i="17" s="1"/>
  <c r="N15" i="17" s="1" a="1"/>
  <c r="N15" i="17" s="1"/>
  <c r="Q11" i="17"/>
  <c r="M11" i="17" s="1"/>
  <c r="N11" i="17" s="1" a="1"/>
  <c r="N11" i="17" s="1"/>
  <c r="Q44" i="17"/>
  <c r="M44" i="17" s="1"/>
  <c r="N44" i="17" s="1" a="1"/>
  <c r="N44" i="17" s="1"/>
  <c r="Q18" i="17"/>
  <c r="M18" i="17" s="1"/>
  <c r="N18" i="17" s="1" a="1"/>
  <c r="N18" i="17" s="1"/>
  <c r="Q22" i="17"/>
  <c r="M22" i="17" s="1"/>
  <c r="N22" i="17" s="1" a="1"/>
  <c r="N22" i="17" s="1"/>
  <c r="Q34" i="17"/>
  <c r="M34" i="17" s="1"/>
  <c r="N34" i="17" s="1" a="1"/>
  <c r="N34" i="17" s="1"/>
  <c r="Q32" i="17"/>
  <c r="M32" i="17" s="1"/>
  <c r="N32" i="17" s="1" a="1"/>
  <c r="N32" i="17" s="1"/>
  <c r="Q25" i="17"/>
  <c r="M25" i="17" s="1"/>
  <c r="N25" i="17" s="1" a="1"/>
  <c r="N25" i="17" s="1"/>
  <c r="Q29" i="17"/>
  <c r="M29" i="17" s="1"/>
  <c r="N29" i="17" s="1" a="1"/>
  <c r="N29" i="17" s="1"/>
  <c r="Q35" i="17"/>
  <c r="M35" i="17" s="1"/>
  <c r="N35" i="17" s="1" a="1"/>
  <c r="N35" i="17" s="1"/>
  <c r="Q39" i="17"/>
  <c r="M39" i="17" s="1"/>
  <c r="N39" i="17" s="1" a="1"/>
  <c r="N39" i="17" s="1"/>
  <c r="Q43" i="17"/>
  <c r="M43" i="17" s="1"/>
  <c r="N43" i="17" s="1" a="1"/>
  <c r="N43" i="17" s="1"/>
  <c r="Q45" i="17"/>
  <c r="M45" i="17" s="1"/>
  <c r="N45" i="17" s="1" a="1"/>
  <c r="N45" i="17" s="1"/>
  <c r="Q40" i="17"/>
  <c r="M40" i="17" s="1"/>
  <c r="N40" i="17" s="1" a="1"/>
  <c r="N40" i="17" s="1"/>
  <c r="Q24" i="17"/>
  <c r="M24" i="17" s="1"/>
  <c r="N24" i="17" s="1" a="1"/>
  <c r="N24" i="17" s="1"/>
  <c r="Q23" i="17"/>
  <c r="M23" i="17" s="1"/>
  <c r="N23" i="17" s="1" a="1"/>
  <c r="N23" i="17" s="1"/>
  <c r="Q41" i="17"/>
  <c r="M41" i="17" s="1"/>
  <c r="N41" i="17" s="1" a="1"/>
  <c r="N41" i="17" s="1"/>
  <c r="Q20" i="17"/>
  <c r="M20" i="17" s="1"/>
  <c r="N20" i="17" s="1" a="1"/>
  <c r="N20" i="17" s="1"/>
  <c r="Q10" i="17"/>
  <c r="M10" i="17" s="1"/>
  <c r="N10" i="17" s="1" a="1"/>
  <c r="N10" i="17" s="1"/>
  <c r="Q14" i="17"/>
  <c r="M14" i="17" s="1"/>
  <c r="N14" i="17" s="1" a="1"/>
  <c r="N14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<sst xmlns="http://schemas.openxmlformats.org/spreadsheetml/2006/main" count="11815" uniqueCount="586">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</sst>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2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  <xf numFmtId="3" fontId="0" fillId="0" borderId="0" xfId="0" applyNumberFormat="1" applyBorder="1"/>
  </cellXfs>
  <cellStyles count="2">
    <cellStyle name="Normal" xfId="0" builtinId="0"/>
    <cellStyle name="Porcentaje" xfId="1" builtinId="5"/>
  </cellStyles>
  <dxfs count="10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04"/>
    </tableStyle>
    <tableStyle name="Estilo de tabla dinámica 2" table="0" count="1" xr9:uid="{9E60CF16-845A-4669-9AA4-E5ACD7B8B1A8}">
      <tableStyleElement type="headerRow" dxfId="1003"/>
    </tableStyle>
    <tableStyle name="Estilo de tabla dinámica 3" table="0" count="1" xr9:uid="{A9F08836-5681-4078-A387-711930301837}">
      <tableStyleElement type="headerRow" dxfId="100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01" tableBorderDxfId="1000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99">
      <calculatedColumnFormula>DATA_NOVIEMBRE_2024[[#This Row],[RECUPERO]]/DATA_NOVIEMBRE_2024[[#This Row],[META]]</calculatedColumnFormula>
    </tableColumn>
    <tableColumn id="2" xr3:uid="{8B46A38D-7233-499F-B1DE-FB511E519FF9}" name="CLASIFICACIÓN" dataDxfId="998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97"/>
    <tableColumn id="1" xr3:uid="{6BE1DCAD-FFC1-41E5-BE9A-DDFCB075F86E}" name="RECUPERO" dataDxfId="996">
      <calculatedColumnFormula>SUM(DATA_NOVIEMBRE_2024[[#This Row],[1]:[31]])</calculatedColumnFormula>
    </tableColumn>
    <tableColumn id="6" xr3:uid="{9DC6CD9E-A550-4452-954F-6EA70609499E}" name="META" dataDxfId="995"/>
    <tableColumn id="7" xr3:uid="{253195A7-7D47-486A-80F6-796ADB20EC53}" name="ASER_" dataDxfId="994"/>
    <tableColumn id="4" xr3:uid="{202FFDF7-B7CF-4672-95EA-680792362409}" name="1" dataDxfId="993"/>
    <tableColumn id="8" xr3:uid="{72687A8D-B0F6-4DDB-88CE-1067530F054A}" name="2" dataDxfId="992"/>
    <tableColumn id="9" xr3:uid="{F4E2F670-BFF9-4FD3-A0D4-C9CAB825BC0C}" name="3" dataDxfId="991"/>
    <tableColumn id="10" xr3:uid="{DBA3AC26-F584-4CBE-8D86-75C4463192B1}" name="4" dataDxfId="990"/>
    <tableColumn id="11" xr3:uid="{219202FB-F58A-440D-8D19-01059AA56BAB}" name="5" dataDxfId="989"/>
    <tableColumn id="12" xr3:uid="{2AF7B6E4-01F3-401E-BF95-3CFAB27577BC}" name="6" dataDxfId="988"/>
    <tableColumn id="13" xr3:uid="{24CA335A-580E-4429-A4F8-DFAB61DD23F8}" name="7" dataDxfId="987"/>
    <tableColumn id="14" xr3:uid="{4A96EC6B-C7D3-4A7F-8B4B-F3D8AF9FE594}" name="8" dataDxfId="986"/>
    <tableColumn id="15" xr3:uid="{BA9F52F9-841F-49D0-AFFC-4D571D566DE4}" name="9" dataDxfId="985"/>
    <tableColumn id="16" xr3:uid="{409BE12D-B77E-48C5-951D-B87CB101AD44}" name="10" dataDxfId="984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83"/>
    <tableColumn id="18" xr3:uid="{517449FB-ABB0-4312-822F-083501FE4456}" name="23" dataDxfId="982"/>
    <tableColumn id="19" xr3:uid="{F22CE4E7-E04E-47AF-97E3-BEAFF6BC2F5E}" name="24" dataDxfId="981"/>
    <tableColumn id="20" xr3:uid="{FE9C6881-7986-46E5-B896-D446A4BEF596}" name="25" dataDxfId="980"/>
    <tableColumn id="21" xr3:uid="{32A09EFC-675D-4983-B360-4DBEAB2EE4FA}" name="26" dataDxfId="979"/>
    <tableColumn id="22" xr3:uid="{02F89659-315D-4DE1-BE9C-A8C4FBB65511}" name="27" dataDxfId="978"/>
    <tableColumn id="23" xr3:uid="{E556EC76-1435-4562-B8FF-767920C873C4}" name="28" dataDxfId="977"/>
    <tableColumn id="24" xr3:uid="{E42123DE-6B43-4653-BF5B-323243D5FCAD}" name="29" dataDxfId="976"/>
    <tableColumn id="25" xr3:uid="{71D65AF5-510E-457D-B0E2-F9582E783D67}" name="30" dataDxfId="975"/>
    <tableColumn id="26" xr3:uid="{3E966EE9-5B51-4732-8107-B252301503A4}" name="31" dataDxfId="974"/>
    <tableColumn id="27" xr3:uid="{6F804D29-D57D-4925-9B25-DD58FD9CD4C1}" name="CARTERA ASESOR" dataDxfId="9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72">
  <autoFilter ref="A2:J72" xr:uid="{AEA51657-9DFD-4518-856A-D830285E4602}"/>
  <tableColumns count="10">
    <tableColumn id="1" xr3:uid="{471651EC-762A-4439-9E09-36CE7484C7DB}" name="SUPER" dataDxfId="971"/>
    <tableColumn id="2" xr3:uid="{85C17B1E-7CF3-4112-8B36-78A801EE3005}" name="ASESOR_CRR" dataDxfId="970">
      <calculatedColumnFormula>D1_NOVIEMBRE_2024[[#This Row],[ASESOR]]</calculatedColumnFormula>
    </tableColumn>
    <tableColumn id="5" xr3:uid="{0BDBF623-DEA9-4A29-8D28-4030A786FE51}" name="META" dataDxfId="969">
      <calculatedColumnFormula>VLOOKUP(D1_NOVIEMBRE_2024[[#This Row],[SUPER]],DATA_NOVIEMBRE_2024[[SUPERVISOR]:[META]],3,0)</calculatedColumnFormula>
    </tableColumn>
    <tableColumn id="6" xr3:uid="{C702AF9F-4896-48CF-895F-224FB32B617C}" name="ALCANCE" dataDxfId="968">
      <calculatedColumnFormula>D1_NOVIEMBRE_2024[[#This Row],[RECUPERO]]/D1_NOVIEMBRE_2024[[#This Row],[META]]</calculatedColumnFormula>
    </tableColumn>
    <tableColumn id="7" xr3:uid="{D7917A8B-F33C-40CB-980B-776F1F99832F}" name="SUPER2" dataDxfId="967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66"/>
    <tableColumn id="8" xr3:uid="{C288ADF8-0B7D-46E8-A515-7A398BFBAFF5}" name="DNI" dataDxfId="965"/>
    <tableColumn id="9" xr3:uid="{9816B6C7-AE6F-49DA-A0C6-21A173A63635}" name="FECHA DE INICIO" dataDxfId="964"/>
    <tableColumn id="10" xr3:uid="{342ACA45-E672-4A50-BD93-4F29AC6175A9}" name="ESTADO" dataDxfId="9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62" dataDxfId="960" headerRowBorderDxfId="961" tableBorderDxfId="959" totalsRowBorderDxfId="958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57"/>
    <tableColumn id="3" xr3:uid="{734C6C88-3899-4B11-A8BB-68F60FEB745F}" name="RECUPERO SUPERVISOR" dataDxfId="956">
      <calculatedColumnFormula>MAX(DITE_NOVIEMBRE_2024[[#This Row],[1]:[31]])</calculatedColumnFormula>
    </tableColumn>
    <tableColumn id="4" xr3:uid="{ECE5B99F-FD83-4520-9BD0-C6F22F1D89DE}" name="ALCANCE SUPERVISOR" dataDxfId="955">
      <calculatedColumnFormula>DITE_NOVIEMBRE_2024[[#This Row],[RECUPERO SUPERVISOR]]/AZ9</calculatedColumnFormula>
    </tableColumn>
    <tableColumn id="1" xr3:uid="{3C6266ED-8A4A-4ABB-A9C5-F6D7C3A28E1C}" name="SUPER" dataDxfId="954"/>
    <tableColumn id="6" xr3:uid="{8E1962E6-B227-403D-959C-EC0A84512E7F}" name="1" dataDxfId="953"/>
    <tableColumn id="7" xr3:uid="{82013CDA-2013-412E-8FF7-7857EB3BAAEB}" name="2" dataDxfId="952"/>
    <tableColumn id="36" xr3:uid="{F80449E7-9C09-4D54-AD2B-6D30BBE4BFFD}" name="3" dataDxfId="951"/>
    <tableColumn id="8" xr3:uid="{6BAF72DE-4BC7-441F-A85E-9041EF3899D9}" name="4" dataDxfId="950"/>
    <tableColumn id="9" xr3:uid="{3D9FCE7A-2F3D-4CC9-8A91-10BD16A7E640}" name="5" dataDxfId="949"/>
    <tableColumn id="10" xr3:uid="{BEDD9763-065B-45CB-AE2B-710FA8B66ADE}" name="6" dataDxfId="948"/>
    <tableColumn id="11" xr3:uid="{BC3C528B-42C9-4B2F-9619-B254969267D0}" name="7" dataDxfId="947"/>
    <tableColumn id="12" xr3:uid="{0A48E3CB-F739-4C32-945D-648E7EB8070E}" name="8" dataDxfId="946"/>
    <tableColumn id="13" xr3:uid="{B96192EF-9446-4291-B1F2-DB704B1D3A04}" name="9" dataDxfId="945"/>
    <tableColumn id="14" xr3:uid="{604B61A4-751B-4BF0-9D80-954CAB1D08B0}" name="10" dataDxfId="944"/>
    <tableColumn id="15" xr3:uid="{9BAD68A4-5571-4BDA-97CB-9067D42459EC}" name="11" dataDxfId="943"/>
    <tableColumn id="32" xr3:uid="{D6886672-9386-4ADF-AED9-8A33D204EF56}" name="12" dataDxfId="942"/>
    <tableColumn id="33" xr3:uid="{3D371433-AC3E-4391-8C88-2354E3462A27}" name="13" dataDxfId="941"/>
    <tableColumn id="35" xr3:uid="{58EC2E80-FD81-492B-8002-FCEB99DCCCA5}" name="14" dataDxfId="940"/>
    <tableColumn id="34" xr3:uid="{BBD59636-2F98-4BBE-8F44-00F7C13015FB}" name="15" dataDxfId="939"/>
    <tableColumn id="29" xr3:uid="{DD6F0447-F620-4F38-AAE2-F94C7BD1301A}" name="16" dataDxfId="938"/>
    <tableColumn id="30" xr3:uid="{AEA6202E-0E43-491B-9DE9-B12618DFE3C3}" name="17" dataDxfId="937"/>
    <tableColumn id="31" xr3:uid="{7F0C4991-2DDA-47D6-8952-EF0420833FE2}" name="18" dataDxfId="936"/>
    <tableColumn id="26" xr3:uid="{63319244-ED6C-4CB6-91C9-FD0B33FFFA44}" name="19" dataDxfId="935"/>
    <tableColumn id="27" xr3:uid="{3ED47FDF-F24A-4EC8-9029-689369682758}" name="20" dataDxfId="934"/>
    <tableColumn id="28" xr3:uid="{B5758593-5927-4B15-9EF3-08A6AA13FEE5}" name="21" dataDxfId="933"/>
    <tableColumn id="16" xr3:uid="{A79A9DD4-74CF-4F17-A260-30A614552C96}" name="22" dataDxfId="932"/>
    <tableColumn id="17" xr3:uid="{A3AD1A97-629C-494C-8C66-6BA86E905D7F}" name="23" dataDxfId="931"/>
    <tableColumn id="18" xr3:uid="{BF0972B0-617B-4546-9271-F4E0D9F96151}" name="24" dataDxfId="930"/>
    <tableColumn id="19" xr3:uid="{A9D6B970-56DB-403D-9EC5-9A1114D18DD8}" name="25" dataDxfId="929"/>
    <tableColumn id="20" xr3:uid="{87CB9ADC-EDEB-4C07-8A41-D10A3E379763}" name="26" dataDxfId="928"/>
    <tableColumn id="21" xr3:uid="{4E36C293-1144-4926-8E91-3475130D3D19}" name="27" dataDxfId="927"/>
    <tableColumn id="22" xr3:uid="{ACDA0744-1D85-4327-BD2E-0D10C5E5827D}" name="28" dataDxfId="926"/>
    <tableColumn id="23" xr3:uid="{A55279AC-F17C-48C7-B6F4-AFD7642F257E}" name="29" dataDxfId="925"/>
    <tableColumn id="24" xr3:uid="{B30A56B6-4B82-41A1-BE7F-1D370BF48A8B}" name="30" dataDxfId="924"/>
    <tableColumn id="25" xr3:uid="{2121F136-11EF-4DC1-9A0A-C968CE5BD71B}" name="31" dataDxfId="923"/>
    <tableColumn id="5" xr3:uid="{9A6ECD1E-A39C-4D33-BBF6-B37C7AF2A67C}" name="CARTERA" dataDxfId="92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21" tableBorderDxfId="92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19">
      <calculatedColumnFormula>DATA_DICIEMBRE_2024[[#This Row],[RECUPERO]]/DATA_DICIEMBRE_2024[[#This Row],[META]]</calculatedColumnFormula>
    </tableColumn>
    <tableColumn id="2" xr3:uid="{AE497F25-36CD-42FB-B18F-59D419263CBC}" name="CLASIFICACIÓN" dataDxfId="91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17"/>
    <tableColumn id="1" xr3:uid="{ACC31C15-573E-4606-A6FB-ECDC2B30F8A4}" name="RECUPERO" dataDxfId="916">
      <calculatedColumnFormula>SUM(DATA_DICIEMBRE_2024[[#This Row],[1]:[31]])</calculatedColumnFormula>
    </tableColumn>
    <tableColumn id="6" xr3:uid="{0A0FD23F-3FE0-43BD-93B2-D5A21E0A8419}" name="META" dataDxfId="915"/>
    <tableColumn id="7" xr3:uid="{BAAC5683-E69F-4D8D-9823-6A62CD920015}" name="ASER_" dataDxfId="914"/>
    <tableColumn id="4" xr3:uid="{E80ABAB5-F841-47AC-9407-E06974270343}" name="1" dataDxfId="913"/>
    <tableColumn id="8" xr3:uid="{38214265-844B-4AAB-9AAF-66AE68E1B01F}" name="2" dataDxfId="912"/>
    <tableColumn id="9" xr3:uid="{9DE83FFA-F0EB-48A8-9B9B-94D3A5F4EA89}" name="3" dataDxfId="911"/>
    <tableColumn id="10" xr3:uid="{F01FCEA0-C6B5-45DC-BF35-2E20D08D1987}" name="4" dataDxfId="910"/>
    <tableColumn id="11" xr3:uid="{486A6BCD-590A-4F51-95FC-FF8E80EED672}" name="5" dataDxfId="909"/>
    <tableColumn id="12" xr3:uid="{6A13993E-4132-4D1F-8103-9B935139982B}" name="6" dataDxfId="908"/>
    <tableColumn id="13" xr3:uid="{24798E59-2FD3-45E0-9839-56EDF52F39D9}" name="7" dataDxfId="907"/>
    <tableColumn id="14" xr3:uid="{0A505D6A-B620-43DD-BE95-5375CFEB2C9E}" name="8" dataDxfId="906"/>
    <tableColumn id="15" xr3:uid="{B4A01763-2933-4990-84AC-2EE6364157A1}" name="9" dataDxfId="905"/>
    <tableColumn id="16" xr3:uid="{BF1956FE-127F-474F-B12A-D74A62785650}" name="10" dataDxfId="90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03"/>
    <tableColumn id="18" xr3:uid="{43369C00-795D-4124-B5FB-CE33A1429479}" name="23" dataDxfId="902"/>
    <tableColumn id="19" xr3:uid="{34A49AC6-3FC3-4ACE-8C81-C9AB9CD6BF1C}" name="24" dataDxfId="901"/>
    <tableColumn id="20" xr3:uid="{62E7E367-E664-47D4-A998-F69A442883A3}" name="25" dataDxfId="900"/>
    <tableColumn id="21" xr3:uid="{38ED713F-D0AE-4A42-8586-07C0CFE7FD0D}" name="26" dataDxfId="899"/>
    <tableColumn id="22" xr3:uid="{777A8FFE-C36F-4CC0-9736-E3B5572BB43B}" name="27" dataDxfId="898"/>
    <tableColumn id="23" xr3:uid="{9793EF6D-52A7-486F-9DA0-5EC6B4742B0D}" name="28" dataDxfId="897"/>
    <tableColumn id="24" xr3:uid="{8675AF28-0AC8-42A2-9C9D-B652E1F578AA}" name="29" dataDxfId="896"/>
    <tableColumn id="25" xr3:uid="{69A4324E-C083-46F7-9045-4F5A0A8A7029}" name="30" dataDxfId="895"/>
    <tableColumn id="26" xr3:uid="{DBC5694B-2026-414C-ACC6-93144006A162}" name="31" dataDxfId="894"/>
    <tableColumn id="27" xr3:uid="{823ED1C1-B820-4301-889D-715B402B64AE}" name="CARTERA ASESOR" dataDxfId="89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92">
  <autoFilter ref="A2:J76" xr:uid="{F6E10C3A-51B0-46B0-AC7A-178487A186FC}"/>
  <tableColumns count="10">
    <tableColumn id="1" xr3:uid="{27AC9715-D9AF-4425-8467-97D5ACDF32DB}" name="SUPER" dataDxfId="891"/>
    <tableColumn id="2" xr3:uid="{60BCBFC1-6517-433B-923C-CCB32F89496C}" name="ASESOR_CRR" dataDxfId="890">
      <calculatedColumnFormula>D1_DICIEMBRE_2024[[#This Row],[ASESOR]]</calculatedColumnFormula>
    </tableColumn>
    <tableColumn id="5" xr3:uid="{FE528A67-2FD9-481D-A3BD-D0593BF1728D}" name="META" dataDxfId="889">
      <calculatedColumnFormula>VLOOKUP(D1_DICIEMBRE_2024[[#This Row],[SUPER]],DATA_DICIEMBRE_2024[[SUPERVISOR]:[META]],3,0)</calculatedColumnFormula>
    </tableColumn>
    <tableColumn id="6" xr3:uid="{9F920DCF-74DA-4A35-AEB6-9874EC115540}" name="ALCANCE" dataDxfId="888">
      <calculatedColumnFormula>D1_DICIEMBRE_2024[[#This Row],[RECUPERO]]/D1_DICIEMBRE_2024[[#This Row],[META]]</calculatedColumnFormula>
    </tableColumn>
    <tableColumn id="7" xr3:uid="{A0A51D41-B7D6-4CCC-ACCB-42E0C653AD2F}" name="SUPER2" dataDxfId="88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86"/>
    <tableColumn id="8" xr3:uid="{894A3BEA-774F-4F80-88D8-1B289CA5BA86}" name="DNI" dataDxfId="885"/>
    <tableColumn id="9" xr3:uid="{803AE20B-2CCD-451D-A530-6F128D73F913}" name="FECHA DE INICIO" dataDxfId="884"/>
    <tableColumn id="10" xr3:uid="{49EAA54F-6677-4846-BCD1-109279DB3A73}" name="ESTADO" dataDxfId="88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82" dataDxfId="880" headerRowBorderDxfId="881" tableBorderDxfId="879" totalsRowBorderDxfId="87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77"/>
    <tableColumn id="3" xr3:uid="{ABE326D8-B04B-4CEC-9F6E-FE25C0EE8AA0}" name="RECUPERO SUPERVISOR" dataDxfId="876">
      <calculatedColumnFormula>MAX(DITE_DICIEMBRE_2024[[#This Row],[1]:[31]])</calculatedColumnFormula>
    </tableColumn>
    <tableColumn id="4" xr3:uid="{9E55702C-7024-420F-8940-D2C1A0A3CA1D}" name="ALCANCE SUPERVISOR" dataDxfId="875">
      <calculatedColumnFormula>DITE_DICIEMBRE_2024[[#This Row],[RECUPERO SUPERVISOR]]/AZ9</calculatedColumnFormula>
    </tableColumn>
    <tableColumn id="1" xr3:uid="{5009DC4C-3EA4-45D5-A15D-072373F4AE20}" name="SUPER" dataDxfId="874"/>
    <tableColumn id="6" xr3:uid="{D0AF21FC-B7C0-49FB-B06D-CEE18869F451}" name="1" dataDxfId="873"/>
    <tableColumn id="7" xr3:uid="{13740F97-8E6D-486C-956C-27845E43364F}" name="2" dataDxfId="872"/>
    <tableColumn id="36" xr3:uid="{D8D06FB7-6376-4BDE-8C73-E14742A693D2}" name="3" dataDxfId="871"/>
    <tableColumn id="8" xr3:uid="{6A7AE4CF-8204-4E27-89B3-519888750343}" name="4" dataDxfId="870"/>
    <tableColumn id="9" xr3:uid="{E68D0942-B003-4636-896B-C7F7CC5DF30B}" name="5" dataDxfId="869"/>
    <tableColumn id="10" xr3:uid="{A130D834-D24E-4226-8974-EAEEC5239084}" name="6" dataDxfId="868"/>
    <tableColumn id="11" xr3:uid="{B74AC268-8591-43DA-A0A0-8EED3A99A7E6}" name="7" dataDxfId="867"/>
    <tableColumn id="12" xr3:uid="{3E5A00D6-9077-4087-98FC-A1F995D9E85D}" name="8" dataDxfId="866"/>
    <tableColumn id="13" xr3:uid="{1C1866E7-047F-4D10-9606-401FEC40FA49}" name="9" dataDxfId="865"/>
    <tableColumn id="14" xr3:uid="{1A856C2F-9F0A-48E6-A1F8-02744BF96124}" name="10" dataDxfId="864"/>
    <tableColumn id="15" xr3:uid="{4AF6AE1F-C32E-4098-A90E-906C45E577A6}" name="11" dataDxfId="863"/>
    <tableColumn id="32" xr3:uid="{22F83872-EA87-4B20-AC9C-A5E2ACD10B99}" name="12" dataDxfId="862"/>
    <tableColumn id="33" xr3:uid="{98BD9E2A-AADA-4033-A5CA-E179FF24557D}" name="13" dataDxfId="861"/>
    <tableColumn id="35" xr3:uid="{700503A6-DBA0-45CB-A088-D89AE0558CCF}" name="14" dataDxfId="860"/>
    <tableColumn id="34" xr3:uid="{C5A60DDC-0D8C-41E0-A0F0-FBB45535E86A}" name="15" dataDxfId="859"/>
    <tableColumn id="29" xr3:uid="{D5EC2BDA-E6C3-4A4D-A6AD-950B2D0490AB}" name="16" dataDxfId="858"/>
    <tableColumn id="30" xr3:uid="{349CB117-97C5-4862-848C-38A5D8F531C9}" name="17" dataDxfId="857"/>
    <tableColumn id="31" xr3:uid="{C11D4844-CCFA-4F14-88FA-CE5B9B605A6F}" name="18" dataDxfId="856"/>
    <tableColumn id="26" xr3:uid="{F17C536A-13C6-44BF-A1D0-9E0F529A2288}" name="19" dataDxfId="855"/>
    <tableColumn id="27" xr3:uid="{784AEED1-4141-49AA-B4F6-24141E5B4FA4}" name="20" dataDxfId="854"/>
    <tableColumn id="28" xr3:uid="{5FA3E61C-F996-45DB-8D68-7A355B9D9345}" name="21" dataDxfId="853"/>
    <tableColumn id="16" xr3:uid="{3CDD7303-1AA0-4E13-B85B-07CCE6B3675D}" name="22" dataDxfId="852"/>
    <tableColumn id="17" xr3:uid="{81F4684D-1734-49FB-8F57-68B80EB1FD1D}" name="23" dataDxfId="851"/>
    <tableColumn id="18" xr3:uid="{9DA7B90E-288E-45A3-BD0A-31904382DB50}" name="24" dataDxfId="850"/>
    <tableColumn id="19" xr3:uid="{A0AC125C-0C19-47E9-B7BD-9F657DD56BC2}" name="25" dataDxfId="849"/>
    <tableColumn id="20" xr3:uid="{E1B67347-A852-4F21-A3C3-D6E44F51E9FF}" name="26" dataDxfId="848"/>
    <tableColumn id="21" xr3:uid="{992748FE-9359-4D4E-B06A-59F7A48309B5}" name="27" dataDxfId="847"/>
    <tableColumn id="22" xr3:uid="{3732AEA5-9CC9-4EE6-A93B-386050E291B1}" name="28" dataDxfId="846"/>
    <tableColumn id="23" xr3:uid="{20A4F952-B20F-4E0E-95CC-77C648A54699}" name="29" dataDxfId="845"/>
    <tableColumn id="24" xr3:uid="{26953009-23ED-4318-9CEE-07B704B9665A}" name="30" dataDxfId="844"/>
    <tableColumn id="25" xr3:uid="{267CBC9B-29BE-4672-94C3-393B627CB1FD}" name="31" dataDxfId="843"/>
    <tableColumn id="5" xr3:uid="{EE07FFF3-9A6D-4F12-ACF6-244205791333}" name="CARTERA" dataDxfId="84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4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40"/>
    <tableColumn id="5" xr3:uid="{42625339-8FE7-49A5-82AC-5EDD10C3C984}" name="ASESOR"/>
    <tableColumn id="6" xr3:uid="{BD1A5411-32FB-4DF7-B264-96C059BE5C56}" name="RECUPERO" dataDxfId="839"/>
    <tableColumn id="8" xr3:uid="{8B3B2929-A591-41D7-9D44-B220287F0F2A}" name="DNI" dataDxfId="838"/>
    <tableColumn id="9" xr3:uid="{AAABF626-1A15-4E7A-A444-7423611F1BB2}" name="FECHA DE INICIO" dataDxfId="837"/>
    <tableColumn id="10" xr3:uid="{CACFA6D6-8D93-432C-AAD6-E9CBF58F5197}" name="ESTADO" dataDxfId="83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35" headerRowBorderDxfId="834" tableBorderDxfId="83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32">
      <calculatedColumnFormula>DATA_ENERO_2025[[#This Row],[RECUPERO]]/DATA_ENERO_2025[[#This Row],[META]]</calculatedColumnFormula>
    </tableColumn>
    <tableColumn id="3" xr3:uid="{16F39E06-76AE-43AD-903E-9F641E37CB06}" name="CLASIFICACIÓN" dataDxfId="83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30"/>
    <tableColumn id="6" xr3:uid="{087774B2-9699-454D-B0E9-E9D62B239262}" name="RECUPERO" dataDxfId="829">
      <calculatedColumnFormula>SUM(DATA_ENERO_2025[[#This Row],[1]:[31]])</calculatedColumnFormula>
    </tableColumn>
    <tableColumn id="7" xr3:uid="{B938E452-5678-4623-B9AD-47B290EB3B56}" name="META" dataDxfId="828"/>
    <tableColumn id="5" xr3:uid="{A39094CA-883F-4450-A53A-370F0AE54B0C}" name="ASER_" dataDxfId="827"/>
    <tableColumn id="28" xr3:uid="{BA402970-CDDC-479B-AF0C-DE6FB6DEA3A2}" name="1" dataDxfId="82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2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24" dataDxfId="822" headerRowBorderDxfId="823" tableBorderDxfId="821" totalsRowBorderDxfId="82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19"/>
    <tableColumn id="1" xr3:uid="{5A7C4C9C-3E71-483D-9C6F-3AFA18F0B768}" name="RECUPERO SUPERVISOR" dataDxfId="818">
      <calculatedColumnFormula>MAX(DITE_ENERO_2025[[#This Row],[1]:[31]])</calculatedColumnFormula>
    </tableColumn>
    <tableColumn id="2" xr3:uid="{1DBABE23-BC0D-4016-A3DE-102C34B93437}" name="ALCANCE SUPERVISOR" dataDxfId="817">
      <calculatedColumnFormula>DITE_ENERO_2025[[#This Row],[RECUPERO SUPERVISOR]]/DITE_ENERO_2025[[#This Row],[META SUPER]]</calculatedColumnFormula>
    </tableColumn>
    <tableColumn id="4" xr3:uid="{AAFE5F6A-D443-4B76-896C-3012A63A21B1}" name="SUPER" dataDxfId="816"/>
    <tableColumn id="6" xr3:uid="{CAC1468E-FE7F-46E8-8FA8-2EBFE78F55CF}" name="1" dataDxfId="815"/>
    <tableColumn id="7" xr3:uid="{2C1F1DCC-5615-43E9-8493-73A6B92A7B8C}" name="2" dataDxfId="814"/>
    <tableColumn id="8" xr3:uid="{CB1DD332-E0A5-4BEF-8B71-8820CA4A145B}" name="3" dataDxfId="813"/>
    <tableColumn id="9" xr3:uid="{1BB0DD4F-A73A-4F8E-93FB-252CA932D637}" name="4" dataDxfId="812"/>
    <tableColumn id="10" xr3:uid="{F4A27082-EDDE-411F-B0E7-C50309499B06}" name="5" dataDxfId="811"/>
    <tableColumn id="11" xr3:uid="{DDC3545E-22B2-4DEC-A217-59650C8BAC95}" name="6" dataDxfId="810"/>
    <tableColumn id="12" xr3:uid="{F4B5BD15-E4EF-4A2E-9071-FE5F69E48F1F}" name="7" dataDxfId="80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08"/>
    <tableColumn id="14" xr3:uid="{1DE13FA2-B93D-487E-A105-3A5622C997DE}" name="18" dataDxfId="807"/>
    <tableColumn id="15" xr3:uid="{6273FFBE-FC81-40C7-91CB-E95ECAD8BE5D}" name="19" dataDxfId="806"/>
    <tableColumn id="16" xr3:uid="{35253537-0DA1-45D4-B9A3-D1CBC6E92B8B}" name="20" dataDxfId="805"/>
    <tableColumn id="17" xr3:uid="{4BF3707C-841F-4140-B63C-5B47863B4CA4}" name="21" dataDxfId="804"/>
    <tableColumn id="18" xr3:uid="{1F7B79C3-A22C-49D8-9C1F-629E6C41B955}" name="22" dataDxfId="803"/>
    <tableColumn id="19" xr3:uid="{361B16CF-A887-4C9E-88B3-E8A7F4F314B0}" name="23" dataDxfId="802"/>
    <tableColumn id="20" xr3:uid="{9B3EDA9C-6CB0-4D9F-965A-6EB0593C19D9}" name="24" dataDxfId="801"/>
    <tableColumn id="21" xr3:uid="{B02655DA-D4F9-4926-88A4-5E8B2F4DF911}" name="25" dataDxfId="800"/>
    <tableColumn id="22" xr3:uid="{43854B99-1BF7-4DF3-8A04-A277447DE3B8}" name="26" dataDxfId="799"/>
    <tableColumn id="23" xr3:uid="{CAC2F677-42BD-4EFA-8E99-ABA2036DAF56}" name="27" dataDxfId="798"/>
    <tableColumn id="24" xr3:uid="{20489B5B-5885-4E43-B5F0-4EAAEE4E8EB8}" name="28" dataDxfId="797"/>
    <tableColumn id="25" xr3:uid="{B4D29A08-5206-4DCD-AF4C-9B7ABB8D3CFF}" name="29" dataDxfId="796"/>
    <tableColumn id="26" xr3:uid="{7B49DBDA-317E-4CFB-B7FA-841DFC27E42B}" name="30" dataDxfId="795"/>
    <tableColumn id="27" xr3:uid="{0126152E-7354-43DB-A75E-4841194C453D}" name="31" dataDxfId="794"/>
    <tableColumn id="3" xr3:uid="{93315C06-D400-4502-BDDD-AC5886091EC6}" name="CARTERA" dataDxfId="79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9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91"/>
    <tableColumn id="5" xr3:uid="{44178C41-B41B-4820-A8E8-222FE453335F}" name="ASESOR" dataDxfId="790"/>
    <tableColumn id="6" xr3:uid="{AC6EB590-A7E8-408F-A892-A1851BCCF0B5}" name="RECUPERO" dataDxfId="789"/>
    <tableColumn id="8" xr3:uid="{9B60B527-D768-46F8-BB97-824B255159D2}" name="DNI" dataDxfId="788"/>
    <tableColumn id="9" xr3:uid="{BDF8C571-22FC-498B-99CF-8D578B086437}" name="FECHA DE INICIO" dataDxfId="787"/>
    <tableColumn id="10" xr3:uid="{4A0E2A05-69C0-48C2-B0D3-4D952F052DB2}" name="ESTADO" dataDxfId="78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85" headerRowBorderDxfId="784" tableBorderDxfId="78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82">
      <calculatedColumnFormula>DATA_FEBRERO_2025[[#This Row],[RECUPERO]]/DATA_FEBRERO_2025[[#This Row],[META]]</calculatedColumnFormula>
    </tableColumn>
    <tableColumn id="3" xr3:uid="{AE4A1FA5-3083-4CA4-B657-D2D0F2E20004}" name="CLASIFICACIÓN" dataDxfId="78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80"/>
    <tableColumn id="6" xr3:uid="{2DE1A6CE-7493-4B20-83EE-59078393B5AF}" name="RECUPERO" dataDxfId="779">
      <calculatedColumnFormula>SUM(DATA_FEBRERO_2025[[#This Row],[1]:[31]])</calculatedColumnFormula>
    </tableColumn>
    <tableColumn id="7" xr3:uid="{24FB90FB-A888-41AB-9B19-627A74DA2062}" name="META" dataDxfId="778"/>
    <tableColumn id="5" xr3:uid="{E6A5C563-3502-4EF4-8D06-C88816E905A8}" name="ASER_" dataDxfId="77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76"/>
    <tableColumn id="8" xr3:uid="{E99C6359-BA67-4127-80B1-429613DA94CB}" name="31"/>
    <tableColumn id="4" xr3:uid="{1AB4C76D-3918-4961-B05E-216E9D0F2A8C}" name="CARTERA ASESOR" dataDxfId="77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74" dataDxfId="772" headerRowBorderDxfId="773" tableBorderDxfId="771" totalsRowBorderDxfId="77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69"/>
    <tableColumn id="1" xr3:uid="{C46409A5-9201-4E30-A3EB-7B6FC2DAF473}" name="RECUPERO SUPERVISOR" dataDxfId="768">
      <calculatedColumnFormula>MAX(DITE_FEBRERO_2025[[#This Row],[1]:[31]])</calculatedColumnFormula>
    </tableColumn>
    <tableColumn id="2" xr3:uid="{445C2C89-5F44-46FD-8C70-EF4EE30F232E}" name="ALCANCE SUPERVISOR" dataDxfId="767">
      <calculatedColumnFormula>DITE_FEBRERO_2025[[#This Row],[RECUPERO SUPERVISOR]]/DITE_FEBRERO_2025[[#This Row],[META SUPER]]</calculatedColumnFormula>
    </tableColumn>
    <tableColumn id="4" xr3:uid="{55D4E2C7-B609-4C8C-A5DE-AABFFD74BEB8}" name="SUPER" dataDxfId="766"/>
    <tableColumn id="6" xr3:uid="{29925D04-B597-415A-B40B-62A3FBA8B23D}" name="1" dataDxfId="765"/>
    <tableColumn id="7" xr3:uid="{31865A72-E634-4CB8-8660-811FA8147632}" name="2" dataDxfId="764"/>
    <tableColumn id="8" xr3:uid="{C70A98A0-1CB0-425B-975B-D4464009CDD0}" name="3" dataDxfId="763"/>
    <tableColumn id="9" xr3:uid="{F56CF612-0AA5-44CB-878D-FA59D84052AD}" name="4" dataDxfId="76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61"/>
    <tableColumn id="11" xr3:uid="{A6DAF4DF-EAFF-47AB-9A6F-0B2896AE1A18}" name="17" dataDxfId="760"/>
    <tableColumn id="12" xr3:uid="{3DC03FF0-BAC6-4F5D-B5DE-18A95E2C1B97}" name="18" dataDxfId="759"/>
    <tableColumn id="13" xr3:uid="{A90729AA-CC5E-4236-924F-A736B7A4BE93}" name="19" dataDxfId="758"/>
    <tableColumn id="14" xr3:uid="{B48B5FF0-5C49-4DDC-AC33-B45D349AD044}" name="20" dataDxfId="757"/>
    <tableColumn id="15" xr3:uid="{D36E617E-0BBB-4BC1-BBF1-EB24E3C2CE90}" name="21" dataDxfId="756"/>
    <tableColumn id="16" xr3:uid="{BD346F05-FCC2-4EA9-8F0F-B55AB2E68BE0}" name="22" dataDxfId="755"/>
    <tableColumn id="17" xr3:uid="{F5BB9730-A5AE-4489-9CB0-182052BA6557}" name="23" dataDxfId="754"/>
    <tableColumn id="18" xr3:uid="{B3DEF063-7A67-4F08-9D09-8310B4B64F2B}" name="24" dataDxfId="753"/>
    <tableColumn id="19" xr3:uid="{558BE332-1E67-4EF7-9FF1-541A019A7066}" name="25" dataDxfId="752"/>
    <tableColumn id="20" xr3:uid="{073BAAB2-EF92-4A82-B7FE-8339FF3A62EA}" name="26" dataDxfId="751"/>
    <tableColumn id="21" xr3:uid="{6EC9D118-EB0A-4FDC-A694-0A630EB1048E}" name="27" dataDxfId="750"/>
    <tableColumn id="22" xr3:uid="{DFF298CB-C24B-4F90-BD14-F99C28391208}" name="28" dataDxfId="749"/>
    <tableColumn id="23" xr3:uid="{7EF0365B-2B81-4022-84F3-7A3859D35934}" name="29" dataDxfId="748"/>
    <tableColumn id="24" xr3:uid="{D92D6A29-5A30-4405-A019-D7F8F39E4176}" name="30" dataDxfId="747"/>
    <tableColumn id="25" xr3:uid="{9BFA1186-4A61-452A-8EAC-4FE410743029}" name="31" dataDxfId="746"/>
    <tableColumn id="3" xr3:uid="{5EBD9DD4-78E3-4E78-8FD5-A71A2DE2CBE8}" name="CARTERA" dataDxfId="74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4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43">
      <calculatedColumnFormula>D1_MARZO_2025[[#This Row],[RECUPERO]]/D1_MARZO_2025[[#This Row],[META]]</calculatedColumnFormula>
    </tableColumn>
    <tableColumn id="7" xr3:uid="{7155E541-BC22-41C0-914A-E54D790D436D}" name="SUPER2" dataDxfId="742"/>
    <tableColumn id="5" xr3:uid="{C9BC0167-A73A-4B66-AB0E-BCC22F3CD7BF}" name="ASESOR" dataDxfId="741"/>
    <tableColumn id="6" xr3:uid="{32E44CF1-7B46-45AA-916C-7D5322097EFD}" name="RECUPERO" dataDxfId="740"/>
    <tableColumn id="8" xr3:uid="{5504CD70-2376-413C-9DD9-7E1FC1D78F37}" name="DNI" dataDxfId="739"/>
    <tableColumn id="9" xr3:uid="{27659D49-6FC1-457B-BF33-A19DBF78CDF2}" name="FECHA DE INICIO" dataDxfId="738"/>
    <tableColumn id="10" xr3:uid="{79E50096-FDE3-4403-8568-FF008447BCC2}" name="ESTADO" dataDxfId="7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36" headerRowBorderDxfId="735" tableBorderDxfId="734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33">
      <calculatedColumnFormula>DATA_MARZO_2025[[#This Row],[RECUPERO]]/DATA_MARZO_2025[[#This Row],[META]]</calculatedColumnFormula>
    </tableColumn>
    <tableColumn id="3" xr3:uid="{6050B278-B3D2-4B4C-8475-D701C9B8AB17}" name="CLASIFICACIÓN" dataDxfId="732"/>
    <tableColumn id="1" xr3:uid="{A94CCC19-556A-4124-8949-24896CDBE45E}" name="SUPERVISOR" dataDxfId="731"/>
    <tableColumn id="6" xr3:uid="{EBBFD24C-8909-45B0-B8CB-4ED73B62F2AB}" name="RECUPERO" dataDxfId="730">
      <calculatedColumnFormula>SUM(DATA_MARZO_2025[[#This Row],[1]:[31]])</calculatedColumnFormula>
    </tableColumn>
    <tableColumn id="7" xr3:uid="{D5702432-6067-40C7-B647-63D5EBDD13C2}" name="META" dataDxfId="729"/>
    <tableColumn id="5" xr3:uid="{40A208DF-2D8B-4D71-B923-6BFFA76CDA11}" name="ASER_" dataDxfId="728"/>
    <tableColumn id="38" xr3:uid="{1F074B40-AB13-4BEE-BC21-9D178D274909}" name="1"/>
    <tableColumn id="41" xr3:uid="{936D83D8-C85E-4C4D-9E8D-BA3D7C54F99A}" name="2" dataDxfId="727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26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25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24" dataDxfId="722" headerRowBorderDxfId="723" tableBorderDxfId="721" totalsRowBorderDxfId="720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19"/>
    <tableColumn id="1" xr3:uid="{23B67F77-728E-46C0-B5B1-11CE8E08D862}" name="RECUPERO SUPERVISOR" dataDxfId="718">
      <calculatedColumnFormula>MAX(DITE_MARZO_2025[[#This Row],[1]:[31]])</calculatedColumnFormula>
    </tableColumn>
    <tableColumn id="2" xr3:uid="{0BAE08AE-6A16-447E-9DDD-8800D68BFFA3}" name="ALCANCE SUPERVISOR" dataDxfId="717">
      <calculatedColumnFormula>DITE_MARZO_2025[[#This Row],[RECUPERO SUPERVISOR]]/DITE_MARZO_2025[[#This Row],[META SUPER]]</calculatedColumnFormula>
    </tableColumn>
    <tableColumn id="4" xr3:uid="{663301EA-2B77-4C76-B8E0-713CAAD1AC41}" name="SUPER" dataDxfId="716"/>
    <tableColumn id="6" xr3:uid="{9A6FEB31-48E4-456F-8C1F-14055131E9D6}" name="1" dataDxfId="715"/>
    <tableColumn id="7" xr3:uid="{B8154FAF-39D2-4ED9-8DD7-C179156ECA39}" name="2" dataDxfId="714"/>
    <tableColumn id="8" xr3:uid="{E58A14C1-44D1-46A4-9137-21E70261FA76}" name="3" dataDxfId="713"/>
    <tableColumn id="9" xr3:uid="{EFDA2093-809C-4DA2-80F9-0388CCC5E290}" name="4" dataDxfId="712"/>
    <tableColumn id="10" xr3:uid="{634CF5F0-F36D-4B26-8143-8C3A6FB59216}" name="5" dataDxfId="711"/>
    <tableColumn id="11" xr3:uid="{77A0553B-7BDF-49B7-B459-701A77496BEA}" name="6" dataDxfId="710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09"/>
    <tableColumn id="13" xr3:uid="{C6D91E97-E16B-4E76-BE55-A08C2A1131DD}" name="18" dataDxfId="708"/>
    <tableColumn id="14" xr3:uid="{2A5F1078-A097-4171-BD28-7B9B623471D0}" name="19" dataDxfId="707"/>
    <tableColumn id="15" xr3:uid="{5E883D61-775A-4AD4-A304-156DCFD9F825}" name="20" dataDxfId="706"/>
    <tableColumn id="16" xr3:uid="{BEFB5788-590D-4EFA-8707-20BAAF7026F1}" name="21" dataDxfId="705"/>
    <tableColumn id="17" xr3:uid="{8FC06E69-FAE9-4DBE-9C75-7A6598DE29C6}" name="22" dataDxfId="704"/>
    <tableColumn id="18" xr3:uid="{966EC934-1D25-407E-AE13-8147AC3FF531}" name="23" dataDxfId="703"/>
    <tableColumn id="19" xr3:uid="{5437FF24-6F5D-412D-82EE-8C668C7DC853}" name="24" dataDxfId="702"/>
    <tableColumn id="20" xr3:uid="{204A7CBC-2C07-4027-851F-021033B930C1}" name="25" dataDxfId="701"/>
    <tableColumn id="21" xr3:uid="{DF491418-AC74-4C6A-852F-F0797487D11C}" name="26" dataDxfId="700"/>
    <tableColumn id="22" xr3:uid="{E184F0A4-EF1A-48F5-8166-10085FC40D13}" name="27" dataDxfId="699"/>
    <tableColumn id="23" xr3:uid="{66C12B87-BC6D-46BE-AF31-D0C68A22BC7E}" name="28" dataDxfId="698"/>
    <tableColumn id="24" xr3:uid="{A2DB9C74-4CB6-4BBF-A230-DF50FDE9380D}" name="29" dataDxfId="697"/>
    <tableColumn id="25" xr3:uid="{D54E02BE-AA16-43C7-ABD3-89326740EA63}" name="30" dataDxfId="696"/>
    <tableColumn id="26" xr3:uid="{11172EA7-856A-4297-8329-62917B649E9A}" name="31" dataDxfId="695"/>
    <tableColumn id="3" xr3:uid="{42C6AD34-2DFF-436B-BB22-6DE170226F44}" name="CARTERA" dataDxfId="694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9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92"/>
    <tableColumn id="5" xr3:uid="{D789E66F-CC8C-4715-A998-7AE532E85E8A}" name="ASESOR" dataDxfId="691"/>
    <tableColumn id="6" xr3:uid="{3455DB8A-5A64-4A8F-8153-2471763CA60D}" name="RECUPERO" dataDxfId="690"/>
    <tableColumn id="8" xr3:uid="{F8575E1F-78C1-4E15-B505-1AECE8857345}" name="DNI" dataDxfId="689"/>
    <tableColumn id="9" xr3:uid="{BE130F2A-9B67-45D5-AA49-051D2F0A515B}" name="FECHA DE INICIO" dataDxfId="688"/>
    <tableColumn id="10" xr3:uid="{31096FEC-094E-478E-A9F3-0023192798F0}" name="ESTADO" dataDxfId="68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86" headerRowBorderDxfId="685" tableBorderDxfId="684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83">
      <calculatedColumnFormula>DATA_ABRIL_2025[[#This Row],[RECUPERO]]/DATA_ABRIL_2025[[#This Row],[META]]</calculatedColumnFormula>
    </tableColumn>
    <tableColumn id="3" xr3:uid="{1B1E8B7A-D562-46FD-89DE-12ADBC7146F2}" name="CLASIFICACIÓN" dataDxfId="682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1"/>
    <tableColumn id="6" xr3:uid="{9C2D93B7-85A2-4E07-8DD4-3C81F7BF7EBF}" name="RECUPERO" dataDxfId="680">
      <calculatedColumnFormula>SUM(DATA_ABRIL_2025[[#This Row],[1]:[31]])</calculatedColumnFormula>
    </tableColumn>
    <tableColumn id="7" xr3:uid="{8F4173FF-BB8D-4C61-A5E9-1B6F872C619C}" name="META" dataDxfId="679"/>
    <tableColumn id="5" xr3:uid="{64151D2C-B822-41DF-8964-343214960730}" name="ASER_" dataDxfId="678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77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76" dataDxfId="674" headerRowBorderDxfId="675" tableBorderDxfId="673" totalsRowBorderDxfId="672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1"/>
    <tableColumn id="1" xr3:uid="{56AD13BC-F67F-4EBC-8601-073AD9D41E5D}" name="RECUPERO SUPERVISOR" dataDxfId="670">
      <calculatedColumnFormula>MAX(DITE_ABRIL_2025[[#This Row],[1]:[31]])</calculatedColumnFormula>
    </tableColumn>
    <tableColumn id="2" xr3:uid="{B40C8394-DA7A-4DDD-89EA-AE757C76DD20}" name="ALCANCE SUPERVISOR" dataDxfId="669">
      <calculatedColumnFormula>BA9/DITE_ABRIL_2025[[#This Row],[META SUPER]]</calculatedColumnFormula>
    </tableColumn>
    <tableColumn id="4" xr3:uid="{B71408F8-B985-4B11-8661-52EFC6FA8097}" name="SUPER" dataDxfId="668"/>
    <tableColumn id="6" xr3:uid="{9E37ADBB-A64C-4E4B-9AF4-6087C797FB5E}" name="1" dataDxfId="667"/>
    <tableColumn id="7" xr3:uid="{09E3EE83-45B5-4808-842B-71D4652DE46A}" name="2" dataDxfId="666"/>
    <tableColumn id="8" xr3:uid="{243F9102-2670-48D4-B25D-8432658D89F6}" name="3" dataDxfId="665"/>
    <tableColumn id="9" xr3:uid="{06003E0F-B470-4925-ACE4-1381347B3E87}" name="4" dataDxfId="664"/>
    <tableColumn id="10" xr3:uid="{DF8C4E72-181D-4E2F-A34D-2BB7FD231520}" name="5" dataDxfId="663"/>
    <tableColumn id="11" xr3:uid="{56E37C44-85E9-4431-A560-A54606105B9D}" name="6" dataDxfId="662"/>
    <tableColumn id="12" xr3:uid="{9ADEA573-5E4A-46C0-8569-AFED61AE0141}" name="7" dataDxfId="661"/>
    <tableColumn id="13" xr3:uid="{D44E56ED-D810-4F08-ACAA-0850A2CBA861}" name="8" dataDxfId="660"/>
    <tableColumn id="14" xr3:uid="{4F1A46EB-156C-42BB-A090-307A483EDA59}" name="9" dataDxfId="659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58"/>
    <tableColumn id="16" xr3:uid="{C78E77EC-88A1-4EFD-AD1A-7DF788C46683}" name="22" dataDxfId="657"/>
    <tableColumn id="17" xr3:uid="{D5FD8172-0B95-4406-9239-1ABAD08F1B45}" name="23" dataDxfId="656"/>
    <tableColumn id="18" xr3:uid="{8E9BAC3F-3B04-449B-88EE-DBF57FA626AC}" name="24" dataDxfId="655"/>
    <tableColumn id="19" xr3:uid="{BFA3B7EB-0BC7-4311-8FCE-7C69A9357A03}" name="25" dataDxfId="654"/>
    <tableColumn id="20" xr3:uid="{D2BE25CA-961F-40EE-9EC1-A49EEA4DDB5A}" name="26" dataDxfId="653"/>
    <tableColumn id="21" xr3:uid="{77AAB025-517F-4236-B11B-AEE9B7399348}" name="27" dataDxfId="652"/>
    <tableColumn id="22" xr3:uid="{E35C7392-A09A-482A-9C37-79B0D6711E60}" name="28" dataDxfId="651"/>
    <tableColumn id="23" xr3:uid="{B9F1E360-1FEC-4978-B5DB-3DECA1925AE9}" name="29" dataDxfId="650"/>
    <tableColumn id="24" xr3:uid="{89A20735-1F9D-4A38-9BEB-B3BD56D1FD35}" name="30" dataDxfId="649"/>
    <tableColumn id="25" xr3:uid="{4BE1A809-8A7F-4933-9AB7-B0E4C9CDDD7E}" name="31" dataDxfId="648"/>
    <tableColumn id="3" xr3:uid="{8BAF39B2-F0EB-433E-8F3A-FEAC89C5F9BF}" name="CARTERA" dataDxfId="647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46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45">
      <calculatedColumnFormula>D1_MAYO_2025[[#This Row],[RECUPERO]]/D1_MAYO_2025[[#This Row],[META]]</calculatedColumnFormula>
    </tableColumn>
    <tableColumn id="7" xr3:uid="{7C5F88F0-9FF3-49CF-BE68-2D455D9DEE81}" name="SUPER2" dataDxfId="644"/>
    <tableColumn id="5" xr3:uid="{5FAC7613-1036-4D50-9A09-AB4F41D88D12}" name="ASESOR" dataDxfId="643"/>
    <tableColumn id="6" xr3:uid="{373B07DA-C176-4486-843D-36C5A3043867}" name="RECUPERO" dataDxfId="642"/>
    <tableColumn id="8" xr3:uid="{CDBFB8A5-E15E-4513-B245-3523278CBBD2}" name="DNI" dataDxfId="641"/>
    <tableColumn id="9" xr3:uid="{64A6BF66-DB3B-4ED3-B1A9-2DF71B8D1ACE}" name="FECHA DE INICIO" dataDxfId="640"/>
    <tableColumn id="10" xr3:uid="{9DD10A75-AE91-4226-BF53-FBC3A38A3094}" name="ESTADO" dataDxfId="63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38" headerRowBorderDxfId="637" tableBorderDxfId="636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35">
      <calculatedColumnFormula>DATA_MAYO_2025[[#This Row],[RECUPERO]]/DATA_MAYO_2025[[#This Row],[META]]</calculatedColumnFormula>
    </tableColumn>
    <tableColumn id="3" xr3:uid="{8551335D-BE40-494B-A806-42FAA211C207}" name="CLASIFICACIÓN" dataDxfId="634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33"/>
    <tableColumn id="6" xr3:uid="{85DC5B94-4FF7-4224-A993-E56A00A5F6DA}" name="RECUPERO" dataDxfId="632">
      <calculatedColumnFormula>SUM(DATA_MAYO_2025[[#This Row],[1]:[31]])</calculatedColumnFormula>
    </tableColumn>
    <tableColumn id="7" xr3:uid="{E2EB46E1-D5BC-46B2-859F-8C05EBBE26F5}" name="META" dataDxfId="631"/>
    <tableColumn id="5" xr3:uid="{A8ED42EF-7F3D-47A1-A928-02CDC650D596}" name="ASER_" dataDxfId="630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29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28" dataDxfId="626" headerRowBorderDxfId="627" tableBorderDxfId="625" totalsRowBorderDxfId="624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23"/>
    <tableColumn id="1" xr3:uid="{E8B4D119-C811-4392-9EE6-8F0C79BEE9E9}" name="RECUPERO SUPERVISOR" dataDxfId="622">
      <calculatedColumnFormula>MAX(DITE_MAYO_2025[[#This Row],[1]:[31]])</calculatedColumnFormula>
    </tableColumn>
    <tableColumn id="2" xr3:uid="{B44E621C-D444-4670-8FB8-CA1A1E3293FE}" name="ALCANCE SUPERVISOR" dataDxfId="621">
      <calculatedColumnFormula>DITE_MAYO_2025[[#This Row],[RECUPERO SUPERVISOR]]/DITE_MAYO_2025[[#This Row],[META SUPER]]</calculatedColumnFormula>
    </tableColumn>
    <tableColumn id="4" xr3:uid="{63B60F11-ECE7-4839-BADE-F875CF35D6C8}" name="SUPER" dataDxfId="620"/>
    <tableColumn id="6" xr3:uid="{795F9848-930D-4B49-893D-00DA36A6069C}" name="1" dataDxfId="619"/>
    <tableColumn id="7" xr3:uid="{A0F1B09B-45CD-4449-B0E0-2A746353F5F6}" name="2" dataDxfId="618"/>
    <tableColumn id="8" xr3:uid="{42485F8E-3938-40CB-B75A-E12120AF085D}" name="3" dataDxfId="617"/>
    <tableColumn id="9" xr3:uid="{16CE59CD-D621-412D-8F6E-F5B8FEEFCBB4}" name="4" dataDxfId="616"/>
    <tableColumn id="10" xr3:uid="{D1B5939A-E95A-4BE2-BA16-796CFB62C7BB}" name="5" dataDxfId="615"/>
    <tableColumn id="11" xr3:uid="{42606FA2-25C4-48F7-BC25-B75CFBF93D7E}" name="6" dataDxfId="614"/>
    <tableColumn id="12" xr3:uid="{91DD2662-D657-4CF0-B378-5B3D9B374F80}" name="7" dataDxfId="613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2"/>
    <tableColumn id="14" xr3:uid="{FDAEFC46-2A8B-451E-929D-76EC4BC7CA39}" name="19" dataDxfId="611"/>
    <tableColumn id="15" xr3:uid="{1F944C9F-2359-45A9-8922-617195550B92}" name="20" dataDxfId="610"/>
    <tableColumn id="16" xr3:uid="{D023EA95-922B-4435-8A92-F165E2F3A560}" name="21" dataDxfId="609"/>
    <tableColumn id="17" xr3:uid="{7AC3BA92-E630-483B-B27E-18C40869116B}" name="22" dataDxfId="608"/>
    <tableColumn id="18" xr3:uid="{3609A57C-B1DB-4D87-9574-007183221000}" name="23" dataDxfId="607"/>
    <tableColumn id="19" xr3:uid="{98740490-1047-4343-85C8-834AE6AF935A}" name="24" dataDxfId="606"/>
    <tableColumn id="20" xr3:uid="{CE682DBD-B5A8-49C9-8A73-515C0BB553A8}" name="25" dataDxfId="605"/>
    <tableColumn id="21" xr3:uid="{2C63A6DB-A36B-488F-8D7C-F86E11CED59A}" name="26" dataDxfId="604"/>
    <tableColumn id="22" xr3:uid="{01511E88-F7F3-4FDD-998C-292B28698241}" name="27" dataDxfId="603"/>
    <tableColumn id="23" xr3:uid="{B0CE642E-7F10-4E00-9DD1-FC5CF0499DC2}" name="28" dataDxfId="602"/>
    <tableColumn id="24" xr3:uid="{EE9469B0-D486-4046-8AA2-36629B9D9667}" name="29" dataDxfId="601"/>
    <tableColumn id="25" xr3:uid="{D05B2A45-8E05-43BB-9FFA-CC56C7D8C31E}" name="30" dataDxfId="600"/>
    <tableColumn id="26" xr3:uid="{AE78D865-FDC9-4B75-AADF-A48F19C319DC}" name="31" dataDxfId="599"/>
    <tableColumn id="3" xr3:uid="{0887DE9C-F035-4EEC-B2F4-4C2CEB11922C}" name="CARTERA" dataDxfId="59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97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96"/>
    <tableColumn id="5" xr3:uid="{1BF578D9-FB1B-48B0-B732-40F721FD7C19}" name="ASESOR" dataDxfId="595"/>
    <tableColumn id="6" xr3:uid="{CA995F17-DCA5-4D19-B2E1-FD9362121A39}" name="RECUPERO"/>
    <tableColumn id="8" xr3:uid="{9BC620F7-3E10-4417-B0EA-F37D1F039447}" name="DNI" dataDxfId="594"/>
    <tableColumn id="9" xr3:uid="{0CBCBA61-9BA1-4E3D-B6CE-38E6C9A1078C}" name="FECHA DE INICIO" dataDxfId="593"/>
    <tableColumn id="10" xr3:uid="{3A23F58F-8B92-4D7C-82D9-23C8B3B51E6F}" name="ESTADO" dataDxfId="59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1" headerRowBorderDxfId="590" tableBorderDxfId="58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88">
      <calculatedColumnFormula>DATA_JUNIO_2025[[#This Row],[RECUPERO]]/DATA_JUNIO_2025[[#This Row],[META]]</calculatedColumnFormula>
    </tableColumn>
    <tableColumn id="3" xr3:uid="{78E201C6-658E-4437-AC52-3D0E669D8389}" name="CLASIFICACIÓN" dataDxfId="587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86"/>
    <tableColumn id="6" xr3:uid="{3AD4A449-DB0B-4879-AD61-28FA40E45717}" name="RECUPERO" dataDxfId="585">
      <calculatedColumnFormula>SUM(DATA_JUNIO_2025[[#This Row],[1]:[31]])</calculatedColumnFormula>
    </tableColumn>
    <tableColumn id="7" xr3:uid="{2BD9FB92-38FC-44A8-B5F2-890569E48C37}" name="META" dataDxfId="584"/>
    <tableColumn id="5" xr3:uid="{9812F1F1-AB5A-41A6-A84D-86B290FCB7E7}" name="ASER_" dataDxfId="583"/>
    <tableColumn id="37" xr3:uid="{834796BA-53F4-4194-919E-D8B97FEA7F3F}" name="1" dataDxfId="58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1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0" dataDxfId="578" headerRowBorderDxfId="579" tableBorderDxfId="577" totalsRowBorderDxfId="57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75"/>
    <tableColumn id="1" xr3:uid="{1A75BF93-811F-4AFA-86B4-9AD496200913}" name="RECUPERO SUPERVISOR" dataDxfId="574"/>
    <tableColumn id="2" xr3:uid="{60B107BC-0938-4363-BE59-47C4E7777D14}" name="ALCANCE SUPERVISOR" dataDxfId="573">
      <calculatedColumnFormula>DITE_JUNIO_2025[[#This Row],[RECUPERO SUPERVISOR]]/DITE_JUNIO_2025[[#This Row],[META SUPER]]</calculatedColumnFormula>
    </tableColumn>
    <tableColumn id="4" xr3:uid="{846684E8-1F2C-4021-AB12-AFBE9E56FAA4}" name="SUPER" dataDxfId="572"/>
    <tableColumn id="6" xr3:uid="{A217DEAD-ACD7-4C63-A622-E2E01ECF328C}" name="1" dataDxfId="571"/>
    <tableColumn id="7" xr3:uid="{5CA18C0A-7D47-455B-B153-EFA8D01D32D6}" name="2" dataDxfId="570"/>
    <tableColumn id="8" xr3:uid="{3CBBE086-E28B-4224-AF45-5A4E7A009E3F}" name="3" dataDxfId="569"/>
    <tableColumn id="9" xr3:uid="{4B327145-F7C9-4ABC-A911-6EB2E553C986}" name="4" dataDxfId="568"/>
    <tableColumn id="10" xr3:uid="{C644450F-2149-4D87-8E04-D3DD6B99C066}" name="5" dataDxfId="567"/>
    <tableColumn id="11" xr3:uid="{92D6DA00-2083-479D-96F6-4B48312C9C12}" name="6" dataDxfId="566"/>
    <tableColumn id="12" xr3:uid="{2EC613D6-BDCD-416F-817F-42C8018B90FE}" name="7" dataDxfId="565"/>
    <tableColumn id="13" xr3:uid="{B55C5834-2D46-4D83-8429-14D18D9B95EF}" name="8" dataDxfId="564"/>
    <tableColumn id="14" xr3:uid="{5C6DF4C8-EDC0-4827-AA8B-9C2B7202A4DA}" name="9" dataDxfId="563"/>
    <tableColumn id="15" xr3:uid="{764D7AA1-F3E2-4E06-A4A9-952B47F95E76}" name="10" dataDxfId="562"/>
    <tableColumn id="16" xr3:uid="{6D896E44-118D-4124-BF4A-2E06B8568517}" name="11" dataDxfId="56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0"/>
    <tableColumn id="18" xr3:uid="{E97C32F3-7B30-46E7-B4CD-72B412E48E28}" name="22" dataDxfId="559"/>
    <tableColumn id="19" xr3:uid="{FD784BF8-211E-4275-A9B4-168979C2AFD1}" name="23" dataDxfId="558"/>
    <tableColumn id="20" xr3:uid="{766DA9FA-C407-4AC5-BFFB-BF6A1B6D5B26}" name="24" dataDxfId="557"/>
    <tableColumn id="21" xr3:uid="{CD1B765C-53CF-4C5C-A708-487BC53AF68A}" name="25" dataDxfId="556"/>
    <tableColumn id="22" xr3:uid="{2800A805-A560-4CF0-B47E-4486A92755E4}" name="26" dataDxfId="555"/>
    <tableColumn id="23" xr3:uid="{7067EFFA-F2EA-4FFF-A281-8E3E0E718C87}" name="27" dataDxfId="554"/>
    <tableColumn id="24" xr3:uid="{BB01C4B5-FEB4-44E1-BF58-4C9BF81261B1}" name="28" dataDxfId="553"/>
    <tableColumn id="25" xr3:uid="{2116D7DE-6632-4314-9539-6B4BA9407512}" name="29" dataDxfId="552"/>
    <tableColumn id="37" xr3:uid="{CBFA4429-3DA2-46C7-A9A0-49B669AE33A6}" name="30"/>
    <tableColumn id="26" xr3:uid="{B0D188FD-F41F-4C43-A42F-87048D9F3347}" name="31" dataDxfId="551"/>
    <tableColumn id="3" xr3:uid="{153A774F-FA3D-4DE9-A743-A193E9EC2BE7}" name="CARTERA" dataDxfId="55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49" headerRowBorderDxfId="548" tableBorderDxfId="547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46">
      <calculatedColumnFormula>DATA_JULIO_2025[[#This Row],[RECUPERO]]/DATA_JULIO_2025[[#This Row],[META]]</calculatedColumnFormula>
    </tableColumn>
    <tableColumn id="3" xr3:uid="{1754C817-3C23-490F-BEA3-3ACD2AC34A65}" name="CLASIFICACIÓN" dataDxfId="545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44"/>
    <tableColumn id="6" xr3:uid="{BCDF5A35-E274-481A-8FAA-7585E0413D78}" name="RECUPERO" dataDxfId="543">
      <calculatedColumnFormula>SUM(DATA_JULIO_2025[[#This Row],[1]:[31]])</calculatedColumnFormula>
    </tableColumn>
    <tableColumn id="7" xr3:uid="{8DE1FEE0-51D3-4EA8-A46E-89BEBA12056E}" name="META" dataDxfId="542"/>
    <tableColumn id="1" xr3:uid="{3C41F150-757E-4673-8594-D891B2820E33}" name="ASER_" dataDxfId="541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0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38" headerRowBorderDxfId="539" tableBorderDxfId="537">
  <autoFilter ref="A2:J85" xr:uid="{F460AB3C-55A7-4610-B74D-44400B82E396}"/>
  <tableColumns count="10">
    <tableColumn id="1" xr3:uid="{174E92CC-5FBB-42E6-ABBA-A2148115201A}" name="SUPER" dataDxfId="536">
      <calculatedColumnFormula>D1_JULIO_2025[[#This Row],[SUPER2]]</calculatedColumnFormula>
    </tableColumn>
    <tableColumn id="6" xr3:uid="{D87E1435-21B2-485D-8BCD-1C27FC523EEA}" name="ASESOR_CRR" dataDxfId="535"/>
    <tableColumn id="2" xr3:uid="{FC570054-965C-4F29-B04A-C58608AEAECA}" name="META" dataDxfId="534">
      <calculatedColumnFormula>VLOOKUP(D1_JULIO_2025[[#This Row],[SUPER]],DATA_JULIO_2025[[SUPERVISOR]:[META]],3,0)</calculatedColumnFormula>
    </tableColumn>
    <tableColumn id="3" xr3:uid="{CF023A93-4AFB-4349-9235-179A60BC2249}" name="ALCANCE" dataDxfId="533">
      <calculatedColumnFormula>D1_JULIO_2025[[#This Row],[RECUPERO]]/C3</calculatedColumnFormula>
    </tableColumn>
    <tableColumn id="7" xr3:uid="{59576C9E-00A8-419A-8EFC-86D74D6B4B3F}" name="SUPER2" dataDxfId="532"/>
    <tableColumn id="4" xr3:uid="{6F567985-92B6-498E-BDE9-81AA438ECD22}" name="ASESOR" dataDxfId="531"/>
    <tableColumn id="5" xr3:uid="{2DFC340F-6B74-4E64-B475-782D4A5F8B3E}" name="RECUPERO" dataDxfId="530"/>
    <tableColumn id="8" xr3:uid="{D42D0BDD-24C5-4390-9867-D5F3D45952CE}" name="DNI" dataDxfId="529"/>
    <tableColumn id="9" xr3:uid="{A9555617-B6CF-4123-9AD8-5E9DB6528E74}" name="FECHA DE INICIO" dataDxfId="528"/>
    <tableColumn id="10" xr3:uid="{1C792B0A-E0F3-406D-8123-75E932FC95A1}" name="ESTADO" dataDxfId="527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26" dataDxfId="524" headerRowBorderDxfId="525" tableBorderDxfId="523" totalsRowBorderDxfId="522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1"/>
    <tableColumn id="1" xr3:uid="{4CE2BFB4-C324-4ECE-B3B7-77A433373BEC}" name="RECUPERO SUPERVISOR" dataDxfId="520"/>
    <tableColumn id="2" xr3:uid="{76C6BCA1-6820-46A6-B790-01B3E88F6266}" name="ALCANCE SUPERVISOR" dataDxfId="519">
      <calculatedColumnFormula>BA9/DITE_JULIO_2025[[#This Row],[META SUPER]]</calculatedColumnFormula>
    </tableColumn>
    <tableColumn id="4" xr3:uid="{FE9C5289-6F21-4D71-92B6-F36B6C9748E7}" name="SUPER" dataDxfId="518"/>
    <tableColumn id="6" xr3:uid="{A5188244-D142-4196-92CC-15B237C3E734}" name="1" dataDxfId="517"/>
    <tableColumn id="7" xr3:uid="{9754BD88-AFD1-4BCB-AF69-DA7B55E3A053}" name="2" dataDxfId="516"/>
    <tableColumn id="8" xr3:uid="{851C8CA8-D257-4BFB-B6BE-D82354200CA7}" name="3" dataDxfId="515"/>
    <tableColumn id="9" xr3:uid="{AE769B63-903F-46E5-A3F0-8DA27C689974}" name="4" dataDxfId="514"/>
    <tableColumn id="10" xr3:uid="{D09A5961-EE10-491A-BFFE-C5ABD80598A8}" name="5" dataDxfId="513"/>
    <tableColumn id="11" xr3:uid="{EC4AF483-303E-4488-AFA2-DD9A058F071A}" name="6" dataDxfId="512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1"/>
    <tableColumn id="13" xr3:uid="{377D024A-00DD-4A77-A549-5C6BEBE894D0}" name="19" dataDxfId="510"/>
    <tableColumn id="14" xr3:uid="{8FABF999-C8BA-4B7D-980A-2659F766178B}" name="20" dataDxfId="509"/>
    <tableColumn id="15" xr3:uid="{06AC6AD7-A191-47DD-AE3F-9A0525AF8DD6}" name="21" dataDxfId="508"/>
    <tableColumn id="16" xr3:uid="{BB465107-63D7-443B-8989-EF197F62D322}" name="22" dataDxfId="507"/>
    <tableColumn id="17" xr3:uid="{3DFE5CBD-1315-4CBA-A14E-1763583D7BEC}" name="23" dataDxfId="506"/>
    <tableColumn id="18" xr3:uid="{5DB3135E-36A1-4F0D-890E-50AC461B96C4}" name="24" dataDxfId="505"/>
    <tableColumn id="19" xr3:uid="{57CA79FE-F6A3-4697-8926-36322AD1BC6C}" name="25" dataDxfId="504"/>
    <tableColumn id="20" xr3:uid="{A99C4302-A806-4344-ABAF-AF753E7EF30D}" name="26" dataDxfId="503"/>
    <tableColumn id="21" xr3:uid="{D1C3F20A-0988-4CC4-8D06-ED3EE15A7AB1}" name="27" dataDxfId="502"/>
    <tableColumn id="22" xr3:uid="{ECEC5739-F3E4-44C4-9408-4DAA6DE5069C}" name="28" dataDxfId="501"/>
    <tableColumn id="23" xr3:uid="{CD77FB96-6C17-47A0-82BA-2ABEA1725A41}" name="29" dataDxfId="500"/>
    <tableColumn id="24" xr3:uid="{87D0EFA1-B9FB-444F-B737-EE4C1B838FBC}" name="30" dataDxfId="499"/>
    <tableColumn id="25" xr3:uid="{BF0F5A29-80D1-482F-9C53-48E4478A5F1D}" name="31" dataDxfId="498"/>
    <tableColumn id="3" xr3:uid="{51B2E01F-098B-4EAB-AB37-99A7A456DDF6}" name="CARTERA" dataDxfId="49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95" headerRowBorderDxfId="496" tableBorderDxfId="494">
  <autoFilter ref="A2:J91" xr:uid="{816CEBCE-101B-42C2-A45C-8113A647428A}"/>
  <tableColumns count="10">
    <tableColumn id="1" xr3:uid="{596664E6-24CF-4AF3-A84D-121AC4745B4C}" name="SUPER" dataDxfId="493"/>
    <tableColumn id="6" xr3:uid="{CA4B13E9-2CAB-42E2-A028-4DFB844CF726}" name="ASESOR_CRR" dataDxfId="492"/>
    <tableColumn id="2" xr3:uid="{B3C2F90C-6F59-4998-9F82-960596BF09D8}" name="META" dataDxfId="491">
      <calculatedColumnFormula>VLOOKUP(D1_AGOSTO_2025[[#This Row],[SUPER]],DATA_AGOSTO_2025[[SUPERVISOR]:[META]],3,0)</calculatedColumnFormula>
    </tableColumn>
    <tableColumn id="3" xr3:uid="{6CE379C4-19C8-4C90-81DB-EA83E873B03A}" name="ALCANCE" dataDxfId="490"/>
    <tableColumn id="7" xr3:uid="{28AC502F-3113-4B59-AA88-4F9E0E7D938B}" name="SUPER2" dataDxfId="489"/>
    <tableColumn id="4" xr3:uid="{9AE19661-0B03-4D03-9661-4B81FCE456D3}" name="ASESOR" dataDxfId="488"/>
    <tableColumn id="5" xr3:uid="{9CCAC285-FD2E-415B-BE6E-AD7E20CECF29}" name="RECUPERO" dataDxfId="487">
      <calculatedColumnFormula>VLOOKUP(D1_AGOSTO_2025[[#This Row],[ASESOR]],$E$95:$F$176,2,0)</calculatedColumnFormula>
    </tableColumn>
    <tableColumn id="8" xr3:uid="{043E81D5-B688-480A-9A28-C451E6CC8ACE}" name="DNI" dataDxfId="486"/>
    <tableColumn id="9" xr3:uid="{1F9CE105-EFA8-4FFE-9C5C-0AB581B961DE}" name="FECHA DE INICIO" dataDxfId="485"/>
    <tableColumn id="10" xr3:uid="{6CA7DA08-8CCF-441D-AE86-422E2259780A}" name="ESTADO" dataDxfId="48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3" headerRowBorderDxfId="482" tableBorderDxfId="481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0">
      <calculatedColumnFormula>DATA_AGOSTO_2025[[#This Row],[RECUPERO]]/DATA_AGOSTO_2025[[#This Row],[META]]</calculatedColumnFormula>
    </tableColumn>
    <tableColumn id="3" xr3:uid="{88C3CECE-F881-4C05-BA2B-95B253894A39}" name="CLASIFICACIÓN" dataDxfId="479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78"/>
    <tableColumn id="6" xr3:uid="{40820BC6-7E2D-416A-AC23-B4520FC0957D}" name="RECUPERO" dataDxfId="477">
      <calculatedColumnFormula>SUM(DATA_AGOSTO_2025[[#This Row],[1]:[31]])</calculatedColumnFormula>
    </tableColumn>
    <tableColumn id="7" xr3:uid="{F7BC8835-EC2E-4047-8AE9-C742ABE03445}" name="META" dataDxfId="476"/>
    <tableColumn id="5" xr3:uid="{22298E20-98EB-421A-8978-F019348D2A10}" name="ASER_" dataDxfId="475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4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3" dataDxfId="471" headerRowBorderDxfId="472" tableBorderDxfId="470" totalsRowBorderDxfId="469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68"/>
    <tableColumn id="1" xr3:uid="{D853C78B-294B-4C5B-87F9-8B837DBCA858}" name="RECUPERO SUPERVISOR" dataDxfId="467">
      <calculatedColumnFormula>MAX(DITE_AGOSTO_2025[[#This Row],[1]:[31]])</calculatedColumnFormula>
    </tableColumn>
    <tableColumn id="2" xr3:uid="{A6B49739-8C7F-42B7-AB2B-2D9B8785D8A7}" name="ALCANCE SUPERVISOR" dataDxfId="466">
      <calculatedColumnFormula>DITE_AGOSTO_2025[[#This Row],[RECUPERO SUPERVISOR]]/DITE_AGOSTO_2025[[#This Row],[META SUPER]]</calculatedColumnFormula>
    </tableColumn>
    <tableColumn id="4" xr3:uid="{96D2A1C2-9EA3-4132-B41A-8B57BBB00DD3}" name="SUPER" dataDxfId="465"/>
    <tableColumn id="6" xr3:uid="{49EEE6CA-AF7B-4615-AE46-CA713F4E9209}" name="1" dataDxfId="464"/>
    <tableColumn id="7" xr3:uid="{61649C96-BFE5-4D18-BCE1-727E2E74D883}" name="2" dataDxfId="463"/>
    <tableColumn id="8" xr3:uid="{3D095B63-6086-4E9E-85B2-511507890CD8}" name="3" dataDxfId="462"/>
    <tableColumn id="9" xr3:uid="{36CD21E6-51F3-49C9-8448-36B269029EF6}" name="4" dataDxfId="461"/>
    <tableColumn id="10" xr3:uid="{D4DBAD01-5AE1-474A-AF64-A98DFD56153A}" name="5" dataDxfId="460"/>
    <tableColumn id="11" xr3:uid="{FDF3CA30-E7DF-4684-9747-03744CC16AAE}" name="6" dataDxfId="459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58"/>
    <tableColumn id="13" xr3:uid="{55EA3D15-E74B-4AB3-B0D5-B387C3EAAB83}" name="19" dataDxfId="457"/>
    <tableColumn id="14" xr3:uid="{507E3CA9-692F-4A2D-BA96-B401D04EEDD0}" name="20" dataDxfId="456"/>
    <tableColumn id="15" xr3:uid="{E5F719C0-0646-408A-976E-C57966E876F4}" name="21" dataDxfId="455"/>
    <tableColumn id="16" xr3:uid="{8AC2AE0D-50EC-4387-A0A4-A1F2DF092A3C}" name="22" dataDxfId="454"/>
    <tableColumn id="17" xr3:uid="{7B1EE470-E258-4B37-BEC3-E798950632D8}" name="23" dataDxfId="453"/>
    <tableColumn id="18" xr3:uid="{F77C3800-E94B-4C32-A796-122D364094EA}" name="24" dataDxfId="452"/>
    <tableColumn id="19" xr3:uid="{0DA4161D-30F3-4E97-BCBB-4C1E891B36FB}" name="25" dataDxfId="451"/>
    <tableColumn id="20" xr3:uid="{94B916D9-415F-4F66-A6C0-0EE398A152E9}" name="26" dataDxfId="450"/>
    <tableColumn id="21" xr3:uid="{D814BC25-89A4-4A6B-B889-6BF06DD3D2EC}" name="27" dataDxfId="449"/>
    <tableColumn id="22" xr3:uid="{7DEFEDE7-498F-4CCF-A7C2-F63ACE1BA092}" name="28" dataDxfId="448"/>
    <tableColumn id="23" xr3:uid="{CA36A7C5-BBBD-47FB-AAB4-1F5CBDA1EE93}" name="29" dataDxfId="447"/>
    <tableColumn id="24" xr3:uid="{958DFD93-9566-47EC-807E-E21861CB1F39}" name="30" dataDxfId="446"/>
    <tableColumn id="25" xr3:uid="{C690FBB6-6A9F-4B4D-AEF8-49C27DFF4FCF}" name="31" dataDxfId="445"/>
    <tableColumn id="3" xr3:uid="{C5283215-E8BB-41D8-B093-AA31F8252394}" name="CARTERA" dataDxfId="444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2" headerRowBorderDxfId="443" tableBorderDxfId="441">
  <autoFilter ref="A2:I80" xr:uid="{111BC5E6-A71D-437E-ABD5-0E09FCDEF3FD}"/>
  <tableColumns count="9">
    <tableColumn id="1" xr3:uid="{EABDBA5F-3C1B-4AC8-8F40-8C9EED5560F3}" name="SUPER" dataDxfId="440"/>
    <tableColumn id="6" xr3:uid="{C37701A2-99CA-45B9-AA89-63D54C88C5B9}" name="ASESOR_CRR" dataDxfId="439"/>
    <tableColumn id="2" xr3:uid="{8360BA59-782B-4699-ABEA-458A3C9299AD}" name="RECUP" dataDxfId="438"/>
    <tableColumn id="3" xr3:uid="{BD5C8833-8CBB-40D9-BC66-F164208CFEC0}" name="ALCANCE" dataDxfId="437"/>
    <tableColumn id="7" xr3:uid="{07FA8551-F17A-4D20-BAC6-4B128B0ECF57}" name="SUPER2" dataDxfId="436"/>
    <tableColumn id="4" xr3:uid="{91470BB1-1A8E-4802-9D93-28E5A1DF6790}" name="ASESOR" dataDxfId="435"/>
    <tableColumn id="5" xr3:uid="{2B49EE5D-87EB-458C-99B1-7F94B8EDDE4B}" name="RECUPERO" dataDxfId="434"/>
    <tableColumn id="8" xr3:uid="{1A69791E-D827-4498-A9B8-C02ED9E8C0C0}" name="DNI" dataDxfId="433"/>
    <tableColumn id="9" xr3:uid="{17EC964E-623C-4526-9375-D1DFD0BBB147}" name="FECHA DE INGRESO" dataDxfId="432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1" headerRowBorderDxfId="430" tableBorderDxfId="429">
  <autoFilter ref="J8:O86" xr:uid="{91775BD2-E36D-479B-95DE-48127C3410BC}"/>
  <tableColumns count="6">
    <tableColumn id="2" xr3:uid="{033A6CF7-EC22-4EEE-8FF0-8C343161421D}" name="AL_AC" dataDxfId="428"/>
    <tableColumn id="3" xr3:uid="{2234E43A-FB04-4BD5-A5FB-BE681630D39D}" name="CLASIFICACIÓN" dataDxfId="427"/>
    <tableColumn id="1" xr3:uid="{E68E03C4-584B-48EC-AA41-D10E171DF6E2}" name="SUPERVISOR" dataDxfId="426"/>
    <tableColumn id="6" xr3:uid="{8FEE60A3-7153-47ED-82A3-25E3E95BD5B9}" name="RECUPERO" dataDxfId="425"/>
    <tableColumn id="5" xr3:uid="{96DEFE26-B796-4F9F-BB26-62A9B1295009}" name="META" dataDxfId="424"/>
    <tableColumn id="4" xr3:uid="{98491906-C3E6-4CCF-96D0-36184A648156}" name="ASER_" dataDxfId="42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2" dataDxfId="420" headerRowBorderDxfId="421" tableBorderDxfId="419" totalsRowBorderDxfId="418">
  <autoFilter ref="Q8:AQ16" xr:uid="{B03330B9-97D2-48C8-8B43-740321917DA5}"/>
  <tableColumns count="27">
    <tableColumn id="5" xr3:uid="{4E3B6BB8-3B21-487C-8667-D21D7F0B0DDF}" name="META SUPER" dataDxfId="417"/>
    <tableColumn id="1" xr3:uid="{C390EAAF-612A-443A-A32B-07A66CB5EF93}" name="RECUPERO SUPERVISOR" dataDxfId="416"/>
    <tableColumn id="2" xr3:uid="{BF66D468-0BA9-433F-A558-DB3EB49638C0}" name="ALCANCE SUPERVISOR" dataDxfId="415"/>
    <tableColumn id="4" xr3:uid="{833C2FF4-09CC-46A1-B127-078899129ED2}" name="SUPER" dataDxfId="414"/>
    <tableColumn id="6" xr3:uid="{7268ABE3-61CC-4084-9F8D-F9F866838337}" name="1-Set" dataDxfId="413"/>
    <tableColumn id="7" xr3:uid="{934984E8-2516-4844-B21B-29330A07EEE9}" name="2-Set" dataDxfId="412"/>
    <tableColumn id="8" xr3:uid="{5F8B97B9-8D43-4455-9D8F-E58FD0EDAC17}" name="3-Set" dataDxfId="411"/>
    <tableColumn id="9" xr3:uid="{85D24C9E-9252-4D30-9E54-18DBF77A6C70}" name="4-Set" dataDxfId="410"/>
    <tableColumn id="10" xr3:uid="{5A78F08C-1794-450A-88A4-F02CE65D2409}" name="5-Set" dataDxfId="409"/>
    <tableColumn id="11" xr3:uid="{C9868C58-D704-4A31-95DB-6D8FBCC63D90}" name="8-Set" dataDxfId="408"/>
    <tableColumn id="12" xr3:uid="{5A69AB6F-1CBE-456F-9AB1-9CFA02551564}" name="9-Set" dataDxfId="407"/>
    <tableColumn id="13" xr3:uid="{2FB09AC7-C3A6-45CD-8892-0B683DF946C3}" name="10-Set" dataDxfId="406"/>
    <tableColumn id="14" xr3:uid="{B8720ED9-AC2B-41EC-BFA3-A12BF9C966CC}" name="11-Set" dataDxfId="405"/>
    <tableColumn id="15" xr3:uid="{31CBBA73-A7BD-468C-BD0B-435687D2ACAD}" name="12-Set" dataDxfId="404"/>
    <tableColumn id="16" xr3:uid="{02C13EA1-381F-4C2D-B917-AF0FF1A9F773}" name="15-Set" dataDxfId="403"/>
    <tableColumn id="17" xr3:uid="{E6B04D90-5126-40CD-BDA1-E2B120BAD73C}" name="16-Set" dataDxfId="402"/>
    <tableColumn id="18" xr3:uid="{7CB5014E-CB0D-4F8A-A9D7-BD9A166A1B37}" name="17-Set" dataDxfId="401"/>
    <tableColumn id="19" xr3:uid="{040ABF10-1BFC-447A-AE21-D052CBC2ED82}" name="18-Set" dataDxfId="400"/>
    <tableColumn id="20" xr3:uid="{44DFBCB9-0C1E-48F5-ACC2-AC0990D1520D}" name="19-Set" dataDxfId="399"/>
    <tableColumn id="21" xr3:uid="{AFFC2ABC-F24F-4F16-B5DD-03747097DBCC}" name="22-Set" dataDxfId="398"/>
    <tableColumn id="22" xr3:uid="{E8A652BF-A601-498B-965E-DF95F032A19E}" name="23-Set" dataDxfId="397"/>
    <tableColumn id="23" xr3:uid="{E1A1F3EC-A932-4B54-BD80-6B3004BAC18C}" name="24-Set" dataDxfId="396"/>
    <tableColumn id="24" xr3:uid="{7F5C1B88-4DF8-4775-AEFB-F5F5D12AD778}" name="25-Set" dataDxfId="395"/>
    <tableColumn id="25" xr3:uid="{B40C371A-A255-4AD7-B43D-47350B1FF421}" name="26-Set" dataDxfId="394"/>
    <tableColumn id="26" xr3:uid="{AFFE8D31-2DD6-4039-8ED5-AD63D5758F88}" name="29-Set" dataDxfId="393"/>
    <tableColumn id="27" xr3:uid="{041693B7-E11C-4B55-8C93-8CFB39922E84}" name="30-Set" dataDxfId="392"/>
    <tableColumn id="3" xr3:uid="{1DAB60E5-FA3D-4422-89D0-AD46643BF45E}" name="CARTERA" dataDxfId="391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0"/>
    <tableColumn id="5" xr3:uid="{2D06A3B4-3271-49A3-9C7C-FFC311CAB0D8}" name="ASESOR"/>
    <tableColumn id="6" xr3:uid="{7C83291E-5126-4377-B991-EBB23328360F}" name="RECUPERO" dataDxfId="389">
      <calculatedColumnFormula>VLOOKUP(D1_OCTUBRE_2025[[#This Row],[ASESOR]],F78:$G$155,2,0)</calculatedColumnFormula>
    </tableColumn>
    <tableColumn id="8" xr3:uid="{7F2D2756-92A6-4522-A15C-2F10A82AAD95}" name="DNI" dataDxfId="388"/>
    <tableColumn id="9" xr3:uid="{B01E98C6-A76C-417B-B7FA-B0F1C8C2C7C6}" name="FECHA DE INICIO" dataDxfId="387"/>
    <tableColumn id="10" xr3:uid="{DEB6156D-2B0C-4157-8EE4-0EE1578CCF4A}" name="ESTADO" dataDxfId="38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5" tableBorderDxfId="384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3">
      <calculatedColumnFormula>DATA_OCTUBRE_2025[[#This Row],[RECUPERO]]/DATA_OCTUBRE_2025[[#This Row],[META]]</calculatedColumnFormula>
    </tableColumn>
    <tableColumn id="3" xr3:uid="{EE681579-D463-48E9-A57F-B73D04925E37}" name="CLASIFICACIÓN" dataDxfId="382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1"/>
    <tableColumn id="6" xr3:uid="{3B45E8CF-4BCD-492C-B1A3-3E157855AA4E}" name="RECUPERO" dataDxfId="380">
      <calculatedColumnFormula>SUM(DATA_OCTUBRE_2025[[#This Row],[1]:[31]])</calculatedColumnFormula>
    </tableColumn>
    <tableColumn id="7" xr3:uid="{2D762908-0860-493B-A482-9514EAD41E9B}" name="META" dataDxfId="379"/>
    <tableColumn id="4" xr3:uid="{B03F71B4-D73E-47CB-8F19-B1EBCB980D51}" name="ASER_" dataDxfId="378"/>
    <tableColumn id="8" xr3:uid="{DADEF8E1-B4EF-4A54-BDEA-772F65B2659B}" name="1" dataDxfId="377"/>
    <tableColumn id="9" xr3:uid="{09759773-B387-4885-980B-3377FCF2784C}" name="2" dataDxfId="376"/>
    <tableColumn id="10" xr3:uid="{0BEF3C74-7822-4935-9DEF-DBB8EF94B2E8}" name="3" dataDxfId="375"/>
    <tableColumn id="11" xr3:uid="{AB623BA8-8BC3-4899-82B4-0D2F75C64AC1}" name="4" dataDxfId="374"/>
    <tableColumn id="12" xr3:uid="{F3FF380C-FA1C-400D-953D-2426EC1D78FF}" name="5" dataDxfId="373"/>
    <tableColumn id="13" xr3:uid="{513A526B-B8DC-4F0A-BB71-A3C5DCBEE598}" name="6" dataDxfId="372"/>
    <tableColumn id="14" xr3:uid="{FE79AC7F-62E7-4115-BE1B-AAF936521653}" name="7" dataDxfId="371"/>
    <tableColumn id="15" xr3:uid="{68C170E4-F271-468B-91F8-3408D287CC52}" name="8" dataDxfId="370"/>
    <tableColumn id="16" xr3:uid="{AD7DCB27-1227-49CE-B962-67316F312A49}" name="9" dataDxfId="369"/>
    <tableColumn id="17" xr3:uid="{A28A426F-20DF-4E28-817D-D45F6DE67B10}" name="10" dataDxfId="368"/>
    <tableColumn id="18" xr3:uid="{E8A185AF-1E28-4F0F-9855-74F54DBD006B}" name="11" dataDxfId="367"/>
    <tableColumn id="19" xr3:uid="{63732328-29EA-40C6-ACD8-4B4DD4B4CF86}" name="12" dataDxfId="366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5"/>
    <tableColumn id="21" xr3:uid="{C17C4587-18F5-4FBD-868F-EBEC86A07A20}" name="23" dataDxfId="364"/>
    <tableColumn id="22" xr3:uid="{A943FEC5-F867-455B-820F-28C4395DB276}" name="24" dataDxfId="363"/>
    <tableColumn id="23" xr3:uid="{A8FFD2FC-7F1E-4386-AF41-D5EEEF19CDD0}" name="25" dataDxfId="362"/>
    <tableColumn id="24" xr3:uid="{ADF6FE87-D285-4286-AA45-3909EFB078E5}" name="26" dataDxfId="361"/>
    <tableColumn id="25" xr3:uid="{2F0BE83F-F151-4F99-839F-143CA77B5B85}" name="27" dataDxfId="360"/>
    <tableColumn id="26" xr3:uid="{380107E6-E719-4EEB-80BE-3FC920AAB0D8}" name="28" dataDxfId="359"/>
    <tableColumn id="27" xr3:uid="{E4578405-DBB6-4571-976F-D9686E90472D}" name="29" dataDxfId="358"/>
    <tableColumn id="28" xr3:uid="{C03A0B6A-D740-474A-B5C0-16AD1C50D0EF}" name="30" dataDxfId="357"/>
    <tableColumn id="29" xr3:uid="{ABC45238-95B8-44E1-B32D-323E0E09BD1E}" name="31" dataDxfId="356"/>
    <tableColumn id="5" xr3:uid="{DFC53255-43CA-45C9-9269-4215B54AB062}" name="CARTERA ASESOR" dataDxfId="355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4" dataDxfId="352" headerRowBorderDxfId="353" tableBorderDxfId="351" totalsRowBorderDxfId="350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49">
      <calculatedColumnFormula>VLOOKUP($M$3&amp;$N$3&amp;DITE_OCTUBRE_2025[[#This Row],[SUPER]],TablaMeta[],5,0)</calculatedColumnFormula>
    </tableColumn>
    <tableColumn id="1" xr3:uid="{2B34CFC4-0C9F-41CE-999A-2588C7446A9F}" name="RECUPERO SUPERVISOR" dataDxfId="348">
      <calculatedColumnFormula>MAX(DITE_OCTUBRE_2025[[#This Row],[1]:[31]])</calculatedColumnFormula>
    </tableColumn>
    <tableColumn id="2" xr3:uid="{12F44D75-C159-4886-875E-F84E5B64A541}" name="ALCANCE SUPERVISOR" dataDxfId="34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46"/>
    <tableColumn id="6" xr3:uid="{949DC2F4-4585-4646-A396-157D2DF8052D}" name="1" dataDxfId="345"/>
    <tableColumn id="7" xr3:uid="{97391D14-7779-42A7-9DB8-C0989C430B43}" name="2" dataDxfId="344"/>
    <tableColumn id="8" xr3:uid="{6354D769-4310-45AC-8145-E44CED72B4A9}" name="3" dataDxfId="343"/>
    <tableColumn id="9" xr3:uid="{4656D04C-0F05-4626-AF66-C82B40AEFAD8}" name="4" dataDxfId="342"/>
    <tableColumn id="10" xr3:uid="{7D1ED70B-0155-4C0E-8A2F-37B332A6F313}" name="5" dataDxfId="341"/>
    <tableColumn id="11" xr3:uid="{0111FAC8-499F-4CC3-8375-0BF99A4C35FA}" name="6" dataDxfId="340"/>
    <tableColumn id="12" xr3:uid="{C0C00B80-78A4-43E2-93D4-3EE00B3626FF}" name="7" dataDxfId="339"/>
    <tableColumn id="13" xr3:uid="{83880E56-1497-4302-8CA7-1D39E0DC1A97}" name="8" dataDxfId="338"/>
    <tableColumn id="14" xr3:uid="{BE01EA14-2F15-437D-A238-21FF4B75A0DE}" name="9" dataDxfId="337"/>
    <tableColumn id="15" xr3:uid="{EB92F6CE-8ACE-4537-AECA-46B61474948E}" name="10" dataDxfId="336"/>
    <tableColumn id="16" xr3:uid="{6D6490DB-3DEB-438C-AB40-C97EC626F0BE}" name="11" dataDxfId="335"/>
    <tableColumn id="17" xr3:uid="{0392FF10-F85D-41D2-8460-C3A186218696}" name="12" dataDxfId="334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3"/>
    <tableColumn id="19" xr3:uid="{3D252296-5BDD-4576-BACF-EBAA4EDD5204}" name="23" dataDxfId="332"/>
    <tableColumn id="20" xr3:uid="{23EB3C4F-7D5A-4D3B-8B24-D8DE6128BA5F}" name="24" dataDxfId="331"/>
    <tableColumn id="21" xr3:uid="{129CAF30-1851-4238-9880-454B24575BB9}" name="25" dataDxfId="330"/>
    <tableColumn id="22" xr3:uid="{72C02609-42DC-4EDE-B4E1-44D533A24355}" name="26" dataDxfId="329"/>
    <tableColumn id="23" xr3:uid="{9123D15C-9492-4356-8328-1BE17F140523}" name="27" dataDxfId="328"/>
    <tableColumn id="24" xr3:uid="{9D5D7ED1-F248-4C81-8326-BBA9C067C915}" name="28" dataDxfId="327"/>
    <tableColumn id="25" xr3:uid="{AF14494A-3DA5-4A85-BD20-353698E70147}" name="29" dataDxfId="326"/>
    <tableColumn id="26" xr3:uid="{B48EAE26-54B8-4E0C-A4A1-6956DA0D148E}" name="30" dataDxfId="325"/>
    <tableColumn id="27" xr3:uid="{85AC05C5-FE82-41A6-837C-F1F547FD8C2F}" name="31" dataDxfId="324"/>
    <tableColumn id="3" xr3:uid="{1CA2638D-96F9-4A0C-980A-6DAE6545AFFA}" name="CARTERA" dataDxfId="323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2" tableBorderDxfId="32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0">
      <calculatedColumnFormula>DATA_NOVIEMBRE_2025[[#This Row],[RECUPERO]]/DATA_NOVIEMBRE_2025[[#This Row],[META]]</calculatedColumnFormula>
    </tableColumn>
    <tableColumn id="3" xr3:uid="{855F5F44-294A-4871-9840-A24614956994}" name="CLASIFICACIÓN" dataDxfId="319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18"/>
    <tableColumn id="6" xr3:uid="{C0A22187-40B7-435A-ABDA-27944F0D7030}" name="RECUPERO" dataDxfId="317">
      <calculatedColumnFormula>SUM(DATA_NOVIEMBRE_2025[[#This Row],[1]:[31]])</calculatedColumnFormula>
    </tableColumn>
    <tableColumn id="7" xr3:uid="{72E7F13E-9273-4AED-98D2-5508FB4A326C}" name="META" dataDxfId="316"/>
    <tableColumn id="30" xr3:uid="{CFEB99FE-9EED-4763-A696-5BC3DA916AC5}" name="ASER_"/>
    <tableColumn id="8" xr3:uid="{00AE5065-FE4D-45E6-A294-E826836A1E33}" name="1" dataDxfId="315"/>
    <tableColumn id="9" xr3:uid="{EF6C35AD-ACD8-4C7F-8937-91D53147656D}" name="2" dataDxfId="314"/>
    <tableColumn id="10" xr3:uid="{CF32F196-CA95-4750-A946-3E0AC1A85184}" name="3" dataDxfId="313"/>
    <tableColumn id="11" xr3:uid="{9F563EAD-A249-4851-B979-F5575DE957AB}" name="4" dataDxfId="312"/>
    <tableColumn id="12" xr3:uid="{D6A6323F-D160-499D-BD7C-7C323AE07CB0}" name="5" dataDxfId="31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0"/>
    <tableColumn id="14" xr3:uid="{46BCBBD6-EB67-46A1-A356-989FA4845EF7}" name="17" dataDxfId="309"/>
    <tableColumn id="15" xr3:uid="{B50A5F7B-5C7E-48C1-80DA-278B6510B811}" name="18" dataDxfId="308"/>
    <tableColumn id="16" xr3:uid="{05796B28-1DD1-422E-9658-78C2FB73FD83}" name="19" dataDxfId="307"/>
    <tableColumn id="17" xr3:uid="{DB0D6520-FFC2-440C-B97F-9604384ED84D}" name="20" dataDxfId="306"/>
    <tableColumn id="18" xr3:uid="{50423629-1D31-4CC8-B9D0-046394DFED68}" name="21" dataDxfId="305"/>
    <tableColumn id="19" xr3:uid="{80B70DB0-A059-4A28-A799-0529D6BF1263}" name="22" dataDxfId="304"/>
    <tableColumn id="20" xr3:uid="{CE0AE96C-2D78-4B18-ADD7-C86E26CE69AB}" name="23" dataDxfId="303"/>
    <tableColumn id="21" xr3:uid="{D6CA8ADF-F50B-4822-B7AD-A49AC8CD28E8}" name="24" dataDxfId="302"/>
    <tableColumn id="22" xr3:uid="{8D2522DF-F1BC-4031-89AD-8B4B3515396A}" name="25" dataDxfId="301"/>
    <tableColumn id="23" xr3:uid="{293ABA54-17AB-40AD-A5F9-E0308A358390}" name="26" dataDxfId="300"/>
    <tableColumn id="24" xr3:uid="{099B62F0-F67D-4CF2-8C6A-AD383B297F15}" name="27" dataDxfId="299"/>
    <tableColumn id="25" xr3:uid="{104E6C24-1381-41DA-BF76-0DD6D49DF0C1}" name="28" dataDxfId="298"/>
    <tableColumn id="26" xr3:uid="{095F601D-F187-4396-A356-C09936718FF5}" name="29" dataDxfId="297"/>
    <tableColumn id="27" xr3:uid="{4F9FCA77-406D-4319-913A-82D308726F04}" name="30" dataDxfId="296"/>
    <tableColumn id="28" xr3:uid="{5825F9EE-936A-4C38-B210-9DA3DA553F75}" name="31" dataDxfId="295"/>
    <tableColumn id="1" xr3:uid="{D8CEB774-F634-4903-AC1C-0BF18BDD3A03}" name="CARTERA ASESOR" dataDxfId="294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93"/>
    <tableColumn id="2" xr3:uid="{7E004A30-FB94-4ABB-88FD-3005F8FA00C6}" name="ASESOR_CRR" dataDxfId="29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1"/>
    <tableColumn id="7" xr3:uid="{AA9D9715-8EBE-4ECB-8BB4-3F41AF689173}" name="SUPER2" dataDxfId="290"/>
    <tableColumn id="5" xr3:uid="{DDD5C800-04E2-4D8A-8C83-C410D5DF7F70}" name="ASESOR" dataDxfId="289"/>
    <tableColumn id="6" xr3:uid="{88DDFA81-E306-4531-9C28-1EEEFB91AC37}" name="RECUPERO" dataDxfId="288">
      <calculatedColumnFormula>VLOOKUP(D1_NOVIEMBRE_2025[[#This Row],[ASESOR]],$F$70:$G$130,2,0)</calculatedColumnFormula>
    </tableColumn>
    <tableColumn id="9" xr3:uid="{B4E0C179-9219-4DFF-AA71-3C7E15DC0CCB}" name="DNI" dataDxfId="287"/>
    <tableColumn id="10" xr3:uid="{A57DDDED-46A0-4CB6-B58A-B5F5FD8B6714}" name="FECHA DE INICIO" dataDxfId="286"/>
    <tableColumn id="8" xr3:uid="{6D0B725E-AD90-4FB1-ACD9-0C7E61DBD30D}" name="ESTADO" dataDxfId="28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4" dataDxfId="28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2"/>
    <tableColumn id="2" xr3:uid="{39564DF7-490C-4B42-BA0D-A0C7965369AD}" name="RECUPERO SUPERVISOR" dataDxfId="281">
      <calculatedColumnFormula>MAX(DITE_NOVIEMBRE_2025[[#This Row],[1]:[31]])</calculatedColumnFormula>
    </tableColumn>
    <tableColumn id="3" xr3:uid="{714DADEA-706C-4919-B3C2-F0BF1111E161}" name="ALCANCE SUPERVISOR" dataDxfId="280">
      <calculatedColumnFormula>DITE_NOVIEMBRE_2025[[#This Row],[RECUPERO SUPERVISOR]]/DITE_NOVIEMBRE_2025[[#This Row],[META SUPER]]</calculatedColumnFormula>
    </tableColumn>
    <tableColumn id="1" xr3:uid="{9452BB90-F5DE-4B57-AF8A-BBAB41BDA625}" name="SUPER" dataDxfId="279"/>
    <tableColumn id="6" xr3:uid="{87C598B5-62D4-4EE7-861E-EEAA52C00585}" name="1" dataDxfId="278"/>
    <tableColumn id="7" xr3:uid="{633891A0-1EBF-4F76-A7F4-F66318664C43}" name="2" dataDxfId="277"/>
    <tableColumn id="8" xr3:uid="{0592F328-9F13-4B6C-80C9-E9F1845891CB}" name="3" dataDxfId="276"/>
    <tableColumn id="9" xr3:uid="{AE7882D8-BBFD-45AE-B2CB-28F66322BAEE}" name="4" dataDxfId="275"/>
    <tableColumn id="10" xr3:uid="{05F48497-7C3E-4EF2-8908-E3DDE502B309}" name="5" dataDxfId="274"/>
    <tableColumn id="11" xr3:uid="{BD05847D-8156-476D-9D43-53BF9B333675}" name="6" dataDxfId="273"/>
    <tableColumn id="12" xr3:uid="{407098C8-B89E-46C0-9B9A-DA4AD2929032}" name="7" dataDxfId="272"/>
    <tableColumn id="13" xr3:uid="{91FC56B9-68A8-46E6-AF86-C055E5241ADE}" name="8" dataDxfId="27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0"/>
    <tableColumn id="15" xr3:uid="{6D9CB553-B7A7-4211-8DDF-E67D0F75BD0A}" name="20" dataDxfId="269"/>
    <tableColumn id="16" xr3:uid="{C060B537-6CE4-430B-8A22-7A540BACE464}" name="21" dataDxfId="268"/>
    <tableColumn id="17" xr3:uid="{4C8D59DE-F0E8-4B3F-8552-A394ADA4C013}" name="22" dataDxfId="267"/>
    <tableColumn id="18" xr3:uid="{3AB7DFB9-4558-4621-AB3C-3891ECC67DB4}" name="23" dataDxfId="266"/>
    <tableColumn id="19" xr3:uid="{ECC2D027-50E3-4374-BA37-6384A463E763}" name="24" dataDxfId="265"/>
    <tableColumn id="20" xr3:uid="{03C4446D-2883-4E24-87C6-489668916C57}" name="25" dataDxfId="264"/>
    <tableColumn id="21" xr3:uid="{1D103BD3-6849-47BB-B1AD-9FF31C3432E4}" name="26" dataDxfId="263"/>
    <tableColumn id="22" xr3:uid="{E2A6B954-BE7E-4918-9A92-245143E3726C}" name="27" dataDxfId="262"/>
    <tableColumn id="23" xr3:uid="{3BE5D700-08A4-480A-8651-AFBBD596763A}" name="28" dataDxfId="261"/>
    <tableColumn id="24" xr3:uid="{16A1ECF5-0D22-4B11-B95E-D5BF2A42B1A3}" name="29" dataDxfId="260"/>
    <tableColumn id="25" xr3:uid="{AACA19B9-FD00-4B90-8B58-181F058F24E3}" name="30" dataDxfId="259"/>
    <tableColumn id="26" xr3:uid="{2DE2D547-EE6E-49C4-858B-C4D674245BFC}" name="31" dataDxfId="258"/>
    <tableColumn id="4" xr3:uid="{9AD4619F-F825-4B54-8AE2-92E8B9E9E57F}" name="CARTERA" dataDxfId="25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6" tableBorderDxfId="25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4">
      <calculatedColumnFormula>DATA_DICIEMBRE_2025[[#This Row],[RECUPERO]]/DATA_DICIEMBRE_2025[[#This Row],[META]]</calculatedColumnFormula>
    </tableColumn>
    <tableColumn id="2" xr3:uid="{B5D97F6A-AE7C-4FC3-8428-5737699DFEB1}" name="CLASIFICACIÓN" dataDxfId="25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2"/>
    <tableColumn id="1" xr3:uid="{47FCFB9B-5515-45CC-BFF9-2785144AD854}" name="RECUPERO" dataDxfId="251">
      <calculatedColumnFormula>SUM(DATA_DICIEMBRE_2025[[#This Row],[1]:[31]])</calculatedColumnFormula>
    </tableColumn>
    <tableColumn id="6" xr3:uid="{ED7BE75E-3624-4159-BFE7-645CEA862C3E}" name="META" dataDxfId="250"/>
    <tableColumn id="7" xr3:uid="{AD05A858-B012-4836-80E5-BF630A338442}" name="ASER_" dataDxfId="249"/>
    <tableColumn id="4" xr3:uid="{6792E8BB-5B6A-4E20-BC71-7F342FD1DE33}" name="1" dataDxfId="248"/>
    <tableColumn id="8" xr3:uid="{AFF95CFC-A6A6-4F82-9A47-D8F9735B080F}" name="2" dataDxfId="247"/>
    <tableColumn id="9" xr3:uid="{3EE2031A-4396-4C20-9B21-B423FD7A4983}" name="3" dataDxfId="246"/>
    <tableColumn id="10" xr3:uid="{98A61AE3-7932-414B-AE75-E4B9F37090B7}" name="4" dataDxfId="245"/>
    <tableColumn id="11" xr3:uid="{2B37FA03-0832-40E1-966B-188EC131A687}" name="5" dataDxfId="244"/>
    <tableColumn id="12" xr3:uid="{9A4E011C-C4A7-4F49-AD1B-BB28BEA4BF8C}" name="6" dataDxfId="243"/>
    <tableColumn id="13" xr3:uid="{EFB94F58-F00C-45C8-B4D0-E0C1802DF92E}" name="7" dataDxfId="242"/>
    <tableColumn id="14" xr3:uid="{F8800705-9DF6-4EEA-8D67-8321AE1E80D1}" name="8" dataDxfId="241"/>
    <tableColumn id="15" xr3:uid="{7B6D79FE-5D1B-462C-8037-0CACAB6F3911}" name="9" dataDxfId="240"/>
    <tableColumn id="16" xr3:uid="{E0E24420-1BF8-4BED-A5CC-D5EF1C7DF685}" name="10" dataDxfId="23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38"/>
    <tableColumn id="18" xr3:uid="{388429A9-C1D2-4EE1-BB12-A7C9C48AA9F0}" name="23" dataDxfId="237"/>
    <tableColumn id="19" xr3:uid="{6D1522B5-D820-4F42-ADD5-A6062E68E06A}" name="24" dataDxfId="236"/>
    <tableColumn id="20" xr3:uid="{A78EF6CB-6A5A-488F-8EC5-34C0267191BD}" name="25" dataDxfId="235"/>
    <tableColumn id="21" xr3:uid="{0817989E-B5E4-435D-99FF-C9E1A1D429CD}" name="26" dataDxfId="234"/>
    <tableColumn id="22" xr3:uid="{5AE7BF00-6E17-4434-AFC3-A082971963E9}" name="27" dataDxfId="233"/>
    <tableColumn id="23" xr3:uid="{AC4528BB-516C-4650-8587-2267B9400C8D}" name="28" dataDxfId="232"/>
    <tableColumn id="24" xr3:uid="{AB7921F2-B36A-4ABC-9DBC-BB0EC20ACC62}" name="29" dataDxfId="231"/>
    <tableColumn id="25" xr3:uid="{5D1446EA-3DB7-4807-AE25-EB2149040D6D}" name="30" dataDxfId="230"/>
    <tableColumn id="26" xr3:uid="{B5F2A170-57DC-49D6-9752-24386332D295}" name="31" dataDxfId="229"/>
    <tableColumn id="27" xr3:uid="{D1831881-0F77-44D4-82FA-57779D5E74BA}" name="CARTERA ASESOR" dataDxfId="22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27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26"/>
    <tableColumn id="2" xr3:uid="{C1D8B208-A530-42D3-A6B3-202247844AC6}" name="ASESOR_CRR" dataDxfId="225"/>
    <tableColumn id="5" xr3:uid="{0E2E2A96-2FDE-425E-A454-24F26F26F817}" name="META" dataDxfId="224">
      <calculatedColumnFormula>VLOOKUP(D1_DICIEMBRE_2025[[#This Row],[SUPER]],DATA_DICIEMBRE_2025[[SUPERVISOR]:[META]],3,0)</calculatedColumnFormula>
    </tableColumn>
    <tableColumn id="6" xr3:uid="{99265ED5-3CFF-4A20-97B4-3560EE99C717}" name="ALCANCE" dataDxfId="223">
      <calculatedColumnFormula>D1_DICIEMBRE_2025[[#This Row],[RECUPERO]]/D1_DICIEMBRE_2025[[#This Row],[META]]</calculatedColumnFormula>
    </tableColumn>
    <tableColumn id="7" xr3:uid="{374D40BE-0CEA-496A-A350-4762CACC979E}" name="SUPER2" dataDxfId="222"/>
    <tableColumn id="3" xr3:uid="{CE2FC99C-C2FA-4CF8-B4D5-38DB34F6C4C0}" name="ASESOR"/>
    <tableColumn id="4" xr3:uid="{1034AC9B-8A72-4332-A474-8471A1B8C391}" name="RECUPERO" dataDxfId="221"/>
    <tableColumn id="8" xr3:uid="{51D1D4C9-F574-4F9F-BB5F-619CFC8367F6}" name="DNI" dataDxfId="220"/>
    <tableColumn id="9" xr3:uid="{1F94989E-BD68-4711-BF6F-AABBC6D00AD3}" name="FECHA DE INICIO" dataDxfId="219"/>
    <tableColumn id="10" xr3:uid="{26BBC886-44C6-4729-85D8-0B926A843BA1}" name="ESTADO" dataDxfId="21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7" dataDxfId="215" headerRowBorderDxfId="216" tableBorderDxfId="214" totalsRowBorderDxfId="213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2"/>
    <tableColumn id="3" xr3:uid="{DED03312-7BDA-4CEA-9273-AA5DB2237A5F}" name="RECUPERO SUPERVISOR" dataDxfId="211">
      <calculatedColumnFormula>MAX(DITE_DICIEMBRE_2025[[#This Row],[1]:[31]])</calculatedColumnFormula>
    </tableColumn>
    <tableColumn id="4" xr3:uid="{5A956735-F760-4B1F-B874-402D928B71EA}" name="ALCANCE SUPERVISOR" dataDxfId="210">
      <calculatedColumnFormula>DITE_DICIEMBRE_2025[[#This Row],[RECUPERO SUPERVISOR]]/AZ9</calculatedColumnFormula>
    </tableColumn>
    <tableColumn id="1" xr3:uid="{ED2A948C-9442-4C47-9BE9-277A3D6239D3}" name="SUPER" dataDxfId="209"/>
    <tableColumn id="6" xr3:uid="{6E784300-7704-4F45-8E90-F7C2D4F71F66}" name="1" dataDxfId="208"/>
    <tableColumn id="7" xr3:uid="{EA789C05-CA47-4D66-B493-7D6222022389}" name="2" dataDxfId="207"/>
    <tableColumn id="36" xr3:uid="{E83A454A-CB07-409E-B2F9-FEFD108C0456}" name="3" dataDxfId="206"/>
    <tableColumn id="8" xr3:uid="{4ACB3C1D-600B-4503-9368-987BC1B3B0EA}" name="4" dataDxfId="205"/>
    <tableColumn id="9" xr3:uid="{B5C8B277-5A83-47A1-95FD-A620D749E785}" name="5" dataDxfId="204"/>
    <tableColumn id="10" xr3:uid="{FB101921-E892-41E0-B8B7-4141F51A83BB}" name="6" dataDxfId="203"/>
    <tableColumn id="11" xr3:uid="{C777EEA2-F048-439C-9EA1-0C4C731AA6E9}" name="7" dataDxfId="202"/>
    <tableColumn id="12" xr3:uid="{7AA80CD7-0570-4507-8C49-9CF331F01C83}" name="8" dataDxfId="201"/>
    <tableColumn id="13" xr3:uid="{F115F6D4-E69D-46D7-AD4B-F13AFDF74268}" name="9" dataDxfId="200"/>
    <tableColumn id="14" xr3:uid="{393E1035-13E1-4131-B853-53B4CA536CF0}" name="10" dataDxfId="199"/>
    <tableColumn id="15" xr3:uid="{7FF1CB48-1402-460C-BDDE-C67F81F66807}" name="11" dataDxfId="198"/>
    <tableColumn id="32" xr3:uid="{8F13018F-0746-40A8-8063-7F1351A273EA}" name="12" dataDxfId="197"/>
    <tableColumn id="33" xr3:uid="{5FD9BED8-7FEA-4B06-9B27-A0BFD046EB49}" name="13" dataDxfId="196"/>
    <tableColumn id="35" xr3:uid="{8D88E3F7-E581-49D0-B55A-812661F85CB6}" name="14" dataDxfId="195"/>
    <tableColumn id="34" xr3:uid="{98E6CACB-4217-4732-B54A-899D22A2EAF6}" name="15" dataDxfId="194"/>
    <tableColumn id="29" xr3:uid="{7C19F65B-AFA4-4BDB-849B-78B44514C8F1}" name="16" dataDxfId="193"/>
    <tableColumn id="30" xr3:uid="{5B8DAC84-4B56-4ED2-BCA8-C8513518494E}" name="17" dataDxfId="192"/>
    <tableColumn id="31" xr3:uid="{6135134A-5BCC-4221-AD87-B5C8D80AB6D3}" name="18" dataDxfId="191"/>
    <tableColumn id="26" xr3:uid="{2569A07A-57D5-45E4-94CF-9442436AFDAE}" name="19" dataDxfId="190"/>
    <tableColumn id="27" xr3:uid="{828CBD1E-742A-4B46-99B1-A5B0163441D5}" name="20" dataDxfId="189"/>
    <tableColumn id="28" xr3:uid="{773F208D-F15B-4823-A2FA-144A370D1B7A}" name="21" dataDxfId="188"/>
    <tableColumn id="16" xr3:uid="{419173FA-3C44-4167-9CA2-3C07CF180C9B}" name="22" dataDxfId="187"/>
    <tableColumn id="17" xr3:uid="{A8A10E2B-AFD7-46D0-8149-9A05D1EC2C03}" name="23" dataDxfId="186"/>
    <tableColumn id="18" xr3:uid="{CF29209E-568F-4788-AE4E-864CF179A3F5}" name="24" dataDxfId="185"/>
    <tableColumn id="19" xr3:uid="{C33D5154-B635-4235-8170-2F374C119543}" name="25" dataDxfId="184"/>
    <tableColumn id="20" xr3:uid="{70E870EC-47B5-4461-AC8F-7662212D49E0}" name="26" dataDxfId="183"/>
    <tableColumn id="21" xr3:uid="{2215DAF3-2DFC-47A4-940A-DC348054A7EB}" name="27" dataDxfId="182"/>
    <tableColumn id="22" xr3:uid="{BE707551-BD9D-4E46-9F38-1BF8DA272627}" name="28" dataDxfId="181"/>
    <tableColumn id="23" xr3:uid="{BA6108F0-3F12-4B54-8E19-7FF232FA9893}" name="29" dataDxfId="180"/>
    <tableColumn id="24" xr3:uid="{B18366FB-64C7-4779-8DB9-91A30E111223}" name="30" dataDxfId="179"/>
    <tableColumn id="25" xr3:uid="{8BD30A4B-DE19-4C3A-8A9E-7FFE10B8C56B}" name="31" dataDxfId="178"/>
    <tableColumn id="5" xr3:uid="{1A8ADD20-D8A3-4981-B322-7C16CBD19ABB}" name="CARTERA" dataDxfId="177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76"/>
    <tableColumn id="2" xr3:uid="{09FFA9EA-077A-4B1E-BBB0-BEFE3719755F}" name="ASESOR_CRR" dataDxfId="175"/>
    <tableColumn id="3" xr3:uid="{B2B98848-02EC-4CE4-B2C4-CF726670ADA0}" name="META" dataDxfId="174"/>
    <tableColumn id="4" xr3:uid="{843076CD-455D-4677-9B9B-753164881BDC}" name="ALCANCE" dataDxfId="173"/>
    <tableColumn id="5" xr3:uid="{27191708-D634-47D0-B6EF-7903B523F721}" name="SUPER2" dataDxfId="172"/>
    <tableColumn id="6" xr3:uid="{F95ADB27-E512-47F7-962C-D178A524B971}" name="ASESOR"/>
    <tableColumn id="7" xr3:uid="{32C145E4-25CE-4365-A7D9-EB2FB110C794}" name="RECUPERO" dataDxfId="171"/>
    <tableColumn id="8" xr3:uid="{20773954-0FEB-4980-9B49-FA8A9DD97C3C}" name="DNI" dataDxfId="170"/>
    <tableColumn id="9" xr3:uid="{0ACD1DB4-5167-41A6-9528-D0663730532D}" name="FECHA DE INICIO" dataDxfId="169"/>
    <tableColumn id="10" xr3:uid="{4C5570D8-15F0-4535-849A-56408975F639}" name="ESTADO" dataDxfId="168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7" headerRowBorderDxfId="166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5">
      <calculatedColumnFormula>DATA_ENERO_2026[[#This Row],[RECUPERO]]/DATA_ENERO_2026[[#This Row],[META]]</calculatedColumnFormula>
    </tableColumn>
    <tableColumn id="2" xr3:uid="{7E513578-A5D7-4721-8AB2-4CF3CDD2FC39}" name="CLASIFICACIÓN" dataDxfId="164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3"/>
    <tableColumn id="4" xr3:uid="{41268A33-B17E-413A-B074-C6D8798C61CA}" name="RECUPERO" dataDxfId="162">
      <calculatedColumnFormula>SUM(DATA_ENERO_2026[[#This Row],[1]:[31]])</calculatedColumnFormula>
    </tableColumn>
    <tableColumn id="5" xr3:uid="{62F2A8A0-46E7-4D7F-AB57-24AB0CDE4B51}" name="META" dataDxfId="161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0" headerRowBorderDxfId="159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8"/>
    <tableColumn id="2" xr3:uid="{15ACA161-61F0-4530-82A1-17E6DBF20240}" name="RECUPERO SUPERVISOR" dataDxfId="157">
      <calculatedColumnFormula>MAX(DITE_ENERO_2026[[#This Row],[1]:[31]])</calculatedColumnFormula>
    </tableColumn>
    <tableColumn id="3" xr3:uid="{778859E8-B3B0-4937-8B5F-DE4BE24B1DFD}" name="ALCANCE SUPERVISOR" dataDxfId="156">
      <calculatedColumnFormula>DITE_ENERO_2026[[#This Row],[RECUPERO SUPERVISOR]]/DITE_ENERO_2026[[#This Row],[META SUPER]]</calculatedColumnFormula>
    </tableColumn>
    <tableColumn id="4" xr3:uid="{2A98F79A-DD24-4D83-8BA6-82D08E13FF65}" name="SUPER" dataDxfId="155"/>
    <tableColumn id="5" xr3:uid="{3F9C0B21-F246-40F5-B83B-6E1442CF2131}" name="1" dataDxfId="154"/>
    <tableColumn id="6" xr3:uid="{82FC80A9-9A41-42BE-ADC0-0CD59C900786}" name="2" dataDxfId="153"/>
    <tableColumn id="36" xr3:uid="{CA81CA44-827C-45E8-AC06-DC9981750310}" name="3" dataDxfId="152"/>
    <tableColumn id="35" xr3:uid="{4D1DEC94-6331-4F09-BA9E-B7A8C033B218}" name="4" dataDxfId="151"/>
    <tableColumn id="34" xr3:uid="{DB9BA0C3-7EE6-4EF0-BFE4-DFA6138CC954}" name="5" dataDxfId="150"/>
    <tableColumn id="33" xr3:uid="{555EB36D-2BD4-463A-AA30-BC4E2AF59577}" name="6" dataDxfId="149"/>
    <tableColumn id="32" xr3:uid="{CD594F14-E668-4171-B224-2D1EB8F12904}" name="7" dataDxfId="148"/>
    <tableColumn id="31" xr3:uid="{CE1693BC-730F-4221-A5EC-B12B2C08D967}" name="8" dataDxfId="147"/>
    <tableColumn id="30" xr3:uid="{D62E1F60-4782-4F2D-B690-7D11A373BFEE}" name="9" dataDxfId="146"/>
    <tableColumn id="29" xr3:uid="{67AA1F0E-6FD5-4227-8FC3-54350952F274}" name="10" dataDxfId="145"/>
    <tableColumn id="28" xr3:uid="{D4CCC202-871A-430E-A7C4-8C2E1F633660}" name="11" dataDxfId="144"/>
    <tableColumn id="7" xr3:uid="{77D5DF82-95A0-430A-9509-AA047E6F6BB6}" name="12" dataDxfId="143"/>
    <tableColumn id="8" xr3:uid="{45052ACC-BEA6-4143-B55C-D2927C794547}" name="13" dataDxfId="142"/>
    <tableColumn id="9" xr3:uid="{A76A60E2-ABB3-4CA9-876C-F0E146A4EE28}" name="14" dataDxfId="141"/>
    <tableColumn id="10" xr3:uid="{5361F0A7-C153-4400-A683-ADB185B2D1E4}" name="15" dataDxfId="140"/>
    <tableColumn id="11" xr3:uid="{5C1E0CB3-E70D-4999-8E10-8E327EB2D410}" name="16" dataDxfId="139"/>
    <tableColumn id="12" xr3:uid="{4E264E92-011A-4E01-B78E-20B2B900F7FB}" name="17" dataDxfId="138"/>
    <tableColumn id="13" xr3:uid="{4DE23C2E-4F9B-4579-9BCE-93EAD290F9A8}" name="18" dataDxfId="137"/>
    <tableColumn id="14" xr3:uid="{ADE81A92-9983-4367-83CB-C4FA26CF8415}" name="19" dataDxfId="136"/>
    <tableColumn id="15" xr3:uid="{28467DBF-6C6B-430A-98CA-67317F73CD23}" name="20" dataDxfId="135"/>
    <tableColumn id="16" xr3:uid="{19E54854-D1FF-45D4-94D2-82215DE354F0}" name="21" dataDxfId="134"/>
    <tableColumn id="17" xr3:uid="{1F67BAFC-1AE0-4A70-9864-2C684E0743C1}" name="22" dataDxfId="133"/>
    <tableColumn id="18" xr3:uid="{4887B78E-B1D4-490D-BDE4-66011785EB0B}" name="23" dataDxfId="132"/>
    <tableColumn id="19" xr3:uid="{A4E77FFD-C128-4F89-ACB7-5A19C9AC8068}" name="24" dataDxfId="131"/>
    <tableColumn id="20" xr3:uid="{3166AEA9-9CE1-49E0-85A7-B06251784AF0}" name="25" dataDxfId="130"/>
    <tableColumn id="21" xr3:uid="{D0F8CB31-F152-441F-95C0-C8F116F8FBD4}" name="26" dataDxfId="129"/>
    <tableColumn id="22" xr3:uid="{F8CD3E26-00FA-4CB1-AB01-D0E528D7E8B4}" name="27" dataDxfId="128"/>
    <tableColumn id="23" xr3:uid="{19608BA9-8EEF-49C7-B4A7-B9B3571F8643}" name="28" dataDxfId="127"/>
    <tableColumn id="24" xr3:uid="{FAD90248-66B1-421C-B230-68841EB2A0B9}" name="29" dataDxfId="126"/>
    <tableColumn id="25" xr3:uid="{9307F5B0-B35B-4416-BE7C-74E539966F44}" name="30" dataDxfId="125"/>
    <tableColumn id="26" xr3:uid="{0FA7DA7F-AD3E-4DD3-B407-DD15600893BE}" name="31" dataDxfId="124"/>
    <tableColumn id="27" xr3:uid="{CAD2B4E3-016B-42FA-AD88-18A28731A184}" name="CARTERA" dataDxfId="12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X59" totalsRowShown="0" headerRowBorderDxfId="122" tableBorderDxfId="121">
  <autoFilter ref="M8:AX59" xr:uid="{C43AC382-896C-48E3-967E-003D8C3BB4E1}"/>
  <tableColumns count="38">
    <tableColumn id="5" xr3:uid="{3070F4BF-8DA0-42C9-A329-60BF3937C6CD}" name="AL_AC" dataDxfId="50">
      <calculatedColumnFormula>DATA_FEBRERO_2026[[#This Row],[RECUPERO]]/DATA_FEBRERO_2026[[#This Row],[META]]</calculatedColumnFormula>
    </tableColumn>
    <tableColumn id="2" xr3:uid="{6F4F1AB6-BBA7-498F-8826-77193C5F7DE1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19">
      <calculatedColumnFormula>IFERROR(VLOOKUP(DATA_FEBRERO_2026[[#This Row],[ASER_]],$B:$G,4,0),"")</calculatedColumnFormula>
    </tableColumn>
    <tableColumn id="1" xr3:uid="{9CEE94D1-F610-44F2-BECC-051BA76BFF42}" name="RECUPERO" dataDxfId="51">
      <calculatedColumnFormula>SUM(DATA_FEBRERO_2026[[#This Row],[1]:[31]])</calculatedColumnFormula>
    </tableColumn>
    <tableColumn id="6" xr3:uid="{3562AB11-2CE4-4155-B81B-115DFB69AAAB}" name="META" dataDxfId="118">
      <calculatedColumnFormula>VLOOKUP(DATA_FEBRERO_2026[[#This Row],[ASER_]],D1_FEBRERO_2026[[ASESOR_CRR]:[META]],2,0)</calculatedColumnFormula>
    </tableColumn>
    <tableColumn id="7" xr3:uid="{AC7A2592-ACAD-4ED6-8351-E4B65FF33302}" name="ASER_" dataDxfId="117"/>
    <tableColumn id="4" xr3:uid="{DA0D3C8E-070D-4088-AECD-5F2EBC6508EA}" name="1" dataDxfId="116"/>
    <tableColumn id="8" xr3:uid="{D7FBF1F2-5A46-485F-925D-86EC9088EE46}" name="2" dataDxfId="115"/>
    <tableColumn id="9" xr3:uid="{98D48677-E650-4067-8686-1CC9080B6D71}" name="3" dataDxfId="114"/>
    <tableColumn id="10" xr3:uid="{A974A4A9-21AF-43B2-9C93-C6F103E8C411}" name="4" dataDxfId="113"/>
    <tableColumn id="11" xr3:uid="{D058D028-4AAB-47B9-A7D3-876CEDD146AA}" name="5" dataDxfId="112"/>
    <tableColumn id="12" xr3:uid="{307618CA-E43D-42A3-8C03-88388003A5BF}" name="6" dataDxfId="111"/>
    <tableColumn id="13" xr3:uid="{65D16E27-3C15-4385-9A4F-B28821EF4DF6}" name="7" dataDxfId="110"/>
    <tableColumn id="14" xr3:uid="{5A29EA5C-756B-4F6D-B764-BBEF2AB98C7D}" name="8" dataDxfId="109"/>
    <tableColumn id="15" xr3:uid="{3B9CE493-BFF8-40F7-8EBA-E6D80D76579A}" name="9" dataDxfId="108"/>
    <tableColumn id="35" xr3:uid="{937A2A56-212E-4F5D-82A6-A611A736B874}" name="10" dataDxfId="55"/>
    <tableColumn id="36" xr3:uid="{BDD4E521-FEB6-4C6D-A99C-4DEF1151ECB2}" name="11" dataDxfId="54"/>
    <tableColumn id="38" xr3:uid="{8A3F13C2-2724-40B9-B643-549845061201}" name="12" dataDxfId="52"/>
    <tableColumn id="37" xr3:uid="{1B44AA59-76C8-45D9-8D04-DE465519029A}" name="13" dataDxfId="53"/>
    <tableColumn id="32" xr3:uid="{671123B0-2D4B-4251-A9E4-5E6081CC9B0D}" name="14" dataDxfId="58"/>
    <tableColumn id="33" xr3:uid="{60129480-1A31-44E0-9812-1991A66734F8}" name="15" dataDxfId="57"/>
    <tableColumn id="34" xr3:uid="{FDFC525F-FDF7-4915-B1C4-C85C973F5DA2}" name="16" dataDxfId="56"/>
    <tableColumn id="26" xr3:uid="{B6EB21BB-98AE-4702-A51D-97935B8D2065}" name="17" dataDxfId="61"/>
    <tableColumn id="30" xr3:uid="{60395B11-6EC8-498F-AE14-A906778E013B}" name="18" dataDxfId="60"/>
    <tableColumn id="31" xr3:uid="{D6095057-15EB-4616-A6CE-8131684C14BF}" name="19" dataDxfId="59"/>
    <tableColumn id="16" xr3:uid="{AEBDE2A8-76B9-42D9-9059-4EA0D9C9EF1E}" name="20" dataDxfId="107"/>
    <tableColumn id="17" xr3:uid="{0874DB56-268A-4369-AFDE-AC61ECA55C23}" name="21" dataDxfId="106"/>
    <tableColumn id="18" xr3:uid="{E7197C37-94F8-4DE8-B898-F87CE13A355A}" name="22" dataDxfId="105"/>
    <tableColumn id="19" xr3:uid="{0266C1AC-EA27-4324-B7B0-8AB3B4A997D1}" name="23" dataDxfId="104"/>
    <tableColumn id="20" xr3:uid="{645E39B2-DC80-4E66-9458-0C362658FA9E}" name="24" dataDxfId="103"/>
    <tableColumn id="21" xr3:uid="{D0A909F0-E9C1-4BFB-A1C7-251196BA5DC0}" name="25" dataDxfId="102"/>
    <tableColumn id="22" xr3:uid="{CD196172-6AE3-4DE5-A06F-949E71EBEB0F}" name="26" dataDxfId="101"/>
    <tableColumn id="23" xr3:uid="{F4228B36-78DF-4ADD-88C1-72728A3AEB39}" name="27" dataDxfId="100"/>
    <tableColumn id="24" xr3:uid="{E94F1207-568E-4B89-8DB0-06CEBC5513E0}" name="28" dataDxfId="99"/>
    <tableColumn id="25" xr3:uid="{8DA8D870-2FE5-422D-A1EF-11DB81F83097}" name="29" dataDxfId="98"/>
    <tableColumn id="28" xr3:uid="{FAD5EAB1-F7EE-4FE6-B3BF-11079DEEBD18}" name="30"/>
    <tableColumn id="27" xr3:uid="{46F7627A-6099-49D4-B43B-10DFF8D2CADE}" name="31"/>
    <tableColumn id="29" xr3:uid="{D20EC82C-02AB-47E1-8B4F-0454088553EB}" name="CARTERA ASESOR" dataDxfId="9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96">
  <autoFilter ref="A2:J58" xr:uid="{AB1967BC-98FE-49B9-B96E-7F91454A75DF}"/>
  <tableColumns count="10">
    <tableColumn id="1" xr3:uid="{E8C9BFA3-A821-4545-B3F0-1D85338E10F0}" name="SUPER" dataDxfId="95">
      <calculatedColumnFormula>IFERROR(VLOOKUP(D1_FEBRERO_2026[[#This Row],[ASESOR_CRR]],PLANTILLA_ACTUAL[],2,0),"")</calculatedColumnFormula>
    </tableColumn>
    <tableColumn id="2" xr3:uid="{3FE812CA-3CC6-4126-82E1-67F5FCA4D1F0}" name="ASESOR_CRR" dataDxfId="9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9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92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9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90"/>
    <tableColumn id="11" xr3:uid="{F601E667-9F29-4288-9F5A-767AD7CB84C9}" name="DNI" dataDxfId="89">
      <calculatedColumnFormula>VLOOKUP(D1_FEBRERO_2026[[#This Row],[ASESOR_CRR]],DIM!$C:$E,2,0)</calculatedColumnFormula>
    </tableColumn>
    <tableColumn id="12" xr3:uid="{8CE4D8BD-BFA8-4524-B7CC-97B4155A1DC0}" name="FECHA DE INICIO" dataDxfId="88">
      <calculatedColumnFormula>VLOOKUP(D1_FEBRERO_2026[[#This Row],[ASESOR_CRR]],DIM!$C:$E,3,0)</calculatedColumnFormula>
    </tableColumn>
    <tableColumn id="8" xr3:uid="{38F96A8E-46ED-488B-B51E-F10392587B25}" name="ESTADO" dataDxfId="8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Z8:CI13" totalsRowShown="0" headerRowDxfId="46" dataDxfId="45" headerRowBorderDxfId="43" tableBorderDxfId="44" totalsRowBorderDxfId="42">
  <autoFilter ref="AZ8:CI13" xr:uid="{D9D89D51-DAB1-406D-9BCC-FA9DDE7F1EF0}"/>
  <sortState xmlns:xlrd2="http://schemas.microsoft.com/office/spreadsheetml/2017/richdata2" ref="AZ9:CI13">
    <sortCondition descending="1" ref="BC8:BC13"/>
  </sortState>
  <tableColumns count="36">
    <tableColumn id="2" xr3:uid="{08060355-86C1-47A6-9DB1-6B46E3007B8A}" name="META SUPER" dataDxfId="41">
      <calculatedColumnFormula>VLOOKUP($M$3&amp;$N$3&amp;DITE_FEBRERO_2026[[#This Row],[SUPER]],TablaMeta[],5,0)</calculatedColumnFormula>
    </tableColumn>
    <tableColumn id="3" xr3:uid="{FDF7E5B8-6E43-422A-BFC9-1CCD7EE7F4E8}" name="RECUPERO SUPERVISOR" dataDxfId="40">
      <calculatedColumnFormula>MAX(DITE_FEBRERO_2026[[#This Row],[SUPER]:[CARTERA]])</calculatedColumnFormula>
    </tableColumn>
    <tableColumn id="4" xr3:uid="{F9F9E33D-CF47-4A7B-B383-5185C72E6DBF}" name="ALCANCE SUPERVISOR" dataDxfId="3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38"/>
    <tableColumn id="6" xr3:uid="{C6BD95E9-37E9-4C3B-8FAC-71C063D3CCCF}" name="1" dataDxfId="37"/>
    <tableColumn id="7" xr3:uid="{154D80CB-9358-4F70-B790-869141CEED69}" name="2" dataDxfId="36"/>
    <tableColumn id="27" xr3:uid="{B1E200F5-8C17-45BD-9A07-4B3CFCF2F55B}" name="3" dataDxfId="35"/>
    <tableColumn id="26" xr3:uid="{C4A34376-F48F-4D30-891F-680F0DC972B5}" name="4" dataDxfId="34"/>
    <tableColumn id="8" xr3:uid="{B8634A52-4E10-47C7-A2E2-7268D75FF3B1}" name="5" dataDxfId="33"/>
    <tableColumn id="9" xr3:uid="{50F52F97-2FFF-429B-8205-9821B5E2DDA3}" name="6" dataDxfId="32"/>
    <tableColumn id="10" xr3:uid="{6CA0D076-C021-4ECD-9708-296693BD3D20}" name="7" dataDxfId="31"/>
    <tableColumn id="11" xr3:uid="{60AC6543-9932-43CA-8508-68010867604A}" name="8" dataDxfId="30"/>
    <tableColumn id="12" xr3:uid="{0838B302-CF6C-41FA-9981-2C61DC3D728B}" name="9" dataDxfId="29"/>
    <tableColumn id="13" xr3:uid="{26042530-89B3-48FD-877D-23191B67C000}" name="10" dataDxfId="28"/>
    <tableColumn id="14" xr3:uid="{995CAE1C-81F5-4376-9FBF-9057F92CEBA2}" name="11" dataDxfId="27"/>
    <tableColumn id="15" xr3:uid="{CE078F22-32E6-477A-8610-B39D8802D198}" name="12" dataDxfId="26"/>
    <tableColumn id="16" xr3:uid="{E61DEB3E-541F-4914-B1D0-C31E52B10974}" name="13" dataDxfId="25"/>
    <tableColumn id="17" xr3:uid="{EC1E57C1-8228-4A17-A0ED-ACC28C9F0842}" name="14" dataDxfId="24"/>
    <tableColumn id="18" xr3:uid="{2DA8EC35-62DF-44D7-9B0C-1DA9FD7CFD91}" name="15" dataDxfId="23"/>
    <tableColumn id="19" xr3:uid="{302180D2-EA42-43C4-9FEA-201681FA861E}" name="16" dataDxfId="22"/>
    <tableColumn id="20" xr3:uid="{451825B8-387D-40FA-8E98-2EFAE991267E}" name="17" dataDxfId="21"/>
    <tableColumn id="21" xr3:uid="{026C2977-2F45-419E-AE54-92E82A6FE474}" name="18" dataDxfId="20"/>
    <tableColumn id="22" xr3:uid="{3BBAF7E2-3A2C-4E90-AE74-EEF9947AB60E}" name="19" dataDxfId="19"/>
    <tableColumn id="23" xr3:uid="{8879B076-C842-409F-9B19-61F59EF05584}" name="20" dataDxfId="18"/>
    <tableColumn id="24" xr3:uid="{AF13A28F-47F7-4494-B809-B096327E1B45}" name="21" dataDxfId="17"/>
    <tableColumn id="36" xr3:uid="{D43F8CE1-A8B1-4D66-A39D-62621FD08D95}" name="22" dataDxfId="9"/>
    <tableColumn id="35" xr3:uid="{255A2456-9AED-4CE7-8975-AC2F3C5E7AF8}" name="23" dataDxfId="10"/>
    <tableColumn id="34" xr3:uid="{22AB64AD-A965-436C-AC59-08AD684CDD0C}" name="24" dataDxfId="11"/>
    <tableColumn id="33" xr3:uid="{F5E81E2A-9A00-45C6-9DF1-E20FAAF78805}" name="25" dataDxfId="12"/>
    <tableColumn id="32" xr3:uid="{ED996182-C48B-45DA-99D9-3A93820345A2}" name="26" dataDxfId="13"/>
    <tableColumn id="31" xr3:uid="{722DD5B0-C2D2-4DA4-9F8B-84F55F8E11D0}" name="27" dataDxfId="14"/>
    <tableColumn id="30" xr3:uid="{F97987E8-747A-41F4-98F4-0E017D1C7D5C}" name="28" dataDxfId="15"/>
    <tableColumn id="29" xr3:uid="{F715E639-8485-447A-B3AC-4DF47AB0F007}" name="29" dataDxfId="8"/>
    <tableColumn id="28" xr3:uid="{73644CA5-4CF5-4E1D-9354-EE907F67EAB6}" name="30" dataDxfId="7"/>
    <tableColumn id="25" xr3:uid="{9521CA9A-6C50-4CB1-8A78-3B8AE284C14F}" name="31" dataDxfId="6"/>
    <tableColumn id="5" xr3:uid="{E0FECB44-CCD1-447F-A9BF-090DD9D8B323}" name="CARTERA" dataDxfId="1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ref="F1:F106"/>
  </sortState>
  <tableColumns count="7">
    <tableColumn id="1" xr3:uid="{DAE8BCEE-6D37-4FD7-ABBF-371E73A498E4}" uniqueName="1" name="alias" queryTableFieldId="1" dataDxfId="86"/>
    <tableColumn id="2" xr3:uid="{4006F32F-EE4A-427A-AF49-74D52FBF6D53}" uniqueName="2" name="PUESTO REAL" queryTableFieldId="10"/>
    <tableColumn id="3" xr3:uid="{E33DD98B-2314-40D0-9DFA-F987324F30A3}" uniqueName="3" name="FEC_NAC" queryTableFieldId="3" dataDxfId="85"/>
    <tableColumn id="4" xr3:uid="{8397B954-43F8-46B6-880D-47B541CAB0B9}" uniqueName="4" name="NOMBRE" queryTableFieldId="4" dataDxfId="84"/>
    <tableColumn id="8" xr3:uid="{C558150D-EEDC-4907-8F09-51F784EDF9BF}" uniqueName="8" name="PUESTO" queryTableFieldId="8" dataDxfId="83"/>
    <tableColumn id="7" xr3:uid="{C74AABE2-4219-45A4-BAE7-8D08B65D7B0D}" uniqueName="7" name="MES" queryTableFieldId="7" dataDxfId="8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8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1" totalsRowShown="0" headerRowDxfId="80" dataDxfId="79">
  <autoFilter ref="A1:F61" xr:uid="{4B4B5CC4-5C3C-461A-AA1A-DC9321B1B957}"/>
  <tableColumns count="6">
    <tableColumn id="2" xr3:uid="{B4EEF3CC-7678-42BF-B035-CD88AB68C0D3}" name="ASESOR" dataDxfId="78"/>
    <tableColumn id="3" xr3:uid="{FB1CB57E-C468-417E-ABD0-3CE9B78E9634}" name="SUPERVISOR" dataDxfId="77"/>
    <tableColumn id="1" xr3:uid="{F397A808-BFC5-4F06-9B9C-381F51115E45}" name="PO" dataDxfId="76"/>
    <tableColumn id="4" xr3:uid="{014C9F4C-C2F1-4CF8-BCC7-D113C12A1316}" name="DNI" dataDxfId="75"/>
    <tableColumn id="5" xr3:uid="{8A032F20-8CA2-40BD-8E54-462A8D907821}" name="FECHA DE INICIO" dataDxfId="74"/>
    <tableColumn id="6" xr3:uid="{ABB44D38-5F55-4F91-B375-D4C8E4A5B56A}" name="ESTADO" dataDxfId="73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72" headerRowBorderDxfId="71" tableBorderDxfId="70" totalsRowBorderDxfId="69">
  <autoFilter ref="A1:G188" xr:uid="{C41E08BB-0323-438E-BFE0-76BBB5F11D04}"/>
  <tableColumns count="7">
    <tableColumn id="1" xr3:uid="{392AC838-52ED-4D24-AEEF-DBB8AB8874AD}" name="CONCAT" dataDxfId="6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67"/>
    <tableColumn id="2" xr3:uid="{6AF5A16E-DFBE-42B7-BDA1-6E8694A629C3}" name="mes" dataDxfId="66"/>
    <tableColumn id="4" xr3:uid="{10D1F902-532A-4C8C-AB27-C2F522F14EA7}" name="Equipo" dataDxfId="65"/>
    <tableColumn id="5" xr3:uid="{75A35478-8934-432E-843B-D174D5C58C71}" name="Meta_Equipo" dataDxfId="64"/>
    <tableColumn id="6" xr3:uid="{C4DF57EE-8F57-44C8-ABE6-43EEF1F9DA62}" name="Meta_Asesor" dataDxfId="63"/>
    <tableColumn id="3" xr3:uid="{95E3CE54-9C14-4F51-963D-FFEEB667B07A}" name="SEGG" dataDxfId="6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522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522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522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522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522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522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522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522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522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522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522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522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522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522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522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522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522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522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522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522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522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522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522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522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522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522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522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522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522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522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574</v>
      </c>
      <c r="G36" s="3">
        <v>500</v>
      </c>
      <c r="H36" t="s">
        <v>576</v>
      </c>
      <c r="I36" s="57">
        <v>45512</v>
      </c>
      <c r="J36" s="57" t="s">
        <v>522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522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522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522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522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522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522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574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522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522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522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562</v>
      </c>
      <c r="G46" s="3">
        <v>22661</v>
      </c>
      <c r="H46" t="s">
        <v>563</v>
      </c>
      <c r="I46" s="57">
        <v>45131</v>
      </c>
      <c r="J46" s="57" t="s">
        <v>522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522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575</v>
      </c>
      <c r="G48" s="3">
        <v>16189</v>
      </c>
      <c r="H48" t="s">
        <v>577</v>
      </c>
      <c r="I48" s="57">
        <v>44830</v>
      </c>
      <c r="J48" s="57" t="s">
        <v>522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522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522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522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522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562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522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522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575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522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558</v>
      </c>
      <c r="G56" s="3">
        <v>3930</v>
      </c>
      <c r="H56" t="s">
        <v>560</v>
      </c>
      <c r="I56" s="57">
        <v>44716</v>
      </c>
      <c r="J56" s="57" t="s">
        <v>522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522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522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522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522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522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522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558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522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578</v>
      </c>
      <c r="G64" s="3">
        <v>1931</v>
      </c>
      <c r="H64" t="s">
        <v>579</v>
      </c>
      <c r="I64" s="57">
        <v>45454</v>
      </c>
      <c r="J64" s="57" t="s">
        <v>522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565</v>
      </c>
      <c r="G65" s="3">
        <v>300</v>
      </c>
      <c r="H65" t="s">
        <v>569</v>
      </c>
      <c r="I65" s="57">
        <v>45544</v>
      </c>
      <c r="J65" s="57" t="s">
        <v>522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522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522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522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522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522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578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522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565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522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5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522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522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522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522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522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522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522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522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522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522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522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522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522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522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522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522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522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522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522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522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522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522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522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522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522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522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522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522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522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522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522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574</v>
      </c>
      <c r="G37" s="3">
        <v>13600</v>
      </c>
      <c r="H37" t="s">
        <v>576</v>
      </c>
      <c r="I37" s="57">
        <v>45512</v>
      </c>
      <c r="J37" s="57" t="s">
        <v>522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522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522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522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522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522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522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574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522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522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522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522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562</v>
      </c>
      <c r="G48" s="3">
        <v>67343</v>
      </c>
      <c r="H48" t="s">
        <v>563</v>
      </c>
      <c r="I48" s="57">
        <v>45131</v>
      </c>
      <c r="J48" s="57" t="s">
        <v>522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522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575</v>
      </c>
      <c r="G50" s="3">
        <v>3836</v>
      </c>
      <c r="H50" t="s">
        <v>577</v>
      </c>
      <c r="I50" s="57">
        <v>44830</v>
      </c>
      <c r="J50" s="57" t="s">
        <v>522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522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522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522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522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562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522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522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575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522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522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558</v>
      </c>
      <c r="G59" s="3">
        <v>8065</v>
      </c>
      <c r="H59" t="s">
        <v>560</v>
      </c>
      <c r="I59" s="57">
        <v>44716</v>
      </c>
      <c r="J59" s="57" t="s">
        <v>522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522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522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522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522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522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522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558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559</v>
      </c>
      <c r="G66" s="3">
        <v>9580</v>
      </c>
      <c r="H66" t="s">
        <v>561</v>
      </c>
      <c r="I66" s="57">
        <v>45343</v>
      </c>
      <c r="J66" s="57" t="s">
        <v>522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522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522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522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522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522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522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559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522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522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522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522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4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522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522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522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522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522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522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522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522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522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522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522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522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522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522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522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522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522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522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522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522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522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522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522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522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522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522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522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522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522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522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522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522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522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522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522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522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522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522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522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522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522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522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522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522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522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522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522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522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522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522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522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522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562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522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522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522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522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522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522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522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522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522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522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558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522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522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522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522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522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522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522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522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559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522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558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558</v>
      </c>
      <c r="G74">
        <v>12973</v>
      </c>
      <c r="H74" t="s">
        <v>560</v>
      </c>
      <c r="I74" s="57">
        <v>44716</v>
      </c>
      <c r="J74" s="57" t="s">
        <v>522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559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559</v>
      </c>
      <c r="G75">
        <v>3270</v>
      </c>
      <c r="H75" t="s">
        <v>561</v>
      </c>
      <c r="I75" s="57">
        <v>45343</v>
      </c>
      <c r="J75" s="57" t="s">
        <v>522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562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562</v>
      </c>
      <c r="G76">
        <v>2025</v>
      </c>
      <c r="H76" t="s">
        <v>563</v>
      </c>
      <c r="I76" s="57">
        <v>45131</v>
      </c>
      <c r="J76" s="57" t="s">
        <v>522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522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522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522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522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522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522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522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522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522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522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522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522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522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522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522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522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522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522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522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522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522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522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522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522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522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522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522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522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522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522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522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522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522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522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522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522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522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522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522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522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522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522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522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522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522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522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522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522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522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522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522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522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522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522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522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522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522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522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522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522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522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522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522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522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522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522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522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522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522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522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522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522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522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522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522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522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522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522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522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522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522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522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522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522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522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522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522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522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522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522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522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522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522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522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522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522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522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522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522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522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522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522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522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522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522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522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522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522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522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522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522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522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522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522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522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522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522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522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522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522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522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522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522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522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522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522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522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522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522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522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522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522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522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522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522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522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522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522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522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522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522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522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522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522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522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522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522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522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522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522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522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522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522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522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522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522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522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522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522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522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522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522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522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522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522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522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522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522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522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522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522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522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522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522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522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522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522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522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522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522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522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522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522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522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522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522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522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522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522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522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522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522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522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522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522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522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522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522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522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522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522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522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522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522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522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522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522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522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522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522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522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522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522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522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522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522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522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522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522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522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522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522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522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522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522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522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522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522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522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522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522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522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522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522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522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522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522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522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522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522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522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522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522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522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522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522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522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522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522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522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522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522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522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522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522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522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522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522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522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522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522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522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522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522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522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522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522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522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522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522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522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522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522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522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522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522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522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522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522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522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398</v>
      </c>
      <c r="I3" s="72">
        <v>44459</v>
      </c>
      <c r="J3" s="72" t="s">
        <v>521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435</v>
      </c>
      <c r="I4" s="72">
        <v>44685</v>
      </c>
      <c r="J4" s="72" t="s">
        <v>521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428</v>
      </c>
      <c r="I5" s="72">
        <v>44824</v>
      </c>
      <c r="J5" s="72" t="s">
        <v>521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450</v>
      </c>
      <c r="I6" s="72">
        <v>45132</v>
      </c>
      <c r="J6" s="72" t="s">
        <v>521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446</v>
      </c>
      <c r="I7" s="72">
        <v>45141</v>
      </c>
      <c r="J7" s="72" t="s">
        <v>521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433</v>
      </c>
      <c r="I8" s="72">
        <v>45427</v>
      </c>
      <c r="J8" s="72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522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522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522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522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522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522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522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522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522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522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522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522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522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522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522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522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522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522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522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522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522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522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522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522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522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522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522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522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522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522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522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522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522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522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522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522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522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522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522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522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522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522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522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522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522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522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522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522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522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522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522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522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522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522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522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522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522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522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522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522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522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522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522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522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522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522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522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522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522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522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522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522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522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522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522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581</v>
      </c>
      <c r="J2" s="64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522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522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522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522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522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522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522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522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522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522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522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522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522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522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522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522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522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522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522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522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522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522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522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522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522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522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522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522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522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522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522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522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522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522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522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522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522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522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522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522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522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522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522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522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522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522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522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522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522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522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522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522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522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522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522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522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522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522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522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522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522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522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522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522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522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522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522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522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522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522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522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522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522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522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522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522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522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522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522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522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522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4" t="s">
        <v>581</v>
      </c>
      <c r="J2" s="64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414</v>
      </c>
      <c r="I3" s="72">
        <v>44470</v>
      </c>
      <c r="J3" s="72" t="s">
        <v>521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447</v>
      </c>
      <c r="I4" s="72">
        <v>44714</v>
      </c>
      <c r="J4" s="72" t="s">
        <v>521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427</v>
      </c>
      <c r="I5" s="72">
        <v>44817</v>
      </c>
      <c r="J5" s="72" t="s">
        <v>521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412</v>
      </c>
      <c r="I6" s="72">
        <v>44838</v>
      </c>
      <c r="J6" s="72" t="s">
        <v>521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416</v>
      </c>
      <c r="I7" s="72">
        <v>44943</v>
      </c>
      <c r="J7" s="72" t="s">
        <v>521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472</v>
      </c>
      <c r="I8" s="72">
        <v>45145</v>
      </c>
      <c r="J8" s="72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452</v>
      </c>
      <c r="I9" s="72">
        <v>45281</v>
      </c>
      <c r="J9" s="72" t="s">
        <v>521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444</v>
      </c>
      <c r="I10" s="72">
        <v>45511</v>
      </c>
      <c r="J10" s="72" t="s">
        <v>521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522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522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522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522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522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522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522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522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522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522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522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522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522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522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522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522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522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522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522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522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522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522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522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522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522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522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522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522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522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522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522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522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522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522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522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522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522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522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522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522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522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522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522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522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522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522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522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522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522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522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522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522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522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522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522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522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522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522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522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522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522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522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522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522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522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522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522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522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522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522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522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522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522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522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522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522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522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522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522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522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522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404</v>
      </c>
      <c r="I3" s="72">
        <v>44886</v>
      </c>
      <c r="J3" s="72" t="s">
        <v>521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419</v>
      </c>
      <c r="I4" s="72">
        <v>45112</v>
      </c>
      <c r="J4" s="72" t="s">
        <v>521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449</v>
      </c>
      <c r="I5" s="72">
        <v>45344</v>
      </c>
      <c r="J5" s="72" t="s">
        <v>521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409</v>
      </c>
      <c r="I6" s="72">
        <v>45526</v>
      </c>
      <c r="J6" s="72" t="s">
        <v>521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402</v>
      </c>
      <c r="I7" s="72">
        <v>45457</v>
      </c>
      <c r="J7" s="72" t="s">
        <v>521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473</v>
      </c>
      <c r="I8" s="72">
        <v>44993</v>
      </c>
      <c r="J8" s="72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522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522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522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522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522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522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522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522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522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522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522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522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522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522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522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522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522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522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522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522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522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522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522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522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522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522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522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522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522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522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522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522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522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522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522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522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522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522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522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522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522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522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522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522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522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522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522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522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522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522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522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522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522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522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522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522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522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522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522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522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522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522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522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522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522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522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522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522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522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522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522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465</v>
      </c>
      <c r="I3" s="72">
        <v>44818</v>
      </c>
      <c r="J3" s="72" t="s">
        <v>521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458</v>
      </c>
      <c r="I4" s="72">
        <v>44867</v>
      </c>
      <c r="J4" s="72" t="s">
        <v>521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408</v>
      </c>
      <c r="I5" s="72">
        <v>44868</v>
      </c>
      <c r="J5" s="72" t="s">
        <v>521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426</v>
      </c>
      <c r="I6" s="72">
        <v>45173</v>
      </c>
      <c r="J6" s="72" t="s">
        <v>521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522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522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522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522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522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522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522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522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522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522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522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522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522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522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522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522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522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522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522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522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522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522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522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522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522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522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522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522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522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522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522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522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522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522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522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522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522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522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522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522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522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522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522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522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522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522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522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522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522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522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522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522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522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522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522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522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522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522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522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522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450</v>
      </c>
      <c r="I3" s="57">
        <v>45133</v>
      </c>
      <c r="J3" s="57" t="s">
        <v>522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442</v>
      </c>
      <c r="I6" s="57">
        <v>45323</v>
      </c>
      <c r="J6" s="57" t="s">
        <v>522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429</v>
      </c>
      <c r="I7" s="57">
        <v>44735</v>
      </c>
      <c r="J7" s="57" t="s">
        <v>522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511</v>
      </c>
      <c r="I8" s="57">
        <v>45995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418</v>
      </c>
      <c r="I9" s="57">
        <v>44673</v>
      </c>
      <c r="J9" s="57" t="s">
        <v>522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406</v>
      </c>
      <c r="I10" s="57">
        <v>45304</v>
      </c>
      <c r="J10" s="57" t="s">
        <v>522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430</v>
      </c>
      <c r="I11" s="57">
        <v>44909</v>
      </c>
      <c r="J11" s="57" t="s">
        <v>522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452</v>
      </c>
      <c r="I12" s="57">
        <v>45285</v>
      </c>
      <c r="J12" s="57" t="s">
        <v>522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443</v>
      </c>
      <c r="I13" s="57">
        <v>45429</v>
      </c>
      <c r="J13" s="57" t="s">
        <v>522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444</v>
      </c>
      <c r="I14" s="57">
        <v>45506</v>
      </c>
      <c r="J14" s="57" t="s">
        <v>522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469</v>
      </c>
      <c r="I15" s="57">
        <v>45084</v>
      </c>
      <c r="J15" s="57" t="s">
        <v>522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461</v>
      </c>
      <c r="I16" s="57">
        <v>45299</v>
      </c>
      <c r="J16" s="57" t="s">
        <v>522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453</v>
      </c>
      <c r="I17" s="57">
        <v>45334</v>
      </c>
      <c r="J17" s="57" t="s">
        <v>522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408</v>
      </c>
      <c r="I18" s="57">
        <v>44870</v>
      </c>
      <c r="J18" s="57" t="s">
        <v>522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432</v>
      </c>
      <c r="I19" s="57">
        <v>45674</v>
      </c>
      <c r="J19" s="57" t="s">
        <v>522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401</v>
      </c>
      <c r="I20" s="57">
        <v>44811</v>
      </c>
      <c r="J20" s="57" t="s">
        <v>522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409</v>
      </c>
      <c r="I21" s="57">
        <v>45530</v>
      </c>
      <c r="J21" s="57" t="s">
        <v>522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434</v>
      </c>
      <c r="I22" s="57">
        <v>45399</v>
      </c>
      <c r="J22" s="57" t="s">
        <v>522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509</v>
      </c>
      <c r="I23" s="57">
        <v>45917</v>
      </c>
      <c r="J23" s="57" t="s">
        <v>522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462</v>
      </c>
      <c r="I24" s="57">
        <v>45590</v>
      </c>
      <c r="J24" s="57" t="s">
        <v>522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455</v>
      </c>
      <c r="I25" s="57">
        <v>42814</v>
      </c>
      <c r="J25" s="57" t="s">
        <v>522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410</v>
      </c>
      <c r="I26" s="57">
        <v>44259</v>
      </c>
      <c r="J26" s="57" t="s">
        <v>522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445</v>
      </c>
      <c r="I27" s="57">
        <v>45082</v>
      </c>
      <c r="J27" s="57" t="s">
        <v>522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522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457</v>
      </c>
      <c r="I29" s="57">
        <v>45021</v>
      </c>
      <c r="J29" s="57" t="s">
        <v>522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419</v>
      </c>
      <c r="I30" s="57">
        <v>43132</v>
      </c>
      <c r="J30" s="57" t="s">
        <v>522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412</v>
      </c>
      <c r="I31" s="57">
        <v>44840</v>
      </c>
      <c r="J31" s="57" t="s">
        <v>522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420</v>
      </c>
      <c r="I32" s="57">
        <v>44748</v>
      </c>
      <c r="J32" s="57" t="s">
        <v>522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421</v>
      </c>
      <c r="I33" s="57">
        <v>45523</v>
      </c>
      <c r="J33" s="57" t="s">
        <v>522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458</v>
      </c>
      <c r="I34" s="57">
        <v>44869</v>
      </c>
      <c r="J34" s="57" t="s">
        <v>522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464</v>
      </c>
      <c r="I35" s="57">
        <v>44111</v>
      </c>
      <c r="J35" s="57" t="s">
        <v>522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459</v>
      </c>
      <c r="I36" s="57">
        <v>45364</v>
      </c>
      <c r="J36" s="57" t="s">
        <v>522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422</v>
      </c>
      <c r="I37" s="57">
        <v>45334</v>
      </c>
      <c r="J37" s="57" t="s">
        <v>522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435</v>
      </c>
      <c r="I38" s="57">
        <v>44687</v>
      </c>
      <c r="J38" s="57" t="s">
        <v>522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465</v>
      </c>
      <c r="I39" s="57">
        <v>44820</v>
      </c>
      <c r="J39" s="57" t="s">
        <v>522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404</v>
      </c>
      <c r="I40" s="57">
        <v>44888</v>
      </c>
      <c r="J40" s="57" t="s">
        <v>522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488</v>
      </c>
      <c r="I41" s="57">
        <v>45805</v>
      </c>
      <c r="J41" s="57" t="s">
        <v>522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447</v>
      </c>
      <c r="I42" s="57">
        <v>44716</v>
      </c>
      <c r="J42" s="57" t="s">
        <v>522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494</v>
      </c>
      <c r="I43" s="57">
        <v>45818</v>
      </c>
      <c r="J43" s="57" t="s">
        <v>522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448</v>
      </c>
      <c r="I44" s="57">
        <v>45371</v>
      </c>
      <c r="J44" s="57" t="s">
        <v>522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472</v>
      </c>
      <c r="I45" s="57">
        <v>44566</v>
      </c>
      <c r="J45" s="57" t="s">
        <v>522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504</v>
      </c>
      <c r="I46" s="57">
        <v>45889</v>
      </c>
      <c r="J46" s="57" t="s">
        <v>522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449</v>
      </c>
      <c r="I47" s="57">
        <v>45348</v>
      </c>
      <c r="J47" s="57" t="s">
        <v>522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439</v>
      </c>
      <c r="I48" s="57">
        <v>45145</v>
      </c>
      <c r="J48" s="57" t="s">
        <v>522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426</v>
      </c>
      <c r="I49" s="57">
        <v>45175</v>
      </c>
      <c r="J49" s="57" t="s">
        <v>522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416</v>
      </c>
      <c r="I50" s="57">
        <v>44945</v>
      </c>
      <c r="J50" s="57" t="s">
        <v>522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440</v>
      </c>
      <c r="I51" s="57">
        <v>44748</v>
      </c>
      <c r="J51" s="57" t="s">
        <v>522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468</v>
      </c>
      <c r="I52" s="57">
        <v>44706</v>
      </c>
      <c r="J52" s="57" t="s">
        <v>522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427</v>
      </c>
      <c r="I53" s="57">
        <v>44819</v>
      </c>
      <c r="J53" s="57" t="s">
        <v>522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abSelected="1" topLeftCell="A27" zoomScale="70" zoomScaleNormal="70" workbookViewId="0">
      <selection activeCell="H34" sqref="H3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570</v>
      </c>
      <c r="D3" s="67">
        <v>0</v>
      </c>
      <c r="E3" s="67" t="s">
        <v>125</v>
      </c>
      <c r="F3" s="66" t="s">
        <v>49</v>
      </c>
      <c r="G3" s="66"/>
      <c r="H3" s="70" t="s">
        <v>455</v>
      </c>
      <c r="I3" s="68">
        <v>43313</v>
      </c>
      <c r="J3" s="68" t="s">
        <v>521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570</v>
      </c>
      <c r="D4" s="67">
        <v>0</v>
      </c>
      <c r="E4" s="67" t="s">
        <v>4</v>
      </c>
      <c r="F4" s="66" t="s">
        <v>61</v>
      </c>
      <c r="G4" s="66"/>
      <c r="H4" s="70" t="s">
        <v>430</v>
      </c>
      <c r="I4" s="68">
        <v>44907</v>
      </c>
      <c r="J4" s="68" t="s">
        <v>521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570</v>
      </c>
      <c r="D5" s="67">
        <v>0</v>
      </c>
      <c r="E5" s="67" t="s">
        <v>3</v>
      </c>
      <c r="F5" s="66" t="s">
        <v>22</v>
      </c>
      <c r="G5" s="66"/>
      <c r="H5" s="70" t="s">
        <v>461</v>
      </c>
      <c r="I5" s="68">
        <v>45295</v>
      </c>
      <c r="J5" s="68" t="s">
        <v>521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5">
        <v>45132</v>
      </c>
      <c r="J6" s="65" t="s">
        <v>522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5">
        <v>43119</v>
      </c>
      <c r="J7" s="65" t="s">
        <v>522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5">
        <v>46024</v>
      </c>
      <c r="J8" s="65" t="s">
        <v>522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5">
        <v>45854</v>
      </c>
      <c r="J9" s="65" t="s">
        <v>522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5">
        <v>44733</v>
      </c>
      <c r="J10" s="65" t="s">
        <v>522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5">
        <v>45992</v>
      </c>
      <c r="J11" s="65" t="s">
        <v>522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5">
        <v>44671</v>
      </c>
      <c r="J12" s="65" t="s">
        <v>522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5">
        <v>45302</v>
      </c>
      <c r="J13" s="65" t="s">
        <v>522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5">
        <v>45281</v>
      </c>
      <c r="J14" s="65" t="s">
        <v>522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5">
        <v>45433</v>
      </c>
      <c r="J15" s="65" t="s">
        <v>522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5">
        <v>45511</v>
      </c>
      <c r="J16" s="65" t="s">
        <v>522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555</v>
      </c>
      <c r="I17" s="65">
        <v>46038</v>
      </c>
      <c r="J17" s="65" t="s">
        <v>522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469</v>
      </c>
      <c r="I18" s="65">
        <v>45691</v>
      </c>
      <c r="J18" s="57" t="s">
        <v>522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453</v>
      </c>
      <c r="I19" s="65">
        <v>45334</v>
      </c>
      <c r="J19" s="57" t="s">
        <v>522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482</v>
      </c>
      <c r="I20" s="65">
        <v>46027</v>
      </c>
      <c r="J20" s="57" t="s">
        <v>522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408</v>
      </c>
      <c r="I21" s="65">
        <v>44868</v>
      </c>
      <c r="J21" s="57" t="s">
        <v>522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432</v>
      </c>
      <c r="I22" s="65">
        <v>45678</v>
      </c>
      <c r="J22" s="57" t="s">
        <v>522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401</v>
      </c>
      <c r="I23" s="65">
        <v>44809</v>
      </c>
      <c r="J23" s="57" t="s">
        <v>522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409</v>
      </c>
      <c r="I24" s="65">
        <v>45526</v>
      </c>
      <c r="J24" s="57" t="s">
        <v>522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434</v>
      </c>
      <c r="I25" s="65">
        <v>45398</v>
      </c>
      <c r="J25" s="57" t="s">
        <v>522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410</v>
      </c>
      <c r="I26" s="65">
        <v>44257</v>
      </c>
      <c r="J26" s="57" t="s">
        <v>522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445</v>
      </c>
      <c r="I27" s="65">
        <v>45971</v>
      </c>
      <c r="J27" s="57" t="s">
        <v>522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456</v>
      </c>
      <c r="I28" s="65">
        <v>45882</v>
      </c>
      <c r="J28" s="57" t="s">
        <v>522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457</v>
      </c>
      <c r="I29" s="65">
        <v>45019</v>
      </c>
      <c r="J29" s="57" t="s">
        <v>522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419</v>
      </c>
      <c r="I30" s="65">
        <v>45112</v>
      </c>
      <c r="J30" s="57" t="s">
        <v>522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412</v>
      </c>
      <c r="I31" s="65">
        <v>44838</v>
      </c>
      <c r="J31" s="57" t="s">
        <v>522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420</v>
      </c>
      <c r="I32" s="65">
        <v>44746</v>
      </c>
      <c r="J32" s="57" t="s">
        <v>522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421</v>
      </c>
      <c r="I33" s="65">
        <v>45789</v>
      </c>
      <c r="J33" s="57" t="s">
        <v>522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458</v>
      </c>
      <c r="I34" s="65">
        <v>44867</v>
      </c>
      <c r="J34" s="57" t="s">
        <v>522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464</v>
      </c>
      <c r="I35" s="65">
        <v>44109</v>
      </c>
      <c r="J35" s="57" t="s">
        <v>522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459</v>
      </c>
      <c r="I36" s="65">
        <v>45363</v>
      </c>
      <c r="J36" s="57" t="s">
        <v>522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422</v>
      </c>
      <c r="I37" s="65">
        <v>45334</v>
      </c>
      <c r="J37" s="57" t="s">
        <v>522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435</v>
      </c>
      <c r="I38" s="65">
        <v>44685</v>
      </c>
      <c r="J38" s="57" t="s">
        <v>522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465</v>
      </c>
      <c r="I39" s="65">
        <v>44818</v>
      </c>
      <c r="J39" s="57" t="s">
        <v>522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404</v>
      </c>
      <c r="I40" s="65">
        <v>44886</v>
      </c>
      <c r="J40" s="57" t="s">
        <v>522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557</v>
      </c>
      <c r="I41" s="65">
        <v>46029</v>
      </c>
      <c r="J41" s="57" t="s">
        <v>522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488</v>
      </c>
      <c r="I42" s="65">
        <v>45800</v>
      </c>
      <c r="J42" s="57" t="s">
        <v>522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447</v>
      </c>
      <c r="I43" s="65">
        <v>44714</v>
      </c>
      <c r="J43" s="57" t="s">
        <v>522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556</v>
      </c>
      <c r="I44" s="65">
        <v>46024</v>
      </c>
      <c r="J44" s="57" t="s">
        <v>522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494</v>
      </c>
      <c r="I45" s="65">
        <v>45813</v>
      </c>
      <c r="J45" s="57" t="s">
        <v>522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448</v>
      </c>
      <c r="I46" s="65">
        <v>45369</v>
      </c>
      <c r="J46" s="57" t="s">
        <v>522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472</v>
      </c>
      <c r="I47" s="65">
        <v>45145</v>
      </c>
      <c r="J47" s="57" t="s">
        <v>522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504</v>
      </c>
      <c r="I48" s="65">
        <v>45884</v>
      </c>
      <c r="J48" s="57" t="s">
        <v>522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7">
        <v>14400</v>
      </c>
      <c r="H49" s="35" t="s">
        <v>519</v>
      </c>
      <c r="I49" s="65">
        <v>46041</v>
      </c>
      <c r="J49" s="57" t="s">
        <v>522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449</v>
      </c>
      <c r="I50" s="65">
        <v>45344</v>
      </c>
      <c r="J50" s="57" t="s">
        <v>522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439</v>
      </c>
      <c r="I51" s="65">
        <v>45141</v>
      </c>
      <c r="J51" s="57" t="s">
        <v>522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426</v>
      </c>
      <c r="I52" s="65">
        <v>45173</v>
      </c>
      <c r="J52" s="57" t="s">
        <v>522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416</v>
      </c>
      <c r="I53" s="65">
        <v>44943</v>
      </c>
      <c r="J53" s="57" t="s">
        <v>522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440</v>
      </c>
      <c r="I54" s="65">
        <v>44746</v>
      </c>
      <c r="J54" s="57" t="s">
        <v>522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468</v>
      </c>
      <c r="I55" s="65">
        <v>44704</v>
      </c>
      <c r="J55" s="57" t="s">
        <v>522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427</v>
      </c>
      <c r="I56" s="65">
        <v>44817</v>
      </c>
      <c r="J56" s="57" t="s">
        <v>522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I174"/>
  <sheetViews>
    <sheetView topLeftCell="AT1" zoomScale="70" zoomScaleNormal="70" workbookViewId="0">
      <selection activeCell="BF19" sqref="BF19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.42578125" customWidth="1"/>
    <col min="42" max="42" width="13" customWidth="1"/>
    <col min="43" max="44" width="13.42578125" customWidth="1"/>
    <col min="45" max="49" width="13.42578125" bestFit="1" customWidth="1"/>
    <col min="50" max="50" width="13" bestFit="1" customWidth="1"/>
    <col min="51" max="52" width="13" customWidth="1"/>
    <col min="53" max="53" width="20" customWidth="1"/>
    <col min="54" max="54" width="16" bestFit="1" customWidth="1"/>
    <col min="55" max="55" width="20" customWidth="1"/>
    <col min="56" max="56" width="16.7109375" customWidth="1"/>
    <col min="57" max="62" width="12" customWidth="1"/>
    <col min="63" max="68" width="13" customWidth="1"/>
    <col min="69" max="69" width="13.42578125" customWidth="1"/>
    <col min="70" max="70" width="13" customWidth="1"/>
    <col min="71" max="72" width="13.42578125" customWidth="1"/>
    <col min="73" max="77" width="13.42578125" bestFit="1" customWidth="1"/>
  </cols>
  <sheetData>
    <row r="1" spans="1:87" x14ac:dyDescent="0.25">
      <c r="H1"/>
      <c r="J1" s="57"/>
      <c r="K1" s="57"/>
      <c r="L1" s="57"/>
      <c r="N1" s="5"/>
      <c r="O1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6" t="str">
        <f>IFERROR(VLOOKUP(D1_FEBRERO_2026[[#This Row],[ASESOR_CRR]],PLANTILLA_ACTUAL[],2,0),"")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tr">
        <f>IFERROR(VLOOKUP(D1_FEBRERO_2026[[#This Row],[ASESOR_CRR]],PLANTILLA_ACTUAL[],2,0),"")</f>
        <v>GUSTAVO</v>
      </c>
      <c r="F3" s="66" t="s">
        <v>41</v>
      </c>
      <c r="G3" s="66"/>
      <c r="H3" s="66" t="str">
        <f>VLOOKUP(D1_FEBRERO_2026[[#This Row],[ASESOR_CRR]],DIM!$C:$E,2,0)</f>
        <v>46461021</v>
      </c>
      <c r="I3" s="68">
        <f>VLOOKUP(D1_FEBRERO_2026[[#This Row],[ASESOR_CRR]],DIM!$C:$E,3,0)</f>
        <v>45302</v>
      </c>
      <c r="J3" s="68" t="str">
        <f>VLOOKUP(D1_FEBRERO_2026[[#This Row],[ASESOR_CRR]],PLANTILLA_ACTUAL[],6,0)</f>
        <v>VACACIONES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6" t="str">
        <f>IFERROR(VLOOKUP(D1_FEBRERO_2026[[#This Row],[ASESOR_CRR]],PLANTILLA_ACTUAL[],2,0),"")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tr">
        <f>IFERROR(VLOOKUP(D1_FEBRERO_2026[[#This Row],[ASESOR_CRR]],PLANTILLA_ACTUAL[],2,0),"")</f>
        <v>SANDY</v>
      </c>
      <c r="F4" s="66" t="s">
        <v>24</v>
      </c>
      <c r="G4" s="66"/>
      <c r="H4" s="66" t="str">
        <f>VLOOKUP(D1_FEBRERO_2026[[#This Row],[ASESOR_CRR]],DIM!$C:$E,2,0)</f>
        <v>43614775</v>
      </c>
      <c r="I4" s="68">
        <f>VLOOKUP(D1_FEBRERO_2026[[#This Row],[ASESOR_CRR]],DIM!$C:$E,3,0)</f>
        <v>45334</v>
      </c>
      <c r="J4" s="68" t="str">
        <f>VLOOKUP(D1_FEBRERO_2026[[#This Row],[ASESOR_CRR]],PLANTILLA_ACTUAL[],6,0)</f>
        <v>VACACIONES</v>
      </c>
      <c r="K4" s="65"/>
      <c r="L4" s="57"/>
      <c r="N4" s="5"/>
      <c r="O4"/>
      <c r="S4" s="46"/>
    </row>
    <row r="5" spans="1:87" x14ac:dyDescent="0.25">
      <c r="A5" s="66" t="str">
        <f>IFERROR(VLOOKUP(D1_FEBRERO_2026[[#This Row],[ASESOR_CRR]],PLANTILLA_ACTUAL[],2,0),"")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tr">
        <f>IFERROR(VLOOKUP(D1_FEBRERO_2026[[#This Row],[ASESOR_CRR]],PLANTILLA_ACTUAL[],2,0),"")</f>
        <v>JORGE</v>
      </c>
      <c r="F5" s="66" t="s">
        <v>68</v>
      </c>
      <c r="G5" s="66"/>
      <c r="H5" s="66" t="str">
        <f>VLOOKUP(D1_FEBRERO_2026[[#This Row],[ASESOR_CRR]],DIM!$C:$E,2,0)</f>
        <v>73257316</v>
      </c>
      <c r="I5" s="68">
        <f>VLOOKUP(D1_FEBRERO_2026[[#This Row],[ASESOR_CRR]],DIM!$C:$E,3,0)</f>
        <v>45363</v>
      </c>
      <c r="J5" s="68" t="str">
        <f>VLOOKUP(D1_FEBRERO_2026[[#This Row],[ASESOR_CRR]],PLANTILLA_ACTUAL[],6,0)</f>
        <v>VACACIONES</v>
      </c>
      <c r="K5" s="65"/>
      <c r="L5" s="57"/>
      <c r="N5" s="5"/>
      <c r="O5"/>
      <c r="S5" s="46"/>
      <c r="BQ5" s="46"/>
    </row>
    <row r="6" spans="1:87" x14ac:dyDescent="0.25">
      <c r="A6" s="70" t="str">
        <f>IFERROR(VLOOKUP(D1_FEBRERO_2026[[#This Row],[ASESOR_CRR]],PLANTILLA_ACTUAL[],2,0),"")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tr">
        <f>IFERROR(VLOOKUP(D1_FEBRERO_2026[[#This Row],[ASESOR_CRR]],PLANTILLA_ACTUAL[],2,0),"")</f>
        <v>KENNETH</v>
      </c>
      <c r="F6" s="70" t="s">
        <v>11</v>
      </c>
      <c r="G6" s="83"/>
      <c r="H6" s="70" t="str">
        <f>VLOOKUP(D1_FEBRERO_2026[[#This Row],[ASESOR_CRR]],DIM!$C:$E,2,0)</f>
        <v>45139159</v>
      </c>
      <c r="I6" s="72">
        <f>VLOOKUP(D1_FEBRERO_2026[[#This Row],[ASESOR_CRR]],DIM!$C:$E,3,0)</f>
        <v>45369</v>
      </c>
      <c r="J6" s="72" t="str">
        <f>VLOOKUP(D1_FEBRERO_2026[[#This Row],[ASESOR_CRR]],PLANTILLA_ACTUAL[],6,0)</f>
        <v>VACACIONES</v>
      </c>
      <c r="K6" s="65"/>
      <c r="L6" s="57"/>
      <c r="N6" s="5"/>
      <c r="O6"/>
      <c r="S6" s="46"/>
    </row>
    <row r="7" spans="1:87" x14ac:dyDescent="0.25">
      <c r="A7" s="70" t="str">
        <f>IFERROR(VLOOKUP(D1_FEBRERO_2026[[#This Row],[ASESOR_CRR]],PLANTILLA_ACTUAL[],2,0),"")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tr">
        <f>IFERROR(VLOOKUP(D1_FEBRERO_2026[[#This Row],[ASESOR_CRR]],PLANTILLA_ACTUAL[],2,0),"")</f>
        <v>JOHAN</v>
      </c>
      <c r="F7" s="70" t="s">
        <v>72</v>
      </c>
      <c r="G7" s="83"/>
      <c r="H7" s="70" t="str">
        <f>VLOOKUP(D1_FEBRERO_2026[[#This Row],[ASESOR_CRR]],DIM!$C:$E,2,0)</f>
        <v>47690367</v>
      </c>
      <c r="I7" s="72">
        <f>VLOOKUP(D1_FEBRERO_2026[[#This Row],[ASESOR_CRR]],DIM!$C:$E,3,0)</f>
        <v>45691</v>
      </c>
      <c r="J7" s="72" t="str">
        <f>VLOOKUP(D1_FEBRERO_2026[[#This Row],[ASESOR_CRR]],PLANTILLA_ACTUAL[],6,0)</f>
        <v>VACACIONES</v>
      </c>
      <c r="K7" s="65"/>
      <c r="L7" s="57"/>
      <c r="M7" s="1"/>
      <c r="N7" s="5"/>
      <c r="O7"/>
    </row>
    <row r="8" spans="1:87" x14ac:dyDescent="0.25">
      <c r="A8" s="35" t="str">
        <f>IFERROR(VLOOKUP(D1_FEBRERO_2026[[#This Row],[ASESOR_CRR]],PLANTILLA_ACTUAL[],2,0),"")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tr">
        <f>IFERROR(VLOOKUP(D1_FEBRERO_2026[[#This Row],[ASESOR_CRR]],PLANTILLA_ACTUAL[],2,0),"")</f>
        <v>JOHAN</v>
      </c>
      <c r="F8" s="35" t="s">
        <v>18</v>
      </c>
      <c r="G8" s="37">
        <v>37095</v>
      </c>
      <c r="H8" s="35" t="str">
        <f>VLOOKUP(D1_FEBRERO_2026[[#This Row],[ASESOR_CRR]],DIM!$C:$E,2,0)</f>
        <v>76214436</v>
      </c>
      <c r="I8" s="65">
        <f>VLOOKUP(D1_FEBRERO_2026[[#This Row],[ASESOR_CRR]],DIM!$C:$E,3,0)</f>
        <v>45132</v>
      </c>
      <c r="J8" s="65" t="str">
        <f>VLOOKUP(D1_FEBRERO_2026[[#This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tr">
        <f>IFERROR(VLOOKUP(D1_FEBRERO_2026[[#This Row],[ASESOR_CRR]],PLANTILLA_ACTUAL[],2,0),"")</f>
        <v>GUSTAVO</v>
      </c>
      <c r="F9" s="35" t="s">
        <v>58</v>
      </c>
      <c r="G9" s="37">
        <v>45605</v>
      </c>
      <c r="H9" s="35" t="str">
        <f>VLOOKUP(D1_FEBRERO_2026[[#This Row],[ASESOR_CRR]],DIM!$C:$E,2,0)</f>
        <v>72519113</v>
      </c>
      <c r="I9" s="65">
        <f>VLOOKUP(D1_FEBRERO_2026[[#This Row],[ASESOR_CRR]],DIM!$C:$E,3,0)</f>
        <v>43101</v>
      </c>
      <c r="J9" s="65" t="str">
        <f>VLOOKUP(D1_FEBRERO_2026[[#This Row],[ASESOR_CRR]],PLANTILLA_ACTUAL[],6,0)</f>
        <v>CALL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5" t="str">
        <f>IFERROR(VLOOKUP(D1_FEBRERO_2026[[#This Row],[ASESOR_CRR]],PLANTILLA_ACTUAL[],2,0),"")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tr">
        <f>IFERROR(VLOOKUP(D1_FEBRERO_2026[[#This Row],[ASESOR_CRR]],PLANTILLA_ACTUAL[],2,0),"")</f>
        <v>JOHAN</v>
      </c>
      <c r="F10" s="35" t="s">
        <v>109</v>
      </c>
      <c r="G10" s="37">
        <v>20740</v>
      </c>
      <c r="H10" s="35" t="str">
        <f>VLOOKUP(D1_FEBRERO_2026[[#This Row],[ASESOR_CRR]],DIM!$C:$E,2,0)</f>
        <v>74626735</v>
      </c>
      <c r="I10" s="65">
        <f>VLOOKUP(D1_FEBRERO_2026[[#This Row],[ASESOR_CRR]],DIM!$C:$E,3,0)</f>
        <v>46024</v>
      </c>
      <c r="J10" s="65" t="str">
        <f>VLOOKUP(D1_FEBRERO_2026[[#This Row],[ASESOR_CRR]],PLANTILLA_ACTUAL[],6,0)</f>
        <v>CALL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5" t="str">
        <f>IFERROR(VLOOKUP(D1_FEBRERO_2026[[#This Row],[ASESOR_CRR]],PLANTILLA_ACTUAL[],2,0),"")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tr">
        <f>IFERROR(VLOOKUP(D1_FEBRERO_2026[[#This Row],[ASESOR_CRR]],PLANTILLA_ACTUAL[],2,0),"")</f>
        <v>JOHAN</v>
      </c>
      <c r="F11" s="35" t="s">
        <v>60</v>
      </c>
      <c r="G11" s="37">
        <v>78883</v>
      </c>
      <c r="H11" s="35" t="str">
        <f>VLOOKUP(D1_FEBRERO_2026[[#This Row],[ASESOR_CRR]],DIM!$C:$E,2,0)</f>
        <v>72839865</v>
      </c>
      <c r="I11" s="65">
        <f>VLOOKUP(D1_FEBRERO_2026[[#This Row],[ASESOR_CRR]],DIM!$C:$E,3,0)</f>
        <v>45854</v>
      </c>
      <c r="J11" s="65" t="str">
        <f>VLOOKUP(D1_FEBRERO_2026[[#This Row],[ASESOR_CRR]],PLANTILLA_ACTUAL[],6,0)</f>
        <v>CALL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5" t="str">
        <f>IFERROR(VLOOKUP(D1_FEBRERO_2026[[#This Row],[ASESOR_CRR]],PLANTILLA_ACTUAL[],2,0),"")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tr">
        <f>IFERROR(VLOOKUP(D1_FEBRERO_2026[[#This Row],[ASESOR_CRR]],PLANTILLA_ACTUAL[],2,0),"")</f>
        <v>JORGE</v>
      </c>
      <c r="F12" s="35" t="s">
        <v>15</v>
      </c>
      <c r="G12" s="37">
        <v>19946</v>
      </c>
      <c r="H12" s="35" t="str">
        <f>VLOOKUP(D1_FEBRERO_2026[[#This Row],[ASESOR_CRR]],DIM!$C:$E,2,0)</f>
        <v>47587400</v>
      </c>
      <c r="I12" s="65">
        <f>VLOOKUP(D1_FEBRERO_2026[[#This Row],[ASESOR_CRR]],DIM!$C:$E,3,0)</f>
        <v>44733</v>
      </c>
      <c r="J12" s="65" t="str">
        <f>VLOOKUP(D1_FEBRERO_2026[[#This Row],[ASESOR_CRR]],PLANTILLA_ACTUAL[],6,0)</f>
        <v>CALL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5" t="str">
        <f>IFERROR(VLOOKUP(D1_FEBRERO_2026[[#This Row],[ASESOR_CRR]],PLANTILLA_ACTUAL[],2,0),"")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tr">
        <f>IFERROR(VLOOKUP(D1_FEBRERO_2026[[#This Row],[ASESOR_CRR]],PLANTILLA_ACTUAL[],2,0),"")</f>
        <v>JOHAN</v>
      </c>
      <c r="F13" s="35" t="s">
        <v>85</v>
      </c>
      <c r="G13" s="37">
        <v>32730</v>
      </c>
      <c r="H13" s="35" t="str">
        <f>VLOOKUP(D1_FEBRERO_2026[[#This Row],[ASESOR_CRR]],DIM!$C:$E,2,0)</f>
        <v>70477743</v>
      </c>
      <c r="I13" s="65">
        <f>VLOOKUP(D1_FEBRERO_2026[[#This Row],[ASESOR_CRR]],DIM!$C:$E,3,0)</f>
        <v>46055</v>
      </c>
      <c r="J13" s="65" t="str">
        <f>VLOOKUP(D1_FEBRERO_2026[[#This Row],[ASESOR_CRR]],PLANTILLA_ACTUAL[],6,0)</f>
        <v>CALL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91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91">
        <v>41394</v>
      </c>
      <c r="BL13" s="47">
        <v>48369</v>
      </c>
      <c r="BM13" s="47">
        <v>66714</v>
      </c>
      <c r="BN13" s="47">
        <v>76611.520000000004</v>
      </c>
      <c r="BO13" s="91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tr">
        <f>IFERROR(VLOOKUP(D1_FEBRERO_2026[[#This Row],[ASESOR_CRR]],PLANTILLA_ACTUAL[],2,0),"")</f>
        <v>GUSTAVO</v>
      </c>
      <c r="F14" s="35" t="s">
        <v>174</v>
      </c>
      <c r="G14" s="37">
        <v>38409</v>
      </c>
      <c r="H14" s="35" t="str">
        <f>VLOOKUP(D1_FEBRERO_2026[[#This Row],[ASESOR_CRR]],DIM!$C:$E,2,0)</f>
        <v>46994661</v>
      </c>
      <c r="I14" s="65">
        <f>VLOOKUP(D1_FEBRERO_2026[[#This Row],[ASESOR_CRR]],DIM!$C:$E,3,0)</f>
        <v>45992</v>
      </c>
      <c r="J14" s="65" t="str">
        <f>VLOOKUP(D1_FEBRERO_2026[[#This Row],[ASESOR_CRR]],PLANTILLA_ACTUAL[],6,0)</f>
        <v>CALL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IFERROR(VLOOKUP(D1_FEBRERO_2026[[#This Row],[ASESOR_CRR]],PLANTILLA_ACTUAL[],2,0),"")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tr">
        <f>IFERROR(VLOOKUP(D1_FEBRERO_2026[[#This Row],[ASESOR_CRR]],PLANTILLA_ACTUAL[],2,0),"")</f>
        <v>KENNETH</v>
      </c>
      <c r="F15" s="35" t="s">
        <v>19</v>
      </c>
      <c r="G15" s="37">
        <v>72142</v>
      </c>
      <c r="H15" s="35" t="str">
        <f>VLOOKUP(D1_FEBRERO_2026[[#This Row],[ASESOR_CRR]],DIM!$C:$E,2,0)</f>
        <v>76656128</v>
      </c>
      <c r="I15" s="65">
        <f>VLOOKUP(D1_FEBRERO_2026[[#This Row],[ASESOR_CRR]],DIM!$C:$E,3,0)</f>
        <v>44671</v>
      </c>
      <c r="J15" s="65" t="str">
        <f>VLOOKUP(D1_FEBRERO_2026[[#This Row],[ASESOR_CRR]],PLANTILLA_ACTUAL[],6,0)</f>
        <v>CALL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5" t="str">
        <f>IFERROR(VLOOKUP(D1_FEBRERO_2026[[#This Row],[ASESOR_CRR]],PLANTILLA_ACTUAL[],2,0),"")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tr">
        <f>IFERROR(VLOOKUP(D1_FEBRERO_2026[[#This Row],[ASESOR_CRR]],PLANTILLA_ACTUAL[],2,0),"")</f>
        <v>JOHAN</v>
      </c>
      <c r="F16" s="35" t="s">
        <v>61</v>
      </c>
      <c r="G16" s="37">
        <v>46888</v>
      </c>
      <c r="H16" s="35" t="str">
        <f>VLOOKUP(D1_FEBRERO_2026[[#This Row],[ASESOR_CRR]],DIM!$C:$E,2,0)</f>
        <v>44001162</v>
      </c>
      <c r="I16" s="65">
        <f>VLOOKUP(D1_FEBRERO_2026[[#This Row],[ASESOR_CRR]],DIM!$C:$E,3,0)</f>
        <v>44907</v>
      </c>
      <c r="J16" s="65" t="str">
        <f>VLOOKUP(D1_FEBRERO_2026[[#This Row],[ASESOR_CRR]],PLANTILLA_ACTUAL[],6,0)</f>
        <v>CALL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5" t="str">
        <f>IFERROR(VLOOKUP(D1_FEBRERO_2026[[#This Row],[ASESOR_CRR]],PLANTILLA_ACTUAL[],2,0),"")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tr">
        <f>IFERROR(VLOOKUP(D1_FEBRERO_2026[[#This Row],[ASESOR_CRR]],PLANTILLA_ACTUAL[],2,0),"")</f>
        <v>KENNETH</v>
      </c>
      <c r="F17" t="s">
        <v>80</v>
      </c>
      <c r="G17" s="3">
        <v>6185</v>
      </c>
      <c r="H17" t="str">
        <f>VLOOKUP(D1_FEBRERO_2026[[#This Row],[ASESOR_CRR]],DIM!$C:$E,2,0)</f>
        <v>45084594</v>
      </c>
      <c r="I17" s="57">
        <f>VLOOKUP(D1_FEBRERO_2026[[#This Row],[ASESOR_CRR]],DIM!$C:$E,3,0)</f>
        <v>45281</v>
      </c>
      <c r="J17" s="57" t="str">
        <f>VLOOKUP(D1_FEBRERO_2026[[#This Row],[ASESOR_CRR]],PLANTILLA_ACTUAL[],6,0)</f>
        <v>CALL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5" t="str">
        <f>IFERROR(VLOOKUP(D1_FEBRERO_2026[[#This Row],[ASESOR_CRR]],PLANTILLA_ACTUAL[],2,0),"")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tr">
        <f>IFERROR(VLOOKUP(D1_FEBRERO_2026[[#This Row],[ASESOR_CRR]],PLANTILLA_ACTUAL[],2,0),"")</f>
        <v>KENNETH</v>
      </c>
      <c r="F18" t="s">
        <v>81</v>
      </c>
      <c r="G18" s="3">
        <v>32048</v>
      </c>
      <c r="H18" t="str">
        <f>VLOOKUP(D1_FEBRERO_2026[[#This Row],[ASESOR_CRR]],DIM!$C:$E,2,0)</f>
        <v>72716299</v>
      </c>
      <c r="I18" s="57">
        <f>VLOOKUP(D1_FEBRERO_2026[[#This Row],[ASESOR_CRR]],DIM!$C:$E,3,0)</f>
        <v>45511</v>
      </c>
      <c r="J18" s="57" t="str">
        <f>VLOOKUP(D1_FEBRERO_2026[[#This Row],[ASESOR_CRR]],PLANTILLA_ACTUAL[],6,0)</f>
        <v>CALL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>
        <v>518999.14</v>
      </c>
      <c r="BE18">
        <v>0.95479197826234929</v>
      </c>
      <c r="BF18" t="s">
        <v>3</v>
      </c>
      <c r="BG18">
        <v>529665</v>
      </c>
      <c r="BH18">
        <v>0.97441374019680893</v>
      </c>
      <c r="BI18" t="s">
        <v>3</v>
      </c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5" t="str">
        <f>IFERROR(VLOOKUP(D1_FEBRERO_2026[[#This Row],[ASESOR_CRR]],PLANTILLA_ACTUAL[],2,0),"")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tr">
        <f>IFERROR(VLOOKUP(D1_FEBRERO_2026[[#This Row],[ASESOR_CRR]],PLANTILLA_ACTUAL[],2,0),"")</f>
        <v>SANDY</v>
      </c>
      <c r="F19" t="s">
        <v>396</v>
      </c>
      <c r="G19" s="3">
        <v>18000</v>
      </c>
      <c r="H19" t="str">
        <f>VLOOKUP(D1_FEBRERO_2026[[#This Row],[ASESOR_CRR]],DIM!$C:$E,2,0)</f>
        <v>44883074</v>
      </c>
      <c r="I19" s="57">
        <f>VLOOKUP(D1_FEBRERO_2026[[#This Row],[ASESOR_CRR]],DIM!$C:$E,3,0)</f>
        <v>46038</v>
      </c>
      <c r="J19" s="57" t="str">
        <f>VLOOKUP(D1_FEBRERO_2026[[#This Row],[ASESOR_CRR]],PLANTILLA_ACTUAL[],6,0)</f>
        <v>CALL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>
        <v>705961.59000000008</v>
      </c>
      <c r="BE19">
        <v>1.3072346039752465</v>
      </c>
      <c r="BF19" t="s">
        <v>6</v>
      </c>
      <c r="BG19">
        <v>707160.48</v>
      </c>
      <c r="BH19">
        <v>1.3094545979757131</v>
      </c>
      <c r="BI19" t="s">
        <v>6</v>
      </c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tr">
        <f>IFERROR(VLOOKUP(D1_FEBRERO_2026[[#This Row],[ASESOR_CRR]],PLANTILLA_ACTUAL[],2,0),"")</f>
        <v>GUSTAVO</v>
      </c>
      <c r="F20" t="s">
        <v>515</v>
      </c>
      <c r="G20" s="3">
        <v>26813</v>
      </c>
      <c r="H20" t="str">
        <f>VLOOKUP(D1_FEBRERO_2026[[#This Row],[ASESOR_CRR]],DIM!$C:$E,2,0)</f>
        <v>62792399</v>
      </c>
      <c r="I20" s="57">
        <f>VLOOKUP(D1_FEBRERO_2026[[#This Row],[ASESOR_CRR]],DIM!$C:$E,3,0)</f>
        <v>46052</v>
      </c>
      <c r="J20" s="57" t="str">
        <f>VLOOKUP(D1_FEBRERO_2026[[#This Row],[ASESOR_CRR]],PLANTILLA_ACTUAL[],6,0)</f>
        <v>CALL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396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>
        <v>259027.9</v>
      </c>
      <c r="BE20">
        <v>1.3286002985181804</v>
      </c>
      <c r="BF20" t="s">
        <v>2</v>
      </c>
      <c r="BG20">
        <v>259027.9</v>
      </c>
      <c r="BH20">
        <v>1.3286002985181804</v>
      </c>
      <c r="BI20" t="s">
        <v>2</v>
      </c>
      <c r="BJ20" s="46"/>
      <c r="BP20" s="46"/>
      <c r="BR20" s="46"/>
      <c r="BS20" s="48"/>
      <c r="BV20" s="46"/>
      <c r="BW20" s="48"/>
      <c r="BX20" s="46"/>
    </row>
    <row r="21" spans="1:76" x14ac:dyDescent="0.25">
      <c r="A21" s="35" t="str">
        <f>IFERROR(VLOOKUP(D1_FEBRERO_2026[[#This Row],[ASESOR_CRR]],PLANTILLA_ACTUAL[],2,0),"")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tr">
        <f>IFERROR(VLOOKUP(D1_FEBRERO_2026[[#This Row],[ASESOR_CRR]],PLANTILLA_ACTUAL[],2,0),"")</f>
        <v>SANDY</v>
      </c>
      <c r="F21" t="s">
        <v>22</v>
      </c>
      <c r="G21" s="3">
        <v>28820</v>
      </c>
      <c r="H21" t="str">
        <f>VLOOKUP(D1_FEBRERO_2026[[#This Row],[ASESOR_CRR]],DIM!$C:$E,2,0)</f>
        <v>70551168</v>
      </c>
      <c r="I21" s="57">
        <f>VLOOKUP(D1_FEBRERO_2026[[#This Row],[ASESOR_CRR]],DIM!$C:$E,3,0)</f>
        <v>45295</v>
      </c>
      <c r="J21" s="57" t="str">
        <f>VLOOKUP(D1_FEBRERO_2026[[#This Row],[ASESOR_CRR]],PLANTILLA_ACTUAL[],6,0)</f>
        <v>CALL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515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>
        <v>563693</v>
      </c>
      <c r="BE21">
        <v>1.0370143476589162</v>
      </c>
      <c r="BF21" t="s">
        <v>125</v>
      </c>
      <c r="BG21">
        <v>558493</v>
      </c>
      <c r="BH21">
        <v>1.0274480152619796</v>
      </c>
      <c r="BI21" t="s">
        <v>125</v>
      </c>
      <c r="BR21" s="46"/>
      <c r="BS21" s="48"/>
      <c r="BV21" s="46"/>
      <c r="BW21" s="46"/>
    </row>
    <row r="22" spans="1:76" x14ac:dyDescent="0.25">
      <c r="A22" s="35" t="str">
        <f>IFERROR(VLOOKUP(D1_FEBRERO_2026[[#This Row],[ASESOR_CRR]],PLANTILLA_ACTUAL[],2,0),"")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tr">
        <f>IFERROR(VLOOKUP(D1_FEBRERO_2026[[#This Row],[ASESOR_CRR]],PLANTILLA_ACTUAL[],2,0),"")</f>
        <v>KENNETH</v>
      </c>
      <c r="F22" t="s">
        <v>105</v>
      </c>
      <c r="G22" s="3">
        <v>41390</v>
      </c>
      <c r="H22" t="str">
        <f>VLOOKUP(D1_FEBRERO_2026[[#This Row],[ASESOR_CRR]],DIM!$C:$E,2,0)</f>
        <v>48344037</v>
      </c>
      <c r="I22" s="57">
        <f>VLOOKUP(D1_FEBRERO_2026[[#This Row],[ASESOR_CRR]],DIM!$C:$E,3,0)</f>
        <v>46027</v>
      </c>
      <c r="J22" s="57" t="str">
        <f>VLOOKUP(D1_FEBRERO_2026[[#This Row],[ASESOR_CRR]],PLANTILLA_ACTUAL[],6,0)</f>
        <v>CALL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>
        <v>282587.52000000002</v>
      </c>
      <c r="BE22">
        <v>0.95834936870271215</v>
      </c>
      <c r="BF22" t="s">
        <v>124</v>
      </c>
      <c r="BG22">
        <v>268785</v>
      </c>
      <c r="BH22">
        <v>0.9115403789479396</v>
      </c>
      <c r="BI22" t="s">
        <v>124</v>
      </c>
      <c r="BR22" s="48"/>
      <c r="BS22" s="46"/>
      <c r="BV22" s="46"/>
    </row>
    <row r="23" spans="1:76" x14ac:dyDescent="0.25">
      <c r="A23" s="35" t="str">
        <f>IFERROR(VLOOKUP(D1_FEBRERO_2026[[#This Row],[ASESOR_CRR]],PLANTILLA_ACTUAL[],2,0),"")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tr">
        <f>IFERROR(VLOOKUP(D1_FEBRERO_2026[[#This Row],[ASESOR_CRR]],PLANTILLA_ACTUAL[],2,0),"")</f>
        <v>GUSTAVO</v>
      </c>
      <c r="F23" t="s">
        <v>513</v>
      </c>
      <c r="G23" s="3">
        <v>32586</v>
      </c>
      <c r="H23" t="str">
        <f>VLOOKUP(D1_FEBRERO_2026[[#This Row],[ASESOR_CRR]],DIM!$C:$E,2,0)</f>
        <v>75026229</v>
      </c>
      <c r="I23" s="57">
        <f>VLOOKUP(D1_FEBRERO_2026[[#This Row],[ASESOR_CRR]],DIM!$C:$E,3,0)</f>
        <v>46052</v>
      </c>
      <c r="J23" s="57" t="str">
        <f>VLOOKUP(D1_FEBRERO_2026[[#This Row],[ASESOR_CRR]],PLANTILLA_ACTUAL[],6,0)</f>
        <v>CALL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5" t="str">
        <f>IFERROR(VLOOKUP(D1_FEBRERO_2026[[#This Row],[ASESOR_CRR]],PLANTILLA_ACTUAL[],2,0),"")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tr">
        <f>IFERROR(VLOOKUP(D1_FEBRERO_2026[[#This Row],[ASESOR_CRR]],PLANTILLA_ACTUAL[],2,0),"")</f>
        <v>JOHAN</v>
      </c>
      <c r="F24" t="s">
        <v>12</v>
      </c>
      <c r="G24" s="3">
        <v>47190</v>
      </c>
      <c r="H24" t="str">
        <f>VLOOKUP(D1_FEBRERO_2026[[#This Row],[ASESOR_CRR]],DIM!$C:$E,2,0)</f>
        <v>45262585</v>
      </c>
      <c r="I24" s="57">
        <f>VLOOKUP(D1_FEBRERO_2026[[#This Row],[ASESOR_CRR]],DIM!$C:$E,3,0)</f>
        <v>44868</v>
      </c>
      <c r="J24" s="57" t="str">
        <f>VLOOKUP(D1_FEBRERO_2026[[#This Row],[ASESOR_CRR]],PLANTILLA_ACTUAL[],6,0)</f>
        <v>CALL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5" t="str">
        <f>IFERROR(VLOOKUP(D1_FEBRERO_2026[[#This Row],[ASESOR_CRR]],PLANTILLA_ACTUAL[],2,0),"")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tr">
        <f>IFERROR(VLOOKUP(D1_FEBRERO_2026[[#This Row],[ASESOR_CRR]],PLANTILLA_ACTUAL[],2,0),"")</f>
        <v>GUSTAVO</v>
      </c>
      <c r="F25" t="s">
        <v>51</v>
      </c>
      <c r="G25" s="3">
        <v>18293</v>
      </c>
      <c r="H25" t="str">
        <f>VLOOKUP(D1_FEBRERO_2026[[#This Row],[ASESOR_CRR]],DIM!$C:$E,2,0)</f>
        <v>76089925</v>
      </c>
      <c r="I25" s="57">
        <f>VLOOKUP(D1_FEBRERO_2026[[#This Row],[ASESOR_CRR]],DIM!$C:$E,3,0)</f>
        <v>45678</v>
      </c>
      <c r="J25" s="57" t="str">
        <f>VLOOKUP(D1_FEBRERO_2026[[#This Row],[ASESOR_CRR]],PLANTILLA_ACTUAL[],6,0)</f>
        <v>CALL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IFERROR(VLOOKUP(D1_FEBRERO_2026[[#This Row],[ASESOR_CRR]],PLANTILLA_ACTUAL[],2,0),"")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tr">
        <f>IFERROR(VLOOKUP(D1_FEBRERO_2026[[#This Row],[ASESOR_CRR]],PLANTILLA_ACTUAL[],2,0),"")</f>
        <v>SANDY</v>
      </c>
      <c r="F26" t="s">
        <v>13</v>
      </c>
      <c r="G26" s="3">
        <v>65920</v>
      </c>
      <c r="H26" t="str">
        <f>VLOOKUP(D1_FEBRERO_2026[[#This Row],[ASESOR_CRR]],DIM!$C:$E,2,0)</f>
        <v>72512391</v>
      </c>
      <c r="I26" s="57">
        <f>VLOOKUP(D1_FEBRERO_2026[[#This Row],[ASESOR_CRR]],DIM!$C:$E,3,0)</f>
        <v>44809</v>
      </c>
      <c r="J26" s="57" t="str">
        <f>VLOOKUP(D1_FEBRERO_2026[[#This Row],[ASESOR_CRR]],PLANTILLA_ACTUAL[],6,0)</f>
        <v>CALL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IFERROR(VLOOKUP(D1_FEBRERO_2026[[#This Row],[ASESOR_CRR]],PLANTILLA_ACTUAL[],2,0),"")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tr">
        <f>IFERROR(VLOOKUP(D1_FEBRERO_2026[[#This Row],[ASESOR_CRR]],PLANTILLA_ACTUAL[],2,0),"")</f>
        <v>SANDY</v>
      </c>
      <c r="F27" t="s">
        <v>32</v>
      </c>
      <c r="G27" s="3">
        <v>68410</v>
      </c>
      <c r="H27" t="str">
        <f>VLOOKUP(D1_FEBRERO_2026[[#This Row],[ASESOR_CRR]],DIM!$C:$E,2,0)</f>
        <v>48584670</v>
      </c>
      <c r="I27" s="57">
        <f>VLOOKUP(D1_FEBRERO_2026[[#This Row],[ASESOR_CRR]],DIM!$C:$E,3,0)</f>
        <v>45526</v>
      </c>
      <c r="J27" s="57" t="str">
        <f>VLOOKUP(D1_FEBRERO_2026[[#This Row],[ASESOR_CRR]],PLANTILLA_ACTUAL[],6,0)</f>
        <v>CALL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IFERROR(VLOOKUP(D1_FEBRERO_2026[[#This Row],[ASESOR_CRR]],PLANTILLA_ACTUAL[],2,0),"")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tr">
        <f>IFERROR(VLOOKUP(D1_FEBRERO_2026[[#This Row],[ASESOR_CRR]],PLANTILLA_ACTUAL[],2,0),"")</f>
        <v>JORGE</v>
      </c>
      <c r="F28" t="s">
        <v>42</v>
      </c>
      <c r="G28" s="3">
        <v>19702</v>
      </c>
      <c r="H28" t="str">
        <f>VLOOKUP(D1_FEBRERO_2026[[#This Row],[ASESOR_CRR]],DIM!$C:$E,2,0)</f>
        <v>73725129</v>
      </c>
      <c r="I28" s="57">
        <f>VLOOKUP(D1_FEBRERO_2026[[#This Row],[ASESOR_CRR]],DIM!$C:$E,3,0)</f>
        <v>45398</v>
      </c>
      <c r="J28" s="57" t="str">
        <f>VLOOKUP(D1_FEBRERO_2026[[#This Row],[ASESOR_CRR]],PLANTILLA_ACTUAL[],6,0)</f>
        <v>CALL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IFERROR(VLOOKUP(D1_FEBRERO_2026[[#This Row],[ASESOR_CRR]],PLANTILLA_ACTUAL[],2,0),"")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tr">
        <f>IFERROR(VLOOKUP(D1_FEBRERO_2026[[#This Row],[ASESOR_CRR]],PLANTILLA_ACTUAL[],2,0),"")</f>
        <v>GUSTAVO</v>
      </c>
      <c r="F29" t="s">
        <v>49</v>
      </c>
      <c r="G29" s="3">
        <v>21914</v>
      </c>
      <c r="H29" t="str">
        <f>VLOOKUP(D1_FEBRERO_2026[[#This Row],[ASESOR_CRR]],DIM!$C:$E,2,0)</f>
        <v>40702064</v>
      </c>
      <c r="I29" s="57">
        <f>VLOOKUP(D1_FEBRERO_2026[[#This Row],[ASESOR_CRR]],DIM!$C:$E,3,0)</f>
        <v>43313</v>
      </c>
      <c r="J29" s="57" t="str">
        <f>VLOOKUP(D1_FEBRERO_2026[[#This Row],[ASESOR_CRR]],PLANTILLA_ACTUAL[],6,0)</f>
        <v>CALL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tr">
        <f>IFERROR(VLOOKUP(D1_FEBRERO_2026[[#This Row],[ASESOR_CRR]],PLANTILLA_ACTUAL[],2,0),"")</f>
        <v>KENNETH</v>
      </c>
      <c r="F30" t="s">
        <v>26</v>
      </c>
      <c r="G30" s="3">
        <v>43939</v>
      </c>
      <c r="H30" t="str">
        <f>VLOOKUP(D1_FEBRERO_2026[[#This Row],[ASESOR_CRR]],DIM!$C:$E,2,0)</f>
        <v>41005089</v>
      </c>
      <c r="I30" s="57">
        <f>VLOOKUP(D1_FEBRERO_2026[[#This Row],[ASESOR_CRR]],DIM!$C:$E,3,0)</f>
        <v>44257</v>
      </c>
      <c r="J30" s="57" t="str">
        <f>VLOOKUP(D1_FEBRERO_2026[[#This Row],[ASESOR_CRR]],PLANTILLA_ACTUAL[],6,0)</f>
        <v>CALL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IFERROR(VLOOKUP(D1_FEBRERO_2026[[#This Row],[ASESOR_CRR]],PLANTILLA_ACTUAL[],2,0),"")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tr">
        <f>IFERROR(VLOOKUP(D1_FEBRERO_2026[[#This Row],[ASESOR_CRR]],PLANTILLA_ACTUAL[],2,0),"")</f>
        <v>JOHAN</v>
      </c>
      <c r="F31" t="s">
        <v>122</v>
      </c>
      <c r="G31" s="3">
        <v>35890</v>
      </c>
      <c r="H31" t="str">
        <f>VLOOKUP(D1_FEBRERO_2026[[#This Row],[ASESOR_CRR]],DIM!$C:$E,2,0)</f>
        <v>76586998</v>
      </c>
      <c r="I31" s="57">
        <f>VLOOKUP(D1_FEBRERO_2026[[#This Row],[ASESOR_CRR]],DIM!$C:$E,3,0)</f>
        <v>45971</v>
      </c>
      <c r="J31" s="57" t="str">
        <f>VLOOKUP(D1_FEBRERO_2026[[#This Row],[ASESOR_CRR]],PLANTILLA_ACTUAL[],6,0)</f>
        <v>CALL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IFERROR(VLOOKUP(D1_FEBRERO_2026[[#This Row],[ASESOR_CRR]],PLANTILLA_ACTUAL[],2,0),"")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tr">
        <f>IFERROR(VLOOKUP(D1_FEBRERO_2026[[#This Row],[ASESOR_CRR]],PLANTILLA_ACTUAL[],2,0),"")</f>
        <v>SANDY</v>
      </c>
      <c r="F32" t="s">
        <v>96</v>
      </c>
      <c r="G32" s="3">
        <v>52618</v>
      </c>
      <c r="H32" t="str">
        <f>VLOOKUP(D1_FEBRERO_2026[[#This Row],[ASESOR_CRR]],DIM!$C:$E,2,0)</f>
        <v>46793103</v>
      </c>
      <c r="I32" s="57">
        <f>VLOOKUP(D1_FEBRERO_2026[[#This Row],[ASESOR_CRR]],DIM!$C:$E,3,0)</f>
        <v>45882</v>
      </c>
      <c r="J32" s="57" t="str">
        <f>VLOOKUP(D1_FEBRERO_2026[[#This Row],[ASESOR_CRR]],PLANTILLA_ACTUAL[],6,0)</f>
        <v>CALL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IFERROR(VLOOKUP(D1_FEBRERO_2026[[#This Row],[ASESOR_CRR]],PLANTILLA_ACTUAL[],2,0),"")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tr">
        <f>IFERROR(VLOOKUP(D1_FEBRERO_2026[[#This Row],[ASESOR_CRR]],PLANTILLA_ACTUAL[],2,0),"")</f>
        <v>SANDY</v>
      </c>
      <c r="F33" t="s">
        <v>65</v>
      </c>
      <c r="G33" s="3">
        <v>37905</v>
      </c>
      <c r="H33" t="str">
        <f>VLOOKUP(D1_FEBRERO_2026[[#This Row],[ASESOR_CRR]],DIM!$C:$E,2,0)</f>
        <v>47659267</v>
      </c>
      <c r="I33" s="57">
        <f>VLOOKUP(D1_FEBRERO_2026[[#This Row],[ASESOR_CRR]],DIM!$C:$E,3,0)</f>
        <v>45019</v>
      </c>
      <c r="J33" s="57" t="str">
        <f>VLOOKUP(D1_FEBRERO_2026[[#This Row],[ASESOR_CRR]],PLANTILLA_ACTUAL[],6,0)</f>
        <v>CALL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tr">
        <f>IFERROR(VLOOKUP(D1_FEBRERO_2026[[#This Row],[ASESOR_CRR]],PLANTILLA_ACTUAL[],2,0),"")</f>
        <v>KENNETH</v>
      </c>
      <c r="F34" t="s">
        <v>37</v>
      </c>
      <c r="G34" s="3">
        <v>101415.5</v>
      </c>
      <c r="H34" t="str">
        <f>VLOOKUP(D1_FEBRERO_2026[[#This Row],[ASESOR_CRR]],DIM!$C:$E,2,0)</f>
        <v>70988976</v>
      </c>
      <c r="I34" s="57">
        <f>VLOOKUP(D1_FEBRERO_2026[[#This Row],[ASESOR_CRR]],DIM!$C:$E,3,0)</f>
        <v>45112</v>
      </c>
      <c r="J34" s="57" t="str">
        <f>VLOOKUP(D1_FEBRERO_2026[[#This Row],[ASESOR_CRR]],PLANTILLA_ACTUAL[],6,0)</f>
        <v>CALL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IFERROR(VLOOKUP(D1_FEBRERO_2026[[#This Row],[ASESOR_CRR]],PLANTILLA_ACTUAL[],2,0),"")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tr">
        <f>IFERROR(VLOOKUP(D1_FEBRERO_2026[[#This Row],[ASESOR_CRR]],PLANTILLA_ACTUAL[],2,0),"")</f>
        <v>GUSTAVO</v>
      </c>
      <c r="F35" t="s">
        <v>572</v>
      </c>
      <c r="G35" s="3">
        <v>640</v>
      </c>
      <c r="H35" t="str">
        <f>VLOOKUP(D1_FEBRERO_2026[[#This Row],[ASESOR_CRR]],DIM!$C:$E,2,0)</f>
        <v>73233992 </v>
      </c>
      <c r="I35" s="57">
        <f>VLOOKUP(D1_FEBRERO_2026[[#This Row],[ASESOR_CRR]],DIM!$C:$E,3,0)</f>
        <v>46064</v>
      </c>
      <c r="J35" s="57" t="str">
        <f>VLOOKUP(D1_FEBRERO_2026[[#This Row],[ASESOR_CRR]],PLANTILLA_ACTUAL[],6,0)</f>
        <v>CALL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IFERROR(VLOOKUP(D1_FEBRERO_2026[[#This Row],[ASESOR_CRR]],PLANTILLA_ACTUAL[],2,0),"")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tr">
        <f>IFERROR(VLOOKUP(D1_FEBRERO_2026[[#This Row],[ASESOR_CRR]],PLANTILLA_ACTUAL[],2,0),"")</f>
        <v>GUSTAVO</v>
      </c>
      <c r="F36" t="s">
        <v>77</v>
      </c>
      <c r="G36" s="3">
        <v>24017.52</v>
      </c>
      <c r="H36" t="str">
        <f>VLOOKUP(D1_FEBRERO_2026[[#This Row],[ASESOR_CRR]],DIM!$C:$E,2,0)</f>
        <v>42251780</v>
      </c>
      <c r="I36" s="57">
        <f>VLOOKUP(D1_FEBRERO_2026[[#This Row],[ASESOR_CRR]],DIM!$C:$E,3,0)</f>
        <v>44838</v>
      </c>
      <c r="J36" s="57" t="str">
        <f>VLOOKUP(D1_FEBRERO_2026[[#This Row],[ASESOR_CRR]],PLANTILLA_ACTUAL[],6,0)</f>
        <v>CALL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572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tr">
        <f>IFERROR(VLOOKUP(D1_FEBRERO_2026[[#This Row],[ASESOR_CRR]],PLANTILLA_ACTUAL[],2,0),"")</f>
        <v>KENNETH</v>
      </c>
      <c r="F37" t="s">
        <v>35</v>
      </c>
      <c r="G37" s="3">
        <v>121540</v>
      </c>
      <c r="H37" t="str">
        <f>VLOOKUP(D1_FEBRERO_2026[[#This Row],[ASESOR_CRR]],DIM!$C:$E,2,0)</f>
        <v>10491198</v>
      </c>
      <c r="I37" s="57">
        <f>VLOOKUP(D1_FEBRERO_2026[[#This Row],[ASESOR_CRR]],DIM!$C:$E,3,0)</f>
        <v>44746</v>
      </c>
      <c r="J37" s="57" t="str">
        <f>VLOOKUP(D1_FEBRERO_2026[[#This Row],[ASESOR_CRR]],PLANTILLA_ACTUAL[],6,0)</f>
        <v>CALL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IFERROR(VLOOKUP(D1_FEBRERO_2026[[#This Row],[ASESOR_CRR]],PLANTILLA_ACTUAL[],2,0),"")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tr">
        <f>IFERROR(VLOOKUP(D1_FEBRERO_2026[[#This Row],[ASESOR_CRR]],PLANTILLA_ACTUAL[],2,0),"")</f>
        <v>KENNETH</v>
      </c>
      <c r="F38" t="s">
        <v>50</v>
      </c>
      <c r="G38" s="3">
        <v>17055</v>
      </c>
      <c r="H38" t="str">
        <f>VLOOKUP(D1_FEBRERO_2026[[#This Row],[ASESOR_CRR]],DIM!$C:$E,2,0)</f>
        <v>72733809</v>
      </c>
      <c r="I38" s="57">
        <f>VLOOKUP(D1_FEBRERO_2026[[#This Row],[ASESOR_CRR]],DIM!$C:$E,3,0)</f>
        <v>45789</v>
      </c>
      <c r="J38" s="57" t="str">
        <f>VLOOKUP(D1_FEBRERO_2026[[#This Row],[ASESOR_CRR]],PLANTILLA_ACTUAL[],6,0)</f>
        <v>CALL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IFERROR(VLOOKUP(D1_FEBRERO_2026[[#This Row],[ASESOR_CRR]],PLANTILLA_ACTUAL[],2,0),"")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tr">
        <f>IFERROR(VLOOKUP(D1_FEBRERO_2026[[#This Row],[ASESOR_CRR]],PLANTILLA_ACTUAL[],2,0),"")</f>
        <v>SANDY</v>
      </c>
      <c r="F39" t="s">
        <v>33</v>
      </c>
      <c r="G39" s="3">
        <v>3308</v>
      </c>
      <c r="H39" t="str">
        <f>VLOOKUP(D1_FEBRERO_2026[[#This Row],[ASESOR_CRR]],DIM!$C:$E,2,0)</f>
        <v>80689573</v>
      </c>
      <c r="I39" s="57">
        <f>VLOOKUP(D1_FEBRERO_2026[[#This Row],[ASESOR_CRR]],DIM!$C:$E,3,0)</f>
        <v>44867</v>
      </c>
      <c r="J39" s="57" t="str">
        <f>VLOOKUP(D1_FEBRERO_2026[[#This Row],[ASESOR_CRR]],PLANTILLA_ACTUAL[],6,0)</f>
        <v>CALL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IFERROR(VLOOKUP(D1_FEBRERO_2026[[#This Row],[ASESOR_CRR]],PLANTILLA_ACTUAL[],2,0),"")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tr">
        <f>IFERROR(VLOOKUP(D1_FEBRERO_2026[[#This Row],[ASESOR_CRR]],PLANTILLA_ACTUAL[],2,0),"")</f>
        <v>SANDY</v>
      </c>
      <c r="F40" t="s">
        <v>23</v>
      </c>
      <c r="G40" s="3">
        <v>72145</v>
      </c>
      <c r="H40" t="str">
        <f>VLOOKUP(D1_FEBRERO_2026[[#This Row],[ASESOR_CRR]],DIM!$C:$E,2,0)</f>
        <v>72413556</v>
      </c>
      <c r="I40" s="57">
        <f>VLOOKUP(D1_FEBRERO_2026[[#This Row],[ASESOR_CRR]],DIM!$C:$E,3,0)</f>
        <v>44109</v>
      </c>
      <c r="J40" s="57" t="str">
        <f>VLOOKUP(D1_FEBRERO_2026[[#This Row],[ASESOR_CRR]],PLANTILLA_ACTUAL[],6,0)</f>
        <v>CALL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IFERROR(VLOOKUP(D1_FEBRERO_2026[[#This Row],[ASESOR_CRR]],PLANTILLA_ACTUAL[],2,0),"")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tr">
        <f>IFERROR(VLOOKUP(D1_FEBRERO_2026[[#This Row],[ASESOR_CRR]],PLANTILLA_ACTUAL[],2,0),"")</f>
        <v>SANDY</v>
      </c>
      <c r="F41" t="s">
        <v>31</v>
      </c>
      <c r="G41" s="3">
        <v>28636</v>
      </c>
      <c r="H41" t="str">
        <f>VLOOKUP(D1_FEBRERO_2026[[#This Row],[ASESOR_CRR]],DIM!$C:$E,2,0)</f>
        <v>75882265</v>
      </c>
      <c r="I41" s="57">
        <f>VLOOKUP(D1_FEBRERO_2026[[#This Row],[ASESOR_CRR]],DIM!$C:$E,3,0)</f>
        <v>45334</v>
      </c>
      <c r="J41" s="57" t="str">
        <f>VLOOKUP(D1_FEBRERO_2026[[#This Row],[ASESOR_CRR]],PLANTILLA_ACTUAL[],6,0)</f>
        <v>CALL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IFERROR(VLOOKUP(D1_FEBRERO_2026[[#This Row],[ASESOR_CRR]],PLANTILLA_ACTUAL[],2,0),"")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tr">
        <f>IFERROR(VLOOKUP(D1_FEBRERO_2026[[#This Row],[ASESOR_CRR]],PLANTILLA_ACTUAL[],2,0),"")</f>
        <v>JORGE</v>
      </c>
      <c r="F42" t="s">
        <v>29</v>
      </c>
      <c r="G42" s="3">
        <v>33779.9</v>
      </c>
      <c r="H42" t="str">
        <f>VLOOKUP(D1_FEBRERO_2026[[#This Row],[ASESOR_CRR]],DIM!$C:$E,2,0)</f>
        <v>72758956</v>
      </c>
      <c r="I42" s="57">
        <f>VLOOKUP(D1_FEBRERO_2026[[#This Row],[ASESOR_CRR]],DIM!$C:$E,3,0)</f>
        <v>44685</v>
      </c>
      <c r="J42" s="57" t="str">
        <f>VLOOKUP(D1_FEBRERO_2026[[#This Row],[ASESOR_CRR]],PLANTILLA_ACTUAL[],6,0)</f>
        <v>CALL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IFERROR(VLOOKUP(D1_FEBRERO_2026[[#This Row],[ASESOR_CRR]],PLANTILLA_ACTUAL[],2,0),"")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tr">
        <f>IFERROR(VLOOKUP(D1_FEBRERO_2026[[#This Row],[ASESOR_CRR]],PLANTILLA_ACTUAL[],2,0),"")</f>
        <v>JORGE</v>
      </c>
      <c r="F43" t="s">
        <v>25</v>
      </c>
      <c r="G43" s="3">
        <v>27301</v>
      </c>
      <c r="H43" t="str">
        <f>VLOOKUP(D1_FEBRERO_2026[[#This Row],[ASESOR_CRR]],DIM!$C:$E,2,0)</f>
        <v>72373931</v>
      </c>
      <c r="I43" s="57">
        <f>VLOOKUP(D1_FEBRERO_2026[[#This Row],[ASESOR_CRR]],DIM!$C:$E,3,0)</f>
        <v>44818</v>
      </c>
      <c r="J43" s="57" t="str">
        <f>VLOOKUP(D1_FEBRERO_2026[[#This Row],[ASESOR_CRR]],PLANTILLA_ACTUAL[],6,0)</f>
        <v>CALL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IFERROR(VLOOKUP(D1_FEBRERO_2026[[#This Row],[ASESOR_CRR]],PLANTILLA_ACTUAL[],2,0),"")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tr">
        <f>IFERROR(VLOOKUP(D1_FEBRERO_2026[[#This Row],[ASESOR_CRR]],PLANTILLA_ACTUAL[],2,0),"")</f>
        <v>SANDY</v>
      </c>
      <c r="F44" t="s">
        <v>17</v>
      </c>
      <c r="G44" s="3">
        <v>80554.5</v>
      </c>
      <c r="H44" t="str">
        <f>VLOOKUP(D1_FEBRERO_2026[[#This Row],[ASESOR_CRR]],DIM!$C:$E,2,0)</f>
        <v>70876605</v>
      </c>
      <c r="I44" s="57">
        <f>VLOOKUP(D1_FEBRERO_2026[[#This Row],[ASESOR_CRR]],DIM!$C:$E,3,0)</f>
        <v>44886</v>
      </c>
      <c r="J44" s="57" t="str">
        <f>VLOOKUP(D1_FEBRERO_2026[[#This Row],[ASESOR_CRR]],PLANTILLA_ACTUAL[],6,0)</f>
        <v>CALL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IFERROR(VLOOKUP(D1_FEBRERO_2026[[#This Row],[ASESOR_CRR]],PLANTILLA_ACTUAL[],2,0),"")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tr">
        <f>IFERROR(VLOOKUP(D1_FEBRERO_2026[[#This Row],[ASESOR_CRR]],PLANTILLA_ACTUAL[],2,0),"")</f>
        <v>SANDY</v>
      </c>
      <c r="F45" t="s">
        <v>208</v>
      </c>
      <c r="G45" s="3">
        <v>37262.639999999999</v>
      </c>
      <c r="H45" t="str">
        <f>VLOOKUP(D1_FEBRERO_2026[[#This Row],[ASESOR_CRR]],DIM!$C:$E,2,0)</f>
        <v>75069320</v>
      </c>
      <c r="I45" s="57">
        <f>VLOOKUP(D1_FEBRERO_2026[[#This Row],[ASESOR_CRR]],DIM!$C:$E,3,0)</f>
        <v>46029</v>
      </c>
      <c r="J45" s="57" t="str">
        <f>VLOOKUP(D1_FEBRERO_2026[[#This Row],[ASESOR_CRR]],PLANTILLA_ACTUAL[],6,0)</f>
        <v>CALL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IFERROR(VLOOKUP(D1_FEBRERO_2026[[#This Row],[ASESOR_CRR]],PLANTILLA_ACTUAL[],2,0),"")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tr">
        <f>IFERROR(VLOOKUP(D1_FEBRERO_2026[[#This Row],[ASESOR_CRR]],PLANTILLA_ACTUAL[],2,0),"")</f>
        <v>JORGE</v>
      </c>
      <c r="F46" t="s">
        <v>38</v>
      </c>
      <c r="G46" s="3">
        <v>35254</v>
      </c>
      <c r="H46" t="str">
        <f>VLOOKUP(D1_FEBRERO_2026[[#This Row],[ASESOR_CRR]],DIM!$C:$E,2,0)</f>
        <v>47411966</v>
      </c>
      <c r="I46" s="57">
        <f>VLOOKUP(D1_FEBRERO_2026[[#This Row],[ASESOR_CRR]],DIM!$C:$E,3,0)</f>
        <v>45800</v>
      </c>
      <c r="J46" s="57" t="str">
        <f>VLOOKUP(D1_FEBRERO_2026[[#This Row],[ASESOR_CRR]],PLANTILLA_ACTUAL[],6,0)</f>
        <v>CALL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tr">
        <f>IFERROR(VLOOKUP(D1_FEBRERO_2026[[#This Row],[ASESOR_CRR]],PLANTILLA_ACTUAL[],2,0),"")</f>
        <v>JOHAN</v>
      </c>
      <c r="F47" t="s">
        <v>75</v>
      </c>
      <c r="G47" s="3">
        <v>77912</v>
      </c>
      <c r="H47" t="str">
        <f>VLOOKUP(D1_FEBRERO_2026[[#This Row],[ASESOR_CRR]],DIM!$C:$E,2,0)</f>
        <v>71264767</v>
      </c>
      <c r="I47" s="57">
        <f>VLOOKUP(D1_FEBRERO_2026[[#This Row],[ASESOR_CRR]],DIM!$C:$E,3,0)</f>
        <v>44714</v>
      </c>
      <c r="J47" s="57" t="str">
        <f>VLOOKUP(D1_FEBRERO_2026[[#This Row],[ASESOR_CRR]],PLANTILLA_ACTUAL[],6,0)</f>
        <v>CALL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tr">
        <f>IFERROR(VLOOKUP(D1_FEBRERO_2026[[#This Row],[ASESOR_CRR]],PLANTILLA_ACTUAL[],2,0),"")</f>
        <v>JOHAN</v>
      </c>
      <c r="F48" t="s">
        <v>207</v>
      </c>
      <c r="G48" s="3">
        <v>12029</v>
      </c>
      <c r="H48" t="str">
        <f>VLOOKUP(D1_FEBRERO_2026[[#This Row],[ASESOR_CRR]],DIM!$C:$E,2,0)</f>
        <v>47497410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IFERROR(VLOOKUP(D1_FEBRERO_2026[[#This Row],[ASESOR_CRR]],PLANTILLA_ACTUAL[],2,0),"")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tr">
        <f>IFERROR(VLOOKUP(D1_FEBRERO_2026[[#This Row],[ASESOR_CRR]],PLANTILLA_ACTUAL[],2,0),"")</f>
        <v>GUSTAVO</v>
      </c>
      <c r="F49" t="s">
        <v>55</v>
      </c>
      <c r="G49" s="3">
        <v>17290</v>
      </c>
      <c r="H49" t="str">
        <f>VLOOKUP(D1_FEBRERO_2026[[#This Row],[ASESOR_CRR]],DIM!$C:$E,2,0)</f>
        <v>45119892</v>
      </c>
      <c r="I49" s="57">
        <f>VLOOKUP(D1_FEBRERO_2026[[#This Row],[ASESOR_CRR]],DIM!$C:$E,3,0)</f>
        <v>45813</v>
      </c>
      <c r="J49" s="57" t="str">
        <f>VLOOKUP(D1_FEBRERO_2026[[#This Row],[ASESOR_CRR]],PLANTILLA_ACTUAL[],6,0)</f>
        <v>CALL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IFERROR(VLOOKUP(D1_FEBRERO_2026[[#This Row],[ASESOR_CRR]],PLANTILLA_ACTUAL[],2,0),"")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tr">
        <f>IFERROR(VLOOKUP(D1_FEBRERO_2026[[#This Row],[ASESOR_CRR]],PLANTILLA_ACTUAL[],2,0),"")</f>
        <v>JORGE</v>
      </c>
      <c r="F50" t="s">
        <v>79</v>
      </c>
      <c r="G50" s="3">
        <v>100010</v>
      </c>
      <c r="H50" t="str">
        <f>VLOOKUP(D1_FEBRERO_2026[[#This Row],[ASESOR_CRR]],DIM!$C:$E,2,0)</f>
        <v>71262377</v>
      </c>
      <c r="I50" s="57">
        <f>VLOOKUP(D1_FEBRERO_2026[[#This Row],[ASESOR_CRR]],DIM!$C:$E,3,0)</f>
        <v>45145</v>
      </c>
      <c r="J50" s="57" t="str">
        <f>VLOOKUP(D1_FEBRERO_2026[[#This Row],[ASESOR_CRR]],PLANTILLA_ACTUAL[],6,0)</f>
        <v>CALL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IFERROR(VLOOKUP(D1_FEBRERO_2026[[#This Row],[ASESOR_CRR]],PLANTILLA_ACTUAL[],2,0),"")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tr">
        <f>IFERROR(VLOOKUP(D1_FEBRERO_2026[[#This Row],[ASESOR_CRR]],PLANTILLA_ACTUAL[],2,0),"")</f>
        <v>KENNETH</v>
      </c>
      <c r="F51" t="s">
        <v>97</v>
      </c>
      <c r="G51" s="3">
        <v>116728.59000000001</v>
      </c>
      <c r="H51" t="str">
        <f>VLOOKUP(D1_FEBRERO_2026[[#This Row],[ASESOR_CRR]],DIM!$C:$E,2,0)</f>
        <v>74602206</v>
      </c>
      <c r="I51" s="57">
        <f>VLOOKUP(D1_FEBRERO_2026[[#This Row],[ASESOR_CRR]],DIM!$C:$E,3,0)</f>
        <v>45884</v>
      </c>
      <c r="J51" s="57" t="str">
        <f>VLOOKUP(D1_FEBRERO_2026[[#This Row],[ASESOR_CRR]],PLANTILLA_ACTUAL[],6,0)</f>
        <v>CALL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IFERROR(VLOOKUP(D1_FEBRERO_2026[[#This Row],[ASESOR_CRR]],PLANTILLA_ACTUAL[],2,0),"")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tr">
        <f>IFERROR(VLOOKUP(D1_FEBRERO_2026[[#This Row],[ASESOR_CRR]],PLANTILLA_ACTUAL[],2,0),"")</f>
        <v>JOHAN</v>
      </c>
      <c r="F52" t="s">
        <v>59</v>
      </c>
      <c r="G52" s="3">
        <v>104083</v>
      </c>
      <c r="H52" t="str">
        <f>VLOOKUP(D1_FEBRERO_2026[[#This Row],[ASESOR_CRR]],DIM!$C:$E,2,0)</f>
        <v>60870839</v>
      </c>
      <c r="I52" s="57">
        <f>VLOOKUP(D1_FEBRERO_2026[[#This Row],[ASESOR_CRR]],DIM!$C:$E,3,0)</f>
        <v>45344</v>
      </c>
      <c r="J52" s="57" t="str">
        <f>VLOOKUP(D1_FEBRERO_2026[[#This Row],[ASESOR_CRR]],PLANTILLA_ACTUAL[],6,0)</f>
        <v>CALL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IFERROR(VLOOKUP(D1_FEBRERO_2026[[#This Row],[ASESOR_CRR]],PLANTILLA_ACTUAL[],2,0),"")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tr">
        <f>IFERROR(VLOOKUP(D1_FEBRERO_2026[[#This Row],[ASESOR_CRR]],PLANTILLA_ACTUAL[],2,0),"")</f>
        <v>GUSTAVO</v>
      </c>
      <c r="F53" t="s">
        <v>73</v>
      </c>
      <c r="G53" s="3">
        <v>28130</v>
      </c>
      <c r="H53" t="str">
        <f>VLOOKUP(D1_FEBRERO_2026[[#This Row],[ASESOR_CRR]],DIM!$C:$E,2,0)</f>
        <v>40318129</v>
      </c>
      <c r="I53" s="57">
        <f>VLOOKUP(D1_FEBRERO_2026[[#This Row],[ASESOR_CRR]],DIM!$C:$E,3,0)</f>
        <v>45141</v>
      </c>
      <c r="J53" s="57" t="str">
        <f>VLOOKUP(D1_FEBRERO_2026[[#This Row],[ASESOR_CRR]],PLANTILLA_ACTUAL[],6,0)</f>
        <v>CALL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IFERROR(VLOOKUP(D1_FEBRERO_2026[[#This Row],[ASESOR_CRR]],PLANTILLA_ACTUAL[],2,0),"")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tr">
        <f>IFERROR(VLOOKUP(D1_FEBRERO_2026[[#This Row],[ASESOR_CRR]],PLANTILLA_ACTUAL[],2,0),"")</f>
        <v>KENNETH</v>
      </c>
      <c r="F54" t="s">
        <v>34</v>
      </c>
      <c r="G54" s="3">
        <v>55388</v>
      </c>
      <c r="H54" t="str">
        <f>VLOOKUP(D1_FEBRERO_2026[[#This Row],[ASESOR_CRR]],DIM!$C:$E,2,0)</f>
        <v>76824571</v>
      </c>
      <c r="I54" s="57">
        <f>VLOOKUP(D1_FEBRERO_2026[[#This Row],[ASESOR_CRR]],DIM!$C:$E,3,0)</f>
        <v>45173</v>
      </c>
      <c r="J54" s="57" t="str">
        <f>VLOOKUP(D1_FEBRERO_2026[[#This Row],[ASESOR_CRR]],PLANTILLA_ACTUAL[],6,0)</f>
        <v>CALL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IFERROR(VLOOKUP(D1_FEBRERO_2026[[#This Row],[ASESOR_CRR]],PLANTILLA_ACTUAL[],2,0),"")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tr">
        <f>IFERROR(VLOOKUP(D1_FEBRERO_2026[[#This Row],[ASESOR_CRR]],PLANTILLA_ACTUAL[],2,0),"")</f>
        <v>KENNETH</v>
      </c>
      <c r="F55" t="s">
        <v>78</v>
      </c>
      <c r="G55" s="3">
        <v>86130</v>
      </c>
      <c r="H55" t="str">
        <f>VLOOKUP(D1_FEBRERO_2026[[#This Row],[ASESOR_CRR]],DIM!$C:$E,2,0)</f>
        <v>10706451</v>
      </c>
      <c r="I55" s="57">
        <f>VLOOKUP(D1_FEBRERO_2026[[#This Row],[ASESOR_CRR]],DIM!$C:$E,3,0)</f>
        <v>44943</v>
      </c>
      <c r="J55" s="57" t="str">
        <f>VLOOKUP(D1_FEBRERO_2026[[#This Row],[ASESOR_CRR]],PLANTILLA_ACTUAL[],6,0)</f>
        <v>CALL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IFERROR(VLOOKUP(D1_FEBRERO_2026[[#This Row],[ASESOR_CRR]],PLANTILLA_ACTUAL[],2,0),"")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tr">
        <f>IFERROR(VLOOKUP(D1_FEBRERO_2026[[#This Row],[ASESOR_CRR]],PLANTILLA_ACTUAL[],2,0),"")</f>
        <v>GUSTAVO</v>
      </c>
      <c r="F56" t="s">
        <v>48</v>
      </c>
      <c r="G56" s="3">
        <v>28105</v>
      </c>
      <c r="H56" t="str">
        <f>VLOOKUP(D1_FEBRERO_2026[[#This Row],[ASESOR_CRR]],DIM!$C:$E,2,0)</f>
        <v>43307898</v>
      </c>
      <c r="I56" s="57">
        <f>VLOOKUP(D1_FEBRERO_2026[[#This Row],[ASESOR_CRR]],DIM!$C:$E,3,0)</f>
        <v>44746</v>
      </c>
      <c r="J56" s="57" t="str">
        <f>VLOOKUP(D1_FEBRERO_2026[[#This Row],[ASESOR_CRR]],PLANTILLA_ACTUAL[],6,0)</f>
        <v>CALL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IFERROR(VLOOKUP(D1_FEBRERO_2026[[#This Row],[ASESOR_CRR]],PLANTILLA_ACTUAL[],2,0),"")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tr">
        <f>IFERROR(VLOOKUP(D1_FEBRERO_2026[[#This Row],[ASESOR_CRR]],PLANTILLA_ACTUAL[],2,0),"")</f>
        <v>JOHAN</v>
      </c>
      <c r="F57" t="s">
        <v>10</v>
      </c>
      <c r="G57" s="3">
        <v>48158</v>
      </c>
      <c r="H57" t="str">
        <f>VLOOKUP(D1_FEBRERO_2026[[#This Row],[ASESOR_CRR]],DIM!$C:$E,2,0)</f>
        <v>40980108</v>
      </c>
      <c r="I57" s="57">
        <f>VLOOKUP(D1_FEBRERO_2026[[#This Row],[ASESOR_CRR]],DIM!$C:$E,3,0)</f>
        <v>44704</v>
      </c>
      <c r="J57" s="57" t="str">
        <f>VLOOKUP(D1_FEBRERO_2026[[#This Row],[ASESOR_CRR]],PLANTILLA_ACTUAL[],6,0)</f>
        <v>CALL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88" t="str">
        <f>IFERROR(VLOOKUP(D1_FEBRERO_2026[[#This Row],[ASESOR_CRR]],PLANTILLA_ACTUAL[],2,0),"")</f>
        <v>JORGE</v>
      </c>
      <c r="B58" s="88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89">
        <f>IF(D1_FEBRERO_2026[[#This Row],[RECUPERO]]="","",VLOOKUP($M$3&amp;$N$3&amp;D1_FEBRERO_2026[[#This Row],[SUPER]],TablaMeta[],6,0))</f>
        <v>28000</v>
      </c>
      <c r="D58" s="90">
        <f>IF(D1_FEBRERO_2026[[#This Row],[RECUPERO]]="VACACIONES","VACACIONES",IFERROR(D1_FEBRERO_2026[[#This Row],[RECUPERO]]/D1_FEBRERO_2026[[#This Row],[META]],""))</f>
        <v>0.82267857142857148</v>
      </c>
      <c r="E58" s="36" t="str">
        <f>IFERROR(VLOOKUP(D1_FEBRERO_2026[[#This Row],[ASESOR_CRR]],PLANTILLA_ACTUAL[],2,0),"")</f>
        <v>JORGE</v>
      </c>
      <c r="F58" t="s">
        <v>76</v>
      </c>
      <c r="G58" s="3">
        <v>23035</v>
      </c>
      <c r="H58" s="87" t="str">
        <f>VLOOKUP(D1_FEBRERO_2026[[#This Row],[ASESOR_CRR]],DIM!$C:$E,2,0)</f>
        <v>60914051</v>
      </c>
      <c r="I58" s="57">
        <f>VLOOKUP(D1_FEBRERO_2026[[#This Row],[ASESOR_CRR]],DIM!$C:$E,3,0)</f>
        <v>44817</v>
      </c>
      <c r="J58" s="57" t="str">
        <f>VLOOKUP(D1_FEBRERO_2026[[#This Row],[ASESOR_CRR]],PLANTILLA_ACTUAL[],6,0)</f>
        <v>CALL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H59"/>
      <c r="M59" s="84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85" t="str">
        <f>IFERROR(VLOOKUP(DATA_FEBRERO_2026[[#This Row],[ASER_]],$B:$G,4,0),"")</f>
        <v>JORGE</v>
      </c>
      <c r="P59" s="86">
        <f>SUM(DATA_FEBRERO_2026[[#This Row],[1]:[31]])</f>
        <v>23035</v>
      </c>
      <c r="Q59" s="86">
        <f>VLOOKUP(DATA_FEBRERO_2026[[#This Row],[ASER_]],D1_FEBRERO_2026[[ASESOR_CRR]:[META]],2,0)</f>
        <v>28000</v>
      </c>
      <c r="R59" s="87" t="s">
        <v>76</v>
      </c>
      <c r="S59" s="87"/>
      <c r="T59" s="87">
        <v>4580</v>
      </c>
      <c r="U59" s="87">
        <v>4900</v>
      </c>
      <c r="V59" s="87"/>
      <c r="W59" s="87"/>
      <c r="X59" s="84"/>
      <c r="Y59" s="86"/>
      <c r="Z59" s="86"/>
      <c r="AA59" s="8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86"/>
      <c r="AM59" s="86"/>
      <c r="AN59" s="86"/>
      <c r="AO59" s="86"/>
      <c r="AP59" s="86">
        <v>2000</v>
      </c>
      <c r="AQ59" s="86"/>
      <c r="AR59" s="86"/>
      <c r="AS59" s="86"/>
      <c r="AT59" s="86">
        <v>1500</v>
      </c>
      <c r="AU59" s="86"/>
      <c r="AV59" s="6"/>
      <c r="AW59" s="6"/>
      <c r="AX59" t="str">
        <f>VLOOKUP($M$3&amp;$N$3&amp;DATA_FEBRERO_2026[[#This Row],[SUPERVISOR]],TablaMeta[],7,0)</f>
        <v>S0</v>
      </c>
    </row>
    <row r="60" spans="1:50" x14ac:dyDescent="0.25">
      <c r="H60"/>
      <c r="S60" s="48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spans="1:50" x14ac:dyDescent="0.25">
      <c r="H61"/>
      <c r="S61" s="48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spans="1:50" x14ac:dyDescent="0.25"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spans="1:50" x14ac:dyDescent="0.25"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spans="1:50" x14ac:dyDescent="0.25"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spans="6:51" x14ac:dyDescent="0.25">
      <c r="H65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spans="6:51" x14ac:dyDescent="0.25">
      <c r="F66" s="3"/>
      <c r="G66" s="1"/>
      <c r="H66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spans="6:51" x14ac:dyDescent="0.25">
      <c r="F67" s="3"/>
      <c r="G67" s="1"/>
      <c r="H67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spans="6:51" x14ac:dyDescent="0.25">
      <c r="F68" s="3"/>
      <c r="G68" s="1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spans="6:51" x14ac:dyDescent="0.25">
      <c r="F69" s="3"/>
      <c r="G69" s="1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spans="6:5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4"/>
    </row>
    <row r="71" spans="6:5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</row>
    <row r="72" spans="6:5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</row>
    <row r="73" spans="6:5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</row>
    <row r="74" spans="6:5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</row>
    <row r="75" spans="6:5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</row>
    <row r="76" spans="6:5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</row>
    <row r="77" spans="6:5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</row>
    <row r="78" spans="6:5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</row>
    <row r="79" spans="6:5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</row>
    <row r="80" spans="6:5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</row>
    <row r="81" spans="24:5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</row>
    <row r="82" spans="24:5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</row>
    <row r="83" spans="24:5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4"/>
    </row>
    <row r="84" spans="24:5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24:5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24:5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24:5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24:5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24:5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24:5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24:5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24:5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24:5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24:5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24:5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24:5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24:5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24:5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24:5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24:5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24:5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24:5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24:5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24:5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24:5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24:5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24:5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24:5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24:5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24:5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24:5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24:5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24:5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24:53" x14ac:dyDescent="0.25">
      <c r="AY114" s="6"/>
      <c r="AZ114" s="6"/>
      <c r="BA114" s="7"/>
    </row>
    <row r="115" spans="24:53" x14ac:dyDescent="0.25">
      <c r="AY115" s="6"/>
      <c r="AZ115" s="6"/>
      <c r="BA115" s="7"/>
    </row>
    <row r="116" spans="24:53" x14ac:dyDescent="0.25">
      <c r="AY116" s="6"/>
      <c r="AZ116" s="6"/>
      <c r="BA116" s="7"/>
    </row>
    <row r="117" spans="24:53" x14ac:dyDescent="0.25">
      <c r="AY117" s="6"/>
      <c r="AZ117" s="6"/>
      <c r="BA117" s="7"/>
    </row>
    <row r="118" spans="24:53" x14ac:dyDescent="0.25">
      <c r="AY118" s="6"/>
      <c r="AZ118" s="6"/>
      <c r="BA118" s="7"/>
    </row>
    <row r="119" spans="24:53" x14ac:dyDescent="0.25">
      <c r="AY119" s="6"/>
      <c r="AZ119" s="6"/>
      <c r="BA119" s="7"/>
    </row>
    <row r="120" spans="24:53" x14ac:dyDescent="0.25">
      <c r="AY120" s="6"/>
      <c r="AZ120" s="6"/>
      <c r="BA120" s="7"/>
    </row>
    <row r="121" spans="24:53" x14ac:dyDescent="0.25">
      <c r="AY121" s="6"/>
      <c r="AZ121" s="6"/>
      <c r="BA121" s="7"/>
    </row>
    <row r="122" spans="24:53" x14ac:dyDescent="0.25">
      <c r="AY122" s="6"/>
      <c r="AZ122" s="6"/>
      <c r="BA122" s="7"/>
    </row>
    <row r="123" spans="24:53" x14ac:dyDescent="0.25">
      <c r="AY123" s="6"/>
      <c r="AZ123" s="6"/>
      <c r="BA123" s="7"/>
    </row>
    <row r="124" spans="24:53" x14ac:dyDescent="0.25">
      <c r="AY124" s="6"/>
      <c r="AZ124" s="6"/>
      <c r="BA124" s="7"/>
    </row>
    <row r="125" spans="24:53" x14ac:dyDescent="0.25">
      <c r="AY125" s="6"/>
      <c r="AZ125" s="6"/>
      <c r="BA125" s="7"/>
    </row>
    <row r="126" spans="24:53" x14ac:dyDescent="0.25">
      <c r="AY126" s="6"/>
      <c r="AZ126" s="6"/>
      <c r="BA126" s="7"/>
    </row>
    <row r="127" spans="24:53" x14ac:dyDescent="0.25">
      <c r="AY127" s="6"/>
      <c r="AZ127" s="6"/>
      <c r="BA127" s="7"/>
    </row>
    <row r="128" spans="24:53" x14ac:dyDescent="0.25">
      <c r="AY128" s="6"/>
      <c r="AZ128" s="6"/>
      <c r="BA128" s="7"/>
    </row>
    <row r="129" spans="51:53" x14ac:dyDescent="0.25">
      <c r="AY129" s="6"/>
      <c r="AZ129" s="6"/>
      <c r="BA129" s="7"/>
    </row>
    <row r="130" spans="51:53" x14ac:dyDescent="0.25">
      <c r="AY130" s="6"/>
      <c r="AZ130" s="6"/>
      <c r="BA130" s="7"/>
    </row>
    <row r="131" spans="51:53" x14ac:dyDescent="0.25">
      <c r="AY131" s="6"/>
      <c r="AZ131" s="6"/>
      <c r="BA131" s="7"/>
    </row>
    <row r="132" spans="51:53" x14ac:dyDescent="0.25">
      <c r="AZ132" s="6"/>
      <c r="BA132" s="7"/>
    </row>
    <row r="133" spans="51:53" x14ac:dyDescent="0.25">
      <c r="AZ133" s="6"/>
      <c r="BA133" s="7"/>
    </row>
    <row r="134" spans="51:53" x14ac:dyDescent="0.25">
      <c r="AZ134" s="6"/>
      <c r="BA134" s="7"/>
    </row>
    <row r="135" spans="51:53" x14ac:dyDescent="0.25">
      <c r="AZ135" s="6"/>
      <c r="BA135" s="7"/>
    </row>
    <row r="136" spans="51:53" x14ac:dyDescent="0.25">
      <c r="AZ136" s="6"/>
      <c r="BA136" s="7"/>
    </row>
    <row r="137" spans="51:53" x14ac:dyDescent="0.25">
      <c r="AZ137" s="6"/>
      <c r="BA137" s="7"/>
    </row>
    <row r="138" spans="51:53" x14ac:dyDescent="0.25">
      <c r="AZ138" s="6"/>
      <c r="BA138" s="7"/>
    </row>
    <row r="139" spans="51:53" x14ac:dyDescent="0.25">
      <c r="AZ139" s="6"/>
      <c r="BA139" s="7"/>
    </row>
    <row r="140" spans="51:53" x14ac:dyDescent="0.25">
      <c r="AZ140" s="6"/>
      <c r="BA140" s="7"/>
    </row>
    <row r="141" spans="51:53" x14ac:dyDescent="0.25">
      <c r="AZ141" s="6"/>
      <c r="BA141" s="7"/>
    </row>
    <row r="142" spans="51:53" x14ac:dyDescent="0.25">
      <c r="AZ142" s="6"/>
      <c r="BA142" s="7"/>
    </row>
    <row r="143" spans="51:53" x14ac:dyDescent="0.25">
      <c r="AZ143" s="6"/>
      <c r="BA143" s="7"/>
    </row>
    <row r="144" spans="51:53" x14ac:dyDescent="0.25">
      <c r="AZ144" s="6"/>
      <c r="BA144" s="7"/>
    </row>
    <row r="145" spans="53:53" x14ac:dyDescent="0.25">
      <c r="BA145" s="7"/>
    </row>
    <row r="146" spans="53:53" x14ac:dyDescent="0.25">
      <c r="BA146" s="7"/>
    </row>
    <row r="147" spans="53:53" x14ac:dyDescent="0.25">
      <c r="BA147" s="7"/>
    </row>
    <row r="148" spans="53:53" x14ac:dyDescent="0.25">
      <c r="BA148" s="7"/>
    </row>
    <row r="149" spans="53:53" x14ac:dyDescent="0.25">
      <c r="BA149" s="7"/>
    </row>
    <row r="150" spans="53:53" x14ac:dyDescent="0.25">
      <c r="BA150" s="7"/>
    </row>
    <row r="151" spans="53:53" x14ac:dyDescent="0.25">
      <c r="BA151" s="7"/>
    </row>
    <row r="152" spans="53:53" x14ac:dyDescent="0.25">
      <c r="BA152" s="7"/>
    </row>
    <row r="153" spans="53:53" x14ac:dyDescent="0.25">
      <c r="BA153" s="7"/>
    </row>
    <row r="154" spans="53:53" x14ac:dyDescent="0.25">
      <c r="BA154" s="7"/>
    </row>
    <row r="155" spans="53:53" x14ac:dyDescent="0.25">
      <c r="BA155" s="7"/>
    </row>
    <row r="156" spans="53:53" x14ac:dyDescent="0.25">
      <c r="BA156" s="7"/>
    </row>
    <row r="157" spans="53:53" x14ac:dyDescent="0.25">
      <c r="BA157" s="7"/>
    </row>
    <row r="158" spans="53:53" x14ac:dyDescent="0.25">
      <c r="BA158" s="7"/>
    </row>
    <row r="159" spans="53:53" x14ac:dyDescent="0.25">
      <c r="BA159" s="7"/>
    </row>
    <row r="160" spans="53:53" x14ac:dyDescent="0.25">
      <c r="BA160" s="7"/>
    </row>
    <row r="161" spans="53:53" x14ac:dyDescent="0.25">
      <c r="BA161" s="7"/>
    </row>
    <row r="162" spans="53:53" x14ac:dyDescent="0.25">
      <c r="BA162" s="7"/>
    </row>
    <row r="163" spans="53:53" x14ac:dyDescent="0.25">
      <c r="BA163" s="7"/>
    </row>
    <row r="164" spans="53:53" x14ac:dyDescent="0.25">
      <c r="BA164" s="7"/>
    </row>
    <row r="165" spans="53:53" x14ac:dyDescent="0.25">
      <c r="BA165" s="7"/>
    </row>
    <row r="166" spans="53:53" x14ac:dyDescent="0.25">
      <c r="BA166" s="7"/>
    </row>
    <row r="167" spans="53:53" x14ac:dyDescent="0.25">
      <c r="BA167" s="7"/>
    </row>
    <row r="168" spans="53:53" x14ac:dyDescent="0.25">
      <c r="BA168" s="7"/>
    </row>
    <row r="169" spans="53:53" x14ac:dyDescent="0.25">
      <c r="BA169" s="7"/>
    </row>
    <row r="170" spans="53:53" x14ac:dyDescent="0.25">
      <c r="BA170" s="7"/>
    </row>
    <row r="171" spans="53:53" x14ac:dyDescent="0.25">
      <c r="BA171" s="7"/>
    </row>
    <row r="172" spans="53:53" x14ac:dyDescent="0.25">
      <c r="BA172" s="7"/>
    </row>
    <row r="173" spans="53:53" x14ac:dyDescent="0.25">
      <c r="BA173" s="7"/>
    </row>
    <row r="174" spans="53:53" x14ac:dyDescent="0.25">
      <c r="BA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2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workbookViewId="0">
      <selection activeCell="D12" sqref="D12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332</v>
      </c>
      <c r="B2" t="s">
        <v>389</v>
      </c>
      <c r="C2" s="57">
        <v>38097</v>
      </c>
      <c r="D2" t="s">
        <v>333</v>
      </c>
      <c r="E2" t="s">
        <v>353</v>
      </c>
      <c r="F2" t="str">
        <f>UPPER(TEXT(pbi_ListaEmpleadosExpertis[[#This Row],[FEC_NAC]],"mmmm"))</f>
        <v>ABRIL</v>
      </c>
      <c r="G2">
        <f>DAY(pbi_ListaEmpleadosExpertis[[#This Row],[FEC_NAC]])</f>
        <v>20</v>
      </c>
    </row>
    <row r="3" spans="1:7" x14ac:dyDescent="0.25">
      <c r="A3" t="s">
        <v>292</v>
      </c>
      <c r="B3" t="s">
        <v>373</v>
      </c>
      <c r="C3" s="57">
        <v>37354</v>
      </c>
      <c r="D3" t="s">
        <v>293</v>
      </c>
      <c r="E3" t="s">
        <v>353</v>
      </c>
      <c r="F3" t="str">
        <f>UPPER(TEXT(pbi_ListaEmpleadosExpertis[[#This Row],[FEC_NAC]],"mmmm"))</f>
        <v>ABRIL</v>
      </c>
      <c r="G3">
        <f>DAY(pbi_ListaEmpleadosExpertis[[#This Row],[FEC_NAC]])</f>
        <v>8</v>
      </c>
    </row>
    <row r="4" spans="1:7" x14ac:dyDescent="0.25">
      <c r="A4" t="s">
        <v>25</v>
      </c>
      <c r="B4" t="s">
        <v>359</v>
      </c>
      <c r="C4" s="57">
        <v>36267</v>
      </c>
      <c r="D4" t="s">
        <v>259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17</v>
      </c>
    </row>
    <row r="5" spans="1:7" x14ac:dyDescent="0.25">
      <c r="A5" t="s">
        <v>220</v>
      </c>
      <c r="B5" t="s">
        <v>133</v>
      </c>
      <c r="C5" s="57">
        <v>35909</v>
      </c>
      <c r="D5" t="s">
        <v>221</v>
      </c>
      <c r="E5" t="s">
        <v>353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19</v>
      </c>
      <c r="B6" t="s">
        <v>359</v>
      </c>
      <c r="C6" s="57">
        <v>35905</v>
      </c>
      <c r="D6" t="s">
        <v>248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20</v>
      </c>
    </row>
    <row r="7" spans="1:7" x14ac:dyDescent="0.25">
      <c r="A7" t="s">
        <v>572</v>
      </c>
      <c r="B7" t="s">
        <v>583</v>
      </c>
      <c r="C7" s="57">
        <v>34446</v>
      </c>
      <c r="D7" t="s">
        <v>584</v>
      </c>
      <c r="E7" t="s">
        <v>353</v>
      </c>
      <c r="F7" t="str">
        <f>UPPER(TEXT(pbi_ListaEmpleadosExpertis[[#This Row],[FEC_NAC]],"mmmm"))</f>
        <v>ABRIL</v>
      </c>
      <c r="G7">
        <f>DAY(pbi_ListaEmpleadosExpertis[[#This Row],[FEC_NAC]])</f>
        <v>22</v>
      </c>
    </row>
    <row r="8" spans="1:7" x14ac:dyDescent="0.25">
      <c r="A8" t="s">
        <v>29</v>
      </c>
      <c r="B8" t="s">
        <v>359</v>
      </c>
      <c r="C8" s="57">
        <v>34083</v>
      </c>
      <c r="D8" t="s">
        <v>251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24</v>
      </c>
    </row>
    <row r="9" spans="1:7" x14ac:dyDescent="0.25">
      <c r="A9" t="s">
        <v>72</v>
      </c>
      <c r="B9" t="s">
        <v>359</v>
      </c>
      <c r="C9" s="57">
        <v>34072</v>
      </c>
      <c r="D9" t="s">
        <v>271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13</v>
      </c>
    </row>
    <row r="10" spans="1:7" x14ac:dyDescent="0.25">
      <c r="A10" t="s">
        <v>301</v>
      </c>
      <c r="B10" t="s">
        <v>376</v>
      </c>
      <c r="C10" s="57">
        <v>32983</v>
      </c>
      <c r="D10" t="s">
        <v>302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20</v>
      </c>
    </row>
    <row r="11" spans="1:7" x14ac:dyDescent="0.25">
      <c r="A11" t="s">
        <v>11</v>
      </c>
      <c r="B11" t="s">
        <v>359</v>
      </c>
      <c r="C11" s="57">
        <v>32262</v>
      </c>
      <c r="D11" t="s">
        <v>287</v>
      </c>
      <c r="E11" t="s">
        <v>0</v>
      </c>
      <c r="F11" t="str">
        <f>UPPER(TEXT(pbi_ListaEmpleadosExpertis[[#This Row],[FEC_NAC]],"mmmm"))</f>
        <v>ABRIL</v>
      </c>
      <c r="G11">
        <f>DAY(pbi_ListaEmpleadosExpertis[[#This Row],[FEC_NAC]])</f>
        <v>29</v>
      </c>
    </row>
    <row r="12" spans="1:7" x14ac:dyDescent="0.25">
      <c r="A12" t="s">
        <v>231</v>
      </c>
      <c r="B12" t="s">
        <v>366</v>
      </c>
      <c r="C12" s="57">
        <v>32245</v>
      </c>
      <c r="D12" t="s">
        <v>232</v>
      </c>
      <c r="E12" t="s">
        <v>353</v>
      </c>
      <c r="F12" t="str">
        <f>UPPER(TEXT(pbi_ListaEmpleadosExpertis[[#This Row],[FEC_NAC]],"mmmm"))</f>
        <v>ABRIL</v>
      </c>
      <c r="G12">
        <f>DAY(pbi_ListaEmpleadosExpertis[[#This Row],[FEC_NAC]])</f>
        <v>12</v>
      </c>
    </row>
    <row r="13" spans="1:7" x14ac:dyDescent="0.25">
      <c r="A13" t="s">
        <v>48</v>
      </c>
      <c r="B13" t="s">
        <v>359</v>
      </c>
      <c r="C13" s="57">
        <v>31158</v>
      </c>
      <c r="D13" t="s">
        <v>256</v>
      </c>
      <c r="E13" t="s">
        <v>0</v>
      </c>
      <c r="F13" t="str">
        <f>UPPER(TEXT(pbi_ListaEmpleadosExpertis[[#This Row],[FEC_NAC]],"mmmm"))</f>
        <v>ABRIL</v>
      </c>
      <c r="G13">
        <f>DAY(pbi_ListaEmpleadosExpertis[[#This Row],[FEC_NAC]])</f>
        <v>21</v>
      </c>
    </row>
    <row r="14" spans="1:7" x14ac:dyDescent="0.25">
      <c r="A14" t="s">
        <v>235</v>
      </c>
      <c r="B14" t="s">
        <v>360</v>
      </c>
      <c r="C14" s="57">
        <v>34917</v>
      </c>
      <c r="D14" t="s">
        <v>236</v>
      </c>
      <c r="E14" t="s">
        <v>353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305</v>
      </c>
      <c r="B15" t="s">
        <v>378</v>
      </c>
      <c r="C15" s="57">
        <v>34575</v>
      </c>
      <c r="D15" t="s">
        <v>306</v>
      </c>
      <c r="E15" t="s">
        <v>353</v>
      </c>
      <c r="F15" t="str">
        <f>UPPER(TEXT(pbi_ListaEmpleadosExpertis[[#This Row],[FEC_NAC]],"mmmm"))</f>
        <v>AGOSTO</v>
      </c>
      <c r="G15">
        <f>DAY(pbi_ListaEmpleadosExpertis[[#This Row],[FEC_NAC]])</f>
        <v>29</v>
      </c>
    </row>
    <row r="16" spans="1:7" x14ac:dyDescent="0.25">
      <c r="A16" t="s">
        <v>75</v>
      </c>
      <c r="B16" t="s">
        <v>359</v>
      </c>
      <c r="C16" s="57">
        <v>34563</v>
      </c>
      <c r="D16" t="s">
        <v>253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17</v>
      </c>
    </row>
    <row r="17" spans="1:7" x14ac:dyDescent="0.25">
      <c r="A17" t="s">
        <v>38</v>
      </c>
      <c r="B17" t="s">
        <v>359</v>
      </c>
      <c r="C17" s="57">
        <v>33472</v>
      </c>
      <c r="D17" t="s">
        <v>319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22</v>
      </c>
    </row>
    <row r="18" spans="1:7" x14ac:dyDescent="0.25">
      <c r="A18" t="s">
        <v>215</v>
      </c>
      <c r="B18" t="s">
        <v>133</v>
      </c>
      <c r="C18" s="57">
        <v>32748</v>
      </c>
      <c r="D18" t="s">
        <v>216</v>
      </c>
      <c r="E18" t="s">
        <v>353</v>
      </c>
      <c r="F18" t="str">
        <f>UPPER(TEXT(pbi_ListaEmpleadosExpertis[[#This Row],[FEC_NAC]],"mmmm"))</f>
        <v>AGOSTO</v>
      </c>
      <c r="G18">
        <f>DAY(pbi_ListaEmpleadosExpertis[[#This Row],[FEC_NAC]])</f>
        <v>28</v>
      </c>
    </row>
    <row r="19" spans="1:7" x14ac:dyDescent="0.25">
      <c r="A19" t="s">
        <v>41</v>
      </c>
      <c r="B19" t="s">
        <v>359</v>
      </c>
      <c r="C19" s="57">
        <v>32742</v>
      </c>
      <c r="D19" t="s">
        <v>246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22</v>
      </c>
    </row>
    <row r="20" spans="1:7" x14ac:dyDescent="0.25">
      <c r="A20" t="s">
        <v>307</v>
      </c>
      <c r="B20" t="s">
        <v>379</v>
      </c>
      <c r="C20" s="57">
        <v>32019</v>
      </c>
      <c r="D20" t="s">
        <v>308</v>
      </c>
      <c r="E20" t="s">
        <v>353</v>
      </c>
      <c r="F20" t="str">
        <f>UPPER(TEXT(pbi_ListaEmpleadosExpertis[[#This Row],[FEC_NAC]],"mmmm"))</f>
        <v>AGOSTO</v>
      </c>
      <c r="G20">
        <f>DAY(pbi_ListaEmpleadosExpertis[[#This Row],[FEC_NAC]])</f>
        <v>30</v>
      </c>
    </row>
    <row r="21" spans="1:7" x14ac:dyDescent="0.25">
      <c r="A21" t="s">
        <v>61</v>
      </c>
      <c r="B21" t="s">
        <v>359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77</v>
      </c>
      <c r="B22" t="s">
        <v>359</v>
      </c>
      <c r="C22" s="57">
        <v>30549</v>
      </c>
      <c r="D22" t="s">
        <v>262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21</v>
      </c>
    </row>
    <row r="23" spans="1:7" x14ac:dyDescent="0.25">
      <c r="A23" t="s">
        <v>26</v>
      </c>
      <c r="B23" t="s">
        <v>359</v>
      </c>
      <c r="C23" s="57">
        <v>29802</v>
      </c>
      <c r="D23" t="s">
        <v>222</v>
      </c>
      <c r="E23" t="s">
        <v>0</v>
      </c>
      <c r="F23" t="str">
        <f>UPPER(TEXT(pbi_ListaEmpleadosExpertis[[#This Row],[FEC_NAC]],"mmmm"))</f>
        <v>AGOSTO</v>
      </c>
      <c r="G23">
        <f>DAY(pbi_ListaEmpleadosExpertis[[#This Row],[FEC_NAC]])</f>
        <v>4</v>
      </c>
    </row>
    <row r="24" spans="1:7" x14ac:dyDescent="0.25">
      <c r="A24" t="s">
        <v>49</v>
      </c>
      <c r="B24" t="s">
        <v>359</v>
      </c>
      <c r="C24" s="57">
        <v>29446</v>
      </c>
      <c r="D24" t="s">
        <v>218</v>
      </c>
      <c r="E24" t="s">
        <v>0</v>
      </c>
      <c r="F24" t="str">
        <f>UPPER(TEXT(pbi_ListaEmpleadosExpertis[[#This Row],[FEC_NAC]],"mmmm"))</f>
        <v>AGOSTO</v>
      </c>
      <c r="G24">
        <f>DAY(pbi_ListaEmpleadosExpertis[[#This Row],[FEC_NAC]])</f>
        <v>13</v>
      </c>
    </row>
    <row r="25" spans="1:7" x14ac:dyDescent="0.25">
      <c r="A25" t="s">
        <v>73</v>
      </c>
      <c r="B25" t="s">
        <v>359</v>
      </c>
      <c r="C25" s="57">
        <v>29084</v>
      </c>
      <c r="D25" t="s">
        <v>273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17</v>
      </c>
    </row>
    <row r="26" spans="1:7" x14ac:dyDescent="0.25">
      <c r="A26" t="s">
        <v>60</v>
      </c>
      <c r="B26" t="s">
        <v>359</v>
      </c>
      <c r="C26" s="57">
        <v>36877</v>
      </c>
      <c r="D26" t="s">
        <v>281</v>
      </c>
      <c r="E26" t="s">
        <v>0</v>
      </c>
      <c r="F26" t="str">
        <f>UPPER(TEXT(pbi_ListaEmpleadosExpertis[[#This Row],[FEC_NAC]],"mmmm"))</f>
        <v>DICIEMBRE</v>
      </c>
      <c r="G26">
        <f>DAY(pbi_ListaEmpleadosExpertis[[#This Row],[FEC_NAC]])</f>
        <v>17</v>
      </c>
    </row>
    <row r="27" spans="1:7" x14ac:dyDescent="0.25">
      <c r="A27" t="s">
        <v>334</v>
      </c>
      <c r="B27" t="s">
        <v>390</v>
      </c>
      <c r="C27" s="57">
        <v>34677</v>
      </c>
      <c r="D27" t="s">
        <v>335</v>
      </c>
      <c r="E27" t="s">
        <v>353</v>
      </c>
      <c r="F27" t="str">
        <f>UPPER(TEXT(pbi_ListaEmpleadosExpertis[[#This Row],[FEC_NAC]],"mmmm"))</f>
        <v>DICIEMBRE</v>
      </c>
      <c r="G27">
        <f>DAY(pbi_ListaEmpleadosExpertis[[#This Row],[FEC_NAC]])</f>
        <v>9</v>
      </c>
    </row>
    <row r="28" spans="1:7" x14ac:dyDescent="0.25">
      <c r="A28" t="s">
        <v>213</v>
      </c>
      <c r="B28" t="s">
        <v>133</v>
      </c>
      <c r="C28" s="57">
        <v>34332</v>
      </c>
      <c r="D28" t="s">
        <v>214</v>
      </c>
      <c r="E28" t="s">
        <v>353</v>
      </c>
      <c r="F28" t="str">
        <f>UPPER(TEXT(pbi_ListaEmpleadosExpertis[[#This Row],[FEC_NAC]],"mmmm"))</f>
        <v>DICIEMBRE</v>
      </c>
      <c r="G28">
        <f>DAY(pbi_ListaEmpleadosExpertis[[#This Row],[FEC_NAC]])</f>
        <v>29</v>
      </c>
    </row>
    <row r="29" spans="1:7" x14ac:dyDescent="0.25">
      <c r="A29" t="s">
        <v>330</v>
      </c>
      <c r="B29" t="s">
        <v>388</v>
      </c>
      <c r="C29" s="57">
        <v>34317</v>
      </c>
      <c r="D29" t="s">
        <v>331</v>
      </c>
      <c r="E29" t="s">
        <v>353</v>
      </c>
      <c r="F29" t="str">
        <f>UPPER(TEXT(pbi_ListaEmpleadosExpertis[[#This Row],[FEC_NAC]],"mmmm"))</f>
        <v>DICIEMBRE</v>
      </c>
      <c r="G29">
        <f>DAY(pbi_ListaEmpleadosExpertis[[#This Row],[FEC_NAC]])</f>
        <v>14</v>
      </c>
    </row>
    <row r="30" spans="1:7" x14ac:dyDescent="0.25">
      <c r="A30" t="s">
        <v>328</v>
      </c>
      <c r="B30" t="s">
        <v>387</v>
      </c>
      <c r="C30" s="57">
        <v>34307</v>
      </c>
      <c r="D30" t="s">
        <v>329</v>
      </c>
      <c r="E30" t="s">
        <v>353</v>
      </c>
      <c r="F30" t="str">
        <f>UPPER(TEXT(pbi_ListaEmpleadosExpertis[[#This Row],[FEC_NAC]],"mmmm"))</f>
        <v>DICIEMBRE</v>
      </c>
      <c r="G30">
        <f>DAY(pbi_ListaEmpleadosExpertis[[#This Row],[FEC_NAC]])</f>
        <v>4</v>
      </c>
    </row>
    <row r="31" spans="1:7" x14ac:dyDescent="0.25">
      <c r="A31" t="s">
        <v>65</v>
      </c>
      <c r="B31" t="s">
        <v>359</v>
      </c>
      <c r="C31" s="57">
        <v>33579</v>
      </c>
      <c r="D31" t="s">
        <v>269</v>
      </c>
      <c r="E31" t="s">
        <v>0</v>
      </c>
      <c r="F31" t="str">
        <f>UPPER(TEXT(pbi_ListaEmpleadosExpertis[[#This Row],[FEC_NAC]],"mmmm"))</f>
        <v>DICIEMBRE</v>
      </c>
      <c r="G31">
        <f>DAY(pbi_ListaEmpleadosExpertis[[#This Row],[FEC_NAC]])</f>
        <v>7</v>
      </c>
    </row>
    <row r="32" spans="1:7" x14ac:dyDescent="0.25">
      <c r="A32" t="s">
        <v>96</v>
      </c>
      <c r="B32" t="s">
        <v>359</v>
      </c>
      <c r="C32" s="57">
        <v>33230</v>
      </c>
      <c r="D32" t="s">
        <v>309</v>
      </c>
      <c r="E32" t="s">
        <v>0</v>
      </c>
      <c r="F32" t="str">
        <f>UPPER(TEXT(pbi_ListaEmpleadosExpertis[[#This Row],[FEC_NAC]],"mmmm"))</f>
        <v>DICIEMBRE</v>
      </c>
      <c r="G32">
        <f>DAY(pbi_ListaEmpleadosExpertis[[#This Row],[FEC_NAC]])</f>
        <v>23</v>
      </c>
    </row>
    <row r="33" spans="1:7" x14ac:dyDescent="0.25">
      <c r="A33" t="s">
        <v>229</v>
      </c>
      <c r="B33" t="s">
        <v>365</v>
      </c>
      <c r="C33" s="57">
        <v>32507</v>
      </c>
      <c r="D33" t="s">
        <v>230</v>
      </c>
      <c r="E33" t="s">
        <v>353</v>
      </c>
      <c r="F33" t="str">
        <f>UPPER(TEXT(pbi_ListaEmpleadosExpertis[[#This Row],[FEC_NAC]],"mmmm"))</f>
        <v>DICIEMBRE</v>
      </c>
      <c r="G33">
        <f>DAY(pbi_ListaEmpleadosExpertis[[#This Row],[FEC_NAC]])</f>
        <v>30</v>
      </c>
    </row>
    <row r="34" spans="1:7" x14ac:dyDescent="0.25">
      <c r="A34" t="s">
        <v>565</v>
      </c>
      <c r="B34" t="s">
        <v>359</v>
      </c>
      <c r="C34" s="57">
        <v>38372</v>
      </c>
      <c r="D34" t="s">
        <v>566</v>
      </c>
      <c r="E34" t="s">
        <v>0</v>
      </c>
      <c r="F34" t="str">
        <f>UPPER(TEXT(pbi_ListaEmpleadosExpertis[[#This Row],[FEC_NAC]],"mmmm"))</f>
        <v>ENERO</v>
      </c>
      <c r="G34">
        <f>DAY(pbi_ListaEmpleadosExpertis[[#This Row],[FEC_NAC]])</f>
        <v>20</v>
      </c>
    </row>
    <row r="35" spans="1:7" x14ac:dyDescent="0.25">
      <c r="A35" t="s">
        <v>59</v>
      </c>
      <c r="B35" t="s">
        <v>359</v>
      </c>
      <c r="C35" s="57">
        <v>38004</v>
      </c>
      <c r="D35" t="s">
        <v>285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18</v>
      </c>
    </row>
    <row r="36" spans="1:7" x14ac:dyDescent="0.25">
      <c r="A36" t="s">
        <v>342</v>
      </c>
      <c r="B36" t="s">
        <v>393</v>
      </c>
      <c r="C36" s="57">
        <v>35081</v>
      </c>
      <c r="D36" t="s">
        <v>343</v>
      </c>
      <c r="E36" t="s">
        <v>353</v>
      </c>
      <c r="F36" t="str">
        <f>UPPER(TEXT(pbi_ListaEmpleadosExpertis[[#This Row],[FEC_NAC]],"mmmm"))</f>
        <v>ENERO</v>
      </c>
      <c r="G36">
        <f>DAY(pbi_ListaEmpleadosExpertis[[#This Row],[FEC_NAC]])</f>
        <v>17</v>
      </c>
    </row>
    <row r="37" spans="1:7" x14ac:dyDescent="0.25">
      <c r="A37" t="s">
        <v>81</v>
      </c>
      <c r="B37" t="s">
        <v>359</v>
      </c>
      <c r="C37" s="57">
        <v>34710</v>
      </c>
      <c r="D37" t="s">
        <v>294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11</v>
      </c>
    </row>
    <row r="38" spans="1:7" x14ac:dyDescent="0.25">
      <c r="A38" t="s">
        <v>15</v>
      </c>
      <c r="B38" t="s">
        <v>359</v>
      </c>
      <c r="C38" s="57">
        <v>33997</v>
      </c>
      <c r="D38" t="s">
        <v>254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28</v>
      </c>
    </row>
    <row r="39" spans="1:7" x14ac:dyDescent="0.25">
      <c r="A39" t="s">
        <v>207</v>
      </c>
      <c r="B39" t="s">
        <v>359</v>
      </c>
      <c r="C39" s="57">
        <v>33627</v>
      </c>
      <c r="D39" t="s">
        <v>349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24</v>
      </c>
    </row>
    <row r="40" spans="1:7" x14ac:dyDescent="0.25">
      <c r="A40" t="s">
        <v>260</v>
      </c>
      <c r="B40" t="s">
        <v>368</v>
      </c>
      <c r="C40" s="57">
        <v>33261</v>
      </c>
      <c r="D40" t="s">
        <v>261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23</v>
      </c>
    </row>
    <row r="41" spans="1:7" x14ac:dyDescent="0.25">
      <c r="A41" t="s">
        <v>237</v>
      </c>
      <c r="B41" t="s">
        <v>361</v>
      </c>
      <c r="C41" s="57">
        <v>32523</v>
      </c>
      <c r="D41" t="s">
        <v>238</v>
      </c>
      <c r="E41" t="s">
        <v>353</v>
      </c>
      <c r="F41" t="str">
        <f>UPPER(TEXT(pbi_ListaEmpleadosExpertis[[#This Row],[FEC_NAC]],"mmmm"))</f>
        <v>ENERO</v>
      </c>
      <c r="G41">
        <f>DAY(pbi_ListaEmpleadosExpertis[[#This Row],[FEC_NAC]])</f>
        <v>15</v>
      </c>
    </row>
    <row r="42" spans="1:7" x14ac:dyDescent="0.25">
      <c r="A42" t="s">
        <v>396</v>
      </c>
      <c r="B42" t="s">
        <v>359</v>
      </c>
      <c r="C42" s="57">
        <v>32157</v>
      </c>
      <c r="D42" t="s">
        <v>512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517</v>
      </c>
      <c r="B43" t="s">
        <v>359</v>
      </c>
      <c r="C43" s="57">
        <v>26670</v>
      </c>
      <c r="D43" t="s">
        <v>518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18</v>
      </c>
      <c r="B44" t="s">
        <v>359</v>
      </c>
      <c r="C44" s="57">
        <v>35472</v>
      </c>
      <c r="D44" t="s">
        <v>272</v>
      </c>
      <c r="E44" t="s">
        <v>0</v>
      </c>
      <c r="F44" t="str">
        <f>UPPER(TEXT(pbi_ListaEmpleadosExpertis[[#This Row],[FEC_NAC]],"mmmm"))</f>
        <v>FEBRERO</v>
      </c>
      <c r="G44">
        <f>DAY(pbi_ListaEmpleadosExpertis[[#This Row],[FEC_NAC]])</f>
        <v>11</v>
      </c>
    </row>
    <row r="45" spans="1:7" x14ac:dyDescent="0.25">
      <c r="A45" t="s">
        <v>68</v>
      </c>
      <c r="B45" t="s">
        <v>359</v>
      </c>
      <c r="C45" s="57">
        <v>35108</v>
      </c>
      <c r="D45" t="s">
        <v>286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13</v>
      </c>
    </row>
    <row r="46" spans="1:7" x14ac:dyDescent="0.25">
      <c r="A46" t="s">
        <v>225</v>
      </c>
      <c r="B46" t="s">
        <v>133</v>
      </c>
      <c r="C46" s="57">
        <v>34369</v>
      </c>
      <c r="D46" t="s">
        <v>226</v>
      </c>
      <c r="E46" t="s">
        <v>353</v>
      </c>
      <c r="F46" t="str">
        <f>UPPER(TEXT(pbi_ListaEmpleadosExpertis[[#This Row],[FEC_NAC]],"mmmm"))</f>
        <v>FEBRERO</v>
      </c>
      <c r="G46">
        <f>DAY(pbi_ListaEmpleadosExpertis[[#This Row],[FEC_NAC]])</f>
        <v>4</v>
      </c>
    </row>
    <row r="47" spans="1:7" x14ac:dyDescent="0.25">
      <c r="A47" t="s">
        <v>338</v>
      </c>
      <c r="B47" t="s">
        <v>391</v>
      </c>
      <c r="C47" s="57">
        <v>37080</v>
      </c>
      <c r="D47" t="s">
        <v>339</v>
      </c>
      <c r="E47" t="s">
        <v>353</v>
      </c>
      <c r="F47" t="str">
        <f>UPPER(TEXT(pbi_ListaEmpleadosExpertis[[#This Row],[FEC_NAC]],"mmmm"))</f>
        <v>JULIO</v>
      </c>
      <c r="G47">
        <f>DAY(pbi_ListaEmpleadosExpertis[[#This Row],[FEC_NAC]])</f>
        <v>8</v>
      </c>
    </row>
    <row r="48" spans="1:7" x14ac:dyDescent="0.25">
      <c r="A48" t="s">
        <v>51</v>
      </c>
      <c r="B48" t="s">
        <v>359</v>
      </c>
      <c r="C48" s="57">
        <v>35642</v>
      </c>
      <c r="D48" t="s">
        <v>310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31</v>
      </c>
    </row>
    <row r="49" spans="1:7" x14ac:dyDescent="0.25">
      <c r="A49" t="s">
        <v>34</v>
      </c>
      <c r="B49" t="s">
        <v>359</v>
      </c>
      <c r="C49" s="57">
        <v>35634</v>
      </c>
      <c r="D49" t="s">
        <v>274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23</v>
      </c>
    </row>
    <row r="50" spans="1:7" x14ac:dyDescent="0.25">
      <c r="A50" t="s">
        <v>79</v>
      </c>
      <c r="B50" t="s">
        <v>359</v>
      </c>
      <c r="C50" s="57">
        <v>35268</v>
      </c>
      <c r="D50" t="s">
        <v>245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22</v>
      </c>
    </row>
    <row r="51" spans="1:7" x14ac:dyDescent="0.25">
      <c r="A51" t="s">
        <v>122</v>
      </c>
      <c r="B51" t="s">
        <v>359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359</v>
      </c>
      <c r="C52" s="57">
        <v>34529</v>
      </c>
      <c r="D52" t="s">
        <v>296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227</v>
      </c>
      <c r="B53" t="s">
        <v>133</v>
      </c>
      <c r="C53" s="57">
        <v>34159</v>
      </c>
      <c r="D53" t="s">
        <v>228</v>
      </c>
      <c r="E53" t="s">
        <v>353</v>
      </c>
      <c r="F53" t="str">
        <f>UPPER(TEXT(pbi_ListaEmpleadosExpertis[[#This Row],[FEC_NAC]],"mmmm"))</f>
        <v>JULIO</v>
      </c>
      <c r="G53">
        <f>DAY(pbi_ListaEmpleadosExpertis[[#This Row],[FEC_NAC]])</f>
        <v>9</v>
      </c>
    </row>
    <row r="54" spans="1:7" x14ac:dyDescent="0.25">
      <c r="A54" t="s">
        <v>174</v>
      </c>
      <c r="B54" t="s">
        <v>359</v>
      </c>
      <c r="C54" s="57">
        <v>32697</v>
      </c>
      <c r="D54" t="s">
        <v>344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8</v>
      </c>
    </row>
    <row r="55" spans="1:7" x14ac:dyDescent="0.25">
      <c r="A55" t="s">
        <v>12</v>
      </c>
      <c r="B55" t="s">
        <v>359</v>
      </c>
      <c r="C55" s="57">
        <v>32342</v>
      </c>
      <c r="D55" t="s">
        <v>265</v>
      </c>
      <c r="E55" t="s">
        <v>0</v>
      </c>
      <c r="F55" t="str">
        <f>UPPER(TEXT(pbi_ListaEmpleadosExpertis[[#This Row],[FEC_NAC]],"mmmm"))</f>
        <v>JULIO</v>
      </c>
      <c r="G55">
        <f>DAY(pbi_ListaEmpleadosExpertis[[#This Row],[FEC_NAC]])</f>
        <v>18</v>
      </c>
    </row>
    <row r="56" spans="1:7" x14ac:dyDescent="0.25">
      <c r="A56" t="s">
        <v>347</v>
      </c>
      <c r="B56" t="s">
        <v>582</v>
      </c>
      <c r="C56" s="57">
        <v>31980</v>
      </c>
      <c r="D56" t="s">
        <v>348</v>
      </c>
      <c r="E56" t="s">
        <v>353</v>
      </c>
      <c r="F56" t="str">
        <f>UPPER(TEXT(pbi_ListaEmpleadosExpertis[[#This Row],[FEC_NAC]],"mmmm"))</f>
        <v>JULIO</v>
      </c>
      <c r="G56">
        <f>DAY(pbi_ListaEmpleadosExpertis[[#This Row],[FEC_NAC]])</f>
        <v>22</v>
      </c>
    </row>
    <row r="57" spans="1:7" x14ac:dyDescent="0.25">
      <c r="A57" t="s">
        <v>239</v>
      </c>
      <c r="B57" t="s">
        <v>363</v>
      </c>
      <c r="C57" s="57">
        <v>30884</v>
      </c>
      <c r="D57" t="s">
        <v>240</v>
      </c>
      <c r="E57" t="s">
        <v>353</v>
      </c>
      <c r="F57" t="str">
        <f>UPPER(TEXT(pbi_ListaEmpleadosExpertis[[#This Row],[FEC_NAC]],"mmmm"))</f>
        <v>JULIO</v>
      </c>
      <c r="G57">
        <f>DAY(pbi_ListaEmpleadosExpertis[[#This Row],[FEC_NAC]])</f>
        <v>21</v>
      </c>
    </row>
    <row r="58" spans="1:7" x14ac:dyDescent="0.25">
      <c r="A58" t="s">
        <v>580</v>
      </c>
      <c r="B58" t="s">
        <v>359</v>
      </c>
      <c r="C58" s="57">
        <v>27960</v>
      </c>
      <c r="D58" t="s">
        <v>585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353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515</v>
      </c>
      <c r="B60" t="s">
        <v>359</v>
      </c>
      <c r="C60" s="57">
        <v>37054</v>
      </c>
      <c r="D60" t="s">
        <v>516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12</v>
      </c>
    </row>
    <row r="61" spans="1:7" x14ac:dyDescent="0.25">
      <c r="A61" t="s">
        <v>321</v>
      </c>
      <c r="B61" t="s">
        <v>384</v>
      </c>
      <c r="C61" s="57">
        <v>37051</v>
      </c>
      <c r="D61" t="s">
        <v>322</v>
      </c>
      <c r="E61" t="s">
        <v>353</v>
      </c>
      <c r="F61" t="str">
        <f>UPPER(TEXT(pbi_ListaEmpleadosExpertis[[#This Row],[FEC_NAC]],"mmmm"))</f>
        <v>JUNIO</v>
      </c>
      <c r="G61">
        <f>DAY(pbi_ListaEmpleadosExpertis[[#This Row],[FEC_NAC]])</f>
        <v>9</v>
      </c>
    </row>
    <row r="62" spans="1:7" x14ac:dyDescent="0.25">
      <c r="A62" t="s">
        <v>76</v>
      </c>
      <c r="B62" t="s">
        <v>359</v>
      </c>
      <c r="C62" s="57">
        <v>35600</v>
      </c>
      <c r="D62" t="s">
        <v>258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19</v>
      </c>
    </row>
    <row r="63" spans="1:7" x14ac:dyDescent="0.25">
      <c r="A63" t="s">
        <v>40</v>
      </c>
      <c r="B63" t="s">
        <v>359</v>
      </c>
      <c r="C63" s="57">
        <v>35241</v>
      </c>
      <c r="D63" t="s">
        <v>289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25</v>
      </c>
    </row>
    <row r="64" spans="1:7" x14ac:dyDescent="0.25">
      <c r="A64" t="s">
        <v>105</v>
      </c>
      <c r="B64" t="s">
        <v>359</v>
      </c>
      <c r="C64" s="57">
        <v>34138</v>
      </c>
      <c r="D64" t="s">
        <v>247</v>
      </c>
      <c r="E64" t="s">
        <v>0</v>
      </c>
      <c r="F64" t="str">
        <f>UPPER(TEXT(pbi_ListaEmpleadosExpertis[[#This Row],[FEC_NAC]],"mmmm"))</f>
        <v>JUNIO</v>
      </c>
      <c r="G64">
        <f>DAY(pbi_ListaEmpleadosExpertis[[#This Row],[FEC_NAC]])</f>
        <v>18</v>
      </c>
    </row>
    <row r="65" spans="1:7" x14ac:dyDescent="0.25">
      <c r="A65" t="s">
        <v>42</v>
      </c>
      <c r="B65" t="s">
        <v>359</v>
      </c>
      <c r="C65" s="57">
        <v>37683</v>
      </c>
      <c r="D65" t="s">
        <v>288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3</v>
      </c>
    </row>
    <row r="66" spans="1:7" x14ac:dyDescent="0.25">
      <c r="A66" t="s">
        <v>263</v>
      </c>
      <c r="B66" t="s">
        <v>369</v>
      </c>
      <c r="C66" s="57">
        <v>36240</v>
      </c>
      <c r="D66" t="s">
        <v>264</v>
      </c>
      <c r="E66" t="s">
        <v>353</v>
      </c>
      <c r="F66" t="str">
        <f>UPPER(TEXT(pbi_ListaEmpleadosExpertis[[#This Row],[FEC_NAC]],"mmmm"))</f>
        <v>MARZO</v>
      </c>
      <c r="G66">
        <f>DAY(pbi_ListaEmpleadosExpertis[[#This Row],[FEC_NAC]])</f>
        <v>21</v>
      </c>
    </row>
    <row r="67" spans="1:7" x14ac:dyDescent="0.25">
      <c r="A67" t="s">
        <v>69</v>
      </c>
      <c r="B67" t="s">
        <v>359</v>
      </c>
      <c r="C67" s="57">
        <v>35864</v>
      </c>
      <c r="D67" t="s">
        <v>571</v>
      </c>
      <c r="E67" t="s">
        <v>0</v>
      </c>
      <c r="F67" t="str">
        <f>UPPER(TEXT(pbi_ListaEmpleadosExpertis[[#This Row],[FEC_NAC]],"mmmm"))</f>
        <v>MARZO</v>
      </c>
      <c r="G67">
        <f>DAY(pbi_ListaEmpleadosExpertis[[#This Row],[FEC_NAC]])</f>
        <v>10</v>
      </c>
    </row>
    <row r="68" spans="1:7" x14ac:dyDescent="0.25">
      <c r="A68" t="s">
        <v>23</v>
      </c>
      <c r="B68" t="s">
        <v>359</v>
      </c>
      <c r="C68" s="57">
        <v>35504</v>
      </c>
      <c r="D68" t="s">
        <v>212</v>
      </c>
      <c r="E68" t="s">
        <v>0</v>
      </c>
      <c r="F68" t="str">
        <f>UPPER(TEXT(pbi_ListaEmpleadosExpertis[[#This Row],[FEC_NAC]],"mmmm"))</f>
        <v>MARZO</v>
      </c>
      <c r="G68">
        <f>DAY(pbi_ListaEmpleadosExpertis[[#This Row],[FEC_NAC]])</f>
        <v>15</v>
      </c>
    </row>
    <row r="69" spans="1:7" x14ac:dyDescent="0.25">
      <c r="A69" t="s">
        <v>17</v>
      </c>
      <c r="B69" t="s">
        <v>359</v>
      </c>
      <c r="C69" s="57">
        <v>35492</v>
      </c>
      <c r="D69" t="s">
        <v>266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3</v>
      </c>
    </row>
    <row r="70" spans="1:7" x14ac:dyDescent="0.25">
      <c r="A70" t="s">
        <v>315</v>
      </c>
      <c r="B70" t="s">
        <v>382</v>
      </c>
      <c r="C70" s="57">
        <v>34782</v>
      </c>
      <c r="D70" t="s">
        <v>316</v>
      </c>
      <c r="E70" t="s">
        <v>353</v>
      </c>
      <c r="F70" t="str">
        <f>UPPER(TEXT(pbi_ListaEmpleadosExpertis[[#This Row],[FEC_NAC]],"mmmm"))</f>
        <v>MARZO</v>
      </c>
      <c r="G70">
        <f>DAY(pbi_ListaEmpleadosExpertis[[#This Row],[FEC_NAC]])</f>
        <v>24</v>
      </c>
    </row>
    <row r="71" spans="1:7" x14ac:dyDescent="0.25">
      <c r="A71" t="s">
        <v>22</v>
      </c>
      <c r="B71" t="s">
        <v>359</v>
      </c>
      <c r="C71" s="57">
        <v>34422</v>
      </c>
      <c r="D71" t="s">
        <v>278</v>
      </c>
      <c r="E71" t="s">
        <v>0</v>
      </c>
      <c r="F71" t="str">
        <f>UPPER(TEXT(pbi_ListaEmpleadosExpertis[[#This Row],[FEC_NAC]],"mmmm"))</f>
        <v>MARZO</v>
      </c>
      <c r="G71">
        <f>DAY(pbi_ListaEmpleadosExpertis[[#This Row],[FEC_NAC]])</f>
        <v>29</v>
      </c>
    </row>
    <row r="72" spans="1:7" x14ac:dyDescent="0.25">
      <c r="A72" t="s">
        <v>55</v>
      </c>
      <c r="B72" t="s">
        <v>359</v>
      </c>
      <c r="C72" s="57">
        <v>32222</v>
      </c>
      <c r="D72" t="s">
        <v>320</v>
      </c>
      <c r="E72" t="s">
        <v>0</v>
      </c>
      <c r="F72" t="str">
        <f>UPPER(TEXT(pbi_ListaEmpleadosExpertis[[#This Row],[FEC_NAC]],"mmmm"))</f>
        <v>MARZO</v>
      </c>
      <c r="G72">
        <f>DAY(pbi_ListaEmpleadosExpertis[[#This Row],[FEC_NAC]])</f>
        <v>20</v>
      </c>
    </row>
    <row r="73" spans="1:7" x14ac:dyDescent="0.25">
      <c r="A73" t="s">
        <v>24</v>
      </c>
      <c r="B73" t="s">
        <v>359</v>
      </c>
      <c r="C73" s="57">
        <v>31492</v>
      </c>
      <c r="D73" t="s">
        <v>284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21</v>
      </c>
    </row>
    <row r="74" spans="1:7" x14ac:dyDescent="0.25">
      <c r="A74" t="s">
        <v>313</v>
      </c>
      <c r="B74" t="s">
        <v>381</v>
      </c>
      <c r="C74" s="57">
        <v>30385</v>
      </c>
      <c r="D74" t="s">
        <v>314</v>
      </c>
      <c r="E74" t="s">
        <v>353</v>
      </c>
      <c r="F74" t="str">
        <f>UPPER(TEXT(pbi_ListaEmpleadosExpertis[[#This Row],[FEC_NAC]],"mmmm"))</f>
        <v>MARZO</v>
      </c>
      <c r="G74">
        <f>DAY(pbi_ListaEmpleadosExpertis[[#This Row],[FEC_NAC]])</f>
        <v>10</v>
      </c>
    </row>
    <row r="75" spans="1:7" x14ac:dyDescent="0.25">
      <c r="A75" t="s">
        <v>10</v>
      </c>
      <c r="B75" t="s">
        <v>359</v>
      </c>
      <c r="C75" s="57">
        <v>29662</v>
      </c>
      <c r="D75" t="s">
        <v>252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17</v>
      </c>
    </row>
    <row r="76" spans="1:7" x14ac:dyDescent="0.25">
      <c r="A76" t="s">
        <v>323</v>
      </c>
      <c r="B76" t="s">
        <v>385</v>
      </c>
      <c r="C76" s="57">
        <v>38500</v>
      </c>
      <c r="D76" t="s">
        <v>324</v>
      </c>
      <c r="E76" t="s">
        <v>353</v>
      </c>
      <c r="F76" t="str">
        <f>UPPER(TEXT(pbi_ListaEmpleadosExpertis[[#This Row],[FEC_NAC]],"mmmm"))</f>
        <v>MAYO</v>
      </c>
      <c r="G76">
        <f>DAY(pbi_ListaEmpleadosExpertis[[#This Row],[FEC_NAC]])</f>
        <v>28</v>
      </c>
    </row>
    <row r="77" spans="1:7" x14ac:dyDescent="0.25">
      <c r="A77" t="s">
        <v>85</v>
      </c>
      <c r="B77" t="s">
        <v>359</v>
      </c>
      <c r="C77" s="57">
        <v>36674</v>
      </c>
      <c r="D77" t="s">
        <v>564</v>
      </c>
      <c r="E77" t="s">
        <v>0</v>
      </c>
      <c r="F77" t="str">
        <f>UPPER(TEXT(pbi_ListaEmpleadosExpertis[[#This Row],[FEC_NAC]],"mmmm"))</f>
        <v>MAYO</v>
      </c>
      <c r="G77">
        <f>DAY(pbi_ListaEmpleadosExpertis[[#This Row],[FEC_NAC]])</f>
        <v>28</v>
      </c>
    </row>
    <row r="78" spans="1:7" x14ac:dyDescent="0.25">
      <c r="A78" t="s">
        <v>354</v>
      </c>
      <c r="B78" t="s">
        <v>371</v>
      </c>
      <c r="C78" s="57">
        <v>36301</v>
      </c>
      <c r="D78" t="s">
        <v>355</v>
      </c>
      <c r="E78" t="s">
        <v>353</v>
      </c>
      <c r="F78" t="str">
        <f>UPPER(TEXT(pbi_ListaEmpleadosExpertis[[#This Row],[FEC_NAC]],"mmmm"))</f>
        <v>MAYO</v>
      </c>
      <c r="G78">
        <f>DAY(pbi_ListaEmpleadosExpertis[[#This Row],[FEC_NAC]])</f>
        <v>21</v>
      </c>
    </row>
    <row r="79" spans="1:7" x14ac:dyDescent="0.25">
      <c r="A79" t="s">
        <v>97</v>
      </c>
      <c r="B79" t="s">
        <v>359</v>
      </c>
      <c r="C79" s="57">
        <v>34832</v>
      </c>
      <c r="D79" t="s">
        <v>325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13</v>
      </c>
    </row>
    <row r="80" spans="1:7" x14ac:dyDescent="0.25">
      <c r="A80" t="s">
        <v>58</v>
      </c>
      <c r="B80" t="s">
        <v>359</v>
      </c>
      <c r="C80" s="57">
        <v>34110</v>
      </c>
      <c r="D80" t="s">
        <v>217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21</v>
      </c>
    </row>
    <row r="81" spans="1:7" x14ac:dyDescent="0.25">
      <c r="A81" t="s">
        <v>50</v>
      </c>
      <c r="B81" t="s">
        <v>359</v>
      </c>
      <c r="C81" s="57">
        <v>33383</v>
      </c>
      <c r="D81" t="s">
        <v>295</v>
      </c>
      <c r="E81" t="s">
        <v>0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80</v>
      </c>
      <c r="B82" t="s">
        <v>359</v>
      </c>
      <c r="C82" s="57">
        <v>32273</v>
      </c>
      <c r="D82" t="s">
        <v>277</v>
      </c>
      <c r="E82" t="s">
        <v>0</v>
      </c>
      <c r="F82" t="str">
        <f>UPPER(TEXT(pbi_ListaEmpleadosExpertis[[#This Row],[FEC_NAC]],"mmmm"))</f>
        <v>MAYO</v>
      </c>
      <c r="G82">
        <f>DAY(pbi_ListaEmpleadosExpertis[[#This Row],[FEC_NAC]])</f>
        <v>10</v>
      </c>
    </row>
    <row r="83" spans="1:7" x14ac:dyDescent="0.25">
      <c r="A83" t="s">
        <v>249</v>
      </c>
      <c r="B83" t="s">
        <v>133</v>
      </c>
      <c r="C83" s="57">
        <v>31900</v>
      </c>
      <c r="D83" t="s">
        <v>250</v>
      </c>
      <c r="E83" t="s">
        <v>353</v>
      </c>
      <c r="F83" t="str">
        <f>UPPER(TEXT(pbi_ListaEmpleadosExpertis[[#This Row],[FEC_NAC]],"mmmm"))</f>
        <v>MAYO</v>
      </c>
      <c r="G83">
        <f>DAY(pbi_ListaEmpleadosExpertis[[#This Row],[FEC_NAC]])</f>
        <v>3</v>
      </c>
    </row>
    <row r="84" spans="1:7" x14ac:dyDescent="0.25">
      <c r="A84" t="s">
        <v>275</v>
      </c>
      <c r="B84" t="s">
        <v>370</v>
      </c>
      <c r="C84" s="57">
        <v>29359</v>
      </c>
      <c r="D84" t="s">
        <v>276</v>
      </c>
      <c r="E84" t="s">
        <v>353</v>
      </c>
      <c r="F84" t="str">
        <f>UPPER(TEXT(pbi_ListaEmpleadosExpertis[[#This Row],[FEC_NAC]],"mmmm"))</f>
        <v>MAYO</v>
      </c>
      <c r="G84">
        <f>DAY(pbi_ListaEmpleadosExpertis[[#This Row],[FEC_NAC]])</f>
        <v>18</v>
      </c>
    </row>
    <row r="85" spans="1:7" x14ac:dyDescent="0.25">
      <c r="A85" t="s">
        <v>78</v>
      </c>
      <c r="B85" t="s">
        <v>359</v>
      </c>
      <c r="C85" s="57">
        <v>27152</v>
      </c>
      <c r="D85" t="s">
        <v>268</v>
      </c>
      <c r="E85" t="s">
        <v>0</v>
      </c>
      <c r="F85" t="str">
        <f>UPPER(TEXT(pbi_ListaEmpleadosExpertis[[#This Row],[FEC_NAC]],"mmmm"))</f>
        <v>MAYO</v>
      </c>
      <c r="G85">
        <f>DAY(pbi_ListaEmpleadosExpertis[[#This Row],[FEC_NAC]])</f>
        <v>3</v>
      </c>
    </row>
    <row r="86" spans="1:7" x14ac:dyDescent="0.25">
      <c r="A86" t="s">
        <v>345</v>
      </c>
      <c r="B86" t="s">
        <v>394</v>
      </c>
      <c r="C86" s="57">
        <v>35388</v>
      </c>
      <c r="D86" t="s">
        <v>346</v>
      </c>
      <c r="E86" t="s">
        <v>353</v>
      </c>
      <c r="F86" t="str">
        <f>UPPER(TEXT(pbi_ListaEmpleadosExpertis[[#This Row],[FEC_NAC]],"mmmm"))</f>
        <v>NOVIEMBRE</v>
      </c>
      <c r="G86">
        <f>DAY(pbi_ListaEmpleadosExpertis[[#This Row],[FEC_NAC]])</f>
        <v>19</v>
      </c>
    </row>
    <row r="87" spans="1:7" x14ac:dyDescent="0.25">
      <c r="A87" t="s">
        <v>233</v>
      </c>
      <c r="B87" t="s">
        <v>364</v>
      </c>
      <c r="C87" s="57">
        <v>35013</v>
      </c>
      <c r="D87" t="s">
        <v>234</v>
      </c>
      <c r="E87" t="s">
        <v>353</v>
      </c>
      <c r="F87" t="str">
        <f>UPPER(TEXT(pbi_ListaEmpleadosExpertis[[#This Row],[FEC_NAC]],"mmmm"))</f>
        <v>NOVIEMBRE</v>
      </c>
      <c r="G87">
        <f>DAY(pbi_ListaEmpleadosExpertis[[#This Row],[FEC_NAC]])</f>
        <v>10</v>
      </c>
    </row>
    <row r="88" spans="1:7" x14ac:dyDescent="0.25">
      <c r="A88" t="s">
        <v>303</v>
      </c>
      <c r="B88" t="s">
        <v>377</v>
      </c>
      <c r="C88" s="57">
        <v>30628</v>
      </c>
      <c r="D88" t="s">
        <v>304</v>
      </c>
      <c r="E88" t="s">
        <v>353</v>
      </c>
      <c r="F88" t="str">
        <f>UPPER(TEXT(pbi_ListaEmpleadosExpertis[[#This Row],[FEC_NAC]],"mmmm"))</f>
        <v>NOVIEMBRE</v>
      </c>
      <c r="G88">
        <f>DAY(pbi_ListaEmpleadosExpertis[[#This Row],[FEC_NAC]])</f>
        <v>8</v>
      </c>
    </row>
    <row r="89" spans="1:7" x14ac:dyDescent="0.25">
      <c r="A89" t="s">
        <v>243</v>
      </c>
      <c r="B89" t="s">
        <v>367</v>
      </c>
      <c r="C89" s="57">
        <v>28072</v>
      </c>
      <c r="D89" t="s">
        <v>244</v>
      </c>
      <c r="E89" t="s">
        <v>353</v>
      </c>
      <c r="F89" t="str">
        <f>UPPER(TEXT(pbi_ListaEmpleadosExpertis[[#This Row],[FEC_NAC]],"mmmm"))</f>
        <v>NOVIEMBRE</v>
      </c>
      <c r="G89">
        <f>DAY(pbi_ListaEmpleadosExpertis[[#This Row],[FEC_NAC]])</f>
        <v>8</v>
      </c>
    </row>
    <row r="90" spans="1:7" x14ac:dyDescent="0.25">
      <c r="A90" t="s">
        <v>340</v>
      </c>
      <c r="B90" t="s">
        <v>392</v>
      </c>
      <c r="C90" s="57">
        <v>37550</v>
      </c>
      <c r="D90" t="s">
        <v>341</v>
      </c>
      <c r="E90" t="s">
        <v>353</v>
      </c>
      <c r="F90" t="str">
        <f>UPPER(TEXT(pbi_ListaEmpleadosExpertis[[#This Row],[FEC_NAC]],"mmmm"))</f>
        <v>OCTUBRE</v>
      </c>
      <c r="G90">
        <f>DAY(pbi_ListaEmpleadosExpertis[[#This Row],[FEC_NAC]])</f>
        <v>21</v>
      </c>
    </row>
    <row r="91" spans="1:7" x14ac:dyDescent="0.25">
      <c r="A91" t="s">
        <v>311</v>
      </c>
      <c r="B91" t="s">
        <v>380</v>
      </c>
      <c r="C91" s="57">
        <v>36819</v>
      </c>
      <c r="D91" t="s">
        <v>312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290</v>
      </c>
      <c r="B92" t="s">
        <v>372</v>
      </c>
      <c r="C92" s="57">
        <v>36801</v>
      </c>
      <c r="D92" t="s">
        <v>291</v>
      </c>
      <c r="E92" t="s">
        <v>353</v>
      </c>
      <c r="F92" t="str">
        <f>UPPER(TEXT(pbi_ListaEmpleadosExpertis[[#This Row],[FEC_NAC]],"mmmm"))</f>
        <v>OCTUBRE</v>
      </c>
      <c r="G92">
        <f>DAY(pbi_ListaEmpleadosExpertis[[#This Row],[FEC_NAC]])</f>
        <v>2</v>
      </c>
    </row>
    <row r="93" spans="1:7" x14ac:dyDescent="0.25">
      <c r="A93" t="s">
        <v>37</v>
      </c>
      <c r="B93" t="s">
        <v>359</v>
      </c>
      <c r="C93" s="57">
        <v>36072</v>
      </c>
      <c r="D93" t="s">
        <v>219</v>
      </c>
      <c r="E93" t="s">
        <v>0</v>
      </c>
      <c r="F93" t="str">
        <f>UPPER(TEXT(pbi_ListaEmpleadosExpertis[[#This Row],[FEC_NAC]],"mmmm"))</f>
        <v>OCTUBRE</v>
      </c>
      <c r="G93">
        <f>DAY(pbi_ListaEmpleadosExpertis[[#This Row],[FEC_NAC]])</f>
        <v>4</v>
      </c>
    </row>
    <row r="94" spans="1:7" x14ac:dyDescent="0.25">
      <c r="A94" t="s">
        <v>109</v>
      </c>
      <c r="B94" t="s">
        <v>359</v>
      </c>
      <c r="C94" s="57">
        <v>35706</v>
      </c>
      <c r="D94" t="s">
        <v>283</v>
      </c>
      <c r="E94" t="s">
        <v>0</v>
      </c>
      <c r="F94" t="str">
        <f>UPPER(TEXT(pbi_ListaEmpleadosExpertis[[#This Row],[FEC_NAC]],"mmmm"))</f>
        <v>OCTUBRE</v>
      </c>
      <c r="G94">
        <f>DAY(pbi_ListaEmpleadosExpertis[[#This Row],[FEC_NAC]])</f>
        <v>3</v>
      </c>
    </row>
    <row r="95" spans="1:7" x14ac:dyDescent="0.25">
      <c r="A95" t="s">
        <v>317</v>
      </c>
      <c r="B95" t="s">
        <v>383</v>
      </c>
      <c r="C95" s="57">
        <v>35356</v>
      </c>
      <c r="D95" t="s">
        <v>318</v>
      </c>
      <c r="E95" t="s">
        <v>353</v>
      </c>
      <c r="F95" t="str">
        <f>UPPER(TEXT(pbi_ListaEmpleadosExpertis[[#This Row],[FEC_NAC]],"mmmm"))</f>
        <v>OCTUBRE</v>
      </c>
      <c r="G95">
        <f>DAY(pbi_ListaEmpleadosExpertis[[#This Row],[FEC_NAC]])</f>
        <v>18</v>
      </c>
    </row>
    <row r="96" spans="1:7" x14ac:dyDescent="0.25">
      <c r="A96" t="s">
        <v>13</v>
      </c>
      <c r="B96" t="s">
        <v>359</v>
      </c>
      <c r="C96" s="57">
        <v>35346</v>
      </c>
      <c r="D96" t="s">
        <v>257</v>
      </c>
      <c r="E96" t="s">
        <v>0</v>
      </c>
      <c r="F96" t="str">
        <f>UPPER(TEXT(pbi_ListaEmpleadosExpertis[[#This Row],[FEC_NAC]],"mmmm"))</f>
        <v>OCTUBRE</v>
      </c>
      <c r="G96">
        <f>DAY(pbi_ListaEmpleadosExpertis[[#This Row],[FEC_NAC]])</f>
        <v>8</v>
      </c>
    </row>
    <row r="97" spans="1:7" x14ac:dyDescent="0.25">
      <c r="A97" t="s">
        <v>299</v>
      </c>
      <c r="B97" t="s">
        <v>375</v>
      </c>
      <c r="C97" s="57">
        <v>34610</v>
      </c>
      <c r="D97" t="s">
        <v>300</v>
      </c>
      <c r="E97" t="s">
        <v>353</v>
      </c>
      <c r="F97" t="str">
        <f>UPPER(TEXT(pbi_ListaEmpleadosExpertis[[#This Row],[FEC_NAC]],"mmmm"))</f>
        <v>OCTUBRE</v>
      </c>
      <c r="G97">
        <f>DAY(pbi_ListaEmpleadosExpertis[[#This Row],[FEC_NAC]])</f>
        <v>3</v>
      </c>
    </row>
    <row r="98" spans="1:7" x14ac:dyDescent="0.25">
      <c r="A98" t="s">
        <v>279</v>
      </c>
      <c r="B98" t="s">
        <v>369</v>
      </c>
      <c r="C98" s="57">
        <v>34263</v>
      </c>
      <c r="D98" t="s">
        <v>280</v>
      </c>
      <c r="E98" t="s">
        <v>353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336</v>
      </c>
      <c r="B99" t="s">
        <v>382</v>
      </c>
      <c r="C99" s="57">
        <v>33158</v>
      </c>
      <c r="D99" t="s">
        <v>337</v>
      </c>
      <c r="E99" t="s">
        <v>353</v>
      </c>
      <c r="F99" t="str">
        <f>UPPER(TEXT(pbi_ListaEmpleadosExpertis[[#This Row],[FEC_NAC]],"mmmm"))</f>
        <v>OCTUBRE</v>
      </c>
      <c r="G99">
        <f>DAY(pbi_ListaEmpleadosExpertis[[#This Row],[FEC_NAC]])</f>
        <v>12</v>
      </c>
    </row>
    <row r="100" spans="1:7" x14ac:dyDescent="0.25">
      <c r="A100" t="s">
        <v>241</v>
      </c>
      <c r="B100" t="s">
        <v>362</v>
      </c>
      <c r="C100" s="57">
        <v>31700</v>
      </c>
      <c r="D100" t="s">
        <v>242</v>
      </c>
      <c r="E100" t="s">
        <v>353</v>
      </c>
      <c r="F100" t="str">
        <f>UPPER(TEXT(pbi_ListaEmpleadosExpertis[[#This Row],[FEC_NAC]],"mmmm"))</f>
        <v>OCTUBRE</v>
      </c>
      <c r="G100">
        <f>DAY(pbi_ListaEmpleadosExpertis[[#This Row],[FEC_NAC]])</f>
        <v>15</v>
      </c>
    </row>
    <row r="101" spans="1:7" x14ac:dyDescent="0.25">
      <c r="A101" t="s">
        <v>326</v>
      </c>
      <c r="B101" t="s">
        <v>386</v>
      </c>
      <c r="C101" s="57">
        <v>30965</v>
      </c>
      <c r="D101" t="s">
        <v>327</v>
      </c>
      <c r="E101" t="s">
        <v>353</v>
      </c>
      <c r="F101" t="str">
        <f>UPPER(TEXT(pbi_ListaEmpleadosExpertis[[#This Row],[FEC_NAC]],"mmmm"))</f>
        <v>OCTUBRE</v>
      </c>
      <c r="G101">
        <f>DAY(pbi_ListaEmpleadosExpertis[[#This Row],[FEC_NAC]])</f>
        <v>10</v>
      </c>
    </row>
    <row r="102" spans="1:7" x14ac:dyDescent="0.25">
      <c r="A102" t="s">
        <v>31</v>
      </c>
      <c r="B102" t="s">
        <v>359</v>
      </c>
      <c r="C102" s="57">
        <v>37505</v>
      </c>
      <c r="D102" t="s">
        <v>282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6</v>
      </c>
    </row>
    <row r="103" spans="1:7" x14ac:dyDescent="0.25">
      <c r="A103" t="s">
        <v>208</v>
      </c>
      <c r="B103" t="s">
        <v>359</v>
      </c>
      <c r="C103" s="57">
        <v>37156</v>
      </c>
      <c r="D103" t="s">
        <v>350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22</v>
      </c>
    </row>
    <row r="104" spans="1:7" x14ac:dyDescent="0.25">
      <c r="A104" t="s">
        <v>513</v>
      </c>
      <c r="B104" t="s">
        <v>359</v>
      </c>
      <c r="C104" s="57">
        <v>36795</v>
      </c>
      <c r="D104" t="s">
        <v>514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26</v>
      </c>
    </row>
    <row r="105" spans="1:7" x14ac:dyDescent="0.25">
      <c r="A105" t="s">
        <v>297</v>
      </c>
      <c r="B105" t="s">
        <v>374</v>
      </c>
      <c r="C105" s="57">
        <v>33496</v>
      </c>
      <c r="D105" t="s">
        <v>298</v>
      </c>
      <c r="E105" t="s">
        <v>353</v>
      </c>
      <c r="F105" t="str">
        <f>UPPER(TEXT(pbi_ListaEmpleadosExpertis[[#This Row],[FEC_NAC]],"mmmm"))</f>
        <v>SETIEMBRE</v>
      </c>
      <c r="G105">
        <f>DAY(pbi_ListaEmpleadosExpertis[[#This Row],[FEC_NAC]])</f>
        <v>15</v>
      </c>
    </row>
    <row r="106" spans="1:7" x14ac:dyDescent="0.25">
      <c r="A106" t="s">
        <v>35</v>
      </c>
      <c r="B106" t="s">
        <v>359</v>
      </c>
      <c r="C106" s="57">
        <v>28011</v>
      </c>
      <c r="D106" t="s">
        <v>255</v>
      </c>
      <c r="E106" t="s">
        <v>0</v>
      </c>
      <c r="F106" t="str">
        <f>UPPER(TEXT(pbi_ListaEmpleadosExpertis[[#This Row],[FEC_NAC]],"mmmm"))</f>
        <v>SETIEMBRE</v>
      </c>
      <c r="G106">
        <f>DAY(pbi_ListaEmpleadosExpertis[[#This Row],[FEC_NAC]])</f>
        <v>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1"/>
  <sheetViews>
    <sheetView topLeftCell="A31" workbookViewId="0">
      <selection activeCell="C17" sqref="C17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581</v>
      </c>
      <c r="F1" s="5" t="s">
        <v>520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43101</v>
      </c>
      <c r="F2" s="5" t="s">
        <v>522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522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522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522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522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522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522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522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522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522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522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522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522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522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522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522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522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522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522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522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522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522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522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522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522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522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522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522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521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521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522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522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521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521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522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522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522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522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522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521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522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522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522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522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522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522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522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522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522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556</v>
      </c>
      <c r="E51" s="58">
        <v>46024</v>
      </c>
      <c r="F51" s="5" t="s">
        <v>522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522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557</v>
      </c>
      <c r="E53" s="58">
        <v>46029</v>
      </c>
      <c r="F53" s="5" t="s">
        <v>522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555</v>
      </c>
      <c r="E54" s="58">
        <v>46038</v>
      </c>
      <c r="F54" s="5" t="s">
        <v>522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522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567</v>
      </c>
      <c r="E56" s="58">
        <v>46052</v>
      </c>
      <c r="F56" s="5" t="s">
        <v>522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568</v>
      </c>
      <c r="E57" s="58">
        <v>46052</v>
      </c>
      <c r="F57" s="5" t="s">
        <v>522</v>
      </c>
    </row>
    <row r="58" spans="1:6" x14ac:dyDescent="0.25">
      <c r="A58" s="5" t="s">
        <v>565</v>
      </c>
      <c r="B58" s="5" t="s">
        <v>124</v>
      </c>
      <c r="C58" s="5" t="s">
        <v>565</v>
      </c>
      <c r="D58" s="61" t="s">
        <v>569</v>
      </c>
      <c r="E58" s="58">
        <v>46055</v>
      </c>
      <c r="F58" s="5" t="s">
        <v>522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522</v>
      </c>
    </row>
    <row r="60" spans="1:6" x14ac:dyDescent="0.25">
      <c r="A60" s="5" t="s">
        <v>572</v>
      </c>
      <c r="B60" s="5" t="s">
        <v>124</v>
      </c>
      <c r="C60" s="5" t="s">
        <v>572</v>
      </c>
      <c r="D60" s="61" t="s">
        <v>573</v>
      </c>
      <c r="E60" s="58">
        <v>46064</v>
      </c>
      <c r="F60" s="5" t="s">
        <v>522</v>
      </c>
    </row>
    <row r="61" spans="1:6" x14ac:dyDescent="0.25">
      <c r="A61" s="5" t="s">
        <v>580</v>
      </c>
      <c r="B61" s="5" t="s">
        <v>124</v>
      </c>
      <c r="C61" s="5" t="s">
        <v>580</v>
      </c>
      <c r="D61" s="61">
        <v>10330959</v>
      </c>
      <c r="E61" s="58">
        <v>46078</v>
      </c>
      <c r="F61" s="5" t="s">
        <v>522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52" zoomScale="85" zoomScaleNormal="85" workbookViewId="0">
      <selection activeCell="G33" sqref="G33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7" t="s">
        <v>3</v>
      </c>
      <c r="E184" s="79">
        <v>543573</v>
      </c>
      <c r="F184" s="79">
        <v>50000</v>
      </c>
      <c r="G184" s="8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7" t="s">
        <v>125</v>
      </c>
      <c r="E185" s="79">
        <v>543573</v>
      </c>
      <c r="F185" s="79">
        <v>50000</v>
      </c>
      <c r="G185" s="8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7" t="s">
        <v>2</v>
      </c>
      <c r="E186" s="79">
        <v>194963</v>
      </c>
      <c r="F186" s="79">
        <v>28000</v>
      </c>
      <c r="G186" s="8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7" t="s">
        <v>6</v>
      </c>
      <c r="E187" s="79">
        <v>540042</v>
      </c>
      <c r="F187" s="79">
        <v>26500</v>
      </c>
      <c r="G187" s="8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8" t="s">
        <v>124</v>
      </c>
      <c r="E188" s="81">
        <v>294869</v>
      </c>
      <c r="F188" s="81">
        <v>23500</v>
      </c>
      <c r="G188" s="82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2026-03-02T22:01:33Z</dcterms:modified>
</cp:coreProperties>
</file>